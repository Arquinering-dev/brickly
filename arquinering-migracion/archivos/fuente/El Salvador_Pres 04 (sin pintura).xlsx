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edro Pagliaricci\Documents\arquinering-migracion\archivos\fuente\"/>
    </mc:Choice>
  </mc:AlternateContent>
  <xr:revisionPtr revIDLastSave="0" documentId="13_ncr:1_{E3BBA9AA-31F1-4352-8B24-2499072E96F6}" xr6:coauthVersionLast="47" xr6:coauthVersionMax="47" xr10:uidLastSave="{00000000-0000-0000-0000-000000000000}"/>
  <bookViews>
    <workbookView xWindow="-110" yWindow="-110" windowWidth="19420" windowHeight="11500" activeTab="3" xr2:uid="{FC0D64EC-8E48-419F-B873-F9E959B42DB2}"/>
  </bookViews>
  <sheets>
    <sheet name="AING SALV4140 03" sheetId="113" r:id="rId1"/>
    <sheet name="INFO." sheetId="46" r:id="rId2"/>
    <sheet name="01" sheetId="26" r:id="rId3"/>
    <sheet name="Tareas" sheetId="11" r:id="rId4"/>
    <sheet name="GGBB" sheetId="33" r:id="rId5"/>
    <sheet name="Locales" sheetId="112" r:id="rId6"/>
    <sheet name="Computo" sheetId="94" r:id="rId7"/>
    <sheet name="INCEND" sheetId="102" r:id="rId8"/>
    <sheet name="ELECT" sheetId="99" r:id="rId9"/>
    <sheet name="Cotizaciones" sheetId="87" r:id="rId10"/>
    <sheet name="SUBCONTRATOS" sheetId="88" r:id="rId11"/>
    <sheet name="APU 09.24" sheetId="24" r:id="rId12"/>
    <sheet name="P.MO 09.24" sheetId="32" r:id="rId13"/>
    <sheet name="H°A° " sheetId="75" r:id="rId14"/>
    <sheet name="MO HA SILVA" sheetId="72" r:id="rId15"/>
    <sheet name="MO HA AING" sheetId="89" r:id="rId16"/>
    <sheet name="COVE" sheetId="110" r:id="rId17"/>
    <sheet name="ENCOFRADO " sheetId="76" r:id="rId18"/>
    <sheet name="Mampostería" sheetId="111" r:id="rId19"/>
    <sheet name="CALEFA" sheetId="115" r:id="rId20"/>
  </sheets>
  <definedNames>
    <definedName name="\0" localSheetId="5">#REF!</definedName>
    <definedName name="\0" localSheetId="18">#REF!</definedName>
    <definedName name="\0">#REF!</definedName>
    <definedName name="\c" localSheetId="5">#REF!</definedName>
    <definedName name="\c">#REF!</definedName>
    <definedName name="\E" localSheetId="5">#REF!</definedName>
    <definedName name="\E">#REF!</definedName>
    <definedName name="\i">#REF!</definedName>
    <definedName name="\j">#REF!</definedName>
    <definedName name="\m">#REF!</definedName>
    <definedName name="\P" localSheetId="2">#REF!</definedName>
    <definedName name="\P" localSheetId="0">#REF!</definedName>
    <definedName name="\P" localSheetId="18">#REF!</definedName>
    <definedName name="\P" localSheetId="3">#REF!</definedName>
    <definedName name="\P">#REF!</definedName>
    <definedName name="\r">#N/A</definedName>
    <definedName name="\x">#REF!</definedName>
    <definedName name="\z">#REF!</definedName>
    <definedName name="__________ben1" localSheetId="2">#REF!</definedName>
    <definedName name="__________ben1" localSheetId="0">#REF!</definedName>
    <definedName name="__________ben1" localSheetId="5">#REF!</definedName>
    <definedName name="__________ben1" localSheetId="18">#REF!</definedName>
    <definedName name="__________ben1" localSheetId="3">#REF!</definedName>
    <definedName name="__________ben1">#REF!</definedName>
    <definedName name="__________ben10" localSheetId="2">#REF!</definedName>
    <definedName name="__________ben10" localSheetId="0">#REF!</definedName>
    <definedName name="__________ben10" localSheetId="18">#REF!</definedName>
    <definedName name="__________ben10" localSheetId="3">#REF!</definedName>
    <definedName name="__________ben10">#REF!</definedName>
    <definedName name="__________ben15" localSheetId="2">#REF!</definedName>
    <definedName name="__________ben15" localSheetId="0">#REF!</definedName>
    <definedName name="__________ben15" localSheetId="3">#REF!</definedName>
    <definedName name="__________ben15">#REF!</definedName>
    <definedName name="__________BEN2" localSheetId="5">#REF!</definedName>
    <definedName name="__________BEN2" localSheetId="18">#REF!</definedName>
    <definedName name="__________BEN2" localSheetId="15">#REF!</definedName>
    <definedName name="__________BEN2">#REF!</definedName>
    <definedName name="__________ben20" localSheetId="2">#REF!</definedName>
    <definedName name="__________ben20" localSheetId="0">#REF!</definedName>
    <definedName name="__________ben20" localSheetId="18">#REF!</definedName>
    <definedName name="__________ben20" localSheetId="3">#REF!</definedName>
    <definedName name="__________ben20">#REF!</definedName>
    <definedName name="__________ben25" localSheetId="2">#REF!</definedName>
    <definedName name="__________ben25" localSheetId="0">#REF!</definedName>
    <definedName name="__________ben25" localSheetId="18">#REF!</definedName>
    <definedName name="__________ben25" localSheetId="3">#REF!</definedName>
    <definedName name="__________ben25">#REF!</definedName>
    <definedName name="__________BEN3" localSheetId="2">#REF!</definedName>
    <definedName name="__________BEN3" localSheetId="0">#REF!</definedName>
    <definedName name="__________BEN3" localSheetId="18">#REF!</definedName>
    <definedName name="__________BEN3" localSheetId="3">#REF!</definedName>
    <definedName name="__________BEN3">#REF!</definedName>
    <definedName name="__________BEN4" localSheetId="2">#REF!</definedName>
    <definedName name="__________BEN4" localSheetId="0">#REF!</definedName>
    <definedName name="__________BEN4" localSheetId="3">#REF!</definedName>
    <definedName name="__________BEN4">#REF!</definedName>
    <definedName name="__________ben5" localSheetId="2">#REF!</definedName>
    <definedName name="__________ben5" localSheetId="0">#REF!</definedName>
    <definedName name="__________ben5" localSheetId="3">#REF!</definedName>
    <definedName name="__________ben5">#REF!</definedName>
    <definedName name="_________ben1" localSheetId="2">#REF!</definedName>
    <definedName name="_________ben1" localSheetId="0">#REF!</definedName>
    <definedName name="_________ben1" localSheetId="3">#REF!</definedName>
    <definedName name="_________ben1">#REF!</definedName>
    <definedName name="_________ben10" localSheetId="2">#REF!</definedName>
    <definedName name="_________ben10" localSheetId="0">#REF!</definedName>
    <definedName name="_________ben10" localSheetId="3">#REF!</definedName>
    <definedName name="_________ben10">#REF!</definedName>
    <definedName name="_________ben15" localSheetId="2">#REF!</definedName>
    <definedName name="_________ben15" localSheetId="0">#REF!</definedName>
    <definedName name="_________ben15" localSheetId="3">#REF!</definedName>
    <definedName name="_________ben15">#REF!</definedName>
    <definedName name="_________BEN2" localSheetId="5">#REF!</definedName>
    <definedName name="_________BEN2" localSheetId="18">#REF!</definedName>
    <definedName name="_________BEN2" localSheetId="15">#REF!</definedName>
    <definedName name="_________BEN2">#REF!</definedName>
    <definedName name="_________ben20" localSheetId="2">#REF!</definedName>
    <definedName name="_________ben20" localSheetId="0">#REF!</definedName>
    <definedName name="_________ben20" localSheetId="18">#REF!</definedName>
    <definedName name="_________ben20" localSheetId="3">#REF!</definedName>
    <definedName name="_________ben20">#REF!</definedName>
    <definedName name="_________ben25" localSheetId="2">#REF!</definedName>
    <definedName name="_________ben25" localSheetId="0">#REF!</definedName>
    <definedName name="_________ben25" localSheetId="18">#REF!</definedName>
    <definedName name="_________ben25" localSheetId="3">#REF!</definedName>
    <definedName name="_________ben25">#REF!</definedName>
    <definedName name="_________BEN3" localSheetId="2">#REF!</definedName>
    <definedName name="_________BEN3" localSheetId="0">#REF!</definedName>
    <definedName name="_________BEN3" localSheetId="18">#REF!</definedName>
    <definedName name="_________BEN3" localSheetId="3">#REF!</definedName>
    <definedName name="_________BEN3">#REF!</definedName>
    <definedName name="_________BEN4" localSheetId="2">#REF!</definedName>
    <definedName name="_________BEN4" localSheetId="0">#REF!</definedName>
    <definedName name="_________BEN4" localSheetId="3">#REF!</definedName>
    <definedName name="_________BEN4">#REF!</definedName>
    <definedName name="_________ben5" localSheetId="2">#REF!</definedName>
    <definedName name="_________ben5" localSheetId="0">#REF!</definedName>
    <definedName name="_________ben5" localSheetId="3">#REF!</definedName>
    <definedName name="_________ben5">#REF!</definedName>
    <definedName name="________ben1" localSheetId="2">#REF!</definedName>
    <definedName name="________ben1" localSheetId="0">#REF!</definedName>
    <definedName name="________ben1" localSheetId="3">#REF!</definedName>
    <definedName name="________ben1">#REF!</definedName>
    <definedName name="________ben10" localSheetId="2">#REF!</definedName>
    <definedName name="________ben10" localSheetId="0">#REF!</definedName>
    <definedName name="________ben10" localSheetId="3">#REF!</definedName>
    <definedName name="________ben10">#REF!</definedName>
    <definedName name="________ben15" localSheetId="2">#REF!</definedName>
    <definedName name="________ben15" localSheetId="0">#REF!</definedName>
    <definedName name="________ben15" localSheetId="3">#REF!</definedName>
    <definedName name="________ben15">#REF!</definedName>
    <definedName name="________BEN2" localSheetId="5">#REF!</definedName>
    <definedName name="________BEN2" localSheetId="18">#REF!</definedName>
    <definedName name="________BEN2" localSheetId="15">#REF!</definedName>
    <definedName name="________BEN2">#REF!</definedName>
    <definedName name="________ben20" localSheetId="2">#REF!</definedName>
    <definedName name="________ben20" localSheetId="0">#REF!</definedName>
    <definedName name="________ben20" localSheetId="18">#REF!</definedName>
    <definedName name="________ben20" localSheetId="3">#REF!</definedName>
    <definedName name="________ben20">#REF!</definedName>
    <definedName name="________ben25" localSheetId="2">#REF!</definedName>
    <definedName name="________ben25" localSheetId="0">#REF!</definedName>
    <definedName name="________ben25" localSheetId="18">#REF!</definedName>
    <definedName name="________ben25" localSheetId="3">#REF!</definedName>
    <definedName name="________ben25">#REF!</definedName>
    <definedName name="________BEN3" localSheetId="2">#REF!</definedName>
    <definedName name="________BEN3" localSheetId="0">#REF!</definedName>
    <definedName name="________BEN3" localSheetId="18">#REF!</definedName>
    <definedName name="________BEN3" localSheetId="3">#REF!</definedName>
    <definedName name="________BEN3">#REF!</definedName>
    <definedName name="________BEN4" localSheetId="2">#REF!</definedName>
    <definedName name="________BEN4" localSheetId="0">#REF!</definedName>
    <definedName name="________BEN4" localSheetId="3">#REF!</definedName>
    <definedName name="________BEN4">#REF!</definedName>
    <definedName name="________ben5" localSheetId="2">#REF!</definedName>
    <definedName name="________ben5" localSheetId="0">#REF!</definedName>
    <definedName name="________ben5" localSheetId="3">#REF!</definedName>
    <definedName name="________ben5">#REF!</definedName>
    <definedName name="________tu3" localSheetId="2">#REF!</definedName>
    <definedName name="________tu3" localSheetId="0">#REF!</definedName>
    <definedName name="________tu3" localSheetId="3">#REF!</definedName>
    <definedName name="________tu3">#REF!</definedName>
    <definedName name="_______ben1" localSheetId="2">#REF!</definedName>
    <definedName name="_______ben1" localSheetId="0">#REF!</definedName>
    <definedName name="_______ben1" localSheetId="3">#REF!</definedName>
    <definedName name="_______ben1">#REF!</definedName>
    <definedName name="_______ben10" localSheetId="2">#REF!</definedName>
    <definedName name="_______ben10" localSheetId="0">#REF!</definedName>
    <definedName name="_______ben10" localSheetId="3">#REF!</definedName>
    <definedName name="_______ben10">#REF!</definedName>
    <definedName name="_______ben15" localSheetId="2">#REF!</definedName>
    <definedName name="_______ben15" localSheetId="0">#REF!</definedName>
    <definedName name="_______ben15" localSheetId="3">#REF!</definedName>
    <definedName name="_______ben15">#REF!</definedName>
    <definedName name="_______BEN2" localSheetId="5">#REF!</definedName>
    <definedName name="_______BEN2" localSheetId="18">#REF!</definedName>
    <definedName name="_______BEN2" localSheetId="15">#REF!</definedName>
    <definedName name="_______BEN2">#REF!</definedName>
    <definedName name="_______ben20" localSheetId="2">#REF!</definedName>
    <definedName name="_______ben20" localSheetId="0">#REF!</definedName>
    <definedName name="_______ben20" localSheetId="18">#REF!</definedName>
    <definedName name="_______ben20" localSheetId="3">#REF!</definedName>
    <definedName name="_______ben20">#REF!</definedName>
    <definedName name="_______ben25" localSheetId="2">#REF!</definedName>
    <definedName name="_______ben25" localSheetId="0">#REF!</definedName>
    <definedName name="_______ben25" localSheetId="18">#REF!</definedName>
    <definedName name="_______ben25" localSheetId="3">#REF!</definedName>
    <definedName name="_______ben25">#REF!</definedName>
    <definedName name="_______BEN3" localSheetId="2">#REF!</definedName>
    <definedName name="_______BEN3" localSheetId="0">#REF!</definedName>
    <definedName name="_______BEN3" localSheetId="18">#REF!</definedName>
    <definedName name="_______BEN3" localSheetId="3">#REF!</definedName>
    <definedName name="_______BEN3">#REF!</definedName>
    <definedName name="_______BEN4" localSheetId="2">#REF!</definedName>
    <definedName name="_______BEN4" localSheetId="0">#REF!</definedName>
    <definedName name="_______BEN4" localSheetId="3">#REF!</definedName>
    <definedName name="_______BEN4">#REF!</definedName>
    <definedName name="_______ben5" localSheetId="2">#REF!</definedName>
    <definedName name="_______ben5" localSheetId="0">#REF!</definedName>
    <definedName name="_______ben5" localSheetId="3">#REF!</definedName>
    <definedName name="_______ben5">#REF!</definedName>
    <definedName name="_______tu3" localSheetId="2">#REF!</definedName>
    <definedName name="_______tu3" localSheetId="0">#REF!</definedName>
    <definedName name="_______tu3" localSheetId="3">#REF!</definedName>
    <definedName name="_______tu3">#REF!</definedName>
    <definedName name="______ben1" localSheetId="2">#REF!</definedName>
    <definedName name="______ben1" localSheetId="0">#REF!</definedName>
    <definedName name="______ben1" localSheetId="3">#REF!</definedName>
    <definedName name="______ben1">#REF!</definedName>
    <definedName name="______ben10" localSheetId="2">#REF!</definedName>
    <definedName name="______ben10" localSheetId="0">#REF!</definedName>
    <definedName name="______ben10" localSheetId="3">#REF!</definedName>
    <definedName name="______ben10">#REF!</definedName>
    <definedName name="______ben15" localSheetId="2">#REF!</definedName>
    <definedName name="______ben15" localSheetId="0">#REF!</definedName>
    <definedName name="______ben15" localSheetId="3">#REF!</definedName>
    <definedName name="______ben15">#REF!</definedName>
    <definedName name="______BEN2" localSheetId="5">#REF!</definedName>
    <definedName name="______BEN2" localSheetId="18">#REF!</definedName>
    <definedName name="______BEN2" localSheetId="15">#REF!</definedName>
    <definedName name="______BEN2">#REF!</definedName>
    <definedName name="______ben20" localSheetId="2">#REF!</definedName>
    <definedName name="______ben20" localSheetId="0">#REF!</definedName>
    <definedName name="______ben20" localSheetId="18">#REF!</definedName>
    <definedName name="______ben20" localSheetId="3">#REF!</definedName>
    <definedName name="______ben20">#REF!</definedName>
    <definedName name="______ben25" localSheetId="2">#REF!</definedName>
    <definedName name="______ben25" localSheetId="0">#REF!</definedName>
    <definedName name="______ben25" localSheetId="18">#REF!</definedName>
    <definedName name="______ben25" localSheetId="3">#REF!</definedName>
    <definedName name="______ben25">#REF!</definedName>
    <definedName name="______BEN3" localSheetId="2">#REF!</definedName>
    <definedName name="______BEN3" localSheetId="0">#REF!</definedName>
    <definedName name="______BEN3" localSheetId="18">#REF!</definedName>
    <definedName name="______BEN3" localSheetId="3">#REF!</definedName>
    <definedName name="______BEN3">#REF!</definedName>
    <definedName name="______BEN4" localSheetId="2">#REF!</definedName>
    <definedName name="______BEN4" localSheetId="0">#REF!</definedName>
    <definedName name="______BEN4" localSheetId="3">#REF!</definedName>
    <definedName name="______BEN4">#REF!</definedName>
    <definedName name="______ben5" localSheetId="2">#REF!</definedName>
    <definedName name="______ben5" localSheetId="0">#REF!</definedName>
    <definedName name="______ben5" localSheetId="3">#REF!</definedName>
    <definedName name="______ben5">#REF!</definedName>
    <definedName name="______tu3" localSheetId="2">#REF!</definedName>
    <definedName name="______tu3" localSheetId="0">#REF!</definedName>
    <definedName name="______tu3" localSheetId="3">#REF!</definedName>
    <definedName name="______tu3">#REF!</definedName>
    <definedName name="_____ben1" localSheetId="2">#REF!</definedName>
    <definedName name="_____ben1" localSheetId="0">#REF!</definedName>
    <definedName name="_____ben1" localSheetId="3">#REF!</definedName>
    <definedName name="_____ben1">#REF!</definedName>
    <definedName name="_____ben10" localSheetId="2">#REF!</definedName>
    <definedName name="_____ben10" localSheetId="0">#REF!</definedName>
    <definedName name="_____ben10" localSheetId="3">#REF!</definedName>
    <definedName name="_____ben10">#REF!</definedName>
    <definedName name="_____ben15" localSheetId="2">#REF!</definedName>
    <definedName name="_____ben15" localSheetId="0">#REF!</definedName>
    <definedName name="_____ben15" localSheetId="3">#REF!</definedName>
    <definedName name="_____ben15">#REF!</definedName>
    <definedName name="_____BEN2" localSheetId="5">#REF!</definedName>
    <definedName name="_____BEN2" localSheetId="18">#REF!</definedName>
    <definedName name="_____BEN2" localSheetId="15">#REF!</definedName>
    <definedName name="_____BEN2">#REF!</definedName>
    <definedName name="_____ben20" localSheetId="2">#REF!</definedName>
    <definedName name="_____ben20" localSheetId="0">#REF!</definedName>
    <definedName name="_____ben20" localSheetId="18">#REF!</definedName>
    <definedName name="_____ben20" localSheetId="3">#REF!</definedName>
    <definedName name="_____ben20">#REF!</definedName>
    <definedName name="_____ben25" localSheetId="2">#REF!</definedName>
    <definedName name="_____ben25" localSheetId="0">#REF!</definedName>
    <definedName name="_____ben25" localSheetId="18">#REF!</definedName>
    <definedName name="_____ben25" localSheetId="3">#REF!</definedName>
    <definedName name="_____ben25">#REF!</definedName>
    <definedName name="_____BEN3" localSheetId="2">#REF!</definedName>
    <definedName name="_____BEN3" localSheetId="0">#REF!</definedName>
    <definedName name="_____BEN3" localSheetId="18">#REF!</definedName>
    <definedName name="_____BEN3" localSheetId="3">#REF!</definedName>
    <definedName name="_____BEN3">#REF!</definedName>
    <definedName name="_____BEN4" localSheetId="2">#REF!</definedName>
    <definedName name="_____BEN4" localSheetId="0">#REF!</definedName>
    <definedName name="_____BEN4" localSheetId="3">#REF!</definedName>
    <definedName name="_____BEN4">#REF!</definedName>
    <definedName name="_____ben5" localSheetId="2">#REF!</definedName>
    <definedName name="_____ben5" localSheetId="0">#REF!</definedName>
    <definedName name="_____ben5" localSheetId="3">#REF!</definedName>
    <definedName name="_____ben5">#REF!</definedName>
    <definedName name="_____tu3" localSheetId="2">#REF!</definedName>
    <definedName name="_____tu3" localSheetId="0">#REF!</definedName>
    <definedName name="_____tu3" localSheetId="3">#REF!</definedName>
    <definedName name="_____tu3">#REF!</definedName>
    <definedName name="____ben1" localSheetId="2">#REF!</definedName>
    <definedName name="____ben1" localSheetId="0">#REF!</definedName>
    <definedName name="____ben1" localSheetId="3">#REF!</definedName>
    <definedName name="____ben1">#REF!</definedName>
    <definedName name="____ben10" localSheetId="2">#REF!</definedName>
    <definedName name="____ben10" localSheetId="0">#REF!</definedName>
    <definedName name="____ben10" localSheetId="3">#REF!</definedName>
    <definedName name="____ben10">#REF!</definedName>
    <definedName name="____ben15" localSheetId="2">#REF!</definedName>
    <definedName name="____ben15" localSheetId="0">#REF!</definedName>
    <definedName name="____ben15" localSheetId="3">#REF!</definedName>
    <definedName name="____ben15">#REF!</definedName>
    <definedName name="____BEN2" localSheetId="5">#REF!</definedName>
    <definedName name="____BEN2" localSheetId="18">#REF!</definedName>
    <definedName name="____BEN2" localSheetId="15">#REF!</definedName>
    <definedName name="____BEN2">#REF!</definedName>
    <definedName name="____ben20" localSheetId="2">#REF!</definedName>
    <definedName name="____ben20" localSheetId="0">#REF!</definedName>
    <definedName name="____ben20" localSheetId="18">#REF!</definedName>
    <definedName name="____ben20" localSheetId="3">#REF!</definedName>
    <definedName name="____ben20">#REF!</definedName>
    <definedName name="____ben25" localSheetId="2">#REF!</definedName>
    <definedName name="____ben25" localSheetId="0">#REF!</definedName>
    <definedName name="____ben25" localSheetId="18">#REF!</definedName>
    <definedName name="____ben25" localSheetId="3">#REF!</definedName>
    <definedName name="____ben25">#REF!</definedName>
    <definedName name="____BEN3" localSheetId="2">#REF!</definedName>
    <definedName name="____BEN3" localSheetId="0">#REF!</definedName>
    <definedName name="____BEN3" localSheetId="18">#REF!</definedName>
    <definedName name="____BEN3" localSheetId="3">#REF!</definedName>
    <definedName name="____BEN3">#REF!</definedName>
    <definedName name="____BEN4" localSheetId="2">#REF!</definedName>
    <definedName name="____BEN4" localSheetId="0">#REF!</definedName>
    <definedName name="____BEN4" localSheetId="3">#REF!</definedName>
    <definedName name="____BEN4">#REF!</definedName>
    <definedName name="____ben5" localSheetId="2">#REF!</definedName>
    <definedName name="____ben5" localSheetId="0">#REF!</definedName>
    <definedName name="____ben5" localSheetId="3">#REF!</definedName>
    <definedName name="____ben5">#REF!</definedName>
    <definedName name="____tu3" localSheetId="2">#REF!</definedName>
    <definedName name="____tu3" localSheetId="0">#REF!</definedName>
    <definedName name="____tu3" localSheetId="3">#REF!</definedName>
    <definedName name="____tu3">#REF!</definedName>
    <definedName name="___ben1" localSheetId="2">#REF!</definedName>
    <definedName name="___ben1" localSheetId="0">#REF!</definedName>
    <definedName name="___ben1" localSheetId="3">#REF!</definedName>
    <definedName name="___ben1">#REF!</definedName>
    <definedName name="___ben10" localSheetId="2">#REF!</definedName>
    <definedName name="___ben10" localSheetId="0">#REF!</definedName>
    <definedName name="___ben10" localSheetId="3">#REF!</definedName>
    <definedName name="___ben10">#REF!</definedName>
    <definedName name="___ben15" localSheetId="2">#REF!</definedName>
    <definedName name="___ben15" localSheetId="0">#REF!</definedName>
    <definedName name="___ben15" localSheetId="3">#REF!</definedName>
    <definedName name="___ben15">#REF!</definedName>
    <definedName name="___BEN2" localSheetId="5">#REF!</definedName>
    <definedName name="___BEN2" localSheetId="18">#REF!</definedName>
    <definedName name="___BEN2" localSheetId="15">#REF!</definedName>
    <definedName name="___BEN2">#REF!</definedName>
    <definedName name="___ben20" localSheetId="2">#REF!</definedName>
    <definedName name="___ben20" localSheetId="0">#REF!</definedName>
    <definedName name="___ben20" localSheetId="18">#REF!</definedName>
    <definedName name="___ben20" localSheetId="3">#REF!</definedName>
    <definedName name="___ben20">#REF!</definedName>
    <definedName name="___ben25" localSheetId="2">#REF!</definedName>
    <definedName name="___ben25" localSheetId="0">#REF!</definedName>
    <definedName name="___ben25" localSheetId="18">#REF!</definedName>
    <definedName name="___ben25" localSheetId="3">#REF!</definedName>
    <definedName name="___ben25">#REF!</definedName>
    <definedName name="___BEN3" localSheetId="2">#REF!</definedName>
    <definedName name="___BEN3" localSheetId="0">#REF!</definedName>
    <definedName name="___BEN3" localSheetId="18">#REF!</definedName>
    <definedName name="___BEN3" localSheetId="3">#REF!</definedName>
    <definedName name="___BEN3">#REF!</definedName>
    <definedName name="___BEN4" localSheetId="2">#REF!</definedName>
    <definedName name="___BEN4" localSheetId="0">#REF!</definedName>
    <definedName name="___BEN4" localSheetId="3">#REF!</definedName>
    <definedName name="___BEN4">#REF!</definedName>
    <definedName name="___ben5" localSheetId="2">#REF!</definedName>
    <definedName name="___ben5" localSheetId="0">#REF!</definedName>
    <definedName name="___ben5" localSheetId="3">#REF!</definedName>
    <definedName name="___ben5">#REF!</definedName>
    <definedName name="___tu3" localSheetId="2">#REF!</definedName>
    <definedName name="___tu3" localSheetId="0">#REF!</definedName>
    <definedName name="___tu3" localSheetId="3">#REF!</definedName>
    <definedName name="___tu3">#REF!</definedName>
    <definedName name="__ben1" localSheetId="2">#REF!</definedName>
    <definedName name="__ben1" localSheetId="0">#REF!</definedName>
    <definedName name="__ben1" localSheetId="3">#REF!</definedName>
    <definedName name="__ben1">#REF!</definedName>
    <definedName name="__ben10" localSheetId="2">#REF!</definedName>
    <definedName name="__ben10" localSheetId="0">#REF!</definedName>
    <definedName name="__ben10" localSheetId="3">#REF!</definedName>
    <definedName name="__ben10">#REF!</definedName>
    <definedName name="__ben15" localSheetId="2">#REF!</definedName>
    <definedName name="__ben15" localSheetId="0">#REF!</definedName>
    <definedName name="__ben15" localSheetId="3">#REF!</definedName>
    <definedName name="__ben15">#REF!</definedName>
    <definedName name="__BEN2" localSheetId="5">#REF!</definedName>
    <definedName name="__BEN2" localSheetId="18">#REF!</definedName>
    <definedName name="__BEN2" localSheetId="15">#REF!</definedName>
    <definedName name="__BEN2">#REF!</definedName>
    <definedName name="__ben20" localSheetId="2">#REF!</definedName>
    <definedName name="__ben20" localSheetId="0">#REF!</definedName>
    <definedName name="__ben20" localSheetId="18">#REF!</definedName>
    <definedName name="__ben20" localSheetId="3">#REF!</definedName>
    <definedName name="__ben20">#REF!</definedName>
    <definedName name="__ben25" localSheetId="2">#REF!</definedName>
    <definedName name="__ben25" localSheetId="0">#REF!</definedName>
    <definedName name="__ben25" localSheetId="18">#REF!</definedName>
    <definedName name="__ben25" localSheetId="3">#REF!</definedName>
    <definedName name="__ben25">#REF!</definedName>
    <definedName name="__BEN3" localSheetId="2">#REF!</definedName>
    <definedName name="__BEN3" localSheetId="0">#REF!</definedName>
    <definedName name="__BEN3" localSheetId="18">#REF!</definedName>
    <definedName name="__BEN3" localSheetId="3">#REF!</definedName>
    <definedName name="__BEN3">#REF!</definedName>
    <definedName name="__BEN4" localSheetId="2">#REF!</definedName>
    <definedName name="__BEN4" localSheetId="0">#REF!</definedName>
    <definedName name="__BEN4" localSheetId="3">#REF!</definedName>
    <definedName name="__BEN4">#REF!</definedName>
    <definedName name="__ben5" localSheetId="2">#REF!</definedName>
    <definedName name="__ben5" localSheetId="0">#REF!</definedName>
    <definedName name="__ben5" localSheetId="3">#REF!</definedName>
    <definedName name="__ben5">#REF!</definedName>
    <definedName name="__HJJ2">#REF!</definedName>
    <definedName name="__tu3" localSheetId="2">#REF!</definedName>
    <definedName name="__tu3" localSheetId="0">#REF!</definedName>
    <definedName name="__tu3" localSheetId="3">#REF!</definedName>
    <definedName name="__tu3">#REF!</definedName>
    <definedName name="_3FLE">#REF!</definedName>
    <definedName name="_6PRINT_AREA">#REF!</definedName>
    <definedName name="_ben1" localSheetId="2">#REF!</definedName>
    <definedName name="_ben1" localSheetId="0">#REF!</definedName>
    <definedName name="_ben1" localSheetId="3">#REF!</definedName>
    <definedName name="_ben1">#REF!</definedName>
    <definedName name="_ben10" localSheetId="2">#REF!</definedName>
    <definedName name="_ben10" localSheetId="0">#REF!</definedName>
    <definedName name="_ben10" localSheetId="3">#REF!</definedName>
    <definedName name="_ben10">#REF!</definedName>
    <definedName name="_ben15" localSheetId="2">#REF!</definedName>
    <definedName name="_ben15" localSheetId="0">#REF!</definedName>
    <definedName name="_ben15" localSheetId="3">#REF!</definedName>
    <definedName name="_ben15">#REF!</definedName>
    <definedName name="_BEN2" localSheetId="5">#REF!</definedName>
    <definedName name="_BEN2" localSheetId="18">#REF!</definedName>
    <definedName name="_BEN2" localSheetId="15">#REF!</definedName>
    <definedName name="_BEN2">#REF!</definedName>
    <definedName name="_ben20" localSheetId="2">#REF!</definedName>
    <definedName name="_ben20" localSheetId="0">#REF!</definedName>
    <definedName name="_ben20" localSheetId="18">#REF!</definedName>
    <definedName name="_ben20" localSheetId="3">#REF!</definedName>
    <definedName name="_ben20">#REF!</definedName>
    <definedName name="_ben21" localSheetId="2">#REF!</definedName>
    <definedName name="_ben21" localSheetId="0">#REF!</definedName>
    <definedName name="_ben21" localSheetId="18">#REF!</definedName>
    <definedName name="_ben21" localSheetId="3">#REF!</definedName>
    <definedName name="_ben21">#REF!</definedName>
    <definedName name="_ben25" localSheetId="2">#REF!</definedName>
    <definedName name="_ben25" localSheetId="0">#REF!</definedName>
    <definedName name="_ben25" localSheetId="18">#REF!</definedName>
    <definedName name="_ben25" localSheetId="3">#REF!</definedName>
    <definedName name="_ben25">#REF!</definedName>
    <definedName name="_ben29" localSheetId="2">#REF!</definedName>
    <definedName name="_ben29" localSheetId="0">#REF!</definedName>
    <definedName name="_ben29" localSheetId="3">#REF!</definedName>
    <definedName name="_ben29">#REF!</definedName>
    <definedName name="_BEN3" localSheetId="2">#REF!</definedName>
    <definedName name="_BEN3" localSheetId="0">#REF!</definedName>
    <definedName name="_BEN3" localSheetId="3">#REF!</definedName>
    <definedName name="_BEN3">#REF!</definedName>
    <definedName name="_ben30" localSheetId="2">#REF!</definedName>
    <definedName name="_ben30" localSheetId="0">#REF!</definedName>
    <definedName name="_ben30" localSheetId="3">#REF!</definedName>
    <definedName name="_ben30">#REF!</definedName>
    <definedName name="_BEN4" localSheetId="2">#REF!</definedName>
    <definedName name="_BEN4" localSheetId="0">#REF!</definedName>
    <definedName name="_BEN4" localSheetId="3">#REF!</definedName>
    <definedName name="_BEN4">#REF!</definedName>
    <definedName name="_ben5" localSheetId="2">#REF!</definedName>
    <definedName name="_ben5" localSheetId="0">#REF!</definedName>
    <definedName name="_ben5" localSheetId="3">#REF!</definedName>
    <definedName name="_ben5">#REF!</definedName>
    <definedName name="_ben52" localSheetId="2">#REF!</definedName>
    <definedName name="_ben52" localSheetId="0">#REF!</definedName>
    <definedName name="_ben52" localSheetId="3">#REF!</definedName>
    <definedName name="_ben52">#REF!</definedName>
    <definedName name="_d2" localSheetId="5" hidden="1">{"NORMAL",#N/A,FALSE,"02"}</definedName>
    <definedName name="_d2" localSheetId="18" hidden="1">{"NORMAL",#N/A,FALSE,"02"}</definedName>
    <definedName name="_d2" hidden="1">{"NORMAL",#N/A,FALSE,"02"}</definedName>
    <definedName name="_f" localSheetId="5" hidden="1">{"DECIMAL",#N/A,FALSE,"02"}</definedName>
    <definedName name="_f" localSheetId="18" hidden="1">{"DECIMAL",#N/A,FALSE,"02"}</definedName>
    <definedName name="_f" hidden="1">{"DECIMAL",#N/A,FALSE,"02"}</definedName>
    <definedName name="_Fill" localSheetId="2" hidden="1">#REF!</definedName>
    <definedName name="_Fill" localSheetId="0" hidden="1">#REF!</definedName>
    <definedName name="_Fill" localSheetId="4" hidden="1">#REF!</definedName>
    <definedName name="_Fill" localSheetId="5" hidden="1">#REF!</definedName>
    <definedName name="_Fill" localSheetId="12" hidden="1">#REF!</definedName>
    <definedName name="_Fill" localSheetId="3" hidden="1">#REF!</definedName>
    <definedName name="_Fill" hidden="1">#REF!</definedName>
    <definedName name="_xlnm._FilterDatabase" localSheetId="2" hidden="1">'01'!$A$8:$V$218</definedName>
    <definedName name="_xlnm._FilterDatabase" localSheetId="0" hidden="1">'AING SALV4140 03'!$A$8:$F$219</definedName>
    <definedName name="_xlnm._FilterDatabase" localSheetId="11" hidden="1">'APU 09.24'!$A$10:$L$89</definedName>
    <definedName name="_xlnm._FilterDatabase" localSheetId="9" hidden="1">Cotizaciones!$B$2:$F$495</definedName>
    <definedName name="_GoBack" localSheetId="2">'01'!#REF!</definedName>
    <definedName name="_GoBack" localSheetId="0">'AING SALV4140 03'!#REF!</definedName>
    <definedName name="_GoBack" localSheetId="3">Tareas!#REF!</definedName>
    <definedName name="_HJJ2" localSheetId="5">#REF!</definedName>
    <definedName name="_HJJ2" localSheetId="18">#REF!</definedName>
    <definedName name="_HJJ2">#REF!</definedName>
    <definedName name="_Key1" localSheetId="5" hidden="1">#REF!</definedName>
    <definedName name="_Key1" hidden="1">#REF!</definedName>
    <definedName name="_KH170">#REF!</definedName>
    <definedName name="_MatMult_A" localSheetId="2" hidden="1">#REF!</definedName>
    <definedName name="_MatMult_A" localSheetId="0" hidden="1">#REF!</definedName>
    <definedName name="_MatMult_A" localSheetId="4" hidden="1">#REF!</definedName>
    <definedName name="_MatMult_A" localSheetId="12" hidden="1">#REF!</definedName>
    <definedName name="_MatMult_A" localSheetId="3" hidden="1">#REF!</definedName>
    <definedName name="_MatMult_A" hidden="1">#REF!</definedName>
    <definedName name="_Order1">255</definedName>
    <definedName name="_Order2">255</definedName>
    <definedName name="_prc6">#REF!</definedName>
    <definedName name="_R">#REF!</definedName>
    <definedName name="_RAN1">#REF!</definedName>
    <definedName name="_RAN2">#N/A</definedName>
    <definedName name="_RAN3">#REF!</definedName>
    <definedName name="_Sort" hidden="1">#REF!</definedName>
    <definedName name="_to11">#REF!</definedName>
    <definedName name="_to12">#REF!</definedName>
    <definedName name="_to2">#REF!</definedName>
    <definedName name="_to3">#REF!</definedName>
    <definedName name="_to30">#REF!</definedName>
    <definedName name="_Toc502326724" localSheetId="2">'01'!#REF!</definedName>
    <definedName name="_Toc502326724" localSheetId="0">'AING SALV4140 03'!#REF!</definedName>
    <definedName name="_Toc502326724" localSheetId="3">Tareas!#REF!</definedName>
    <definedName name="_Toc502326725" localSheetId="2">'01'!#REF!</definedName>
    <definedName name="_Toc502326725" localSheetId="0">'AING SALV4140 03'!#REF!</definedName>
    <definedName name="_Toc502326725" localSheetId="3">Tareas!#REF!</definedName>
    <definedName name="_Toc502326726" localSheetId="2">'01'!#REF!</definedName>
    <definedName name="_Toc502326726" localSheetId="0">'AING SALV4140 03'!#REF!</definedName>
    <definedName name="_Toc502326726" localSheetId="3">Tareas!#REF!</definedName>
    <definedName name="_tu3" localSheetId="2">#REF!</definedName>
    <definedName name="_tu3" localSheetId="0">#REF!</definedName>
    <definedName name="_tu3" localSheetId="18">#REF!</definedName>
    <definedName name="_tu3" localSheetId="15">#REF!</definedName>
    <definedName name="_tu3" localSheetId="3">#REF!</definedName>
    <definedName name="_tu3">#REF!</definedName>
    <definedName name="_VS2">#REF!</definedName>
    <definedName name="_VS3">#REF!</definedName>
    <definedName name="a">#REF!</definedName>
    <definedName name="A.1">#REF!</definedName>
    <definedName name="A.2">#REF!</definedName>
    <definedName name="A_impresión_IM" localSheetId="2">#REF!</definedName>
    <definedName name="A_impresión_IM" localSheetId="0">#REF!</definedName>
    <definedName name="A_impresión_IM" localSheetId="3">#REF!</definedName>
    <definedName name="A_impresión_IM">#REF!</definedName>
    <definedName name="ABA15A">#REF!</definedName>
    <definedName name="ABA15B">#REF!</definedName>
    <definedName name="ABELSON">#REF!</definedName>
    <definedName name="acdul">#REF!</definedName>
    <definedName name="Acero">#REF!</definedName>
    <definedName name="acero1200" localSheetId="5">#REF!</definedName>
    <definedName name="acero1200" localSheetId="18">#REF!</definedName>
    <definedName name="acero1200" localSheetId="15">#REF!</definedName>
    <definedName name="acero1200">#REF!</definedName>
    <definedName name="acesp" localSheetId="18">#REF!</definedName>
    <definedName name="acesp">#REF!</definedName>
    <definedName name="acindec">#REF!</definedName>
    <definedName name="aCLaccesoreadec">#REF!</definedName>
    <definedName name="aCLacondct">#REF!</definedName>
    <definedName name="aCLalcantarilla">#REF!</definedName>
    <definedName name="aCLalteo">#REF!</definedName>
    <definedName name="aCLalteoreadec">#REF!</definedName>
    <definedName name="aclam">#REF!</definedName>
    <definedName name="aCLApartido">#REF!</definedName>
    <definedName name="aCLapoyos">#REF!</definedName>
    <definedName name="aCLbacheo">#REF!</definedName>
    <definedName name="aCLbacheosan">#REF!</definedName>
    <definedName name="aCLbandason">#REF!</definedName>
    <definedName name="aCLbanquina">#REF!</definedName>
    <definedName name="aCLbaranda">#REF!</definedName>
    <definedName name="aCLbase">#REF!</definedName>
    <definedName name="aCLcabezales">#REF!</definedName>
    <definedName name="aCLcalzadas">#REF!</definedName>
    <definedName name="aCLcarpeta">#REF!</definedName>
    <definedName name="aCLcarpetariego">#REF!</definedName>
    <definedName name="aCLCCura">#REF!</definedName>
    <definedName name="aCLCCurareadec">#REF!</definedName>
    <definedName name="aCLciclovía">#REF!</definedName>
    <definedName name="aCLciclovíareadec">#REF!</definedName>
    <definedName name="aCLcolumnas">#REF!</definedName>
    <definedName name="aCLcortepasto">#REF!</definedName>
    <definedName name="aCLdemolicion">#REF!</definedName>
    <definedName name="aCLdesembanque">#REF!</definedName>
    <definedName name="aCLdren">#REF!</definedName>
    <definedName name="aCLescarifbanq">#REF!</definedName>
    <definedName name="aCLescarificado">#REF!</definedName>
    <definedName name="aCLestribos">#REF!</definedName>
    <definedName name="aCLexcavacion">#REF!</definedName>
    <definedName name="aCLexcavacionreadec">#REF!</definedName>
    <definedName name="aCLgaviones">#REF!</definedName>
    <definedName name="aCLhorC">#REF!</definedName>
    <definedName name="aCLhormigon">#REF!</definedName>
    <definedName name="aCLimprimacion">#REF!</definedName>
    <definedName name="aCLimprimacionreadec">#REF!</definedName>
    <definedName name="aCLimprimrefor">#REF!</definedName>
    <definedName name="aCLinvernal">#REF!</definedName>
    <definedName name="aCLjunta">#REF!</definedName>
    <definedName name="aCLjuntadil">#REF!</definedName>
    <definedName name="aCLjuntas">#REF!</definedName>
    <definedName name="aCLlimpieza">#REF!</definedName>
    <definedName name="aCLlimpseñales">#REF!</definedName>
    <definedName name="aCLlimptransp">#REF!</definedName>
    <definedName name="aCLlosa">#REF!</definedName>
    <definedName name="aCLmicroaglom">#REF!</definedName>
    <definedName name="aCLmicroaglomreadec">#REF!</definedName>
    <definedName name="aCLmicroreadec">#REF!</definedName>
    <definedName name="aCLmontaje">#REF!</definedName>
    <definedName name="aCLpasamano">#REF!</definedName>
    <definedName name="aCLperfilado">#REF!</definedName>
    <definedName name="aCLpilotes">#REF!</definedName>
    <definedName name="aCLpintado">#REF!</definedName>
    <definedName name="aCLpretiles">#REF!</definedName>
    <definedName name="aCLpretilesreadec">#REF!</definedName>
    <definedName name="aCLprolongacion">#REF!</definedName>
    <definedName name="aCLproteccion">#REF!</definedName>
    <definedName name="aCLrelleno">#REF!</definedName>
    <definedName name="aCLrellenoreadec">#REF!</definedName>
    <definedName name="aCLrep8026">#REF!</definedName>
    <definedName name="aCLrep8026readec">#REF!</definedName>
    <definedName name="aCLrepalc">#REF!</definedName>
    <definedName name="aCLrestdrenaje">#REF!</definedName>
    <definedName name="aCLretderrumbe">#REF!</definedName>
    <definedName name="aCLretrecolbaranda">#REF!</definedName>
    <definedName name="aCLRHermoso">#REF!</definedName>
    <definedName name="aCLRHermosoreadec">#REF!</definedName>
    <definedName name="aCLriego">#REF!</definedName>
    <definedName name="aCLrotondas">#REF!</definedName>
    <definedName name="aCLsandef">#REF!</definedName>
    <definedName name="aCLsellado">#REF!</definedName>
    <definedName name="aCLsenda">#REF!</definedName>
    <definedName name="aCLsendareadec">#REF!</definedName>
    <definedName name="aCLseñalamiento">#REF!</definedName>
    <definedName name="aCLseñalextrusion">#REF!</definedName>
    <definedName name="aCLseñalizacion">#REF!</definedName>
    <definedName name="aCLseñalvertreadec">#REF!</definedName>
    <definedName name="aCLsistdren1071">#REF!</definedName>
    <definedName name="aCLsubbase">#REF!</definedName>
    <definedName name="aCLterraplen">#REF!</definedName>
    <definedName name="aCLterrapreadec">#REF!</definedName>
    <definedName name="aCLterrsincomp">#REF!</definedName>
    <definedName name="aCLtravesia">#REF!</definedName>
    <definedName name="aCLvigas">#REF!</definedName>
    <definedName name="ACUEDUCTO_A_LOS_FRENTONES_Y_H._CAMPO">#REF!</definedName>
    <definedName name="ACUEDUCTO_A_PAMPA_DEL_INDIO">#REF!</definedName>
    <definedName name="ACUEDUCTO_A_S._SYLVINA_Y_v._BERTHET">#REF!</definedName>
    <definedName name="ACUMULADA">#REF!</definedName>
    <definedName name="ACUMULADO">#REF!</definedName>
    <definedName name="Adecuación" localSheetId="0">L2C1:L372C15</definedName>
    <definedName name="Adecuación" localSheetId="16">L2C1:L372C15</definedName>
    <definedName name="Adecuación" localSheetId="5">L2C1:L372C15</definedName>
    <definedName name="Adecuación" localSheetId="18">L2C1:L372C15</definedName>
    <definedName name="Adecuación">L2C1:L372C15</definedName>
    <definedName name="ADICT" localSheetId="5">#REF!</definedName>
    <definedName name="ADICT" localSheetId="18">#REF!</definedName>
    <definedName name="ADICT">#REF!</definedName>
    <definedName name="ADICT1" localSheetId="5">#REF!</definedName>
    <definedName name="ADICT1">#REF!</definedName>
    <definedName name="aeir" localSheetId="5">#REF!</definedName>
    <definedName name="aeir">#REF!</definedName>
    <definedName name="AIML" localSheetId="4">#REF!</definedName>
    <definedName name="AIML" localSheetId="18">#REF!</definedName>
    <definedName name="AIML" localSheetId="15">#REF!</definedName>
    <definedName name="AIML" localSheetId="12">#REF!</definedName>
    <definedName name="AIML">#REF!</definedName>
    <definedName name="AISS" localSheetId="4">#REF!</definedName>
    <definedName name="AISS" localSheetId="18">#REF!</definedName>
    <definedName name="AISS" localSheetId="15">#REF!</definedName>
    <definedName name="AISS" localSheetId="12">#REF!</definedName>
    <definedName name="AISS">#REF!</definedName>
    <definedName name="ALFA">#REF!</definedName>
    <definedName name="alfa_s">#REF!</definedName>
    <definedName name="alfa_s_c">#REF!</definedName>
    <definedName name="ALTR" localSheetId="4">#REF!</definedName>
    <definedName name="ALTR" localSheetId="18">#REF!</definedName>
    <definedName name="ALTR" localSheetId="15">#REF!</definedName>
    <definedName name="ALTR" localSheetId="12">#REF!</definedName>
    <definedName name="ALTR">#REF!</definedName>
    <definedName name="am1cañodren">#REF!</definedName>
    <definedName name="am1cemento">#REF!</definedName>
    <definedName name="am1hierro">#REF!</definedName>
    <definedName name="aMacceso">#REF!</definedName>
    <definedName name="aMaccesoreadec">#REF!</definedName>
    <definedName name="aMacondct">#REF!</definedName>
    <definedName name="aMalcantarilla">#REF!</definedName>
    <definedName name="aMalteo">#REF!</definedName>
    <definedName name="aMalteoreadec">#REF!</definedName>
    <definedName name="aMApartido">#REF!</definedName>
    <definedName name="aMapoyos">#REF!</definedName>
    <definedName name="aMbacheo">#REF!</definedName>
    <definedName name="aMbacheosan">#REF!</definedName>
    <definedName name="aMbandason">#REF!</definedName>
    <definedName name="aMbanquina">#REF!</definedName>
    <definedName name="aMbaranda">#REF!</definedName>
    <definedName name="aMbase">#REF!</definedName>
    <definedName name="aMcabezales">#REF!</definedName>
    <definedName name="aMcalzadas">#REF!</definedName>
    <definedName name="aMcarpeta">#REF!</definedName>
    <definedName name="aMcarpetariego">#REF!</definedName>
    <definedName name="aMCCura">#REF!</definedName>
    <definedName name="aMCCurareadec">#REF!</definedName>
    <definedName name="aMciclovía">#REF!</definedName>
    <definedName name="aMciclovíareadec">#REF!</definedName>
    <definedName name="aMcolumnas">#REF!</definedName>
    <definedName name="aMcortepasto">#REF!</definedName>
    <definedName name="aMdemolicion">#REF!</definedName>
    <definedName name="aMdesembanque">#REF!</definedName>
    <definedName name="aMdren">#REF!</definedName>
    <definedName name="AMEA" localSheetId="4">#REF!</definedName>
    <definedName name="AMEA" localSheetId="18">#REF!</definedName>
    <definedName name="AMEA" localSheetId="15">#REF!</definedName>
    <definedName name="AMEA" localSheetId="12">#REF!</definedName>
    <definedName name="AMEA">#REF!</definedName>
    <definedName name="aMEacceso">#REF!</definedName>
    <definedName name="aMEaccesoreadec">#REF!</definedName>
    <definedName name="aMEacondct">#REF!</definedName>
    <definedName name="aMEalcantarilla">#REF!</definedName>
    <definedName name="aMEalteo">#REF!</definedName>
    <definedName name="aMEalteoreadec">#REF!</definedName>
    <definedName name="aMEApartido">#REF!</definedName>
    <definedName name="aMEapoyos">#REF!</definedName>
    <definedName name="aMEbacheo">#REF!</definedName>
    <definedName name="aMEbacheosan">#REF!</definedName>
    <definedName name="aMEbandason">#REF!</definedName>
    <definedName name="aMEbanquina">#REF!</definedName>
    <definedName name="aMEbaranda">#REF!</definedName>
    <definedName name="AMEC" localSheetId="5">#REF!</definedName>
    <definedName name="AMEC" localSheetId="18">#REF!</definedName>
    <definedName name="AMEC" localSheetId="15">#REF!</definedName>
    <definedName name="AMEC">#REF!</definedName>
    <definedName name="aMEcabezales" localSheetId="18">#REF!</definedName>
    <definedName name="aMEcabezales">#REF!</definedName>
    <definedName name="aMEcalzadas">#REF!</definedName>
    <definedName name="aMEcarpeta">#REF!</definedName>
    <definedName name="aMEcarpetariego">#REF!</definedName>
    <definedName name="aMECCura">#REF!</definedName>
    <definedName name="aMECCurareadec">#REF!</definedName>
    <definedName name="aMEciclovía">#REF!</definedName>
    <definedName name="aMEciclovíareadec">#REF!</definedName>
    <definedName name="AMECL" localSheetId="5">#REF!</definedName>
    <definedName name="AMECL" localSheetId="18">#REF!</definedName>
    <definedName name="AMECL" localSheetId="15">#REF!</definedName>
    <definedName name="AMECL">#REF!</definedName>
    <definedName name="aMEcolumnas" localSheetId="18">#REF!</definedName>
    <definedName name="aMEcolumnas">#REF!</definedName>
    <definedName name="aMEcortepasto">#REF!</definedName>
    <definedName name="AMECT" localSheetId="5">#REF!</definedName>
    <definedName name="AMECT" localSheetId="18">#REF!</definedName>
    <definedName name="AMECT" localSheetId="15">#REF!</definedName>
    <definedName name="AMECT">#REF!</definedName>
    <definedName name="aMEdemolicion" localSheetId="18">#REF!</definedName>
    <definedName name="aMEdemolicion">#REF!</definedName>
    <definedName name="aMEdesembanque">#REF!</definedName>
    <definedName name="aMEdren">#REF!</definedName>
    <definedName name="AMEE" localSheetId="5">#REF!</definedName>
    <definedName name="AMEE" localSheetId="18">#REF!</definedName>
    <definedName name="AMEE" localSheetId="15">#REF!</definedName>
    <definedName name="AMEE">#REF!</definedName>
    <definedName name="aMEescarifbanq" localSheetId="18">#REF!</definedName>
    <definedName name="aMEescarifbanq">#REF!</definedName>
    <definedName name="aMEescarificado">#REF!</definedName>
    <definedName name="aMEescarificadoreadec">#REF!</definedName>
    <definedName name="aMEestribos">#REF!</definedName>
    <definedName name="aMEexcavacion">#REF!</definedName>
    <definedName name="aMEexcavacionreadec">#REF!</definedName>
    <definedName name="AMEF" localSheetId="5">#REF!</definedName>
    <definedName name="AMEF" localSheetId="18">#REF!</definedName>
    <definedName name="AMEF" localSheetId="15">#REF!</definedName>
    <definedName name="AMEF">#REF!</definedName>
    <definedName name="AMEG" localSheetId="5">#REF!</definedName>
    <definedName name="AMEG" localSheetId="18">#REF!</definedName>
    <definedName name="AMEG" localSheetId="15">#REF!</definedName>
    <definedName name="AMEG">#REF!</definedName>
    <definedName name="aMEgaviones" localSheetId="18">#REF!</definedName>
    <definedName name="aMEgaviones">#REF!</definedName>
    <definedName name="aMEHermosoreadec">#REF!</definedName>
    <definedName name="aMEhorC">#REF!</definedName>
    <definedName name="aMEhormigon">#REF!</definedName>
    <definedName name="aMEimprimacion">#REF!</definedName>
    <definedName name="aMEimprimacionreadec">#REF!</definedName>
    <definedName name="aMEimprimrefor">#REF!</definedName>
    <definedName name="aMEinvernal">#REF!</definedName>
    <definedName name="aMEjunta">#REF!</definedName>
    <definedName name="aMEjuntadil">#REF!</definedName>
    <definedName name="aMEjuntas">#REF!</definedName>
    <definedName name="aMElimpieza">#REF!</definedName>
    <definedName name="aMElimpseñales">#REF!</definedName>
    <definedName name="aMElimptransp">#REF!</definedName>
    <definedName name="aMElosa">#REF!</definedName>
    <definedName name="aMEmicroaglom">#REF!</definedName>
    <definedName name="aMEmicroaglomreadec">#REF!</definedName>
    <definedName name="aMEmicroreadec">#REF!</definedName>
    <definedName name="aMEmontaje">#REF!</definedName>
    <definedName name="aMEpasamano">#REF!</definedName>
    <definedName name="aMEperfilado">#REF!</definedName>
    <definedName name="aMEpilotes">#REF!</definedName>
    <definedName name="aMEpintado">#REF!</definedName>
    <definedName name="aMEpretiles">#REF!</definedName>
    <definedName name="aMEpretilesreadec">#REF!</definedName>
    <definedName name="aMEprolongacion">#REF!</definedName>
    <definedName name="aMEprolongacionreadec">#REF!</definedName>
    <definedName name="aMEproteccion">#REF!</definedName>
    <definedName name="aMErelleno">#REF!</definedName>
    <definedName name="aMErellenoreadec">#REF!</definedName>
    <definedName name="aMErep8026">#REF!</definedName>
    <definedName name="aMErep8026readec">#REF!</definedName>
    <definedName name="aMErepalc">#REF!</definedName>
    <definedName name="aMErestdrenaje">#REF!</definedName>
    <definedName name="aMErestdrenajereadec">#REF!</definedName>
    <definedName name="aMEretderrumbe">#REF!</definedName>
    <definedName name="aMEretrecolbaranda">#REF!</definedName>
    <definedName name="aMERHermoso">#REF!</definedName>
    <definedName name="aMEriego">#REF!</definedName>
    <definedName name="aMErotondas">#REF!</definedName>
    <definedName name="aMEsandef">#REF!</definedName>
    <definedName name="aMescarifbanq">#REF!</definedName>
    <definedName name="aMescarificado">#REF!</definedName>
    <definedName name="aMEsellado">#REF!</definedName>
    <definedName name="aMEsenda">#REF!</definedName>
    <definedName name="aMEsendareadec">#REF!</definedName>
    <definedName name="aMEseñalamiento">#REF!</definedName>
    <definedName name="aMEseñalamientoreadec">#REF!</definedName>
    <definedName name="aMEseñalextrusion">#REF!</definedName>
    <definedName name="aMEseñalextrusionreadec">#REF!</definedName>
    <definedName name="aMEseñalizacion">#REF!</definedName>
    <definedName name="aMEseñalizacionreadec">#REF!</definedName>
    <definedName name="aMEseñalvertreadec">#REF!</definedName>
    <definedName name="aMEsistdren1071">#REF!</definedName>
    <definedName name="aMestribos">#REF!</definedName>
    <definedName name="aMEsubbase">#REF!</definedName>
    <definedName name="aMEterraplen">#REF!</definedName>
    <definedName name="aMEterrapreadec">#REF!</definedName>
    <definedName name="aMEterrsincomp">#REF!</definedName>
    <definedName name="aMEtravesia">#REF!</definedName>
    <definedName name="aMEvigas">#REF!</definedName>
    <definedName name="aMexcavacion">#REF!</definedName>
    <definedName name="aMexcavacionreadec">#REF!</definedName>
    <definedName name="aMgaviones">#REF!</definedName>
    <definedName name="aMHermosoreadec">#REF!</definedName>
    <definedName name="aMhorC">#REF!</definedName>
    <definedName name="aMhormigon">#REF!</definedName>
    <definedName name="aMimprimacion">#REF!</definedName>
    <definedName name="aMimprimacionreadec">#REF!</definedName>
    <definedName name="aMimprimrefor">#REF!</definedName>
    <definedName name="aMinvernal">#REF!</definedName>
    <definedName name="aMjunta">#REF!</definedName>
    <definedName name="aMjuntadil">#REF!</definedName>
    <definedName name="aMjuntas">#REF!</definedName>
    <definedName name="aMlimpieza">#REF!</definedName>
    <definedName name="aMlimpseñales">#REF!</definedName>
    <definedName name="aMlimptransp">#REF!</definedName>
    <definedName name="aMlosa">#REF!</definedName>
    <definedName name="aMmatbase">#REF!</definedName>
    <definedName name="aMmicroaglem">#REF!</definedName>
    <definedName name="aMmicroaglom">#REF!</definedName>
    <definedName name="aMmicroaglomreadec">#REF!</definedName>
    <definedName name="aMmicroreadec">#REF!</definedName>
    <definedName name="aMmontaje">#REF!</definedName>
    <definedName name="aMOacceso">#REF!</definedName>
    <definedName name="aMOaccesoreadec">#REF!</definedName>
    <definedName name="aMOacondct">#REF!</definedName>
    <definedName name="aMOalcantarilla">#REF!</definedName>
    <definedName name="aMOalcantarillareadec">#REF!</definedName>
    <definedName name="aMOalteo">#REF!</definedName>
    <definedName name="aMOalteoreadec">#REF!</definedName>
    <definedName name="aMOApartido">#REF!</definedName>
    <definedName name="aMOapoyos">#REF!</definedName>
    <definedName name="aMObacheo">#REF!</definedName>
    <definedName name="aMObacheosan">#REF!</definedName>
    <definedName name="aMObandason">#REF!</definedName>
    <definedName name="aMObanquina">#REF!</definedName>
    <definedName name="aMObaranda">#REF!</definedName>
    <definedName name="aMObarandareadec">#REF!</definedName>
    <definedName name="aMObase">#REF!</definedName>
    <definedName name="aMOcabezales">#REF!</definedName>
    <definedName name="aMOcalzadahorm">#REF!</definedName>
    <definedName name="aMOcalzadas">#REF!</definedName>
    <definedName name="aMOcarpeta">#REF!</definedName>
    <definedName name="aMOcarpetariego">#REF!</definedName>
    <definedName name="aMOCCura">#REF!</definedName>
    <definedName name="aMOCCurareadec">#REF!</definedName>
    <definedName name="aMOciclovía">#REF!</definedName>
    <definedName name="aMOciclovíareadec">#REF!</definedName>
    <definedName name="aMOcolumnas">#REF!</definedName>
    <definedName name="aMOcortepasto">#REF!</definedName>
    <definedName name="aMOdemolicion">#REF!</definedName>
    <definedName name="aMOdesembanque">#REF!</definedName>
    <definedName name="aMOdren">#REF!</definedName>
    <definedName name="aMOescarifbanq">#REF!</definedName>
    <definedName name="aMOescarificado">#REF!</definedName>
    <definedName name="aMOestribos">#REF!</definedName>
    <definedName name="aMOexcavacion">#REF!</definedName>
    <definedName name="aMOexcavacionreadec">#REF!</definedName>
    <definedName name="aMOgaviones">#REF!</definedName>
    <definedName name="aMOHermosoreadec">#REF!</definedName>
    <definedName name="aMOhorC">#REF!</definedName>
    <definedName name="aMOhormigon">#REF!</definedName>
    <definedName name="aMOimprimacion">#REF!</definedName>
    <definedName name="aMOimprimacionreadec">#REF!</definedName>
    <definedName name="aMOimprimrefor">#REF!</definedName>
    <definedName name="aMOinvernal">#REF!</definedName>
    <definedName name="aMOjunta">#REF!</definedName>
    <definedName name="aMOjuntadil">#REF!</definedName>
    <definedName name="aMOjuntas">#REF!</definedName>
    <definedName name="aMOlimpieza">#REF!</definedName>
    <definedName name="aMOlimpseñales">#REF!</definedName>
    <definedName name="aMOlimptransp">#REF!</definedName>
    <definedName name="aMOlosa">#REF!</definedName>
    <definedName name="aMOmatbase">#REF!</definedName>
    <definedName name="aMOmicroaglom">#REF!</definedName>
    <definedName name="aMOmicroaglomreadec">#REF!</definedName>
    <definedName name="aMOmicroreadec">#REF!</definedName>
    <definedName name="aMOmontaje">#REF!</definedName>
    <definedName name="aMOpasamano">#REF!</definedName>
    <definedName name="aMOperfilado">#REF!</definedName>
    <definedName name="aMOpintado">#REF!</definedName>
    <definedName name="aMOpretiles">#REF!</definedName>
    <definedName name="aMOpretilesreadec">#REF!</definedName>
    <definedName name="aMOprolongacion">#REF!</definedName>
    <definedName name="aMOprolongacionreadec">#REF!</definedName>
    <definedName name="aMOproteccion">#REF!</definedName>
    <definedName name="aMOrelleno">#REF!</definedName>
    <definedName name="aMOrellenoreadec">#REF!</definedName>
    <definedName name="aMOrep8026">#REF!</definedName>
    <definedName name="aMOrep8026readec">#REF!</definedName>
    <definedName name="aMOrepalc">#REF!</definedName>
    <definedName name="aMOrestdrenaje">#REF!</definedName>
    <definedName name="aMOrestdrenajereadec">#REF!</definedName>
    <definedName name="aMOretderrumbe">#REF!</definedName>
    <definedName name="aMOretrecolbaranda">#REF!</definedName>
    <definedName name="aMOrexcavacion">#REF!</definedName>
    <definedName name="aMORHermoso">#REF!</definedName>
    <definedName name="aMOriego">#REF!</definedName>
    <definedName name="aMOrotondas">#REF!</definedName>
    <definedName name="aMOsandef">#REF!</definedName>
    <definedName name="aMOsellado">#REF!</definedName>
    <definedName name="aMOsenda">#REF!</definedName>
    <definedName name="aMOsendareadec">#REF!</definedName>
    <definedName name="aMOseñalamiento">#REF!</definedName>
    <definedName name="aMOseñalamientoreadec">#REF!</definedName>
    <definedName name="aMOseñalextrusion">#REF!</definedName>
    <definedName name="aMOseñalextrusionreadec">#REF!</definedName>
    <definedName name="aMOseñalizacion">#REF!</definedName>
    <definedName name="aMOseñalizacionreadec">#REF!</definedName>
    <definedName name="aMOseñalvertreadec">#REF!</definedName>
    <definedName name="aMOsistdren1071">#REF!</definedName>
    <definedName name="aMOsubbase">#REF!</definedName>
    <definedName name="aMOterraplen">#REF!</definedName>
    <definedName name="aMOterrapreadec">#REF!</definedName>
    <definedName name="aMOterrsincomp">#REF!</definedName>
    <definedName name="aMOtravesia">#REF!</definedName>
    <definedName name="aMOvigas">#REF!</definedName>
    <definedName name="aMpasamano">#REF!</definedName>
    <definedName name="aMperfilado">#REF!</definedName>
    <definedName name="aMpilotes">#REF!</definedName>
    <definedName name="aMpintado">#REF!</definedName>
    <definedName name="aMpretiles">#REF!</definedName>
    <definedName name="aMpretilesreadec">#REF!</definedName>
    <definedName name="aMprolongacion">#REF!</definedName>
    <definedName name="aMprolongacionreadec">#REF!</definedName>
    <definedName name="aMproteccion">#REF!</definedName>
    <definedName name="aMrelleno">#REF!</definedName>
    <definedName name="aMrellenoreadec">#REF!</definedName>
    <definedName name="aMrep8026">#REF!</definedName>
    <definedName name="aMrep8026readec">#REF!</definedName>
    <definedName name="aMrepalc">#REF!</definedName>
    <definedName name="aMrestdrenaje">#REF!</definedName>
    <definedName name="aMrestdrenajereadec">#REF!</definedName>
    <definedName name="aMretderrumbe">#REF!</definedName>
    <definedName name="aMretrecolbaranda">#REF!</definedName>
    <definedName name="aMRHermoso">#REF!</definedName>
    <definedName name="aMriego">#REF!</definedName>
    <definedName name="aMrotondas">#REF!</definedName>
    <definedName name="aMsandef">#REF!</definedName>
    <definedName name="aMsellado">#REF!</definedName>
    <definedName name="aMsenda">#REF!</definedName>
    <definedName name="aMsendareadec">#REF!</definedName>
    <definedName name="aMseñalamiento">#REF!</definedName>
    <definedName name="aMseñalamientoreadec">#REF!</definedName>
    <definedName name="aMseñalextrusion">#REF!</definedName>
    <definedName name="aMseñalextrusionreadec">#REF!</definedName>
    <definedName name="aMseñalizacion">#REF!</definedName>
    <definedName name="aMseñalizacionreadec">#REF!</definedName>
    <definedName name="aMseñalvertreadec">#REF!</definedName>
    <definedName name="aMsistdren1071">#REF!</definedName>
    <definedName name="aMsubbase">#REF!</definedName>
    <definedName name="AMTE" localSheetId="5">#REF!</definedName>
    <definedName name="AMTE" localSheetId="18">#REF!</definedName>
    <definedName name="AMTE" localSheetId="15">#REF!</definedName>
    <definedName name="AMTE">#REF!</definedName>
    <definedName name="aMterraplen" localSheetId="18">#REF!</definedName>
    <definedName name="aMterraplen">#REF!</definedName>
    <definedName name="aMterrapreadec">#REF!</definedName>
    <definedName name="aMterrsincomp">#REF!</definedName>
    <definedName name="aMtravesia">#REF!</definedName>
    <definedName name="aMvigas">#REF!</definedName>
    <definedName name="Ana_Cent_Com" localSheetId="5">#REF!</definedName>
    <definedName name="Ana_Cent_Com" localSheetId="18">#REF!</definedName>
    <definedName name="Ana_Cent_Com" localSheetId="15">#REF!</definedName>
    <definedName name="Ana_Cent_Com">#REF!</definedName>
    <definedName name="Ana_Ed_3" localSheetId="5">#REF!</definedName>
    <definedName name="Ana_Ed_3" localSheetId="18">#REF!</definedName>
    <definedName name="Ana_Ed_3" localSheetId="15">#REF!</definedName>
    <definedName name="Ana_Ed_3">#REF!</definedName>
    <definedName name="Ana_Edi_1" localSheetId="5">#REF!</definedName>
    <definedName name="Ana_Edi_1" localSheetId="18">#REF!</definedName>
    <definedName name="Ana_Edi_1" localSheetId="15">#REF!</definedName>
    <definedName name="Ana_Edi_1">#REF!</definedName>
    <definedName name="Ana_Edi_2" localSheetId="5">#REF!</definedName>
    <definedName name="Ana_Edi_2" localSheetId="18">#REF!</definedName>
    <definedName name="Ana_Edi_2" localSheetId="15">#REF!</definedName>
    <definedName name="Ana_Edi_2">#REF!</definedName>
    <definedName name="Ana_Edi_2_Var" localSheetId="5">#REF!</definedName>
    <definedName name="Ana_Edi_2_Var" localSheetId="18">#REF!</definedName>
    <definedName name="Ana_Edi_2_Var" localSheetId="15">#REF!</definedName>
    <definedName name="Ana_Edi_2_Var">#REF!</definedName>
    <definedName name="Ana_Edi_3_Var" localSheetId="5">#REF!</definedName>
    <definedName name="Ana_Edi_3_Var" localSheetId="18">#REF!</definedName>
    <definedName name="Ana_Edi_3_Var" localSheetId="15">#REF!</definedName>
    <definedName name="Ana_Edi_3_Var">#REF!</definedName>
    <definedName name="Ana_OEX" localSheetId="5">#REF!</definedName>
    <definedName name="Ana_OEX" localSheetId="18">#REF!</definedName>
    <definedName name="Ana_OEX" localSheetId="15">#REF!</definedName>
    <definedName name="Ana_OEX">#REF!</definedName>
    <definedName name="Ana_Resumen" localSheetId="5">#REF!</definedName>
    <definedName name="Ana_Resumen" localSheetId="18">#REF!</definedName>
    <definedName name="Ana_Resumen" localSheetId="15">#REF!</definedName>
    <definedName name="Ana_Resumen">#REF!</definedName>
    <definedName name="ANAE1" localSheetId="4">#REF!</definedName>
    <definedName name="ANAE1" localSheetId="18">#REF!</definedName>
    <definedName name="ANAE1" localSheetId="12">#REF!</definedName>
    <definedName name="ANAE1">#REF!</definedName>
    <definedName name="analiprecios" localSheetId="2">#REF!</definedName>
    <definedName name="analiprecios" localSheetId="0">#REF!</definedName>
    <definedName name="analiprecios" localSheetId="18">#REF!</definedName>
    <definedName name="analiprecios" localSheetId="3">#REF!</definedName>
    <definedName name="analiprecios">#REF!</definedName>
    <definedName name="ANALISIS" localSheetId="18">#REF!</definedName>
    <definedName name="ANALISIS">#REF!</definedName>
    <definedName name="AnalisisA">#REF!</definedName>
    <definedName name="AnalisisB">#REF!</definedName>
    <definedName name="AnalisisC">#REF!</definedName>
    <definedName name="analisisequipo" localSheetId="2">#REF!</definedName>
    <definedName name="analisisequipo" localSheetId="0">#REF!</definedName>
    <definedName name="analisisequipo" localSheetId="3">#REF!</definedName>
    <definedName name="analisisequipo">#REF!</definedName>
    <definedName name="analizado" localSheetId="5">#REF!</definedName>
    <definedName name="analizado" localSheetId="18">#REF!</definedName>
    <definedName name="analizado" localSheetId="15">#REF!</definedName>
    <definedName name="analizado">#REF!</definedName>
    <definedName name="angulo" localSheetId="18">#REF!</definedName>
    <definedName name="angulo">#REF!</definedName>
    <definedName name="angulo_lim">#REF!</definedName>
    <definedName name="angulolim">#REF!</definedName>
    <definedName name="angulolim_c">#REF!</definedName>
    <definedName name="ANTICIPO">#REF!</definedName>
    <definedName name="AR">#REF!</definedName>
    <definedName name="Arand.">#REF!</definedName>
    <definedName name="ardos">#REF!</definedName>
    <definedName name="AREA_DE_IMPRESION">#REF!</definedName>
    <definedName name="AREA1" localSheetId="18">#REF!</definedName>
    <definedName name="AREA1">#REF!</definedName>
    <definedName name="AREA2">#REF!</definedName>
    <definedName name="arena" localSheetId="5">#REF!</definedName>
    <definedName name="arena" localSheetId="18">#REF!</definedName>
    <definedName name="arena" localSheetId="15">#REF!</definedName>
    <definedName name="arena">#REF!</definedName>
    <definedName name="AReq" localSheetId="18">#REF!</definedName>
    <definedName name="AReq">#REF!</definedName>
    <definedName name="Armadura">#REF!</definedName>
    <definedName name="armco">#REF!</definedName>
    <definedName name="armdis">#REF!</definedName>
    <definedName name="ARR">#N/A</definedName>
    <definedName name="ARRA" localSheetId="4">#REF!</definedName>
    <definedName name="ARRA" localSheetId="5">#REF!</definedName>
    <definedName name="ARRA" localSheetId="18">#REF!</definedName>
    <definedName name="ARRA" localSheetId="15">#REF!</definedName>
    <definedName name="ARRA" localSheetId="12">#REF!</definedName>
    <definedName name="ARRA">#REF!</definedName>
    <definedName name="ARRC" localSheetId="4">#REF!</definedName>
    <definedName name="ARRC" localSheetId="5">#REF!</definedName>
    <definedName name="ARRC" localSheetId="18">#REF!</definedName>
    <definedName name="ARRC" localSheetId="15">#REF!</definedName>
    <definedName name="ARRC" localSheetId="12">#REF!</definedName>
    <definedName name="ARRC">#REF!</definedName>
    <definedName name="ARREM" localSheetId="4">#REF!</definedName>
    <definedName name="ARREM" localSheetId="5">#REF!</definedName>
    <definedName name="ARREM" localSheetId="18">#REF!</definedName>
    <definedName name="ARREM" localSheetId="15">#REF!</definedName>
    <definedName name="ARREM" localSheetId="12">#REF!</definedName>
    <definedName name="ARREM">#REF!</definedName>
    <definedName name="ARREP" localSheetId="4">#REF!</definedName>
    <definedName name="ARREP" localSheetId="18">#REF!</definedName>
    <definedName name="ARREP" localSheetId="15">#REF!</definedName>
    <definedName name="ARREP" localSheetId="12">#REF!</definedName>
    <definedName name="ARREP">#REF!</definedName>
    <definedName name="arriba" localSheetId="17">#REF!</definedName>
    <definedName name="arriba" localSheetId="4">#REF!</definedName>
    <definedName name="arriba" localSheetId="18">#REF!</definedName>
    <definedName name="arriba" localSheetId="12">#REF!</definedName>
    <definedName name="arriba">#REF!</definedName>
    <definedName name="ARRRR" localSheetId="17">#REF!</definedName>
    <definedName name="ARRRR" localSheetId="4">#REF!</definedName>
    <definedName name="ARRRR" localSheetId="18">#REF!</definedName>
    <definedName name="ARRRR" localSheetId="15">#REF!</definedName>
    <definedName name="ARRRR" localSheetId="12">#REF!</definedName>
    <definedName name="ARRRR">#REF!</definedName>
    <definedName name="ARSC" localSheetId="4">#REF!</definedName>
    <definedName name="ARSC" localSheetId="18">#REF!</definedName>
    <definedName name="ARSC" localSheetId="15">#REF!</definedName>
    <definedName name="ARSC" localSheetId="12">#REF!</definedName>
    <definedName name="ARSC">#REF!</definedName>
    <definedName name="ARSCE" localSheetId="5">#REF!</definedName>
    <definedName name="ARSCE" localSheetId="18">#REF!</definedName>
    <definedName name="ARSCE" localSheetId="15">#REF!</definedName>
    <definedName name="ARSCE">#REF!</definedName>
    <definedName name="ARSDA" localSheetId="5">#REF!</definedName>
    <definedName name="ARSDA" localSheetId="18">#REF!</definedName>
    <definedName name="ARSDA" localSheetId="15">#REF!</definedName>
    <definedName name="ARSDA">#REF!</definedName>
    <definedName name="ARSEC" localSheetId="5">#REF!</definedName>
    <definedName name="ARSEC" localSheetId="18">#REF!</definedName>
    <definedName name="ARSEC" localSheetId="15">#REF!</definedName>
    <definedName name="ARSEC">#REF!</definedName>
    <definedName name="ARSED" localSheetId="5">#REF!</definedName>
    <definedName name="ARSED" localSheetId="18">#REF!</definedName>
    <definedName name="ARSED" localSheetId="15">#REF!</definedName>
    <definedName name="ARSED">#REF!</definedName>
    <definedName name="ARSEM" localSheetId="5">#REF!</definedName>
    <definedName name="ARSEM" localSheetId="18">#REF!</definedName>
    <definedName name="ARSEM" localSheetId="15">#REF!</definedName>
    <definedName name="ARSEM">#REF!</definedName>
    <definedName name="ARSEP" localSheetId="5">#REF!</definedName>
    <definedName name="ARSEP" localSheetId="18">#REF!</definedName>
    <definedName name="ARSEP" localSheetId="15">#REF!</definedName>
    <definedName name="ARSEP">#REF!</definedName>
    <definedName name="ARSLE" localSheetId="5">#REF!</definedName>
    <definedName name="ARSLE" localSheetId="18">#REF!</definedName>
    <definedName name="ARSLE" localSheetId="15">#REF!</definedName>
    <definedName name="ARSLE">#REF!</definedName>
    <definedName name="ARSNA" localSheetId="5">#REF!</definedName>
    <definedName name="ARSNA" localSheetId="18">#REF!</definedName>
    <definedName name="ARSNA" localSheetId="15">#REF!</definedName>
    <definedName name="ARSNA">#REF!</definedName>
    <definedName name="ART" localSheetId="5">#REF!</definedName>
    <definedName name="ART" localSheetId="18">#REF!</definedName>
    <definedName name="ART" localSheetId="15">#REF!</definedName>
    <definedName name="ART">#REF!</definedName>
    <definedName name="ART_Cargo_Fijo" localSheetId="5">#REF!</definedName>
    <definedName name="ART_Cargo_Fijo" localSheetId="18">#REF!</definedName>
    <definedName name="ART_Cargo_Fijo" localSheetId="15">#REF!</definedName>
    <definedName name="ART_Cargo_Fijo">#REF!</definedName>
    <definedName name="aruno" localSheetId="18">#REF!</definedName>
    <definedName name="aruno">#REF!</definedName>
    <definedName name="as">#REF!</definedName>
    <definedName name="asd" localSheetId="0">L2C1:L372C15</definedName>
    <definedName name="asd" localSheetId="16">L2C1:L372C15</definedName>
    <definedName name="asd" localSheetId="5">L2C1:L372C15</definedName>
    <definedName name="asd" localSheetId="18">L2C1:L372C15</definedName>
    <definedName name="asd">L2C1:L372C15</definedName>
    <definedName name="asdaaa" localSheetId="4">#REF!</definedName>
    <definedName name="asdaaa" localSheetId="5">#REF!</definedName>
    <definedName name="asdaaa" localSheetId="18">#REF!</definedName>
    <definedName name="asdaaa" localSheetId="12">#REF!</definedName>
    <definedName name="asdaaa">#REF!</definedName>
    <definedName name="ASDAASD" localSheetId="0">L2C1:L372C15</definedName>
    <definedName name="ASDAASD" localSheetId="16">L2C1:L372C15</definedName>
    <definedName name="ASDAASD" localSheetId="5">L2C1:L372C15</definedName>
    <definedName name="ASDAASD" localSheetId="18">L2C1:L372C15</definedName>
    <definedName name="ASDAASD">L2C1:L372C15</definedName>
    <definedName name="asdis" localSheetId="5">#REF!</definedName>
    <definedName name="asdis" localSheetId="18">#REF!</definedName>
    <definedName name="asdis">#REF!</definedName>
    <definedName name="asew" localSheetId="4">#REF!</definedName>
    <definedName name="asew" localSheetId="5">#REF!</definedName>
    <definedName name="asew" localSheetId="18">#REF!</definedName>
    <definedName name="asew" localSheetId="12">#REF!</definedName>
    <definedName name="asew">#REF!</definedName>
    <definedName name="Asistencia" localSheetId="5">#REF!</definedName>
    <definedName name="Asistencia">#REF!</definedName>
    <definedName name="at1cañodren">#REF!</definedName>
    <definedName name="at1cemento">#REF!</definedName>
    <definedName name="at1hierro">#REF!</definedName>
    <definedName name="aTacceso">#REF!</definedName>
    <definedName name="aTaccesoreadec">#REF!</definedName>
    <definedName name="aTacondct">#REF!</definedName>
    <definedName name="aTalcantarilla">#REF!</definedName>
    <definedName name="aTalcantarillareadec">#REF!</definedName>
    <definedName name="aTalteo">#REF!</definedName>
    <definedName name="aTalteoreadec">#REF!</definedName>
    <definedName name="aTApartido">#REF!</definedName>
    <definedName name="aTbacheo">#REF!</definedName>
    <definedName name="aTbacheosan">#REF!</definedName>
    <definedName name="aTbandason">#REF!</definedName>
    <definedName name="aTbanquina">#REF!</definedName>
    <definedName name="aTbaranda">#REF!</definedName>
    <definedName name="aTbarandareadec">#REF!</definedName>
    <definedName name="aTbase">#REF!</definedName>
    <definedName name="aTcabezales">#REF!</definedName>
    <definedName name="aTcalzadahorm">#REF!</definedName>
    <definedName name="aTcalzadas">#REF!</definedName>
    <definedName name="aTcarpeta">#REF!</definedName>
    <definedName name="aTcarpetariego">#REF!</definedName>
    <definedName name="aTCCura">#REF!</definedName>
    <definedName name="aTCCurareadec">#REF!</definedName>
    <definedName name="aTciclovía">#REF!</definedName>
    <definedName name="aTciclovíareadec">#REF!</definedName>
    <definedName name="aTcolumnas">#REF!</definedName>
    <definedName name="aTcortepasto">#REF!</definedName>
    <definedName name="aTdemolicion">#REF!</definedName>
    <definedName name="aTdesembanque">#REF!</definedName>
    <definedName name="aTdren">#REF!</definedName>
    <definedName name="aTescarifbanq">#REF!</definedName>
    <definedName name="aTescarificado">#REF!</definedName>
    <definedName name="aTestribos">#REF!</definedName>
    <definedName name="aTexcavacion">#REF!</definedName>
    <definedName name="aTexcavacionreadec">#REF!</definedName>
    <definedName name="aTgaviones">#REF!</definedName>
    <definedName name="aTHermosoreadec">#REF!</definedName>
    <definedName name="aThorC">#REF!</definedName>
    <definedName name="aThormigon">#REF!</definedName>
    <definedName name="aTimprimacion">#REF!</definedName>
    <definedName name="aTimprimacionreadec">#REF!</definedName>
    <definedName name="aTimprimrefor">#REF!</definedName>
    <definedName name="aTinvernal">#REF!</definedName>
    <definedName name="aTjunta">#REF!</definedName>
    <definedName name="aTjuntadil">#REF!</definedName>
    <definedName name="aTjuntas">#REF!</definedName>
    <definedName name="aTlimpieza">#REF!</definedName>
    <definedName name="aTlimpseñales">#REF!</definedName>
    <definedName name="aTlimptransp">#REF!</definedName>
    <definedName name="aTlosa">#REF!</definedName>
    <definedName name="aTmatbase">#REF!</definedName>
    <definedName name="aTmicroaglom">#REF!</definedName>
    <definedName name="aTmicroaglomreadec">#REF!</definedName>
    <definedName name="aTmicroreadec">#REF!</definedName>
    <definedName name="aTmontaje">#REF!</definedName>
    <definedName name="aTpasamano">#REF!</definedName>
    <definedName name="aTperfilado">#REF!</definedName>
    <definedName name="aTpilotes">#REF!</definedName>
    <definedName name="aTpintado">#REF!</definedName>
    <definedName name="aTpretiles">#REF!</definedName>
    <definedName name="aTpretilesreadec">#REF!</definedName>
    <definedName name="aTprolongacion">#REF!</definedName>
    <definedName name="aTprolongacionreadec">#REF!</definedName>
    <definedName name="aTproteccion">#REF!</definedName>
    <definedName name="aTrelleno">#REF!</definedName>
    <definedName name="aTrellenoreadec">#REF!</definedName>
    <definedName name="aTrep8026">#REF!</definedName>
    <definedName name="aTrep8026readec">#REF!</definedName>
    <definedName name="aTrepalc">#REF!</definedName>
    <definedName name="aTrepalcreadec">#REF!</definedName>
    <definedName name="aTrestdrenaje">#REF!</definedName>
    <definedName name="aTrestdrenajereadec">#REF!</definedName>
    <definedName name="aTretderrumbe">#REF!</definedName>
    <definedName name="aTretrecolbaranda">#REF!</definedName>
    <definedName name="aTRHermoso">#REF!</definedName>
    <definedName name="aTriego">#REF!</definedName>
    <definedName name="aTrotondas">#REF!</definedName>
    <definedName name="aTsandef">#REF!</definedName>
    <definedName name="aTsellado">#REF!</definedName>
    <definedName name="aTsenda">#REF!</definedName>
    <definedName name="aTsendareadec">#REF!</definedName>
    <definedName name="aTseñalamiento">#REF!</definedName>
    <definedName name="aTseñalamientoreadec">#REF!</definedName>
    <definedName name="aTseñalextrusion">#REF!</definedName>
    <definedName name="aTseñalextrusionreadec">#REF!</definedName>
    <definedName name="aTseñalizacion">#REF!</definedName>
    <definedName name="aTseñalizacionreadec">#REF!</definedName>
    <definedName name="aTseñalvertreadec">#REF!</definedName>
    <definedName name="aTsistdren1071">#REF!</definedName>
    <definedName name="aTsubbase">#REF!</definedName>
    <definedName name="aTterraplen">#REF!</definedName>
    <definedName name="aTterrapreadec">#REF!</definedName>
    <definedName name="aTterrsincomp">#REF!</definedName>
    <definedName name="aTtravesia">#REF!</definedName>
    <definedName name="aTvigas">#REF!</definedName>
    <definedName name="AUSENTISMO">#REF!</definedName>
    <definedName name="AUSENTISMO1">#REF!</definedName>
    <definedName name="AUT">#REF!</definedName>
    <definedName name="Aux_Ana">#REF!</definedName>
    <definedName name="Avance" localSheetId="5" hidden="1">{#N/A,#N/A,FALSE,"Monthly report";#N/A,#N/A,FALSE,"M.R. UEM";#N/A,#N/A,FALSE,"M.R. VCM"}</definedName>
    <definedName name="Avance" localSheetId="18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2" localSheetId="5" hidden="1">{#N/A,#N/A,FALSE,"Monthly report";#N/A,#N/A,FALSE,"M.R. UEM";#N/A,#N/A,FALSE,"M.R. VCM"}</definedName>
    <definedName name="Avance2" localSheetId="18" hidden="1">{#N/A,#N/A,FALSE,"Monthly report";#N/A,#N/A,FALSE,"M.R. UEM";#N/A,#N/A,FALSE,"M.R. VCM"}</definedName>
    <definedName name="Avance2" hidden="1">{#N/A,#N/A,FALSE,"Monthly report";#N/A,#N/A,FALSE,"M.R. UEM";#N/A,#N/A,FALSE,"M.R. VCM"}</definedName>
    <definedName name="AVOL">#REF!</definedName>
    <definedName name="ayudante" localSheetId="5">#REF!</definedName>
    <definedName name="ayudante" localSheetId="18">#REF!</definedName>
    <definedName name="ayudante" localSheetId="15">#REF!</definedName>
    <definedName name="ayudante">#REF!</definedName>
    <definedName name="ayudante4" localSheetId="5">#REF!</definedName>
    <definedName name="ayudante4" localSheetId="18">#REF!</definedName>
    <definedName name="ayudante4">#REF!</definedName>
    <definedName name="ayudante6">#REF!</definedName>
    <definedName name="ayudante8">#REF!</definedName>
    <definedName name="ayudr">#REF!</definedName>
    <definedName name="b">#REF!</definedName>
    <definedName name="B.1">#REF!</definedName>
    <definedName name="B.2">#N/A</definedName>
    <definedName name="b_rec_h">#REF!</definedName>
    <definedName name="b_rec_v">#REF!</definedName>
    <definedName name="BASE">#REF!</definedName>
    <definedName name="base_insumos" localSheetId="5">#REF!</definedName>
    <definedName name="base_insumos" localSheetId="18">#REF!</definedName>
    <definedName name="base_insumos" localSheetId="15">#REF!</definedName>
    <definedName name="base_insumos">#REF!</definedName>
    <definedName name="BASEABELSON" localSheetId="18">#REF!</definedName>
    <definedName name="BASEABELSON">#REF!</definedName>
    <definedName name="BASEINSU" localSheetId="0">L2C1:L372C15</definedName>
    <definedName name="BASEINSU" localSheetId="16">L2C1:L372C15</definedName>
    <definedName name="BASEINSU" localSheetId="5">L2C1:L372C15</definedName>
    <definedName name="BASEINSU" localSheetId="18">L2C1:L372C15</definedName>
    <definedName name="BASEINSU">L2C1:L372C15</definedName>
    <definedName name="baseinsumos" localSheetId="0">L2C1:L372C15</definedName>
    <definedName name="baseinsumos" localSheetId="16">L2C1:L372C15</definedName>
    <definedName name="baseinsumos" localSheetId="5">L2C1:L372C15</definedName>
    <definedName name="baseinsumos" localSheetId="18">L2C1:L372C15</definedName>
    <definedName name="baseinsumos">L2C1:L372C15</definedName>
    <definedName name="be" localSheetId="5">#REF!</definedName>
    <definedName name="be" localSheetId="18">#REF!</definedName>
    <definedName name="be">#REF!</definedName>
    <definedName name="Beg_Bal" localSheetId="5">#REF!</definedName>
    <definedName name="Beg_Bal">#REF!</definedName>
    <definedName name="bene" localSheetId="2">#REF!</definedName>
    <definedName name="bene" localSheetId="0">#REF!</definedName>
    <definedName name="bene" localSheetId="5">#REF!</definedName>
    <definedName name="bene" localSheetId="18">#REF!</definedName>
    <definedName name="bene" localSheetId="3">#REF!</definedName>
    <definedName name="bene">#REF!</definedName>
    <definedName name="BENEFICIO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" localSheetId="0">L2C1:L372C15</definedName>
    <definedName name="BI" localSheetId="16">L2C1:L372C15</definedName>
    <definedName name="BI" localSheetId="5">L2C1:L372C15</definedName>
    <definedName name="BI" localSheetId="18">L2C1:L372C15</definedName>
    <definedName name="BI">L2C1:L372C15</definedName>
    <definedName name="bloque20x20x40" localSheetId="5">#REF!</definedName>
    <definedName name="bloque20x20x40" localSheetId="18">#REF!</definedName>
    <definedName name="bloque20x20x40" localSheetId="15">#REF!</definedName>
    <definedName name="bloque20x20x40">#REF!</definedName>
    <definedName name="br" localSheetId="5">#REF!</definedName>
    <definedName name="br" localSheetId="18">#REF!</definedName>
    <definedName name="br">#REF!</definedName>
    <definedName name="BRAZ" localSheetId="5">#REF!</definedName>
    <definedName name="BRAZ">#REF!</definedName>
    <definedName name="BRAZO">#REF!</definedName>
    <definedName name="bs">#REF!</definedName>
    <definedName name="BSociales">#REF!</definedName>
    <definedName name="bss">#REF!</definedName>
    <definedName name="bsss">#REF!</definedName>
    <definedName name="C_">#REF!</definedName>
    <definedName name="ca">#REF!</definedName>
    <definedName name="Caeacceso">#REF!</definedName>
    <definedName name="Caeacondct">#REF!</definedName>
    <definedName name="Caealcantarilla">#REF!</definedName>
    <definedName name="Caealcantarillareadec">#REF!</definedName>
    <definedName name="Caealteomyg">#REF!</definedName>
    <definedName name="CaeApartido">#REF!</definedName>
    <definedName name="Caeapoyos">#REF!</definedName>
    <definedName name="Caebacheo">#REF!</definedName>
    <definedName name="Caebandason">#REF!</definedName>
    <definedName name="Caebandasonreadec">#REF!</definedName>
    <definedName name="Caebanquina">#REF!</definedName>
    <definedName name="Caebaranda">#REF!</definedName>
    <definedName name="Caebarandareadec">#REF!</definedName>
    <definedName name="Caebase">#REF!</definedName>
    <definedName name="Caecabezales">#REF!</definedName>
    <definedName name="Caecalzadahorm">#REF!</definedName>
    <definedName name="Caecalzadas">#REF!</definedName>
    <definedName name="Caecarpeta">#REF!</definedName>
    <definedName name="Caecarpetariego">#REF!</definedName>
    <definedName name="CaeCCura">#REF!</definedName>
    <definedName name="Caeciclovía">#REF!</definedName>
    <definedName name="Caecolumnas">#REF!</definedName>
    <definedName name="Caecortepasto">#REF!</definedName>
    <definedName name="Caedemolicion">#REF!</definedName>
    <definedName name="Caedesembanque">#REF!</definedName>
    <definedName name="Caeescarifbanq">#REF!</definedName>
    <definedName name="Caeescarificado">#REF!</definedName>
    <definedName name="Caeestribos">#REF!</definedName>
    <definedName name="Caeexcavacion">#REF!</definedName>
    <definedName name="Caeexcavacionreadec">#REF!</definedName>
    <definedName name="Caegaviones">#REF!</definedName>
    <definedName name="Caehor">#REF!</definedName>
    <definedName name="CaehorC">#REF!</definedName>
    <definedName name="CaehorCreadec">#REF!</definedName>
    <definedName name="Caeimprimacion">#REF!</definedName>
    <definedName name="Caeimprimrefor">#REF!</definedName>
    <definedName name="Caeinvernal">#REF!</definedName>
    <definedName name="Caejunta">#REF!</definedName>
    <definedName name="Caejuntadil">#REF!</definedName>
    <definedName name="Caejuntas">#REF!</definedName>
    <definedName name="Caelimpieza">#REF!</definedName>
    <definedName name="Caelimpseñales">#REF!</definedName>
    <definedName name="Caelimptransp">#REF!</definedName>
    <definedName name="Caelosa">#REF!</definedName>
    <definedName name="Caematbase">#REF!</definedName>
    <definedName name="Caemicroaglom">#REF!</definedName>
    <definedName name="Caemicroaglomreadec">#REF!</definedName>
    <definedName name="Caepasamano">#REF!</definedName>
    <definedName name="Caeperfilado">#REF!</definedName>
    <definedName name="Caepintado">#REF!</definedName>
    <definedName name="Caepretiles">#REF!</definedName>
    <definedName name="Caeprolongacion">#REF!</definedName>
    <definedName name="Caeprolongacionreadec">#REF!</definedName>
    <definedName name="Caeproteccion">#REF!</definedName>
    <definedName name="Caereadsistdren1071">#REF!</definedName>
    <definedName name="Caerelleno">#REF!</definedName>
    <definedName name="CaeRep8026">#REF!</definedName>
    <definedName name="Caerepalc">#REF!</definedName>
    <definedName name="Caerestdrenajereadec">#REF!</definedName>
    <definedName name="Caeretderrumbe">#REF!</definedName>
    <definedName name="Caeretrecolbaranda">#REF!</definedName>
    <definedName name="CaeRHermoso">#REF!</definedName>
    <definedName name="Caeriego">#REF!</definedName>
    <definedName name="Caerotondas">#REF!</definedName>
    <definedName name="Caesandef">#REF!</definedName>
    <definedName name="Caesellado">#REF!</definedName>
    <definedName name="Caesenda">#REF!</definedName>
    <definedName name="Caeseñalamiento">#REF!</definedName>
    <definedName name="Caeseñalamientoreadec">#REF!</definedName>
    <definedName name="Caeseñalextrusion">#REF!</definedName>
    <definedName name="Caeseñalextrusionreadec">#REF!</definedName>
    <definedName name="Caeseñalizacion">#REF!</definedName>
    <definedName name="Caeseñalizacionreadec">#REF!</definedName>
    <definedName name="Caeseñalvertreadec">#REF!</definedName>
    <definedName name="Caesistdren">#REF!</definedName>
    <definedName name="Caesistdrenreadec">#REF!</definedName>
    <definedName name="Caesubbase">#REF!</definedName>
    <definedName name="Caeterraplen">#REF!</definedName>
    <definedName name="Caeterraplenreadec">#REF!</definedName>
    <definedName name="Caeterrsincomp">#REF!</definedName>
    <definedName name="Caetravesia">#REF!</definedName>
    <definedName name="Caevigas">#REF!</definedName>
    <definedName name="caga">#REF!</definedName>
    <definedName name="CalcAux">#REF!</definedName>
    <definedName name="Cálculo_de_Canales_en_Movimiento_Uniforme">#REF!</definedName>
    <definedName name="Cálculo_de_Canaleta_Parshall__A._Netto">#REF!</definedName>
    <definedName name="Cálculo_de_Canaleta_Parshall__Richter_y_A._Valencia">#REF!</definedName>
    <definedName name="Cálculo_de_f_de_Darcy_Weisbach__C_de_Williams_y_Hazen_y_n_de_Manning">#REF!</definedName>
    <definedName name="Cálculo_de_la_Potencia_de_una_Bomba.">#REF!</definedName>
    <definedName name="Cálculo_del_Gradiente_de_Velocidad">#REF!</definedName>
    <definedName name="CALCULOS">#REF!</definedName>
    <definedName name="calHidr" localSheetId="5">#REF!</definedName>
    <definedName name="calHidr" localSheetId="18">#REF!</definedName>
    <definedName name="calHidr" localSheetId="15">#REF!</definedName>
    <definedName name="calHidr">#REF!</definedName>
    <definedName name="CalidadAcero" localSheetId="18">#REF!</definedName>
    <definedName name="CalidadAcero">#REF!</definedName>
    <definedName name="campocodigoanalisis" localSheetId="5">#REF!</definedName>
    <definedName name="campocodigoanalisis" localSheetId="18">#REF!</definedName>
    <definedName name="campocodigoanalisis" localSheetId="15">#REF!</definedName>
    <definedName name="campocodigoanalisis">#REF!</definedName>
    <definedName name="CAÑERIA_DE_IMPULSION__P._LAVALLE_SAENZ_PEÑA" localSheetId="18">#REF!</definedName>
    <definedName name="CAÑERIA_DE_IMPULSION__P._LAVALLE_SAENZ_PEÑA">#REF!</definedName>
    <definedName name="Caracteres_del_Alfabeto_Griego">#REF!</definedName>
    <definedName name="CARGAS">#REF!</definedName>
    <definedName name="Cargas_Sociales" localSheetId="5">#REF!</definedName>
    <definedName name="Cargas_Sociales" localSheetId="18">#REF!</definedName>
    <definedName name="Cargas_Sociales" localSheetId="15">#REF!</definedName>
    <definedName name="Cargas_Sociales">#REF!</definedName>
    <definedName name="carlosa" localSheetId="18">#REF!</definedName>
    <definedName name="carlosa">#REF!</definedName>
    <definedName name="carlosar">#REF!</definedName>
    <definedName name="cascada" localSheetId="5">#REF!</definedName>
    <definedName name="cascada" localSheetId="18">#REF!</definedName>
    <definedName name="cascada" localSheetId="15">#REF!</definedName>
    <definedName name="cascada">#REF!</definedName>
    <definedName name="CAT" localSheetId="18">#REF!</definedName>
    <definedName name="CAT">#REF!</definedName>
    <definedName name="CC">#REF!</definedName>
    <definedName name="cd">#REF!</definedName>
    <definedName name="cddos">#REF!</definedName>
    <definedName name="CDT">#REF!</definedName>
    <definedName name="CE0" localSheetId="4">#REF!</definedName>
    <definedName name="CE0" localSheetId="18">#REF!</definedName>
    <definedName name="CE0" localSheetId="15">#REF!</definedName>
    <definedName name="CE0" localSheetId="12">#REF!</definedName>
    <definedName name="CE0">#REF!</definedName>
    <definedName name="CE1_" localSheetId="4">#REF!</definedName>
    <definedName name="CE1_" localSheetId="18">#REF!</definedName>
    <definedName name="CE1_" localSheetId="15">#REF!</definedName>
    <definedName name="CE1_" localSheetId="12">#REF!</definedName>
    <definedName name="CE1_">#REF!</definedName>
    <definedName name="CE2_" localSheetId="4">#REF!</definedName>
    <definedName name="CE2_" localSheetId="18">#REF!</definedName>
    <definedName name="CE2_" localSheetId="15">#REF!</definedName>
    <definedName name="CE2_" localSheetId="12">#REF!</definedName>
    <definedName name="CE2_">#REF!</definedName>
    <definedName name="CE3_" localSheetId="4">#REF!</definedName>
    <definedName name="CE3_" localSheetId="18">#REF!</definedName>
    <definedName name="CE3_" localSheetId="15">#REF!</definedName>
    <definedName name="CE3_" localSheetId="12">#REF!</definedName>
    <definedName name="CE3_">#REF!</definedName>
    <definedName name="CEBE" localSheetId="5">#REF!</definedName>
    <definedName name="CEBE" localSheetId="18">#REF!</definedName>
    <definedName name="CEBE" localSheetId="15">#REF!</definedName>
    <definedName name="CEBE">#REF!</definedName>
    <definedName name="CECF" localSheetId="5">#REF!</definedName>
    <definedName name="CECF" localSheetId="18">#REF!</definedName>
    <definedName name="CECF" localSheetId="15">#REF!</definedName>
    <definedName name="CECF">#REF!</definedName>
    <definedName name="CEGG" localSheetId="5">#REF!</definedName>
    <definedName name="CEGG" localSheetId="18">#REF!</definedName>
    <definedName name="CEGG" localSheetId="15">#REF!</definedName>
    <definedName name="CEGG">#REF!</definedName>
    <definedName name="CEIM" localSheetId="5">#REF!</definedName>
    <definedName name="CEIM" localSheetId="18">#REF!</definedName>
    <definedName name="CEIM" localSheetId="15">#REF!</definedName>
    <definedName name="CEIM">#REF!</definedName>
    <definedName name="ceme" localSheetId="18">#REF!</definedName>
    <definedName name="ceme">#REF!</definedName>
    <definedName name="cemento" localSheetId="5">#REF!</definedName>
    <definedName name="cemento" localSheetId="18">#REF!</definedName>
    <definedName name="cemento" localSheetId="15">#REF!</definedName>
    <definedName name="cemento">#REF!</definedName>
    <definedName name="CEMR" localSheetId="18">#REF!</definedName>
    <definedName name="CEMR">#REF!</definedName>
    <definedName name="CEo">#REF!</definedName>
    <definedName name="Certificado2" localSheetId="2">#REF!</definedName>
    <definedName name="Certificado2" localSheetId="0">#REF!</definedName>
    <definedName name="Certificado2" localSheetId="18">#REF!</definedName>
    <definedName name="Certificado2" localSheetId="3">#REF!</definedName>
    <definedName name="Certificado2">#REF!</definedName>
    <definedName name="Ch.Tech">#REF!</definedName>
    <definedName name="Chapa">#REF!</definedName>
    <definedName name="CHAPEAU">#REF!</definedName>
    <definedName name="CHORRO_CAIDA_LIBRE">#REF!</definedName>
    <definedName name="ci">#REF!</definedName>
    <definedName name="CICVH" localSheetId="5">#REF!</definedName>
    <definedName name="CICVH" localSheetId="18">#REF!</definedName>
    <definedName name="CICVH" localSheetId="15">#REF!</definedName>
    <definedName name="CICVH">#REF!</definedName>
    <definedName name="CIEA" localSheetId="5">#REF!</definedName>
    <definedName name="CIEA" localSheetId="18">#REF!</definedName>
    <definedName name="CIEA" localSheetId="15">#REF!</definedName>
    <definedName name="CIEA">#REF!</definedName>
    <definedName name="CIEE" localSheetId="5">#REF!</definedName>
    <definedName name="CIEE" localSheetId="18">#REF!</definedName>
    <definedName name="CIEE" localSheetId="15">#REF!</definedName>
    <definedName name="CIEE">#REF!</definedName>
    <definedName name="CIEF" localSheetId="5">#REF!</definedName>
    <definedName name="CIEF" localSheetId="18">#REF!</definedName>
    <definedName name="CIEF" localSheetId="15">#REF!</definedName>
    <definedName name="CIEF">#REF!</definedName>
    <definedName name="CIEG" localSheetId="5">#REF!</definedName>
    <definedName name="CIEG" localSheetId="18">#REF!</definedName>
    <definedName name="CIEG" localSheetId="15">#REF!</definedName>
    <definedName name="CIEG">#REF!</definedName>
    <definedName name="CISTERNA_Y_E.E._EN_SAENZ_PEÑA" localSheetId="18">#REF!</definedName>
    <definedName name="CISTERNA_Y_E.E._EN_SAENZ_PEÑA">#REF!</definedName>
    <definedName name="clase">#REF!</definedName>
    <definedName name="Clases_Edificios">#REF!</definedName>
    <definedName name="clav">#REF!</definedName>
    <definedName name="clavos">#REF!</definedName>
    <definedName name="CM0" localSheetId="5">#REF!</definedName>
    <definedName name="CM0" localSheetId="18">#REF!</definedName>
    <definedName name="CM0" localSheetId="15">#REF!</definedName>
    <definedName name="CM0">#REF!</definedName>
    <definedName name="CM1_" localSheetId="5">#REF!</definedName>
    <definedName name="CM1_" localSheetId="18">#REF!</definedName>
    <definedName name="CM1_" localSheetId="15">#REF!</definedName>
    <definedName name="CM1_">#REF!</definedName>
    <definedName name="CM3_" localSheetId="5">#REF!</definedName>
    <definedName name="CM3_" localSheetId="18">#REF!</definedName>
    <definedName name="CM3_" localSheetId="15">#REF!</definedName>
    <definedName name="CM3_">#REF!</definedName>
    <definedName name="CM4_" localSheetId="5">#REF!</definedName>
    <definedName name="CM4_" localSheetId="18">#REF!</definedName>
    <definedName name="CM4_" localSheetId="15">#REF!</definedName>
    <definedName name="CM4_">#REF!</definedName>
    <definedName name="CMA" localSheetId="5">#REF!</definedName>
    <definedName name="CMA" localSheetId="18">#REF!</definedName>
    <definedName name="CMA" localSheetId="15">#REF!</definedName>
    <definedName name="CMA">#REF!</definedName>
    <definedName name="CMAX" localSheetId="18">#REF!</definedName>
    <definedName name="CMAX">#REF!</definedName>
    <definedName name="CMMO" localSheetId="5">#REF!</definedName>
    <definedName name="CMMO" localSheetId="18">#REF!</definedName>
    <definedName name="CMMO" localSheetId="15">#REF!</definedName>
    <definedName name="CMMO">#REF!</definedName>
    <definedName name="CMO" localSheetId="5">#REF!</definedName>
    <definedName name="CMO" localSheetId="18">#REF!</definedName>
    <definedName name="CMO" localSheetId="15">#REF!</definedName>
    <definedName name="CMO">#REF!</definedName>
    <definedName name="CMOE" localSheetId="5">#REF!</definedName>
    <definedName name="CMOE" localSheetId="18">#REF!</definedName>
    <definedName name="CMOE" localSheetId="15">#REF!</definedName>
    <definedName name="CMOE">#REF!</definedName>
    <definedName name="CMP" localSheetId="5">#REF!</definedName>
    <definedName name="CMP" localSheetId="18">#REF!</definedName>
    <definedName name="CMP" localSheetId="15">#REF!</definedName>
    <definedName name="CMP">#REF!</definedName>
    <definedName name="CMZ" localSheetId="5">#REF!</definedName>
    <definedName name="CMZ" localSheetId="18">#REF!</definedName>
    <definedName name="CMZ" localSheetId="15">#REF!</definedName>
    <definedName name="CMZ">#REF!</definedName>
    <definedName name="codigoanalisis" localSheetId="5">#REF!</definedName>
    <definedName name="codigoanalisis" localSheetId="18">#REF!</definedName>
    <definedName name="codigoanalisis" localSheetId="15">#REF!</definedName>
    <definedName name="codigoanalisis">#REF!</definedName>
    <definedName name="codigoformulas" localSheetId="5">#REF!</definedName>
    <definedName name="codigoformulas" localSheetId="18">#REF!</definedName>
    <definedName name="codigoformulas" localSheetId="15">#REF!</definedName>
    <definedName name="codigoformulas">#REF!</definedName>
    <definedName name="codigoinsumos" localSheetId="5">#REF!</definedName>
    <definedName name="codigoinsumos" localSheetId="18">#REF!</definedName>
    <definedName name="codigoinsumos" localSheetId="15">#REF!</definedName>
    <definedName name="codigoinsumos">#REF!</definedName>
    <definedName name="codigoitems" localSheetId="5">#REF!</definedName>
    <definedName name="codigoitems" localSheetId="18">#REF!</definedName>
    <definedName name="codigoitems" localSheetId="15">#REF!</definedName>
    <definedName name="codigoitems">#REF!</definedName>
    <definedName name="codigomat" localSheetId="18">#REF!</definedName>
    <definedName name="codigomat">#REF!</definedName>
    <definedName name="CodigoParametrico" localSheetId="4">#REF!</definedName>
    <definedName name="CodigoParametrico" localSheetId="18">#REF!</definedName>
    <definedName name="CodigoParametrico" localSheetId="12">#REF!</definedName>
    <definedName name="CodigoParametrico">#REF!</definedName>
    <definedName name="coef" localSheetId="2">#REF!</definedName>
    <definedName name="coef" localSheetId="0">#REF!</definedName>
    <definedName name="coef" localSheetId="18">#REF!</definedName>
    <definedName name="coef" localSheetId="3">#REF!</definedName>
    <definedName name="coef">#REF!</definedName>
    <definedName name="Coef_GG_B_I" localSheetId="18">#REF!</definedName>
    <definedName name="Coef_GG_B_I">#REF!</definedName>
    <definedName name="columna">#REF!</definedName>
    <definedName name="COLUMNAS" localSheetId="5">#REF!</definedName>
    <definedName name="COLUMNAS" localSheetId="18">#REF!</definedName>
    <definedName name="COLUMNAS" localSheetId="15">#REF!</definedName>
    <definedName name="COLUMNAS">#REF!</definedName>
    <definedName name="Comb" localSheetId="18">#REF!</definedName>
    <definedName name="Comb">#REF!</definedName>
    <definedName name="Combinaciones_cargas">#REF!</definedName>
    <definedName name="COMPANIA" localSheetId="1">#REF!</definedName>
    <definedName name="COMPANIA" localSheetId="5">#REF!</definedName>
    <definedName name="COMPANIA" localSheetId="18">#REF!</definedName>
    <definedName name="COMPANIA" localSheetId="15">#REF!</definedName>
    <definedName name="COMPANIA">#REF!</definedName>
    <definedName name="COMPUTO" localSheetId="18">#REF!</definedName>
    <definedName name="COMPUTO">#REF!</definedName>
    <definedName name="COMPUTOS">#REF!</definedName>
    <definedName name="Constante_de_los_Gases">#REF!</definedName>
    <definedName name="constantes" localSheetId="5">#REF!</definedName>
    <definedName name="constantes" localSheetId="18">#REF!</definedName>
    <definedName name="constantes" localSheetId="15">#REF!</definedName>
    <definedName name="constantes">#REF!</definedName>
    <definedName name="Consumo" localSheetId="18">#REF!</definedName>
    <definedName name="Consumo">#REF!</definedName>
    <definedName name="Contribucion_Patronal_s_Decreto_2641" localSheetId="5">#REF!</definedName>
    <definedName name="Contribucion_Patronal_s_Decreto_2641" localSheetId="18">#REF!</definedName>
    <definedName name="Contribucion_Patronal_s_Decreto_2641" localSheetId="15">#REF!</definedName>
    <definedName name="Contribucion_Patronal_s_Decreto_2641">#REF!</definedName>
    <definedName name="copete" localSheetId="5">#REF!</definedName>
    <definedName name="copete" localSheetId="18">#REF!</definedName>
    <definedName name="copete" localSheetId="15">#REF!</definedName>
    <definedName name="copete">#REF!</definedName>
    <definedName name="COPIA" localSheetId="18">#REF!</definedName>
    <definedName name="COPIA">#REF!</definedName>
    <definedName name="Correa">#REF!</definedName>
    <definedName name="COSTO">#N/A</definedName>
    <definedName name="COSTO_DIRECTO">#REF!</definedName>
    <definedName name="COSTO_INDIRECTO">#REF!</definedName>
    <definedName name="CostoEquipos">#REF!</definedName>
    <definedName name="coti3" localSheetId="17">#REF!</definedName>
    <definedName name="coti3" localSheetId="4">#REF!</definedName>
    <definedName name="coti3" localSheetId="18">#REF!</definedName>
    <definedName name="coti3" localSheetId="12">#REF!</definedName>
    <definedName name="coti3">#REF!</definedName>
    <definedName name="coti4" localSheetId="17">#REF!</definedName>
    <definedName name="coti4" localSheetId="4">#REF!</definedName>
    <definedName name="coti4" localSheetId="18">#REF!</definedName>
    <definedName name="coti4" localSheetId="12">#REF!</definedName>
    <definedName name="coti4">#REF!</definedName>
    <definedName name="Cotizador_automatico_del_pedido." localSheetId="17">#REF!</definedName>
    <definedName name="Cotizador_automatico_del_pedido." localSheetId="4">#REF!</definedName>
    <definedName name="Cotizador_automatico_del_pedido." localSheetId="18">#REF!</definedName>
    <definedName name="Cotizador_automatico_del_pedido." localSheetId="12">#REF!</definedName>
    <definedName name="Cotizador_automatico_del_pedido.">#REF!</definedName>
    <definedName name="cotizador2" localSheetId="17">#REF!</definedName>
    <definedName name="cotizador2" localSheetId="1">#REF!</definedName>
    <definedName name="cotizador2">#REF!</definedName>
    <definedName name="CreditoFiscal">#REF!</definedName>
    <definedName name="_xlnm.Criteria">#REF!</definedName>
    <definedName name="Crracceso">#REF!</definedName>
    <definedName name="Crracondct">#REF!</definedName>
    <definedName name="Crralcantarilla">#REF!</definedName>
    <definedName name="Crralcantarillareadec">#REF!</definedName>
    <definedName name="Crralteomyg">#REF!</definedName>
    <definedName name="CrrApartido">#REF!</definedName>
    <definedName name="Crrapoyos">#REF!</definedName>
    <definedName name="Crrbacheo">#REF!</definedName>
    <definedName name="Crrbandason">#REF!</definedName>
    <definedName name="Crrbandasonreadec">#REF!</definedName>
    <definedName name="Crrbanquina">#REF!</definedName>
    <definedName name="Crrbaranda">#REF!</definedName>
    <definedName name="Crrbarandareadec">#REF!</definedName>
    <definedName name="Crrbase">#REF!</definedName>
    <definedName name="Crrcabezales">#REF!</definedName>
    <definedName name="Crrcalzadahorm">#REF!</definedName>
    <definedName name="Crrcalzadas">#REF!</definedName>
    <definedName name="Crrcarpeta">#REF!</definedName>
    <definedName name="Crrcarpetariego">#REF!</definedName>
    <definedName name="CrrCCura">#REF!</definedName>
    <definedName name="Crrciclovía">#REF!</definedName>
    <definedName name="Crrcolumnas">#REF!</definedName>
    <definedName name="crrcortepasto">#REF!</definedName>
    <definedName name="Crrdemolicion">#REF!</definedName>
    <definedName name="crrdesembanque">#REF!</definedName>
    <definedName name="Crrescarifbanq">#REF!</definedName>
    <definedName name="Crrescarificado">#REF!</definedName>
    <definedName name="Crrestribos">#REF!</definedName>
    <definedName name="Crrexcavacion">#REF!</definedName>
    <definedName name="Crrexcavacionreadec">#REF!</definedName>
    <definedName name="Crrgaviones">#REF!</definedName>
    <definedName name="Crrhor">#REF!</definedName>
    <definedName name="CrrhorC">#REF!</definedName>
    <definedName name="CrrhorCreadec">#REF!</definedName>
    <definedName name="Crrimprimacion">#REF!</definedName>
    <definedName name="Crrimprimrefor">#REF!</definedName>
    <definedName name="Crrinvernal">#REF!</definedName>
    <definedName name="Crrjunta">#REF!</definedName>
    <definedName name="Crrjuntadil">#REF!</definedName>
    <definedName name="Crrjuntas">#REF!</definedName>
    <definedName name="Crrlimpieza">#REF!</definedName>
    <definedName name="Crrlimpseñales">#REF!</definedName>
    <definedName name="Crrlimptransp">#REF!</definedName>
    <definedName name="Crrlosa">#REF!</definedName>
    <definedName name="Crrmatbase">#REF!</definedName>
    <definedName name="Crrmicroaglom">#REF!</definedName>
    <definedName name="Crrmicroaglomreadec">#REF!</definedName>
    <definedName name="Crrmontaje">#REF!</definedName>
    <definedName name="Crrpasamano">#REF!</definedName>
    <definedName name="Crrperfilado">#REF!</definedName>
    <definedName name="Crrpilotes">#REF!</definedName>
    <definedName name="Crrpintado">#REF!</definedName>
    <definedName name="Crrpretiles">#REF!</definedName>
    <definedName name="Crrprolongacion">#REF!</definedName>
    <definedName name="Crrprolongacionreadec">#REF!</definedName>
    <definedName name="Crrproteccion">#REF!</definedName>
    <definedName name="Crrreadsistdren1071">#REF!</definedName>
    <definedName name="Crrrelleno">#REF!</definedName>
    <definedName name="Crrrep8026">#REF!</definedName>
    <definedName name="Crrrepalc">#REF!</definedName>
    <definedName name="Crrrestdrenajereadec">#REF!</definedName>
    <definedName name="Crrretderrumbe">#REF!</definedName>
    <definedName name="Crrretrecolbaranda">#REF!</definedName>
    <definedName name="CrrRHermoso">#REF!</definedName>
    <definedName name="Crrriego">#REF!</definedName>
    <definedName name="Crrrotondas">#REF!</definedName>
    <definedName name="Crrsandef">#REF!</definedName>
    <definedName name="Crrsellado">#REF!</definedName>
    <definedName name="Crrsenda">#REF!</definedName>
    <definedName name="Crrseñalamientoreadec">#REF!</definedName>
    <definedName name="Crrseñalextrusion">#REF!</definedName>
    <definedName name="Crrseñalextrusionreadec">#REF!</definedName>
    <definedName name="Crrseñalizacion">#REF!</definedName>
    <definedName name="Crrseñalizacionreadec">#REF!</definedName>
    <definedName name="Crrseñalvertreadec">#REF!</definedName>
    <definedName name="Crrsistdren">#REF!</definedName>
    <definedName name="Crrsistdrenreadec">#REF!</definedName>
    <definedName name="Crrsubbase">#REF!</definedName>
    <definedName name="Crrterraplen">#REF!</definedName>
    <definedName name="Crrterraplenreadec">#REF!</definedName>
    <definedName name="Crrterrsincomp">#REF!</definedName>
    <definedName name="Crrtravesia">#REF!</definedName>
    <definedName name="Crrvigas">#REF!</definedName>
    <definedName name="Cuad.">#REF!</definedName>
    <definedName name="CUANT">#N/A</definedName>
    <definedName name="cub">#REF!</definedName>
    <definedName name="cucu">#REF!</definedName>
    <definedName name="Cus">#REF!</definedName>
    <definedName name="d" localSheetId="2">#REF!</definedName>
    <definedName name="d" localSheetId="0">#REF!</definedName>
    <definedName name="d" localSheetId="3">#REF!</definedName>
    <definedName name="d">#REF!</definedName>
    <definedName name="d.10" localSheetId="5">#REF!</definedName>
    <definedName name="d.10" localSheetId="18">#REF!</definedName>
    <definedName name="d.10" localSheetId="15">#REF!</definedName>
    <definedName name="d.10">#REF!</definedName>
    <definedName name="d.12" localSheetId="5">#REF!</definedName>
    <definedName name="d.12" localSheetId="18">#REF!</definedName>
    <definedName name="d.12" localSheetId="15">#REF!</definedName>
    <definedName name="d.12">#REF!</definedName>
    <definedName name="d.16" localSheetId="5">#REF!</definedName>
    <definedName name="d.16" localSheetId="18">#REF!</definedName>
    <definedName name="d.16" localSheetId="15">#REF!</definedName>
    <definedName name="d.16">#REF!</definedName>
    <definedName name="d.20" localSheetId="5">#REF!</definedName>
    <definedName name="d.20" localSheetId="18">#REF!</definedName>
    <definedName name="d.20" localSheetId="15">#REF!</definedName>
    <definedName name="d.20">#REF!</definedName>
    <definedName name="d.25" localSheetId="5">#REF!</definedName>
    <definedName name="d.25" localSheetId="18">#REF!</definedName>
    <definedName name="d.25" localSheetId="15">#REF!</definedName>
    <definedName name="d.25">#REF!</definedName>
    <definedName name="d.6" localSheetId="5">#REF!</definedName>
    <definedName name="d.6" localSheetId="18">#REF!</definedName>
    <definedName name="d.6" localSheetId="15">#REF!</definedName>
    <definedName name="d.6">#REF!</definedName>
    <definedName name="d.8" localSheetId="5">#REF!</definedName>
    <definedName name="d.8" localSheetId="18">#REF!</definedName>
    <definedName name="d.8" localSheetId="15">#REF!</definedName>
    <definedName name="d.8">#REF!</definedName>
    <definedName name="Data" localSheetId="18">#REF!</definedName>
    <definedName name="Data">#REF!</definedName>
    <definedName name="_xlnm.Database">#REF!</definedName>
    <definedName name="DATOS">#REF!</definedName>
    <definedName name="DCC" localSheetId="5">#REF!</definedName>
    <definedName name="DCC" localSheetId="18">#REF!</definedName>
    <definedName name="DCC" localSheetId="15">#REF!</definedName>
    <definedName name="DCC">#REF!</definedName>
    <definedName name="ddlim" localSheetId="18">#REF!</definedName>
    <definedName name="ddlim">#REF!</definedName>
    <definedName name="decimal" localSheetId="5" hidden="1">{"DECIMAL",#N/A,FALSE,"02"}</definedName>
    <definedName name="decimal" localSheetId="18" hidden="1">{"DECIMAL",#N/A,FALSE,"02"}</definedName>
    <definedName name="decimal" hidden="1">{"DECIMAL",#N/A,FALSE,"02"}</definedName>
    <definedName name="Decreto_2641_02" localSheetId="5">#REF!</definedName>
    <definedName name="Decreto_2641_02" localSheetId="18">#REF!</definedName>
    <definedName name="Decreto_2641_02" localSheetId="15">#REF!</definedName>
    <definedName name="Decreto_2641_02">#REF!</definedName>
    <definedName name="DEESP" localSheetId="4">#REF!</definedName>
    <definedName name="DEESP" localSheetId="5">#REF!</definedName>
    <definedName name="DEESP" localSheetId="18">#REF!</definedName>
    <definedName name="DEESP" localSheetId="15">#REF!</definedName>
    <definedName name="DEESP" localSheetId="12">#REF!</definedName>
    <definedName name="DEESP">#REF!</definedName>
    <definedName name="DELTA">#N/A</definedName>
    <definedName name="DenominacionAcero" localSheetId="5">#REF!</definedName>
    <definedName name="DenominacionAcero">#REF!</definedName>
    <definedName name="DenominacioPerfiles" localSheetId="5">#REF!</definedName>
    <definedName name="DenominacioPerfiles">#REF!</definedName>
    <definedName name="Descuentos" localSheetId="17">#REF!</definedName>
    <definedName name="Descuentos" localSheetId="4">#REF!</definedName>
    <definedName name="Descuentos" localSheetId="5">#REF!</definedName>
    <definedName name="Descuentos" localSheetId="18">#REF!</definedName>
    <definedName name="Descuentos" localSheetId="12">#REF!</definedName>
    <definedName name="Descuentos">#REF!</definedName>
    <definedName name="Descuentos2" localSheetId="17">#REF!</definedName>
    <definedName name="Descuentos2" localSheetId="4">#REF!</definedName>
    <definedName name="Descuentos2" localSheetId="18">#REF!</definedName>
    <definedName name="Descuentos2" localSheetId="12">#REF!</definedName>
    <definedName name="Descuentos2">#REF!</definedName>
    <definedName name="Desperdicio_Armadura" localSheetId="5">#REF!</definedName>
    <definedName name="Desperdicio_Armadura" localSheetId="18">#REF!</definedName>
    <definedName name="Desperdicio_Armadura" localSheetId="15">#REF!</definedName>
    <definedName name="Desperdicio_Armadura">#REF!</definedName>
    <definedName name="Destino_Edificio" localSheetId="18">#REF!</definedName>
    <definedName name="Destino_Edificio">#REF!</definedName>
    <definedName name="Detalle" localSheetId="5" hidden="1">{"NORMAL",#N/A,FALSE,"02"}</definedName>
    <definedName name="Detalle" localSheetId="18" hidden="1">{"NORMAL",#N/A,FALSE,"02"}</definedName>
    <definedName name="Detalle" hidden="1">{"NORMAL",#N/A,FALSE,"02"}</definedName>
    <definedName name="dF">#REF!</definedName>
    <definedName name="dfgsgsg">#REF!</definedName>
    <definedName name="DHDAM" localSheetId="4">#REF!</definedName>
    <definedName name="DHDAM" localSheetId="5">#REF!</definedName>
    <definedName name="DHDAM" localSheetId="18">#REF!</definedName>
    <definedName name="DHDAM" localSheetId="15">#REF!</definedName>
    <definedName name="DHDAM" localSheetId="12">#REF!</definedName>
    <definedName name="DHDAM">#REF!</definedName>
    <definedName name="DHDD" localSheetId="4">#REF!</definedName>
    <definedName name="DHDD" localSheetId="18">#REF!</definedName>
    <definedName name="DHDD" localSheetId="15">#REF!</definedName>
    <definedName name="DHDD" localSheetId="12">#REF!</definedName>
    <definedName name="DHDD">#REF!</definedName>
    <definedName name="DHDDA" localSheetId="4">#REF!</definedName>
    <definedName name="DHDDA" localSheetId="18">#REF!</definedName>
    <definedName name="DHDDA" localSheetId="15">#REF!</definedName>
    <definedName name="DHDDA" localSheetId="12">#REF!</definedName>
    <definedName name="DHDDA">#REF!</definedName>
    <definedName name="DHDDB" localSheetId="5">#REF!</definedName>
    <definedName name="DHDDB" localSheetId="18">#REF!</definedName>
    <definedName name="DHDDB" localSheetId="15">#REF!</definedName>
    <definedName name="DHDDB">#REF!</definedName>
    <definedName name="DHDDE" localSheetId="4">#REF!</definedName>
    <definedName name="DHDDE" localSheetId="18">#REF!</definedName>
    <definedName name="DHDDE" localSheetId="15">#REF!</definedName>
    <definedName name="DHDDE" localSheetId="12">#REF!</definedName>
    <definedName name="DHDDE">#REF!</definedName>
    <definedName name="DHDEM" localSheetId="4">#REF!</definedName>
    <definedName name="DHDEM" localSheetId="18">#REF!</definedName>
    <definedName name="DHDEM" localSheetId="15">#REF!</definedName>
    <definedName name="DHDEM" localSheetId="12">#REF!</definedName>
    <definedName name="DHDEM">#REF!</definedName>
    <definedName name="DHDPO" localSheetId="4">#REF!</definedName>
    <definedName name="DHDPO" localSheetId="18">#REF!</definedName>
    <definedName name="DHDPO" localSheetId="15">#REF!</definedName>
    <definedName name="DHDPO" localSheetId="12">#REF!</definedName>
    <definedName name="DHDPO">#REF!</definedName>
    <definedName name="DHMPO" localSheetId="4">#REF!</definedName>
    <definedName name="DHMPO" localSheetId="18">#REF!</definedName>
    <definedName name="DHMPO" localSheetId="15">#REF!</definedName>
    <definedName name="DHMPO" localSheetId="12">#REF!</definedName>
    <definedName name="DHMPO">#REF!</definedName>
    <definedName name="DIAMETROS">#REF!</definedName>
    <definedName name="Diámetros_y_Espesores_de_P.V.C.">#REF!</definedName>
    <definedName name="Dias_Enfermedad" localSheetId="5">#REF!</definedName>
    <definedName name="Dias_Enfermedad" localSheetId="18">#REF!</definedName>
    <definedName name="Dias_Enfermedad" localSheetId="15">#REF!</definedName>
    <definedName name="Dias_Enfermedad">#REF!</definedName>
    <definedName name="Diesel" localSheetId="18">#REF!</definedName>
    <definedName name="Diesel">#REF!</definedName>
    <definedName name="dil">#REF!</definedName>
    <definedName name="DINTS" localSheetId="4">#REF!</definedName>
    <definedName name="DINTS" localSheetId="18">#REF!</definedName>
    <definedName name="DINTS" localSheetId="15">#REF!</definedName>
    <definedName name="DINTS" localSheetId="12">#REF!</definedName>
    <definedName name="DINTS">#REF!</definedName>
    <definedName name="dlim">#REF!</definedName>
    <definedName name="DMPGR" localSheetId="5">#REF!</definedName>
    <definedName name="DMPGR" localSheetId="18">#REF!</definedName>
    <definedName name="DMPGR" localSheetId="15">#REF!</definedName>
    <definedName name="DMPGR">#REF!</definedName>
    <definedName name="DMPGRAM" localSheetId="5">#REF!</definedName>
    <definedName name="DMPGRAM" localSheetId="18">#REF!</definedName>
    <definedName name="DMPGRAM" localSheetId="15">#REF!</definedName>
    <definedName name="DMPGRAM">#REF!</definedName>
    <definedName name="docum" localSheetId="18">#REF!</definedName>
    <definedName name="docum">#REF!</definedName>
    <definedName name="DOLAR">#REF!</definedName>
    <definedName name="Dólar">#REF!</definedName>
    <definedName name="Dollar">#REF!</definedName>
    <definedName name="DR">#REF!</definedName>
    <definedName name="DRdos">#REF!</definedName>
    <definedName name="DReq">#REF!</definedName>
    <definedName name="DReqdos">#REF!</definedName>
    <definedName name="DRuno">#REF!</definedName>
    <definedName name="drwtr">#REF!</definedName>
    <definedName name="DTHBMPG" localSheetId="5">#REF!</definedName>
    <definedName name="DTHBMPG" localSheetId="18">#REF!</definedName>
    <definedName name="DTHBMPG" localSheetId="15">#REF!</definedName>
    <definedName name="DTHBMPG">#REF!</definedName>
    <definedName name="DTHDABM" localSheetId="5">#REF!</definedName>
    <definedName name="DTHDABM" localSheetId="18">#REF!</definedName>
    <definedName name="DTHDABM" localSheetId="15">#REF!</definedName>
    <definedName name="DTHDABM">#REF!</definedName>
    <definedName name="DTHDAPM" localSheetId="5">#REF!</definedName>
    <definedName name="DTHDAPM" localSheetId="18">#REF!</definedName>
    <definedName name="DTHDAPM" localSheetId="15">#REF!</definedName>
    <definedName name="DTHDAPM">#REF!</definedName>
    <definedName name="DTHDBPM" localSheetId="5">#REF!</definedName>
    <definedName name="DTHDBPM" localSheetId="18">#REF!</definedName>
    <definedName name="DTHDBPM" localSheetId="15">#REF!</definedName>
    <definedName name="DTHDBPM">#REF!</definedName>
    <definedName name="DTHPDCO" localSheetId="5">#REF!</definedName>
    <definedName name="DTHPDCO" localSheetId="18">#REF!</definedName>
    <definedName name="DTHPDCO" localSheetId="15">#REF!</definedName>
    <definedName name="DTHPDCO">#REF!</definedName>
    <definedName name="DTHPDDA" localSheetId="5">#REF!</definedName>
    <definedName name="DTHPDDA" localSheetId="18">#REF!</definedName>
    <definedName name="DTHPDDA" localSheetId="15">#REF!</definedName>
    <definedName name="DTHPDDA">#REF!</definedName>
    <definedName name="DTHPDDB" localSheetId="5">#REF!</definedName>
    <definedName name="DTHPDDB" localSheetId="18">#REF!</definedName>
    <definedName name="DTHPDDB" localSheetId="15">#REF!</definedName>
    <definedName name="DTHPDDB">#REF!</definedName>
    <definedName name="DTHPGCO" localSheetId="5">#REF!</definedName>
    <definedName name="DTHPGCO" localSheetId="18">#REF!</definedName>
    <definedName name="DTHPGCO" localSheetId="15">#REF!</definedName>
    <definedName name="DTHPGCO">#REF!</definedName>
    <definedName name="DTHPMBM" localSheetId="5">#REF!</definedName>
    <definedName name="DTHPMBM" localSheetId="18">#REF!</definedName>
    <definedName name="DTHPMBM" localSheetId="15">#REF!</definedName>
    <definedName name="DTHPMBM">#REF!</definedName>
    <definedName name="DVDD" localSheetId="4">#REF!</definedName>
    <definedName name="DVDD" localSheetId="18">#REF!</definedName>
    <definedName name="DVDD" localSheetId="15">#REF!</definedName>
    <definedName name="DVDD" localSheetId="12">#REF!</definedName>
    <definedName name="DVDD">#REF!</definedName>
    <definedName name="DVDEM" localSheetId="4">#REF!</definedName>
    <definedName name="DVDEM" localSheetId="18">#REF!</definedName>
    <definedName name="DVDEM" localSheetId="15">#REF!</definedName>
    <definedName name="DVDEM" localSheetId="12">#REF!</definedName>
    <definedName name="DVDEM">#REF!</definedName>
    <definedName name="DVEM" localSheetId="4">#REF!</definedName>
    <definedName name="DVEM" localSheetId="18">#REF!</definedName>
    <definedName name="DVEM" localSheetId="15">#REF!</definedName>
    <definedName name="DVEM" localSheetId="12">#REF!</definedName>
    <definedName name="DVEM">#REF!</definedName>
    <definedName name="E">#N/A</definedName>
    <definedName name="EASP" localSheetId="4">#REF!</definedName>
    <definedName name="EASP" localSheetId="5">#REF!</definedName>
    <definedName name="EASP" localSheetId="18">#REF!</definedName>
    <definedName name="EASP" localSheetId="15">#REF!</definedName>
    <definedName name="EASP" localSheetId="12">#REF!</definedName>
    <definedName name="EASP">#REF!</definedName>
    <definedName name="Ee" localSheetId="5">#REF!</definedName>
    <definedName name="Ee">#REF!</definedName>
    <definedName name="Ef" localSheetId="5">#REF!</definedName>
    <definedName name="Ef">#REF!</definedName>
    <definedName name="Ei">#REF!</definedName>
    <definedName name="EINC">#REF!</definedName>
    <definedName name="Eléctrica">#REF!</definedName>
    <definedName name="Em">#REF!</definedName>
    <definedName name="EMSP" localSheetId="5">#REF!</definedName>
    <definedName name="EMSP" localSheetId="18">#REF!</definedName>
    <definedName name="EMSP" localSheetId="15">#REF!</definedName>
    <definedName name="EMSP">#REF!</definedName>
    <definedName name="EncabezadoAnalisis" localSheetId="5">#REF!</definedName>
    <definedName name="EncabezadoAnalisis" localSheetId="18">#REF!</definedName>
    <definedName name="EncabezadoAnalisis" localSheetId="15">#REF!</definedName>
    <definedName name="EncabezadoAnalisis">#REF!</definedName>
    <definedName name="End_Bal" localSheetId="18">#REF!</definedName>
    <definedName name="End_Bal">#REF!</definedName>
    <definedName name="ENERGIA" localSheetId="5">#REF!</definedName>
    <definedName name="ENERGIA" localSheetId="18">#REF!</definedName>
    <definedName name="ENERGIA" localSheetId="15">#REF!</definedName>
    <definedName name="ENERGIA">#REF!</definedName>
    <definedName name="ENREUTAB" localSheetId="5">#REF!</definedName>
    <definedName name="ENREUTAB" localSheetId="18">#REF!</definedName>
    <definedName name="ENREUTAB" localSheetId="15">#REF!</definedName>
    <definedName name="ENREUTAB">#REF!</definedName>
    <definedName name="ENREUTIR" localSheetId="5">#REF!</definedName>
    <definedName name="ENREUTIR" localSheetId="18">#REF!</definedName>
    <definedName name="ENREUTIR" localSheetId="15">#REF!</definedName>
    <definedName name="ENREUTIR">#REF!</definedName>
    <definedName name="Eo" localSheetId="18">#REF!</definedName>
    <definedName name="Eo">#REF!</definedName>
    <definedName name="eq">#REF!</definedName>
    <definedName name="eqimp">#REF!</definedName>
    <definedName name="eqnac">#REF!</definedName>
    <definedName name="EQS">#REF!</definedName>
    <definedName name="equipo">#REF!</definedName>
    <definedName name="EQUIPOS">#REF!</definedName>
    <definedName name="ES">#REF!</definedName>
    <definedName name="escala">#REF!</definedName>
    <definedName name="Escenarios">#REF!</definedName>
    <definedName name="espera_del_pago">#REF!</definedName>
    <definedName name="Et">#REF!</definedName>
    <definedName name="etapaII">#REF!</definedName>
    <definedName name="etapaIII">#REF!</definedName>
    <definedName name="EX">#N/A</definedName>
    <definedName name="EXAP" localSheetId="4">#REF!</definedName>
    <definedName name="EXAP" localSheetId="5">#REF!</definedName>
    <definedName name="EXAP" localSheetId="18">#REF!</definedName>
    <definedName name="EXAP" localSheetId="15">#REF!</definedName>
    <definedName name="EXAP" localSheetId="12">#REF!</definedName>
    <definedName name="EXAP">#REF!</definedName>
    <definedName name="EXAPI" localSheetId="4">#REF!</definedName>
    <definedName name="EXAPI" localSheetId="5">#REF!</definedName>
    <definedName name="EXAPI" localSheetId="18">#REF!</definedName>
    <definedName name="EXAPI" localSheetId="15">#REF!</definedName>
    <definedName name="EXAPI" localSheetId="12">#REF!</definedName>
    <definedName name="EXAPI">#REF!</definedName>
    <definedName name="EXAS" localSheetId="4">#REF!</definedName>
    <definedName name="EXAS" localSheetId="5">#REF!</definedName>
    <definedName name="EXAS" localSheetId="18">#REF!</definedName>
    <definedName name="EXAS" localSheetId="15">#REF!</definedName>
    <definedName name="EXAS" localSheetId="12">#REF!</definedName>
    <definedName name="EXAS">#REF!</definedName>
    <definedName name="EXAZ" localSheetId="4">#REF!</definedName>
    <definedName name="EXAZ" localSheetId="18">#REF!</definedName>
    <definedName name="EXAZ" localSheetId="15">#REF!</definedName>
    <definedName name="EXAZ" localSheetId="12">#REF!</definedName>
    <definedName name="EXAZ">#REF!</definedName>
    <definedName name="EXBE" localSheetId="5">#REF!</definedName>
    <definedName name="EXBE" localSheetId="18">#REF!</definedName>
    <definedName name="EXBE" localSheetId="15">#REF!</definedName>
    <definedName name="EXBE">#REF!</definedName>
    <definedName name="EXCD" localSheetId="5">#REF!</definedName>
    <definedName name="EXCD" localSheetId="18">#REF!</definedName>
    <definedName name="EXCD" localSheetId="15">#REF!</definedName>
    <definedName name="EXCD">#REF!</definedName>
    <definedName name="EXCM" localSheetId="5">#REF!</definedName>
    <definedName name="EXCM" localSheetId="18">#REF!</definedName>
    <definedName name="EXCM" localSheetId="15">#REF!</definedName>
    <definedName name="EXCM">#REF!</definedName>
    <definedName name="EXCT" localSheetId="5">#REF!</definedName>
    <definedName name="EXCT" localSheetId="18">#REF!</definedName>
    <definedName name="EXCT" localSheetId="15">#REF!</definedName>
    <definedName name="EXCT">#REF!</definedName>
    <definedName name="EXESP" localSheetId="5">#REF!</definedName>
    <definedName name="EXESP" localSheetId="18">#REF!</definedName>
    <definedName name="EXESP" localSheetId="15">#REF!</definedName>
    <definedName name="EXESP">#REF!</definedName>
    <definedName name="EXLP" localSheetId="5">#REF!</definedName>
    <definedName name="EXLP" localSheetId="18">#REF!</definedName>
    <definedName name="EXLP" localSheetId="15">#REF!</definedName>
    <definedName name="EXLP">#REF!</definedName>
    <definedName name="EXLS" localSheetId="5">#REF!</definedName>
    <definedName name="EXLS" localSheetId="18">#REF!</definedName>
    <definedName name="EXLS" localSheetId="15">#REF!</definedName>
    <definedName name="EXLS">#REF!</definedName>
    <definedName name="EXNC" localSheetId="5">#REF!</definedName>
    <definedName name="EXNC" localSheetId="18">#REF!</definedName>
    <definedName name="EXNC" localSheetId="15">#REF!</definedName>
    <definedName name="EXNC">#REF!</definedName>
    <definedName name="EXNP" localSheetId="5">#REF!</definedName>
    <definedName name="EXNP" localSheetId="18">#REF!</definedName>
    <definedName name="EXNP" localSheetId="15">#REF!</definedName>
    <definedName name="EXNP">#REF!</definedName>
    <definedName name="EXPOSICION" localSheetId="18">#REF!</definedName>
    <definedName name="EXPOSICION">#REF!</definedName>
    <definedName name="EXPZ" localSheetId="5">#REF!</definedName>
    <definedName name="EXPZ" localSheetId="18">#REF!</definedName>
    <definedName name="EXPZ" localSheetId="15">#REF!</definedName>
    <definedName name="EXPZ">#REF!</definedName>
    <definedName name="EXSP" localSheetId="5">#REF!</definedName>
    <definedName name="EXSP" localSheetId="18">#REF!</definedName>
    <definedName name="EXSP" localSheetId="15">#REF!</definedName>
    <definedName name="EXSP">#REF!</definedName>
    <definedName name="Extra_Pay" localSheetId="18">#REF!</definedName>
    <definedName name="Extra_Pay">#REF!</definedName>
    <definedName name="EY">#N/A</definedName>
    <definedName name="FASES">#N/A</definedName>
    <definedName name="FCT" localSheetId="5">#REF!</definedName>
    <definedName name="FCT" localSheetId="18">#REF!</definedName>
    <definedName name="FCT" localSheetId="15">#REF!</definedName>
    <definedName name="FCT">#REF!</definedName>
    <definedName name="Fe" localSheetId="5">#REF!</definedName>
    <definedName name="Fe" localSheetId="18">#REF!</definedName>
    <definedName name="Fe">#REF!</definedName>
    <definedName name="Fecha" localSheetId="5">#REF!</definedName>
    <definedName name="Fecha" localSheetId="18">#REF!</definedName>
    <definedName name="Fecha" localSheetId="15">#REF!</definedName>
    <definedName name="Fecha">#REF!</definedName>
    <definedName name="FF" localSheetId="18">#REF!</definedName>
    <definedName name="FF" localSheetId="15">#REF!</definedName>
    <definedName name="FF">#REF!</definedName>
    <definedName name="ffdfsd">#REF!</definedName>
    <definedName name="fi">#REF!</definedName>
    <definedName name="fin" localSheetId="4">#REF!</definedName>
    <definedName name="fin" localSheetId="18">#REF!</definedName>
    <definedName name="fin" localSheetId="15">#REF!</definedName>
    <definedName name="fin" localSheetId="12">#REF!</definedName>
    <definedName name="fin">#REF!</definedName>
    <definedName name="finor">#REF!</definedName>
    <definedName name="FL">#REF!</definedName>
    <definedName name="FLECHA">#REF!</definedName>
    <definedName name="Flete">#REF!</definedName>
    <definedName name="FleteReal">#REF!</definedName>
    <definedName name="flex">#REF!</definedName>
    <definedName name="flexposte">#REF!</definedName>
    <definedName name="fo">#REF!</definedName>
    <definedName name="Fondo_Desempleo" localSheetId="5">#REF!</definedName>
    <definedName name="Fondo_Desempleo" localSheetId="18">#REF!</definedName>
    <definedName name="Fondo_Desempleo" localSheetId="15">#REF!</definedName>
    <definedName name="Fondo_Desempleo">#REF!</definedName>
    <definedName name="formula_analisis" localSheetId="5">#REF!</definedName>
    <definedName name="formula_analisis" localSheetId="18">#REF!</definedName>
    <definedName name="formula_analisis" localSheetId="15">#REF!</definedName>
    <definedName name="formula_analisis">#REF!</definedName>
    <definedName name="formula_formula" localSheetId="5">#REF!</definedName>
    <definedName name="formula_formula" localSheetId="18">#REF!</definedName>
    <definedName name="formula_formula" localSheetId="15">#REF!</definedName>
    <definedName name="formula_formula">#REF!</definedName>
    <definedName name="Fórmula_General_para_Determinación_de_f" localSheetId="18">#REF!</definedName>
    <definedName name="Fórmula_General_para_Determinación_de_f">#REF!</definedName>
    <definedName name="formula_insumo" localSheetId="5">#REF!</definedName>
    <definedName name="formula_insumo" localSheetId="18">#REF!</definedName>
    <definedName name="formula_insumo" localSheetId="15">#REF!</definedName>
    <definedName name="formula_insumo">#REF!</definedName>
    <definedName name="formula_presupuesto" localSheetId="5">#REF!</definedName>
    <definedName name="formula_presupuesto" localSheetId="18">#REF!</definedName>
    <definedName name="formula_presupuesto" localSheetId="15">#REF!</definedName>
    <definedName name="formula_presupuesto">#REF!</definedName>
    <definedName name="formula_rubro" localSheetId="5">#REF!</definedName>
    <definedName name="formula_rubro" localSheetId="18">#REF!</definedName>
    <definedName name="formula_rubro" localSheetId="15">#REF!</definedName>
    <definedName name="formula_rubro">#REF!</definedName>
    <definedName name="formulapatron" localSheetId="5">#REF!</definedName>
    <definedName name="formulapatron" localSheetId="18">#REF!</definedName>
    <definedName name="formulapatron" localSheetId="15">#REF!</definedName>
    <definedName name="formulapatron">#REF!</definedName>
    <definedName name="formulas" localSheetId="5">#REF!</definedName>
    <definedName name="formulas" localSheetId="18">#REF!</definedName>
    <definedName name="formulas" localSheetId="15">#REF!</definedName>
    <definedName name="formulas">#REF!</definedName>
    <definedName name="formulasenlace" localSheetId="4">#REF!</definedName>
    <definedName name="formulasenlace" localSheetId="18">#REF!</definedName>
    <definedName name="formulasenlace" localSheetId="15">#REF!</definedName>
    <definedName name="formulasenlace" localSheetId="12">#REF!</definedName>
    <definedName name="formulasenlace">#REF!</definedName>
    <definedName name="FP">#REF!</definedName>
    <definedName name="FP_">#REF!</definedName>
    <definedName name="FP__">#REF!</definedName>
    <definedName name="frame0">#REF!</definedName>
    <definedName name="frameF">#REF!</definedName>
    <definedName name="framevs">#REF!</definedName>
    <definedName name="FT">#REF!</definedName>
    <definedName name="fu" localSheetId="15">#REF!</definedName>
    <definedName name="fu">#REF!</definedName>
    <definedName name="Full_Print">#REF!</definedName>
    <definedName name="FX_">#REF!</definedName>
    <definedName name="FY">#REF!</definedName>
    <definedName name="g">#REF!</definedName>
    <definedName name="G0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rantia">#REF!</definedName>
    <definedName name="GASOIL" localSheetId="5">#REF!</definedName>
    <definedName name="GASOIL" localSheetId="18">#REF!</definedName>
    <definedName name="GASOIL" localSheetId="15">#REF!</definedName>
    <definedName name="GASOIL">#REF!</definedName>
    <definedName name="gaviones" localSheetId="5">#REF!</definedName>
    <definedName name="gaviones" localSheetId="18">#REF!</definedName>
    <definedName name="gaviones">#REF!</definedName>
    <definedName name="gavr">#REF!</definedName>
    <definedName name="gc">#REF!</definedName>
    <definedName name="GE">#REF!</definedName>
    <definedName name="gel">#REF!</definedName>
    <definedName name="geot">#REF!</definedName>
    <definedName name="gfgfgf" localSheetId="4">#REF!</definedName>
    <definedName name="gfgfgf" localSheetId="18">#REF!</definedName>
    <definedName name="gfgfgf" localSheetId="15">#REF!</definedName>
    <definedName name="gfgfgf" localSheetId="12">#REF!</definedName>
    <definedName name="gfgfgf">#REF!</definedName>
    <definedName name="GFINANCIEROS">#REF!</definedName>
    <definedName name="GGDirecto">#REF!</definedName>
    <definedName name="GGENERALES">#REF!</definedName>
    <definedName name="GGIndirecto">#REF!</definedName>
    <definedName name="Gh">#REF!</definedName>
    <definedName name="GImpositivos">#REF!</definedName>
    <definedName name="GLDP" localSheetId="4">#REF!</definedName>
    <definedName name="GLDP" localSheetId="18">#REF!</definedName>
    <definedName name="GLDP" localSheetId="15">#REF!</definedName>
    <definedName name="GLDP" localSheetId="12">#REF!</definedName>
    <definedName name="GLDP">#REF!</definedName>
    <definedName name="go">#REF!</definedName>
    <definedName name="Gradiente_En__Canales">#REF!</definedName>
    <definedName name="Gradiente_En__Canales_Circulares_a_Sección_Llena">#REF!</definedName>
    <definedName name="Gradiente_En__Orificio_de_Fondo">#REF!</definedName>
    <definedName name="Gradiente_En__Tuberías_en_Presión">#REF!</definedName>
    <definedName name="Gradiente_En_Canaleta_Parshal">#REF!</definedName>
    <definedName name="Gradiente_En_Curva_en_Canales">#REF!</definedName>
    <definedName name="Gradiente_En_Curva_en_Cañerías">#REF!</definedName>
    <definedName name="Gradiente_En_Dispersor_Hidráulico">#REF!</definedName>
    <definedName name="Gradiente_En_Floculador_Hidráulico">#REF!</definedName>
    <definedName name="Gradiente_En_Floculador_Mecánico">#REF!</definedName>
    <definedName name="Gradiente_En_Placa_Orificio">#REF!</definedName>
    <definedName name="Gradiente_En_Vertedero_de_Umbral_Horizontal">#REF!</definedName>
    <definedName name="graf" localSheetId="5" hidden="1">{#N/A,#N/A,TRUE,"Cert.Global";#N/A,#N/A,TRUE,"Cert. M&amp;C";#N/A,#N/A,TRUE,"Cert. Engineering";#N/A,#N/A,TRUE,"Cert. Procurement ";#N/A,#N/A,TRUE,"Cert. Constr. Manag."}</definedName>
    <definedName name="graf" localSheetId="18" hidden="1">{#N/A,#N/A,TRUE,"Cert.Global";#N/A,#N/A,TRUE,"Cert. M&amp;C";#N/A,#N/A,TRUE,"Cert. Engineering";#N/A,#N/A,TRUE,"Cert. Procurement ";#N/A,#N/A,TRUE,"Cert. Constr. Manag."}</definedName>
    <definedName name="graf" hidden="1">{#N/A,#N/A,TRUE,"Cert.Global";#N/A,#N/A,TRUE,"Cert. M&amp;C";#N/A,#N/A,TRUE,"Cert. Engineering";#N/A,#N/A,TRUE,"Cert. Procurement ";#N/A,#N/A,TRUE,"Cert. Constr. Manag."}</definedName>
    <definedName name="grr">#REF!</definedName>
    <definedName name="GRUPOS" localSheetId="5">#REF!</definedName>
    <definedName name="GRUPOS" localSheetId="18">#REF!</definedName>
    <definedName name="GRUPOS" localSheetId="15">#REF!</definedName>
    <definedName name="GRUPOS">#REF!</definedName>
    <definedName name="guarderia" localSheetId="2">#REF!</definedName>
    <definedName name="guarderia" localSheetId="0">#REF!</definedName>
    <definedName name="guarderia" localSheetId="5">#REF!</definedName>
    <definedName name="guarderia" localSheetId="18">#REF!</definedName>
    <definedName name="guarderia" localSheetId="3">#REF!</definedName>
    <definedName name="guarderia">#REF!</definedName>
    <definedName name="H">#REF!</definedName>
    <definedName name="H.Cuad.">#REF!</definedName>
    <definedName name="H.Red.">#REF!</definedName>
    <definedName name="Ha">#REF!</definedName>
    <definedName name="HAADB" localSheetId="5">#REF!</definedName>
    <definedName name="HAADB" localSheetId="18">#REF!</definedName>
    <definedName name="HAADB" localSheetId="15">#REF!</definedName>
    <definedName name="HAADB">#REF!</definedName>
    <definedName name="HAADC" localSheetId="5">#REF!</definedName>
    <definedName name="HAADC" localSheetId="18">#REF!</definedName>
    <definedName name="HAADC" localSheetId="15">#REF!</definedName>
    <definedName name="HAADC">#REF!</definedName>
    <definedName name="HAADE" localSheetId="5">#REF!</definedName>
    <definedName name="HAADE" localSheetId="18">#REF!</definedName>
    <definedName name="HAADE" localSheetId="15">#REF!</definedName>
    <definedName name="HAADE">#REF!</definedName>
    <definedName name="HAADL" localSheetId="5">#REF!</definedName>
    <definedName name="HAADL" localSheetId="18">#REF!</definedName>
    <definedName name="HAADL" localSheetId="15">#REF!</definedName>
    <definedName name="HAADL">#REF!</definedName>
    <definedName name="HAADT" localSheetId="5">#REF!</definedName>
    <definedName name="HAADT" localSheetId="18">#REF!</definedName>
    <definedName name="HAADT" localSheetId="15">#REF!</definedName>
    <definedName name="HAADT">#REF!</definedName>
    <definedName name="HAADV" localSheetId="5">#REF!</definedName>
    <definedName name="HAADV" localSheetId="18">#REF!</definedName>
    <definedName name="HAADV" localSheetId="15">#REF!</definedName>
    <definedName name="HAADV">#REF!</definedName>
    <definedName name="HAAP" localSheetId="5">#REF!</definedName>
    <definedName name="HAAP" localSheetId="18">#REF!</definedName>
    <definedName name="HAAP" localSheetId="15">#REF!</definedName>
    <definedName name="HAAP">#REF!</definedName>
    <definedName name="HAAT" localSheetId="5">#REF!</definedName>
    <definedName name="HAAT" localSheetId="18">#REF!</definedName>
    <definedName name="HAAT" localSheetId="15">#REF!</definedName>
    <definedName name="HAAT">#REF!</definedName>
    <definedName name="HAAV" localSheetId="5">#REF!</definedName>
    <definedName name="HAAV" localSheetId="18">#REF!</definedName>
    <definedName name="HAAV" localSheetId="15">#REF!</definedName>
    <definedName name="HAAV">#REF!</definedName>
    <definedName name="HACAB" localSheetId="5">#REF!</definedName>
    <definedName name="HACAB" localSheetId="18">#REF!</definedName>
    <definedName name="HACAB" localSheetId="15">#REF!</definedName>
    <definedName name="HACAB">#REF!</definedName>
    <definedName name="HACABCP" localSheetId="5">#REF!</definedName>
    <definedName name="HACABCP" localSheetId="18">#REF!</definedName>
    <definedName name="HACABCP" localSheetId="15">#REF!</definedName>
    <definedName name="HACABCP">#REF!</definedName>
    <definedName name="HACABE" localSheetId="5">#REF!</definedName>
    <definedName name="HACABE" localSheetId="18">#REF!</definedName>
    <definedName name="HACABE" localSheetId="15">#REF!</definedName>
    <definedName name="HACABE">#REF!</definedName>
    <definedName name="HACABEE" localSheetId="5">#REF!</definedName>
    <definedName name="HACABEE" localSheetId="18">#REF!</definedName>
    <definedName name="HACABEE" localSheetId="15">#REF!</definedName>
    <definedName name="HACABEE">#REF!</definedName>
    <definedName name="HACABLA" localSheetId="5">#REF!</definedName>
    <definedName name="HACABLA" localSheetId="18">#REF!</definedName>
    <definedName name="HACABLA" localSheetId="15">#REF!</definedName>
    <definedName name="HACABLA">#REF!</definedName>
    <definedName name="HACABLB" localSheetId="5">#REF!</definedName>
    <definedName name="HACABLB" localSheetId="18">#REF!</definedName>
    <definedName name="HACABLB" localSheetId="15">#REF!</definedName>
    <definedName name="HACABLB">#REF!</definedName>
    <definedName name="HACAC" localSheetId="5">#REF!</definedName>
    <definedName name="HACAC" localSheetId="18">#REF!</definedName>
    <definedName name="HACAC" localSheetId="15">#REF!</definedName>
    <definedName name="HACAC">#REF!</definedName>
    <definedName name="HACACT" localSheetId="5">#REF!</definedName>
    <definedName name="HACACT" localSheetId="18">#REF!</definedName>
    <definedName name="HACACT" localSheetId="15">#REF!</definedName>
    <definedName name="HACACT">#REF!</definedName>
    <definedName name="HACAE" localSheetId="5">#REF!</definedName>
    <definedName name="HACAE" localSheetId="18">#REF!</definedName>
    <definedName name="HACAE" localSheetId="15">#REF!</definedName>
    <definedName name="HACAE">#REF!</definedName>
    <definedName name="HACAL" localSheetId="5">#REF!</definedName>
    <definedName name="HACAL" localSheetId="18">#REF!</definedName>
    <definedName name="HACAL" localSheetId="15">#REF!</definedName>
    <definedName name="HACAL">#REF!</definedName>
    <definedName name="HACALF" localSheetId="5">#REF!</definedName>
    <definedName name="HACALF" localSheetId="18">#REF!</definedName>
    <definedName name="HACALF" localSheetId="15">#REF!</definedName>
    <definedName name="HACALF">#REF!</definedName>
    <definedName name="HACAP" localSheetId="5">#REF!</definedName>
    <definedName name="HACAP" localSheetId="18">#REF!</definedName>
    <definedName name="HACAP" localSheetId="15">#REF!</definedName>
    <definedName name="HACAP">#REF!</definedName>
    <definedName name="HACAT" localSheetId="5">#REF!</definedName>
    <definedName name="HACAT" localSheetId="18">#REF!</definedName>
    <definedName name="HACAT" localSheetId="15">#REF!</definedName>
    <definedName name="HACAT">#REF!</definedName>
    <definedName name="HACATS" localSheetId="5">#REF!</definedName>
    <definedName name="HACATS" localSheetId="18">#REF!</definedName>
    <definedName name="HACATS" localSheetId="15">#REF!</definedName>
    <definedName name="HACATS">#REF!</definedName>
    <definedName name="HACAV" localSheetId="5">#REF!</definedName>
    <definedName name="HACAV" localSheetId="18">#REF!</definedName>
    <definedName name="HACAV" localSheetId="15">#REF!</definedName>
    <definedName name="HACAV">#REF!</definedName>
    <definedName name="HACAVF" localSheetId="5">#REF!</definedName>
    <definedName name="HACAVF" localSheetId="18">#REF!</definedName>
    <definedName name="HACAVF" localSheetId="15">#REF!</definedName>
    <definedName name="HACAVF">#REF!</definedName>
    <definedName name="HACHE">#N/A</definedName>
    <definedName name="HACLB" localSheetId="5">#REF!</definedName>
    <definedName name="HACLB" localSheetId="18">#REF!</definedName>
    <definedName name="HACLB" localSheetId="15">#REF!</definedName>
    <definedName name="HACLB">#REF!</definedName>
    <definedName name="HACLD" localSheetId="5">#REF!</definedName>
    <definedName name="HACLD" localSheetId="18">#REF!</definedName>
    <definedName name="HACLD" localSheetId="15">#REF!</definedName>
    <definedName name="HACLD">#REF!</definedName>
    <definedName name="HACTLB" localSheetId="5">#REF!</definedName>
    <definedName name="HACTLB" localSheetId="18">#REF!</definedName>
    <definedName name="HACTLB" localSheetId="15">#REF!</definedName>
    <definedName name="HACTLB">#REF!</definedName>
    <definedName name="HACTLD" localSheetId="5">#REF!</definedName>
    <definedName name="HACTLD" localSheetId="18">#REF!</definedName>
    <definedName name="HACTLD" localSheetId="15">#REF!</definedName>
    <definedName name="HACTLD">#REF!</definedName>
    <definedName name="HAEL" localSheetId="5">#REF!</definedName>
    <definedName name="HAEL" localSheetId="18">#REF!</definedName>
    <definedName name="HAEL" localSheetId="15">#REF!</definedName>
    <definedName name="HAEL">#REF!</definedName>
    <definedName name="HAEMPSA" localSheetId="5">#REF!</definedName>
    <definedName name="HAEMPSA" localSheetId="18">#REF!</definedName>
    <definedName name="HAEMPSA" localSheetId="15">#REF!</definedName>
    <definedName name="HAEMPSA">#REF!</definedName>
    <definedName name="HAEMZA" localSheetId="5">#REF!</definedName>
    <definedName name="HAEMZA" localSheetId="18">#REF!</definedName>
    <definedName name="HAEMZA" localSheetId="15">#REF!</definedName>
    <definedName name="HAEMZA">#REF!</definedName>
    <definedName name="HAET" localSheetId="5">#REF!</definedName>
    <definedName name="HAET" localSheetId="18">#REF!</definedName>
    <definedName name="HAET" localSheetId="15">#REF!</definedName>
    <definedName name="HAET">#REF!</definedName>
    <definedName name="HAETBCP" localSheetId="5">#REF!</definedName>
    <definedName name="HAETBCP" localSheetId="18">#REF!</definedName>
    <definedName name="HAETBCP" localSheetId="15">#REF!</definedName>
    <definedName name="HAETBCP">#REF!</definedName>
    <definedName name="HAETS" localSheetId="5">#REF!</definedName>
    <definedName name="HAETS" localSheetId="18">#REF!</definedName>
    <definedName name="HAETS" localSheetId="15">#REF!</definedName>
    <definedName name="HAETS">#REF!</definedName>
    <definedName name="HAEV" localSheetId="5">#REF!</definedName>
    <definedName name="HAEV" localSheetId="18">#REF!</definedName>
    <definedName name="HAEV" localSheetId="15">#REF!</definedName>
    <definedName name="HAEV">#REF!</definedName>
    <definedName name="HAMH" localSheetId="5">#REF!</definedName>
    <definedName name="HAMH" localSheetId="18">#REF!</definedName>
    <definedName name="HAMH" localSheetId="15">#REF!</definedName>
    <definedName name="HAMH">#REF!</definedName>
    <definedName name="HAPC" localSheetId="5">#REF!</definedName>
    <definedName name="HAPC" localSheetId="18">#REF!</definedName>
    <definedName name="HAPC" localSheetId="15">#REF!</definedName>
    <definedName name="HAPC">#REF!</definedName>
    <definedName name="HAPL" localSheetId="5">#REF!</definedName>
    <definedName name="HAPL" localSheetId="18">#REF!</definedName>
    <definedName name="HAPL" localSheetId="15">#REF!</definedName>
    <definedName name="HAPL">#REF!</definedName>
    <definedName name="HAPV" localSheetId="5">#REF!</definedName>
    <definedName name="HAPV" localSheetId="18">#REF!</definedName>
    <definedName name="HAPV" localSheetId="15">#REF!</definedName>
    <definedName name="HAPV">#REF!</definedName>
    <definedName name="HAREM" localSheetId="5">#REF!</definedName>
    <definedName name="HAREM" localSheetId="18">#REF!</definedName>
    <definedName name="HAREM" localSheetId="15">#REF!</definedName>
    <definedName name="HAREM">#REF!</definedName>
    <definedName name="HARHE" localSheetId="5">#REF!</definedName>
    <definedName name="HARHE" localSheetId="18">#REF!</definedName>
    <definedName name="HARHE" localSheetId="15">#REF!</definedName>
    <definedName name="HARHE">#REF!</definedName>
    <definedName name="HATF" localSheetId="5">#REF!</definedName>
    <definedName name="HATF" localSheetId="18">#REF!</definedName>
    <definedName name="HATF" localSheetId="15">#REF!</definedName>
    <definedName name="HATF">#REF!</definedName>
    <definedName name="HAVE" localSheetId="5">#REF!</definedName>
    <definedName name="HAVE" localSheetId="18">#REF!</definedName>
    <definedName name="HAVE" localSheetId="15">#REF!</definedName>
    <definedName name="HAVE">#REF!</definedName>
    <definedName name="HEA" localSheetId="18">#REF!</definedName>
    <definedName name="HEA">#REF!</definedName>
    <definedName name="HEAA">#REF!</definedName>
    <definedName name="Header_Row">ROW(#REF!)</definedName>
    <definedName name="HEB">#REF!</definedName>
    <definedName name="HEM">#REF!</definedName>
    <definedName name="Hipotesis">#REF!</definedName>
    <definedName name="HJJ">#REF!</definedName>
    <definedName name="HOCI" localSheetId="5">#REF!</definedName>
    <definedName name="HOCI" localSheetId="18">#REF!</definedName>
    <definedName name="HOCI" localSheetId="15">#REF!</definedName>
    <definedName name="HOCI">#REF!</definedName>
    <definedName name="HOCP" localSheetId="5">#REF!</definedName>
    <definedName name="HOCP" localSheetId="18">#REF!</definedName>
    <definedName name="HOCP" localSheetId="15">#REF!</definedName>
    <definedName name="HOCP">#REF!</definedName>
    <definedName name="HOJA1" localSheetId="18">#REF!</definedName>
    <definedName name="HOJA1">#REF!</definedName>
    <definedName name="HOJA2">#REF!</definedName>
    <definedName name="HOJA3">#REF!</definedName>
    <definedName name="HOJA4">#REF!</definedName>
    <definedName name="HOJA5">#REF!</definedName>
    <definedName name="HOJA6">#REF!</definedName>
    <definedName name="HOJA7">#REF!</definedName>
    <definedName name="HOJA8">#REF!</definedName>
    <definedName name="HORA">#N/A</definedName>
    <definedName name="Horas_Trabajadas_x_mes" localSheetId="5">#REF!</definedName>
    <definedName name="Horas_Trabajadas_x_mes" localSheetId="18">#REF!</definedName>
    <definedName name="Horas_Trabajadas_x_mes" localSheetId="15">#REF!</definedName>
    <definedName name="Horas_Trabajadas_x_mes">#REF!</definedName>
    <definedName name="HORM" localSheetId="5">#REF!</definedName>
    <definedName name="HORM" localSheetId="18">#REF!</definedName>
    <definedName name="HORM">#REF!</definedName>
    <definedName name="HORMA" localSheetId="5">#REF!</definedName>
    <definedName name="HORMA">#REF!</definedName>
    <definedName name="HP">#REF!</definedName>
    <definedName name="HR">#REF!</definedName>
    <definedName name="Hs">#REF!</definedName>
    <definedName name="HTR" localSheetId="4">#REF!</definedName>
    <definedName name="HTR" localSheetId="18">#REF!</definedName>
    <definedName name="HTR" localSheetId="15">#REF!</definedName>
    <definedName name="HTR" localSheetId="12">#REF!</definedName>
    <definedName name="HTR">#REF!</definedName>
    <definedName name="Huno">#REF!</definedName>
    <definedName name="I.E.R.I.C." localSheetId="5">#REF!</definedName>
    <definedName name="I.E.R.I.C." localSheetId="18">#REF!</definedName>
    <definedName name="I.E.R.I.C." localSheetId="15">#REF!</definedName>
    <definedName name="I.E.R.I.C.">#REF!</definedName>
    <definedName name="ifnc" localSheetId="18">#REF!</definedName>
    <definedName name="ifnc">#REF!</definedName>
    <definedName name="iiiiluminacion">#REF!</definedName>
    <definedName name="iipuentes">#REF!</definedName>
    <definedName name="Imdice_de_rubros">#REF!</definedName>
    <definedName name="impacto">#REF!</definedName>
    <definedName name="IMPREDIAMETRO">#REF!</definedName>
    <definedName name="IMPRESION">#REF!</definedName>
    <definedName name="IMPRIMIR">#REF!</definedName>
    <definedName name="Incap">#REF!</definedName>
    <definedName name="Inenc">#REF!</definedName>
    <definedName name="inicia">#REF!</definedName>
    <definedName name="INSSJP">#REF!</definedName>
    <definedName name="Insumos" localSheetId="4">#REF!</definedName>
    <definedName name="Insumos" localSheetId="18">#REF!</definedName>
    <definedName name="Insumos" localSheetId="12">#REF!</definedName>
    <definedName name="Insumos">#REF!</definedName>
    <definedName name="Insup">#REF!</definedName>
    <definedName name="Int">#REF!</definedName>
    <definedName name="INTERESES">#REF!</definedName>
    <definedName name="Interest_Rate">#REF!</definedName>
    <definedName name="Intop">#REF!</definedName>
    <definedName name="Ip">#REF!</definedName>
    <definedName name="IPE">#REF!</definedName>
    <definedName name="IPEA">#REF!</definedName>
    <definedName name="IPEO">#REF!</definedName>
    <definedName name="IPN">#REF!</definedName>
    <definedName name="it25c">#REF!</definedName>
    <definedName name="it28ac">#REF!</definedName>
    <definedName name="it28bc">#REF!</definedName>
    <definedName name="it29c">#REF!</definedName>
    <definedName name="it30c">#REF!</definedName>
    <definedName name="it31c">#REF!</definedName>
    <definedName name="it32c">#REF!</definedName>
    <definedName name="it33c">#REF!</definedName>
    <definedName name="it34c">#REF!</definedName>
    <definedName name="it35c">#REF!</definedName>
    <definedName name="it36ac">#REF!</definedName>
    <definedName name="it36bc">#REF!</definedName>
    <definedName name="it37c">#REF!</definedName>
    <definedName name="it38c">#REF!</definedName>
    <definedName name="it39c">#REF!</definedName>
    <definedName name="it3ac">#REF!</definedName>
    <definedName name="it3bc">#REF!</definedName>
    <definedName name="it3p">#REF!</definedName>
    <definedName name="it41c1mod">#REF!</definedName>
    <definedName name="it42c1mod">#REF!</definedName>
    <definedName name="it4c">#REF!</definedName>
    <definedName name="it4p">#REF!</definedName>
    <definedName name="it5c">#REF!</definedName>
    <definedName name="it5p">#REF!</definedName>
    <definedName name="it6p">#REF!</definedName>
    <definedName name="it7ac">#REF!</definedName>
    <definedName name="it7bc">#REF!</definedName>
    <definedName name="it7cc">#REF!</definedName>
    <definedName name="it8c">#REF!</definedName>
    <definedName name="it9p">#REF!</definedName>
    <definedName name="Item_Ana">#REF!</definedName>
    <definedName name="item1">#REF!</definedName>
    <definedName name="ITEM30">#REF!</definedName>
    <definedName name="items" localSheetId="5">#REF!</definedName>
    <definedName name="items" localSheetId="18">#REF!</definedName>
    <definedName name="items" localSheetId="15">#REF!</definedName>
    <definedName name="items">#REF!</definedName>
    <definedName name="IVA" localSheetId="18">#REF!</definedName>
    <definedName name="IVA">#REF!</definedName>
    <definedName name="jj_indice_de_materiales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R">#REF!</definedName>
    <definedName name="JORNADA">#REF!</definedName>
    <definedName name="JORNADA1">#REF!</definedName>
    <definedName name="Jornal_Basico_Ayudante" localSheetId="5">#REF!</definedName>
    <definedName name="Jornal_Basico_Ayudante" localSheetId="18">#REF!</definedName>
    <definedName name="Jornal_Basico_Ayudante" localSheetId="15">#REF!</definedName>
    <definedName name="Jornal_Basico_Ayudante">#REF!</definedName>
    <definedName name="Jornal_Basico_Oficial" localSheetId="5">#REF!</definedName>
    <definedName name="Jornal_Basico_Oficial" localSheetId="18">#REF!</definedName>
    <definedName name="Jornal_Basico_Oficial" localSheetId="15">#REF!</definedName>
    <definedName name="Jornal_Basico_Oficial">#REF!</definedName>
    <definedName name="Jornal_Basico_Oficial_Especializado" localSheetId="5">#REF!</definedName>
    <definedName name="Jornal_Basico_Oficial_Especializado" localSheetId="18">#REF!</definedName>
    <definedName name="Jornal_Basico_Oficial_Especializado" localSheetId="15">#REF!</definedName>
    <definedName name="Jornal_Basico_Oficial_Especializado">#REF!</definedName>
    <definedName name="JP" localSheetId="18">#REF!</definedName>
    <definedName name="JP">#REF!</definedName>
    <definedName name="JT">#REF!</definedName>
    <definedName name="JUBI">#REF!</definedName>
    <definedName name="K" localSheetId="2">#REF!</definedName>
    <definedName name="K" localSheetId="0">#REF!</definedName>
    <definedName name="K" localSheetId="18">#REF!</definedName>
    <definedName name="K" localSheetId="3">#REF!</definedName>
    <definedName name="K">#REF!</definedName>
    <definedName name="kh">#REF!</definedName>
    <definedName name="kha">#REF!</definedName>
    <definedName name="l" localSheetId="2">#REF!</definedName>
    <definedName name="l" localSheetId="0">#REF!</definedName>
    <definedName name="l" localSheetId="18">#REF!</definedName>
    <definedName name="l" localSheetId="3">#REF!</definedName>
    <definedName name="l">#REF!</definedName>
    <definedName name="LA">#N/A</definedName>
    <definedName name="Last_Row">#N/A</definedName>
    <definedName name="LB">#N/A</definedName>
    <definedName name="LCPCB" localSheetId="5">#REF!</definedName>
    <definedName name="LCPCB" localSheetId="18">#REF!</definedName>
    <definedName name="LCPCB" localSheetId="15">#REF!</definedName>
    <definedName name="LCPCB">#REF!</definedName>
    <definedName name="LCPCI06" localSheetId="5">#REF!</definedName>
    <definedName name="LCPCI06" localSheetId="18">#REF!</definedName>
    <definedName name="LCPCI06" localSheetId="15">#REF!</definedName>
    <definedName name="LCPCI06">#REF!</definedName>
    <definedName name="LCPCID12" localSheetId="5">#REF!</definedName>
    <definedName name="LCPCID12" localSheetId="18">#REF!</definedName>
    <definedName name="LCPCID12" localSheetId="15">#REF!</definedName>
    <definedName name="LCPCID12">#REF!</definedName>
    <definedName name="LCPCR" localSheetId="5">#REF!</definedName>
    <definedName name="LCPCR" localSheetId="18">#REF!</definedName>
    <definedName name="LCPCR" localSheetId="15">#REF!</definedName>
    <definedName name="LCPCR">#REF!</definedName>
    <definedName name="LCPCRE" localSheetId="5">#REF!</definedName>
    <definedName name="LCPCRE" localSheetId="18">#REF!</definedName>
    <definedName name="LCPCRE" localSheetId="15">#REF!</definedName>
    <definedName name="LCPCRE">#REF!</definedName>
    <definedName name="LCPCV" localSheetId="5">#REF!</definedName>
    <definedName name="LCPCV" localSheetId="18">#REF!</definedName>
    <definedName name="LCPCV" localSheetId="15">#REF!</definedName>
    <definedName name="LCPCV">#REF!</definedName>
    <definedName name="LCPPA" localSheetId="5">#REF!</definedName>
    <definedName name="LCPPA" localSheetId="18">#REF!</definedName>
    <definedName name="LCPPA" localSheetId="15">#REF!</definedName>
    <definedName name="LCPPA">#REF!</definedName>
    <definedName name="LIC" localSheetId="18">#REF!</definedName>
    <definedName name="LIC">#REF!</definedName>
    <definedName name="lista" hidden="1">#REF!</definedName>
    <definedName name="Listaperfiles">#REF!</definedName>
    <definedName name="ll_tabla_para_calculo_de_costos">#REF!</definedName>
    <definedName name="llll">#REF!</definedName>
    <definedName name="Lm">#REF!</definedName>
    <definedName name="Lo">#REF!</definedName>
    <definedName name="Loan_Amount">#REF!</definedName>
    <definedName name="Loan_Start">#REF!</definedName>
    <definedName name="Loan_Years">#REF!</definedName>
    <definedName name="loser">#REF!</definedName>
    <definedName name="Lubr">#REF!</definedName>
    <definedName name="Lubricantes">#REF!</definedName>
    <definedName name="M">#REF!</definedName>
    <definedName name="MAABC" localSheetId="5">#REF!</definedName>
    <definedName name="MAABC" localSheetId="18">#REF!</definedName>
    <definedName name="MAABC" localSheetId="15">#REF!</definedName>
    <definedName name="MAABC">#REF!</definedName>
    <definedName name="MAABY" localSheetId="5">#REF!</definedName>
    <definedName name="MAABY" localSheetId="18">#REF!</definedName>
    <definedName name="MAABY" localSheetId="15">#REF!</definedName>
    <definedName name="MAABY">#REF!</definedName>
    <definedName name="MAALC" localSheetId="5">#REF!</definedName>
    <definedName name="MAALC" localSheetId="18">#REF!</definedName>
    <definedName name="MAALC" localSheetId="15">#REF!</definedName>
    <definedName name="MAALC">#REF!</definedName>
    <definedName name="MAALH" localSheetId="5">#REF!</definedName>
    <definedName name="MAALH" localSheetId="18">#REF!</definedName>
    <definedName name="MAALH" localSheetId="15">#REF!</definedName>
    <definedName name="MAALH">#REF!</definedName>
    <definedName name="MAALHP" localSheetId="5">#REF!</definedName>
    <definedName name="MAALHP" localSheetId="18">#REF!</definedName>
    <definedName name="MAALHP" localSheetId="15">#REF!</definedName>
    <definedName name="MAALHP">#REF!</definedName>
    <definedName name="MAALV" localSheetId="5">#REF!</definedName>
    <definedName name="MAALV" localSheetId="18">#REF!</definedName>
    <definedName name="MAALV" localSheetId="15">#REF!</definedName>
    <definedName name="MAALV">#REF!</definedName>
    <definedName name="MAAP" localSheetId="5">#REF!</definedName>
    <definedName name="MAAP" localSheetId="18">#REF!</definedName>
    <definedName name="MAAP" localSheetId="15">#REF!</definedName>
    <definedName name="MAAP">#REF!</definedName>
    <definedName name="MAAPY" localSheetId="5">#REF!</definedName>
    <definedName name="MAAPY" localSheetId="18">#REF!</definedName>
    <definedName name="MAAPY" localSheetId="15">#REF!</definedName>
    <definedName name="MAAPY">#REF!</definedName>
    <definedName name="MABBC" localSheetId="5">#REF!</definedName>
    <definedName name="MABBC" localSheetId="18">#REF!</definedName>
    <definedName name="MABBC" localSheetId="15">#REF!</definedName>
    <definedName name="MABBC">#REF!</definedName>
    <definedName name="MABBY" localSheetId="5">#REF!</definedName>
    <definedName name="MABBY" localSheetId="18">#REF!</definedName>
    <definedName name="MABBY" localSheetId="15">#REF!</definedName>
    <definedName name="MABBY">#REF!</definedName>
    <definedName name="MABLC" localSheetId="5">#REF!</definedName>
    <definedName name="MABLC" localSheetId="18">#REF!</definedName>
    <definedName name="MABLC" localSheetId="15">#REF!</definedName>
    <definedName name="MABLC">#REF!</definedName>
    <definedName name="MABLH" localSheetId="5">#REF!</definedName>
    <definedName name="MABLH" localSheetId="18">#REF!</definedName>
    <definedName name="MABLH" localSheetId="15">#REF!</definedName>
    <definedName name="MABLH">#REF!</definedName>
    <definedName name="MABLHP" localSheetId="5">#REF!</definedName>
    <definedName name="MABLHP" localSheetId="18">#REF!</definedName>
    <definedName name="MABLHP" localSheetId="15">#REF!</definedName>
    <definedName name="MABLHP">#REF!</definedName>
    <definedName name="MABLV" localSheetId="5">#REF!</definedName>
    <definedName name="MABLV" localSheetId="18">#REF!</definedName>
    <definedName name="MABLV" localSheetId="15">#REF!</definedName>
    <definedName name="MABLV">#REF!</definedName>
    <definedName name="MABP" localSheetId="5">#REF!</definedName>
    <definedName name="MABP" localSheetId="18">#REF!</definedName>
    <definedName name="MABP" localSheetId="15">#REF!</definedName>
    <definedName name="MABP">#REF!</definedName>
    <definedName name="MABPY" localSheetId="5">#REF!</definedName>
    <definedName name="MABPY" localSheetId="18">#REF!</definedName>
    <definedName name="MABPY" localSheetId="15">#REF!</definedName>
    <definedName name="MABPY">#REF!</definedName>
    <definedName name="MACBC" localSheetId="5">#REF!</definedName>
    <definedName name="MACBC" localSheetId="18">#REF!</definedName>
    <definedName name="MACBC" localSheetId="15">#REF!</definedName>
    <definedName name="MACBC">#REF!</definedName>
    <definedName name="MACBY" localSheetId="5">#REF!</definedName>
    <definedName name="MACBY" localSheetId="18">#REF!</definedName>
    <definedName name="MACBY" localSheetId="15">#REF!</definedName>
    <definedName name="MACBY">#REF!</definedName>
    <definedName name="MACLC" localSheetId="5">#REF!</definedName>
    <definedName name="MACLC" localSheetId="18">#REF!</definedName>
    <definedName name="MACLC" localSheetId="15">#REF!</definedName>
    <definedName name="MACLC">#REF!</definedName>
    <definedName name="MACLH" localSheetId="5">#REF!</definedName>
    <definedName name="MACLH" localSheetId="18">#REF!</definedName>
    <definedName name="MACLH" localSheetId="15">#REF!</definedName>
    <definedName name="MACLH">#REF!</definedName>
    <definedName name="MACLHP" localSheetId="5">#REF!</definedName>
    <definedName name="MACLHP" localSheetId="18">#REF!</definedName>
    <definedName name="MACLHP" localSheetId="15">#REF!</definedName>
    <definedName name="MACLHP">#REF!</definedName>
    <definedName name="MACLV" localSheetId="5">#REF!</definedName>
    <definedName name="MACLV" localSheetId="18">#REF!</definedName>
    <definedName name="MACLV" localSheetId="15">#REF!</definedName>
    <definedName name="MACLV">#REF!</definedName>
    <definedName name="MACPLY" localSheetId="5">#REF!</definedName>
    <definedName name="MACPLY" localSheetId="18">#REF!</definedName>
    <definedName name="MACPLY" localSheetId="15">#REF!</definedName>
    <definedName name="MACPLY">#REF!</definedName>
    <definedName name="MACPY" localSheetId="5">#REF!</definedName>
    <definedName name="MACPY" localSheetId="18">#REF!</definedName>
    <definedName name="MACPY" localSheetId="15">#REF!</definedName>
    <definedName name="MACPY">#REF!</definedName>
    <definedName name="MACV" localSheetId="5">#REF!</definedName>
    <definedName name="MACV" localSheetId="18">#REF!</definedName>
    <definedName name="MACV" localSheetId="15">#REF!</definedName>
    <definedName name="MACV">#REF!</definedName>
    <definedName name="mad" localSheetId="18">#REF!</definedName>
    <definedName name="mad">#REF!</definedName>
    <definedName name="MADLH" localSheetId="5">#REF!</definedName>
    <definedName name="MADLH" localSheetId="18">#REF!</definedName>
    <definedName name="MADLH" localSheetId="15">#REF!</definedName>
    <definedName name="MADLH">#REF!</definedName>
    <definedName name="MAEJ" localSheetId="5">#REF!</definedName>
    <definedName name="MAEJ" localSheetId="18">#REF!</definedName>
    <definedName name="MAEJ" localSheetId="15">#REF!</definedName>
    <definedName name="MAEJ">#REF!</definedName>
    <definedName name="MAENM" localSheetId="5">#REF!</definedName>
    <definedName name="MAENM" localSheetId="18">#REF!</definedName>
    <definedName name="MAENM" localSheetId="15">#REF!</definedName>
    <definedName name="MAENM">#REF!</definedName>
    <definedName name="MAMPOSTERIA" localSheetId="5">#REF!</definedName>
    <definedName name="MAMPOSTERIA" localSheetId="18">#REF!</definedName>
    <definedName name="MAMPOSTERIA" localSheetId="15">#REF!</definedName>
    <definedName name="MAMPOSTERIA">#REF!</definedName>
    <definedName name="MANOBRA">#N/A</definedName>
    <definedName name="manodeo" localSheetId="5">#REF!</definedName>
    <definedName name="manodeo" localSheetId="18">#REF!</definedName>
    <definedName name="manodeo">#REF!</definedName>
    <definedName name="manodeobra" localSheetId="2">#REF!</definedName>
    <definedName name="manodeobra" localSheetId="0">#REF!</definedName>
    <definedName name="manodeobra" localSheetId="5">#REF!</definedName>
    <definedName name="manodeobra" localSheetId="18">#REF!</definedName>
    <definedName name="manodeobra" localSheetId="3">#REF!</definedName>
    <definedName name="manodeobra">#REF!</definedName>
    <definedName name="MAPBC" localSheetId="5">#REF!</definedName>
    <definedName name="MAPBC" localSheetId="18">#REF!</definedName>
    <definedName name="MAPBC" localSheetId="15">#REF!</definedName>
    <definedName name="MAPBC">#REF!</definedName>
    <definedName name="MAPBY" localSheetId="5">#REF!</definedName>
    <definedName name="MAPBY" localSheetId="18">#REF!</definedName>
    <definedName name="MAPBY" localSheetId="15">#REF!</definedName>
    <definedName name="MAPBY">#REF!</definedName>
    <definedName name="MAPJ" localSheetId="5">#REF!</definedName>
    <definedName name="MAPJ" localSheetId="18">#REF!</definedName>
    <definedName name="MAPJ" localSheetId="15">#REF!</definedName>
    <definedName name="MAPJ">#REF!</definedName>
    <definedName name="MAPLC" localSheetId="5">#REF!</definedName>
    <definedName name="MAPLC" localSheetId="18">#REF!</definedName>
    <definedName name="MAPLC" localSheetId="15">#REF!</definedName>
    <definedName name="MAPLC">#REF!</definedName>
    <definedName name="MAPLH" localSheetId="5">#REF!</definedName>
    <definedName name="MAPLH" localSheetId="18">#REF!</definedName>
    <definedName name="MAPLH" localSheetId="15">#REF!</definedName>
    <definedName name="MAPLH">#REF!</definedName>
    <definedName name="MAPLHP" localSheetId="5">#REF!</definedName>
    <definedName name="MAPLHP" localSheetId="18">#REF!</definedName>
    <definedName name="MAPLHP" localSheetId="15">#REF!</definedName>
    <definedName name="MAPLHP">#REF!</definedName>
    <definedName name="MAPLV" localSheetId="5">#REF!</definedName>
    <definedName name="MAPLV" localSheetId="18">#REF!</definedName>
    <definedName name="MAPLV" localSheetId="15">#REF!</definedName>
    <definedName name="MAPLV">#REF!</definedName>
    <definedName name="MAPPY" localSheetId="5">#REF!</definedName>
    <definedName name="MAPPY" localSheetId="18">#REF!</definedName>
    <definedName name="MAPPY" localSheetId="15">#REF!</definedName>
    <definedName name="MAPPY">#REF!</definedName>
    <definedName name="MAR" localSheetId="5">#REF!</definedName>
    <definedName name="MAR" localSheetId="18">#REF!</definedName>
    <definedName name="MAR" localSheetId="15">#REF!</definedName>
    <definedName name="MAR">#REF!</definedName>
    <definedName name="MARHD" localSheetId="5">#REF!</definedName>
    <definedName name="MARHD" localSheetId="18">#REF!</definedName>
    <definedName name="MARHD" localSheetId="15">#REF!</definedName>
    <definedName name="MARHD">#REF!</definedName>
    <definedName name="MARHH" localSheetId="5">#REF!</definedName>
    <definedName name="MARHH" localSheetId="18">#REF!</definedName>
    <definedName name="MARHH" localSheetId="15">#REF!</definedName>
    <definedName name="MARHH">#REF!</definedName>
    <definedName name="MARHM" localSheetId="5">#REF!</definedName>
    <definedName name="MARHM" localSheetId="18">#REF!</definedName>
    <definedName name="MARHM" localSheetId="15">#REF!</definedName>
    <definedName name="MARHM">#REF!</definedName>
    <definedName name="MARHR" localSheetId="5">#REF!</definedName>
    <definedName name="MARHR" localSheetId="18">#REF!</definedName>
    <definedName name="MARHR" localSheetId="15">#REF!</definedName>
    <definedName name="MARHR">#REF!</definedName>
    <definedName name="MARHT" localSheetId="5">#REF!</definedName>
    <definedName name="MARHT" localSheetId="18">#REF!</definedName>
    <definedName name="MARHT" localSheetId="15">#REF!</definedName>
    <definedName name="MARHT">#REF!</definedName>
    <definedName name="MARLA" localSheetId="5">#REF!</definedName>
    <definedName name="MARLA" localSheetId="18">#REF!</definedName>
    <definedName name="MARLA" localSheetId="15">#REF!</definedName>
    <definedName name="MARLA">#REF!</definedName>
    <definedName name="MARLB" localSheetId="5">#REF!</definedName>
    <definedName name="MARLB" localSheetId="18">#REF!</definedName>
    <definedName name="MARLB" localSheetId="15">#REF!</definedName>
    <definedName name="MARLB">#REF!</definedName>
    <definedName name="MARP" localSheetId="5">#REF!</definedName>
    <definedName name="MARP" localSheetId="18">#REF!</definedName>
    <definedName name="MARP" localSheetId="15">#REF!</definedName>
    <definedName name="MARP">#REF!</definedName>
    <definedName name="mat" localSheetId="18">#REF!</definedName>
    <definedName name="mat">#REF!</definedName>
    <definedName name="materiales">#REF!</definedName>
    <definedName name="MATR" localSheetId="5">#REF!</definedName>
    <definedName name="MATR" localSheetId="18">#REF!</definedName>
    <definedName name="MATR" localSheetId="15">#REF!</definedName>
    <definedName name="MATR">#REF!</definedName>
    <definedName name="MATS" localSheetId="18">#REF!</definedName>
    <definedName name="MATS">#REF!</definedName>
    <definedName name="mb">#REF!</definedName>
    <definedName name="mbs">#REF!</definedName>
    <definedName name="MC">#REF!</definedName>
    <definedName name="Mdespl.">#REF!</definedName>
    <definedName name="MDODNV">#REF!</definedName>
    <definedName name="MDODPV">#REF!</definedName>
    <definedName name="Medio_Oficial">#REF!</definedName>
    <definedName name="medioofr">#REF!</definedName>
    <definedName name="MEDOLAR" localSheetId="5">#REF!</definedName>
    <definedName name="MEDOLAR" localSheetId="18">#REF!</definedName>
    <definedName name="MEDOLAR" localSheetId="15">#REF!</definedName>
    <definedName name="MEDOLAR">#REF!</definedName>
    <definedName name="MENSUAL" localSheetId="18">#REF!</definedName>
    <definedName name="MENSUAL">#REF!</definedName>
    <definedName name="MENU">#REF!</definedName>
    <definedName name="MES">#REF!</definedName>
    <definedName name="mes_retiro">#REF!</definedName>
    <definedName name="MisAna">#REF!</definedName>
    <definedName name="MMCC" localSheetId="4">#REF!</definedName>
    <definedName name="MMCC" localSheetId="18">#REF!</definedName>
    <definedName name="MMCC" localSheetId="15">#REF!</definedName>
    <definedName name="MMCC" localSheetId="12">#REF!</definedName>
    <definedName name="MMCC">#REF!</definedName>
    <definedName name="MMCCA" localSheetId="4">#REF!</definedName>
    <definedName name="MMCCA" localSheetId="18">#REF!</definedName>
    <definedName name="MMCCA" localSheetId="15">#REF!</definedName>
    <definedName name="MMCCA" localSheetId="12">#REF!</definedName>
    <definedName name="MMCCA">#REF!</definedName>
    <definedName name="MMCDE" localSheetId="4">#REF!</definedName>
    <definedName name="MMCDE" localSheetId="18">#REF!</definedName>
    <definedName name="MMCDE" localSheetId="15">#REF!</definedName>
    <definedName name="MMCDE" localSheetId="12">#REF!</definedName>
    <definedName name="MMCDE">#REF!</definedName>
    <definedName name="MMDMA" localSheetId="4">#REF!</definedName>
    <definedName name="MMDMA" localSheetId="18">#REF!</definedName>
    <definedName name="MMDMA" localSheetId="15">#REF!</definedName>
    <definedName name="MMDMA" localSheetId="12">#REF!</definedName>
    <definedName name="MMDMA">#REF!</definedName>
    <definedName name="MMDMC" localSheetId="5">#REF!</definedName>
    <definedName name="MMDMC" localSheetId="18">#REF!</definedName>
    <definedName name="MMDMC" localSheetId="15">#REF!</definedName>
    <definedName name="MMDMC">#REF!</definedName>
    <definedName name="MMDMD" localSheetId="5">#REF!</definedName>
    <definedName name="MMDMD" localSheetId="18">#REF!</definedName>
    <definedName name="MMDMD" localSheetId="15">#REF!</definedName>
    <definedName name="MMDMD">#REF!</definedName>
    <definedName name="MMDME" localSheetId="5">#REF!</definedName>
    <definedName name="MMDME" localSheetId="18">#REF!</definedName>
    <definedName name="MMDME" localSheetId="15">#REF!</definedName>
    <definedName name="MMDME">#REF!</definedName>
    <definedName name="MMDMP" localSheetId="5">#REF!</definedName>
    <definedName name="MMDMP" localSheetId="18">#REF!</definedName>
    <definedName name="MMDMP" localSheetId="15">#REF!</definedName>
    <definedName name="MMDMP">#REF!</definedName>
    <definedName name="MMDMT" localSheetId="5">#REF!</definedName>
    <definedName name="MMDMT" localSheetId="18">#REF!</definedName>
    <definedName name="MMDMT" localSheetId="15">#REF!</definedName>
    <definedName name="MMDMT">#REF!</definedName>
    <definedName name="MMDMV" localSheetId="5">#REF!</definedName>
    <definedName name="MMDMV" localSheetId="18">#REF!</definedName>
    <definedName name="MMDMV" localSheetId="15">#REF!</definedName>
    <definedName name="MMDMV">#REF!</definedName>
    <definedName name="mmm" localSheetId="18">#REF!</definedName>
    <definedName name="mmm">#REF!</definedName>
    <definedName name="MMRC" localSheetId="5">#REF!</definedName>
    <definedName name="MMRC" localSheetId="18">#REF!</definedName>
    <definedName name="MMRC" localSheetId="15">#REF!</definedName>
    <definedName name="MMRC">#REF!</definedName>
    <definedName name="MMVC" localSheetId="5">#REF!</definedName>
    <definedName name="MMVC" localSheetId="18">#REF!</definedName>
    <definedName name="MMVC" localSheetId="15">#REF!</definedName>
    <definedName name="MMVC">#REF!</definedName>
    <definedName name="Monto_Certif." localSheetId="18">#REF!</definedName>
    <definedName name="Monto_Certif." localSheetId="15">#REF!</definedName>
    <definedName name="Monto_Certif.">#REF!</definedName>
    <definedName name="MOREGAS" localSheetId="5">#REF!</definedName>
    <definedName name="MOREGAS" localSheetId="18">#REF!</definedName>
    <definedName name="MOREGAS" localSheetId="15">#REF!</definedName>
    <definedName name="MOREGAS">#REF!</definedName>
    <definedName name="mov" localSheetId="18">#REF!</definedName>
    <definedName name="mov">#REF!</definedName>
    <definedName name="movilizacion">#REF!</definedName>
    <definedName name="MQ">#REF!</definedName>
    <definedName name="MSAP" localSheetId="4">#REF!</definedName>
    <definedName name="MSAP" localSheetId="18">#REF!</definedName>
    <definedName name="MSAP" localSheetId="15">#REF!</definedName>
    <definedName name="MSAP" localSheetId="12">#REF!</definedName>
    <definedName name="MSAP">#REF!</definedName>
    <definedName name="MSAS" localSheetId="4">#REF!</definedName>
    <definedName name="MSAS" localSheetId="18">#REF!</definedName>
    <definedName name="MSAS" localSheetId="15">#REF!</definedName>
    <definedName name="MSAS" localSheetId="12">#REF!</definedName>
    <definedName name="MSAS">#REF!</definedName>
    <definedName name="MSLS" localSheetId="4">#REF!</definedName>
    <definedName name="MSLS" localSheetId="18">#REF!</definedName>
    <definedName name="MSLS" localSheetId="15">#REF!</definedName>
    <definedName name="MSLS" localSheetId="12">#REF!</definedName>
    <definedName name="MSLS">#REF!</definedName>
    <definedName name="MSNP" localSheetId="4">#REF!</definedName>
    <definedName name="MSNP" localSheetId="18">#REF!</definedName>
    <definedName name="MSNP" localSheetId="15">#REF!</definedName>
    <definedName name="MSNP" localSheetId="12">#REF!</definedName>
    <definedName name="MSNP">#REF!</definedName>
    <definedName name="MU">#REF!</definedName>
    <definedName name="MWx">#REF!</definedName>
    <definedName name="MWz">#REF!</definedName>
    <definedName name="MX">#N/A</definedName>
    <definedName name="mxx_max">#REF!</definedName>
    <definedName name="mxx_min">#REF!</definedName>
    <definedName name="MY">#N/A</definedName>
    <definedName name="myy">#REF!</definedName>
    <definedName name="N">#N/A</definedName>
    <definedName name="NAFTA" localSheetId="5">#REF!</definedName>
    <definedName name="NAFTA" localSheetId="18">#REF!</definedName>
    <definedName name="NAFTA" localSheetId="15">#REF!</definedName>
    <definedName name="NAFTA">#REF!</definedName>
    <definedName name="nago" localSheetId="5">#REF!</definedName>
    <definedName name="nago" localSheetId="18">#REF!</definedName>
    <definedName name="nago">#REF!</definedName>
    <definedName name="NEW" localSheetId="5">#REF!</definedName>
    <definedName name="NEW">#REF!</definedName>
    <definedName name="NEW_E1" localSheetId="4">#REF!</definedName>
    <definedName name="NEW_E1" localSheetId="18">#REF!</definedName>
    <definedName name="NEW_E1" localSheetId="12">#REF!</definedName>
    <definedName name="NEW_E1">#REF!</definedName>
    <definedName name="Normal">#REF!</definedName>
    <definedName name="NRO">#REF!</definedName>
    <definedName name="Nro_Pisos" localSheetId="4">#REF!</definedName>
    <definedName name="Nro_Pisos" localSheetId="18">#REF!</definedName>
    <definedName name="Nro_Pisos" localSheetId="15">#REF!</definedName>
    <definedName name="Nro_Pisos" localSheetId="12">#REF!</definedName>
    <definedName name="Nro_Pisos">#REF!</definedName>
    <definedName name="NUEVAHOJA">#REF!</definedName>
    <definedName name="Num_Pmt_Per_Year">#REF!</definedName>
    <definedName name="Number_of_Payments" localSheetId="5">MATCH(0.01,End_Bal,-1)+1</definedName>
    <definedName name="Number_of_Payments" localSheetId="18">MATCH(0.01,Mampostería!End_Bal,-1)+1</definedName>
    <definedName name="Number_of_Payments">MATCH(0.01,End_Bal,-1)+1</definedName>
    <definedName name="Numero_Unidades_Funcionales" localSheetId="5">#REF!</definedName>
    <definedName name="Numero_Unidades_Funcionales" localSheetId="18">#REF!</definedName>
    <definedName name="Numero_Unidades_Funcionales" localSheetId="15">#REF!</definedName>
    <definedName name="Numero_Unidades_Funcionales">#REF!</definedName>
    <definedName name="OBR" localSheetId="5">#REF!</definedName>
    <definedName name="OBR" localSheetId="18">#REF!</definedName>
    <definedName name="OBR">#REF!</definedName>
    <definedName name="Obra" localSheetId="5">#REF!</definedName>
    <definedName name="Obra" localSheetId="18">#REF!</definedName>
    <definedName name="Obra" localSheetId="15">#REF!</definedName>
    <definedName name="Obra">#REF!</definedName>
    <definedName name="OBRA__CASA_LOUZAN" localSheetId="2">#REF!</definedName>
    <definedName name="OBRA__CASA_LOUZAN" localSheetId="0">#REF!</definedName>
    <definedName name="OBRA__CASA_LOUZAN" localSheetId="18">#REF!</definedName>
    <definedName name="OBRA__CASA_LOUZAN" localSheetId="15">#REF!</definedName>
    <definedName name="OBRA__CASA_LOUZAN" localSheetId="3">#REF!</definedName>
    <definedName name="OBRA__CASA_LOUZAN">#REF!</definedName>
    <definedName name="OBRA_DE_TOMA">#REF!</definedName>
    <definedName name="OFER">#REF!</definedName>
    <definedName name="ofEspecial" localSheetId="5">#REF!</definedName>
    <definedName name="ofEspecial" localSheetId="18">#REF!</definedName>
    <definedName name="ofEspecial" localSheetId="15">#REF!</definedName>
    <definedName name="ofEspecial">#REF!</definedName>
    <definedName name="oficial" localSheetId="5">#REF!</definedName>
    <definedName name="oficial" localSheetId="18">#REF!</definedName>
    <definedName name="oficial" localSheetId="15">#REF!</definedName>
    <definedName name="oficial">#REF!</definedName>
    <definedName name="Oficial_Especializado" localSheetId="18">#REF!</definedName>
    <definedName name="Oficial_Especializado">#REF!</definedName>
    <definedName name="oficial4">#REF!</definedName>
    <definedName name="oficial6">#REF!</definedName>
    <definedName name="ofies4">#REF!</definedName>
    <definedName name="ofr">#REF!</definedName>
    <definedName name="Organismo1">#REF!</definedName>
    <definedName name="Organismo2">#REF!</definedName>
    <definedName name="OSOC">#REF!</definedName>
    <definedName name="OTRA">#REF!</definedName>
    <definedName name="OTROS">#REF!</definedName>
    <definedName name="OTROS_RUBROS_NO_DESAGREGADOS">#REF!</definedName>
    <definedName name="OTROS1">#REF!</definedName>
    <definedName name="P">#REF!</definedName>
    <definedName name="PANDEO">#REF!</definedName>
    <definedName name="PANDEO1">#REF!</definedName>
    <definedName name="PARC">#N/A</definedName>
    <definedName name="Paridad">#REF!</definedName>
    <definedName name="PASE" localSheetId="2">#REF!</definedName>
    <definedName name="PASE" localSheetId="0">#REF!</definedName>
    <definedName name="PASE" localSheetId="5">#REF!</definedName>
    <definedName name="PASE" localSheetId="18">#REF!</definedName>
    <definedName name="PASE" localSheetId="3">#REF!</definedName>
    <definedName name="PASE">#REF!</definedName>
    <definedName name="paso" localSheetId="5">#REF!</definedName>
    <definedName name="paso">#REF!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 localSheetId="16">DATE(YEAR([0]!Loan_Start),MONTH([0]!Loan_Start)+Payment_Number,DAY([0]!Loan_Start))</definedName>
    <definedName name="Payment_Date" localSheetId="5">DATE(YEAR(Loan_Start),MONTH(Loan_Start)+Payment_Number,DAY(Loan_Start))</definedName>
    <definedName name="Payment_Date" localSheetId="18">DATE(YEAR(Loan_Start),MONTH(Loan_Start)+Payment_Number,DAY(Loan_Start))</definedName>
    <definedName name="Payment_Date">DATE(YEAR(Loan_Start),MONTH(Loan_Start)+Payment_Number,DAY(Loan_Start))</definedName>
    <definedName name="PEESC" localSheetId="5">#REF!</definedName>
    <definedName name="PEESC" localSheetId="18">#REF!</definedName>
    <definedName name="PEESC" localSheetId="15">#REF!</definedName>
    <definedName name="PEESC">#REF!</definedName>
    <definedName name="pepe" localSheetId="5">#REF!</definedName>
    <definedName name="pepe" localSheetId="18">#REF!</definedName>
    <definedName name="pepe">#REF!</definedName>
    <definedName name="PerfilC" comment="PERFIL C" localSheetId="5">#REF!</definedName>
    <definedName name="PerfilC" comment="PERFIL C">#REF!</definedName>
    <definedName name="perfiles">#REF!</definedName>
    <definedName name="Pern.">#REF!</definedName>
    <definedName name="pf">#REF!</definedName>
    <definedName name="PIAM" localSheetId="5">#REF!</definedName>
    <definedName name="PIAM" localSheetId="18">#REF!</definedName>
    <definedName name="PIAM" localSheetId="15">#REF!</definedName>
    <definedName name="PIAM">#REF!</definedName>
    <definedName name="pibe" localSheetId="5">#REF!</definedName>
    <definedName name="pibe" localSheetId="18">#REF!</definedName>
    <definedName name="pibe" localSheetId="15">#REF!</definedName>
    <definedName name="pibe">#REF!</definedName>
    <definedName name="pintref" localSheetId="18">#REF!</definedName>
    <definedName name="pintref">#REF!</definedName>
    <definedName name="Pl">#REF!</definedName>
    <definedName name="PLAN">#REF!</definedName>
    <definedName name="PLANTA_DE_TRATAMIENTO">#REF!</definedName>
    <definedName name="plazo">#REF!</definedName>
    <definedName name="plazo.mes" localSheetId="15">#REF!</definedName>
    <definedName name="plazo.mes">#REF!</definedName>
    <definedName name="Plazo_de_obra" localSheetId="5">#REF!</definedName>
    <definedName name="Plazo_de_obra" localSheetId="18">#REF!</definedName>
    <definedName name="Plazo_de_obra" localSheetId="15">#REF!</definedName>
    <definedName name="Plazo_de_obra">#REF!</definedName>
    <definedName name="Plazo_Obra" localSheetId="5">#REF!</definedName>
    <definedName name="Plazo_Obra" localSheetId="18">#REF!</definedName>
    <definedName name="Plazo_Obra" localSheetId="15">#REF!</definedName>
    <definedName name="Plazo_Obra">#REF!</definedName>
    <definedName name="Plus" localSheetId="5">#REF!</definedName>
    <definedName name="Plus" localSheetId="18">#REF!</definedName>
    <definedName name="Plus" localSheetId="15">#REF!</definedName>
    <definedName name="Plus">#REF!</definedName>
    <definedName name="Plus_No_Remunerativo" localSheetId="5">#REF!</definedName>
    <definedName name="Plus_No_Remunerativo" localSheetId="18">#REF!</definedName>
    <definedName name="Plus_No_Remunerativo" localSheetId="15">#REF!</definedName>
    <definedName name="Plus_No_Remunerativo">#REF!</definedName>
    <definedName name="Plus_No_Remunerativo_Ayudante" localSheetId="5">#REF!</definedName>
    <definedName name="Plus_No_Remunerativo_Ayudante" localSheetId="18">#REF!</definedName>
    <definedName name="Plus_No_Remunerativo_Ayudante" localSheetId="15">#REF!</definedName>
    <definedName name="Plus_No_Remunerativo_Ayudante">#REF!</definedName>
    <definedName name="Plus_No_Remunerativo_Oficial" localSheetId="5">#REF!</definedName>
    <definedName name="Plus_No_Remunerativo_Oficial" localSheetId="18">#REF!</definedName>
    <definedName name="Plus_No_Remunerativo_Oficial" localSheetId="15">#REF!</definedName>
    <definedName name="Plus_No_Remunerativo_Oficial">#REF!</definedName>
    <definedName name="Plus_No_Remunerativo_Oficial_Especializado" localSheetId="5">#REF!</definedName>
    <definedName name="Plus_No_Remunerativo_Oficial_Especializado" localSheetId="18">#REF!</definedName>
    <definedName name="Plus_No_Remunerativo_Oficial_Especializado" localSheetId="15">#REF!</definedName>
    <definedName name="Plus_No_Remunerativo_Oficial_Especializado">#REF!</definedName>
    <definedName name="Pmax" localSheetId="18">#REF!</definedName>
    <definedName name="Pmax">#REF!</definedName>
    <definedName name="PNA" localSheetId="4">#REF!</definedName>
    <definedName name="PNA" localSheetId="18">#REF!</definedName>
    <definedName name="PNA" localSheetId="15">#REF!</definedName>
    <definedName name="PNA" localSheetId="12">#REF!</definedName>
    <definedName name="PNA">#REF!</definedName>
    <definedName name="PNAV" localSheetId="4">#REF!</definedName>
    <definedName name="PNAV" localSheetId="18">#REF!</definedName>
    <definedName name="PNAV" localSheetId="15">#REF!</definedName>
    <definedName name="PNAV" localSheetId="12">#REF!</definedName>
    <definedName name="PNAV">#REF!</definedName>
    <definedName name="PNL" localSheetId="4">#REF!</definedName>
    <definedName name="PNL" localSheetId="18">#REF!</definedName>
    <definedName name="PNL" localSheetId="15">#REF!</definedName>
    <definedName name="PNL" localSheetId="12">#REF!</definedName>
    <definedName name="PNL">#REF!</definedName>
    <definedName name="PNP" localSheetId="4">#REF!</definedName>
    <definedName name="PNP" localSheetId="18">#REF!</definedName>
    <definedName name="PNP" localSheetId="15">#REF!</definedName>
    <definedName name="PNP" localSheetId="12">#REF!</definedName>
    <definedName name="PNP">#REF!</definedName>
    <definedName name="POficial">#REF!</definedName>
    <definedName name="Pp">#REF!</definedName>
    <definedName name="PPA" localSheetId="5">#REF!</definedName>
    <definedName name="PPA" localSheetId="18">#REF!</definedName>
    <definedName name="PPA" localSheetId="15">#REF!</definedName>
    <definedName name="PPA">#REF!</definedName>
    <definedName name="PPCOL" localSheetId="5">#REF!</definedName>
    <definedName name="PPCOL" localSheetId="18">#REF!</definedName>
    <definedName name="PPCOL" localSheetId="15">#REF!</definedName>
    <definedName name="PPCOL">#REF!</definedName>
    <definedName name="praccesoreadec" localSheetId="18">#REF!</definedName>
    <definedName name="praccesoreadec">#REF!</definedName>
    <definedName name="praceroptereadec">#REF!</definedName>
    <definedName name="pracondct">#REF!</definedName>
    <definedName name="praguareadec">#REF!</definedName>
    <definedName name="pralcantreadec">#REF!</definedName>
    <definedName name="pralteo">#REF!</definedName>
    <definedName name="pralteomyg">#REF!</definedName>
    <definedName name="pralteoreadec">#REF!</definedName>
    <definedName name="prapoyos">#REF!</definedName>
    <definedName name="prarena">#REF!</definedName>
    <definedName name="prarenatrit">#REF!</definedName>
    <definedName name="prb">#REF!</definedName>
    <definedName name="prbacheo">#REF!</definedName>
    <definedName name="prbacheosan">#REF!</definedName>
    <definedName name="prbacheosanreadec">#REF!</definedName>
    <definedName name="prbandas">#REF!</definedName>
    <definedName name="prbandassonoras">#REF!</definedName>
    <definedName name="prbandassonorasreadec">#REF!</definedName>
    <definedName name="prbandassonreadec">#REF!</definedName>
    <definedName name="prbanq">#REF!</definedName>
    <definedName name="prbanqreadec">#REF!</definedName>
    <definedName name="prbanquina">#REF!</definedName>
    <definedName name="prbanquinasreadec">#REF!</definedName>
    <definedName name="prbaranda">#REF!</definedName>
    <definedName name="prbarandareadec">#REF!</definedName>
    <definedName name="prbarpasareadec">#REF!</definedName>
    <definedName name="prbase">#REF!</definedName>
    <definedName name="prbasereadec">#REF!</definedName>
    <definedName name="prbflexreadec">#REF!</definedName>
    <definedName name="prc5readec">#REF!</definedName>
    <definedName name="prc6readec">#REF!</definedName>
    <definedName name="prca70100readec">#REF!</definedName>
    <definedName name="prcabezales">#REF!</definedName>
    <definedName name="prcalesreadec">#REF!</definedName>
    <definedName name="prcalzadahorm">#REF!</definedName>
    <definedName name="prcalzadas">#REF!</definedName>
    <definedName name="prcemreadec">#REF!</definedName>
    <definedName name="prciclovía">#REF!</definedName>
    <definedName name="prcicloviareadec">#REF!</definedName>
    <definedName name="prcolocacionalc">#REF!</definedName>
    <definedName name="prcolocacionalcreadec">#REF!</definedName>
    <definedName name="prcolumnas">#REF!</definedName>
    <definedName name="prcortepasto">#REF!</definedName>
    <definedName name="prcortepastoreadec">#REF!</definedName>
    <definedName name="prdemalcantarilla">#REF!</definedName>
    <definedName name="prdemalcantarillareadec">#REF!</definedName>
    <definedName name="prdesembanque">#REF!</definedName>
    <definedName name="prdesembanquereadec">#REF!</definedName>
    <definedName name="prdren">#REF!</definedName>
    <definedName name="pre" localSheetId="5">#REF!</definedName>
    <definedName name="pre" localSheetId="18">#REF!</definedName>
    <definedName name="pre" localSheetId="15">#REF!</definedName>
    <definedName name="pre">#REF!</definedName>
    <definedName name="PRECIO" localSheetId="18">#REF!</definedName>
    <definedName name="PRECIO">#REF!</definedName>
    <definedName name="PRECIO_TOTAL">#REF!</definedName>
    <definedName name="premerreadec">#REF!</definedName>
    <definedName name="PRENUEVO" localSheetId="5">#REF!</definedName>
    <definedName name="PRENUEVO" localSheetId="18">#REF!</definedName>
    <definedName name="PRENUEVO" localSheetId="15">#REF!</definedName>
    <definedName name="PRENUEVO">#REF!</definedName>
    <definedName name="prescarif" localSheetId="18">#REF!</definedName>
    <definedName name="prescarif">#REF!</definedName>
    <definedName name="prescarifbanq">#REF!</definedName>
    <definedName name="prescarifbanqreadec">#REF!</definedName>
    <definedName name="prescarifreadec">#REF!</definedName>
    <definedName name="Presión_de_Vapor_del_Agua">#REF!</definedName>
    <definedName name="prestribos">#REF!</definedName>
    <definedName name="PRESUP" localSheetId="2">#REF!</definedName>
    <definedName name="PRESUP" localSheetId="0">#REF!</definedName>
    <definedName name="PRESUP" localSheetId="18">#REF!</definedName>
    <definedName name="PRESUP" localSheetId="3">#REF!</definedName>
    <definedName name="PRESUP">#REF!</definedName>
    <definedName name="presuporcentaje" localSheetId="2">#REF!</definedName>
    <definedName name="presuporcentaje" localSheetId="0">#REF!</definedName>
    <definedName name="presuporcentaje" localSheetId="18">#REF!</definedName>
    <definedName name="presuporcentaje" localSheetId="3">#REF!</definedName>
    <definedName name="presuporcentaje">#REF!</definedName>
    <definedName name="PRESUPUESTO">#REF!</definedName>
    <definedName name="prexcavreadec">#REF!</definedName>
    <definedName name="prfereadec">#REF!</definedName>
    <definedName name="prfisuras">#REF!</definedName>
    <definedName name="prfisurasreadec">#REF!</definedName>
    <definedName name="prfresado">#REF!</definedName>
    <definedName name="prfresado22cm">#REF!</definedName>
    <definedName name="prfresadoreadec">#REF!</definedName>
    <definedName name="prhermoso">#REF!</definedName>
    <definedName name="prhermosoreadec">#REF!</definedName>
    <definedName name="prhlosaptereadec">#REF!</definedName>
    <definedName name="prhor">#REF!</definedName>
    <definedName name="prhorcunreadec">#REF!</definedName>
    <definedName name="PRIMERA">#REF!</definedName>
    <definedName name="primpr">#REF!</definedName>
    <definedName name="primpreforzada">#REF!</definedName>
    <definedName name="primpreforzadareadec">#REF!</definedName>
    <definedName name="primprimreadec">#REF!</definedName>
    <definedName name="primprref">#REF!</definedName>
    <definedName name="Princ">#REF!</definedName>
    <definedName name="_xlnm.Print_Area" localSheetId="2">'01'!$A$1:$X$235</definedName>
    <definedName name="_xlnm.Print_Area" localSheetId="0">'AING SALV4140 03'!$A$1:$H$227</definedName>
    <definedName name="_xlnm.Print_Area" localSheetId="5">#REF!</definedName>
    <definedName name="_xlnm.Print_Area" localSheetId="18">#REF!</definedName>
    <definedName name="_xlnm.Print_Area" localSheetId="3">Tareas!$A$3:$E$147</definedName>
    <definedName name="_xlnm.Print_Area">#REF!</definedName>
    <definedName name="PRINT_AREA_MI">#REF!</definedName>
    <definedName name="Print_Area_Reset" localSheetId="5">OFFSET(Full_Print,0,0,Last_Row)</definedName>
    <definedName name="Print_Area_Reset" localSheetId="18">OFFSET(Full_Print,0,0,Last_Row)</definedName>
    <definedName name="Print_Area_Reset">OFFSET(Full_Print,0,0,Last_Row)</definedName>
    <definedName name="_xlnm.Print_Titles" localSheetId="2">'01'!$7:$7</definedName>
    <definedName name="_xlnm.Print_Titles" localSheetId="0">'AING SALV4140 03'!$7:$7</definedName>
    <definedName name="_xlnm.Print_Titles" localSheetId="5">#REF!</definedName>
    <definedName name="_xlnm.Print_Titles" localSheetId="3">Tareas!$6:$6</definedName>
    <definedName name="_xlnm.Print_Titles">#REF!</definedName>
    <definedName name="printercanal" localSheetId="5">#REF!</definedName>
    <definedName name="printercanal">#REF!</definedName>
    <definedName name="prinvernal" localSheetId="5">#REF!</definedName>
    <definedName name="prinvernal">#REF!</definedName>
    <definedName name="prjunta">#REF!</definedName>
    <definedName name="prjuntas">#REF!</definedName>
    <definedName name="prlechada">#REF!</definedName>
    <definedName name="prlechadareadec">#REF!</definedName>
    <definedName name="prlimpieza">#REF!</definedName>
    <definedName name="prlimpiezareadec">#REF!</definedName>
    <definedName name="prlimpseñales">#REF!</definedName>
    <definedName name="prlimpseñalesreadec">#REF!</definedName>
    <definedName name="prlimptransp">#REF!</definedName>
    <definedName name="prlosa">#REF!</definedName>
    <definedName name="prmatbanquina">#REF!</definedName>
    <definedName name="prmatbanquinareadec">#REF!</definedName>
    <definedName name="prmaterialbase">#REF!</definedName>
    <definedName name="prmicroaglomerado">#REF!</definedName>
    <definedName name="prmicroreadec">#REF!</definedName>
    <definedName name="prmontaje">#REF!</definedName>
    <definedName name="pro" localSheetId="5" hidden="1">{"DECIMAL",#N/A,FALSE,"02"}</definedName>
    <definedName name="pro" localSheetId="18" hidden="1">{"DECIMAL",#N/A,FALSE,"02"}</definedName>
    <definedName name="pro" hidden="1">{"DECIMAL",#N/A,FALSE,"02"}</definedName>
    <definedName name="Prof_fund" localSheetId="5">#REF!</definedName>
    <definedName name="Prof_fund" localSheetId="18">#REF!</definedName>
    <definedName name="Prof_fund" localSheetId="15">#REF!</definedName>
    <definedName name="Prof_fund">#REF!</definedName>
    <definedName name="Prof_Tensor" localSheetId="5">#REF!</definedName>
    <definedName name="Prof_Tensor" localSheetId="18">#REF!</definedName>
    <definedName name="Prof_Tensor" localSheetId="15">#REF!</definedName>
    <definedName name="Prof_Tensor">#REF!</definedName>
    <definedName name="Progress" localSheetId="5" hidden="1">{#N/A,#N/A,FALSE,"Monthly report";#N/A,#N/A,FALSE,"M.R. UEM";#N/A,#N/A,FALSE,"M.R. VCM"}</definedName>
    <definedName name="Progress" localSheetId="18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VEEDOR">#REF!</definedName>
    <definedName name="Proyecto1">#REF!</definedName>
    <definedName name="Proyecto2">#REF!</definedName>
    <definedName name="prPartido">#REF!</definedName>
    <definedName name="prPCCura">#REF!</definedName>
    <definedName name="prperfilado">#REF!</definedName>
    <definedName name="prperfiladoreadec">#REF!</definedName>
    <definedName name="prpiedratrit">#REF!</definedName>
    <definedName name="prpilotes">#REF!</definedName>
    <definedName name="prpintado">#REF!</definedName>
    <definedName name="prpintadoreadec">#REF!</definedName>
    <definedName name="prpostereadec">#REF!</definedName>
    <definedName name="prpretiles">#REF!</definedName>
    <definedName name="prpretilesreadec">#REF!</definedName>
    <definedName name="prprolongacion">#REF!</definedName>
    <definedName name="prprolongacionreadec">#REF!</definedName>
    <definedName name="prproteccion">#REF!</definedName>
    <definedName name="prpteccurareadec">#REF!</definedName>
    <definedName name="prrecolprereadec">#REF!</definedName>
    <definedName name="prrefuerzo6">#REF!</definedName>
    <definedName name="prrefuerzo6readec">#REF!</definedName>
    <definedName name="prrefuerzo8">#REF!</definedName>
    <definedName name="prrefuerzo8readec">#REF!</definedName>
    <definedName name="prrelleno">#REF!</definedName>
    <definedName name="prrellenoreadec">#REF!</definedName>
    <definedName name="prrepalc">#REF!</definedName>
    <definedName name="prrepAlcPtes">#REF!</definedName>
    <definedName name="prrepalcreadec">#REF!</definedName>
    <definedName name="prreparacionalc">#REF!</definedName>
    <definedName name="prreparacionalcreadec">#REF!</definedName>
    <definedName name="prrestdrenaje">#REF!</definedName>
    <definedName name="prrestdrenajereadec">#REF!</definedName>
    <definedName name="prretderrumbe">#REF!</definedName>
    <definedName name="prretrecolbaranda">#REF!</definedName>
    <definedName name="prriegoimpreadec">#REF!</definedName>
    <definedName name="prriegoliga">#REF!</definedName>
    <definedName name="prriegoligareadec">#REF!</definedName>
    <definedName name="prrieimpr">#REF!</definedName>
    <definedName name="prrotondas">#REF!</definedName>
    <definedName name="prrotondasreadec">#REF!</definedName>
    <definedName name="prsandef">#REF!</definedName>
    <definedName name="prsb">#REF!</definedName>
    <definedName name="prsellado">#REF!</definedName>
    <definedName name="prselladoreadec">#REF!</definedName>
    <definedName name="prsenda">#REF!</definedName>
    <definedName name="prsendareadec">#REF!</definedName>
    <definedName name="prseñalamiento">#REF!</definedName>
    <definedName name="prseñalamientoreadec">#REF!</definedName>
    <definedName name="prseñalizacion">#REF!</definedName>
    <definedName name="prseñalizacionext">#REF!</definedName>
    <definedName name="prseñalizacionextreadec">#REF!</definedName>
    <definedName name="prseñalizaciónreadec">#REF!</definedName>
    <definedName name="prseñalizreadec">#REF!</definedName>
    <definedName name="prsistdren">#REF!</definedName>
    <definedName name="prsistdren1071">#REF!</definedName>
    <definedName name="prSoc8026">#REF!</definedName>
    <definedName name="prsocavacionreadec">#REF!</definedName>
    <definedName name="prsubbase">#REF!</definedName>
    <definedName name="prsubbasereadec">#REF!</definedName>
    <definedName name="prterr">#REF!</definedName>
    <definedName name="prterrapreadec">#REF!</definedName>
    <definedName name="prterrsincomp">#REF!</definedName>
    <definedName name="prtravsenillosareadec">#REF!</definedName>
    <definedName name="Prueba">#REF!</definedName>
    <definedName name="prvigas">#REF!</definedName>
    <definedName name="pvc">#REF!</definedName>
    <definedName name="q">#REF!</definedName>
    <definedName name="Q0">#REF!</definedName>
    <definedName name="QCAR">#REF!</definedName>
    <definedName name="RANGO">#REF!</definedName>
    <definedName name="rangobase" localSheetId="0">L2C1:L372C15</definedName>
    <definedName name="rangobase" localSheetId="16">L2C1:L372C15</definedName>
    <definedName name="rangobase" localSheetId="5">L2C1:L372C15</definedName>
    <definedName name="rangobase" localSheetId="18">L2C1:L372C15</definedName>
    <definedName name="rangobase">L2C1:L372C15</definedName>
    <definedName name="rangoformulas" localSheetId="4">#REF!</definedName>
    <definedName name="rangoformulas" localSheetId="5">#REF!</definedName>
    <definedName name="rangoformulas" localSheetId="18">#REF!</definedName>
    <definedName name="rangoformulas" localSheetId="15">#REF!</definedName>
    <definedName name="rangoformulas" localSheetId="12">#REF!</definedName>
    <definedName name="rangoformulas">#REF!</definedName>
    <definedName name="RB" localSheetId="0">L2C1:L372C15</definedName>
    <definedName name="RB" localSheetId="16">L2C1:L372C15</definedName>
    <definedName name="RB" localSheetId="5">L2C1:L372C15</definedName>
    <definedName name="RB" localSheetId="18">L2C1:L372C15</definedName>
    <definedName name="RB">L2C1:L372C15</definedName>
    <definedName name="RBASE" localSheetId="0">L2C1:L372C15</definedName>
    <definedName name="RBASE" localSheetId="16">L2C1:L372C15</definedName>
    <definedName name="RBASE" localSheetId="5">L2C1:L372C15</definedName>
    <definedName name="RBASE" localSheetId="18">L2C1:L372C15</definedName>
    <definedName name="RBASE">L2C1:L372C15</definedName>
    <definedName name="re" localSheetId="5" hidden="1">{#N/A,#N/A,FALSE,"Monthly report";#N/A,#N/A,FALSE,"M.R. UEM";#N/A,#N/A,FALSE,"M.R. VCM"}</definedName>
    <definedName name="re" localSheetId="18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acc">#REF!</definedName>
    <definedName name="rec">#REF!</definedName>
    <definedName name="rec_c">#REF!</definedName>
    <definedName name="Rejilla">#REF!</definedName>
    <definedName name="rellr">#REF!</definedName>
    <definedName name="rend" localSheetId="4">#REF!</definedName>
    <definedName name="rend" localSheetId="18">#REF!</definedName>
    <definedName name="rend" localSheetId="12">#REF!</definedName>
    <definedName name="rend">#REF!</definedName>
    <definedName name="Reparaciones">#REF!</definedName>
    <definedName name="REPOTENCIACION_ACUEDUCTO_A_V._ANGELA">#REF!</definedName>
    <definedName name="RES">#N/A</definedName>
    <definedName name="Residual">#REF!</definedName>
    <definedName name="RESUMEN">#N/A</definedName>
    <definedName name="RN">#REF!</definedName>
    <definedName name="RR">#REF!</definedName>
    <definedName name="RSAD" localSheetId="4">#REF!</definedName>
    <definedName name="RSAD" localSheetId="5">#REF!</definedName>
    <definedName name="RSAD" localSheetId="18">#REF!</definedName>
    <definedName name="RSAD" localSheetId="15">#REF!</definedName>
    <definedName name="RSAD" localSheetId="12">#REF!</definedName>
    <definedName name="RSAD">#REF!</definedName>
    <definedName name="RSARL" localSheetId="4">#REF!</definedName>
    <definedName name="RSARL" localSheetId="18">#REF!</definedName>
    <definedName name="RSARL" localSheetId="15">#REF!</definedName>
    <definedName name="RSARL" localSheetId="12">#REF!</definedName>
    <definedName name="RSARL">#REF!</definedName>
    <definedName name="RSAZCE" localSheetId="4">#REF!</definedName>
    <definedName name="RSAZCE" localSheetId="18">#REF!</definedName>
    <definedName name="RSAZCE" localSheetId="15">#REF!</definedName>
    <definedName name="RSAZCE" localSheetId="12">#REF!</definedName>
    <definedName name="RSAZCE">#REF!</definedName>
    <definedName name="RSAZM" localSheetId="4">#REF!</definedName>
    <definedName name="RSAZM" localSheetId="18">#REF!</definedName>
    <definedName name="RSAZM" localSheetId="15">#REF!</definedName>
    <definedName name="RSAZM" localSheetId="12">#REF!</definedName>
    <definedName name="RSAZM">#REF!</definedName>
    <definedName name="RSCOL" localSheetId="4">#REF!</definedName>
    <definedName name="RSCOL" localSheetId="18">#REF!</definedName>
    <definedName name="RSCOL" localSheetId="15">#REF!</definedName>
    <definedName name="RSCOL" localSheetId="12">#REF!</definedName>
    <definedName name="RSCOL">#REF!</definedName>
    <definedName name="RSLD" localSheetId="5">#REF!</definedName>
    <definedName name="RSLD" localSheetId="18">#REF!</definedName>
    <definedName name="RSLD" localSheetId="15">#REF!</definedName>
    <definedName name="RSLD">#REF!</definedName>
    <definedName name="RSPD" localSheetId="5">#REF!</definedName>
    <definedName name="RSPD" localSheetId="18">#REF!</definedName>
    <definedName name="RSPD" localSheetId="15">#REF!</definedName>
    <definedName name="RSPD">#REF!</definedName>
    <definedName name="RSPZM" localSheetId="5">#REF!</definedName>
    <definedName name="RSPZM" localSheetId="18">#REF!</definedName>
    <definedName name="RSPZM" localSheetId="15">#REF!</definedName>
    <definedName name="RSPZM">#REF!</definedName>
    <definedName name="ryrc" localSheetId="18">#REF!</definedName>
    <definedName name="ryrc">#REF!</definedName>
    <definedName name="ryrr">#REF!</definedName>
    <definedName name="S">#REF!</definedName>
    <definedName name="sa" localSheetId="2" hidden="1">#REF!</definedName>
    <definedName name="sa" localSheetId="0" hidden="1">#REF!</definedName>
    <definedName name="sa" localSheetId="4" hidden="1">#REF!</definedName>
    <definedName name="sa" localSheetId="18" hidden="1">#REF!</definedName>
    <definedName name="sa" localSheetId="12" hidden="1">#REF!</definedName>
    <definedName name="sa" localSheetId="3" hidden="1">#REF!</definedName>
    <definedName name="sa" hidden="1">#REF!</definedName>
    <definedName name="sadDSadsa" localSheetId="18">#REF!</definedName>
    <definedName name="sadDSadsa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ECCIONES" localSheetId="5">#REF!</definedName>
    <definedName name="SECCIONES" localSheetId="18">#REF!</definedName>
    <definedName name="SECCIONES" localSheetId="15">#REF!</definedName>
    <definedName name="SECCIONES">#REF!</definedName>
    <definedName name="SECCIONES_DIV" localSheetId="5">#REF!</definedName>
    <definedName name="SECCIONES_DIV" localSheetId="18">#REF!</definedName>
    <definedName name="SECCIONES_DIV" localSheetId="15">#REF!</definedName>
    <definedName name="SECCIONES_DIV">#REF!</definedName>
    <definedName name="SEG" localSheetId="18">#REF!</definedName>
    <definedName name="SEG">#REF!</definedName>
    <definedName name="SEGUNDA">#REF!</definedName>
    <definedName name="Seguro_de_Vida_Obligatorio" localSheetId="5">#REF!</definedName>
    <definedName name="Seguro_de_Vida_Obligatorio" localSheetId="18">#REF!</definedName>
    <definedName name="Seguro_de_Vida_Obligatorio" localSheetId="15">#REF!</definedName>
    <definedName name="Seguro_de_Vida_Obligatorio">#REF!</definedName>
    <definedName name="SIG__">#N/A</definedName>
    <definedName name="SIG2__">#N/A</definedName>
    <definedName name="sigmabk" localSheetId="5">#REF!</definedName>
    <definedName name="sigmabk" localSheetId="18">#REF!</definedName>
    <definedName name="sigmabk">#REF!</definedName>
    <definedName name="sigmabk_c" localSheetId="5">#REF!</definedName>
    <definedName name="sigmabk_c">#REF!</definedName>
    <definedName name="sigmas" localSheetId="5">#REF!</definedName>
    <definedName name="sigmas">#REF!</definedName>
    <definedName name="sin_reaj">#REF!</definedName>
    <definedName name="sob">#REF!</definedName>
    <definedName name="sob_c">#REF!</definedName>
    <definedName name="SObrero">#REF!</definedName>
    <definedName name="ssdfsdgsdfgfgb">#REF!</definedName>
    <definedName name="sssssssssss">#REF!</definedName>
    <definedName name="SUBTOTAL">#REF!</definedName>
    <definedName name="Sueldo_Anual_Complementario" localSheetId="5">#REF!</definedName>
    <definedName name="Sueldo_Anual_Complementario" localSheetId="18">#REF!</definedName>
    <definedName name="Sueldo_Anual_Complementario" localSheetId="15">#REF!</definedName>
    <definedName name="Sueldo_Anual_Complementario">#REF!</definedName>
    <definedName name="Suelo" localSheetId="18">#REF!</definedName>
    <definedName name="Suelo">#REF!</definedName>
    <definedName name="SumaItems" localSheetId="5">#REF!</definedName>
    <definedName name="SumaItems" localSheetId="18">#REF!</definedName>
    <definedName name="SumaItems" localSheetId="15">#REF!</definedName>
    <definedName name="SumaItems">#REF!</definedName>
    <definedName name="Summary" localSheetId="4">#REF!</definedName>
    <definedName name="Summary" localSheetId="18">#REF!</definedName>
    <definedName name="Summary" localSheetId="12">#REF!</definedName>
    <definedName name="Summary">#REF!</definedName>
    <definedName name="Sup_Cubierta" localSheetId="5">#REF!</definedName>
    <definedName name="Sup_Cubierta" localSheetId="18">#REF!</definedName>
    <definedName name="Sup_Cubierta" localSheetId="15">#REF!</definedName>
    <definedName name="Sup_Cubierta">#REF!</definedName>
    <definedName name="Sup_Lote" localSheetId="5">#REF!</definedName>
    <definedName name="Sup_Lote" localSheetId="18">#REF!</definedName>
    <definedName name="Sup_Lote" localSheetId="15">#REF!</definedName>
    <definedName name="Sup_Lote">#REF!</definedName>
    <definedName name="Sup_Proyecto" localSheetId="4">#REF!</definedName>
    <definedName name="Sup_Proyecto" localSheetId="18">#REF!</definedName>
    <definedName name="Sup_Proyecto" localSheetId="15">#REF!</definedName>
    <definedName name="Sup_Proyecto" localSheetId="12">#REF!</definedName>
    <definedName name="Sup_Proyecto">#REF!</definedName>
    <definedName name="Sup_Terreno" localSheetId="4">#REF!</definedName>
    <definedName name="Sup_Terreno" localSheetId="18">#REF!</definedName>
    <definedName name="Sup_Terreno" localSheetId="15">#REF!</definedName>
    <definedName name="Sup_Terreno" localSheetId="12">#REF!</definedName>
    <definedName name="Sup_Terreno">#REF!</definedName>
    <definedName name="Superficie_Cubierta" localSheetId="5">#REF!</definedName>
    <definedName name="Superficie_Cubierta" localSheetId="18">#REF!</definedName>
    <definedName name="Superficie_Cubierta" localSheetId="15">#REF!</definedName>
    <definedName name="Superficie_Cubierta">#REF!</definedName>
    <definedName name="T.Cuad." localSheetId="18">#REF!</definedName>
    <definedName name="T.Cuad.">#REF!</definedName>
    <definedName name="T.Rect.">#REF!</definedName>
    <definedName name="T.Red.">#REF!</definedName>
    <definedName name="T_2">#REF!</definedName>
    <definedName name="t1000k">#REF!</definedName>
    <definedName name="t15k">#REF!</definedName>
    <definedName name="t400k">#REF!</definedName>
    <definedName name="t490k">#REF!</definedName>
    <definedName name="t90k">#REF!</definedName>
    <definedName name="TABLA2">#REF!</definedName>
    <definedName name="TABLA3">#REF!</definedName>
    <definedName name="TABLA6.2">#REF!</definedName>
    <definedName name="tablas">#REF!</definedName>
    <definedName name="TAC">#REF!</definedName>
    <definedName name="TAREAS" localSheetId="4">#REF!</definedName>
    <definedName name="TAREAS" localSheetId="18">#REF!</definedName>
    <definedName name="TAREAS" localSheetId="12">#REF!</definedName>
    <definedName name="TAREAS">#REF!</definedName>
    <definedName name="TASA" localSheetId="5">#REF!</definedName>
    <definedName name="TASA" localSheetId="18">#REF!</definedName>
    <definedName name="TASA" localSheetId="15">#REF!</definedName>
    <definedName name="TASA">#REF!</definedName>
    <definedName name="tasa_cero" localSheetId="18">#REF!</definedName>
    <definedName name="tasa_cero">#REF!</definedName>
    <definedName name="tau">#REF!</definedName>
    <definedName name="Tdos">#REF!</definedName>
    <definedName name="te">#REF!</definedName>
    <definedName name="Temperatura_Kelvin">#REF!</definedName>
    <definedName name="TERCERA">#REF!</definedName>
    <definedName name="terramesh">#REF!</definedName>
    <definedName name="ThO">#REF!</definedName>
    <definedName name="ThPH">#REF!</definedName>
    <definedName name="Tip.Conj.">#REF!</definedName>
    <definedName name="TIPIFICACION">#REF!</definedName>
    <definedName name="Tipo.Informe">#REF!</definedName>
    <definedName name="TIRANTE_CRITICO_CANALES">#REF!</definedName>
    <definedName name="TITULO" localSheetId="17">#REF!</definedName>
    <definedName name="TITULO" localSheetId="5">#REF!</definedName>
    <definedName name="TITULO" localSheetId="18">#REF!</definedName>
    <definedName name="TITULO" localSheetId="15">#REF!</definedName>
    <definedName name="TITULO">#REF!</definedName>
    <definedName name="TITULOS" localSheetId="18">#REF!</definedName>
    <definedName name="TITULOS">#REF!</definedName>
    <definedName name="TITULOS_A_IMPRIMIR">#REF!</definedName>
    <definedName name="Títulos_a_imprimir_IM" localSheetId="2">#REF!</definedName>
    <definedName name="Títulos_a_imprimir_IM" localSheetId="0">#REF!</definedName>
    <definedName name="Títulos_a_imprimir_IM" localSheetId="18">#REF!</definedName>
    <definedName name="Títulos_a_imprimir_IM" localSheetId="3">#REF!</definedName>
    <definedName name="Títulos_a_imprimir_IM">#REF!</definedName>
    <definedName name="TIUF" localSheetId="5">#REF!</definedName>
    <definedName name="TIUF" localSheetId="18">#REF!</definedName>
    <definedName name="TIUF" localSheetId="15">#REF!</definedName>
    <definedName name="TIUF">#REF!</definedName>
    <definedName name="to11_c" localSheetId="18">#REF!</definedName>
    <definedName name="to11_c">#REF!</definedName>
    <definedName name="TOBR1">#REF!</definedName>
    <definedName name="TOBRA">#REF!</definedName>
    <definedName name="tor">#REF!</definedName>
    <definedName name="tota1" localSheetId="18">#REF!</definedName>
    <definedName name="tota1">#REF!</definedName>
    <definedName name="TOTAL">#REF!</definedName>
    <definedName name="Total_Interest">#REF!</definedName>
    <definedName name="Total_Pay">#REF!</definedName>
    <definedName name="Total_Payment" localSheetId="0">Scheduled_Payment+Extra_Payment</definedName>
    <definedName name="Total_Payment" localSheetId="16">Scheduled_Payment+Extra_Payment</definedName>
    <definedName name="Total_Payment" localSheetId="5">Scheduled_Payment+Extra_Payment</definedName>
    <definedName name="Total_Payment" localSheetId="18">Scheduled_Payment+Extra_Payment</definedName>
    <definedName name="Total_Payment">Scheduled_Payment+Extra_Payment</definedName>
    <definedName name="TOTAL_SISTEMA_DE_ACUEDUCTOS_A_PRECIO_FINAL" localSheetId="5">#REF!</definedName>
    <definedName name="TOTAL_SISTEMA_DE_ACUEDUCTOS_A_PRECIO_FINAL" localSheetId="18">#REF!</definedName>
    <definedName name="TOTAL_SISTEMA_DE_ACUEDUCTOS_A_PRECIO_FINAL">#REF!</definedName>
    <definedName name="totalcert" localSheetId="5">#REF!</definedName>
    <definedName name="totalcert" localSheetId="15">#REF!</definedName>
    <definedName name="totalcert">#REF!</definedName>
    <definedName name="TOTALES" localSheetId="4">#REF!</definedName>
    <definedName name="TOTALES" localSheetId="5">#REF!</definedName>
    <definedName name="TOTALES" localSheetId="18">#REF!</definedName>
    <definedName name="TOTALES" localSheetId="12">#REF!</definedName>
    <definedName name="TOTALES">#REF!</definedName>
    <definedName name="TPA">#REF!</definedName>
    <definedName name="TRANSPORTE">#N/A</definedName>
    <definedName name="trentiuno">#REF!</definedName>
    <definedName name="TUBERIAS">#REF!</definedName>
    <definedName name="Tuberías_de_P.E.A.D.">#REF!</definedName>
    <definedName name="Tuberías_de_P.R.F.V.">#REF!</definedName>
    <definedName name="Tuberias_de_P.V.C.">#REF!</definedName>
    <definedName name="Tuerc.">#REF!</definedName>
    <definedName name="Tuno">#REF!</definedName>
    <definedName name="u">#REF!</definedName>
    <definedName name="Unidades" localSheetId="4">#REF!</definedName>
    <definedName name="Unidades" localSheetId="18">#REF!</definedName>
    <definedName name="Unidades" localSheetId="15">#REF!</definedName>
    <definedName name="Unidades" localSheetId="12">#REF!</definedName>
    <definedName name="Unidades">#REF!</definedName>
    <definedName name="UOCRA" localSheetId="5">#REF!</definedName>
    <definedName name="UOCRA" localSheetId="18">#REF!</definedName>
    <definedName name="UOCRA" localSheetId="15">#REF!</definedName>
    <definedName name="UOCRA">#REF!</definedName>
    <definedName name="UOCRA_Cargo_Fijo" localSheetId="5">#REF!</definedName>
    <definedName name="UOCRA_Cargo_Fijo" localSheetId="18">#REF!</definedName>
    <definedName name="UOCRA_Cargo_Fijo" localSheetId="15">#REF!</definedName>
    <definedName name="UOCRA_Cargo_Fijo">#REF!</definedName>
    <definedName name="UPN" localSheetId="18">#REF!</definedName>
    <definedName name="UPN">#REF!</definedName>
    <definedName name="USD">#REF!</definedName>
    <definedName name="USD.BNA" localSheetId="15">#REF!</definedName>
    <definedName name="USD.BNA">#REF!</definedName>
    <definedName name="V">#REF!</definedName>
    <definedName name="V.R.">#REF!</definedName>
    <definedName name="V.Rosc">#REF!</definedName>
    <definedName name="V0">#REF!</definedName>
    <definedName name="Vacaciones" localSheetId="5">#REF!</definedName>
    <definedName name="Vacaciones" localSheetId="18">#REF!</definedName>
    <definedName name="Vacaciones" localSheetId="15">#REF!</definedName>
    <definedName name="Vacaciones">#REF!</definedName>
    <definedName name="vacdul" localSheetId="18">#REF!</definedName>
    <definedName name="vacdul">#REF!</definedName>
    <definedName name="vacdul1mod">#REF!</definedName>
    <definedName name="vacete">#REF!</definedName>
    <definedName name="vaclam">#REF!</definedName>
    <definedName name="vaclam1mod">#REF!</definedName>
    <definedName name="vadih">#REF!</definedName>
    <definedName name="val">#REF!</definedName>
    <definedName name="valgalv">#REF!</definedName>
    <definedName name="valgalv1mod">#REF!</definedName>
    <definedName name="validez">#REF!</definedName>
    <definedName name="Valor">#REF!</definedName>
    <definedName name="valoresequipo" localSheetId="2">#REF!</definedName>
    <definedName name="valoresequipo" localSheetId="0">#REF!</definedName>
    <definedName name="valoresequipo" localSheetId="18">#REF!</definedName>
    <definedName name="valoresequipo" localSheetId="3">#REF!</definedName>
    <definedName name="valoresequipo">#REF!</definedName>
    <definedName name="Values_Entered" localSheetId="5">IF(Loan_Amount*Interest_Rate*Loan_Years*Loan_Start&gt;0,1,0)</definedName>
    <definedName name="Values_Entered" localSheetId="18">IF(Loan_Amount*Interest_Rate*Loan_Years*Loan_Start&gt;0,1,0)</definedName>
    <definedName name="Values_Entered">IF(Loan_Amount*Interest_Rate*Loan_Years*Loan_Start&gt;0,1,0)</definedName>
    <definedName name="vaponeo" localSheetId="5">#REF!</definedName>
    <definedName name="vaponeo" localSheetId="18">#REF!</definedName>
    <definedName name="vaponeo">#REF!</definedName>
    <definedName name="varmco" localSheetId="5">#REF!</definedName>
    <definedName name="varmco">#REF!</definedName>
    <definedName name="varmco1mod" localSheetId="5">#REF!</definedName>
    <definedName name="varmco1mod">#REF!</definedName>
    <definedName name="vbarra">#REF!</definedName>
    <definedName name="vbarra1mod">#REF!</definedName>
    <definedName name="vbroca">#REF!</definedName>
    <definedName name="vbroca1mod">#REF!</definedName>
    <definedName name="vca">#REF!</definedName>
    <definedName name="vca1mod">#REF!</definedName>
    <definedName name="vcem1mod">#REF!</definedName>
    <definedName name="vclav">#REF!</definedName>
    <definedName name="vclav1mod">#REF!</definedName>
    <definedName name="vcub">#REF!</definedName>
    <definedName name="vcub1mod">#REF!</definedName>
    <definedName name="vdil">#REF!</definedName>
    <definedName name="vdil1mod">#REF!</definedName>
    <definedName name="VENTA">#N/A</definedName>
    <definedName name="veqc1mod">#REF!</definedName>
    <definedName name="veqh1mod">#REF!</definedName>
    <definedName name="veqh2mod">#REF!</definedName>
    <definedName name="veqh3mod">#REF!</definedName>
    <definedName name="veqhc">#REF!</definedName>
    <definedName name="veqhc1mod">#REF!</definedName>
    <definedName name="veqimp1mod">#REF!</definedName>
    <definedName name="veqnac1mod">#REF!</definedName>
    <definedName name="veqp1mod">#REF!</definedName>
    <definedName name="VERTEDERO_EN__V">#REF!</definedName>
    <definedName name="VERTEDERO_HORIZONTAL__REHBOCK">#REF!</definedName>
    <definedName name="vfiller">#REF!</definedName>
    <definedName name="vfiller1mod">#REF!</definedName>
    <definedName name="vflex1mod">#REF!</definedName>
    <definedName name="vflexposte">#REF!</definedName>
    <definedName name="vflexposte1mod">#REF!</definedName>
    <definedName name="vfo">#REF!</definedName>
    <definedName name="vfo1mod">#REF!</definedName>
    <definedName name="vgav1mod">#REF!</definedName>
    <definedName name="vgavhex">#REF!</definedName>
    <definedName name="vgavhex1mod">#REF!</definedName>
    <definedName name="vgel">#REF!</definedName>
    <definedName name="vgel1mod">#REF!</definedName>
    <definedName name="vgeot">#REF!</definedName>
    <definedName name="vgeot1mod">#REF!</definedName>
    <definedName name="vgf">#REF!</definedName>
    <definedName name="vgf1mod">#REF!</definedName>
    <definedName name="vgf3mod">#REF!</definedName>
    <definedName name="vggrales">#REF!</definedName>
    <definedName name="vgo">#REF!</definedName>
    <definedName name="vgo1mod">#REF!</definedName>
    <definedName name="VH">#N/A</definedName>
    <definedName name="Vida">#REF!</definedName>
    <definedName name="Viscosidad_Dinámica_y_Cinemática_del_Agua">#REF!</definedName>
    <definedName name="viv">#REF!</definedName>
    <definedName name="vjunexp">#REF!</definedName>
    <definedName name="vjunt">#REF!</definedName>
    <definedName name="vjunt1mod">#REF!</definedName>
    <definedName name="vmad">#REF!</definedName>
    <definedName name="vmad1mod">#REF!</definedName>
    <definedName name="vmas">#REF!</definedName>
    <definedName name="vmdeo1mod">#REF!</definedName>
    <definedName name="vmhex">#REF!</definedName>
    <definedName name="vmhex1mod">#REF!</definedName>
    <definedName name="vmov1mod">#REF!</definedName>
    <definedName name="vnago">#REF!</definedName>
    <definedName name="vnago1mod">#REF!</definedName>
    <definedName name="VOLT">#N/A</definedName>
    <definedName name="vomathap">#REF!</definedName>
    <definedName name="vomathpp">#REF!</definedName>
    <definedName name="votros">#REF!</definedName>
    <definedName name="votros1mod">#REF!</definedName>
    <definedName name="vpintref">#REF!</definedName>
    <definedName name="vpintref1mod">#REF!</definedName>
    <definedName name="vpvc">#REF!</definedName>
    <definedName name="vpvc1mod">#REF!</definedName>
    <definedName name="vrrc1mod">#REF!</definedName>
    <definedName name="vrrp1mod">#REF!</definedName>
    <definedName name="vseñ">#REF!</definedName>
    <definedName name="vseñ1mod">#REF!</definedName>
    <definedName name="VT">#N/A</definedName>
    <definedName name="vt100k">#REF!</definedName>
    <definedName name="vt1400k">#REF!</definedName>
    <definedName name="vt1450k">#REF!</definedName>
    <definedName name="vt50k">#REF!</definedName>
    <definedName name="vtmesh">#REF!</definedName>
    <definedName name="vtmesh1mod">#REF!</definedName>
    <definedName name="vtopes">#REF!</definedName>
    <definedName name="vviv">#REF!</definedName>
    <definedName name="vviv1mod">#REF!</definedName>
    <definedName name="W" localSheetId="5" hidden="1">{"NORMAL",#N/A,FALSE,"02"}</definedName>
    <definedName name="W" localSheetId="18" hidden="1">{"NORMAL",#N/A,FALSE,"02"}</definedName>
    <definedName name="W" hidden="1">{"NORMAL",#N/A,FALSE,"02"}</definedName>
    <definedName name="we" localSheetId="2">#REF!</definedName>
    <definedName name="we" localSheetId="0">#REF!</definedName>
    <definedName name="we" localSheetId="5">#REF!</definedName>
    <definedName name="we" localSheetId="18">#REF!</definedName>
    <definedName name="we" localSheetId="15">#REF!</definedName>
    <definedName name="we" localSheetId="3">#REF!</definedName>
    <definedName name="we">#REF!</definedName>
    <definedName name="wrn.02INFORME." localSheetId="5" hidden="1">{"NORMAL",#N/A,FALSE,"02"}</definedName>
    <definedName name="wrn.02INFORME." localSheetId="18" hidden="1">{"NORMAL",#N/A,FALSE,"02"}</definedName>
    <definedName name="wrn.02INFORME." hidden="1">{"NORMAL",#N/A,FALSE,"02"}</definedName>
    <definedName name="wrn.DECIMAL." localSheetId="5" hidden="1">{"DECIMAL",#N/A,FALSE,"02"}</definedName>
    <definedName name="wrn.DECIMAL." localSheetId="18" hidden="1">{"DECIMAL",#N/A,FALSE,"02"}</definedName>
    <definedName name="wrn.DECIMAL." hidden="1">{"DECIMAL",#N/A,FALSE,"02"}</definedName>
    <definedName name="wrn.Graficos._.CG." localSheetId="5" hidden="1">{#N/A,#N/A,TRUE,"Cert.Global";#N/A,#N/A,TRUE,"Cert. M&amp;C";#N/A,#N/A,TRUE,"Cert. Engineering";#N/A,#N/A,TRUE,"Cert. Procurement ";#N/A,#N/A,TRUE,"Cert. Constr. Manag."}</definedName>
    <definedName name="wrn.Graficos._.CG." localSheetId="18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Presentación._.Budget." localSheetId="5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8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Report._.Mensual." localSheetId="5" hidden="1">{#N/A,#N/A,FALSE,"Monthly report";#N/A,#N/A,FALSE,"M.R. UEM";#N/A,#N/A,FALSE,"M.R. VCM"}</definedName>
    <definedName name="wrn.Report._.Mensual." localSheetId="18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x">#REF!</definedName>
    <definedName name="WY">#N/A</definedName>
    <definedName name="Wz">#REF!</definedName>
    <definedName name="x" localSheetId="5" hidden="1">{"DECIMAL",#N/A,FALSE,"02"}</definedName>
    <definedName name="x" localSheetId="18" hidden="1">{"DECIMAL",#N/A,FALSE,"02"}</definedName>
    <definedName name="x" hidden="1">{"DECIMAL",#N/A,FALSE,"02"}</definedName>
    <definedName name="XXX" localSheetId="5" hidden="1">{"NORMAL",#N/A,FALSE,"02"}</definedName>
    <definedName name="XXX" localSheetId="18" hidden="1">{"NORMAL",#N/A,FALSE,"02"}</definedName>
    <definedName name="XXX" hidden="1">{"NORMAL",#N/A,FALSE,"02"}</definedName>
    <definedName name="z">#REF!</definedName>
    <definedName name="Z_3EF0D3E3_8069_11D6_A032_005004A43871_.wvu.PrintTitles" localSheetId="5" hidden="1">#REF!</definedName>
    <definedName name="Z_3EF0D3E3_8069_11D6_A032_005004A43871_.wvu.PrintTitles" localSheetId="18" hidden="1">#REF!</definedName>
    <definedName name="Z_3EF0D3E3_8069_11D6_A032_005004A43871_.wvu.PrintTitles" localSheetId="15" hidden="1">#REF!</definedName>
    <definedName name="Z_3EF0D3E3_8069_11D6_A032_005004A43871_.wvu.PrintTitles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26" l="1"/>
  <c r="I133" i="26"/>
  <c r="J14" i="26"/>
  <c r="L249" i="26"/>
  <c r="R249" i="26" s="1"/>
  <c r="L248" i="26"/>
  <c r="T181" i="26"/>
  <c r="D33" i="115"/>
  <c r="F33" i="115" s="1"/>
  <c r="D32" i="115"/>
  <c r="F32" i="115" s="1"/>
  <c r="D34" i="115"/>
  <c r="F34" i="115" s="1"/>
  <c r="D35" i="115"/>
  <c r="K33" i="115"/>
  <c r="F35" i="115"/>
  <c r="E31" i="115"/>
  <c r="J34" i="115"/>
  <c r="I34" i="115"/>
  <c r="K34" i="115" s="1"/>
  <c r="M34" i="115" s="1"/>
  <c r="D31" i="115" s="1"/>
  <c r="O250" i="26"/>
  <c r="P250" i="26"/>
  <c r="Q250" i="26"/>
  <c r="Q249" i="26"/>
  <c r="P249" i="26"/>
  <c r="O249" i="26"/>
  <c r="N249" i="26"/>
  <c r="K249" i="26"/>
  <c r="H249" i="26"/>
  <c r="I247" i="26"/>
  <c r="E45" i="115"/>
  <c r="E42" i="115"/>
  <c r="F42" i="115" s="1"/>
  <c r="E28" i="115"/>
  <c r="F40" i="115"/>
  <c r="F41" i="115"/>
  <c r="D45" i="115"/>
  <c r="D44" i="115"/>
  <c r="F44" i="115" s="1"/>
  <c r="D43" i="115"/>
  <c r="F43" i="115" s="1"/>
  <c r="C20" i="115"/>
  <c r="C21" i="115" s="1"/>
  <c r="D30" i="115" s="1"/>
  <c r="F30" i="115" s="1"/>
  <c r="D17" i="115"/>
  <c r="E17" i="115" s="1"/>
  <c r="F17" i="115"/>
  <c r="F18" i="115"/>
  <c r="D18" i="115"/>
  <c r="E18" i="115" s="1"/>
  <c r="F19" i="115"/>
  <c r="D19" i="115"/>
  <c r="E19" i="115" s="1"/>
  <c r="F16" i="115"/>
  <c r="D16" i="115"/>
  <c r="E16" i="115" s="1"/>
  <c r="F15" i="115"/>
  <c r="D15" i="115"/>
  <c r="E15" i="115" s="1"/>
  <c r="F14" i="115"/>
  <c r="D14" i="115"/>
  <c r="E14" i="115" s="1"/>
  <c r="F13" i="115"/>
  <c r="D13" i="115"/>
  <c r="E13" i="115" s="1"/>
  <c r="F12" i="115"/>
  <c r="D12" i="115"/>
  <c r="E12" i="115" s="1"/>
  <c r="F11" i="115"/>
  <c r="D11" i="115"/>
  <c r="E11" i="115" s="1"/>
  <c r="F10" i="115"/>
  <c r="D10" i="115"/>
  <c r="E10" i="115" s="1"/>
  <c r="F9" i="115"/>
  <c r="D9" i="115"/>
  <c r="E9" i="115" s="1"/>
  <c r="F8" i="115"/>
  <c r="D8" i="115"/>
  <c r="E8" i="115" s="1"/>
  <c r="F6" i="115"/>
  <c r="D6" i="115"/>
  <c r="E6" i="115" s="1"/>
  <c r="F7" i="115"/>
  <c r="D7" i="115"/>
  <c r="E7" i="115" s="1"/>
  <c r="F5" i="115"/>
  <c r="F4" i="115"/>
  <c r="D5" i="115"/>
  <c r="E5" i="115" s="1"/>
  <c r="D4" i="115"/>
  <c r="E4" i="115" s="1"/>
  <c r="S249" i="26" l="1"/>
  <c r="M249" i="26"/>
  <c r="F31" i="115"/>
  <c r="D29" i="115"/>
  <c r="F29" i="115" s="1"/>
  <c r="F45" i="115"/>
  <c r="F46" i="115" s="1"/>
  <c r="F248" i="26" s="1"/>
  <c r="D28" i="115"/>
  <c r="F28" i="115" s="1"/>
  <c r="D20" i="115"/>
  <c r="D21" i="115" l="1"/>
  <c r="D27" i="115" s="1"/>
  <c r="F27" i="115" s="1"/>
  <c r="F36" i="115" s="1"/>
  <c r="F247" i="26" l="1"/>
  <c r="R248" i="26" l="1"/>
  <c r="Q248" i="26"/>
  <c r="P248" i="26"/>
  <c r="O248" i="26"/>
  <c r="N248" i="26"/>
  <c r="K248" i="26"/>
  <c r="H248" i="26"/>
  <c r="Q247" i="26"/>
  <c r="P247" i="26"/>
  <c r="O247" i="26"/>
  <c r="N247" i="26"/>
  <c r="K247" i="26"/>
  <c r="H247" i="26"/>
  <c r="L247" i="26" s="1"/>
  <c r="R247" i="26" s="1"/>
  <c r="E148" i="99"/>
  <c r="E151" i="99" s="1"/>
  <c r="F151" i="99"/>
  <c r="G151" i="99" s="1"/>
  <c r="F150" i="99"/>
  <c r="G150" i="99" s="1"/>
  <c r="F149" i="99"/>
  <c r="G149" i="99" s="1"/>
  <c r="E147" i="99"/>
  <c r="E145" i="99"/>
  <c r="E144" i="99"/>
  <c r="E141" i="99"/>
  <c r="F147" i="99"/>
  <c r="G147" i="99" s="1"/>
  <c r="F146" i="99"/>
  <c r="G146" i="99" s="1"/>
  <c r="F145" i="99"/>
  <c r="G145" i="99" s="1"/>
  <c r="E140" i="99"/>
  <c r="E142" i="99" s="1"/>
  <c r="F143" i="99"/>
  <c r="G143" i="99" s="1"/>
  <c r="F142" i="99"/>
  <c r="G142" i="99" s="1"/>
  <c r="F141" i="99"/>
  <c r="G141" i="99" s="1"/>
  <c r="E137" i="99"/>
  <c r="E139" i="99"/>
  <c r="E138" i="99"/>
  <c r="E136" i="99"/>
  <c r="F139" i="99"/>
  <c r="G139" i="99" s="1"/>
  <c r="F138" i="99"/>
  <c r="G138" i="99" s="1"/>
  <c r="F137" i="99"/>
  <c r="G137" i="99" s="1"/>
  <c r="E132" i="99"/>
  <c r="E134" i="99" s="1"/>
  <c r="F135" i="99"/>
  <c r="F134" i="99"/>
  <c r="E131" i="99"/>
  <c r="E128" i="99"/>
  <c r="E130" i="99" s="1"/>
  <c r="F131" i="99"/>
  <c r="F130" i="99"/>
  <c r="F129" i="99"/>
  <c r="F133" i="99" s="1"/>
  <c r="G27" i="110"/>
  <c r="I27" i="110" s="1"/>
  <c r="G26" i="110"/>
  <c r="I26" i="110" s="1"/>
  <c r="D27" i="110"/>
  <c r="D26" i="110"/>
  <c r="D28" i="110"/>
  <c r="G25" i="110"/>
  <c r="I25" i="110" s="1"/>
  <c r="D25" i="110"/>
  <c r="D24" i="110"/>
  <c r="I243" i="26"/>
  <c r="R250" i="26" l="1"/>
  <c r="S247" i="26"/>
  <c r="H139" i="99"/>
  <c r="M248" i="26"/>
  <c r="S248" i="26"/>
  <c r="M247" i="26"/>
  <c r="H149" i="99"/>
  <c r="E150" i="99"/>
  <c r="H150" i="99" s="1"/>
  <c r="H151" i="99"/>
  <c r="H142" i="99"/>
  <c r="H145" i="99"/>
  <c r="H146" i="99"/>
  <c r="H147" i="99"/>
  <c r="E143" i="99"/>
  <c r="H143" i="99" s="1"/>
  <c r="H141" i="99"/>
  <c r="I140" i="99" s="1"/>
  <c r="J140" i="99" s="1"/>
  <c r="H138" i="99"/>
  <c r="H137" i="99"/>
  <c r="E129" i="99"/>
  <c r="E133" i="99"/>
  <c r="E135" i="99"/>
  <c r="H26" i="110"/>
  <c r="J26" i="110" s="1"/>
  <c r="K26" i="110" s="1"/>
  <c r="H27" i="110"/>
  <c r="J27" i="110" s="1"/>
  <c r="K27" i="110" s="1"/>
  <c r="H25" i="110"/>
  <c r="J25" i="110" s="1"/>
  <c r="K25" i="110" s="1"/>
  <c r="I148" i="99" l="1"/>
  <c r="J148" i="99" s="1"/>
  <c r="T246" i="26"/>
  <c r="I136" i="99"/>
  <c r="J136" i="99" s="1"/>
  <c r="I144" i="99"/>
  <c r="J144" i="99" s="1"/>
  <c r="R245" i="26"/>
  <c r="Q245" i="26"/>
  <c r="P245" i="26"/>
  <c r="O245" i="26"/>
  <c r="K245" i="26"/>
  <c r="R244" i="26"/>
  <c r="R243" i="26"/>
  <c r="O243" i="26"/>
  <c r="N243" i="26"/>
  <c r="P243" i="26"/>
  <c r="H243" i="26"/>
  <c r="Q243" i="26"/>
  <c r="I182" i="26"/>
  <c r="Q15" i="75"/>
  <c r="Q14" i="75"/>
  <c r="Q13" i="75"/>
  <c r="Q12" i="75"/>
  <c r="Q11" i="75"/>
  <c r="Q10" i="75"/>
  <c r="Q9" i="75"/>
  <c r="Q8" i="75"/>
  <c r="Q7" i="75"/>
  <c r="Q6" i="75"/>
  <c r="Q5" i="75"/>
  <c r="Q4" i="75"/>
  <c r="R15" i="75"/>
  <c r="R14" i="75"/>
  <c r="R13" i="75"/>
  <c r="R12" i="75"/>
  <c r="R11" i="75"/>
  <c r="R10" i="75"/>
  <c r="R9" i="75"/>
  <c r="R8" i="75"/>
  <c r="R7" i="75"/>
  <c r="R6" i="75"/>
  <c r="R5" i="75"/>
  <c r="R4" i="75"/>
  <c r="S243" i="26" l="1"/>
  <c r="K243" i="26"/>
  <c r="M243" i="26" s="1"/>
  <c r="O244" i="26"/>
  <c r="Q244" i="26"/>
  <c r="F224" i="113"/>
  <c r="F223" i="113"/>
  <c r="F222" i="113"/>
  <c r="A135" i="113"/>
  <c r="A130" i="113"/>
  <c r="A110" i="113"/>
  <c r="A111" i="113" s="1"/>
  <c r="A99" i="113"/>
  <c r="G2" i="113"/>
  <c r="F2" i="113"/>
  <c r="F226" i="113" l="1"/>
  <c r="F225" i="113"/>
  <c r="F25" i="113"/>
  <c r="F24" i="113"/>
  <c r="F84" i="113" l="1"/>
  <c r="I20" i="33" l="1"/>
  <c r="I48" i="33" s="1"/>
  <c r="I14" i="33"/>
  <c r="I18" i="33"/>
  <c r="I26" i="33"/>
  <c r="I25" i="33"/>
  <c r="I24" i="33"/>
  <c r="I46" i="33"/>
  <c r="I45" i="33"/>
  <c r="I44" i="33"/>
  <c r="I43" i="33"/>
  <c r="I42" i="33"/>
  <c r="AD220" i="26"/>
  <c r="AE220" i="26" s="1"/>
  <c r="AD219" i="26"/>
  <c r="AE219" i="26" s="1"/>
  <c r="AG219" i="26" s="1"/>
  <c r="H225" i="26"/>
  <c r="K225" i="26"/>
  <c r="N225" i="26"/>
  <c r="O225" i="26"/>
  <c r="P225" i="26"/>
  <c r="Q225" i="26"/>
  <c r="R225" i="26"/>
  <c r="H226" i="26"/>
  <c r="K226" i="26"/>
  <c r="N226" i="26"/>
  <c r="O226" i="26"/>
  <c r="P226" i="26"/>
  <c r="Q226" i="26"/>
  <c r="R226" i="26"/>
  <c r="H227" i="26"/>
  <c r="K227" i="26"/>
  <c r="N227" i="26"/>
  <c r="O227" i="26"/>
  <c r="P227" i="26"/>
  <c r="Q227" i="26"/>
  <c r="R227" i="26"/>
  <c r="H228" i="26"/>
  <c r="K228" i="26"/>
  <c r="N228" i="26"/>
  <c r="O228" i="26"/>
  <c r="P228" i="26"/>
  <c r="Q228" i="26"/>
  <c r="R228" i="26"/>
  <c r="R224" i="26"/>
  <c r="Q224" i="26"/>
  <c r="P224" i="26"/>
  <c r="O224" i="26"/>
  <c r="N224" i="26"/>
  <c r="R229" i="26"/>
  <c r="Q229" i="26"/>
  <c r="P229" i="26"/>
  <c r="O229" i="26"/>
  <c r="K224" i="26"/>
  <c r="K229" i="26"/>
  <c r="H224" i="26"/>
  <c r="L62" i="26"/>
  <c r="J62" i="26"/>
  <c r="G62" i="26"/>
  <c r="L61" i="26"/>
  <c r="J61" i="26"/>
  <c r="G61" i="26"/>
  <c r="L27" i="88"/>
  <c r="S228" i="26" l="1"/>
  <c r="S225" i="26"/>
  <c r="S226" i="26"/>
  <c r="M228" i="26"/>
  <c r="U228" i="26" s="1"/>
  <c r="V228" i="26" s="1"/>
  <c r="S227" i="26"/>
  <c r="M225" i="26"/>
  <c r="U225" i="26" s="1"/>
  <c r="V225" i="26" s="1"/>
  <c r="M227" i="26"/>
  <c r="U227" i="26" s="1"/>
  <c r="V227" i="26" s="1"/>
  <c r="M226" i="26"/>
  <c r="U226" i="26" s="1"/>
  <c r="V226" i="26" s="1"/>
  <c r="M224" i="26"/>
  <c r="U224" i="26" s="1"/>
  <c r="V224" i="26" s="1"/>
  <c r="S224" i="26"/>
  <c r="E122" i="26"/>
  <c r="E121" i="26"/>
  <c r="O223" i="94"/>
  <c r="O222" i="94"/>
  <c r="T213" i="11"/>
  <c r="S213" i="11"/>
  <c r="K214" i="11"/>
  <c r="J214" i="11"/>
  <c r="K213" i="11"/>
  <c r="J213" i="11"/>
  <c r="J212" i="11"/>
  <c r="A212" i="11"/>
  <c r="B212" i="11"/>
  <c r="D212" i="11"/>
  <c r="E212" i="11"/>
  <c r="H212" i="11" s="1"/>
  <c r="F200" i="26" s="1"/>
  <c r="N200" i="26" s="1"/>
  <c r="C212" i="11"/>
  <c r="T214" i="11"/>
  <c r="V212" i="11" s="1"/>
  <c r="J63" i="26"/>
  <c r="K63" i="26" s="1"/>
  <c r="H63" i="26"/>
  <c r="E63" i="26"/>
  <c r="N63" i="26" s="1"/>
  <c r="F264" i="94"/>
  <c r="E266" i="94"/>
  <c r="E265" i="94"/>
  <c r="E61" i="26"/>
  <c r="E62" i="26"/>
  <c r="O220" i="94"/>
  <c r="N220" i="94"/>
  <c r="M220" i="94"/>
  <c r="J251" i="94"/>
  <c r="D252" i="94"/>
  <c r="E252" i="94" s="1"/>
  <c r="G252" i="94" s="1"/>
  <c r="I252" i="94" s="1"/>
  <c r="E259" i="94"/>
  <c r="G259" i="94" s="1"/>
  <c r="I259" i="94" s="1"/>
  <c r="F258" i="94"/>
  <c r="E258" i="94"/>
  <c r="E257" i="94"/>
  <c r="F257" i="94"/>
  <c r="E255" i="94"/>
  <c r="G255" i="94" s="1"/>
  <c r="I255" i="94" s="1"/>
  <c r="E254" i="94"/>
  <c r="G254" i="94" s="1"/>
  <c r="I254" i="94" s="1"/>
  <c r="C250" i="94"/>
  <c r="E250" i="94" s="1"/>
  <c r="G250" i="94" s="1"/>
  <c r="I250" i="94" s="1"/>
  <c r="E249" i="94"/>
  <c r="G249" i="94" s="1"/>
  <c r="I249" i="94" s="1"/>
  <c r="C247" i="94"/>
  <c r="E247" i="94" s="1"/>
  <c r="E248" i="94"/>
  <c r="C246" i="94"/>
  <c r="E246" i="94" s="1"/>
  <c r="E245" i="94"/>
  <c r="G245" i="94" s="1"/>
  <c r="I245" i="94" s="1"/>
  <c r="E232" i="94"/>
  <c r="G232" i="94" s="1"/>
  <c r="H231" i="94" s="1"/>
  <c r="E229" i="94"/>
  <c r="G229" i="94" s="1"/>
  <c r="E230" i="94"/>
  <c r="G230" i="94" s="1"/>
  <c r="F243" i="94"/>
  <c r="E243" i="94"/>
  <c r="F242" i="94"/>
  <c r="E242" i="94"/>
  <c r="E227" i="94"/>
  <c r="G227" i="94" s="1"/>
  <c r="H226" i="94" s="1"/>
  <c r="F240" i="94"/>
  <c r="E240" i="94"/>
  <c r="F239" i="94"/>
  <c r="E239" i="94"/>
  <c r="E225" i="94"/>
  <c r="G225" i="94" s="1"/>
  <c r="H224" i="94" s="1"/>
  <c r="E223" i="94"/>
  <c r="G223" i="94" s="1"/>
  <c r="E222" i="94"/>
  <c r="G222" i="94" s="1"/>
  <c r="E221" i="94"/>
  <c r="G221" i="94" s="1"/>
  <c r="E207" i="94"/>
  <c r="G207" i="94" s="1"/>
  <c r="E206" i="94"/>
  <c r="G206" i="94" s="1"/>
  <c r="E205" i="94"/>
  <c r="G205" i="94" s="1"/>
  <c r="E204" i="94"/>
  <c r="G204" i="94" s="1"/>
  <c r="E203" i="94"/>
  <c r="G203" i="94" s="1"/>
  <c r="E202" i="94"/>
  <c r="G202" i="94" s="1"/>
  <c r="S86" i="11"/>
  <c r="S87" i="11"/>
  <c r="S88" i="11"/>
  <c r="J86" i="11"/>
  <c r="K86" i="11"/>
  <c r="J87" i="11"/>
  <c r="K87" i="11"/>
  <c r="F83" i="11"/>
  <c r="F82" i="11"/>
  <c r="F84" i="11"/>
  <c r="S85" i="11"/>
  <c r="K85" i="11"/>
  <c r="J88" i="11"/>
  <c r="K88" i="11"/>
  <c r="E209" i="94"/>
  <c r="E200" i="94"/>
  <c r="G200" i="94" s="1"/>
  <c r="E199" i="94"/>
  <c r="G199" i="94" s="1"/>
  <c r="E198" i="94"/>
  <c r="G198" i="94" s="1"/>
  <c r="E197" i="94"/>
  <c r="G197" i="94" s="1"/>
  <c r="E196" i="94"/>
  <c r="G196" i="94" s="1"/>
  <c r="E195" i="94"/>
  <c r="G195" i="94" s="1"/>
  <c r="B81" i="11"/>
  <c r="C81" i="11"/>
  <c r="D81" i="11"/>
  <c r="E81" i="11"/>
  <c r="A81" i="11"/>
  <c r="F77" i="11"/>
  <c r="S79" i="11"/>
  <c r="S80" i="11"/>
  <c r="K79" i="11"/>
  <c r="J80" i="11"/>
  <c r="K80" i="11"/>
  <c r="F78" i="11"/>
  <c r="K76" i="11"/>
  <c r="J76" i="11"/>
  <c r="S76" i="11"/>
  <c r="B75" i="11"/>
  <c r="C75" i="11"/>
  <c r="D75" i="11"/>
  <c r="A75" i="11"/>
  <c r="B110" i="11"/>
  <c r="C110" i="11"/>
  <c r="A110" i="11"/>
  <c r="E187" i="94"/>
  <c r="G187" i="94" s="1"/>
  <c r="F186" i="94"/>
  <c r="E186" i="94"/>
  <c r="E175" i="94"/>
  <c r="G175" i="94" s="1"/>
  <c r="E177" i="94"/>
  <c r="G177" i="94" s="1"/>
  <c r="E179" i="94"/>
  <c r="G179" i="94" s="1"/>
  <c r="F178" i="94"/>
  <c r="E178" i="94"/>
  <c r="G176" i="94"/>
  <c r="E174" i="94"/>
  <c r="G174" i="94" s="1"/>
  <c r="E173" i="94"/>
  <c r="G173" i="94" s="1"/>
  <c r="E172" i="94"/>
  <c r="G172" i="94" s="1"/>
  <c r="E171" i="94"/>
  <c r="G171" i="94" s="1"/>
  <c r="G170" i="94"/>
  <c r="D32" i="110"/>
  <c r="I85" i="26"/>
  <c r="E120" i="26"/>
  <c r="E119" i="26"/>
  <c r="E118" i="26"/>
  <c r="E117" i="26"/>
  <c r="E116" i="26"/>
  <c r="AN96" i="112"/>
  <c r="AN55" i="112"/>
  <c r="AN28" i="112"/>
  <c r="CC95" i="112"/>
  <c r="CA119" i="112"/>
  <c r="CA105" i="112"/>
  <c r="V31" i="112"/>
  <c r="Y31" i="112"/>
  <c r="Y96" i="112"/>
  <c r="U95" i="112"/>
  <c r="BW130" i="112"/>
  <c r="CA142" i="112"/>
  <c r="BY118" i="112"/>
  <c r="BY117" i="112"/>
  <c r="CC117" i="112"/>
  <c r="CB118" i="112"/>
  <c r="CC120" i="112"/>
  <c r="CC121" i="112"/>
  <c r="CC122" i="112"/>
  <c r="CC123" i="112"/>
  <c r="CB124" i="112"/>
  <c r="CC125" i="112"/>
  <c r="CB126" i="112"/>
  <c r="CC127" i="112"/>
  <c r="CC128" i="112"/>
  <c r="CC129" i="112"/>
  <c r="CC130" i="112"/>
  <c r="CB116" i="112"/>
  <c r="BY129" i="112"/>
  <c r="BY128" i="112"/>
  <c r="BY127" i="112"/>
  <c r="BY126" i="112"/>
  <c r="BY125" i="112"/>
  <c r="BY124" i="112"/>
  <c r="BY122" i="112"/>
  <c r="BY121" i="112"/>
  <c r="BY120" i="112"/>
  <c r="BY116" i="112"/>
  <c r="CC115" i="112"/>
  <c r="CB114" i="112"/>
  <c r="CB113" i="112"/>
  <c r="CB112" i="112"/>
  <c r="CB109" i="112"/>
  <c r="CB108" i="112"/>
  <c r="CC107" i="112"/>
  <c r="CC103" i="112"/>
  <c r="CC110" i="112"/>
  <c r="CB111" i="112"/>
  <c r="CB106" i="112"/>
  <c r="CC104" i="112"/>
  <c r="BY104" i="112"/>
  <c r="BY106" i="112"/>
  <c r="BY107" i="112"/>
  <c r="BY108" i="112"/>
  <c r="BY109" i="112"/>
  <c r="BY111" i="112"/>
  <c r="BY112" i="112"/>
  <c r="BY113" i="112"/>
  <c r="BY114" i="112"/>
  <c r="BY103" i="112"/>
  <c r="CC98" i="112"/>
  <c r="CC99" i="112"/>
  <c r="CC100" i="112"/>
  <c r="CB101" i="112"/>
  <c r="CC102" i="112"/>
  <c r="CC97" i="112"/>
  <c r="BY100" i="112"/>
  <c r="BY98" i="112"/>
  <c r="BY101" i="112"/>
  <c r="BY97" i="112"/>
  <c r="BV117" i="112"/>
  <c r="BV104" i="112"/>
  <c r="BW123" i="112"/>
  <c r="BW110" i="112"/>
  <c r="BW99" i="112"/>
  <c r="BV100" i="112"/>
  <c r="CC132" i="112"/>
  <c r="CA133" i="112"/>
  <c r="BX133" i="112"/>
  <c r="BY132" i="112"/>
  <c r="BX142" i="112"/>
  <c r="CC93" i="112"/>
  <c r="CB89" i="112"/>
  <c r="CC88" i="112"/>
  <c r="CB86" i="112"/>
  <c r="CC58" i="112"/>
  <c r="CB60" i="112"/>
  <c r="CC77" i="112"/>
  <c r="CB79" i="112"/>
  <c r="CB67" i="112"/>
  <c r="CC69" i="112"/>
  <c r="CB70" i="112"/>
  <c r="CC74" i="112"/>
  <c r="CA55" i="112"/>
  <c r="CA94" i="112" s="1"/>
  <c r="CC54" i="112"/>
  <c r="DD94" i="112"/>
  <c r="DE94" i="112"/>
  <c r="DF94" i="112"/>
  <c r="DC94" i="112"/>
  <c r="DB94" i="112"/>
  <c r="CY94" i="112"/>
  <c r="CZ94" i="112"/>
  <c r="DA94" i="112"/>
  <c r="CX94" i="112"/>
  <c r="CW94" i="112"/>
  <c r="L104" i="26"/>
  <c r="J104" i="26"/>
  <c r="K104" i="26" s="1"/>
  <c r="G104" i="26"/>
  <c r="H104" i="26" s="1"/>
  <c r="BV78" i="112"/>
  <c r="BV59" i="112"/>
  <c r="BV63" i="112"/>
  <c r="I161" i="26"/>
  <c r="I160" i="26"/>
  <c r="O17" i="33"/>
  <c r="F95" i="94"/>
  <c r="H95" i="94" s="1"/>
  <c r="F96" i="94"/>
  <c r="H96" i="94" s="1"/>
  <c r="F97" i="94"/>
  <c r="H97" i="94" s="1"/>
  <c r="F98" i="94"/>
  <c r="C96" i="94"/>
  <c r="C95" i="94"/>
  <c r="C94" i="94"/>
  <c r="F92" i="94"/>
  <c r="H92" i="94" s="1"/>
  <c r="I92" i="94" s="1"/>
  <c r="F87" i="94"/>
  <c r="H87" i="94" s="1"/>
  <c r="I87" i="94" s="1"/>
  <c r="J86" i="94" s="1"/>
  <c r="F118" i="11"/>
  <c r="E165" i="94"/>
  <c r="G165" i="94" s="1"/>
  <c r="I165" i="94" s="1"/>
  <c r="E117" i="11" s="1"/>
  <c r="F114" i="11"/>
  <c r="J114" i="11" s="1"/>
  <c r="S115" i="11"/>
  <c r="S114" i="11"/>
  <c r="F113" i="11"/>
  <c r="F112" i="11"/>
  <c r="K114" i="11"/>
  <c r="J115" i="11"/>
  <c r="K115" i="11"/>
  <c r="B111" i="11"/>
  <c r="C111" i="11"/>
  <c r="D111" i="11"/>
  <c r="E111" i="11"/>
  <c r="A111" i="11"/>
  <c r="D161" i="94"/>
  <c r="E161" i="94" s="1"/>
  <c r="G161" i="94" s="1"/>
  <c r="I161" i="94" s="1"/>
  <c r="E162" i="94"/>
  <c r="G162" i="94" s="1"/>
  <c r="I162" i="94" s="1"/>
  <c r="E160" i="94"/>
  <c r="J160" i="94" s="1"/>
  <c r="E157" i="94"/>
  <c r="G157" i="94" s="1"/>
  <c r="I157" i="94" s="1"/>
  <c r="E158" i="94"/>
  <c r="G158" i="94" s="1"/>
  <c r="I158" i="94" s="1"/>
  <c r="E159" i="94"/>
  <c r="G159" i="94" s="1"/>
  <c r="I159" i="94" s="1"/>
  <c r="E156" i="94"/>
  <c r="G156" i="94" s="1"/>
  <c r="I156" i="94" s="1"/>
  <c r="E155" i="94"/>
  <c r="J155" i="94" s="1"/>
  <c r="L81" i="26"/>
  <c r="J81" i="26"/>
  <c r="G81" i="26"/>
  <c r="H81" i="26" s="1"/>
  <c r="V132" i="112"/>
  <c r="H129" i="112"/>
  <c r="H128" i="112"/>
  <c r="V127" i="112"/>
  <c r="H127" i="112"/>
  <c r="V126" i="112"/>
  <c r="V124" i="112"/>
  <c r="H125" i="112"/>
  <c r="V120" i="112"/>
  <c r="H122" i="112"/>
  <c r="H121" i="112"/>
  <c r="H120" i="112"/>
  <c r="V118" i="112"/>
  <c r="H118" i="112"/>
  <c r="H117" i="112"/>
  <c r="V117" i="112"/>
  <c r="L117" i="112"/>
  <c r="X117" i="112" s="1"/>
  <c r="V116" i="112"/>
  <c r="H116" i="112"/>
  <c r="H114" i="112"/>
  <c r="H113" i="112"/>
  <c r="V112" i="112"/>
  <c r="V111" i="112"/>
  <c r="H112" i="112"/>
  <c r="H111" i="112"/>
  <c r="V108" i="112"/>
  <c r="H109" i="112"/>
  <c r="H108" i="112"/>
  <c r="V107" i="112"/>
  <c r="H106" i="112"/>
  <c r="V106" i="112"/>
  <c r="L104" i="112"/>
  <c r="X104" i="112" s="1"/>
  <c r="V103" i="112"/>
  <c r="H103" i="112"/>
  <c r="H104" i="112" s="1"/>
  <c r="V101" i="112"/>
  <c r="L100" i="112"/>
  <c r="X100" i="112" s="1"/>
  <c r="H101" i="112"/>
  <c r="H100" i="112"/>
  <c r="V97" i="112"/>
  <c r="H98" i="112"/>
  <c r="H97" i="112"/>
  <c r="H96" i="112"/>
  <c r="G96" i="112"/>
  <c r="F96" i="112"/>
  <c r="CA96" i="112" s="1"/>
  <c r="H92" i="112"/>
  <c r="H91" i="112"/>
  <c r="V90" i="112"/>
  <c r="H90" i="112"/>
  <c r="V89" i="112"/>
  <c r="H87" i="112"/>
  <c r="V86" i="112"/>
  <c r="V85" i="112"/>
  <c r="H84" i="112"/>
  <c r="V84" i="112"/>
  <c r="V81" i="112"/>
  <c r="L82" i="112"/>
  <c r="X82" i="112" s="1"/>
  <c r="H82" i="112"/>
  <c r="V79" i="112"/>
  <c r="V78" i="112"/>
  <c r="H78" i="112"/>
  <c r="X78" i="112"/>
  <c r="H76" i="112"/>
  <c r="V75" i="112"/>
  <c r="H75" i="112"/>
  <c r="H73" i="112"/>
  <c r="H72" i="112"/>
  <c r="V71" i="112"/>
  <c r="H71" i="112"/>
  <c r="V70" i="112"/>
  <c r="V67" i="112"/>
  <c r="V66" i="112"/>
  <c r="V65" i="112"/>
  <c r="X63" i="112"/>
  <c r="V62" i="112"/>
  <c r="H63" i="112"/>
  <c r="V60" i="112"/>
  <c r="H59" i="112"/>
  <c r="X59" i="112"/>
  <c r="V56" i="112"/>
  <c r="V55" i="112"/>
  <c r="V30" i="112"/>
  <c r="V50" i="112"/>
  <c r="V47" i="112"/>
  <c r="V45" i="112"/>
  <c r="V41" i="112"/>
  <c r="V39" i="112"/>
  <c r="V36" i="112"/>
  <c r="V35" i="112"/>
  <c r="V34" i="112"/>
  <c r="V37" i="112"/>
  <c r="H55" i="112"/>
  <c r="G55" i="112"/>
  <c r="F55" i="112"/>
  <c r="E66" i="94"/>
  <c r="E65" i="94"/>
  <c r="E12" i="46"/>
  <c r="M25" i="75"/>
  <c r="AC26" i="26"/>
  <c r="I223" i="26"/>
  <c r="K223" i="26" s="1"/>
  <c r="I222" i="26"/>
  <c r="G12" i="33"/>
  <c r="G144" i="76"/>
  <c r="L36" i="112"/>
  <c r="X36" i="112" s="1"/>
  <c r="H37" i="112"/>
  <c r="L35" i="112"/>
  <c r="X35" i="112" s="1"/>
  <c r="H35" i="112"/>
  <c r="H34" i="112"/>
  <c r="CC52" i="112"/>
  <c r="CC51" i="112"/>
  <c r="CC44" i="112"/>
  <c r="CC39" i="112"/>
  <c r="CC35" i="112"/>
  <c r="CC34" i="112"/>
  <c r="CC30" i="112"/>
  <c r="CA31" i="112"/>
  <c r="CA28" i="112"/>
  <c r="CA25" i="112"/>
  <c r="CA24" i="112"/>
  <c r="CA21" i="112"/>
  <c r="CA10" i="112"/>
  <c r="CA9" i="112"/>
  <c r="CA8" i="112"/>
  <c r="H30" i="112"/>
  <c r="J28" i="112"/>
  <c r="H27" i="112"/>
  <c r="H10" i="112"/>
  <c r="H9" i="112"/>
  <c r="H8" i="112"/>
  <c r="R63" i="26" l="1"/>
  <c r="Q63" i="26"/>
  <c r="P63" i="26"/>
  <c r="M63" i="26"/>
  <c r="O63" i="26"/>
  <c r="K212" i="11"/>
  <c r="R212" i="11"/>
  <c r="J200" i="26" s="1"/>
  <c r="Q200" i="26" s="1"/>
  <c r="I212" i="11"/>
  <c r="G200" i="26" s="1"/>
  <c r="O200" i="26" s="1"/>
  <c r="S214" i="11"/>
  <c r="J253" i="94"/>
  <c r="G233" i="94"/>
  <c r="H228" i="94"/>
  <c r="G257" i="94"/>
  <c r="I257" i="94" s="1"/>
  <c r="G258" i="94"/>
  <c r="I258" i="94" s="1"/>
  <c r="J256" i="94" s="1"/>
  <c r="G248" i="94"/>
  <c r="I248" i="94" s="1"/>
  <c r="G247" i="94"/>
  <c r="I247" i="94" s="1"/>
  <c r="G246" i="94"/>
  <c r="I246" i="94" s="1"/>
  <c r="J244" i="94" s="1"/>
  <c r="G186" i="94"/>
  <c r="H185" i="94" s="1"/>
  <c r="E46" i="26" s="1"/>
  <c r="H220" i="94"/>
  <c r="H233" i="94" s="1"/>
  <c r="G178" i="94"/>
  <c r="G180" i="94" s="1"/>
  <c r="G240" i="94"/>
  <c r="I240" i="94" s="1"/>
  <c r="G239" i="94"/>
  <c r="I239" i="94" s="1"/>
  <c r="G243" i="94"/>
  <c r="I243" i="94" s="1"/>
  <c r="G242" i="94"/>
  <c r="I242" i="94" s="1"/>
  <c r="J241" i="94" s="1"/>
  <c r="G208" i="94"/>
  <c r="E82" i="11" s="1"/>
  <c r="J82" i="11" s="1"/>
  <c r="E208" i="94"/>
  <c r="I95" i="94"/>
  <c r="BV82" i="112"/>
  <c r="M104" i="26"/>
  <c r="G155" i="94"/>
  <c r="I155" i="94" s="1"/>
  <c r="J158" i="94"/>
  <c r="J159" i="94"/>
  <c r="J157" i="94"/>
  <c r="J156" i="94"/>
  <c r="G160" i="94"/>
  <c r="I160" i="94" s="1"/>
  <c r="J165" i="94"/>
  <c r="E118" i="11" s="1"/>
  <c r="J162" i="94"/>
  <c r="J161" i="94"/>
  <c r="K81" i="26"/>
  <c r="M81" i="26" s="1"/>
  <c r="BV35" i="112"/>
  <c r="K222" i="26"/>
  <c r="BV36" i="112"/>
  <c r="E48" i="26"/>
  <c r="E75" i="11" s="1"/>
  <c r="E78" i="11" s="1"/>
  <c r="K78" i="11" s="1"/>
  <c r="L47" i="26"/>
  <c r="J47" i="26"/>
  <c r="I47" i="26" s="1"/>
  <c r="G47" i="26"/>
  <c r="F47" i="26" s="1"/>
  <c r="L46" i="26"/>
  <c r="J46" i="26"/>
  <c r="I46" i="26" s="1"/>
  <c r="G46" i="26"/>
  <c r="F149" i="11"/>
  <c r="AL124" i="112"/>
  <c r="AL126" i="112"/>
  <c r="AG130" i="112"/>
  <c r="AH120" i="112"/>
  <c r="AL118" i="112"/>
  <c r="AH117" i="112"/>
  <c r="AL116" i="112"/>
  <c r="AN133" i="112"/>
  <c r="AH132" i="112"/>
  <c r="AF132" i="112"/>
  <c r="AL108" i="112"/>
  <c r="AK108" i="112"/>
  <c r="AJ94" i="112"/>
  <c r="AJ144" i="112" s="1"/>
  <c r="AL112" i="112"/>
  <c r="AL111" i="112"/>
  <c r="AL106" i="112"/>
  <c r="AH104" i="112"/>
  <c r="AH102" i="112"/>
  <c r="AH99" i="112"/>
  <c r="AH100" i="112"/>
  <c r="AL101" i="112"/>
  <c r="AG99" i="112"/>
  <c r="AK101" i="112"/>
  <c r="S63" i="26" l="1"/>
  <c r="H200" i="26"/>
  <c r="U212" i="11"/>
  <c r="Q212" i="11" s="1"/>
  <c r="I200" i="26" s="1"/>
  <c r="S78" i="11"/>
  <c r="E77" i="11"/>
  <c r="K77" i="11" s="1"/>
  <c r="K75" i="11" s="1"/>
  <c r="I75" i="11" s="1"/>
  <c r="G48" i="26" s="1"/>
  <c r="J78" i="11"/>
  <c r="J238" i="94"/>
  <c r="J260" i="94" s="1"/>
  <c r="I260" i="94"/>
  <c r="H169" i="94"/>
  <c r="G188" i="94"/>
  <c r="H188" i="94"/>
  <c r="K82" i="11"/>
  <c r="S82" i="11"/>
  <c r="E84" i="11"/>
  <c r="C214" i="94"/>
  <c r="E214" i="94" s="1"/>
  <c r="E210" i="94"/>
  <c r="E83" i="11" s="1"/>
  <c r="E105" i="26"/>
  <c r="H180" i="94"/>
  <c r="I163" i="94"/>
  <c r="E112" i="11" s="1"/>
  <c r="S112" i="11" s="1"/>
  <c r="J163" i="94"/>
  <c r="E113" i="11" s="1"/>
  <c r="K113" i="11" s="1"/>
  <c r="S118" i="11"/>
  <c r="K118" i="11"/>
  <c r="J118" i="11"/>
  <c r="O46" i="26"/>
  <c r="F46" i="26"/>
  <c r="N46" i="26" s="1"/>
  <c r="K46" i="26"/>
  <c r="P46" i="26"/>
  <c r="Q46" i="26"/>
  <c r="R46" i="26"/>
  <c r="AH70" i="112"/>
  <c r="AH89" i="112"/>
  <c r="AH85" i="112"/>
  <c r="AH82" i="112"/>
  <c r="AH81" i="112"/>
  <c r="AH78" i="112"/>
  <c r="AH76" i="112"/>
  <c r="AH75" i="112"/>
  <c r="AH66" i="112"/>
  <c r="AH63" i="112"/>
  <c r="AH62" i="112"/>
  <c r="AH59" i="112"/>
  <c r="AH57" i="112"/>
  <c r="AH56" i="112"/>
  <c r="AH36" i="112"/>
  <c r="AH35" i="112"/>
  <c r="AH34" i="112"/>
  <c r="AI94" i="112"/>
  <c r="AI144" i="112" s="1"/>
  <c r="E110" i="26" s="1"/>
  <c r="AM94" i="112"/>
  <c r="AM144" i="112" s="1"/>
  <c r="AN94" i="112"/>
  <c r="AH71" i="112"/>
  <c r="AF70" i="112"/>
  <c r="AL70" i="112"/>
  <c r="AK70" i="112"/>
  <c r="AL67" i="112"/>
  <c r="AK67" i="112"/>
  <c r="AL65" i="112"/>
  <c r="AH74" i="112"/>
  <c r="AG74" i="112"/>
  <c r="AH69" i="112"/>
  <c r="AG69" i="112"/>
  <c r="AH64" i="112"/>
  <c r="AH61" i="112"/>
  <c r="AL60" i="112"/>
  <c r="AK60" i="112"/>
  <c r="AH58" i="112"/>
  <c r="AG58" i="112"/>
  <c r="AL79" i="112"/>
  <c r="AK79" i="112"/>
  <c r="AH77" i="112"/>
  <c r="AG77" i="112"/>
  <c r="AH93" i="112"/>
  <c r="AG93" i="112"/>
  <c r="AL90" i="112"/>
  <c r="AL89" i="112"/>
  <c r="AK89" i="112"/>
  <c r="AF89" i="112"/>
  <c r="AH88" i="112"/>
  <c r="AG88" i="112"/>
  <c r="AL86" i="112"/>
  <c r="AK86" i="112"/>
  <c r="AL84" i="112"/>
  <c r="AH54" i="112"/>
  <c r="AH44" i="112"/>
  <c r="AL41" i="112"/>
  <c r="AH39" i="112"/>
  <c r="AH38" i="112"/>
  <c r="AL37" i="112"/>
  <c r="AH32" i="112"/>
  <c r="AG26" i="112"/>
  <c r="CC26" i="112" s="1"/>
  <c r="AN31" i="112"/>
  <c r="AH30" i="112"/>
  <c r="AH29" i="112"/>
  <c r="AF30" i="112"/>
  <c r="AH26" i="112"/>
  <c r="AN25" i="112"/>
  <c r="AN24" i="112"/>
  <c r="AN21" i="112"/>
  <c r="AN10" i="112"/>
  <c r="AN9" i="112"/>
  <c r="AN8" i="112"/>
  <c r="BI94" i="112"/>
  <c r="BJ94" i="112"/>
  <c r="BN94" i="112"/>
  <c r="BO94" i="112"/>
  <c r="BP94" i="112"/>
  <c r="BR94" i="112"/>
  <c r="K200" i="26" l="1"/>
  <c r="L200" i="26" s="1"/>
  <c r="R200" i="26" s="1"/>
  <c r="P200" i="26"/>
  <c r="S77" i="11"/>
  <c r="U75" i="11" s="1"/>
  <c r="Q75" i="11" s="1"/>
  <c r="I48" i="26" s="1"/>
  <c r="J77" i="11"/>
  <c r="F79" i="11" s="1"/>
  <c r="J79" i="11" s="1"/>
  <c r="J75" i="11" s="1"/>
  <c r="H75" i="11" s="1"/>
  <c r="F48" i="26" s="1"/>
  <c r="S84" i="11"/>
  <c r="J84" i="11"/>
  <c r="K84" i="11"/>
  <c r="S83" i="11"/>
  <c r="U81" i="11" s="1"/>
  <c r="Q81" i="11" s="1"/>
  <c r="I49" i="26" s="1"/>
  <c r="J83" i="11"/>
  <c r="K83" i="11"/>
  <c r="K81" i="11" s="1"/>
  <c r="J112" i="11"/>
  <c r="K112" i="11"/>
  <c r="K111" i="11" s="1"/>
  <c r="I111" i="11" s="1"/>
  <c r="G76" i="26" s="1"/>
  <c r="J113" i="11"/>
  <c r="S113" i="11"/>
  <c r="U111" i="11" s="1"/>
  <c r="Q111" i="11" s="1"/>
  <c r="I76" i="26" s="1"/>
  <c r="H46" i="26"/>
  <c r="M46" i="26" s="1"/>
  <c r="AL94" i="112"/>
  <c r="S46" i="26"/>
  <c r="L98" i="26"/>
  <c r="J98" i="26"/>
  <c r="K98" i="26" s="1"/>
  <c r="G98" i="26"/>
  <c r="H98" i="26" s="1"/>
  <c r="S146" i="11"/>
  <c r="S145" i="11"/>
  <c r="S144" i="11"/>
  <c r="S143" i="11"/>
  <c r="S142" i="11"/>
  <c r="J145" i="11"/>
  <c r="K145" i="11"/>
  <c r="H31" i="112"/>
  <c r="I31" i="112" s="1"/>
  <c r="H25" i="112"/>
  <c r="I25" i="112" s="1"/>
  <c r="I55" i="112"/>
  <c r="BX55" i="112" s="1"/>
  <c r="F85" i="11" l="1"/>
  <c r="J85" i="11" s="1"/>
  <c r="J81" i="11" s="1"/>
  <c r="M200" i="26"/>
  <c r="S200" i="26"/>
  <c r="J111" i="11"/>
  <c r="H111" i="11" s="1"/>
  <c r="F76" i="26" s="1"/>
  <c r="BT31" i="112"/>
  <c r="BY31" i="112"/>
  <c r="BT55" i="112"/>
  <c r="Y55" i="112"/>
  <c r="Y25" i="112"/>
  <c r="BX25" i="112"/>
  <c r="M98" i="26"/>
  <c r="BT25" i="112"/>
  <c r="BT94" i="112"/>
  <c r="S137" i="11"/>
  <c r="S141" i="11"/>
  <c r="J141" i="11"/>
  <c r="K141" i="11"/>
  <c r="J142" i="11"/>
  <c r="K142" i="11"/>
  <c r="K143" i="11"/>
  <c r="J144" i="11"/>
  <c r="K144" i="11"/>
  <c r="J146" i="11"/>
  <c r="K146" i="11"/>
  <c r="F136" i="11"/>
  <c r="F137" i="11"/>
  <c r="J137" i="11" s="1"/>
  <c r="F138" i="11"/>
  <c r="K137" i="11"/>
  <c r="G94" i="26"/>
  <c r="L92" i="26"/>
  <c r="J92" i="26"/>
  <c r="G92" i="26"/>
  <c r="H92" i="26" s="1"/>
  <c r="L91" i="26"/>
  <c r="J91" i="26"/>
  <c r="G91" i="26"/>
  <c r="H91" i="26" s="1"/>
  <c r="L90" i="26"/>
  <c r="J90" i="26"/>
  <c r="G90" i="26"/>
  <c r="BN24" i="112"/>
  <c r="AC136" i="112"/>
  <c r="AC137" i="112"/>
  <c r="AC138" i="112"/>
  <c r="AC139" i="112"/>
  <c r="AC140" i="112"/>
  <c r="AC141" i="112"/>
  <c r="AC135" i="112"/>
  <c r="AC134" i="112"/>
  <c r="AC131" i="112"/>
  <c r="AC115" i="112"/>
  <c r="AC94" i="112"/>
  <c r="AB94" i="112"/>
  <c r="L53" i="26"/>
  <c r="J53" i="26"/>
  <c r="G53" i="26"/>
  <c r="AD43" i="112"/>
  <c r="AA44" i="112"/>
  <c r="AA51" i="112"/>
  <c r="AD53" i="112"/>
  <c r="AZ94" i="112"/>
  <c r="AZ144" i="112" s="1"/>
  <c r="BA94" i="112"/>
  <c r="BA144" i="112" s="1"/>
  <c r="BB94" i="112"/>
  <c r="BB144" i="112" s="1"/>
  <c r="BC94" i="112"/>
  <c r="BC144" i="112" s="1"/>
  <c r="BD94" i="112"/>
  <c r="BD144" i="112" s="1"/>
  <c r="BE94" i="112"/>
  <c r="BE144" i="112" s="1"/>
  <c r="BF94" i="112"/>
  <c r="BF144" i="112" s="1"/>
  <c r="AR94" i="112"/>
  <c r="AR144" i="112" s="1"/>
  <c r="C76" i="94" s="1"/>
  <c r="AS94" i="112"/>
  <c r="AS144" i="112" s="1"/>
  <c r="C74" i="94" s="1"/>
  <c r="AT94" i="112"/>
  <c r="AT144" i="112" s="1"/>
  <c r="AU94" i="112"/>
  <c r="AU144" i="112" s="1"/>
  <c r="AV94" i="112"/>
  <c r="AV144" i="112" s="1"/>
  <c r="D47" i="88"/>
  <c r="D48" i="88"/>
  <c r="D51" i="88"/>
  <c r="D50" i="88"/>
  <c r="J27" i="88"/>
  <c r="J28" i="88"/>
  <c r="L28" i="88" s="1"/>
  <c r="J30" i="88"/>
  <c r="L30" i="88" s="1"/>
  <c r="J31" i="88"/>
  <c r="L31" i="88" s="1"/>
  <c r="J32" i="88"/>
  <c r="L32" i="88" s="1"/>
  <c r="J24" i="88"/>
  <c r="J33" i="88" s="1"/>
  <c r="L33" i="88" s="1"/>
  <c r="I188" i="26"/>
  <c r="I150" i="26"/>
  <c r="J150" i="26" s="1"/>
  <c r="J151" i="26" s="1"/>
  <c r="I149" i="26"/>
  <c r="J149" i="26" s="1"/>
  <c r="H152" i="26"/>
  <c r="H153" i="26"/>
  <c r="H154" i="26"/>
  <c r="E131" i="26" l="1"/>
  <c r="C77" i="94"/>
  <c r="J29" i="88"/>
  <c r="L29" i="88" s="1"/>
  <c r="J26" i="88"/>
  <c r="L26" i="88" s="1"/>
  <c r="J34" i="88"/>
  <c r="L34" i="88" s="1"/>
  <c r="K92" i="26"/>
  <c r="M92" i="26" s="1"/>
  <c r="K91" i="26"/>
  <c r="M91" i="26" s="1"/>
  <c r="H90" i="26"/>
  <c r="K90" i="26"/>
  <c r="I151" i="26"/>
  <c r="K151" i="26" s="1"/>
  <c r="R110" i="99"/>
  <c r="R109" i="99"/>
  <c r="R108" i="99"/>
  <c r="R107" i="99"/>
  <c r="R106" i="99"/>
  <c r="R105" i="99"/>
  <c r="R104" i="99"/>
  <c r="R103" i="99"/>
  <c r="R99" i="99"/>
  <c r="R102" i="99"/>
  <c r="R101" i="99"/>
  <c r="R100" i="99"/>
  <c r="R98" i="99"/>
  <c r="R96" i="99"/>
  <c r="R97" i="99"/>
  <c r="R95" i="99"/>
  <c r="S111" i="99"/>
  <c r="S112" i="99" s="1"/>
  <c r="E110" i="99" s="1"/>
  <c r="T112" i="99"/>
  <c r="E111" i="99" s="1"/>
  <c r="R94" i="99"/>
  <c r="U92" i="99"/>
  <c r="U112" i="99" s="1"/>
  <c r="E112" i="99" s="1"/>
  <c r="M84" i="99"/>
  <c r="G3" i="99"/>
  <c r="L58" i="88"/>
  <c r="K60" i="88"/>
  <c r="N3" i="88"/>
  <c r="Q184" i="26"/>
  <c r="O184" i="26"/>
  <c r="Q183" i="26"/>
  <c r="O183" i="26"/>
  <c r="N183" i="26"/>
  <c r="Q182" i="26"/>
  <c r="O182" i="26"/>
  <c r="N159" i="26"/>
  <c r="O159" i="26"/>
  <c r="Q159" i="26"/>
  <c r="K160" i="26"/>
  <c r="O160" i="26"/>
  <c r="P160" i="26"/>
  <c r="Q160" i="26"/>
  <c r="K161" i="26"/>
  <c r="O161" i="26"/>
  <c r="P161" i="26"/>
  <c r="Q161" i="26"/>
  <c r="H159" i="26"/>
  <c r="L134" i="26"/>
  <c r="F134" i="26"/>
  <c r="L138" i="26"/>
  <c r="F138" i="26"/>
  <c r="H138" i="26" s="1"/>
  <c r="CI142" i="112"/>
  <c r="CI137" i="112"/>
  <c r="CI141" i="112"/>
  <c r="CI140" i="112"/>
  <c r="CI136" i="112"/>
  <c r="CI139" i="112"/>
  <c r="CI138" i="112"/>
  <c r="CI135" i="112"/>
  <c r="CI134" i="112"/>
  <c r="CI133" i="112"/>
  <c r="CI132" i="112"/>
  <c r="I133" i="112"/>
  <c r="G109" i="112"/>
  <c r="I96" i="112"/>
  <c r="CH94" i="112"/>
  <c r="CJ94" i="112"/>
  <c r="CJ144" i="112" s="1"/>
  <c r="CK94" i="112"/>
  <c r="CK144" i="112" s="1"/>
  <c r="E134" i="26" s="1"/>
  <c r="Q134" i="26" s="1"/>
  <c r="CL94" i="112"/>
  <c r="CL144" i="112" s="1"/>
  <c r="CM94" i="112"/>
  <c r="CM144" i="112" s="1"/>
  <c r="E157" i="26" s="1"/>
  <c r="CN94" i="112"/>
  <c r="CN144" i="112" s="1"/>
  <c r="CO94" i="112"/>
  <c r="CO144" i="112" s="1"/>
  <c r="CP94" i="112"/>
  <c r="CP144" i="112" s="1"/>
  <c r="CQ94" i="112"/>
  <c r="CQ144" i="112" s="1"/>
  <c r="CR94" i="112"/>
  <c r="CR144" i="112" s="1"/>
  <c r="CS94" i="112"/>
  <c r="CS144" i="112" s="1"/>
  <c r="CT94" i="112"/>
  <c r="CT144" i="112" s="1"/>
  <c r="CU94" i="112"/>
  <c r="CU144" i="112" s="1"/>
  <c r="CW144" i="112"/>
  <c r="CX144" i="112"/>
  <c r="CY144" i="112"/>
  <c r="DA144" i="112"/>
  <c r="DB144" i="112"/>
  <c r="DC144" i="112"/>
  <c r="DD144" i="112"/>
  <c r="DE144" i="112"/>
  <c r="DF144" i="112"/>
  <c r="CE94" i="112"/>
  <c r="CE144" i="112" s="1"/>
  <c r="E197" i="26" s="1"/>
  <c r="CF94" i="112"/>
  <c r="CF144" i="112" s="1"/>
  <c r="CG94" i="112"/>
  <c r="CG144" i="112" s="1"/>
  <c r="CH28" i="112"/>
  <c r="CI93" i="112"/>
  <c r="CI74" i="112"/>
  <c r="I24" i="112"/>
  <c r="CI21" i="112"/>
  <c r="CI10" i="112"/>
  <c r="CI9" i="112"/>
  <c r="CI8" i="112"/>
  <c r="L140" i="26"/>
  <c r="L141" i="26"/>
  <c r="F141" i="26"/>
  <c r="H141" i="26" s="1"/>
  <c r="Q146" i="26"/>
  <c r="O146" i="26"/>
  <c r="O142" i="26"/>
  <c r="Q142" i="26"/>
  <c r="O143" i="26"/>
  <c r="Q143" i="26"/>
  <c r="O144" i="26"/>
  <c r="Q144" i="26"/>
  <c r="O145" i="26"/>
  <c r="Q145" i="26"/>
  <c r="O148" i="26"/>
  <c r="Q148" i="26"/>
  <c r="AB163" i="26"/>
  <c r="G25" i="99" l="1"/>
  <c r="H25" i="99" s="1"/>
  <c r="G130" i="99"/>
  <c r="H130" i="99" s="1"/>
  <c r="G131" i="99"/>
  <c r="H131" i="99" s="1"/>
  <c r="G129" i="99"/>
  <c r="H129" i="99" s="1"/>
  <c r="I128" i="99" s="1"/>
  <c r="G134" i="99"/>
  <c r="H134" i="99" s="1"/>
  <c r="G133" i="99"/>
  <c r="H133" i="99" s="1"/>
  <c r="G135" i="99"/>
  <c r="H135" i="99" s="1"/>
  <c r="BT96" i="112"/>
  <c r="BX96" i="112"/>
  <c r="BT133" i="112"/>
  <c r="Y133" i="112"/>
  <c r="Y24" i="112"/>
  <c r="BX24" i="112"/>
  <c r="M90" i="26"/>
  <c r="CH144" i="112"/>
  <c r="E156" i="26" s="1"/>
  <c r="L60" i="88"/>
  <c r="M60" i="88" s="1"/>
  <c r="D60" i="88" s="1"/>
  <c r="D63" i="88" s="1"/>
  <c r="I183" i="26" s="1"/>
  <c r="P183" i="26" s="1"/>
  <c r="R112" i="99"/>
  <c r="E108" i="99" s="1"/>
  <c r="G26" i="99"/>
  <c r="H26" i="99" s="1"/>
  <c r="G11" i="99"/>
  <c r="H11" i="99" s="1"/>
  <c r="G115" i="99"/>
  <c r="H115" i="99" s="1"/>
  <c r="G27" i="99"/>
  <c r="H27" i="99" s="1"/>
  <c r="G46" i="99"/>
  <c r="H46" i="99" s="1"/>
  <c r="G113" i="99"/>
  <c r="H113" i="99" s="1"/>
  <c r="H63" i="88"/>
  <c r="H183" i="26"/>
  <c r="N134" i="26"/>
  <c r="R134" i="26"/>
  <c r="O134" i="26"/>
  <c r="H134" i="26"/>
  <c r="E133" i="26"/>
  <c r="CI94" i="112"/>
  <c r="CI144" i="112" s="1"/>
  <c r="E158" i="26" s="1"/>
  <c r="O36" i="26"/>
  <c r="P36" i="26"/>
  <c r="Q36" i="26"/>
  <c r="R36" i="26"/>
  <c r="N37" i="26"/>
  <c r="O37" i="26"/>
  <c r="P37" i="26"/>
  <c r="Q37" i="26"/>
  <c r="K36" i="26"/>
  <c r="K37" i="26"/>
  <c r="K38" i="26"/>
  <c r="K39" i="26"/>
  <c r="H37" i="26"/>
  <c r="H39" i="26"/>
  <c r="G15" i="102"/>
  <c r="F15" i="102"/>
  <c r="Q166" i="26"/>
  <c r="O166" i="26"/>
  <c r="D39" i="88"/>
  <c r="D38" i="88"/>
  <c r="D37" i="88"/>
  <c r="E51" i="94"/>
  <c r="E50" i="94"/>
  <c r="E49" i="94"/>
  <c r="E48" i="94"/>
  <c r="E47" i="94"/>
  <c r="E46" i="94"/>
  <c r="E45" i="94"/>
  <c r="E44" i="94"/>
  <c r="E43" i="94"/>
  <c r="E42" i="94"/>
  <c r="E41" i="94"/>
  <c r="E40" i="94"/>
  <c r="E39" i="94"/>
  <c r="E38" i="94"/>
  <c r="E37" i="94"/>
  <c r="E36" i="94"/>
  <c r="E35" i="94"/>
  <c r="E34" i="94"/>
  <c r="E33" i="94"/>
  <c r="E32" i="94"/>
  <c r="E31" i="94"/>
  <c r="E30" i="94"/>
  <c r="E29" i="94"/>
  <c r="E27" i="94"/>
  <c r="E26" i="94"/>
  <c r="E25" i="94"/>
  <c r="E24" i="94"/>
  <c r="E23" i="94"/>
  <c r="E17" i="94"/>
  <c r="E18" i="94"/>
  <c r="E19" i="94"/>
  <c r="E20" i="94"/>
  <c r="E21" i="94"/>
  <c r="E22" i="94"/>
  <c r="J45" i="26"/>
  <c r="L75" i="26"/>
  <c r="J75" i="26"/>
  <c r="K75" i="26" s="1"/>
  <c r="G75" i="26"/>
  <c r="H75" i="26" s="1"/>
  <c r="L72" i="26"/>
  <c r="J72" i="26"/>
  <c r="G72" i="26"/>
  <c r="H72" i="26" s="1"/>
  <c r="G70" i="26"/>
  <c r="H70" i="26" s="1"/>
  <c r="I71" i="26"/>
  <c r="N76" i="26"/>
  <c r="O76" i="26"/>
  <c r="P76" i="26"/>
  <c r="L70" i="26"/>
  <c r="J70" i="26"/>
  <c r="H76" i="26"/>
  <c r="P94" i="112"/>
  <c r="N132" i="112"/>
  <c r="N60" i="112"/>
  <c r="G143" i="112"/>
  <c r="I143" i="112" s="1"/>
  <c r="F143" i="112"/>
  <c r="AC143" i="112" s="1"/>
  <c r="G142" i="112"/>
  <c r="I142" i="112" s="1"/>
  <c r="Y142" i="112" s="1"/>
  <c r="F142" i="112"/>
  <c r="AN142" i="112" s="1"/>
  <c r="BK53" i="112"/>
  <c r="S53" i="112"/>
  <c r="R53" i="112"/>
  <c r="G52" i="112"/>
  <c r="I52" i="112" s="1"/>
  <c r="G46" i="112"/>
  <c r="I46" i="112" s="1"/>
  <c r="BY46" i="112" s="1"/>
  <c r="G47" i="112"/>
  <c r="G48" i="112"/>
  <c r="I48" i="112" s="1"/>
  <c r="BY48" i="112" s="1"/>
  <c r="G49" i="112"/>
  <c r="I49" i="112" s="1"/>
  <c r="BY49" i="112" s="1"/>
  <c r="G50" i="112"/>
  <c r="G45" i="112"/>
  <c r="F52" i="112"/>
  <c r="H53" i="112"/>
  <c r="I53" i="112" s="1"/>
  <c r="BO141" i="112"/>
  <c r="BO140" i="112"/>
  <c r="BO139" i="112"/>
  <c r="BO138" i="112"/>
  <c r="BM137" i="112"/>
  <c r="BM136" i="112"/>
  <c r="BM135" i="112"/>
  <c r="BM134" i="112"/>
  <c r="BM132" i="112"/>
  <c r="BK131" i="112"/>
  <c r="BL130" i="112"/>
  <c r="BK126" i="112"/>
  <c r="BK124" i="112"/>
  <c r="BL123" i="112"/>
  <c r="BK120" i="112"/>
  <c r="BK115" i="112"/>
  <c r="BK111" i="112"/>
  <c r="BL110" i="112"/>
  <c r="BK108" i="112"/>
  <c r="BK101" i="112"/>
  <c r="BL99" i="112"/>
  <c r="BK99" i="112"/>
  <c r="BM95" i="112"/>
  <c r="BK93" i="112"/>
  <c r="BK89" i="112"/>
  <c r="BL88" i="112"/>
  <c r="BK86" i="112"/>
  <c r="BK79" i="112"/>
  <c r="BL77" i="112"/>
  <c r="BK74" i="112"/>
  <c r="BK70" i="112"/>
  <c r="BL69" i="112"/>
  <c r="BK67" i="112"/>
  <c r="BM21" i="112"/>
  <c r="BM54" i="112"/>
  <c r="BM94" i="112" s="1"/>
  <c r="BL58" i="112"/>
  <c r="BK60" i="112"/>
  <c r="BL51" i="112"/>
  <c r="BL44" i="112"/>
  <c r="BK43" i="112"/>
  <c r="BK35" i="112"/>
  <c r="BK39" i="112"/>
  <c r="BK34" i="112"/>
  <c r="K53" i="26"/>
  <c r="H53" i="26"/>
  <c r="P48" i="26"/>
  <c r="O48" i="26"/>
  <c r="N48" i="26"/>
  <c r="H48" i="26"/>
  <c r="BI28" i="112"/>
  <c r="G27" i="112"/>
  <c r="I27" i="112" s="1"/>
  <c r="G26" i="112"/>
  <c r="G12" i="112"/>
  <c r="G13" i="112"/>
  <c r="I13" i="112" s="1"/>
  <c r="G14" i="112"/>
  <c r="G15" i="112"/>
  <c r="I15" i="112" s="1"/>
  <c r="G16" i="112"/>
  <c r="G17" i="112"/>
  <c r="G18" i="112"/>
  <c r="G19" i="112"/>
  <c r="I19" i="112" s="1"/>
  <c r="G20" i="112"/>
  <c r="G11" i="112"/>
  <c r="F27" i="112"/>
  <c r="F26" i="112"/>
  <c r="O94" i="112"/>
  <c r="Q94" i="112"/>
  <c r="V94" i="112"/>
  <c r="V144" i="112" s="1"/>
  <c r="E66" i="26" s="1"/>
  <c r="W94" i="112"/>
  <c r="W144" i="112" s="1"/>
  <c r="E67" i="26" s="1"/>
  <c r="AP94" i="112"/>
  <c r="AP144" i="112" s="1"/>
  <c r="AQ94" i="112"/>
  <c r="AQ144" i="112" s="1"/>
  <c r="AW94" i="112"/>
  <c r="AW144" i="112" s="1"/>
  <c r="AX94" i="112"/>
  <c r="AX144" i="112" s="1"/>
  <c r="AY94" i="112"/>
  <c r="AY144" i="112" s="1"/>
  <c r="BG94" i="112"/>
  <c r="BG144" i="112" s="1"/>
  <c r="BZ94" i="112"/>
  <c r="E153" i="26"/>
  <c r="E136" i="26"/>
  <c r="E139" i="26"/>
  <c r="E141" i="26"/>
  <c r="Q141" i="26" s="1"/>
  <c r="E138" i="26"/>
  <c r="E140" i="26"/>
  <c r="E152" i="26"/>
  <c r="S43" i="112"/>
  <c r="R43" i="112"/>
  <c r="S44" i="112"/>
  <c r="R44" i="112"/>
  <c r="S51" i="112"/>
  <c r="R51" i="112"/>
  <c r="N35" i="112"/>
  <c r="N39" i="112"/>
  <c r="N34" i="112"/>
  <c r="N30" i="112"/>
  <c r="AD141" i="112"/>
  <c r="R141" i="112"/>
  <c r="O141" i="112"/>
  <c r="I141" i="112"/>
  <c r="AD140" i="112"/>
  <c r="R140" i="112"/>
  <c r="O140" i="112"/>
  <c r="I140" i="112"/>
  <c r="AD139" i="112"/>
  <c r="R139" i="112"/>
  <c r="O139" i="112"/>
  <c r="I139" i="112"/>
  <c r="AD138" i="112"/>
  <c r="R138" i="112"/>
  <c r="O138" i="112"/>
  <c r="I138" i="112"/>
  <c r="AD137" i="112"/>
  <c r="S137" i="112"/>
  <c r="R137" i="112"/>
  <c r="O137" i="112"/>
  <c r="I137" i="112"/>
  <c r="AD136" i="112"/>
  <c r="S136" i="112"/>
  <c r="R136" i="112"/>
  <c r="O136" i="112"/>
  <c r="I136" i="112"/>
  <c r="BS136" i="112" s="1"/>
  <c r="AD135" i="112"/>
  <c r="S135" i="112"/>
  <c r="R135" i="112"/>
  <c r="O135" i="112"/>
  <c r="I135" i="112"/>
  <c r="AD134" i="112"/>
  <c r="S134" i="112"/>
  <c r="R134" i="112"/>
  <c r="O134" i="112"/>
  <c r="I134" i="112"/>
  <c r="BS134" i="112" s="1"/>
  <c r="I132" i="112"/>
  <c r="BS132" i="112" s="1"/>
  <c r="AD131" i="112"/>
  <c r="S131" i="112"/>
  <c r="R131" i="112"/>
  <c r="I131" i="112"/>
  <c r="BS131" i="112" s="1"/>
  <c r="AA130" i="112"/>
  <c r="S130" i="112"/>
  <c r="R130" i="112"/>
  <c r="I130" i="112"/>
  <c r="I129" i="112"/>
  <c r="U129" i="112" s="1"/>
  <c r="F129" i="112"/>
  <c r="BK129" i="112" s="1"/>
  <c r="I128" i="112"/>
  <c r="U128" i="112" s="1"/>
  <c r="F128" i="112"/>
  <c r="N128" i="112" s="1"/>
  <c r="I127" i="112"/>
  <c r="U127" i="112" s="1"/>
  <c r="F127" i="112"/>
  <c r="N127" i="112" s="1"/>
  <c r="AK126" i="112"/>
  <c r="N126" i="112"/>
  <c r="I126" i="112"/>
  <c r="I125" i="112"/>
  <c r="U125" i="112" s="1"/>
  <c r="F125" i="112"/>
  <c r="AK124" i="112"/>
  <c r="N124" i="112"/>
  <c r="I124" i="112"/>
  <c r="AG123" i="112"/>
  <c r="AA123" i="112"/>
  <c r="S123" i="112"/>
  <c r="R123" i="112"/>
  <c r="I123" i="112"/>
  <c r="I122" i="112"/>
  <c r="U122" i="112" s="1"/>
  <c r="F122" i="112"/>
  <c r="BK122" i="112" s="1"/>
  <c r="I121" i="112"/>
  <c r="U121" i="112" s="1"/>
  <c r="F121" i="112"/>
  <c r="BK121" i="112" s="1"/>
  <c r="AF120" i="112"/>
  <c r="N120" i="112"/>
  <c r="I120" i="112"/>
  <c r="I119" i="112"/>
  <c r="F119" i="112"/>
  <c r="I118" i="112"/>
  <c r="F118" i="112"/>
  <c r="AK118" i="112" s="1"/>
  <c r="I117" i="112"/>
  <c r="F117" i="112"/>
  <c r="BK117" i="112" s="1"/>
  <c r="I116" i="112"/>
  <c r="U116" i="112" s="1"/>
  <c r="F116" i="112"/>
  <c r="N116" i="112" s="1"/>
  <c r="AG115" i="112"/>
  <c r="AD115" i="112"/>
  <c r="S115" i="112"/>
  <c r="R115" i="112"/>
  <c r="I115" i="112"/>
  <c r="BS115" i="112" s="1"/>
  <c r="I114" i="112"/>
  <c r="F114" i="112"/>
  <c r="I113" i="112"/>
  <c r="F113" i="112"/>
  <c r="I112" i="112"/>
  <c r="F112" i="112"/>
  <c r="BK112" i="112" s="1"/>
  <c r="AK111" i="112"/>
  <c r="N111" i="112"/>
  <c r="I111" i="112"/>
  <c r="AG110" i="112"/>
  <c r="AA110" i="112"/>
  <c r="S110" i="112"/>
  <c r="R110" i="112"/>
  <c r="I110" i="112"/>
  <c r="I109" i="112"/>
  <c r="F109" i="112"/>
  <c r="N108" i="112"/>
  <c r="I108" i="112"/>
  <c r="I107" i="112"/>
  <c r="AH107" i="112" s="1"/>
  <c r="F107" i="112"/>
  <c r="N107" i="112" s="1"/>
  <c r="I106" i="112"/>
  <c r="F106" i="112"/>
  <c r="N106" i="112" s="1"/>
  <c r="I105" i="112"/>
  <c r="F105" i="112"/>
  <c r="AN105" i="112" s="1"/>
  <c r="I104" i="112"/>
  <c r="U104" i="112" s="1"/>
  <c r="F104" i="112"/>
  <c r="AG104" i="112" s="1"/>
  <c r="I103" i="112"/>
  <c r="AH103" i="112" s="1"/>
  <c r="F103" i="112"/>
  <c r="BK103" i="112" s="1"/>
  <c r="I102" i="112"/>
  <c r="F102" i="112"/>
  <c r="AG102" i="112" s="1"/>
  <c r="N101" i="112"/>
  <c r="I101" i="112"/>
  <c r="I100" i="112"/>
  <c r="F100" i="112"/>
  <c r="AG100" i="112" s="1"/>
  <c r="AA99" i="112"/>
  <c r="S99" i="112"/>
  <c r="R99" i="112"/>
  <c r="I99" i="112"/>
  <c r="I98" i="112"/>
  <c r="F98" i="112"/>
  <c r="I97" i="112"/>
  <c r="F97" i="112"/>
  <c r="AF95" i="112"/>
  <c r="N95" i="112"/>
  <c r="I95" i="112"/>
  <c r="BY95" i="112" s="1"/>
  <c r="AD93" i="112"/>
  <c r="S93" i="112"/>
  <c r="R93" i="112"/>
  <c r="I93" i="112"/>
  <c r="I92" i="112"/>
  <c r="BY92" i="112" s="1"/>
  <c r="F92" i="112"/>
  <c r="CB92" i="112" s="1"/>
  <c r="I91" i="112"/>
  <c r="BY91" i="112" s="1"/>
  <c r="F91" i="112"/>
  <c r="CB91" i="112" s="1"/>
  <c r="I90" i="112"/>
  <c r="BY90" i="112" s="1"/>
  <c r="F90" i="112"/>
  <c r="CB90" i="112" s="1"/>
  <c r="N89" i="112"/>
  <c r="I89" i="112"/>
  <c r="BY89" i="112" s="1"/>
  <c r="AA88" i="112"/>
  <c r="S88" i="112"/>
  <c r="R88" i="112"/>
  <c r="I88" i="112"/>
  <c r="I87" i="112"/>
  <c r="F87" i="112"/>
  <c r="CB87" i="112" s="1"/>
  <c r="N86" i="112"/>
  <c r="I86" i="112"/>
  <c r="BY86" i="112" s="1"/>
  <c r="I85" i="112"/>
  <c r="BY85" i="112" s="1"/>
  <c r="F85" i="112"/>
  <c r="CC85" i="112" s="1"/>
  <c r="I84" i="112"/>
  <c r="F84" i="112"/>
  <c r="CB84" i="112" s="1"/>
  <c r="I83" i="112"/>
  <c r="BW83" i="112" s="1"/>
  <c r="F83" i="112"/>
  <c r="CC83" i="112" s="1"/>
  <c r="I82" i="112"/>
  <c r="BY82" i="112" s="1"/>
  <c r="F82" i="112"/>
  <c r="CC82" i="112" s="1"/>
  <c r="I81" i="112"/>
  <c r="F81" i="112"/>
  <c r="CC81" i="112" s="1"/>
  <c r="I80" i="112"/>
  <c r="AH80" i="112" s="1"/>
  <c r="F80" i="112"/>
  <c r="CC80" i="112" s="1"/>
  <c r="N79" i="112"/>
  <c r="I79" i="112"/>
  <c r="I78" i="112"/>
  <c r="F78" i="112"/>
  <c r="CC78" i="112" s="1"/>
  <c r="AA77" i="112"/>
  <c r="S77" i="112"/>
  <c r="R77" i="112"/>
  <c r="I77" i="112"/>
  <c r="I76" i="112"/>
  <c r="BY76" i="112" s="1"/>
  <c r="F76" i="112"/>
  <c r="CC76" i="112" s="1"/>
  <c r="I75" i="112"/>
  <c r="BY75" i="112" s="1"/>
  <c r="F75" i="112"/>
  <c r="AD74" i="112"/>
  <c r="S74" i="112"/>
  <c r="R74" i="112"/>
  <c r="I74" i="112"/>
  <c r="BS74" i="112" s="1"/>
  <c r="I73" i="112"/>
  <c r="BY73" i="112" s="1"/>
  <c r="F73" i="112"/>
  <c r="CB73" i="112" s="1"/>
  <c r="I72" i="112"/>
  <c r="BY72" i="112" s="1"/>
  <c r="F72" i="112"/>
  <c r="CB72" i="112" s="1"/>
  <c r="I71" i="112"/>
  <c r="BY71" i="112" s="1"/>
  <c r="F71" i="112"/>
  <c r="CB71" i="112" s="1"/>
  <c r="N70" i="112"/>
  <c r="I70" i="112"/>
  <c r="AA69" i="112"/>
  <c r="S69" i="112"/>
  <c r="R69" i="112"/>
  <c r="I69" i="112"/>
  <c r="BW69" i="112" s="1"/>
  <c r="I68" i="112"/>
  <c r="F68" i="112"/>
  <c r="CB68" i="112" s="1"/>
  <c r="N67" i="112"/>
  <c r="I67" i="112"/>
  <c r="BY67" i="112" s="1"/>
  <c r="I66" i="112"/>
  <c r="BY66" i="112" s="1"/>
  <c r="F66" i="112"/>
  <c r="CC66" i="112" s="1"/>
  <c r="I65" i="112"/>
  <c r="BY65" i="112" s="1"/>
  <c r="F65" i="112"/>
  <c r="CB65" i="112" s="1"/>
  <c r="I64" i="112"/>
  <c r="BW64" i="112" s="1"/>
  <c r="F64" i="112"/>
  <c r="I63" i="112"/>
  <c r="BY63" i="112" s="1"/>
  <c r="F63" i="112"/>
  <c r="CC63" i="112" s="1"/>
  <c r="I62" i="112"/>
  <c r="BY62" i="112" s="1"/>
  <c r="F62" i="112"/>
  <c r="CC62" i="112" s="1"/>
  <c r="I61" i="112"/>
  <c r="BS61" i="112" s="1"/>
  <c r="F61" i="112"/>
  <c r="CC61" i="112" s="1"/>
  <c r="I60" i="112"/>
  <c r="BY60" i="112" s="1"/>
  <c r="I59" i="112"/>
  <c r="BY59" i="112" s="1"/>
  <c r="F59" i="112"/>
  <c r="CC59" i="112" s="1"/>
  <c r="AA58" i="112"/>
  <c r="S58" i="112"/>
  <c r="R58" i="112"/>
  <c r="I58" i="112"/>
  <c r="I57" i="112"/>
  <c r="BY57" i="112" s="1"/>
  <c r="F57" i="112"/>
  <c r="CC57" i="112" s="1"/>
  <c r="I56" i="112"/>
  <c r="BY56" i="112" s="1"/>
  <c r="F56" i="112"/>
  <c r="CC56" i="112" s="1"/>
  <c r="AF54" i="112"/>
  <c r="N54" i="112"/>
  <c r="I54" i="112"/>
  <c r="AG51" i="112"/>
  <c r="I51" i="112"/>
  <c r="X51" i="112" s="1"/>
  <c r="F50" i="112"/>
  <c r="F49" i="112"/>
  <c r="CB49" i="112" s="1"/>
  <c r="F48" i="112"/>
  <c r="CB48" i="112" s="1"/>
  <c r="F47" i="112"/>
  <c r="CB47" i="112" s="1"/>
  <c r="F46" i="112"/>
  <c r="CB46" i="112" s="1"/>
  <c r="F45" i="112"/>
  <c r="CB45" i="112" s="1"/>
  <c r="AG44" i="112"/>
  <c r="I44" i="112"/>
  <c r="X44" i="112" s="1"/>
  <c r="I43" i="112"/>
  <c r="I42" i="112"/>
  <c r="BY42" i="112" s="1"/>
  <c r="F42" i="112"/>
  <c r="CB42" i="112" s="1"/>
  <c r="I41" i="112"/>
  <c r="BY41" i="112" s="1"/>
  <c r="F41" i="112"/>
  <c r="I40" i="112"/>
  <c r="BY40" i="112" s="1"/>
  <c r="F40" i="112"/>
  <c r="CB40" i="112" s="1"/>
  <c r="AF39" i="112"/>
  <c r="I39" i="112"/>
  <c r="I38" i="112"/>
  <c r="F38" i="112"/>
  <c r="I37" i="112"/>
  <c r="F37" i="112"/>
  <c r="I36" i="112"/>
  <c r="F36" i="112"/>
  <c r="AF35" i="112"/>
  <c r="I35" i="112"/>
  <c r="AF34" i="112"/>
  <c r="I34" i="112"/>
  <c r="BY34" i="112" s="1"/>
  <c r="I33" i="112"/>
  <c r="F33" i="112"/>
  <c r="CC33" i="112" s="1"/>
  <c r="I32" i="112"/>
  <c r="BY32" i="112" s="1"/>
  <c r="F32" i="112"/>
  <c r="CC32" i="112" s="1"/>
  <c r="BJ30" i="112"/>
  <c r="I30" i="112"/>
  <c r="H29" i="112"/>
  <c r="I29" i="112" s="1"/>
  <c r="F29" i="112"/>
  <c r="BT28" i="112"/>
  <c r="H28" i="112"/>
  <c r="I28" i="112" s="1"/>
  <c r="BX28" i="112" s="1"/>
  <c r="I23" i="112"/>
  <c r="F23" i="112"/>
  <c r="CC23" i="112" s="1"/>
  <c r="I22" i="112"/>
  <c r="F22" i="112"/>
  <c r="CA22" i="112" s="1"/>
  <c r="Q21" i="112"/>
  <c r="I21" i="112"/>
  <c r="Y21" i="112" s="1"/>
  <c r="F20" i="112"/>
  <c r="CA20" i="112" s="1"/>
  <c r="F19" i="112"/>
  <c r="F18" i="112"/>
  <c r="CA18" i="112" s="1"/>
  <c r="F17" i="112"/>
  <c r="F16" i="112"/>
  <c r="CA16" i="112" s="1"/>
  <c r="F15" i="112"/>
  <c r="F14" i="112"/>
  <c r="CA14" i="112" s="1"/>
  <c r="F13" i="112"/>
  <c r="F12" i="112"/>
  <c r="F11" i="112"/>
  <c r="BN10" i="112"/>
  <c r="Q10" i="112"/>
  <c r="I10" i="112"/>
  <c r="BN9" i="112"/>
  <c r="Q9" i="112"/>
  <c r="I9" i="112"/>
  <c r="BI8" i="112"/>
  <c r="I8" i="112"/>
  <c r="J128" i="99" l="1"/>
  <c r="I132" i="99"/>
  <c r="J132" i="99" s="1"/>
  <c r="U39" i="112"/>
  <c r="BY39" i="112"/>
  <c r="U68" i="112"/>
  <c r="BY68" i="112"/>
  <c r="AG64" i="112"/>
  <c r="CC64" i="112"/>
  <c r="CB94" i="112"/>
  <c r="BQ79" i="112"/>
  <c r="BY79" i="112"/>
  <c r="BQ81" i="112"/>
  <c r="BY81" i="112"/>
  <c r="BQ70" i="112"/>
  <c r="BY70" i="112"/>
  <c r="BQ84" i="112"/>
  <c r="BY84" i="112"/>
  <c r="U35" i="112"/>
  <c r="BY35" i="112"/>
  <c r="U78" i="112"/>
  <c r="BY78" i="112"/>
  <c r="U36" i="112"/>
  <c r="BY36" i="112"/>
  <c r="U87" i="112"/>
  <c r="BY87" i="112"/>
  <c r="AF75" i="112"/>
  <c r="CC75" i="112"/>
  <c r="U54" i="112"/>
  <c r="BY54" i="112"/>
  <c r="CC94" i="112"/>
  <c r="CC144" i="112" s="1"/>
  <c r="CC146" i="112" s="1"/>
  <c r="U37" i="112"/>
  <c r="BY37" i="112"/>
  <c r="X99" i="112"/>
  <c r="X58" i="112"/>
  <c r="BW58" i="112"/>
  <c r="X33" i="112"/>
  <c r="BW33" i="112"/>
  <c r="X88" i="112"/>
  <c r="BW88" i="112"/>
  <c r="X77" i="112"/>
  <c r="BW77" i="112"/>
  <c r="X38" i="112"/>
  <c r="BW38" i="112"/>
  <c r="AS147" i="112"/>
  <c r="E129" i="26" s="1"/>
  <c r="C75" i="94"/>
  <c r="E128" i="26"/>
  <c r="C73" i="94"/>
  <c r="BQ63" i="112"/>
  <c r="U63" i="112"/>
  <c r="BQ120" i="112"/>
  <c r="U120" i="112"/>
  <c r="BQ126" i="112"/>
  <c r="U126" i="112"/>
  <c r="BQ82" i="112"/>
  <c r="U82" i="112"/>
  <c r="BQ101" i="112"/>
  <c r="U101" i="112"/>
  <c r="BQ117" i="112"/>
  <c r="U117" i="112"/>
  <c r="BQ59" i="112"/>
  <c r="U59" i="112"/>
  <c r="BQ124" i="112"/>
  <c r="U124" i="112"/>
  <c r="BQ100" i="112"/>
  <c r="U100" i="112"/>
  <c r="BW23" i="112"/>
  <c r="X23" i="112"/>
  <c r="AN13" i="112"/>
  <c r="CA13" i="112"/>
  <c r="BS53" i="112"/>
  <c r="AK41" i="112"/>
  <c r="CB41" i="112"/>
  <c r="AK50" i="112"/>
  <c r="CB50" i="112"/>
  <c r="U40" i="112"/>
  <c r="BQ41" i="112"/>
  <c r="U41" i="112"/>
  <c r="AN15" i="112"/>
  <c r="CA15" i="112"/>
  <c r="AN17" i="112"/>
  <c r="CA17" i="112"/>
  <c r="AG29" i="112"/>
  <c r="CC29" i="112"/>
  <c r="U49" i="112"/>
  <c r="U42" i="112"/>
  <c r="U48" i="112"/>
  <c r="AN12" i="112"/>
  <c r="CA12" i="112"/>
  <c r="AN19" i="112"/>
  <c r="CA19" i="112"/>
  <c r="N37" i="112"/>
  <c r="CB37" i="112"/>
  <c r="BQ43" i="112"/>
  <c r="AN27" i="112"/>
  <c r="CA27" i="112"/>
  <c r="AN11" i="112"/>
  <c r="CA11" i="112"/>
  <c r="BW44" i="112"/>
  <c r="U46" i="112"/>
  <c r="AF38" i="112"/>
  <c r="CC38" i="112"/>
  <c r="BS52" i="112"/>
  <c r="BQ37" i="112"/>
  <c r="BK36" i="112"/>
  <c r="CC36" i="112"/>
  <c r="BQ35" i="112"/>
  <c r="BZ144" i="112"/>
  <c r="BY30" i="112"/>
  <c r="Y8" i="112"/>
  <c r="BX8" i="112"/>
  <c r="BX22" i="112"/>
  <c r="Y22" i="112"/>
  <c r="N40" i="112"/>
  <c r="AK40" i="112"/>
  <c r="N48" i="112"/>
  <c r="AK48" i="112"/>
  <c r="N42" i="112"/>
  <c r="AK42" i="112"/>
  <c r="N91" i="112"/>
  <c r="AK91" i="112"/>
  <c r="N87" i="112"/>
  <c r="AK87" i="112"/>
  <c r="BK92" i="112"/>
  <c r="AK92" i="112"/>
  <c r="BK109" i="112"/>
  <c r="AK109" i="112"/>
  <c r="BK113" i="112"/>
  <c r="AK113" i="112"/>
  <c r="X130" i="112"/>
  <c r="AH130" i="112"/>
  <c r="BK125" i="112"/>
  <c r="AK125" i="112"/>
  <c r="BK72" i="112"/>
  <c r="AK72" i="112"/>
  <c r="BK114" i="112"/>
  <c r="AK114" i="112"/>
  <c r="S119" i="112"/>
  <c r="AN119" i="112"/>
  <c r="N49" i="112"/>
  <c r="AK49" i="112"/>
  <c r="N46" i="112"/>
  <c r="AK46" i="112"/>
  <c r="BK68" i="112"/>
  <c r="AK68" i="112"/>
  <c r="BK73" i="112"/>
  <c r="AK73" i="112"/>
  <c r="BK66" i="112"/>
  <c r="AG66" i="112"/>
  <c r="N85" i="112"/>
  <c r="AF85" i="112"/>
  <c r="BK97" i="112"/>
  <c r="AF97" i="112"/>
  <c r="BK81" i="112"/>
  <c r="AF81" i="112"/>
  <c r="N47" i="112"/>
  <c r="AK47" i="112"/>
  <c r="X83" i="112"/>
  <c r="AH83" i="112"/>
  <c r="AH94" i="112" s="1"/>
  <c r="Q14" i="112"/>
  <c r="AN14" i="112"/>
  <c r="BK90" i="112"/>
  <c r="AK90" i="112"/>
  <c r="BK59" i="112"/>
  <c r="AF59" i="112"/>
  <c r="N65" i="112"/>
  <c r="AK65" i="112"/>
  <c r="AD80" i="112"/>
  <c r="AG80" i="112"/>
  <c r="N76" i="112"/>
  <c r="AF76" i="112"/>
  <c r="Q16" i="112"/>
  <c r="AN16" i="112"/>
  <c r="BN18" i="112"/>
  <c r="AN18" i="112"/>
  <c r="N98" i="112"/>
  <c r="AF98" i="112"/>
  <c r="I50" i="112"/>
  <c r="BY50" i="112" s="1"/>
  <c r="AL50" i="112"/>
  <c r="BK71" i="112"/>
  <c r="AG71" i="112"/>
  <c r="BN20" i="112"/>
  <c r="AN20" i="112"/>
  <c r="I45" i="112"/>
  <c r="BY45" i="112" s="1"/>
  <c r="AL45" i="112"/>
  <c r="N32" i="112"/>
  <c r="AF32" i="112"/>
  <c r="BK56" i="112"/>
  <c r="AF56" i="112"/>
  <c r="BQ67" i="112"/>
  <c r="AH97" i="112"/>
  <c r="BK45" i="112"/>
  <c r="AK45" i="112"/>
  <c r="BK61" i="112"/>
  <c r="AG61" i="112"/>
  <c r="N82" i="112"/>
  <c r="AF82" i="112"/>
  <c r="BN22" i="112"/>
  <c r="AN22" i="112"/>
  <c r="BL33" i="112"/>
  <c r="AN33" i="112"/>
  <c r="N57" i="112"/>
  <c r="AF57" i="112"/>
  <c r="N62" i="112"/>
  <c r="AF62" i="112"/>
  <c r="BL83" i="112"/>
  <c r="AG83" i="112"/>
  <c r="I47" i="112"/>
  <c r="BY47" i="112" s="1"/>
  <c r="AL47" i="112"/>
  <c r="BL23" i="112"/>
  <c r="AN23" i="112"/>
  <c r="BK63" i="112"/>
  <c r="AF63" i="112"/>
  <c r="N78" i="112"/>
  <c r="AF78" i="112"/>
  <c r="BK84" i="112"/>
  <c r="AK84" i="112"/>
  <c r="U60" i="112"/>
  <c r="BQ60" i="112"/>
  <c r="BQ116" i="112"/>
  <c r="BQ78" i="112"/>
  <c r="BQ39" i="112"/>
  <c r="BQ89" i="112"/>
  <c r="U56" i="112"/>
  <c r="BQ56" i="112"/>
  <c r="BQ66" i="112"/>
  <c r="BQ75" i="112"/>
  <c r="BQ85" i="112"/>
  <c r="BQ104" i="112"/>
  <c r="BQ118" i="112"/>
  <c r="BQ103" i="112"/>
  <c r="U34" i="112"/>
  <c r="BQ34" i="112"/>
  <c r="BQ86" i="112"/>
  <c r="BS95" i="112"/>
  <c r="BS93" i="112"/>
  <c r="BQ62" i="112"/>
  <c r="BS80" i="112"/>
  <c r="BS105" i="112"/>
  <c r="BQ119" i="112"/>
  <c r="U106" i="112"/>
  <c r="BQ106" i="112"/>
  <c r="BS135" i="112"/>
  <c r="BQ97" i="112"/>
  <c r="BQ111" i="112"/>
  <c r="U65" i="112"/>
  <c r="BQ65" i="112"/>
  <c r="BS102" i="112"/>
  <c r="BQ36" i="112"/>
  <c r="BS54" i="112"/>
  <c r="BQ107" i="112"/>
  <c r="BS137" i="112"/>
  <c r="U108" i="112"/>
  <c r="BQ108" i="112"/>
  <c r="R142" i="112"/>
  <c r="BN142" i="112"/>
  <c r="Y15" i="112"/>
  <c r="Y13" i="112"/>
  <c r="S102" i="112"/>
  <c r="AC102" i="112"/>
  <c r="AD105" i="112"/>
  <c r="AC105" i="112"/>
  <c r="Y9" i="112"/>
  <c r="Y19" i="112"/>
  <c r="K183" i="26"/>
  <c r="L183" i="26" s="1"/>
  <c r="R183" i="26" s="1"/>
  <c r="S183" i="26" s="1"/>
  <c r="M53" i="26"/>
  <c r="P26" i="112"/>
  <c r="AB26" i="112"/>
  <c r="R52" i="112"/>
  <c r="AD52" i="112"/>
  <c r="BP29" i="112"/>
  <c r="AB29" i="112"/>
  <c r="O143" i="112"/>
  <c r="AD143" i="112"/>
  <c r="BG146" i="112"/>
  <c r="E130" i="26" s="1"/>
  <c r="P27" i="112"/>
  <c r="AB27" i="112"/>
  <c r="BL38" i="112"/>
  <c r="AA38" i="112"/>
  <c r="M39" i="26"/>
  <c r="Q138" i="26"/>
  <c r="O138" i="26"/>
  <c r="N138" i="26"/>
  <c r="R138" i="26"/>
  <c r="R143" i="112"/>
  <c r="BO144" i="112"/>
  <c r="S52" i="112"/>
  <c r="R119" i="112"/>
  <c r="O142" i="112"/>
  <c r="BI144" i="112"/>
  <c r="E95" i="26" s="1"/>
  <c r="CO146" i="112"/>
  <c r="E155" i="26" s="1"/>
  <c r="O141" i="26"/>
  <c r="N141" i="26"/>
  <c r="R141" i="26"/>
  <c r="E154" i="26"/>
  <c r="E137" i="26"/>
  <c r="K70" i="26"/>
  <c r="M70" i="26" s="1"/>
  <c r="F28" i="94"/>
  <c r="M75" i="26"/>
  <c r="F94" i="112"/>
  <c r="F144" i="112" s="1"/>
  <c r="BM144" i="112"/>
  <c r="E90" i="26" s="1"/>
  <c r="BK52" i="112"/>
  <c r="BL64" i="112"/>
  <c r="P29" i="112"/>
  <c r="BK127" i="112"/>
  <c r="BK98" i="112"/>
  <c r="BK65" i="112"/>
  <c r="BK49" i="112"/>
  <c r="BK80" i="112"/>
  <c r="BK107" i="112"/>
  <c r="BK82" i="112"/>
  <c r="BK50" i="112"/>
  <c r="BK128" i="112"/>
  <c r="BK85" i="112"/>
  <c r="BK47" i="112"/>
  <c r="BK46" i="112"/>
  <c r="BK48" i="112"/>
  <c r="BK87" i="112"/>
  <c r="BK100" i="112"/>
  <c r="BK40" i="112"/>
  <c r="BK41" i="112"/>
  <c r="BK102" i="112"/>
  <c r="BK116" i="112"/>
  <c r="BK42" i="112"/>
  <c r="BK75" i="112"/>
  <c r="BK91" i="112"/>
  <c r="BK57" i="112"/>
  <c r="BK76" i="112"/>
  <c r="BK104" i="112"/>
  <c r="BK118" i="112"/>
  <c r="BN105" i="112"/>
  <c r="BK119" i="112"/>
  <c r="I12" i="112"/>
  <c r="BK62" i="112"/>
  <c r="BK78" i="112"/>
  <c r="BK106" i="112"/>
  <c r="BK37" i="112"/>
  <c r="I14" i="112"/>
  <c r="G144" i="112"/>
  <c r="I11" i="112"/>
  <c r="I20" i="112"/>
  <c r="I17" i="112"/>
  <c r="H26" i="112"/>
  <c r="I26" i="112" s="1"/>
  <c r="I16" i="112"/>
  <c r="BP27" i="112"/>
  <c r="I18" i="112"/>
  <c r="N41" i="112"/>
  <c r="BP26" i="112"/>
  <c r="X69" i="112"/>
  <c r="R33" i="112"/>
  <c r="S33" i="112"/>
  <c r="AD102" i="112"/>
  <c r="N50" i="112"/>
  <c r="N129" i="112"/>
  <c r="BW51" i="112"/>
  <c r="AF129" i="112"/>
  <c r="N36" i="112"/>
  <c r="N100" i="112"/>
  <c r="Y28" i="112"/>
  <c r="AF127" i="112"/>
  <c r="BX13" i="112"/>
  <c r="R80" i="112"/>
  <c r="U62" i="112"/>
  <c r="AF107" i="112"/>
  <c r="N125" i="112"/>
  <c r="U85" i="112"/>
  <c r="U107" i="112"/>
  <c r="AK116" i="112"/>
  <c r="R102" i="112"/>
  <c r="R38" i="112"/>
  <c r="S80" i="112"/>
  <c r="U109" i="112"/>
  <c r="S38" i="112"/>
  <c r="U86" i="112"/>
  <c r="U67" i="112"/>
  <c r="BN16" i="112"/>
  <c r="N109" i="112"/>
  <c r="N45" i="112"/>
  <c r="BX10" i="112"/>
  <c r="Y10" i="112"/>
  <c r="U32" i="112"/>
  <c r="BT32" i="112"/>
  <c r="U91" i="112"/>
  <c r="AF36" i="112"/>
  <c r="N84" i="112"/>
  <c r="N117" i="112"/>
  <c r="Q22" i="112"/>
  <c r="AH110" i="112"/>
  <c r="X110" i="112"/>
  <c r="BN14" i="112"/>
  <c r="N63" i="112"/>
  <c r="U75" i="112"/>
  <c r="Q12" i="112"/>
  <c r="Q20" i="112"/>
  <c r="BT33" i="112"/>
  <c r="N56" i="112"/>
  <c r="N103" i="112"/>
  <c r="AF103" i="112"/>
  <c r="AH123" i="112"/>
  <c r="N68" i="112"/>
  <c r="BN15" i="112"/>
  <c r="Q15" i="112"/>
  <c r="U30" i="112"/>
  <c r="AD61" i="112"/>
  <c r="N121" i="112"/>
  <c r="BN12" i="112"/>
  <c r="R23" i="112"/>
  <c r="Q23" i="112"/>
  <c r="N71" i="112"/>
  <c r="N113" i="112"/>
  <c r="R64" i="112"/>
  <c r="U113" i="112"/>
  <c r="U66" i="112"/>
  <c r="AF121" i="112"/>
  <c r="Q13" i="112"/>
  <c r="BN13" i="112"/>
  <c r="BX21" i="112"/>
  <c r="BR30" i="112"/>
  <c r="X64" i="112"/>
  <c r="U90" i="112"/>
  <c r="N104" i="112"/>
  <c r="N81" i="112"/>
  <c r="BN11" i="112"/>
  <c r="Q11" i="112"/>
  <c r="BN19" i="112"/>
  <c r="Q19" i="112"/>
  <c r="N72" i="112"/>
  <c r="U81" i="112"/>
  <c r="U79" i="112"/>
  <c r="AF128" i="112"/>
  <c r="N112" i="112"/>
  <c r="AK112" i="112"/>
  <c r="X123" i="112"/>
  <c r="N73" i="112"/>
  <c r="U89" i="112"/>
  <c r="AK37" i="112"/>
  <c r="U73" i="112"/>
  <c r="N92" i="112"/>
  <c r="BX9" i="112"/>
  <c r="Q18" i="112"/>
  <c r="N66" i="112"/>
  <c r="BX15" i="112"/>
  <c r="S61" i="112"/>
  <c r="U57" i="112"/>
  <c r="N59" i="112"/>
  <c r="AA64" i="112"/>
  <c r="U111" i="112"/>
  <c r="BX19" i="112"/>
  <c r="U70" i="112"/>
  <c r="U84" i="112"/>
  <c r="Q17" i="112"/>
  <c r="BN17" i="112"/>
  <c r="N75" i="112"/>
  <c r="AG117" i="112"/>
  <c r="AK106" i="112"/>
  <c r="AH115" i="112"/>
  <c r="R61" i="112"/>
  <c r="U71" i="112"/>
  <c r="AA83" i="112"/>
  <c r="R83" i="112"/>
  <c r="S83" i="112"/>
  <c r="N97" i="112"/>
  <c r="S64" i="112"/>
  <c r="N90" i="112"/>
  <c r="U97" i="112"/>
  <c r="N122" i="112"/>
  <c r="AF122" i="112"/>
  <c r="U92" i="112"/>
  <c r="U103" i="112"/>
  <c r="U112" i="112"/>
  <c r="N118" i="112"/>
  <c r="U132" i="112"/>
  <c r="AH51" i="112"/>
  <c r="S105" i="112"/>
  <c r="U114" i="112"/>
  <c r="U118" i="112"/>
  <c r="U76" i="112"/>
  <c r="U98" i="112"/>
  <c r="U72" i="112"/>
  <c r="R105" i="112"/>
  <c r="N114" i="112"/>
  <c r="I152" i="99" l="1"/>
  <c r="F245" i="26" s="1"/>
  <c r="N245" i="26"/>
  <c r="S245" i="26" s="1"/>
  <c r="H245" i="26"/>
  <c r="M245" i="26" s="1"/>
  <c r="U245" i="26" s="1"/>
  <c r="V245" i="26" s="1"/>
  <c r="BY94" i="112"/>
  <c r="BY144" i="112" s="1"/>
  <c r="CA144" i="112"/>
  <c r="CB144" i="112"/>
  <c r="AC144" i="112"/>
  <c r="AB144" i="112"/>
  <c r="BQ45" i="112"/>
  <c r="U45" i="112"/>
  <c r="U47" i="112"/>
  <c r="BQ50" i="112"/>
  <c r="U50" i="112"/>
  <c r="BQ47" i="112"/>
  <c r="AL144" i="112"/>
  <c r="E113" i="26" s="1"/>
  <c r="AN144" i="112"/>
  <c r="AH144" i="112"/>
  <c r="E111" i="26" s="1"/>
  <c r="BL94" i="112"/>
  <c r="BL144" i="112" s="1"/>
  <c r="E92" i="26" s="1"/>
  <c r="AK94" i="112"/>
  <c r="AK144" i="112" s="1"/>
  <c r="E112" i="26" s="1"/>
  <c r="BK94" i="112"/>
  <c r="BK144" i="112" s="1"/>
  <c r="E91" i="26" s="1"/>
  <c r="BT144" i="112"/>
  <c r="N94" i="112"/>
  <c r="N144" i="112" s="1"/>
  <c r="E73" i="26" s="1"/>
  <c r="BQ94" i="112"/>
  <c r="BS94" i="112"/>
  <c r="BS144" i="112" s="1"/>
  <c r="E100" i="26" s="1"/>
  <c r="M183" i="26"/>
  <c r="P90" i="26"/>
  <c r="R90" i="26"/>
  <c r="N90" i="26"/>
  <c r="Q90" i="26"/>
  <c r="O90" i="26"/>
  <c r="BP144" i="112"/>
  <c r="E94" i="26" s="1"/>
  <c r="E54" i="26"/>
  <c r="Y11" i="112"/>
  <c r="Y14" i="112"/>
  <c r="Y18" i="112"/>
  <c r="BX12" i="112"/>
  <c r="O144" i="112"/>
  <c r="E72" i="26" s="1"/>
  <c r="N72" i="26" s="1"/>
  <c r="Y16" i="112"/>
  <c r="Y17" i="112"/>
  <c r="BX20" i="112"/>
  <c r="P144" i="112"/>
  <c r="E71" i="26" s="1"/>
  <c r="N71" i="26" s="1"/>
  <c r="E53" i="26"/>
  <c r="E135" i="26"/>
  <c r="BN144" i="112"/>
  <c r="E93" i="26" s="1"/>
  <c r="Q144" i="112"/>
  <c r="E70" i="26" s="1"/>
  <c r="BX11" i="112"/>
  <c r="BX14" i="112"/>
  <c r="Y12" i="112"/>
  <c r="BX17" i="112"/>
  <c r="BX18" i="112"/>
  <c r="Y20" i="112"/>
  <c r="BX16" i="112"/>
  <c r="S94" i="112"/>
  <c r="S144" i="112" s="1"/>
  <c r="E75" i="26" s="1"/>
  <c r="AG94" i="112"/>
  <c r="AG144" i="112" s="1"/>
  <c r="E109" i="26" s="1"/>
  <c r="BX94" i="112"/>
  <c r="AF94" i="112"/>
  <c r="AF144" i="112" s="1"/>
  <c r="E108" i="26" s="1"/>
  <c r="BR144" i="112"/>
  <c r="E99" i="26" s="1"/>
  <c r="R94" i="112"/>
  <c r="R144" i="112" s="1"/>
  <c r="E74" i="26" s="1"/>
  <c r="AD94" i="112"/>
  <c r="AA94" i="112"/>
  <c r="AA144" i="112" s="1"/>
  <c r="BJ144" i="112"/>
  <c r="U94" i="112"/>
  <c r="X94" i="112"/>
  <c r="X144" i="112" s="1"/>
  <c r="E68" i="26" s="1"/>
  <c r="BW94" i="112"/>
  <c r="BW144" i="112" s="1"/>
  <c r="BY147" i="112" s="1"/>
  <c r="BV94" i="112"/>
  <c r="Y94" i="112"/>
  <c r="E114" i="26" l="1"/>
  <c r="AN146" i="112"/>
  <c r="BX144" i="112"/>
  <c r="BV144" i="112"/>
  <c r="E104" i="26" s="1"/>
  <c r="E103" i="26"/>
  <c r="Y144" i="112"/>
  <c r="E64" i="26" s="1"/>
  <c r="AD144" i="112"/>
  <c r="AD147" i="112" s="1"/>
  <c r="U144" i="112"/>
  <c r="E101" i="26"/>
  <c r="E81" i="26"/>
  <c r="BQ144" i="112"/>
  <c r="E97" i="26" s="1"/>
  <c r="E98" i="26"/>
  <c r="R98" i="26" s="1"/>
  <c r="S90" i="26"/>
  <c r="O92" i="26"/>
  <c r="P92" i="26"/>
  <c r="N92" i="26"/>
  <c r="Q92" i="26"/>
  <c r="R92" i="26"/>
  <c r="N93" i="26"/>
  <c r="P93" i="26"/>
  <c r="Q72" i="26"/>
  <c r="N94" i="26"/>
  <c r="P94" i="26"/>
  <c r="O72" i="26"/>
  <c r="R72" i="26"/>
  <c r="N91" i="26"/>
  <c r="P91" i="26"/>
  <c r="R91" i="26"/>
  <c r="O91" i="26"/>
  <c r="Q91" i="26"/>
  <c r="P72" i="26"/>
  <c r="P71" i="26"/>
  <c r="AA147" i="112"/>
  <c r="E51" i="26" s="1"/>
  <c r="N53" i="26"/>
  <c r="P53" i="26"/>
  <c r="O53" i="26"/>
  <c r="R53" i="26"/>
  <c r="Q53" i="26"/>
  <c r="O75" i="26"/>
  <c r="N75" i="26"/>
  <c r="Q75" i="26"/>
  <c r="P75" i="26"/>
  <c r="R75" i="26"/>
  <c r="N73" i="26"/>
  <c r="P73" i="26"/>
  <c r="N70" i="26"/>
  <c r="O70" i="26"/>
  <c r="R70" i="26"/>
  <c r="P70" i="26"/>
  <c r="Q70" i="26"/>
  <c r="AG146" i="112"/>
  <c r="E89" i="26"/>
  <c r="J212" i="26"/>
  <c r="F212" i="26"/>
  <c r="E119" i="94"/>
  <c r="E117" i="94"/>
  <c r="E116" i="94"/>
  <c r="H203" i="26"/>
  <c r="H204" i="26"/>
  <c r="Q5" i="33"/>
  <c r="E204" i="26" s="1"/>
  <c r="Q204" i="26" s="1"/>
  <c r="P14" i="33"/>
  <c r="P49" i="26"/>
  <c r="K47" i="26"/>
  <c r="H47" i="26"/>
  <c r="P235" i="111"/>
  <c r="O235" i="111"/>
  <c r="N235" i="111"/>
  <c r="M235" i="111"/>
  <c r="F235" i="111"/>
  <c r="H235" i="111" s="1"/>
  <c r="J235" i="111" s="1"/>
  <c r="P234" i="111"/>
  <c r="O234" i="111"/>
  <c r="N234" i="111"/>
  <c r="M234" i="111"/>
  <c r="F234" i="111"/>
  <c r="H234" i="111" s="1"/>
  <c r="J234" i="111" s="1"/>
  <c r="P233" i="111"/>
  <c r="O233" i="111"/>
  <c r="M233" i="111"/>
  <c r="L233" i="111"/>
  <c r="D233" i="111"/>
  <c r="F233" i="111" s="1"/>
  <c r="H233" i="111" s="1"/>
  <c r="J233" i="111" s="1"/>
  <c r="P232" i="111"/>
  <c r="O232" i="111"/>
  <c r="M232" i="111"/>
  <c r="L232" i="111"/>
  <c r="F232" i="111"/>
  <c r="H232" i="111" s="1"/>
  <c r="J232" i="111" s="1"/>
  <c r="P231" i="111"/>
  <c r="O231" i="111"/>
  <c r="M231" i="111"/>
  <c r="L231" i="111"/>
  <c r="F231" i="111"/>
  <c r="H231" i="111" s="1"/>
  <c r="J231" i="111" s="1"/>
  <c r="P229" i="111"/>
  <c r="O229" i="111"/>
  <c r="N229" i="111"/>
  <c r="M229" i="111"/>
  <c r="F229" i="111"/>
  <c r="H229" i="111" s="1"/>
  <c r="J229" i="111" s="1"/>
  <c r="P228" i="111"/>
  <c r="O228" i="111"/>
  <c r="N228" i="111"/>
  <c r="M228" i="111"/>
  <c r="F228" i="111"/>
  <c r="H228" i="111" s="1"/>
  <c r="J228" i="111" s="1"/>
  <c r="P227" i="111"/>
  <c r="O227" i="111"/>
  <c r="N227" i="111"/>
  <c r="L227" i="111"/>
  <c r="E227" i="111"/>
  <c r="F227" i="111" s="1"/>
  <c r="H227" i="111" s="1"/>
  <c r="J227" i="111" s="1"/>
  <c r="P226" i="111"/>
  <c r="O226" i="111"/>
  <c r="N226" i="111"/>
  <c r="M226" i="111"/>
  <c r="H226" i="111"/>
  <c r="J226" i="111" s="1"/>
  <c r="P225" i="111"/>
  <c r="O225" i="111"/>
  <c r="N225" i="111"/>
  <c r="L225" i="111"/>
  <c r="E225" i="111"/>
  <c r="F225" i="111" s="1"/>
  <c r="H225" i="111" s="1"/>
  <c r="J225" i="111" s="1"/>
  <c r="P224" i="111"/>
  <c r="O224" i="111"/>
  <c r="N224" i="111"/>
  <c r="L224" i="111"/>
  <c r="E224" i="111"/>
  <c r="F224" i="111" s="1"/>
  <c r="H224" i="111" s="1"/>
  <c r="J224" i="111" s="1"/>
  <c r="P223" i="111"/>
  <c r="O223" i="111"/>
  <c r="M223" i="111"/>
  <c r="L223" i="111"/>
  <c r="F223" i="111"/>
  <c r="H223" i="111" s="1"/>
  <c r="J223" i="111" s="1"/>
  <c r="P222" i="111"/>
  <c r="O222" i="111"/>
  <c r="M222" i="111"/>
  <c r="L222" i="111"/>
  <c r="J222" i="111"/>
  <c r="H222" i="111"/>
  <c r="F222" i="111"/>
  <c r="P221" i="111"/>
  <c r="O221" i="111"/>
  <c r="M221" i="111"/>
  <c r="L221" i="111"/>
  <c r="F221" i="111"/>
  <c r="H221" i="111" s="1"/>
  <c r="J221" i="111" s="1"/>
  <c r="P220" i="111"/>
  <c r="O220" i="111"/>
  <c r="M220" i="111"/>
  <c r="L220" i="111"/>
  <c r="F220" i="111"/>
  <c r="H220" i="111" s="1"/>
  <c r="J220" i="111" s="1"/>
  <c r="P219" i="111"/>
  <c r="O219" i="111"/>
  <c r="N219" i="111"/>
  <c r="M219" i="111"/>
  <c r="F219" i="111"/>
  <c r="H219" i="111" s="1"/>
  <c r="J219" i="111" s="1"/>
  <c r="P218" i="111"/>
  <c r="O218" i="111"/>
  <c r="N218" i="111"/>
  <c r="L218" i="111"/>
  <c r="F218" i="111"/>
  <c r="H218" i="111" s="1"/>
  <c r="J218" i="111" s="1"/>
  <c r="P217" i="111"/>
  <c r="O217" i="111"/>
  <c r="N217" i="111"/>
  <c r="L217" i="111"/>
  <c r="F217" i="111"/>
  <c r="H217" i="111" s="1"/>
  <c r="J217" i="111" s="1"/>
  <c r="P216" i="111"/>
  <c r="O216" i="111"/>
  <c r="M216" i="111"/>
  <c r="L216" i="111"/>
  <c r="F216" i="111"/>
  <c r="H216" i="111" s="1"/>
  <c r="J216" i="111" s="1"/>
  <c r="P215" i="111"/>
  <c r="O215" i="111"/>
  <c r="M215" i="111"/>
  <c r="L215" i="111"/>
  <c r="F215" i="111"/>
  <c r="H215" i="111" s="1"/>
  <c r="J215" i="111" s="1"/>
  <c r="P214" i="111"/>
  <c r="O214" i="111"/>
  <c r="M214" i="111"/>
  <c r="L214" i="111"/>
  <c r="F214" i="111"/>
  <c r="H214" i="111" s="1"/>
  <c r="J214" i="111" s="1"/>
  <c r="P213" i="111"/>
  <c r="O213" i="111"/>
  <c r="M213" i="111"/>
  <c r="L213" i="111"/>
  <c r="F213" i="111"/>
  <c r="H213" i="111" s="1"/>
  <c r="J213" i="111" s="1"/>
  <c r="P212" i="111"/>
  <c r="O212" i="111"/>
  <c r="M212" i="111"/>
  <c r="L212" i="111"/>
  <c r="E212" i="111"/>
  <c r="F212" i="111" s="1"/>
  <c r="H212" i="111" s="1"/>
  <c r="J212" i="111" s="1"/>
  <c r="P211" i="111"/>
  <c r="O211" i="111"/>
  <c r="M211" i="111"/>
  <c r="L211" i="111"/>
  <c r="F211" i="111"/>
  <c r="H211" i="111" s="1"/>
  <c r="J211" i="111" s="1"/>
  <c r="P210" i="111"/>
  <c r="O210" i="111"/>
  <c r="N210" i="111"/>
  <c r="L210" i="111"/>
  <c r="F210" i="111"/>
  <c r="H210" i="111" s="1"/>
  <c r="J210" i="111" s="1"/>
  <c r="P209" i="111"/>
  <c r="O209" i="111"/>
  <c r="N209" i="111"/>
  <c r="L209" i="111"/>
  <c r="F209" i="111"/>
  <c r="H209" i="111" s="1"/>
  <c r="J209" i="111" s="1"/>
  <c r="P208" i="111"/>
  <c r="O208" i="111"/>
  <c r="N208" i="111"/>
  <c r="L208" i="111"/>
  <c r="F208" i="111"/>
  <c r="H208" i="111" s="1"/>
  <c r="J208" i="111" s="1"/>
  <c r="P207" i="111"/>
  <c r="O207" i="111"/>
  <c r="N207" i="111"/>
  <c r="L207" i="111"/>
  <c r="F207" i="111"/>
  <c r="H207" i="111" s="1"/>
  <c r="J207" i="111" s="1"/>
  <c r="P206" i="111"/>
  <c r="O206" i="111"/>
  <c r="N206" i="111"/>
  <c r="L206" i="111"/>
  <c r="F206" i="111"/>
  <c r="H206" i="111" s="1"/>
  <c r="J206" i="111" s="1"/>
  <c r="P204" i="111"/>
  <c r="O204" i="111"/>
  <c r="N204" i="111"/>
  <c r="M204" i="111"/>
  <c r="F204" i="111"/>
  <c r="H204" i="111" s="1"/>
  <c r="J204" i="111" s="1"/>
  <c r="P203" i="111"/>
  <c r="O203" i="111"/>
  <c r="N203" i="111"/>
  <c r="M203" i="111"/>
  <c r="F203" i="111"/>
  <c r="H203" i="111" s="1"/>
  <c r="J203" i="111" s="1"/>
  <c r="P202" i="111"/>
  <c r="O202" i="111"/>
  <c r="N202" i="111"/>
  <c r="M202" i="111"/>
  <c r="F202" i="111"/>
  <c r="H202" i="111" s="1"/>
  <c r="J202" i="111" s="1"/>
  <c r="P201" i="111"/>
  <c r="O201" i="111"/>
  <c r="N201" i="111"/>
  <c r="M201" i="111"/>
  <c r="F201" i="111"/>
  <c r="H201" i="111" s="1"/>
  <c r="J201" i="111" s="1"/>
  <c r="P200" i="111"/>
  <c r="O200" i="111"/>
  <c r="N200" i="111"/>
  <c r="M200" i="111"/>
  <c r="F200" i="111"/>
  <c r="H200" i="111" s="1"/>
  <c r="J200" i="111" s="1"/>
  <c r="P199" i="111"/>
  <c r="O199" i="111"/>
  <c r="N199" i="111"/>
  <c r="M199" i="111"/>
  <c r="E199" i="111"/>
  <c r="F199" i="111" s="1"/>
  <c r="H199" i="111" s="1"/>
  <c r="J199" i="111" s="1"/>
  <c r="P198" i="111"/>
  <c r="O198" i="111"/>
  <c r="N198" i="111"/>
  <c r="M198" i="111"/>
  <c r="F198" i="111"/>
  <c r="H198" i="111" s="1"/>
  <c r="J198" i="111" s="1"/>
  <c r="P197" i="111"/>
  <c r="O197" i="111"/>
  <c r="N197" i="111"/>
  <c r="M197" i="111"/>
  <c r="F197" i="111"/>
  <c r="H197" i="111" s="1"/>
  <c r="J197" i="111" s="1"/>
  <c r="P196" i="111"/>
  <c r="O196" i="111"/>
  <c r="N196" i="111"/>
  <c r="M196" i="111"/>
  <c r="F196" i="111"/>
  <c r="H196" i="111" s="1"/>
  <c r="J196" i="111" s="1"/>
  <c r="P195" i="111"/>
  <c r="O195" i="111"/>
  <c r="N195" i="111"/>
  <c r="M195" i="111"/>
  <c r="F195" i="111"/>
  <c r="H195" i="111" s="1"/>
  <c r="J195" i="111" s="1"/>
  <c r="P194" i="111"/>
  <c r="O194" i="111"/>
  <c r="N194" i="111"/>
  <c r="M194" i="111"/>
  <c r="H194" i="111"/>
  <c r="J194" i="111" s="1"/>
  <c r="F194" i="111"/>
  <c r="P193" i="111"/>
  <c r="O193" i="111"/>
  <c r="N193" i="111"/>
  <c r="M193" i="111"/>
  <c r="F193" i="111"/>
  <c r="H193" i="111" s="1"/>
  <c r="J193" i="111" s="1"/>
  <c r="P192" i="111"/>
  <c r="O192" i="111"/>
  <c r="N192" i="111"/>
  <c r="M192" i="111"/>
  <c r="F192" i="111"/>
  <c r="H192" i="111" s="1"/>
  <c r="J192" i="111" s="1"/>
  <c r="P191" i="111"/>
  <c r="O191" i="111"/>
  <c r="N191" i="111"/>
  <c r="M191" i="111"/>
  <c r="E191" i="111"/>
  <c r="F191" i="111" s="1"/>
  <c r="H191" i="111" s="1"/>
  <c r="J191" i="111" s="1"/>
  <c r="P190" i="111"/>
  <c r="O190" i="111"/>
  <c r="N190" i="111"/>
  <c r="M190" i="111"/>
  <c r="E190" i="111"/>
  <c r="F190" i="111" s="1"/>
  <c r="H190" i="111" s="1"/>
  <c r="J190" i="111" s="1"/>
  <c r="P189" i="111"/>
  <c r="O189" i="111"/>
  <c r="N189" i="111"/>
  <c r="M189" i="111"/>
  <c r="E189" i="111"/>
  <c r="F189" i="111" s="1"/>
  <c r="H189" i="111" s="1"/>
  <c r="J189" i="111" s="1"/>
  <c r="P188" i="111"/>
  <c r="O188" i="111"/>
  <c r="N188" i="111"/>
  <c r="M188" i="111"/>
  <c r="E188" i="111"/>
  <c r="F188" i="111" s="1"/>
  <c r="H188" i="111" s="1"/>
  <c r="J188" i="111" s="1"/>
  <c r="P187" i="111"/>
  <c r="O187" i="111"/>
  <c r="N187" i="111"/>
  <c r="M187" i="111"/>
  <c r="E187" i="111"/>
  <c r="F187" i="111" s="1"/>
  <c r="H187" i="111" s="1"/>
  <c r="J187" i="111" s="1"/>
  <c r="P186" i="111"/>
  <c r="O186" i="111"/>
  <c r="N186" i="111"/>
  <c r="M186" i="111"/>
  <c r="H186" i="111"/>
  <c r="J186" i="111" s="1"/>
  <c r="F186" i="111"/>
  <c r="P185" i="111"/>
  <c r="O185" i="111"/>
  <c r="N185" i="111"/>
  <c r="M185" i="111"/>
  <c r="E185" i="111"/>
  <c r="F185" i="111" s="1"/>
  <c r="H185" i="111" s="1"/>
  <c r="J185" i="111" s="1"/>
  <c r="P184" i="111"/>
  <c r="O184" i="111"/>
  <c r="N184" i="111"/>
  <c r="M184" i="111"/>
  <c r="F184" i="111"/>
  <c r="H184" i="111" s="1"/>
  <c r="J184" i="111" s="1"/>
  <c r="E184" i="111"/>
  <c r="P183" i="111"/>
  <c r="O183" i="111"/>
  <c r="N183" i="111"/>
  <c r="M183" i="111"/>
  <c r="E183" i="111"/>
  <c r="F183" i="111" s="1"/>
  <c r="H183" i="111" s="1"/>
  <c r="J183" i="111" s="1"/>
  <c r="P182" i="111"/>
  <c r="O182" i="111"/>
  <c r="N182" i="111"/>
  <c r="M182" i="111"/>
  <c r="F182" i="111"/>
  <c r="H182" i="111" s="1"/>
  <c r="J182" i="111" s="1"/>
  <c r="P181" i="111"/>
  <c r="O181" i="111"/>
  <c r="N181" i="111"/>
  <c r="M181" i="111"/>
  <c r="F181" i="111"/>
  <c r="H181" i="111" s="1"/>
  <c r="J181" i="111" s="1"/>
  <c r="P180" i="111"/>
  <c r="O180" i="111"/>
  <c r="N180" i="111"/>
  <c r="M180" i="111"/>
  <c r="F180" i="111"/>
  <c r="H180" i="111" s="1"/>
  <c r="J180" i="111" s="1"/>
  <c r="P179" i="111"/>
  <c r="O179" i="111"/>
  <c r="N179" i="111"/>
  <c r="M179" i="111"/>
  <c r="F179" i="111"/>
  <c r="H179" i="111" s="1"/>
  <c r="J179" i="111" s="1"/>
  <c r="P178" i="111"/>
  <c r="O178" i="111"/>
  <c r="N178" i="111"/>
  <c r="M178" i="111"/>
  <c r="F178" i="111"/>
  <c r="H178" i="111" s="1"/>
  <c r="J178" i="111" s="1"/>
  <c r="P177" i="111"/>
  <c r="O177" i="111"/>
  <c r="N177" i="111"/>
  <c r="M177" i="111"/>
  <c r="E177" i="111"/>
  <c r="F177" i="111" s="1"/>
  <c r="H177" i="111" s="1"/>
  <c r="J177" i="111" s="1"/>
  <c r="P176" i="111"/>
  <c r="O176" i="111"/>
  <c r="N176" i="111"/>
  <c r="M176" i="111"/>
  <c r="E176" i="111"/>
  <c r="F176" i="111" s="1"/>
  <c r="H176" i="111" s="1"/>
  <c r="J176" i="111" s="1"/>
  <c r="P175" i="111"/>
  <c r="O175" i="111"/>
  <c r="N175" i="111"/>
  <c r="M175" i="111"/>
  <c r="H175" i="111"/>
  <c r="J175" i="111" s="1"/>
  <c r="F175" i="111"/>
  <c r="P174" i="111"/>
  <c r="O174" i="111"/>
  <c r="N174" i="111"/>
  <c r="M174" i="111"/>
  <c r="F174" i="111"/>
  <c r="H174" i="111" s="1"/>
  <c r="J174" i="111" s="1"/>
  <c r="P173" i="111"/>
  <c r="O173" i="111"/>
  <c r="N173" i="111"/>
  <c r="M173" i="111"/>
  <c r="F173" i="111"/>
  <c r="H173" i="111" s="1"/>
  <c r="J173" i="111" s="1"/>
  <c r="P172" i="111"/>
  <c r="O172" i="111"/>
  <c r="N172" i="111"/>
  <c r="M172" i="111"/>
  <c r="F172" i="111"/>
  <c r="H172" i="111" s="1"/>
  <c r="J172" i="111" s="1"/>
  <c r="P171" i="111"/>
  <c r="O171" i="111"/>
  <c r="N171" i="111"/>
  <c r="M171" i="111"/>
  <c r="F171" i="111"/>
  <c r="H171" i="111" s="1"/>
  <c r="J171" i="111" s="1"/>
  <c r="P170" i="111"/>
  <c r="O170" i="111"/>
  <c r="N170" i="111"/>
  <c r="M170" i="111"/>
  <c r="F170" i="111"/>
  <c r="H170" i="111" s="1"/>
  <c r="J170" i="111" s="1"/>
  <c r="P169" i="111"/>
  <c r="O169" i="111"/>
  <c r="N169" i="111"/>
  <c r="M169" i="111"/>
  <c r="H169" i="111"/>
  <c r="J169" i="111" s="1"/>
  <c r="F169" i="111"/>
  <c r="P168" i="111"/>
  <c r="O168" i="111"/>
  <c r="N168" i="111"/>
  <c r="M168" i="111"/>
  <c r="F168" i="111"/>
  <c r="H168" i="111" s="1"/>
  <c r="J168" i="111" s="1"/>
  <c r="P167" i="111"/>
  <c r="O167" i="111"/>
  <c r="N167" i="111"/>
  <c r="M167" i="111"/>
  <c r="H167" i="111"/>
  <c r="J167" i="111" s="1"/>
  <c r="F167" i="111"/>
  <c r="P166" i="111"/>
  <c r="O166" i="111"/>
  <c r="M166" i="111"/>
  <c r="L166" i="111"/>
  <c r="E166" i="111"/>
  <c r="F166" i="111" s="1"/>
  <c r="H166" i="111" s="1"/>
  <c r="J166" i="111" s="1"/>
  <c r="P165" i="111"/>
  <c r="O165" i="111"/>
  <c r="M165" i="111"/>
  <c r="L165" i="111"/>
  <c r="E165" i="111"/>
  <c r="F165" i="111" s="1"/>
  <c r="H165" i="111" s="1"/>
  <c r="J165" i="111" s="1"/>
  <c r="P164" i="111"/>
  <c r="O164" i="111"/>
  <c r="M164" i="111"/>
  <c r="L164" i="111"/>
  <c r="E164" i="111"/>
  <c r="F164" i="111" s="1"/>
  <c r="H164" i="111" s="1"/>
  <c r="J164" i="111" s="1"/>
  <c r="P163" i="111"/>
  <c r="O163" i="111"/>
  <c r="M163" i="111"/>
  <c r="L163" i="111"/>
  <c r="F163" i="111"/>
  <c r="H163" i="111" s="1"/>
  <c r="J163" i="111" s="1"/>
  <c r="E163" i="111"/>
  <c r="P162" i="111"/>
  <c r="O162" i="111"/>
  <c r="M162" i="111"/>
  <c r="L162" i="111"/>
  <c r="E162" i="111"/>
  <c r="F162" i="111" s="1"/>
  <c r="H162" i="111" s="1"/>
  <c r="J162" i="111" s="1"/>
  <c r="P161" i="111"/>
  <c r="O161" i="111"/>
  <c r="M161" i="111"/>
  <c r="L161" i="111"/>
  <c r="G161" i="111"/>
  <c r="E161" i="111"/>
  <c r="F161" i="111" s="1"/>
  <c r="H161" i="111" s="1"/>
  <c r="J161" i="111" s="1"/>
  <c r="P160" i="111"/>
  <c r="O160" i="111"/>
  <c r="M160" i="111"/>
  <c r="L160" i="111"/>
  <c r="G160" i="111"/>
  <c r="E160" i="111"/>
  <c r="F160" i="111" s="1"/>
  <c r="H160" i="111" s="1"/>
  <c r="J160" i="111" s="1"/>
  <c r="P159" i="111"/>
  <c r="O159" i="111"/>
  <c r="M159" i="111"/>
  <c r="L159" i="111"/>
  <c r="G159" i="111"/>
  <c r="E159" i="111"/>
  <c r="F159" i="111" s="1"/>
  <c r="H159" i="111" s="1"/>
  <c r="J159" i="111" s="1"/>
  <c r="P158" i="111"/>
  <c r="O158" i="111"/>
  <c r="M158" i="111"/>
  <c r="L158" i="111"/>
  <c r="G158" i="111"/>
  <c r="E158" i="111"/>
  <c r="F158" i="111" s="1"/>
  <c r="H158" i="111" s="1"/>
  <c r="J158" i="111" s="1"/>
  <c r="P157" i="111"/>
  <c r="O157" i="111"/>
  <c r="M157" i="111"/>
  <c r="L157" i="111"/>
  <c r="E157" i="111"/>
  <c r="F157" i="111" s="1"/>
  <c r="H157" i="111" s="1"/>
  <c r="J157" i="111" s="1"/>
  <c r="P156" i="111"/>
  <c r="O156" i="111"/>
  <c r="M156" i="111"/>
  <c r="L156" i="111"/>
  <c r="E156" i="111"/>
  <c r="F156" i="111" s="1"/>
  <c r="H156" i="111" s="1"/>
  <c r="J156" i="111" s="1"/>
  <c r="P155" i="111"/>
  <c r="O155" i="111"/>
  <c r="M155" i="111"/>
  <c r="L155" i="111"/>
  <c r="E155" i="111"/>
  <c r="F155" i="111" s="1"/>
  <c r="H155" i="111" s="1"/>
  <c r="J155" i="111" s="1"/>
  <c r="P154" i="111"/>
  <c r="O154" i="111"/>
  <c r="M154" i="111"/>
  <c r="L154" i="111"/>
  <c r="E154" i="111"/>
  <c r="F154" i="111" s="1"/>
  <c r="H154" i="111" s="1"/>
  <c r="J154" i="111" s="1"/>
  <c r="P153" i="111"/>
  <c r="O153" i="111"/>
  <c r="M153" i="111"/>
  <c r="L153" i="111"/>
  <c r="F153" i="111"/>
  <c r="H153" i="111" s="1"/>
  <c r="J153" i="111" s="1"/>
  <c r="E153" i="111"/>
  <c r="P152" i="111"/>
  <c r="O152" i="111"/>
  <c r="M152" i="111"/>
  <c r="L152" i="111"/>
  <c r="E152" i="111"/>
  <c r="F152" i="111" s="1"/>
  <c r="H152" i="111" s="1"/>
  <c r="J152" i="111" s="1"/>
  <c r="P151" i="111"/>
  <c r="O151" i="111"/>
  <c r="M151" i="111"/>
  <c r="L151" i="111"/>
  <c r="E151" i="111"/>
  <c r="F151" i="111" s="1"/>
  <c r="H151" i="111" s="1"/>
  <c r="J151" i="111" s="1"/>
  <c r="P150" i="111"/>
  <c r="O150" i="111"/>
  <c r="M150" i="111"/>
  <c r="L150" i="111"/>
  <c r="E150" i="111"/>
  <c r="F150" i="111" s="1"/>
  <c r="H150" i="111" s="1"/>
  <c r="J150" i="111" s="1"/>
  <c r="P149" i="111"/>
  <c r="O149" i="111"/>
  <c r="M149" i="111"/>
  <c r="L149" i="111"/>
  <c r="G149" i="111"/>
  <c r="E149" i="111"/>
  <c r="F149" i="111" s="1"/>
  <c r="H149" i="111" s="1"/>
  <c r="J149" i="111" s="1"/>
  <c r="P148" i="111"/>
  <c r="O148" i="111"/>
  <c r="M148" i="111"/>
  <c r="L148" i="111"/>
  <c r="G148" i="111"/>
  <c r="E148" i="111"/>
  <c r="F148" i="111" s="1"/>
  <c r="H148" i="111" s="1"/>
  <c r="J148" i="111" s="1"/>
  <c r="P147" i="111"/>
  <c r="O147" i="111"/>
  <c r="M147" i="111"/>
  <c r="L147" i="111"/>
  <c r="G147" i="111"/>
  <c r="E147" i="111"/>
  <c r="F147" i="111" s="1"/>
  <c r="H147" i="111" s="1"/>
  <c r="J147" i="111" s="1"/>
  <c r="P146" i="111"/>
  <c r="O146" i="111"/>
  <c r="N146" i="111"/>
  <c r="L146" i="111"/>
  <c r="F146" i="111"/>
  <c r="H146" i="111" s="1"/>
  <c r="J146" i="111" s="1"/>
  <c r="P145" i="111"/>
  <c r="O145" i="111"/>
  <c r="N145" i="111"/>
  <c r="L145" i="111"/>
  <c r="F145" i="111"/>
  <c r="H145" i="111" s="1"/>
  <c r="J145" i="111" s="1"/>
  <c r="P144" i="111"/>
  <c r="O144" i="111"/>
  <c r="N144" i="111"/>
  <c r="L144" i="111"/>
  <c r="F144" i="111"/>
  <c r="H144" i="111" s="1"/>
  <c r="J144" i="111" s="1"/>
  <c r="P143" i="111"/>
  <c r="O143" i="111"/>
  <c r="N143" i="111"/>
  <c r="L143" i="111"/>
  <c r="F143" i="111"/>
  <c r="H143" i="111" s="1"/>
  <c r="J143" i="111" s="1"/>
  <c r="P142" i="111"/>
  <c r="O142" i="111"/>
  <c r="N142" i="111"/>
  <c r="L142" i="111"/>
  <c r="F142" i="111"/>
  <c r="H142" i="111" s="1"/>
  <c r="J142" i="111" s="1"/>
  <c r="P141" i="111"/>
  <c r="O141" i="111"/>
  <c r="N141" i="111"/>
  <c r="L141" i="111"/>
  <c r="F141" i="111"/>
  <c r="H141" i="111" s="1"/>
  <c r="J141" i="111" s="1"/>
  <c r="P140" i="111"/>
  <c r="O140" i="111"/>
  <c r="N140" i="111"/>
  <c r="L140" i="111"/>
  <c r="H140" i="111"/>
  <c r="J140" i="111" s="1"/>
  <c r="F140" i="111"/>
  <c r="P139" i="111"/>
  <c r="O139" i="111"/>
  <c r="N139" i="111"/>
  <c r="L139" i="111"/>
  <c r="H139" i="111"/>
  <c r="J139" i="111" s="1"/>
  <c r="F139" i="111"/>
  <c r="P138" i="111"/>
  <c r="O138" i="111"/>
  <c r="N138" i="111"/>
  <c r="L138" i="111"/>
  <c r="H138" i="111"/>
  <c r="J138" i="111" s="1"/>
  <c r="F138" i="111"/>
  <c r="P137" i="111"/>
  <c r="O137" i="111"/>
  <c r="N137" i="111"/>
  <c r="L137" i="111"/>
  <c r="H137" i="111"/>
  <c r="J137" i="111" s="1"/>
  <c r="F137" i="111"/>
  <c r="P136" i="111"/>
  <c r="O136" i="111"/>
  <c r="N136" i="111"/>
  <c r="L136" i="111"/>
  <c r="F136" i="111"/>
  <c r="H136" i="111" s="1"/>
  <c r="J136" i="111" s="1"/>
  <c r="P135" i="111"/>
  <c r="O135" i="111"/>
  <c r="N135" i="111"/>
  <c r="L135" i="111"/>
  <c r="F135" i="111"/>
  <c r="H135" i="111" s="1"/>
  <c r="J135" i="111" s="1"/>
  <c r="P134" i="111"/>
  <c r="O134" i="111"/>
  <c r="N134" i="111"/>
  <c r="L134" i="111"/>
  <c r="J134" i="111"/>
  <c r="H134" i="111"/>
  <c r="F134" i="111"/>
  <c r="P132" i="111"/>
  <c r="O132" i="111"/>
  <c r="N132" i="111"/>
  <c r="M132" i="111"/>
  <c r="I132" i="111"/>
  <c r="E132" i="111"/>
  <c r="F132" i="111" s="1"/>
  <c r="H132" i="111" s="1"/>
  <c r="J132" i="111" s="1"/>
  <c r="P131" i="111"/>
  <c r="O131" i="111"/>
  <c r="N131" i="111"/>
  <c r="M131" i="111"/>
  <c r="I131" i="111"/>
  <c r="F131" i="111"/>
  <c r="H131" i="111" s="1"/>
  <c r="J131" i="111" s="1"/>
  <c r="E131" i="111"/>
  <c r="P130" i="111"/>
  <c r="O130" i="111"/>
  <c r="N130" i="111"/>
  <c r="M130" i="111"/>
  <c r="I130" i="111"/>
  <c r="E130" i="111"/>
  <c r="F130" i="111" s="1"/>
  <c r="H130" i="111" s="1"/>
  <c r="J130" i="111" s="1"/>
  <c r="P129" i="111"/>
  <c r="O129" i="111"/>
  <c r="N129" i="111"/>
  <c r="M129" i="111"/>
  <c r="I129" i="111"/>
  <c r="F129" i="111"/>
  <c r="H129" i="111" s="1"/>
  <c r="P128" i="111"/>
  <c r="O128" i="111"/>
  <c r="N128" i="111"/>
  <c r="M128" i="111"/>
  <c r="I128" i="111"/>
  <c r="H128" i="111"/>
  <c r="J128" i="111" s="1"/>
  <c r="F128" i="111"/>
  <c r="P127" i="111"/>
  <c r="O127" i="111"/>
  <c r="N127" i="111"/>
  <c r="M127" i="111"/>
  <c r="I127" i="111"/>
  <c r="F127" i="111"/>
  <c r="H127" i="111" s="1"/>
  <c r="J127" i="111" s="1"/>
  <c r="P126" i="111"/>
  <c r="O126" i="111"/>
  <c r="N126" i="111"/>
  <c r="M126" i="111"/>
  <c r="I126" i="111"/>
  <c r="F126" i="111"/>
  <c r="H126" i="111" s="1"/>
  <c r="P125" i="111"/>
  <c r="O125" i="111"/>
  <c r="N125" i="111"/>
  <c r="M125" i="111"/>
  <c r="I125" i="111"/>
  <c r="F125" i="111"/>
  <c r="H125" i="111" s="1"/>
  <c r="J125" i="111" s="1"/>
  <c r="P124" i="111"/>
  <c r="O124" i="111"/>
  <c r="N124" i="111"/>
  <c r="M124" i="111"/>
  <c r="I124" i="111"/>
  <c r="E124" i="111"/>
  <c r="F124" i="111" s="1"/>
  <c r="H124" i="111" s="1"/>
  <c r="J124" i="111" s="1"/>
  <c r="P123" i="111"/>
  <c r="O123" i="111"/>
  <c r="N123" i="111"/>
  <c r="M123" i="111"/>
  <c r="I123" i="111"/>
  <c r="E123" i="111"/>
  <c r="F123" i="111" s="1"/>
  <c r="H123" i="111" s="1"/>
  <c r="P122" i="111"/>
  <c r="O122" i="111"/>
  <c r="N122" i="111"/>
  <c r="M122" i="111"/>
  <c r="I122" i="111"/>
  <c r="F122" i="111"/>
  <c r="H122" i="111" s="1"/>
  <c r="J122" i="111" s="1"/>
  <c r="P121" i="111"/>
  <c r="O121" i="111"/>
  <c r="N121" i="111"/>
  <c r="M121" i="111"/>
  <c r="I121" i="111"/>
  <c r="F121" i="111"/>
  <c r="H121" i="111" s="1"/>
  <c r="J121" i="111" s="1"/>
  <c r="P120" i="111"/>
  <c r="O120" i="111"/>
  <c r="N120" i="111"/>
  <c r="M120" i="111"/>
  <c r="I120" i="111"/>
  <c r="F120" i="111"/>
  <c r="H120" i="111" s="1"/>
  <c r="J120" i="111" s="1"/>
  <c r="P119" i="111"/>
  <c r="O119" i="111"/>
  <c r="N119" i="111"/>
  <c r="M119" i="111"/>
  <c r="I119" i="111"/>
  <c r="F119" i="111"/>
  <c r="H119" i="111" s="1"/>
  <c r="J119" i="111" s="1"/>
  <c r="P118" i="111"/>
  <c r="O118" i="111"/>
  <c r="N118" i="111"/>
  <c r="M118" i="111"/>
  <c r="I118" i="111"/>
  <c r="F118" i="111"/>
  <c r="H118" i="111" s="1"/>
  <c r="J118" i="111" s="1"/>
  <c r="P117" i="111"/>
  <c r="O117" i="111"/>
  <c r="N117" i="111"/>
  <c r="M117" i="111"/>
  <c r="I117" i="111"/>
  <c r="F117" i="111"/>
  <c r="H117" i="111" s="1"/>
  <c r="J117" i="111" s="1"/>
  <c r="P116" i="111"/>
  <c r="O116" i="111"/>
  <c r="N116" i="111"/>
  <c r="M116" i="111"/>
  <c r="I116" i="111"/>
  <c r="F116" i="111"/>
  <c r="H116" i="111" s="1"/>
  <c r="J116" i="111" s="1"/>
  <c r="P115" i="111"/>
  <c r="O115" i="111"/>
  <c r="N115" i="111"/>
  <c r="M115" i="111"/>
  <c r="I115" i="111"/>
  <c r="F115" i="111"/>
  <c r="H115" i="111" s="1"/>
  <c r="J115" i="111" s="1"/>
  <c r="P114" i="111"/>
  <c r="O114" i="111"/>
  <c r="N114" i="111"/>
  <c r="M114" i="111"/>
  <c r="I114" i="111"/>
  <c r="F114" i="111"/>
  <c r="H114" i="111" s="1"/>
  <c r="J114" i="111" s="1"/>
  <c r="P113" i="111"/>
  <c r="O113" i="111"/>
  <c r="M113" i="111"/>
  <c r="L113" i="111"/>
  <c r="F113" i="111"/>
  <c r="H113" i="111" s="1"/>
  <c r="J113" i="111" s="1"/>
  <c r="P112" i="111"/>
  <c r="O112" i="111"/>
  <c r="M112" i="111"/>
  <c r="L112" i="111"/>
  <c r="F112" i="111"/>
  <c r="H112" i="111" s="1"/>
  <c r="J112" i="111" s="1"/>
  <c r="P111" i="111"/>
  <c r="O111" i="111"/>
  <c r="M111" i="111"/>
  <c r="L111" i="111"/>
  <c r="F111" i="111"/>
  <c r="H111" i="111" s="1"/>
  <c r="J111" i="111" s="1"/>
  <c r="E111" i="111"/>
  <c r="P110" i="111"/>
  <c r="O110" i="111"/>
  <c r="M110" i="111"/>
  <c r="L110" i="111"/>
  <c r="E110" i="111"/>
  <c r="F110" i="111" s="1"/>
  <c r="H110" i="111" s="1"/>
  <c r="J110" i="111" s="1"/>
  <c r="P109" i="111"/>
  <c r="O109" i="111"/>
  <c r="M109" i="111"/>
  <c r="L109" i="111"/>
  <c r="G109" i="111"/>
  <c r="E109" i="111"/>
  <c r="F109" i="111" s="1"/>
  <c r="H109" i="111" s="1"/>
  <c r="J109" i="111" s="1"/>
  <c r="P108" i="111"/>
  <c r="O108" i="111"/>
  <c r="M108" i="111"/>
  <c r="L108" i="111"/>
  <c r="G108" i="111"/>
  <c r="E108" i="111"/>
  <c r="F108" i="111" s="1"/>
  <c r="H108" i="111" s="1"/>
  <c r="J108" i="111" s="1"/>
  <c r="P107" i="111"/>
  <c r="O107" i="111"/>
  <c r="M107" i="111"/>
  <c r="L107" i="111"/>
  <c r="G107" i="111"/>
  <c r="H107" i="111" s="1"/>
  <c r="J107" i="111" s="1"/>
  <c r="F107" i="111"/>
  <c r="E107" i="111"/>
  <c r="P106" i="111"/>
  <c r="O106" i="111"/>
  <c r="M106" i="111"/>
  <c r="L106" i="111"/>
  <c r="G106" i="111"/>
  <c r="E106" i="111"/>
  <c r="F106" i="111" s="1"/>
  <c r="H106" i="111" s="1"/>
  <c r="J106" i="111" s="1"/>
  <c r="P105" i="111"/>
  <c r="O105" i="111"/>
  <c r="M105" i="111"/>
  <c r="L105" i="111"/>
  <c r="E105" i="111"/>
  <c r="F105" i="111" s="1"/>
  <c r="H105" i="111" s="1"/>
  <c r="J105" i="111" s="1"/>
  <c r="P104" i="111"/>
  <c r="O104" i="111"/>
  <c r="M104" i="111"/>
  <c r="L104" i="111"/>
  <c r="E104" i="111"/>
  <c r="F104" i="111" s="1"/>
  <c r="H104" i="111" s="1"/>
  <c r="J104" i="111" s="1"/>
  <c r="P103" i="111"/>
  <c r="O103" i="111"/>
  <c r="M103" i="111"/>
  <c r="L103" i="111"/>
  <c r="F103" i="111"/>
  <c r="H103" i="111" s="1"/>
  <c r="J103" i="111" s="1"/>
  <c r="E103" i="111"/>
  <c r="P102" i="111"/>
  <c r="O102" i="111"/>
  <c r="M102" i="111"/>
  <c r="L102" i="111"/>
  <c r="E102" i="111"/>
  <c r="F102" i="111" s="1"/>
  <c r="H102" i="111" s="1"/>
  <c r="J102" i="111" s="1"/>
  <c r="P101" i="111"/>
  <c r="O101" i="111"/>
  <c r="M101" i="111"/>
  <c r="L101" i="111"/>
  <c r="E101" i="111"/>
  <c r="F101" i="111" s="1"/>
  <c r="H101" i="111" s="1"/>
  <c r="J101" i="111" s="1"/>
  <c r="P100" i="111"/>
  <c r="O100" i="111"/>
  <c r="M100" i="111"/>
  <c r="L100" i="111"/>
  <c r="E100" i="111"/>
  <c r="F100" i="111" s="1"/>
  <c r="H100" i="111" s="1"/>
  <c r="J100" i="111" s="1"/>
  <c r="P99" i="111"/>
  <c r="O99" i="111"/>
  <c r="M99" i="111"/>
  <c r="L99" i="111"/>
  <c r="G99" i="111"/>
  <c r="F99" i="111"/>
  <c r="H99" i="111" s="1"/>
  <c r="J99" i="111" s="1"/>
  <c r="E99" i="111"/>
  <c r="P98" i="111"/>
  <c r="O98" i="111"/>
  <c r="M98" i="111"/>
  <c r="L98" i="111"/>
  <c r="G98" i="111"/>
  <c r="E98" i="111"/>
  <c r="F98" i="111" s="1"/>
  <c r="P97" i="111"/>
  <c r="O97" i="111"/>
  <c r="M97" i="111"/>
  <c r="L97" i="111"/>
  <c r="G97" i="111"/>
  <c r="E97" i="111"/>
  <c r="F97" i="111" s="1"/>
  <c r="H97" i="111" s="1"/>
  <c r="J97" i="111" s="1"/>
  <c r="P96" i="111"/>
  <c r="O96" i="111"/>
  <c r="M96" i="111"/>
  <c r="L96" i="111"/>
  <c r="F96" i="111"/>
  <c r="H96" i="111" s="1"/>
  <c r="J96" i="111" s="1"/>
  <c r="P95" i="111"/>
  <c r="O95" i="111"/>
  <c r="M95" i="111"/>
  <c r="L95" i="111"/>
  <c r="F95" i="111"/>
  <c r="H95" i="111" s="1"/>
  <c r="J95" i="111" s="1"/>
  <c r="P94" i="111"/>
  <c r="O94" i="111"/>
  <c r="M94" i="111"/>
  <c r="L94" i="111"/>
  <c r="E94" i="111"/>
  <c r="F94" i="111" s="1"/>
  <c r="H94" i="111" s="1"/>
  <c r="J94" i="111" s="1"/>
  <c r="P93" i="111"/>
  <c r="O93" i="111"/>
  <c r="M93" i="111"/>
  <c r="L93" i="111"/>
  <c r="E93" i="111"/>
  <c r="F93" i="111" s="1"/>
  <c r="H93" i="111" s="1"/>
  <c r="J93" i="111" s="1"/>
  <c r="P92" i="111"/>
  <c r="O92" i="111"/>
  <c r="M92" i="111"/>
  <c r="L92" i="111"/>
  <c r="G92" i="111"/>
  <c r="F92" i="111"/>
  <c r="H92" i="111" s="1"/>
  <c r="J92" i="111" s="1"/>
  <c r="E92" i="111"/>
  <c r="P91" i="111"/>
  <c r="O91" i="111"/>
  <c r="N91" i="111"/>
  <c r="L91" i="111"/>
  <c r="H91" i="111"/>
  <c r="J91" i="111" s="1"/>
  <c r="F91" i="111"/>
  <c r="P90" i="111"/>
  <c r="O90" i="111"/>
  <c r="N90" i="111"/>
  <c r="L90" i="111"/>
  <c r="F90" i="111"/>
  <c r="H90" i="111" s="1"/>
  <c r="J90" i="111" s="1"/>
  <c r="P89" i="111"/>
  <c r="O89" i="111"/>
  <c r="N89" i="111"/>
  <c r="L89" i="111"/>
  <c r="F89" i="111"/>
  <c r="H89" i="111" s="1"/>
  <c r="J89" i="111" s="1"/>
  <c r="P88" i="111"/>
  <c r="O88" i="111"/>
  <c r="N88" i="111"/>
  <c r="L88" i="111"/>
  <c r="F88" i="111"/>
  <c r="H88" i="111" s="1"/>
  <c r="J88" i="111" s="1"/>
  <c r="P87" i="111"/>
  <c r="O87" i="111"/>
  <c r="N87" i="111"/>
  <c r="L87" i="111"/>
  <c r="F87" i="111"/>
  <c r="H87" i="111" s="1"/>
  <c r="J87" i="111" s="1"/>
  <c r="P86" i="111"/>
  <c r="O86" i="111"/>
  <c r="N86" i="111"/>
  <c r="L86" i="111"/>
  <c r="F86" i="111"/>
  <c r="H86" i="111" s="1"/>
  <c r="J86" i="111" s="1"/>
  <c r="P85" i="111"/>
  <c r="O85" i="111"/>
  <c r="N85" i="111"/>
  <c r="L85" i="111"/>
  <c r="F85" i="111"/>
  <c r="H85" i="111" s="1"/>
  <c r="J85" i="111" s="1"/>
  <c r="P84" i="111"/>
  <c r="O84" i="111"/>
  <c r="N84" i="111"/>
  <c r="L84" i="111"/>
  <c r="F84" i="111"/>
  <c r="H84" i="111" s="1"/>
  <c r="J84" i="111" s="1"/>
  <c r="P83" i="111"/>
  <c r="O83" i="111"/>
  <c r="N83" i="111"/>
  <c r="L83" i="111"/>
  <c r="F83" i="111"/>
  <c r="H83" i="111" s="1"/>
  <c r="J83" i="111" s="1"/>
  <c r="P82" i="111"/>
  <c r="O82" i="111"/>
  <c r="N82" i="111"/>
  <c r="L82" i="111"/>
  <c r="F82" i="111"/>
  <c r="H82" i="111" s="1"/>
  <c r="J82" i="111" s="1"/>
  <c r="P81" i="111"/>
  <c r="O81" i="111"/>
  <c r="N81" i="111"/>
  <c r="L81" i="111"/>
  <c r="F81" i="111"/>
  <c r="H81" i="111" s="1"/>
  <c r="J81" i="111" s="1"/>
  <c r="P79" i="111"/>
  <c r="O79" i="111"/>
  <c r="N79" i="111"/>
  <c r="M79" i="111"/>
  <c r="F79" i="111"/>
  <c r="H79" i="111" s="1"/>
  <c r="J79" i="111" s="1"/>
  <c r="P78" i="111"/>
  <c r="O78" i="111"/>
  <c r="N78" i="111"/>
  <c r="M78" i="111"/>
  <c r="F78" i="111"/>
  <c r="H78" i="111" s="1"/>
  <c r="J78" i="111" s="1"/>
  <c r="P77" i="111"/>
  <c r="O77" i="111"/>
  <c r="N77" i="111"/>
  <c r="M77" i="111"/>
  <c r="F77" i="111"/>
  <c r="H77" i="111" s="1"/>
  <c r="J77" i="111" s="1"/>
  <c r="L77" i="111" s="1"/>
  <c r="P76" i="111"/>
  <c r="O76" i="111"/>
  <c r="N76" i="111"/>
  <c r="M76" i="111"/>
  <c r="F76" i="111"/>
  <c r="H76" i="111" s="1"/>
  <c r="J76" i="111" s="1"/>
  <c r="P75" i="111"/>
  <c r="O75" i="111"/>
  <c r="N75" i="111"/>
  <c r="M75" i="111"/>
  <c r="F75" i="111"/>
  <c r="H75" i="111" s="1"/>
  <c r="J75" i="111" s="1"/>
  <c r="P74" i="111"/>
  <c r="O74" i="111"/>
  <c r="N74" i="111"/>
  <c r="M74" i="111"/>
  <c r="F74" i="111"/>
  <c r="H74" i="111" s="1"/>
  <c r="J74" i="111" s="1"/>
  <c r="P73" i="111"/>
  <c r="O73" i="111"/>
  <c r="N73" i="111"/>
  <c r="M73" i="111"/>
  <c r="E73" i="111"/>
  <c r="F73" i="111" s="1"/>
  <c r="H73" i="111" s="1"/>
  <c r="J73" i="111" s="1"/>
  <c r="P72" i="111"/>
  <c r="O72" i="111"/>
  <c r="N72" i="111"/>
  <c r="M72" i="111"/>
  <c r="E72" i="111"/>
  <c r="F72" i="111" s="1"/>
  <c r="H72" i="111" s="1"/>
  <c r="J72" i="111" s="1"/>
  <c r="P71" i="111"/>
  <c r="O71" i="111"/>
  <c r="N71" i="111"/>
  <c r="M71" i="111"/>
  <c r="F71" i="111"/>
  <c r="H71" i="111" s="1"/>
  <c r="J71" i="111" s="1"/>
  <c r="E71" i="111"/>
  <c r="P70" i="111"/>
  <c r="O70" i="111"/>
  <c r="N70" i="111"/>
  <c r="M70" i="111"/>
  <c r="F70" i="111"/>
  <c r="H70" i="111" s="1"/>
  <c r="J70" i="111" s="1"/>
  <c r="P69" i="111"/>
  <c r="O69" i="111"/>
  <c r="N69" i="111"/>
  <c r="M69" i="111"/>
  <c r="F69" i="111"/>
  <c r="H69" i="111" s="1"/>
  <c r="J69" i="111" s="1"/>
  <c r="P68" i="111"/>
  <c r="O68" i="111"/>
  <c r="N68" i="111"/>
  <c r="M68" i="111"/>
  <c r="F68" i="111"/>
  <c r="H68" i="111" s="1"/>
  <c r="J68" i="111" s="1"/>
  <c r="P67" i="111"/>
  <c r="O67" i="111"/>
  <c r="N67" i="111"/>
  <c r="M67" i="111"/>
  <c r="E67" i="111"/>
  <c r="F67" i="111" s="1"/>
  <c r="H67" i="111" s="1"/>
  <c r="J67" i="111" s="1"/>
  <c r="P66" i="111"/>
  <c r="O66" i="111"/>
  <c r="N66" i="111"/>
  <c r="M66" i="111"/>
  <c r="F66" i="111"/>
  <c r="H66" i="111" s="1"/>
  <c r="J66" i="111" s="1"/>
  <c r="P65" i="111"/>
  <c r="O65" i="111"/>
  <c r="N65" i="111"/>
  <c r="M65" i="111"/>
  <c r="F65" i="111"/>
  <c r="H65" i="111" s="1"/>
  <c r="J65" i="111" s="1"/>
  <c r="P64" i="111"/>
  <c r="O64" i="111"/>
  <c r="N64" i="111"/>
  <c r="M64" i="111"/>
  <c r="E64" i="111"/>
  <c r="F64" i="111" s="1"/>
  <c r="H64" i="111" s="1"/>
  <c r="J64" i="111" s="1"/>
  <c r="P63" i="111"/>
  <c r="O63" i="111"/>
  <c r="N63" i="111"/>
  <c r="M63" i="111"/>
  <c r="F63" i="111"/>
  <c r="H63" i="111" s="1"/>
  <c r="J63" i="111" s="1"/>
  <c r="L63" i="111" s="1"/>
  <c r="P62" i="111"/>
  <c r="O62" i="111"/>
  <c r="N62" i="111"/>
  <c r="M62" i="111"/>
  <c r="F62" i="111"/>
  <c r="H62" i="111" s="1"/>
  <c r="J62" i="111" s="1"/>
  <c r="P61" i="111"/>
  <c r="O61" i="111"/>
  <c r="N61" i="111"/>
  <c r="M61" i="111"/>
  <c r="E61" i="111"/>
  <c r="F61" i="111" s="1"/>
  <c r="H61" i="111" s="1"/>
  <c r="J61" i="111" s="1"/>
  <c r="P60" i="111"/>
  <c r="O60" i="111"/>
  <c r="N60" i="111"/>
  <c r="M60" i="111"/>
  <c r="F60" i="111"/>
  <c r="H60" i="111" s="1"/>
  <c r="J60" i="111" s="1"/>
  <c r="P59" i="111"/>
  <c r="O59" i="111"/>
  <c r="N59" i="111"/>
  <c r="M59" i="111"/>
  <c r="F59" i="111"/>
  <c r="H59" i="111" s="1"/>
  <c r="J59" i="111" s="1"/>
  <c r="P58" i="111"/>
  <c r="O58" i="111"/>
  <c r="N58" i="111"/>
  <c r="M58" i="111"/>
  <c r="F58" i="111"/>
  <c r="H58" i="111" s="1"/>
  <c r="J58" i="111" s="1"/>
  <c r="P57" i="111"/>
  <c r="O57" i="111"/>
  <c r="N57" i="111"/>
  <c r="M57" i="111"/>
  <c r="F57" i="111"/>
  <c r="H57" i="111" s="1"/>
  <c r="J57" i="111" s="1"/>
  <c r="P56" i="111"/>
  <c r="O56" i="111"/>
  <c r="N56" i="111"/>
  <c r="M56" i="111"/>
  <c r="F56" i="111"/>
  <c r="H56" i="111" s="1"/>
  <c r="J56" i="111" s="1"/>
  <c r="P55" i="111"/>
  <c r="O55" i="111"/>
  <c r="N55" i="111"/>
  <c r="M55" i="111"/>
  <c r="F55" i="111"/>
  <c r="H55" i="111" s="1"/>
  <c r="J55" i="111" s="1"/>
  <c r="P54" i="111"/>
  <c r="O54" i="111"/>
  <c r="M54" i="111"/>
  <c r="L54" i="111"/>
  <c r="F54" i="111"/>
  <c r="H54" i="111" s="1"/>
  <c r="J54" i="111" s="1"/>
  <c r="P53" i="111"/>
  <c r="O53" i="111"/>
  <c r="M53" i="111"/>
  <c r="L53" i="111"/>
  <c r="F53" i="111"/>
  <c r="H53" i="111" s="1"/>
  <c r="J53" i="111" s="1"/>
  <c r="P52" i="111"/>
  <c r="O52" i="111"/>
  <c r="M52" i="111"/>
  <c r="L52" i="111"/>
  <c r="F52" i="111"/>
  <c r="H52" i="111" s="1"/>
  <c r="J52" i="111" s="1"/>
  <c r="P51" i="111"/>
  <c r="O51" i="111"/>
  <c r="M51" i="111"/>
  <c r="L51" i="111"/>
  <c r="G51" i="111"/>
  <c r="E51" i="111"/>
  <c r="F51" i="111" s="1"/>
  <c r="H51" i="111" s="1"/>
  <c r="J51" i="111" s="1"/>
  <c r="P50" i="111"/>
  <c r="O50" i="111"/>
  <c r="M50" i="111"/>
  <c r="L50" i="111"/>
  <c r="E50" i="111"/>
  <c r="F50" i="111" s="1"/>
  <c r="H50" i="111" s="1"/>
  <c r="J50" i="111" s="1"/>
  <c r="P49" i="111"/>
  <c r="O49" i="111"/>
  <c r="M49" i="111"/>
  <c r="L49" i="111"/>
  <c r="G49" i="111"/>
  <c r="E49" i="111"/>
  <c r="F49" i="111" s="1"/>
  <c r="H49" i="111" s="1"/>
  <c r="J49" i="111" s="1"/>
  <c r="P48" i="111"/>
  <c r="O48" i="111"/>
  <c r="M48" i="111"/>
  <c r="L48" i="111"/>
  <c r="G48" i="111"/>
  <c r="E48" i="111"/>
  <c r="F48" i="111" s="1"/>
  <c r="H48" i="111" s="1"/>
  <c r="J48" i="111" s="1"/>
  <c r="P47" i="111"/>
  <c r="O47" i="111"/>
  <c r="M47" i="111"/>
  <c r="L47" i="111"/>
  <c r="E47" i="111"/>
  <c r="F47" i="111" s="1"/>
  <c r="H47" i="111" s="1"/>
  <c r="J47" i="111" s="1"/>
  <c r="P46" i="111"/>
  <c r="O46" i="111"/>
  <c r="M46" i="111"/>
  <c r="L46" i="111"/>
  <c r="F46" i="111"/>
  <c r="H46" i="111" s="1"/>
  <c r="J46" i="111" s="1"/>
  <c r="E46" i="111"/>
  <c r="P45" i="111"/>
  <c r="O45" i="111"/>
  <c r="M45" i="111"/>
  <c r="L45" i="111"/>
  <c r="E45" i="111"/>
  <c r="F45" i="111" s="1"/>
  <c r="H45" i="111" s="1"/>
  <c r="J45" i="111" s="1"/>
  <c r="P44" i="111"/>
  <c r="O44" i="111"/>
  <c r="M44" i="111"/>
  <c r="L44" i="111"/>
  <c r="E44" i="111"/>
  <c r="F44" i="111" s="1"/>
  <c r="H44" i="111" s="1"/>
  <c r="J44" i="111" s="1"/>
  <c r="P43" i="111"/>
  <c r="O43" i="111"/>
  <c r="M43" i="111"/>
  <c r="L43" i="111"/>
  <c r="E43" i="111"/>
  <c r="F43" i="111" s="1"/>
  <c r="H43" i="111" s="1"/>
  <c r="J43" i="111" s="1"/>
  <c r="P42" i="111"/>
  <c r="O42" i="111"/>
  <c r="M42" i="111"/>
  <c r="L42" i="111"/>
  <c r="E42" i="111"/>
  <c r="F42" i="111" s="1"/>
  <c r="H42" i="111" s="1"/>
  <c r="J42" i="111" s="1"/>
  <c r="P41" i="111"/>
  <c r="O41" i="111"/>
  <c r="M41" i="111"/>
  <c r="L41" i="111"/>
  <c r="E41" i="111"/>
  <c r="F41" i="111" s="1"/>
  <c r="H41" i="111" s="1"/>
  <c r="J41" i="111" s="1"/>
  <c r="P40" i="111"/>
  <c r="O40" i="111"/>
  <c r="M40" i="111"/>
  <c r="L40" i="111"/>
  <c r="E40" i="111"/>
  <c r="F40" i="111" s="1"/>
  <c r="H40" i="111" s="1"/>
  <c r="J40" i="111" s="1"/>
  <c r="P39" i="111"/>
  <c r="O39" i="111"/>
  <c r="M39" i="111"/>
  <c r="L39" i="111"/>
  <c r="E39" i="111"/>
  <c r="F39" i="111" s="1"/>
  <c r="H39" i="111" s="1"/>
  <c r="J39" i="111" s="1"/>
  <c r="P38" i="111"/>
  <c r="O38" i="111"/>
  <c r="M38" i="111"/>
  <c r="L38" i="111"/>
  <c r="E38" i="111"/>
  <c r="F38" i="111" s="1"/>
  <c r="H38" i="111" s="1"/>
  <c r="J38" i="111" s="1"/>
  <c r="P37" i="111"/>
  <c r="O37" i="111"/>
  <c r="M37" i="111"/>
  <c r="L37" i="111"/>
  <c r="D37" i="111"/>
  <c r="F37" i="111" s="1"/>
  <c r="H37" i="111" s="1"/>
  <c r="J37" i="111" s="1"/>
  <c r="O36" i="111"/>
  <c r="N36" i="111"/>
  <c r="M36" i="111"/>
  <c r="L36" i="111"/>
  <c r="E36" i="111"/>
  <c r="F36" i="111" s="1"/>
  <c r="H36" i="111" s="1"/>
  <c r="J36" i="111" s="1"/>
  <c r="O35" i="111"/>
  <c r="N35" i="111"/>
  <c r="M35" i="111"/>
  <c r="L35" i="111"/>
  <c r="F35" i="111"/>
  <c r="H35" i="111" s="1"/>
  <c r="J35" i="111" s="1"/>
  <c r="E35" i="111"/>
  <c r="O34" i="111"/>
  <c r="N34" i="111"/>
  <c r="M34" i="111"/>
  <c r="L34" i="111"/>
  <c r="E34" i="111"/>
  <c r="F34" i="111" s="1"/>
  <c r="H34" i="111" s="1"/>
  <c r="J34" i="111" s="1"/>
  <c r="O33" i="111"/>
  <c r="N33" i="111"/>
  <c r="M33" i="111"/>
  <c r="L33" i="111"/>
  <c r="E33" i="111"/>
  <c r="F33" i="111" s="1"/>
  <c r="H33" i="111" s="1"/>
  <c r="J33" i="111" s="1"/>
  <c r="O32" i="111"/>
  <c r="N32" i="111"/>
  <c r="M32" i="111"/>
  <c r="L32" i="111"/>
  <c r="E32" i="111"/>
  <c r="F32" i="111" s="1"/>
  <c r="H32" i="111" s="1"/>
  <c r="J32" i="111" s="1"/>
  <c r="O31" i="111"/>
  <c r="N31" i="111"/>
  <c r="M31" i="111"/>
  <c r="L31" i="111"/>
  <c r="E31" i="111"/>
  <c r="F31" i="111" s="1"/>
  <c r="H31" i="111" s="1"/>
  <c r="J31" i="111" s="1"/>
  <c r="O30" i="111"/>
  <c r="N30" i="111"/>
  <c r="M30" i="111"/>
  <c r="L30" i="111"/>
  <c r="F30" i="111"/>
  <c r="H30" i="111" s="1"/>
  <c r="J30" i="111" s="1"/>
  <c r="E30" i="111"/>
  <c r="O29" i="111"/>
  <c r="N29" i="111"/>
  <c r="M29" i="111"/>
  <c r="L29" i="111"/>
  <c r="E29" i="111"/>
  <c r="F29" i="111" s="1"/>
  <c r="H29" i="111" s="1"/>
  <c r="J29" i="111" s="1"/>
  <c r="O28" i="111"/>
  <c r="N28" i="111"/>
  <c r="M28" i="111"/>
  <c r="L28" i="111"/>
  <c r="E28" i="111"/>
  <c r="F28" i="111" s="1"/>
  <c r="H28" i="111" s="1"/>
  <c r="J28" i="111" s="1"/>
  <c r="O27" i="111"/>
  <c r="N27" i="111"/>
  <c r="M27" i="111"/>
  <c r="L27" i="111"/>
  <c r="E27" i="111"/>
  <c r="F27" i="111" s="1"/>
  <c r="H27" i="111" s="1"/>
  <c r="J27" i="111" s="1"/>
  <c r="O26" i="111"/>
  <c r="N26" i="111"/>
  <c r="M26" i="111"/>
  <c r="L26" i="111"/>
  <c r="F26" i="111"/>
  <c r="H26" i="111" s="1"/>
  <c r="J26" i="111" s="1"/>
  <c r="E26" i="111"/>
  <c r="O25" i="111"/>
  <c r="N25" i="111"/>
  <c r="M25" i="111"/>
  <c r="L25" i="111"/>
  <c r="E25" i="111"/>
  <c r="F25" i="111" s="1"/>
  <c r="H25" i="111" s="1"/>
  <c r="J25" i="111" s="1"/>
  <c r="O24" i="111"/>
  <c r="N24" i="111"/>
  <c r="M24" i="111"/>
  <c r="L24" i="111"/>
  <c r="E24" i="111"/>
  <c r="F24" i="111" s="1"/>
  <c r="H24" i="111" s="1"/>
  <c r="J24" i="111" s="1"/>
  <c r="P22" i="111"/>
  <c r="O22" i="111"/>
  <c r="M22" i="111"/>
  <c r="L22" i="111"/>
  <c r="E22" i="111"/>
  <c r="F22" i="111" s="1"/>
  <c r="H22" i="111" s="1"/>
  <c r="J22" i="111" s="1"/>
  <c r="P21" i="111"/>
  <c r="O21" i="111"/>
  <c r="N21" i="111"/>
  <c r="L21" i="111"/>
  <c r="E21" i="111"/>
  <c r="F21" i="111" s="1"/>
  <c r="H21" i="111" s="1"/>
  <c r="J21" i="111" s="1"/>
  <c r="P20" i="111"/>
  <c r="O20" i="111"/>
  <c r="N20" i="111"/>
  <c r="M20" i="111"/>
  <c r="E20" i="111"/>
  <c r="F20" i="111" s="1"/>
  <c r="H20" i="111" s="1"/>
  <c r="J20" i="111" s="1"/>
  <c r="P19" i="111"/>
  <c r="O19" i="111"/>
  <c r="M19" i="111"/>
  <c r="L19" i="111"/>
  <c r="F19" i="111"/>
  <c r="H19" i="111" s="1"/>
  <c r="J19" i="111" s="1"/>
  <c r="E19" i="111"/>
  <c r="P18" i="111"/>
  <c r="O18" i="111"/>
  <c r="M18" i="111"/>
  <c r="L18" i="111"/>
  <c r="E18" i="111"/>
  <c r="F18" i="111" s="1"/>
  <c r="H18" i="111" s="1"/>
  <c r="J18" i="111" s="1"/>
  <c r="P17" i="111"/>
  <c r="O17" i="111"/>
  <c r="M17" i="111"/>
  <c r="L17" i="111"/>
  <c r="E17" i="111"/>
  <c r="F17" i="111" s="1"/>
  <c r="H17" i="111" s="1"/>
  <c r="J17" i="111" s="1"/>
  <c r="P16" i="111"/>
  <c r="O16" i="111"/>
  <c r="M16" i="111"/>
  <c r="L16" i="111"/>
  <c r="E16" i="111"/>
  <c r="F16" i="111" s="1"/>
  <c r="H16" i="111" s="1"/>
  <c r="J16" i="111" s="1"/>
  <c r="P15" i="111"/>
  <c r="O15" i="111"/>
  <c r="M15" i="111"/>
  <c r="L15" i="111"/>
  <c r="E15" i="111"/>
  <c r="F15" i="111" s="1"/>
  <c r="H15" i="111" s="1"/>
  <c r="J15" i="111" s="1"/>
  <c r="P14" i="111"/>
  <c r="O14" i="111"/>
  <c r="N14" i="111"/>
  <c r="M14" i="111"/>
  <c r="E14" i="111"/>
  <c r="F14" i="111" s="1"/>
  <c r="H14" i="111" s="1"/>
  <c r="J14" i="111" s="1"/>
  <c r="P13" i="111"/>
  <c r="O13" i="111"/>
  <c r="M13" i="111"/>
  <c r="L13" i="111"/>
  <c r="E13" i="111"/>
  <c r="F13" i="111" s="1"/>
  <c r="H13" i="111" s="1"/>
  <c r="J13" i="111" s="1"/>
  <c r="P12" i="111"/>
  <c r="O12" i="111"/>
  <c r="M12" i="111"/>
  <c r="L12" i="111"/>
  <c r="E12" i="111"/>
  <c r="F12" i="111" s="1"/>
  <c r="H12" i="111" s="1"/>
  <c r="J12" i="111" s="1"/>
  <c r="P11" i="111"/>
  <c r="O11" i="111"/>
  <c r="M11" i="111"/>
  <c r="L11" i="111"/>
  <c r="E11" i="111"/>
  <c r="F11" i="111" s="1"/>
  <c r="H11" i="111" s="1"/>
  <c r="J11" i="111" s="1"/>
  <c r="P10" i="111"/>
  <c r="O10" i="111"/>
  <c r="M10" i="111"/>
  <c r="L10" i="111"/>
  <c r="E10" i="111"/>
  <c r="F10" i="111" s="1"/>
  <c r="H10" i="111" s="1"/>
  <c r="J10" i="111" s="1"/>
  <c r="P9" i="111"/>
  <c r="O9" i="111"/>
  <c r="M9" i="111"/>
  <c r="L9" i="111"/>
  <c r="E9" i="111"/>
  <c r="F9" i="111" s="1"/>
  <c r="H9" i="111" s="1"/>
  <c r="J9" i="111" s="1"/>
  <c r="P8" i="111"/>
  <c r="N8" i="111"/>
  <c r="M8" i="111"/>
  <c r="L8" i="111"/>
  <c r="E8" i="111"/>
  <c r="F8" i="111" s="1"/>
  <c r="H8" i="111" s="1"/>
  <c r="J8" i="111" s="1"/>
  <c r="P7" i="111"/>
  <c r="N7" i="111"/>
  <c r="M7" i="111"/>
  <c r="L7" i="111"/>
  <c r="E7" i="111"/>
  <c r="F7" i="111" s="1"/>
  <c r="H7" i="111" s="1"/>
  <c r="J7" i="111" s="1"/>
  <c r="P6" i="111"/>
  <c r="O6" i="111"/>
  <c r="N6" i="111"/>
  <c r="M6" i="111"/>
  <c r="E6" i="111"/>
  <c r="F6" i="111" s="1"/>
  <c r="H6" i="111" s="1"/>
  <c r="J6" i="111" s="1"/>
  <c r="P5" i="111"/>
  <c r="O5" i="111"/>
  <c r="N5" i="111"/>
  <c r="M5" i="111"/>
  <c r="E5" i="111"/>
  <c r="F5" i="111" s="1"/>
  <c r="H5" i="111" s="1"/>
  <c r="J5" i="111" s="1"/>
  <c r="P64" i="26" l="1"/>
  <c r="N64" i="26"/>
  <c r="E65" i="26"/>
  <c r="R65" i="26" s="1"/>
  <c r="U147" i="112"/>
  <c r="P104" i="26"/>
  <c r="N104" i="26"/>
  <c r="O104" i="26"/>
  <c r="R104" i="26"/>
  <c r="Q104" i="26"/>
  <c r="E55" i="26"/>
  <c r="E56" i="26"/>
  <c r="N81" i="26"/>
  <c r="Q81" i="26"/>
  <c r="P81" i="26"/>
  <c r="R81" i="26"/>
  <c r="O81" i="26"/>
  <c r="M90" i="111"/>
  <c r="Q90" i="111" s="1"/>
  <c r="M144" i="111"/>
  <c r="Q144" i="111" s="1"/>
  <c r="M81" i="111"/>
  <c r="Q81" i="111" s="1"/>
  <c r="J123" i="111"/>
  <c r="Q63" i="111"/>
  <c r="J126" i="111"/>
  <c r="H98" i="111"/>
  <c r="J98" i="111" s="1"/>
  <c r="J129" i="111"/>
  <c r="N98" i="26"/>
  <c r="O98" i="26"/>
  <c r="P98" i="26"/>
  <c r="Q98" i="26"/>
  <c r="S72" i="26"/>
  <c r="S91" i="26"/>
  <c r="S92" i="26"/>
  <c r="S53" i="26"/>
  <c r="S70" i="26"/>
  <c r="S75" i="26"/>
  <c r="R204" i="26"/>
  <c r="O204" i="26"/>
  <c r="N204" i="26"/>
  <c r="M47" i="26"/>
  <c r="P36" i="111"/>
  <c r="Q36" i="111" s="1"/>
  <c r="N233" i="111"/>
  <c r="Q233" i="111" s="1"/>
  <c r="L74" i="111"/>
  <c r="Q74" i="111" s="1"/>
  <c r="M86" i="111"/>
  <c r="Q86" i="111" s="1"/>
  <c r="N105" i="111"/>
  <c r="Q105" i="111"/>
  <c r="N107" i="111"/>
  <c r="Q107" i="111" s="1"/>
  <c r="L115" i="111"/>
  <c r="Q115" i="111" s="1"/>
  <c r="M141" i="111"/>
  <c r="Q141" i="111" s="1"/>
  <c r="L173" i="111"/>
  <c r="Q173" i="111" s="1"/>
  <c r="L179" i="111"/>
  <c r="Q179" i="111" s="1"/>
  <c r="L187" i="111"/>
  <c r="Q187" i="111" s="1"/>
  <c r="L190" i="111"/>
  <c r="Q190" i="111" s="1"/>
  <c r="L193" i="111"/>
  <c r="Q193" i="111" s="1"/>
  <c r="L199" i="111"/>
  <c r="Q199" i="111" s="1"/>
  <c r="M206" i="111"/>
  <c r="Q206" i="111" s="1"/>
  <c r="N212" i="111"/>
  <c r="Q212" i="111" s="1"/>
  <c r="M218" i="111"/>
  <c r="Q218" i="111" s="1"/>
  <c r="N39" i="111"/>
  <c r="Q39" i="111" s="1"/>
  <c r="N154" i="111"/>
  <c r="Q154" i="111" s="1"/>
  <c r="M138" i="111"/>
  <c r="Q138" i="111"/>
  <c r="O236" i="111"/>
  <c r="O237" i="111" s="1"/>
  <c r="O3" i="111" s="1"/>
  <c r="E47" i="26" s="1"/>
  <c r="R47" i="26" s="1"/>
  <c r="P25" i="111"/>
  <c r="Q25" i="111" s="1"/>
  <c r="M89" i="111"/>
  <c r="Q89" i="111"/>
  <c r="N94" i="111"/>
  <c r="Q94" i="111" s="1"/>
  <c r="L120" i="111"/>
  <c r="Q120" i="111" s="1"/>
  <c r="L125" i="111"/>
  <c r="Q125" i="111" s="1"/>
  <c r="L132" i="111"/>
  <c r="Q132" i="111" s="1"/>
  <c r="N165" i="111"/>
  <c r="Q165" i="111"/>
  <c r="L176" i="111"/>
  <c r="Q176" i="111"/>
  <c r="L182" i="111"/>
  <c r="Q182" i="111" s="1"/>
  <c r="L196" i="111"/>
  <c r="Q196" i="111"/>
  <c r="L202" i="111"/>
  <c r="Q202" i="111" s="1"/>
  <c r="M209" i="111"/>
  <c r="Q209" i="111" s="1"/>
  <c r="N221" i="111"/>
  <c r="Q221" i="111" s="1"/>
  <c r="Q14" i="111"/>
  <c r="L14" i="111"/>
  <c r="N11" i="111"/>
  <c r="Q11" i="111"/>
  <c r="M91" i="111"/>
  <c r="Q91" i="111"/>
  <c r="P28" i="111"/>
  <c r="Q28" i="111" s="1"/>
  <c r="P34" i="111"/>
  <c r="Q34" i="111" s="1"/>
  <c r="N51" i="111"/>
  <c r="Q51" i="111"/>
  <c r="N54" i="111"/>
  <c r="Q54" i="111" s="1"/>
  <c r="L57" i="111"/>
  <c r="Q57" i="111" s="1"/>
  <c r="Q60" i="111"/>
  <c r="L60" i="111"/>
  <c r="N97" i="111"/>
  <c r="Q97" i="111" s="1"/>
  <c r="N110" i="111"/>
  <c r="Q110" i="111" s="1"/>
  <c r="L130" i="111"/>
  <c r="Q130" i="111" s="1"/>
  <c r="N149" i="111"/>
  <c r="Q149" i="111" s="1"/>
  <c r="N45" i="111"/>
  <c r="Q45" i="111" s="1"/>
  <c r="L65" i="111"/>
  <c r="Q65" i="111" s="1"/>
  <c r="N37" i="111"/>
  <c r="Q37" i="111" s="1"/>
  <c r="M136" i="111"/>
  <c r="Q136" i="111"/>
  <c r="N147" i="111"/>
  <c r="Q147" i="111" s="1"/>
  <c r="N152" i="111"/>
  <c r="Q152" i="111" s="1"/>
  <c r="N160" i="111"/>
  <c r="Q160" i="111" s="1"/>
  <c r="Q168" i="111"/>
  <c r="L168" i="111"/>
  <c r="M224" i="111"/>
  <c r="Q224" i="111" s="1"/>
  <c r="M227" i="111"/>
  <c r="Q227" i="111" s="1"/>
  <c r="L234" i="111"/>
  <c r="Q234" i="111" s="1"/>
  <c r="O8" i="111"/>
  <c r="Q8" i="111" s="1"/>
  <c r="N112" i="111"/>
  <c r="Q112" i="111" s="1"/>
  <c r="N15" i="111"/>
  <c r="Q15" i="111" s="1"/>
  <c r="N40" i="111"/>
  <c r="Q40" i="111" s="1"/>
  <c r="N46" i="111"/>
  <c r="Q46" i="111" s="1"/>
  <c r="L66" i="111"/>
  <c r="Q66" i="111" s="1"/>
  <c r="L69" i="111"/>
  <c r="Q69" i="111" s="1"/>
  <c r="N113" i="111"/>
  <c r="Q113" i="111" s="1"/>
  <c r="L123" i="111"/>
  <c r="Q123" i="111" s="1"/>
  <c r="N155" i="111"/>
  <c r="Q155" i="111" s="1"/>
  <c r="L171" i="111"/>
  <c r="Q171" i="111" s="1"/>
  <c r="L185" i="111"/>
  <c r="Q185" i="111" s="1"/>
  <c r="N231" i="111"/>
  <c r="Q231" i="111" s="1"/>
  <c r="P30" i="111"/>
  <c r="Q30" i="111" s="1"/>
  <c r="N53" i="111"/>
  <c r="Q53" i="111" s="1"/>
  <c r="L5" i="111"/>
  <c r="Q5" i="111" s="1"/>
  <c r="L170" i="111"/>
  <c r="Q170" i="111" s="1"/>
  <c r="M21" i="111"/>
  <c r="Q21" i="111" s="1"/>
  <c r="L72" i="111"/>
  <c r="Q72" i="111" s="1"/>
  <c r="L75" i="111"/>
  <c r="Q75" i="111" s="1"/>
  <c r="N92" i="111"/>
  <c r="Q92" i="111" s="1"/>
  <c r="N100" i="111"/>
  <c r="Q100" i="111" s="1"/>
  <c r="N103" i="111"/>
  <c r="Q103" i="111" s="1"/>
  <c r="L118" i="111"/>
  <c r="Q118" i="111" s="1"/>
  <c r="M139" i="111"/>
  <c r="Q139" i="111" s="1"/>
  <c r="L174" i="111"/>
  <c r="Q174" i="111"/>
  <c r="L180" i="111"/>
  <c r="Q180" i="111" s="1"/>
  <c r="L188" i="111"/>
  <c r="Q188" i="111" s="1"/>
  <c r="L191" i="111"/>
  <c r="Q191" i="111"/>
  <c r="M207" i="111"/>
  <c r="Q207" i="111" s="1"/>
  <c r="N213" i="111"/>
  <c r="Q213" i="111" s="1"/>
  <c r="L219" i="111"/>
  <c r="Q219" i="111" s="1"/>
  <c r="P33" i="111"/>
  <c r="Q33" i="111" s="1"/>
  <c r="L127" i="111"/>
  <c r="Q127" i="111"/>
  <c r="N43" i="111"/>
  <c r="Q43" i="111" s="1"/>
  <c r="N49" i="111"/>
  <c r="Q49" i="111" s="1"/>
  <c r="M84" i="111"/>
  <c r="Q84" i="111" s="1"/>
  <c r="N108" i="111"/>
  <c r="Q108" i="111" s="1"/>
  <c r="Q142" i="111"/>
  <c r="M142" i="111"/>
  <c r="N158" i="111"/>
  <c r="Q158" i="111" s="1"/>
  <c r="N163" i="111"/>
  <c r="Q163" i="111" s="1"/>
  <c r="L177" i="111"/>
  <c r="Q177" i="111" s="1"/>
  <c r="L194" i="111"/>
  <c r="Q194" i="111"/>
  <c r="Q197" i="111"/>
  <c r="L197" i="111"/>
  <c r="L200" i="111"/>
  <c r="Q200" i="111" s="1"/>
  <c r="L203" i="111"/>
  <c r="Q203" i="111"/>
  <c r="M210" i="111"/>
  <c r="Q210" i="111" s="1"/>
  <c r="N216" i="111"/>
  <c r="Q216" i="111" s="1"/>
  <c r="N96" i="111"/>
  <c r="Q96" i="111" s="1"/>
  <c r="N223" i="111"/>
  <c r="Q223" i="111" s="1"/>
  <c r="M135" i="111"/>
  <c r="Q135" i="111" s="1"/>
  <c r="L184" i="111"/>
  <c r="Q184" i="111" s="1"/>
  <c r="N99" i="111"/>
  <c r="Q99" i="111" s="1"/>
  <c r="N16" i="111"/>
  <c r="Q16" i="111" s="1"/>
  <c r="N22" i="111"/>
  <c r="Q22" i="111" s="1"/>
  <c r="P26" i="111"/>
  <c r="Q26" i="111" s="1"/>
  <c r="P29" i="111"/>
  <c r="Q29" i="111" s="1"/>
  <c r="L55" i="111"/>
  <c r="Q55" i="111" s="1"/>
  <c r="L58" i="111"/>
  <c r="Q58" i="111" s="1"/>
  <c r="L61" i="111"/>
  <c r="Q61" i="111" s="1"/>
  <c r="L116" i="111"/>
  <c r="Q116" i="111" s="1"/>
  <c r="L121" i="111"/>
  <c r="Q121" i="111"/>
  <c r="L126" i="111"/>
  <c r="Q126" i="111" s="1"/>
  <c r="N150" i="111"/>
  <c r="Q150" i="111" s="1"/>
  <c r="N166" i="111"/>
  <c r="Q166" i="111" s="1"/>
  <c r="Q183" i="111"/>
  <c r="L183" i="111"/>
  <c r="L20" i="111"/>
  <c r="Q20" i="111" s="1"/>
  <c r="Q79" i="111"/>
  <c r="L79" i="111"/>
  <c r="L122" i="111"/>
  <c r="Q122" i="111" s="1"/>
  <c r="N162" i="111"/>
  <c r="Q162" i="111"/>
  <c r="N18" i="111"/>
  <c r="Q18" i="111" s="1"/>
  <c r="N10" i="111"/>
  <c r="Q10" i="111" s="1"/>
  <c r="P35" i="111"/>
  <c r="Q35" i="111" s="1"/>
  <c r="N38" i="111"/>
  <c r="Q38" i="111" s="1"/>
  <c r="N41" i="111"/>
  <c r="Q41" i="111" s="1"/>
  <c r="N44" i="111"/>
  <c r="Q44" i="111" s="1"/>
  <c r="N52" i="111"/>
  <c r="Q52" i="111" s="1"/>
  <c r="L78" i="111"/>
  <c r="Q78" i="111" s="1"/>
  <c r="N98" i="111"/>
  <c r="Q98" i="111" s="1"/>
  <c r="N106" i="111"/>
  <c r="Q106" i="111" s="1"/>
  <c r="N111" i="111"/>
  <c r="Q111" i="111"/>
  <c r="M225" i="111"/>
  <c r="Q225" i="111" s="1"/>
  <c r="L228" i="111"/>
  <c r="Q228" i="111" s="1"/>
  <c r="L235" i="111"/>
  <c r="Q235" i="111" s="1"/>
  <c r="N48" i="111"/>
  <c r="Q48" i="111" s="1"/>
  <c r="N9" i="111"/>
  <c r="O7" i="111"/>
  <c r="Q7" i="111" s="1"/>
  <c r="L67" i="111"/>
  <c r="Q67" i="111"/>
  <c r="M137" i="111"/>
  <c r="Q137" i="111" s="1"/>
  <c r="M145" i="111"/>
  <c r="Q145" i="111"/>
  <c r="N148" i="111"/>
  <c r="Q148" i="111" s="1"/>
  <c r="N153" i="111"/>
  <c r="Q153" i="111" s="1"/>
  <c r="N156" i="111"/>
  <c r="Q156" i="111"/>
  <c r="N161" i="111"/>
  <c r="Q161" i="111" s="1"/>
  <c r="L169" i="111"/>
  <c r="Q169" i="111"/>
  <c r="N232" i="111"/>
  <c r="Q232" i="111" s="1"/>
  <c r="N42" i="111"/>
  <c r="Q42" i="111" s="1"/>
  <c r="N12" i="111"/>
  <c r="Q12" i="111" s="1"/>
  <c r="N19" i="111"/>
  <c r="Q19" i="111" s="1"/>
  <c r="M82" i="111"/>
  <c r="Q82" i="111"/>
  <c r="Q101" i="111"/>
  <c r="N101" i="111"/>
  <c r="N104" i="111"/>
  <c r="Q104" i="111" s="1"/>
  <c r="L114" i="111"/>
  <c r="Q114" i="111" s="1"/>
  <c r="L124" i="111"/>
  <c r="Q124" i="111" s="1"/>
  <c r="L172" i="111"/>
  <c r="Q172" i="111"/>
  <c r="L186" i="111"/>
  <c r="Q186" i="111" s="1"/>
  <c r="L192" i="111"/>
  <c r="Q192" i="111" s="1"/>
  <c r="N214" i="111"/>
  <c r="Q214" i="111" s="1"/>
  <c r="N50" i="111"/>
  <c r="Q50" i="111" s="1"/>
  <c r="L167" i="111"/>
  <c r="Q167" i="111"/>
  <c r="Q226" i="111"/>
  <c r="L226" i="111"/>
  <c r="N157" i="111"/>
  <c r="Q157" i="111" s="1"/>
  <c r="N102" i="111"/>
  <c r="Q102" i="111" s="1"/>
  <c r="L71" i="111"/>
  <c r="Q71" i="111" s="1"/>
  <c r="L6" i="111"/>
  <c r="Q6" i="111" s="1"/>
  <c r="P32" i="111"/>
  <c r="Q32" i="111" s="1"/>
  <c r="L70" i="111"/>
  <c r="Q70" i="111"/>
  <c r="N47" i="111"/>
  <c r="Q47" i="111"/>
  <c r="L64" i="111"/>
  <c r="Q64" i="111" s="1"/>
  <c r="L73" i="111"/>
  <c r="Q73" i="111" s="1"/>
  <c r="L76" i="111"/>
  <c r="Q76" i="111"/>
  <c r="M85" i="111"/>
  <c r="Q85" i="111" s="1"/>
  <c r="L119" i="111"/>
  <c r="Q119" i="111" s="1"/>
  <c r="M140" i="111"/>
  <c r="Q140" i="111" s="1"/>
  <c r="L178" i="111"/>
  <c r="Q178" i="111" s="1"/>
  <c r="L181" i="111"/>
  <c r="Q181" i="111" s="1"/>
  <c r="L189" i="111"/>
  <c r="Q189" i="111" s="1"/>
  <c r="L198" i="111"/>
  <c r="Q198" i="111"/>
  <c r="L204" i="111"/>
  <c r="Q204" i="111" s="1"/>
  <c r="N211" i="111"/>
  <c r="Q211" i="111"/>
  <c r="M217" i="111"/>
  <c r="Q217" i="111" s="1"/>
  <c r="N220" i="111"/>
  <c r="Q220" i="111"/>
  <c r="N17" i="111"/>
  <c r="Q17" i="111" s="1"/>
  <c r="L59" i="111"/>
  <c r="Q59" i="111" s="1"/>
  <c r="L68" i="111"/>
  <c r="Q68" i="111" s="1"/>
  <c r="M146" i="111"/>
  <c r="Q146" i="111" s="1"/>
  <c r="P31" i="111"/>
  <c r="Q31" i="111"/>
  <c r="N13" i="111"/>
  <c r="Q13" i="111" s="1"/>
  <c r="P24" i="111"/>
  <c r="Q24" i="111" s="1"/>
  <c r="P27" i="111"/>
  <c r="Q27" i="111" s="1"/>
  <c r="L56" i="111"/>
  <c r="Q56" i="111" s="1"/>
  <c r="L62" i="111"/>
  <c r="Q62" i="111" s="1"/>
  <c r="M88" i="111"/>
  <c r="Q88" i="111" s="1"/>
  <c r="N93" i="111"/>
  <c r="Q93" i="111" s="1"/>
  <c r="N109" i="111"/>
  <c r="Q109" i="111" s="1"/>
  <c r="L129" i="111"/>
  <c r="Q129" i="111" s="1"/>
  <c r="M143" i="111"/>
  <c r="Q143" i="111" s="1"/>
  <c r="N151" i="111"/>
  <c r="Q151" i="111" s="1"/>
  <c r="N159" i="111"/>
  <c r="Q159" i="111"/>
  <c r="N164" i="111"/>
  <c r="Q164" i="111" s="1"/>
  <c r="L195" i="111"/>
  <c r="Q195" i="111" s="1"/>
  <c r="L201" i="111"/>
  <c r="Q201" i="111"/>
  <c r="L229" i="111"/>
  <c r="Q229" i="111" s="1"/>
  <c r="M208" i="111"/>
  <c r="Q208" i="111" s="1"/>
  <c r="N222" i="111"/>
  <c r="Q222" i="111" s="1"/>
  <c r="N215" i="111"/>
  <c r="Q215" i="111" s="1"/>
  <c r="L117" i="111"/>
  <c r="Q117" i="111" s="1"/>
  <c r="L128" i="111"/>
  <c r="Q128" i="111" s="1"/>
  <c r="L131" i="111"/>
  <c r="Q131" i="111" s="1"/>
  <c r="L175" i="111"/>
  <c r="Q175" i="111" s="1"/>
  <c r="M83" i="111"/>
  <c r="Q83" i="111" s="1"/>
  <c r="N95" i="111"/>
  <c r="Q95" i="111" s="1"/>
  <c r="Q77" i="111"/>
  <c r="M87" i="111"/>
  <c r="Q87" i="111" s="1"/>
  <c r="M134" i="111"/>
  <c r="Q134" i="111" s="1"/>
  <c r="S104" i="26" l="1"/>
  <c r="S81" i="26"/>
  <c r="N236" i="111"/>
  <c r="N237" i="111" s="1"/>
  <c r="N3" i="111" s="1"/>
  <c r="E44" i="26" s="1"/>
  <c r="Q47" i="26"/>
  <c r="P47" i="26"/>
  <c r="O47" i="26"/>
  <c r="N47" i="26"/>
  <c r="S98" i="26"/>
  <c r="M236" i="111"/>
  <c r="M237" i="111" s="1"/>
  <c r="M3" i="111" s="1"/>
  <c r="E43" i="26" s="1"/>
  <c r="Q9" i="111"/>
  <c r="P236" i="111"/>
  <c r="P237" i="111" s="1"/>
  <c r="P3" i="111" s="1"/>
  <c r="E45" i="26" s="1"/>
  <c r="L236" i="111"/>
  <c r="S47" i="26" l="1"/>
  <c r="L237" i="111"/>
  <c r="L3" i="111" s="1"/>
  <c r="Q236" i="111"/>
  <c r="Q3" i="111" l="1"/>
  <c r="E42" i="26"/>
  <c r="F143" i="76"/>
  <c r="E141" i="76"/>
  <c r="G141" i="76" s="1"/>
  <c r="E140" i="76"/>
  <c r="G140" i="76" s="1"/>
  <c r="E139" i="76"/>
  <c r="G139" i="76" s="1"/>
  <c r="H160" i="76"/>
  <c r="I153" i="76"/>
  <c r="I154" i="76"/>
  <c r="I155" i="76"/>
  <c r="I156" i="76"/>
  <c r="I157" i="76"/>
  <c r="I159" i="76"/>
  <c r="I152" i="76"/>
  <c r="E137" i="76"/>
  <c r="E136" i="76"/>
  <c r="G136" i="76" s="1"/>
  <c r="G147" i="76"/>
  <c r="G146" i="76"/>
  <c r="T37" i="75"/>
  <c r="Q12" i="33"/>
  <c r="R12" i="33" s="1"/>
  <c r="E39" i="26" s="1"/>
  <c r="H498" i="87"/>
  <c r="I498" i="87" s="1"/>
  <c r="F36" i="26" s="1"/>
  <c r="D499" i="87"/>
  <c r="H499" i="87" s="1"/>
  <c r="I499" i="87" s="1"/>
  <c r="D498" i="87"/>
  <c r="G70" i="75"/>
  <c r="E71" i="75"/>
  <c r="G71" i="75" s="1"/>
  <c r="E72" i="75"/>
  <c r="G72" i="75" s="1"/>
  <c r="E73" i="75"/>
  <c r="G73" i="75" s="1"/>
  <c r="E74" i="75"/>
  <c r="G74" i="75" s="1"/>
  <c r="G75" i="75"/>
  <c r="E76" i="75"/>
  <c r="G76" i="75" s="1"/>
  <c r="E77" i="75"/>
  <c r="G77" i="75"/>
  <c r="E78" i="75"/>
  <c r="G78" i="75" s="1"/>
  <c r="E79" i="75"/>
  <c r="G79" i="75"/>
  <c r="E80" i="75"/>
  <c r="G80" i="75" s="1"/>
  <c r="E81" i="75"/>
  <c r="G81" i="75" s="1"/>
  <c r="E82" i="75"/>
  <c r="G82" i="75"/>
  <c r="E83" i="75"/>
  <c r="G83" i="75" s="1"/>
  <c r="E84" i="75"/>
  <c r="G84" i="75" s="1"/>
  <c r="E85" i="75"/>
  <c r="G85" i="75"/>
  <c r="E88" i="75"/>
  <c r="G88" i="75" s="1"/>
  <c r="E89" i="75"/>
  <c r="G89" i="75" s="1"/>
  <c r="E91" i="75" l="1"/>
  <c r="E93" i="75" s="1"/>
  <c r="E24" i="26" s="1"/>
  <c r="G24" i="26" s="1"/>
  <c r="E142" i="76"/>
  <c r="E143" i="76"/>
  <c r="H87" i="75"/>
  <c r="E22" i="26" s="1"/>
  <c r="N36" i="26"/>
  <c r="S36" i="26" s="1"/>
  <c r="H36" i="26"/>
  <c r="M36" i="26" s="1"/>
  <c r="O39" i="26"/>
  <c r="P39" i="26"/>
  <c r="N39" i="26"/>
  <c r="Q39" i="26"/>
  <c r="R39" i="26"/>
  <c r="H69" i="75"/>
  <c r="E20" i="26" s="1"/>
  <c r="S39" i="26" l="1"/>
  <c r="G137" i="76"/>
  <c r="E138" i="76"/>
  <c r="G138" i="76" s="1"/>
  <c r="P34" i="75"/>
  <c r="M4" i="75"/>
  <c r="M5" i="75"/>
  <c r="M6" i="75"/>
  <c r="O6" i="75" s="1"/>
  <c r="M7" i="75"/>
  <c r="M14" i="75"/>
  <c r="M13" i="75"/>
  <c r="M12" i="75"/>
  <c r="M11" i="75"/>
  <c r="M10" i="75"/>
  <c r="M9" i="75"/>
  <c r="M8" i="75"/>
  <c r="D15" i="75"/>
  <c r="R24" i="75" s="1"/>
  <c r="S24" i="75" s="1"/>
  <c r="T24" i="75" s="1"/>
  <c r="E15" i="75"/>
  <c r="R25" i="75" s="1"/>
  <c r="S25" i="75" s="1"/>
  <c r="T25" i="75" s="1"/>
  <c r="F15" i="75"/>
  <c r="R26" i="75" s="1"/>
  <c r="S26" i="75" s="1"/>
  <c r="T26" i="75" s="1"/>
  <c r="G15" i="75"/>
  <c r="R27" i="75" s="1"/>
  <c r="S27" i="75" s="1"/>
  <c r="T27" i="75" s="1"/>
  <c r="H15" i="75"/>
  <c r="R28" i="75" s="1"/>
  <c r="S28" i="75" s="1"/>
  <c r="T28" i="75" s="1"/>
  <c r="I15" i="75"/>
  <c r="R30" i="75" s="1"/>
  <c r="S30" i="75" s="1"/>
  <c r="T30" i="75" s="1"/>
  <c r="J15" i="75"/>
  <c r="R31" i="75" s="1"/>
  <c r="S31" i="75" s="1"/>
  <c r="T31" i="75" s="1"/>
  <c r="K15" i="75"/>
  <c r="R32" i="75" s="1"/>
  <c r="S32" i="75" s="1"/>
  <c r="L15" i="75"/>
  <c r="R33" i="75" s="1"/>
  <c r="S33" i="75" s="1"/>
  <c r="C15" i="75"/>
  <c r="E33" i="26" l="1"/>
  <c r="Q33" i="26" s="1"/>
  <c r="O11" i="75"/>
  <c r="E34" i="26"/>
  <c r="O34" i="26" s="1"/>
  <c r="O12" i="75"/>
  <c r="E31" i="26"/>
  <c r="O31" i="26" s="1"/>
  <c r="O13" i="75"/>
  <c r="E35" i="26"/>
  <c r="Q35" i="26" s="1"/>
  <c r="O14" i="75"/>
  <c r="E25" i="26"/>
  <c r="O25" i="26" s="1"/>
  <c r="O5" i="75"/>
  <c r="L27" i="75"/>
  <c r="E28" i="26"/>
  <c r="O28" i="26" s="1"/>
  <c r="O4" i="75"/>
  <c r="E30" i="26"/>
  <c r="Q30" i="26" s="1"/>
  <c r="O9" i="75"/>
  <c r="E26" i="26"/>
  <c r="Q26" i="26" s="1"/>
  <c r="O7" i="75"/>
  <c r="E29" i="26"/>
  <c r="Q29" i="26" s="1"/>
  <c r="O8" i="75"/>
  <c r="E32" i="26"/>
  <c r="O32" i="26" s="1"/>
  <c r="O10" i="75"/>
  <c r="E38" i="26"/>
  <c r="T39" i="75"/>
  <c r="E27" i="26"/>
  <c r="O27" i="26" s="1"/>
  <c r="R23" i="75"/>
  <c r="S23" i="75" s="1"/>
  <c r="T23" i="75" s="1"/>
  <c r="M15" i="75"/>
  <c r="O24" i="26"/>
  <c r="F24" i="26"/>
  <c r="R22" i="26"/>
  <c r="S27" i="11"/>
  <c r="S28" i="11"/>
  <c r="S29" i="11"/>
  <c r="S30" i="11"/>
  <c r="S35" i="11"/>
  <c r="S36" i="11"/>
  <c r="S37" i="11"/>
  <c r="S38" i="11"/>
  <c r="S39" i="11"/>
  <c r="S40" i="11"/>
  <c r="S41" i="11"/>
  <c r="K30" i="11"/>
  <c r="J30" i="11"/>
  <c r="K28" i="11"/>
  <c r="AD24" i="11"/>
  <c r="AE24" i="11" s="1"/>
  <c r="AF24" i="11" s="1"/>
  <c r="AD26" i="11"/>
  <c r="AE26" i="11" s="1"/>
  <c r="AF26" i="11" s="1"/>
  <c r="AD25" i="11"/>
  <c r="K27" i="11"/>
  <c r="K35" i="11"/>
  <c r="AB26" i="11"/>
  <c r="Z24" i="11"/>
  <c r="F40" i="11"/>
  <c r="J40" i="11" s="1"/>
  <c r="F24" i="11"/>
  <c r="J24" i="26"/>
  <c r="K24" i="26" s="1"/>
  <c r="H22" i="26"/>
  <c r="J22" i="26"/>
  <c r="K22" i="26" s="1"/>
  <c r="D73" i="87"/>
  <c r="D72" i="87"/>
  <c r="D71" i="87"/>
  <c r="D67" i="87"/>
  <c r="D66" i="87"/>
  <c r="H32" i="87"/>
  <c r="H33" i="87"/>
  <c r="H34" i="87"/>
  <c r="H35" i="87"/>
  <c r="H36" i="87"/>
  <c r="H31" i="87"/>
  <c r="E68" i="11"/>
  <c r="E66" i="11"/>
  <c r="E67" i="11" s="1"/>
  <c r="D66" i="11"/>
  <c r="C66" i="11"/>
  <c r="A66" i="11"/>
  <c r="D67" i="88"/>
  <c r="I18" i="26" s="1"/>
  <c r="P18" i="26" s="1"/>
  <c r="N18" i="26"/>
  <c r="O18" i="26"/>
  <c r="Q18" i="26"/>
  <c r="R18" i="26"/>
  <c r="H18" i="26"/>
  <c r="D44" i="87"/>
  <c r="D37" i="87"/>
  <c r="D16" i="87"/>
  <c r="D15" i="87"/>
  <c r="D14" i="87"/>
  <c r="D11" i="87"/>
  <c r="D12" i="87"/>
  <c r="D13" i="87"/>
  <c r="D10" i="87"/>
  <c r="D9" i="87"/>
  <c r="D6" i="87"/>
  <c r="D5" i="87"/>
  <c r="D4" i="87"/>
  <c r="J39" i="11"/>
  <c r="K39" i="11"/>
  <c r="K40" i="11"/>
  <c r="J41" i="11"/>
  <c r="K41" i="11"/>
  <c r="J42" i="11"/>
  <c r="K42" i="11"/>
  <c r="F34" i="11"/>
  <c r="F33" i="11"/>
  <c r="F32" i="11"/>
  <c r="E13" i="46"/>
  <c r="D15" i="46"/>
  <c r="E15" i="46" s="1"/>
  <c r="C15" i="46"/>
  <c r="C18" i="46" s="1"/>
  <c r="F12" i="46"/>
  <c r="Q34" i="26" l="1"/>
  <c r="O33" i="26"/>
  <c r="O30" i="26"/>
  <c r="O29" i="26"/>
  <c r="O26" i="26"/>
  <c r="R22" i="75"/>
  <c r="S22" i="75" s="1"/>
  <c r="T22" i="75" s="1"/>
  <c r="T34" i="75" s="1"/>
  <c r="T36" i="75" s="1"/>
  <c r="T38" i="75" s="1"/>
  <c r="T40" i="75" s="1"/>
  <c r="F38" i="26" s="1"/>
  <c r="N38" i="26" s="1"/>
  <c r="O35" i="26"/>
  <c r="Q32" i="26"/>
  <c r="O15" i="75"/>
  <c r="E222" i="26" s="1"/>
  <c r="Q25" i="26"/>
  <c r="L26" i="75"/>
  <c r="L29" i="75" s="1"/>
  <c r="E223" i="26" s="1"/>
  <c r="H37" i="87"/>
  <c r="P38" i="26"/>
  <c r="R38" i="26"/>
  <c r="Q38" i="26"/>
  <c r="O38" i="26"/>
  <c r="Q27" i="26"/>
  <c r="N22" i="26"/>
  <c r="O22" i="26"/>
  <c r="P22" i="26"/>
  <c r="M22" i="26"/>
  <c r="Q22" i="26"/>
  <c r="S18" i="26"/>
  <c r="Q24" i="26"/>
  <c r="V16" i="75" s="1"/>
  <c r="P24" i="26"/>
  <c r="K18" i="26"/>
  <c r="M18" i="26" s="1"/>
  <c r="H15" i="87"/>
  <c r="F15" i="46"/>
  <c r="D29" i="87"/>
  <c r="B27" i="75" s="1"/>
  <c r="D21" i="87"/>
  <c r="F26" i="11" s="1"/>
  <c r="F27" i="11" s="1"/>
  <c r="J27" i="11" s="1"/>
  <c r="D20" i="87"/>
  <c r="O13" i="33"/>
  <c r="O14" i="33"/>
  <c r="O15" i="33"/>
  <c r="O16" i="33"/>
  <c r="O18" i="33"/>
  <c r="Q155" i="89"/>
  <c r="R155" i="89" s="1"/>
  <c r="P157" i="89"/>
  <c r="Q157" i="89" s="1"/>
  <c r="R157" i="89" s="1"/>
  <c r="P156" i="89"/>
  <c r="Q156" i="89" s="1"/>
  <c r="R156" i="89" s="1"/>
  <c r="I14" i="89"/>
  <c r="C27" i="89"/>
  <c r="D27" i="89" s="1"/>
  <c r="H38" i="26" l="1"/>
  <c r="M38" i="26" s="1"/>
  <c r="R222" i="26"/>
  <c r="P222" i="26"/>
  <c r="O222" i="26"/>
  <c r="Q222" i="26"/>
  <c r="Q223" i="26"/>
  <c r="R223" i="26"/>
  <c r="O223" i="26"/>
  <c r="P223" i="26"/>
  <c r="S38" i="26"/>
  <c r="F219" i="11"/>
  <c r="F25" i="11"/>
  <c r="S22" i="26"/>
  <c r="R158" i="89"/>
  <c r="R159" i="89" s="1"/>
  <c r="P158" i="89"/>
  <c r="Q158" i="89"/>
  <c r="Q230" i="26" l="1"/>
  <c r="R230" i="26"/>
  <c r="O230" i="26"/>
  <c r="P230" i="26"/>
  <c r="AB167" i="26"/>
  <c r="AD167" i="26" s="1"/>
  <c r="AB168" i="26"/>
  <c r="AD168" i="26" s="1"/>
  <c r="AB166" i="26"/>
  <c r="AD166" i="26" s="1"/>
  <c r="AB165" i="26"/>
  <c r="Q176" i="26"/>
  <c r="O176" i="26"/>
  <c r="Q177" i="26"/>
  <c r="O177" i="26"/>
  <c r="I170" i="26" l="1"/>
  <c r="I180" i="26"/>
  <c r="F180" i="26" s="1"/>
  <c r="I172" i="26"/>
  <c r="F172" i="26" s="1"/>
  <c r="I171" i="26"/>
  <c r="I176" i="26"/>
  <c r="F176" i="26" s="1"/>
  <c r="N176" i="26" s="1"/>
  <c r="I175" i="26"/>
  <c r="F175" i="26" s="1"/>
  <c r="I178" i="26"/>
  <c r="F178" i="26" s="1"/>
  <c r="I177" i="26"/>
  <c r="I174" i="26"/>
  <c r="F174" i="26" s="1"/>
  <c r="P176" i="26"/>
  <c r="F171" i="26"/>
  <c r="AD165" i="26"/>
  <c r="AB169" i="26"/>
  <c r="F177" i="26" l="1"/>
  <c r="N177" i="26" s="1"/>
  <c r="P177" i="26"/>
  <c r="AD169" i="26"/>
  <c r="I168" i="26"/>
  <c r="F168" i="26" s="1"/>
  <c r="I165" i="26"/>
  <c r="F165" i="26" s="1"/>
  <c r="I167" i="26"/>
  <c r="F167" i="26" s="1"/>
  <c r="I166" i="26"/>
  <c r="F170" i="26"/>
  <c r="D493" i="87"/>
  <c r="P166" i="26" l="1"/>
  <c r="K166" i="26"/>
  <c r="F166" i="26"/>
  <c r="N166" i="26" l="1"/>
  <c r="H166" i="26"/>
  <c r="L166" i="26" l="1"/>
  <c r="R166" i="26" s="1"/>
  <c r="S166" i="26" s="1"/>
  <c r="D200" i="87"/>
  <c r="D199" i="87"/>
  <c r="D198" i="87"/>
  <c r="D197" i="87"/>
  <c r="D196" i="87"/>
  <c r="D390" i="87"/>
  <c r="D389" i="87"/>
  <c r="D388" i="87"/>
  <c r="D387" i="87"/>
  <c r="D386" i="87"/>
  <c r="D385" i="87"/>
  <c r="D384" i="87"/>
  <c r="D495" i="87"/>
  <c r="D494" i="87"/>
  <c r="D492" i="87"/>
  <c r="D491" i="87"/>
  <c r="D483" i="87"/>
  <c r="D489" i="87"/>
  <c r="M166" i="26" l="1"/>
  <c r="D477" i="87"/>
  <c r="D478" i="87"/>
  <c r="S133" i="11"/>
  <c r="S132" i="11"/>
  <c r="K133" i="11"/>
  <c r="J133" i="11"/>
  <c r="K132" i="11"/>
  <c r="G131" i="94"/>
  <c r="E131" i="11" s="1"/>
  <c r="E131" i="94"/>
  <c r="D130" i="11"/>
  <c r="C130" i="11"/>
  <c r="A130" i="11"/>
  <c r="E82" i="26" l="1"/>
  <c r="E130" i="11" s="1"/>
  <c r="K131" i="11"/>
  <c r="K130" i="11" s="1"/>
  <c r="S131" i="11"/>
  <c r="U130" i="11" s="1"/>
  <c r="D433" i="87"/>
  <c r="D432" i="87"/>
  <c r="D431" i="87"/>
  <c r="D430" i="87"/>
  <c r="D429" i="87"/>
  <c r="D428" i="87"/>
  <c r="D450" i="87"/>
  <c r="D451" i="87"/>
  <c r="D452" i="87"/>
  <c r="D453" i="87"/>
  <c r="D454" i="87"/>
  <c r="D455" i="87"/>
  <c r="D456" i="87"/>
  <c r="D457" i="87"/>
  <c r="D458" i="87"/>
  <c r="D459" i="87"/>
  <c r="D460" i="87"/>
  <c r="D449" i="87"/>
  <c r="D448" i="87"/>
  <c r="D421" i="87"/>
  <c r="D427" i="87"/>
  <c r="D426" i="87"/>
  <c r="D425" i="87"/>
  <c r="D424" i="87"/>
  <c r="I475" i="87"/>
  <c r="J475" i="87" s="1"/>
  <c r="I472" i="87"/>
  <c r="J472" i="87" s="1"/>
  <c r="I471" i="87"/>
  <c r="J471" i="87" s="1"/>
  <c r="I470" i="87"/>
  <c r="J470" i="87" s="1"/>
  <c r="I468" i="87"/>
  <c r="J468" i="87" s="1"/>
  <c r="I473" i="87"/>
  <c r="J473" i="87" s="1"/>
  <c r="I474" i="87"/>
  <c r="J474" i="87" s="1"/>
  <c r="D469" i="87"/>
  <c r="J469" i="87" s="1"/>
  <c r="I130" i="11" l="1"/>
  <c r="G82" i="26" s="1"/>
  <c r="O82" i="26" s="1"/>
  <c r="Q130" i="11"/>
  <c r="I82" i="26" s="1"/>
  <c r="P82" i="26" s="1"/>
  <c r="K8" i="102" l="1"/>
  <c r="G46" i="33" l="1"/>
  <c r="F139" i="26"/>
  <c r="F140" i="26"/>
  <c r="D58" i="88"/>
  <c r="D57" i="88"/>
  <c r="D56" i="88"/>
  <c r="D55" i="88"/>
  <c r="D54" i="88"/>
  <c r="D53" i="88"/>
  <c r="D52" i="88"/>
  <c r="D49" i="88"/>
  <c r="D46" i="88"/>
  <c r="D45" i="88"/>
  <c r="D44" i="88"/>
  <c r="D42" i="88"/>
  <c r="L179" i="11" s="1"/>
  <c r="D41" i="88"/>
  <c r="P125" i="99"/>
  <c r="E116" i="99"/>
  <c r="N118" i="99"/>
  <c r="N119" i="99"/>
  <c r="N120" i="99"/>
  <c r="N121" i="99"/>
  <c r="N122" i="99"/>
  <c r="N117" i="99"/>
  <c r="N116" i="99"/>
  <c r="E123" i="99"/>
  <c r="F123" i="99"/>
  <c r="G123" i="99" s="1"/>
  <c r="E117" i="99"/>
  <c r="E106" i="99"/>
  <c r="F97" i="99"/>
  <c r="G97" i="99" s="1"/>
  <c r="H97" i="99" s="1"/>
  <c r="F98" i="99"/>
  <c r="G98" i="99" s="1"/>
  <c r="F106" i="99"/>
  <c r="G106" i="99" s="1"/>
  <c r="F105" i="99"/>
  <c r="G105" i="99" s="1"/>
  <c r="H105" i="99" s="1"/>
  <c r="K112" i="99"/>
  <c r="M112" i="99" s="1"/>
  <c r="E179" i="11" s="1"/>
  <c r="F112" i="99"/>
  <c r="G112" i="99" s="1"/>
  <c r="F111" i="99"/>
  <c r="G111" i="99" s="1"/>
  <c r="L182" i="11" l="1"/>
  <c r="I140" i="26"/>
  <c r="I141" i="26"/>
  <c r="I139" i="26"/>
  <c r="L187" i="11"/>
  <c r="L178" i="11"/>
  <c r="L186" i="11"/>
  <c r="H106" i="99"/>
  <c r="H112" i="99"/>
  <c r="E120" i="99"/>
  <c r="E119" i="99"/>
  <c r="H123" i="99"/>
  <c r="H111" i="99"/>
  <c r="N123" i="99"/>
  <c r="N124" i="99" s="1"/>
  <c r="E182" i="11"/>
  <c r="E183" i="11" s="1"/>
  <c r="I148" i="26"/>
  <c r="I146" i="26"/>
  <c r="I159" i="26"/>
  <c r="I157" i="26"/>
  <c r="L183" i="11"/>
  <c r="E118" i="99"/>
  <c r="E178" i="11"/>
  <c r="K141" i="26" l="1"/>
  <c r="M141" i="26" s="1"/>
  <c r="P141" i="26"/>
  <c r="S141" i="26" s="1"/>
  <c r="K159" i="26"/>
  <c r="P159" i="26"/>
  <c r="K146" i="26"/>
  <c r="P146" i="26"/>
  <c r="P148" i="26"/>
  <c r="K148" i="26"/>
  <c r="D90" i="87"/>
  <c r="F110" i="99" s="1"/>
  <c r="G110" i="99" s="1"/>
  <c r="H110" i="99" s="1"/>
  <c r="D89" i="87"/>
  <c r="E101" i="99"/>
  <c r="E100" i="99"/>
  <c r="F96" i="99"/>
  <c r="G96" i="99" s="1"/>
  <c r="E96" i="99"/>
  <c r="F93" i="99"/>
  <c r="G93" i="99" s="1"/>
  <c r="F92" i="99"/>
  <c r="G92" i="99" s="1"/>
  <c r="E92" i="99"/>
  <c r="N96" i="99"/>
  <c r="N95" i="99"/>
  <c r="N94" i="99"/>
  <c r="N93" i="99"/>
  <c r="N92" i="99"/>
  <c r="N97" i="99" l="1"/>
  <c r="L159" i="26"/>
  <c r="R159" i="26" s="1"/>
  <c r="S159" i="26" s="1"/>
  <c r="E104" i="99"/>
  <c r="E103" i="99"/>
  <c r="E98" i="99"/>
  <c r="H98" i="99" s="1"/>
  <c r="H92" i="99"/>
  <c r="H96" i="99"/>
  <c r="E122" i="99"/>
  <c r="E102" i="99"/>
  <c r="M159" i="26" l="1"/>
  <c r="I145" i="26"/>
  <c r="P145" i="26" s="1"/>
  <c r="I142" i="26"/>
  <c r="N86" i="99"/>
  <c r="N88" i="99" s="1"/>
  <c r="M86" i="99"/>
  <c r="M88" i="99" s="1"/>
  <c r="L193" i="11"/>
  <c r="S193" i="11" s="1"/>
  <c r="L191" i="11"/>
  <c r="L190" i="11"/>
  <c r="L192" i="11"/>
  <c r="S192" i="11" s="1"/>
  <c r="L194" i="11"/>
  <c r="S194" i="11" s="1"/>
  <c r="L195" i="11"/>
  <c r="S195" i="11" s="1"/>
  <c r="D187" i="87"/>
  <c r="D186" i="87"/>
  <c r="F88" i="99"/>
  <c r="G88" i="99" s="1"/>
  <c r="H88" i="99" s="1"/>
  <c r="F87" i="99"/>
  <c r="G87" i="99" s="1"/>
  <c r="F86" i="99"/>
  <c r="G86" i="99" s="1"/>
  <c r="H86" i="99" s="1"/>
  <c r="F85" i="99"/>
  <c r="G85" i="99" s="1"/>
  <c r="H85" i="99" s="1"/>
  <c r="K193" i="11"/>
  <c r="J194" i="11"/>
  <c r="K194" i="11"/>
  <c r="J195" i="11"/>
  <c r="K195" i="11"/>
  <c r="J193" i="11"/>
  <c r="J192" i="11"/>
  <c r="K192" i="11"/>
  <c r="I147" i="26"/>
  <c r="M67" i="99"/>
  <c r="M71" i="99"/>
  <c r="M70" i="99"/>
  <c r="M69" i="99"/>
  <c r="M68" i="99"/>
  <c r="M66" i="99"/>
  <c r="M65" i="99"/>
  <c r="F68" i="99"/>
  <c r="G68" i="99" s="1"/>
  <c r="H68" i="99" s="1"/>
  <c r="F66" i="99"/>
  <c r="G66" i="99" s="1"/>
  <c r="H66" i="99" s="1"/>
  <c r="F65" i="99"/>
  <c r="G65" i="99" s="1"/>
  <c r="H65" i="99" s="1"/>
  <c r="D180" i="87"/>
  <c r="D188" i="87"/>
  <c r="D135" i="87"/>
  <c r="D133" i="87"/>
  <c r="M61" i="99"/>
  <c r="M60" i="99"/>
  <c r="M59" i="99"/>
  <c r="M58" i="99"/>
  <c r="M57" i="99"/>
  <c r="F59" i="99"/>
  <c r="G59" i="99" s="1"/>
  <c r="H59" i="99" s="1"/>
  <c r="F72" i="99"/>
  <c r="G72" i="99" s="1"/>
  <c r="H72" i="99" s="1"/>
  <c r="F67" i="99"/>
  <c r="G67" i="99" s="1"/>
  <c r="H67" i="99" s="1"/>
  <c r="F71" i="99"/>
  <c r="G71" i="99" s="1"/>
  <c r="H71" i="99" s="1"/>
  <c r="F70" i="99"/>
  <c r="G70" i="99" s="1"/>
  <c r="H70" i="99" s="1"/>
  <c r="F69" i="99"/>
  <c r="G69" i="99" s="1"/>
  <c r="H69" i="99" s="1"/>
  <c r="I154" i="26"/>
  <c r="I155" i="26"/>
  <c r="I153" i="26"/>
  <c r="L137" i="26"/>
  <c r="F137" i="26"/>
  <c r="H137" i="26" s="1"/>
  <c r="L139" i="26"/>
  <c r="K139" i="26"/>
  <c r="H139" i="26"/>
  <c r="L136" i="26"/>
  <c r="L135" i="26"/>
  <c r="L133" i="26"/>
  <c r="F150" i="11"/>
  <c r="P142" i="26" l="1"/>
  <c r="K142" i="26"/>
  <c r="O88" i="99"/>
  <c r="E87" i="99" s="1"/>
  <c r="H87" i="99" s="1"/>
  <c r="F103" i="99"/>
  <c r="G103" i="99" s="1"/>
  <c r="H103" i="99" s="1"/>
  <c r="F95" i="99"/>
  <c r="G95" i="99" s="1"/>
  <c r="F102" i="99"/>
  <c r="G102" i="99" s="1"/>
  <c r="H102" i="99" s="1"/>
  <c r="F94" i="99"/>
  <c r="G94" i="99" s="1"/>
  <c r="F73" i="99"/>
  <c r="M72" i="99"/>
  <c r="M62" i="99"/>
  <c r="D135" i="11"/>
  <c r="C135" i="11"/>
  <c r="A135" i="11"/>
  <c r="B134" i="11"/>
  <c r="C134" i="11"/>
  <c r="A134" i="11"/>
  <c r="D437" i="87"/>
  <c r="D438" i="87"/>
  <c r="D439" i="87"/>
  <c r="D440" i="87"/>
  <c r="D442" i="87"/>
  <c r="F139" i="11" s="1"/>
  <c r="D443" i="87"/>
  <c r="D444" i="87"/>
  <c r="D445" i="87"/>
  <c r="D446" i="87"/>
  <c r="D436" i="87"/>
  <c r="E148" i="94"/>
  <c r="E147" i="94"/>
  <c r="E146" i="94"/>
  <c r="E145" i="94"/>
  <c r="E143" i="94"/>
  <c r="G73" i="99" l="1"/>
  <c r="E141" i="94"/>
  <c r="E142" i="94"/>
  <c r="H35" i="88"/>
  <c r="L122" i="26"/>
  <c r="L121" i="26"/>
  <c r="F91" i="11"/>
  <c r="F92" i="11"/>
  <c r="B90" i="11"/>
  <c r="C90" i="11"/>
  <c r="D90" i="11"/>
  <c r="A90" i="11"/>
  <c r="S98" i="11"/>
  <c r="S99" i="11"/>
  <c r="K98" i="11"/>
  <c r="K99" i="11"/>
  <c r="J99" i="11"/>
  <c r="F97" i="11"/>
  <c r="F96" i="11"/>
  <c r="D95" i="11"/>
  <c r="C95" i="11"/>
  <c r="A95" i="11"/>
  <c r="E94" i="11"/>
  <c r="D94" i="11"/>
  <c r="C94" i="11"/>
  <c r="A94" i="11"/>
  <c r="E95" i="11"/>
  <c r="E97" i="11" s="1"/>
  <c r="K97" i="11" s="1"/>
  <c r="L235" i="11"/>
  <c r="L234" i="11"/>
  <c r="J35" i="88" l="1"/>
  <c r="L35" i="88" s="1"/>
  <c r="D35" i="88" s="1"/>
  <c r="I122" i="26" s="1"/>
  <c r="H73" i="99"/>
  <c r="S97" i="11"/>
  <c r="E96" i="11"/>
  <c r="J97" i="11"/>
  <c r="G205" i="11"/>
  <c r="G204" i="11"/>
  <c r="E204" i="11"/>
  <c r="J204" i="11" s="1"/>
  <c r="E206" i="11"/>
  <c r="E207" i="11" s="1"/>
  <c r="E208" i="11" s="1"/>
  <c r="E203" i="11"/>
  <c r="E202" i="11"/>
  <c r="Q201" i="26"/>
  <c r="E34" i="110"/>
  <c r="E140" i="94"/>
  <c r="E138" i="94"/>
  <c r="D68" i="87"/>
  <c r="G106" i="26" s="1"/>
  <c r="I64" i="99" l="1"/>
  <c r="F148" i="26" s="1"/>
  <c r="H148" i="26" s="1"/>
  <c r="L148" i="26" s="1"/>
  <c r="R148" i="26" s="1"/>
  <c r="E149" i="94"/>
  <c r="E106" i="26" s="1"/>
  <c r="O201" i="26"/>
  <c r="K96" i="11"/>
  <c r="K95" i="11" s="1"/>
  <c r="I95" i="11" s="1"/>
  <c r="G59" i="26" s="1"/>
  <c r="S96" i="11"/>
  <c r="U95" i="11" s="1"/>
  <c r="Q95" i="11" s="1"/>
  <c r="I59" i="26" s="1"/>
  <c r="J96" i="11"/>
  <c r="F98" i="11" s="1"/>
  <c r="J98" i="11" s="1"/>
  <c r="J95" i="11" s="1"/>
  <c r="H95" i="11" s="1"/>
  <c r="F59" i="26" s="1"/>
  <c r="K204" i="11"/>
  <c r="R201" i="26"/>
  <c r="E205" i="11"/>
  <c r="S205" i="11" s="1"/>
  <c r="S206" i="11"/>
  <c r="S204" i="11"/>
  <c r="J206" i="11"/>
  <c r="K206" i="11"/>
  <c r="N148" i="26" l="1"/>
  <c r="S148" i="26" s="1"/>
  <c r="M148" i="26"/>
  <c r="K205" i="11"/>
  <c r="O86" i="26"/>
  <c r="Q86" i="26"/>
  <c r="R86" i="26"/>
  <c r="N18" i="110"/>
  <c r="F131" i="11"/>
  <c r="J131" i="11" s="1"/>
  <c r="D7" i="87"/>
  <c r="E21" i="110"/>
  <c r="E20" i="110"/>
  <c r="E19" i="110"/>
  <c r="E16" i="110"/>
  <c r="E15" i="110"/>
  <c r="L9" i="110"/>
  <c r="D16" i="110" s="1"/>
  <c r="K9" i="110"/>
  <c r="J9" i="110"/>
  <c r="H9" i="110"/>
  <c r="D21" i="110" s="1"/>
  <c r="I9" i="110"/>
  <c r="D19" i="110" s="1"/>
  <c r="G9" i="110"/>
  <c r="D20" i="110" s="1"/>
  <c r="F132" i="11" l="1"/>
  <c r="J132" i="11" s="1"/>
  <c r="J130" i="11" s="1"/>
  <c r="H130" i="11" s="1"/>
  <c r="F82" i="26" s="1"/>
  <c r="G24" i="110"/>
  <c r="G28" i="110"/>
  <c r="D15" i="110"/>
  <c r="N82" i="26" l="1"/>
  <c r="H82" i="26"/>
  <c r="I28" i="110"/>
  <c r="H28" i="110"/>
  <c r="I24" i="110"/>
  <c r="H24" i="110"/>
  <c r="K173" i="11"/>
  <c r="F172" i="11"/>
  <c r="F169" i="11"/>
  <c r="I96" i="94"/>
  <c r="F94" i="94"/>
  <c r="H94" i="94" s="1"/>
  <c r="I97" i="94"/>
  <c r="F85" i="94"/>
  <c r="H121" i="26"/>
  <c r="H77" i="94"/>
  <c r="G76" i="94"/>
  <c r="H76" i="94"/>
  <c r="I74" i="94"/>
  <c r="I77" i="94"/>
  <c r="I76" i="94"/>
  <c r="S128" i="11"/>
  <c r="S127" i="11"/>
  <c r="F128" i="11"/>
  <c r="K127" i="11"/>
  <c r="F127" i="11"/>
  <c r="J127" i="11" s="1"/>
  <c r="K128" i="11"/>
  <c r="D125" i="11"/>
  <c r="C125" i="11"/>
  <c r="A125" i="11"/>
  <c r="B125" i="11"/>
  <c r="F126" i="11"/>
  <c r="G123" i="11"/>
  <c r="E122" i="11"/>
  <c r="D122" i="11"/>
  <c r="C122" i="11"/>
  <c r="A122" i="11"/>
  <c r="L120" i="26"/>
  <c r="I120" i="26"/>
  <c r="F120" i="26"/>
  <c r="L117" i="26"/>
  <c r="I117" i="26"/>
  <c r="F117" i="26"/>
  <c r="L105" i="26"/>
  <c r="J105" i="26"/>
  <c r="I105" i="26" s="1"/>
  <c r="J24" i="110" l="1"/>
  <c r="K24" i="110" s="1"/>
  <c r="I94" i="94"/>
  <c r="J28" i="110"/>
  <c r="K28" i="110" s="1"/>
  <c r="J76" i="94"/>
  <c r="K76" i="94" s="1"/>
  <c r="Z36" i="24"/>
  <c r="U35" i="24"/>
  <c r="W35" i="24" s="1"/>
  <c r="U34" i="24"/>
  <c r="W34" i="24" s="1"/>
  <c r="U33" i="24"/>
  <c r="W33" i="24" s="1"/>
  <c r="U32" i="24"/>
  <c r="W32" i="24" s="1"/>
  <c r="U31" i="24"/>
  <c r="W31" i="24" s="1"/>
  <c r="U30" i="24"/>
  <c r="W30" i="24" s="1"/>
  <c r="T31" i="24"/>
  <c r="T35" i="24"/>
  <c r="T34" i="24"/>
  <c r="T33" i="24"/>
  <c r="T32" i="24"/>
  <c r="T30" i="24"/>
  <c r="O30" i="24"/>
  <c r="D148" i="11"/>
  <c r="C148" i="11"/>
  <c r="C147" i="11"/>
  <c r="A147" i="11"/>
  <c r="L99" i="26"/>
  <c r="L100" i="26"/>
  <c r="L101" i="26"/>
  <c r="J100" i="26"/>
  <c r="K100" i="26" s="1"/>
  <c r="J99" i="26"/>
  <c r="K99" i="26" s="1"/>
  <c r="G99" i="26"/>
  <c r="H99" i="26" s="1"/>
  <c r="G100" i="26"/>
  <c r="H100" i="26" s="1"/>
  <c r="F48" i="11"/>
  <c r="F23" i="11"/>
  <c r="H108" i="76"/>
  <c r="I108" i="76" s="1"/>
  <c r="G108" i="76"/>
  <c r="H107" i="76"/>
  <c r="I107" i="76" s="1"/>
  <c r="H106" i="76"/>
  <c r="I106" i="76" s="1"/>
  <c r="G106" i="76"/>
  <c r="H105" i="76"/>
  <c r="I105" i="76" s="1"/>
  <c r="G105" i="76"/>
  <c r="H104" i="76"/>
  <c r="G104" i="76"/>
  <c r="H103" i="76"/>
  <c r="G103" i="76"/>
  <c r="H102" i="76"/>
  <c r="G102" i="76"/>
  <c r="H100" i="76"/>
  <c r="I100" i="76" s="1"/>
  <c r="H98" i="76"/>
  <c r="I98" i="76" s="1"/>
  <c r="H97" i="76"/>
  <c r="I97" i="76" s="1"/>
  <c r="H96" i="76"/>
  <c r="H95" i="76"/>
  <c r="H94" i="76"/>
  <c r="G100" i="76"/>
  <c r="G97" i="76"/>
  <c r="G98" i="76"/>
  <c r="H99" i="76"/>
  <c r="I99" i="76" s="1"/>
  <c r="G96" i="76"/>
  <c r="G95" i="76"/>
  <c r="G94" i="76"/>
  <c r="T94" i="76"/>
  <c r="S94" i="76"/>
  <c r="H14" i="76"/>
  <c r="I14" i="76" s="1"/>
  <c r="T15" i="76"/>
  <c r="V15" i="76" s="1"/>
  <c r="W15" i="76" s="1"/>
  <c r="G15" i="76" s="1"/>
  <c r="F15" i="76"/>
  <c r="F13" i="76"/>
  <c r="H15" i="76"/>
  <c r="T17" i="76"/>
  <c r="V17" i="76" s="1"/>
  <c r="X17" i="76"/>
  <c r="Y17" i="76" s="1"/>
  <c r="Z17" i="76" s="1"/>
  <c r="T13" i="76"/>
  <c r="V13" i="76" s="1"/>
  <c r="W13" i="76" s="1"/>
  <c r="G13" i="76" s="1"/>
  <c r="G14" i="76" s="1"/>
  <c r="T12" i="76"/>
  <c r="V12" i="76" s="1"/>
  <c r="W12" i="76" s="1"/>
  <c r="G12" i="76" s="1"/>
  <c r="H16" i="76"/>
  <c r="G82" i="76"/>
  <c r="G80" i="76"/>
  <c r="G89" i="76"/>
  <c r="H91" i="76"/>
  <c r="I91" i="76" s="1"/>
  <c r="G91" i="76"/>
  <c r="H90" i="76"/>
  <c r="I90" i="76" s="1"/>
  <c r="K90" i="76" s="1"/>
  <c r="L90" i="76" s="1"/>
  <c r="H89" i="76"/>
  <c r="I89" i="76" s="1"/>
  <c r="H88" i="76"/>
  <c r="I88" i="76" s="1"/>
  <c r="H87" i="76"/>
  <c r="I87" i="76" s="1"/>
  <c r="H86" i="76"/>
  <c r="I86" i="76" s="1"/>
  <c r="K86" i="76" s="1"/>
  <c r="L86" i="76" s="1"/>
  <c r="H85" i="76"/>
  <c r="I85" i="76" s="1"/>
  <c r="H80" i="76"/>
  <c r="I80" i="76" s="1"/>
  <c r="T77" i="76"/>
  <c r="U77" i="76" s="1"/>
  <c r="Y77" i="76" s="1"/>
  <c r="G83" i="76" s="1"/>
  <c r="H74" i="76"/>
  <c r="H73" i="76"/>
  <c r="G73" i="76"/>
  <c r="H72" i="76"/>
  <c r="I72" i="76" s="1"/>
  <c r="H71" i="76"/>
  <c r="I71" i="76" s="1"/>
  <c r="K71" i="76" s="1"/>
  <c r="L71" i="76" s="1"/>
  <c r="H70" i="76"/>
  <c r="I70" i="76" s="1"/>
  <c r="K70" i="76" s="1"/>
  <c r="L70" i="76" s="1"/>
  <c r="H69" i="76"/>
  <c r="I69" i="76" s="1"/>
  <c r="K69" i="76" s="1"/>
  <c r="L69" i="76" s="1"/>
  <c r="H68" i="76"/>
  <c r="I68" i="76" s="1"/>
  <c r="G65" i="76"/>
  <c r="H65" i="76"/>
  <c r="T60" i="76"/>
  <c r="U60" i="76" s="1"/>
  <c r="Y60" i="76" s="1"/>
  <c r="G66" i="76" s="1"/>
  <c r="H58" i="76"/>
  <c r="H57" i="76"/>
  <c r="I57" i="76" s="1"/>
  <c r="H56" i="76"/>
  <c r="I56" i="76" s="1"/>
  <c r="H55" i="76"/>
  <c r="I55" i="76" s="1"/>
  <c r="H54" i="76"/>
  <c r="I54" i="76" s="1"/>
  <c r="H53" i="76"/>
  <c r="I53" i="76" s="1"/>
  <c r="H52" i="76"/>
  <c r="I52" i="76" s="1"/>
  <c r="H51" i="76"/>
  <c r="I51" i="76" s="1"/>
  <c r="G51" i="76"/>
  <c r="H50" i="76"/>
  <c r="I50" i="76" s="1"/>
  <c r="H49" i="76"/>
  <c r="I49" i="76" s="1"/>
  <c r="G49" i="76"/>
  <c r="G50" i="76" s="1"/>
  <c r="G40" i="76"/>
  <c r="H46" i="76"/>
  <c r="I46" i="76" s="1"/>
  <c r="G38" i="76"/>
  <c r="G44" i="76" s="1"/>
  <c r="H44" i="76"/>
  <c r="I44" i="76" s="1"/>
  <c r="T38" i="76"/>
  <c r="U38" i="76" s="1"/>
  <c r="Y38" i="76" s="1"/>
  <c r="G27" i="76"/>
  <c r="G26" i="76"/>
  <c r="G33" i="76"/>
  <c r="G32" i="76"/>
  <c r="H36" i="76"/>
  <c r="H35" i="76"/>
  <c r="I35" i="76" s="1"/>
  <c r="G35" i="76"/>
  <c r="H34" i="76"/>
  <c r="I34" i="76" s="1"/>
  <c r="G34" i="76"/>
  <c r="H33" i="76"/>
  <c r="I33" i="76" s="1"/>
  <c r="H32" i="76"/>
  <c r="I32" i="76" s="1"/>
  <c r="K32" i="76" s="1"/>
  <c r="G28" i="76"/>
  <c r="G29" i="76"/>
  <c r="H28" i="76"/>
  <c r="I28" i="76" s="1"/>
  <c r="T30" i="76"/>
  <c r="U30" i="76" s="1"/>
  <c r="W30" i="76" s="1"/>
  <c r="H18" i="76"/>
  <c r="I18" i="76" s="1"/>
  <c r="H19" i="76"/>
  <c r="I19" i="76" s="1"/>
  <c r="G19" i="76"/>
  <c r="G21" i="76"/>
  <c r="G22" i="76"/>
  <c r="G23" i="76"/>
  <c r="H20" i="76"/>
  <c r="I20" i="76" s="1"/>
  <c r="H21" i="76"/>
  <c r="I21" i="76" s="1"/>
  <c r="H22" i="76"/>
  <c r="I22" i="76" s="1"/>
  <c r="H23" i="76"/>
  <c r="I23" i="76" s="1"/>
  <c r="T24" i="76"/>
  <c r="U24" i="76" s="1"/>
  <c r="G24" i="76" s="1"/>
  <c r="D6" i="76"/>
  <c r="J24" i="76" s="1"/>
  <c r="Z34" i="24" l="1"/>
  <c r="W36" i="24"/>
  <c r="T36" i="24"/>
  <c r="M99" i="26"/>
  <c r="M100" i="26"/>
  <c r="J94" i="76"/>
  <c r="K94" i="76" s="1"/>
  <c r="L94" i="76" s="1"/>
  <c r="J95" i="76"/>
  <c r="K95" i="76" s="1"/>
  <c r="L95" i="76" s="1"/>
  <c r="J96" i="76"/>
  <c r="K96" i="76" s="1"/>
  <c r="L96" i="76" s="1"/>
  <c r="U94" i="76"/>
  <c r="W94" i="76" s="1"/>
  <c r="I15" i="76"/>
  <c r="J16" i="76"/>
  <c r="K16" i="76" s="1"/>
  <c r="AA17" i="76"/>
  <c r="G16" i="76" s="1"/>
  <c r="J113" i="76"/>
  <c r="K113" i="76" s="1"/>
  <c r="L113" i="76" s="1"/>
  <c r="G92" i="76"/>
  <c r="J83" i="76"/>
  <c r="K83" i="76" s="1"/>
  <c r="L83" i="76" s="1"/>
  <c r="J65" i="76"/>
  <c r="K65" i="76" s="1"/>
  <c r="L65" i="76" s="1"/>
  <c r="J73" i="76"/>
  <c r="K73" i="76" s="1"/>
  <c r="L73" i="76" s="1"/>
  <c r="G74" i="76"/>
  <c r="J66" i="76"/>
  <c r="K66" i="76" s="1"/>
  <c r="L66" i="76" s="1"/>
  <c r="G57" i="76"/>
  <c r="G55" i="76"/>
  <c r="G54" i="76"/>
  <c r="J30" i="76"/>
  <c r="J47" i="76"/>
  <c r="K47" i="76" s="1"/>
  <c r="L47" i="76" s="1"/>
  <c r="G46" i="76"/>
  <c r="G39" i="76"/>
  <c r="G43" i="76"/>
  <c r="L32" i="76"/>
  <c r="Y30" i="76"/>
  <c r="W38" i="76"/>
  <c r="K24" i="76"/>
  <c r="L24" i="76" s="1"/>
  <c r="Y36" i="24" l="1"/>
  <c r="Y37" i="24" s="1"/>
  <c r="AA37" i="24" s="1"/>
  <c r="L16" i="76"/>
  <c r="G30" i="76"/>
  <c r="G36" i="76"/>
  <c r="K48" i="87"/>
  <c r="D47" i="87" s="1"/>
  <c r="D70" i="87"/>
  <c r="H3" i="87"/>
  <c r="I3" i="87"/>
  <c r="I1" i="87"/>
  <c r="AA36" i="24" l="1"/>
  <c r="AA39" i="24" s="1"/>
  <c r="D378" i="87"/>
  <c r="D377" i="87"/>
  <c r="D373" i="87"/>
  <c r="D376" i="87"/>
  <c r="D375" i="87"/>
  <c r="D374" i="87"/>
  <c r="D372" i="87"/>
  <c r="D371" i="87"/>
  <c r="D370" i="87"/>
  <c r="D369" i="87"/>
  <c r="D466" i="87"/>
  <c r="D465" i="87"/>
  <c r="D401" i="87"/>
  <c r="D463" i="87"/>
  <c r="D462" i="87"/>
  <c r="D368" i="87"/>
  <c r="D367" i="87"/>
  <c r="D403" i="87"/>
  <c r="D402" i="87"/>
  <c r="D406" i="87"/>
  <c r="D407" i="87"/>
  <c r="D405" i="87"/>
  <c r="D408" i="87"/>
  <c r="D46" i="87"/>
  <c r="D404" i="87" l="1"/>
  <c r="L129" i="26"/>
  <c r="J129" i="26"/>
  <c r="G129" i="26"/>
  <c r="K54" i="26"/>
  <c r="P52" i="26"/>
  <c r="N52" i="26"/>
  <c r="L52" i="26"/>
  <c r="R52" i="26" s="1"/>
  <c r="J52" i="26"/>
  <c r="K52" i="26" s="1"/>
  <c r="G52" i="26"/>
  <c r="O52" i="26" s="1"/>
  <c r="H129" i="26" l="1"/>
  <c r="K129" i="26"/>
  <c r="H52" i="26"/>
  <c r="M52" i="26" s="1"/>
  <c r="Q52" i="26"/>
  <c r="S52" i="26" s="1"/>
  <c r="L76" i="94"/>
  <c r="E17" i="46"/>
  <c r="F17" i="46" s="1"/>
  <c r="M129" i="26" l="1"/>
  <c r="P129" i="26" l="1"/>
  <c r="R129" i="26"/>
  <c r="N129" i="26"/>
  <c r="O129" i="26"/>
  <c r="Q129" i="26"/>
  <c r="K67" i="11"/>
  <c r="J67" i="11"/>
  <c r="S68" i="11"/>
  <c r="L67" i="11"/>
  <c r="S67" i="11" s="1"/>
  <c r="E90" i="11" l="1"/>
  <c r="E91" i="11" s="1"/>
  <c r="U66" i="11"/>
  <c r="S129" i="26"/>
  <c r="R57" i="26" l="1"/>
  <c r="E16" i="94"/>
  <c r="J4" i="88" l="1"/>
  <c r="D27" i="88"/>
  <c r="D28" i="88"/>
  <c r="D29" i="88"/>
  <c r="D30" i="88"/>
  <c r="D31" i="88"/>
  <c r="D32" i="88"/>
  <c r="D34" i="88"/>
  <c r="D26" i="88"/>
  <c r="I158" i="76"/>
  <c r="G143" i="76"/>
  <c r="G35" i="75"/>
  <c r="D18" i="46"/>
  <c r="F220" i="11"/>
  <c r="D7" i="76"/>
  <c r="D25" i="87"/>
  <c r="I121" i="26" l="1"/>
  <c r="K121" i="26" s="1"/>
  <c r="I197" i="26"/>
  <c r="I196" i="26"/>
  <c r="J36" i="76"/>
  <c r="K36" i="76" s="1"/>
  <c r="L36" i="76" s="1"/>
  <c r="J102" i="76"/>
  <c r="K102" i="76" s="1"/>
  <c r="L102" i="76" s="1"/>
  <c r="J103" i="76"/>
  <c r="K103" i="76" s="1"/>
  <c r="L103" i="76" s="1"/>
  <c r="J104" i="76"/>
  <c r="K104" i="76" s="1"/>
  <c r="L104" i="76" s="1"/>
  <c r="J58" i="76"/>
  <c r="K58" i="76" s="1"/>
  <c r="L58" i="76" s="1"/>
  <c r="J92" i="76"/>
  <c r="K92" i="76" s="1"/>
  <c r="L92" i="76" s="1"/>
  <c r="J74" i="76"/>
  <c r="K74" i="76" s="1"/>
  <c r="L74" i="76" s="1"/>
  <c r="B25" i="75"/>
  <c r="B24" i="75"/>
  <c r="B23" i="75"/>
  <c r="B22" i="75"/>
  <c r="B21" i="75"/>
  <c r="B26" i="75" l="1"/>
  <c r="O9" i="33"/>
  <c r="N2" i="102"/>
  <c r="O2" i="102"/>
  <c r="L2" i="102"/>
  <c r="M2" i="102" l="1"/>
  <c r="P7" i="102" s="1"/>
  <c r="P4" i="102"/>
  <c r="P5" i="102"/>
  <c r="P6" i="102"/>
  <c r="G42" i="26"/>
  <c r="G43" i="26"/>
  <c r="G44" i="26"/>
  <c r="G45" i="26"/>
  <c r="G51" i="26"/>
  <c r="G56" i="26"/>
  <c r="G54" i="26"/>
  <c r="G55" i="26"/>
  <c r="G64" i="26"/>
  <c r="G68" i="26"/>
  <c r="G71" i="26"/>
  <c r="O71" i="26" s="1"/>
  <c r="G73" i="26"/>
  <c r="G74" i="26"/>
  <c r="H74" i="26" s="1"/>
  <c r="G105" i="26"/>
  <c r="G89" i="26"/>
  <c r="G93" i="26"/>
  <c r="O94" i="26"/>
  <c r="G101" i="26"/>
  <c r="G103" i="26"/>
  <c r="F108" i="26"/>
  <c r="F109" i="26"/>
  <c r="F110" i="26"/>
  <c r="F111" i="26"/>
  <c r="F116" i="26"/>
  <c r="F118" i="26"/>
  <c r="F119" i="26"/>
  <c r="G128" i="26"/>
  <c r="G131" i="26" s="1"/>
  <c r="G130" i="26"/>
  <c r="I14" i="26"/>
  <c r="J42" i="26"/>
  <c r="J43" i="26"/>
  <c r="J44" i="26"/>
  <c r="J51" i="26"/>
  <c r="J56" i="26"/>
  <c r="J55" i="26"/>
  <c r="K55" i="26" s="1"/>
  <c r="J64" i="26"/>
  <c r="J68" i="26"/>
  <c r="J71" i="26"/>
  <c r="Q71" i="26" s="1"/>
  <c r="J73" i="26"/>
  <c r="Q73" i="26" s="1"/>
  <c r="J74" i="26"/>
  <c r="J89" i="26"/>
  <c r="J93" i="26"/>
  <c r="J94" i="26"/>
  <c r="Q94" i="26" s="1"/>
  <c r="J101" i="26"/>
  <c r="J103" i="26"/>
  <c r="I108" i="26"/>
  <c r="I109" i="26"/>
  <c r="I110" i="26"/>
  <c r="I111" i="26"/>
  <c r="I116" i="26"/>
  <c r="I118" i="26"/>
  <c r="I119" i="26"/>
  <c r="J128" i="26"/>
  <c r="J131" i="26" s="1"/>
  <c r="I131" i="26" s="1"/>
  <c r="J130" i="26"/>
  <c r="L42" i="26"/>
  <c r="L43" i="26"/>
  <c r="L44" i="26"/>
  <c r="L45" i="26"/>
  <c r="L51" i="26"/>
  <c r="L56" i="26"/>
  <c r="L55" i="26"/>
  <c r="L64" i="26"/>
  <c r="R64" i="26" s="1"/>
  <c r="L68" i="26"/>
  <c r="L71" i="26"/>
  <c r="R71" i="26" s="1"/>
  <c r="L73" i="26"/>
  <c r="R73" i="26" s="1"/>
  <c r="L74" i="26"/>
  <c r="L89" i="26"/>
  <c r="L93" i="26"/>
  <c r="R93" i="26" s="1"/>
  <c r="L94" i="26"/>
  <c r="R94" i="26" s="1"/>
  <c r="L103" i="26"/>
  <c r="L108" i="26"/>
  <c r="L109" i="26"/>
  <c r="L110" i="26"/>
  <c r="L111" i="26"/>
  <c r="L116" i="26"/>
  <c r="L118" i="26"/>
  <c r="L119" i="26"/>
  <c r="L128" i="26"/>
  <c r="L131" i="26" s="1"/>
  <c r="L130" i="26"/>
  <c r="Q64" i="26" l="1"/>
  <c r="K64" i="26"/>
  <c r="O64" i="26"/>
  <c r="H64" i="26"/>
  <c r="K93" i="26"/>
  <c r="Q93" i="26"/>
  <c r="S94" i="26"/>
  <c r="H93" i="26"/>
  <c r="O93" i="26"/>
  <c r="S93" i="26" s="1"/>
  <c r="I56" i="26"/>
  <c r="K56" i="26" s="1"/>
  <c r="I51" i="26"/>
  <c r="K51" i="26" s="1"/>
  <c r="O73" i="26"/>
  <c r="S73" i="26" s="1"/>
  <c r="H73" i="26"/>
  <c r="S71" i="26"/>
  <c r="P8" i="102"/>
  <c r="P9" i="102" s="1"/>
  <c r="I186" i="26" s="1"/>
  <c r="K74" i="26"/>
  <c r="K72" i="26"/>
  <c r="M72" i="26" s="1"/>
  <c r="R11" i="110"/>
  <c r="Q11" i="110"/>
  <c r="P11" i="110"/>
  <c r="O11" i="110"/>
  <c r="M64" i="26" l="1"/>
  <c r="S64" i="26"/>
  <c r="M93" i="26"/>
  <c r="S22" i="110"/>
  <c r="T22" i="110" s="1"/>
  <c r="I244" i="26" s="1"/>
  <c r="S33" i="110"/>
  <c r="T33" i="110" s="1"/>
  <c r="T34" i="110" s="1"/>
  <c r="I201" i="26" s="1"/>
  <c r="S29" i="110"/>
  <c r="S18" i="110"/>
  <c r="S31" i="110"/>
  <c r="S14" i="110"/>
  <c r="K244" i="26" l="1"/>
  <c r="P244" i="26"/>
  <c r="K201" i="26"/>
  <c r="P201" i="26"/>
  <c r="T31" i="110"/>
  <c r="T32" i="110" s="1"/>
  <c r="I87" i="26" s="1"/>
  <c r="T29" i="110"/>
  <c r="T30" i="110" s="1"/>
  <c r="T14" i="110"/>
  <c r="T18" i="110"/>
  <c r="F203" i="11"/>
  <c r="R87" i="26" l="1"/>
  <c r="O87" i="26"/>
  <c r="Q87" i="26"/>
  <c r="F3" i="46"/>
  <c r="F45" i="33"/>
  <c r="A121" i="11" l="1"/>
  <c r="C121" i="11"/>
  <c r="F128" i="94" l="1"/>
  <c r="E126" i="94"/>
  <c r="E127" i="94"/>
  <c r="E125" i="94"/>
  <c r="E124" i="11" l="1"/>
  <c r="E129" i="11"/>
  <c r="H125" i="94"/>
  <c r="J125" i="94"/>
  <c r="I125" i="94"/>
  <c r="H127" i="94"/>
  <c r="J127" i="94"/>
  <c r="I127" i="94"/>
  <c r="H126" i="94"/>
  <c r="J126" i="94"/>
  <c r="I126" i="94"/>
  <c r="K127" i="94" l="1"/>
  <c r="K126" i="94"/>
  <c r="J129" i="11"/>
  <c r="S129" i="11"/>
  <c r="K129" i="11"/>
  <c r="H128" i="94"/>
  <c r="E80" i="26" s="1"/>
  <c r="K125" i="94"/>
  <c r="K128" i="94" s="1"/>
  <c r="E123" i="11" s="1"/>
  <c r="D43" i="88"/>
  <c r="E125" i="11" l="1"/>
  <c r="E126" i="11" s="1"/>
  <c r="I134" i="26"/>
  <c r="I136" i="26"/>
  <c r="I138" i="26"/>
  <c r="I135" i="26"/>
  <c r="I137" i="26"/>
  <c r="K137" i="26" s="1"/>
  <c r="S236" i="11"/>
  <c r="S234" i="11"/>
  <c r="J234" i="11"/>
  <c r="K234" i="11"/>
  <c r="J235" i="11"/>
  <c r="K235" i="11"/>
  <c r="K236" i="11"/>
  <c r="S235" i="11"/>
  <c r="B233" i="11"/>
  <c r="C233" i="11"/>
  <c r="D233" i="11"/>
  <c r="A233" i="11"/>
  <c r="S232" i="11"/>
  <c r="K232" i="11"/>
  <c r="J232" i="11"/>
  <c r="S231" i="11"/>
  <c r="K231" i="11"/>
  <c r="J231" i="11"/>
  <c r="B230" i="11"/>
  <c r="C230" i="11"/>
  <c r="D230" i="11"/>
  <c r="E230" i="11"/>
  <c r="A230" i="11"/>
  <c r="D227" i="11"/>
  <c r="C227" i="11"/>
  <c r="B227" i="11"/>
  <c r="A227" i="11"/>
  <c r="K210" i="26"/>
  <c r="H210" i="26"/>
  <c r="B223" i="11"/>
  <c r="C223" i="11"/>
  <c r="D223" i="11"/>
  <c r="A223" i="11"/>
  <c r="B237" i="11"/>
  <c r="C237" i="11"/>
  <c r="D237" i="11"/>
  <c r="A237" i="11"/>
  <c r="K222" i="11"/>
  <c r="J222" i="11"/>
  <c r="D109" i="94"/>
  <c r="E221" i="11" s="1"/>
  <c r="S221" i="11" s="1"/>
  <c r="S222" i="11"/>
  <c r="E114" i="94"/>
  <c r="E113" i="94"/>
  <c r="E108" i="94"/>
  <c r="E107" i="94"/>
  <c r="E106" i="94"/>
  <c r="S126" i="11" l="1"/>
  <c r="U125" i="11" s="1"/>
  <c r="K126" i="11"/>
  <c r="K125" i="11" s="1"/>
  <c r="J126" i="11"/>
  <c r="E120" i="94"/>
  <c r="E218" i="11" s="1"/>
  <c r="K138" i="26"/>
  <c r="M138" i="26" s="1"/>
  <c r="P138" i="26"/>
  <c r="S138" i="26" s="1"/>
  <c r="K134" i="26"/>
  <c r="M134" i="26" s="1"/>
  <c r="P134" i="26"/>
  <c r="S134" i="26" s="1"/>
  <c r="E109" i="94"/>
  <c r="E217" i="11" s="1"/>
  <c r="S217" i="11" s="1"/>
  <c r="U230" i="11"/>
  <c r="Q230" i="11" s="1"/>
  <c r="U233" i="11"/>
  <c r="J236" i="11"/>
  <c r="J233" i="11" s="1"/>
  <c r="K233" i="11"/>
  <c r="J230" i="11"/>
  <c r="H230" i="11" s="1"/>
  <c r="K230" i="11"/>
  <c r="I230" i="11" s="1"/>
  <c r="M210" i="26"/>
  <c r="J221" i="11"/>
  <c r="K221" i="11"/>
  <c r="B216" i="11"/>
  <c r="C216" i="11"/>
  <c r="D216" i="11"/>
  <c r="E216" i="11"/>
  <c r="A216" i="11"/>
  <c r="B215" i="11"/>
  <c r="C215" i="11"/>
  <c r="A215" i="11"/>
  <c r="J128" i="11" l="1"/>
  <c r="J125" i="11" s="1"/>
  <c r="N209" i="26"/>
  <c r="P209" i="26"/>
  <c r="O209" i="26"/>
  <c r="E219" i="11"/>
  <c r="S219" i="11" s="1"/>
  <c r="E220" i="11"/>
  <c r="S220" i="11" s="1"/>
  <c r="S218" i="11"/>
  <c r="J218" i="11"/>
  <c r="K218" i="11"/>
  <c r="K217" i="11"/>
  <c r="S209" i="11"/>
  <c r="S210" i="11"/>
  <c r="S211" i="11"/>
  <c r="S207" i="11"/>
  <c r="S202" i="11"/>
  <c r="J209" i="11"/>
  <c r="K209" i="11"/>
  <c r="S208" i="11"/>
  <c r="F208" i="11"/>
  <c r="H209" i="26" l="1"/>
  <c r="K220" i="11"/>
  <c r="J220" i="11"/>
  <c r="U216" i="11"/>
  <c r="Q216" i="11" s="1"/>
  <c r="I206" i="26" s="1"/>
  <c r="J219" i="11"/>
  <c r="K219" i="11"/>
  <c r="K208" i="11"/>
  <c r="J208" i="11"/>
  <c r="F202" i="11"/>
  <c r="J202" i="11" s="1"/>
  <c r="B200" i="11"/>
  <c r="C200" i="11"/>
  <c r="D200" i="11"/>
  <c r="E200" i="11"/>
  <c r="A200" i="11"/>
  <c r="B199" i="11"/>
  <c r="C199" i="11"/>
  <c r="A199" i="11"/>
  <c r="J207" i="11"/>
  <c r="K207" i="11"/>
  <c r="J210" i="11"/>
  <c r="K210" i="11"/>
  <c r="J211" i="11"/>
  <c r="K211" i="11"/>
  <c r="K216" i="11" l="1"/>
  <c r="I216" i="11" s="1"/>
  <c r="G206" i="26" s="1"/>
  <c r="S203" i="11"/>
  <c r="K203" i="11"/>
  <c r="K202" i="11"/>
  <c r="K201" i="11" s="1"/>
  <c r="K200" i="11" s="1"/>
  <c r="J203" i="11"/>
  <c r="J201" i="11" s="1"/>
  <c r="J200" i="11" s="1"/>
  <c r="I200" i="11" l="1"/>
  <c r="G199" i="26" s="1"/>
  <c r="H200" i="11"/>
  <c r="F199" i="26" s="1"/>
  <c r="L169" i="11"/>
  <c r="B168" i="11"/>
  <c r="C168" i="11"/>
  <c r="D168" i="11"/>
  <c r="A168" i="11"/>
  <c r="H98" i="94"/>
  <c r="I98" i="94" s="1"/>
  <c r="F91" i="94"/>
  <c r="H91" i="94" s="1"/>
  <c r="I91" i="94" s="1"/>
  <c r="J90" i="94" s="1"/>
  <c r="F89" i="94"/>
  <c r="H89" i="94" s="1"/>
  <c r="I89" i="94" s="1"/>
  <c r="J88" i="94" s="1"/>
  <c r="H85" i="94"/>
  <c r="I85" i="94" s="1"/>
  <c r="F83" i="94"/>
  <c r="H83" i="94" s="1"/>
  <c r="I83" i="94" s="1"/>
  <c r="J82" i="94" l="1"/>
  <c r="J84" i="94"/>
  <c r="J93" i="94"/>
  <c r="L167" i="11"/>
  <c r="F167" i="11"/>
  <c r="J77" i="94"/>
  <c r="G77" i="94"/>
  <c r="I75" i="94"/>
  <c r="H75" i="94"/>
  <c r="G75" i="94"/>
  <c r="I73" i="94"/>
  <c r="H74" i="94"/>
  <c r="G74" i="94"/>
  <c r="H73" i="94"/>
  <c r="G73" i="94"/>
  <c r="B166" i="11"/>
  <c r="C166" i="11"/>
  <c r="D166" i="11"/>
  <c r="A166" i="11"/>
  <c r="K122" i="26"/>
  <c r="H122" i="26"/>
  <c r="K120" i="26"/>
  <c r="H120" i="26"/>
  <c r="K118" i="26"/>
  <c r="H118" i="26"/>
  <c r="K119" i="26"/>
  <c r="H119" i="26"/>
  <c r="S159" i="11"/>
  <c r="S158" i="11"/>
  <c r="K158" i="11"/>
  <c r="K157" i="11" s="1"/>
  <c r="J158" i="11"/>
  <c r="J157" i="11" s="1"/>
  <c r="B157" i="11"/>
  <c r="C157" i="11"/>
  <c r="D157" i="11"/>
  <c r="A157" i="11"/>
  <c r="S124" i="11"/>
  <c r="S123" i="11"/>
  <c r="K124" i="11"/>
  <c r="J124" i="11"/>
  <c r="B122" i="11"/>
  <c r="B148" i="11"/>
  <c r="B147" i="11"/>
  <c r="J75" i="94" l="1"/>
  <c r="K75" i="94" s="1"/>
  <c r="J30" i="110"/>
  <c r="K30" i="110" s="1"/>
  <c r="L29" i="110" s="1"/>
  <c r="H30" i="110"/>
  <c r="I30" i="110"/>
  <c r="G34" i="110"/>
  <c r="I34" i="110" s="1"/>
  <c r="G23" i="110"/>
  <c r="K77" i="94"/>
  <c r="J99" i="94"/>
  <c r="E169" i="11" s="1"/>
  <c r="I99" i="94"/>
  <c r="J73" i="94"/>
  <c r="K73" i="94" s="1"/>
  <c r="J74" i="94"/>
  <c r="K74" i="94" s="1"/>
  <c r="U157" i="11"/>
  <c r="U122" i="11"/>
  <c r="K123" i="11"/>
  <c r="K122" i="11" s="1"/>
  <c r="J123" i="11"/>
  <c r="I23" i="110" l="1"/>
  <c r="H23" i="110"/>
  <c r="H34" i="110"/>
  <c r="S122" i="26"/>
  <c r="K169" i="11"/>
  <c r="K168" i="11" s="1"/>
  <c r="J169" i="11"/>
  <c r="J168" i="11" s="1"/>
  <c r="S169" i="11"/>
  <c r="U168" i="11" s="1"/>
  <c r="J122" i="11"/>
  <c r="K86" i="26" l="1"/>
  <c r="P86" i="26"/>
  <c r="J23" i="110"/>
  <c r="K23" i="110" s="1"/>
  <c r="L22" i="110" s="1"/>
  <c r="F244" i="26" s="1"/>
  <c r="J34" i="110"/>
  <c r="K34" i="110" s="1"/>
  <c r="L33" i="110" s="1"/>
  <c r="L34" i="110" s="1"/>
  <c r="F201" i="26" s="1"/>
  <c r="N244" i="26" l="1"/>
  <c r="N250" i="26" s="1"/>
  <c r="H244" i="26"/>
  <c r="M244" i="26" s="1"/>
  <c r="N201" i="26"/>
  <c r="S201" i="26" s="1"/>
  <c r="H201" i="26"/>
  <c r="M201" i="26" s="1"/>
  <c r="N86" i="26"/>
  <c r="S86" i="26" s="1"/>
  <c r="H86" i="26"/>
  <c r="M86" i="26" s="1"/>
  <c r="I122" i="11"/>
  <c r="G79" i="26" s="1"/>
  <c r="Q122" i="11"/>
  <c r="I79" i="26" s="1"/>
  <c r="H122" i="11"/>
  <c r="F79" i="26" s="1"/>
  <c r="O196" i="26"/>
  <c r="Q196" i="26"/>
  <c r="R196" i="26"/>
  <c r="S244" i="26" l="1"/>
  <c r="S250" i="26" s="1"/>
  <c r="G21" i="110"/>
  <c r="G20" i="110"/>
  <c r="G17" i="110"/>
  <c r="G16" i="110"/>
  <c r="G32" i="110"/>
  <c r="G19" i="110"/>
  <c r="G15" i="110"/>
  <c r="T242" i="26" l="1"/>
  <c r="T250" i="26" s="1"/>
  <c r="I17" i="110"/>
  <c r="H17" i="110"/>
  <c r="H15" i="110"/>
  <c r="I15" i="110"/>
  <c r="I19" i="110"/>
  <c r="H19" i="110"/>
  <c r="I20" i="110"/>
  <c r="H20" i="110"/>
  <c r="I32" i="110"/>
  <c r="H32" i="110"/>
  <c r="I16" i="110"/>
  <c r="H16" i="110"/>
  <c r="I21" i="110"/>
  <c r="H21" i="110"/>
  <c r="T252" i="26" l="1"/>
  <c r="J19" i="110"/>
  <c r="K19" i="110" s="1"/>
  <c r="J17" i="110"/>
  <c r="K17" i="110" s="1"/>
  <c r="J16" i="110"/>
  <c r="K16" i="110" s="1"/>
  <c r="J21" i="110"/>
  <c r="K21" i="110" s="1"/>
  <c r="J15" i="110"/>
  <c r="K15" i="110" s="1"/>
  <c r="J32" i="110"/>
  <c r="K32" i="110" s="1"/>
  <c r="L31" i="110" s="1"/>
  <c r="L32" i="110" s="1"/>
  <c r="F87" i="26" s="1"/>
  <c r="J20" i="110"/>
  <c r="K20" i="110" s="1"/>
  <c r="S252" i="26" l="1"/>
  <c r="T254" i="26"/>
  <c r="S254" i="26" s="1"/>
  <c r="L14" i="110"/>
  <c r="L18" i="110"/>
  <c r="P87" i="26" l="1"/>
  <c r="K87" i="26"/>
  <c r="H87" i="26"/>
  <c r="N87" i="26"/>
  <c r="M87" i="26" l="1"/>
  <c r="S87" i="26"/>
  <c r="N165" i="26" l="1"/>
  <c r="O165" i="26"/>
  <c r="P165" i="26"/>
  <c r="Q165" i="26"/>
  <c r="O167" i="26"/>
  <c r="P167" i="26"/>
  <c r="Q167" i="26"/>
  <c r="N168" i="26"/>
  <c r="O168" i="26"/>
  <c r="P168" i="26"/>
  <c r="Q168" i="26"/>
  <c r="N170" i="26"/>
  <c r="O170" i="26"/>
  <c r="P170" i="26"/>
  <c r="Q170" i="26"/>
  <c r="N171" i="26"/>
  <c r="O171" i="26"/>
  <c r="P171" i="26"/>
  <c r="Q171" i="26"/>
  <c r="N172" i="26"/>
  <c r="O172" i="26"/>
  <c r="P172" i="26"/>
  <c r="Q172" i="26"/>
  <c r="O174" i="26"/>
  <c r="P174" i="26"/>
  <c r="Q174" i="26"/>
  <c r="N175" i="26"/>
  <c r="O175" i="26"/>
  <c r="P175" i="26"/>
  <c r="Q175" i="26"/>
  <c r="K172" i="26" l="1"/>
  <c r="K171" i="26"/>
  <c r="K170" i="26"/>
  <c r="H172" i="26"/>
  <c r="H171" i="26"/>
  <c r="L171" i="26" s="1"/>
  <c r="R171" i="26" s="1"/>
  <c r="S171" i="26" s="1"/>
  <c r="H170" i="26"/>
  <c r="L170" i="26" s="1"/>
  <c r="R170" i="26" s="1"/>
  <c r="S170" i="26" s="1"/>
  <c r="H168" i="26"/>
  <c r="K168" i="26"/>
  <c r="O178" i="26"/>
  <c r="Q178" i="26"/>
  <c r="H180" i="26"/>
  <c r="N180" i="26"/>
  <c r="O180" i="26"/>
  <c r="Q180" i="26"/>
  <c r="K165" i="26"/>
  <c r="K167" i="26"/>
  <c r="K174" i="26"/>
  <c r="K175" i="26"/>
  <c r="K176" i="26"/>
  <c r="H175" i="26"/>
  <c r="H176" i="26"/>
  <c r="L176" i="26" s="1"/>
  <c r="R176" i="26" s="1"/>
  <c r="S176" i="26" s="1"/>
  <c r="L175" i="26" l="1"/>
  <c r="R175" i="26" s="1"/>
  <c r="S175" i="26" s="1"/>
  <c r="L172" i="26"/>
  <c r="R172" i="26" s="1"/>
  <c r="S172" i="26" s="1"/>
  <c r="T169" i="26" s="1"/>
  <c r="L168" i="26"/>
  <c r="R168" i="26" s="1"/>
  <c r="S168" i="26" s="1"/>
  <c r="M171" i="26"/>
  <c r="M170" i="26"/>
  <c r="M176" i="26"/>
  <c r="M175" i="26"/>
  <c r="M168" i="26" l="1"/>
  <c r="M172" i="26"/>
  <c r="H177" i="26"/>
  <c r="E16" i="102"/>
  <c r="F16" i="102" s="1"/>
  <c r="G16" i="102" s="1"/>
  <c r="E8" i="102"/>
  <c r="F8" i="102" s="1"/>
  <c r="G8" i="102" s="1"/>
  <c r="E9" i="102"/>
  <c r="F9" i="102" s="1"/>
  <c r="G9" i="102" s="1"/>
  <c r="E10" i="102"/>
  <c r="F10" i="102" s="1"/>
  <c r="G10" i="102" s="1"/>
  <c r="E11" i="102"/>
  <c r="F11" i="102" s="1"/>
  <c r="G11" i="102" s="1"/>
  <c r="E12" i="102"/>
  <c r="F12" i="102" s="1"/>
  <c r="G12" i="102" s="1"/>
  <c r="E13" i="102"/>
  <c r="F13" i="102" s="1"/>
  <c r="G13" i="102" s="1"/>
  <c r="E14" i="102"/>
  <c r="F14" i="102" s="1"/>
  <c r="G14" i="102" s="1"/>
  <c r="E7" i="102"/>
  <c r="F7" i="102" s="1"/>
  <c r="G7" i="102" s="1"/>
  <c r="E6" i="102"/>
  <c r="F6" i="102" s="1"/>
  <c r="G6" i="102" s="1"/>
  <c r="E5" i="102"/>
  <c r="F5" i="102" s="1"/>
  <c r="G5" i="102" s="1"/>
  <c r="E25" i="102"/>
  <c r="F25" i="102" s="1"/>
  <c r="G25" i="102" s="1"/>
  <c r="E24" i="102"/>
  <c r="F24" i="102" s="1"/>
  <c r="G24" i="102" s="1"/>
  <c r="E20" i="102"/>
  <c r="F20" i="102" s="1"/>
  <c r="G20" i="102" s="1"/>
  <c r="E21" i="102"/>
  <c r="F21" i="102" s="1"/>
  <c r="G21" i="102" s="1"/>
  <c r="E22" i="102"/>
  <c r="F22" i="102" s="1"/>
  <c r="G22" i="102" s="1"/>
  <c r="E19" i="102"/>
  <c r="F19" i="102" s="1"/>
  <c r="G19" i="102" s="1"/>
  <c r="O186" i="26"/>
  <c r="N189" i="26"/>
  <c r="O189" i="26"/>
  <c r="Q189" i="26"/>
  <c r="R189" i="26"/>
  <c r="H189" i="26"/>
  <c r="H23" i="102" l="1"/>
  <c r="H18" i="102"/>
  <c r="E17" i="102"/>
  <c r="S120" i="11"/>
  <c r="S119" i="11"/>
  <c r="K120" i="11"/>
  <c r="J120" i="11"/>
  <c r="K119" i="11"/>
  <c r="F119" i="11"/>
  <c r="J119" i="11" s="1"/>
  <c r="F117" i="11"/>
  <c r="E116" i="11"/>
  <c r="D116" i="11"/>
  <c r="C116" i="11"/>
  <c r="A116" i="11"/>
  <c r="B116" i="11"/>
  <c r="M11" i="94"/>
  <c r="L10" i="94"/>
  <c r="M10" i="94" s="1"/>
  <c r="L9" i="94"/>
  <c r="M9" i="94" s="1"/>
  <c r="M7" i="94"/>
  <c r="M6" i="94"/>
  <c r="M5" i="94"/>
  <c r="E176" i="11"/>
  <c r="K198" i="11"/>
  <c r="J198" i="11"/>
  <c r="K197" i="11"/>
  <c r="S197" i="11"/>
  <c r="L198" i="11"/>
  <c r="S198" i="11" s="1"/>
  <c r="B196" i="11"/>
  <c r="C196" i="11"/>
  <c r="D196" i="11"/>
  <c r="K191" i="11"/>
  <c r="J191" i="11"/>
  <c r="K190" i="11"/>
  <c r="J190" i="11"/>
  <c r="K189" i="11"/>
  <c r="S189" i="11"/>
  <c r="S191" i="11"/>
  <c r="S190" i="11"/>
  <c r="B188" i="11"/>
  <c r="C188" i="11"/>
  <c r="D188" i="11"/>
  <c r="S185" i="11"/>
  <c r="K185" i="11"/>
  <c r="F117" i="99"/>
  <c r="G117" i="99" s="1"/>
  <c r="H117" i="99" s="1"/>
  <c r="F118" i="99"/>
  <c r="G118" i="99" s="1"/>
  <c r="H118" i="99" s="1"/>
  <c r="F119" i="99"/>
  <c r="G119" i="99" s="1"/>
  <c r="H119" i="99" s="1"/>
  <c r="F120" i="99"/>
  <c r="G120" i="99" s="1"/>
  <c r="H120" i="99" s="1"/>
  <c r="F121" i="99"/>
  <c r="G121" i="99" s="1"/>
  <c r="H121" i="99" s="1"/>
  <c r="F122" i="99"/>
  <c r="G122" i="99" s="1"/>
  <c r="H122" i="99" s="1"/>
  <c r="F116" i="99"/>
  <c r="G116" i="99" s="1"/>
  <c r="H116" i="99" s="1"/>
  <c r="S183" i="11"/>
  <c r="K183" i="11"/>
  <c r="J183" i="11"/>
  <c r="S182" i="11"/>
  <c r="K182" i="11"/>
  <c r="J182" i="11"/>
  <c r="S181" i="11"/>
  <c r="K181" i="11"/>
  <c r="B184" i="11"/>
  <c r="C184" i="11"/>
  <c r="D184" i="11"/>
  <c r="B180" i="11"/>
  <c r="C180" i="11"/>
  <c r="D180" i="11"/>
  <c r="S177" i="11"/>
  <c r="K177" i="11"/>
  <c r="B176" i="11"/>
  <c r="C176" i="11"/>
  <c r="D176" i="11"/>
  <c r="F101" i="99"/>
  <c r="G101" i="99" s="1"/>
  <c r="H101" i="99" s="1"/>
  <c r="F104" i="99"/>
  <c r="G104" i="99" s="1"/>
  <c r="H104" i="99" s="1"/>
  <c r="F100" i="99"/>
  <c r="G100" i="99" s="1"/>
  <c r="H100" i="99" s="1"/>
  <c r="F17" i="102" l="1"/>
  <c r="K188" i="11"/>
  <c r="E186" i="11"/>
  <c r="K117" i="11"/>
  <c r="K116" i="11" s="1"/>
  <c r="M12" i="94"/>
  <c r="N4" i="94"/>
  <c r="N196" i="26"/>
  <c r="H196" i="26"/>
  <c r="K177" i="26"/>
  <c r="K196" i="11"/>
  <c r="U196" i="11"/>
  <c r="U188" i="11"/>
  <c r="N8" i="94"/>
  <c r="J179" i="11"/>
  <c r="K178" i="11"/>
  <c r="U180" i="11"/>
  <c r="K180" i="11"/>
  <c r="I143" i="26"/>
  <c r="K145" i="26"/>
  <c r="I144" i="26"/>
  <c r="F109" i="99"/>
  <c r="G109" i="99" s="1"/>
  <c r="H109" i="99" s="1"/>
  <c r="F108" i="99"/>
  <c r="G108" i="99" s="1"/>
  <c r="H108" i="99" s="1"/>
  <c r="F84" i="99"/>
  <c r="G84" i="99" s="1"/>
  <c r="H84" i="99" s="1"/>
  <c r="F83" i="99"/>
  <c r="G83" i="99" s="1"/>
  <c r="H83" i="99" s="1"/>
  <c r="F82" i="99"/>
  <c r="G82" i="99" s="1"/>
  <c r="H82" i="99" s="1"/>
  <c r="F81" i="99"/>
  <c r="G81" i="99" s="1"/>
  <c r="H81" i="99" s="1"/>
  <c r="F77" i="99"/>
  <c r="G77" i="99" s="1"/>
  <c r="H77" i="99" s="1"/>
  <c r="F78" i="99"/>
  <c r="G78" i="99" s="1"/>
  <c r="H78" i="99" s="1"/>
  <c r="F76" i="99"/>
  <c r="G76" i="99" s="1"/>
  <c r="H76" i="99" s="1"/>
  <c r="F75" i="99"/>
  <c r="G75" i="99" s="1"/>
  <c r="H75" i="99" s="1"/>
  <c r="F62" i="99"/>
  <c r="G62" i="99" s="1"/>
  <c r="H62" i="99" s="1"/>
  <c r="F61" i="99"/>
  <c r="G61" i="99" s="1"/>
  <c r="H61" i="99" s="1"/>
  <c r="F60" i="99"/>
  <c r="G60" i="99" s="1"/>
  <c r="H60" i="99" s="1"/>
  <c r="F57" i="99"/>
  <c r="G57" i="99" s="1"/>
  <c r="H57" i="99" s="1"/>
  <c r="F58" i="99"/>
  <c r="G58" i="99" s="1"/>
  <c r="H58" i="99" s="1"/>
  <c r="F48" i="99"/>
  <c r="G48" i="99" s="1"/>
  <c r="H48" i="99" s="1"/>
  <c r="F49" i="99"/>
  <c r="G49" i="99" s="1"/>
  <c r="H49" i="99" s="1"/>
  <c r="F51" i="99"/>
  <c r="G51" i="99" s="1"/>
  <c r="H51" i="99" s="1"/>
  <c r="F52" i="99"/>
  <c r="G52" i="99" s="1"/>
  <c r="H52" i="99" s="1"/>
  <c r="F53" i="99"/>
  <c r="G53" i="99" s="1"/>
  <c r="H53" i="99" s="1"/>
  <c r="F54" i="99"/>
  <c r="G54" i="99" s="1"/>
  <c r="H54" i="99" s="1"/>
  <c r="F47" i="99"/>
  <c r="G47" i="99" s="1"/>
  <c r="H47" i="99" s="1"/>
  <c r="F44" i="99"/>
  <c r="G44" i="99" s="1"/>
  <c r="H44" i="99" s="1"/>
  <c r="F43" i="99"/>
  <c r="G43" i="99" s="1"/>
  <c r="H43" i="99" s="1"/>
  <c r="F41" i="99"/>
  <c r="G41" i="99" s="1"/>
  <c r="H41" i="99" s="1"/>
  <c r="F40" i="99"/>
  <c r="G40" i="99" s="1"/>
  <c r="H40" i="99" s="1"/>
  <c r="F31" i="99"/>
  <c r="G31" i="99" s="1"/>
  <c r="H31" i="99" s="1"/>
  <c r="F32" i="99"/>
  <c r="G32" i="99" s="1"/>
  <c r="H32" i="99" s="1"/>
  <c r="F33" i="99"/>
  <c r="G33" i="99" s="1"/>
  <c r="H33" i="99" s="1"/>
  <c r="F34" i="99"/>
  <c r="G34" i="99" s="1"/>
  <c r="H34" i="99" s="1"/>
  <c r="F36" i="99"/>
  <c r="G36" i="99" s="1"/>
  <c r="H36" i="99" s="1"/>
  <c r="F37" i="99"/>
  <c r="G37" i="99" s="1"/>
  <c r="H37" i="99" s="1"/>
  <c r="F30" i="99"/>
  <c r="G30" i="99" s="1"/>
  <c r="H30" i="99" s="1"/>
  <c r="F14" i="99"/>
  <c r="G14" i="99" s="1"/>
  <c r="H14" i="99" s="1"/>
  <c r="F7" i="99"/>
  <c r="G7" i="99" s="1"/>
  <c r="H7" i="99" s="1"/>
  <c r="F8" i="99"/>
  <c r="G8" i="99" s="1"/>
  <c r="H8" i="99" s="1"/>
  <c r="F9" i="99"/>
  <c r="G9" i="99" s="1"/>
  <c r="H9" i="99" s="1"/>
  <c r="F10" i="99"/>
  <c r="G10" i="99" s="1"/>
  <c r="H10" i="99" s="1"/>
  <c r="F15" i="99"/>
  <c r="G15" i="99" s="1"/>
  <c r="H15" i="99" s="1"/>
  <c r="F16" i="99"/>
  <c r="G16" i="99" s="1"/>
  <c r="H16" i="99" s="1"/>
  <c r="F17" i="99"/>
  <c r="G17" i="99" s="1"/>
  <c r="H17" i="99" s="1"/>
  <c r="F18" i="99"/>
  <c r="G18" i="99" s="1"/>
  <c r="H18" i="99" s="1"/>
  <c r="F19" i="99"/>
  <c r="G19" i="99" s="1"/>
  <c r="H19" i="99" s="1"/>
  <c r="F20" i="99"/>
  <c r="G20" i="99" s="1"/>
  <c r="H20" i="99" s="1"/>
  <c r="F21" i="99"/>
  <c r="G21" i="99" s="1"/>
  <c r="H21" i="99" s="1"/>
  <c r="F22" i="99"/>
  <c r="G22" i="99" s="1"/>
  <c r="H22" i="99" s="1"/>
  <c r="F23" i="99"/>
  <c r="G23" i="99" s="1"/>
  <c r="H23" i="99" s="1"/>
  <c r="F13" i="99"/>
  <c r="G13" i="99" s="1"/>
  <c r="H13" i="99" s="1"/>
  <c r="F12" i="99"/>
  <c r="G12" i="99" s="1"/>
  <c r="H12" i="99" s="1"/>
  <c r="L177" i="26" l="1"/>
  <c r="R177" i="26" s="1"/>
  <c r="S177" i="26" s="1"/>
  <c r="P143" i="26"/>
  <c r="K143" i="26"/>
  <c r="P144" i="26"/>
  <c r="K144" i="26"/>
  <c r="G17" i="102"/>
  <c r="H4" i="102" s="1"/>
  <c r="J186" i="11"/>
  <c r="E187" i="11"/>
  <c r="J187" i="11" s="1"/>
  <c r="I115" i="99"/>
  <c r="F89" i="99"/>
  <c r="F63" i="99"/>
  <c r="S186" i="11"/>
  <c r="K186" i="11"/>
  <c r="N12" i="94"/>
  <c r="F24" i="99"/>
  <c r="J117" i="11"/>
  <c r="J116" i="11" s="1"/>
  <c r="H116" i="11" s="1"/>
  <c r="F77" i="26" s="1"/>
  <c r="S117" i="11"/>
  <c r="U116" i="11" s="1"/>
  <c r="Q116" i="11" s="1"/>
  <c r="I77" i="26" s="1"/>
  <c r="P77" i="26" s="1"/>
  <c r="P196" i="26"/>
  <c r="S196" i="26" s="1"/>
  <c r="K196" i="26"/>
  <c r="F50" i="99"/>
  <c r="G50" i="99" s="1"/>
  <c r="H50" i="99" s="1"/>
  <c r="F35" i="99"/>
  <c r="F42" i="99"/>
  <c r="J178" i="11"/>
  <c r="S179" i="11"/>
  <c r="K179" i="11"/>
  <c r="K176" i="11" s="1"/>
  <c r="S178" i="11"/>
  <c r="F79" i="99"/>
  <c r="N77" i="26" l="1"/>
  <c r="F181" i="11"/>
  <c r="J181" i="11" s="1"/>
  <c r="J180" i="11" s="1"/>
  <c r="F151" i="26"/>
  <c r="H151" i="26" s="1"/>
  <c r="L151" i="26" s="1"/>
  <c r="F150" i="26"/>
  <c r="H150" i="26" s="1"/>
  <c r="M177" i="26"/>
  <c r="G24" i="99"/>
  <c r="H24" i="99" s="1"/>
  <c r="F28" i="99" s="1"/>
  <c r="G28" i="99" s="1"/>
  <c r="G35" i="99"/>
  <c r="H35" i="99" s="1"/>
  <c r="F38" i="99" s="1"/>
  <c r="G38" i="99" s="1"/>
  <c r="H38" i="99" s="1"/>
  <c r="I29" i="99" s="1"/>
  <c r="F143" i="26" s="1"/>
  <c r="G42" i="99"/>
  <c r="H42" i="99" s="1"/>
  <c r="F45" i="99" s="1"/>
  <c r="G45" i="99" s="1"/>
  <c r="G89" i="99"/>
  <c r="H89" i="99" s="1"/>
  <c r="I80" i="99" s="1"/>
  <c r="G63" i="99"/>
  <c r="G79" i="99"/>
  <c r="F186" i="26"/>
  <c r="Q186" i="26" s="1"/>
  <c r="H26" i="102"/>
  <c r="G26" i="102"/>
  <c r="K187" i="11"/>
  <c r="K184" i="11" s="1"/>
  <c r="F185" i="11"/>
  <c r="J185" i="11" s="1"/>
  <c r="J184" i="11" s="1"/>
  <c r="I176" i="11"/>
  <c r="N178" i="26"/>
  <c r="H178" i="26"/>
  <c r="U176" i="11"/>
  <c r="Q176" i="11" s="1"/>
  <c r="K147" i="26"/>
  <c r="H156" i="26"/>
  <c r="H158" i="26"/>
  <c r="H162" i="26"/>
  <c r="N156" i="26"/>
  <c r="O157" i="26"/>
  <c r="Q158" i="26"/>
  <c r="N162" i="26"/>
  <c r="E184" i="11"/>
  <c r="O152" i="26"/>
  <c r="O197" i="26"/>
  <c r="O140" i="26"/>
  <c r="N188" i="26"/>
  <c r="O188" i="26"/>
  <c r="Q188" i="26"/>
  <c r="H188" i="26"/>
  <c r="H116" i="26"/>
  <c r="K116" i="26"/>
  <c r="H117" i="26"/>
  <c r="K117" i="26"/>
  <c r="F189" i="11" l="1"/>
  <c r="J189" i="11" s="1"/>
  <c r="J188" i="11" s="1"/>
  <c r="F160" i="26"/>
  <c r="H45" i="99"/>
  <c r="I39" i="99" s="1"/>
  <c r="F144" i="26" s="1"/>
  <c r="H63" i="99"/>
  <c r="I56" i="99" s="1"/>
  <c r="H28" i="99"/>
  <c r="I5" i="99" s="1"/>
  <c r="F142" i="26" s="1"/>
  <c r="H79" i="99"/>
  <c r="I74" i="99" s="1"/>
  <c r="H143" i="26"/>
  <c r="N143" i="26"/>
  <c r="H186" i="26"/>
  <c r="N186" i="26"/>
  <c r="I184" i="11"/>
  <c r="E180" i="11"/>
  <c r="E188" i="11"/>
  <c r="E196" i="11"/>
  <c r="H184" i="11"/>
  <c r="O149" i="26"/>
  <c r="P149" i="26"/>
  <c r="P147" i="26"/>
  <c r="Q147" i="26"/>
  <c r="O147" i="26"/>
  <c r="F55" i="99"/>
  <c r="Q152" i="26"/>
  <c r="Q140" i="26"/>
  <c r="O158" i="26"/>
  <c r="N158" i="26"/>
  <c r="N197" i="26"/>
  <c r="Q157" i="26"/>
  <c r="Q156" i="26"/>
  <c r="O162" i="26"/>
  <c r="R197" i="26"/>
  <c r="O156" i="26"/>
  <c r="Q197" i="26"/>
  <c r="R162" i="26"/>
  <c r="R151" i="26"/>
  <c r="Q162" i="26"/>
  <c r="B175" i="11"/>
  <c r="C175" i="11"/>
  <c r="A175" i="11"/>
  <c r="P197" i="26"/>
  <c r="S187" i="11"/>
  <c r="R140" i="26"/>
  <c r="P140" i="26"/>
  <c r="N140" i="26"/>
  <c r="F136" i="26"/>
  <c r="G136" i="26" s="1"/>
  <c r="F135" i="26"/>
  <c r="F133" i="26"/>
  <c r="H106" i="26"/>
  <c r="N106" i="26"/>
  <c r="O106" i="26"/>
  <c r="P106" i="26"/>
  <c r="Q106" i="26"/>
  <c r="R106" i="26"/>
  <c r="K106" i="26"/>
  <c r="F147" i="26" l="1"/>
  <c r="H147" i="26" s="1"/>
  <c r="L147" i="26" s="1"/>
  <c r="R147" i="26" s="1"/>
  <c r="F146" i="26"/>
  <c r="F197" i="11"/>
  <c r="J197" i="11" s="1"/>
  <c r="J196" i="11" s="1"/>
  <c r="H196" i="11" s="1"/>
  <c r="F161" i="26"/>
  <c r="H160" i="26"/>
  <c r="N160" i="26"/>
  <c r="N142" i="26"/>
  <c r="H142" i="26"/>
  <c r="L142" i="26" s="1"/>
  <c r="R142" i="26" s="1"/>
  <c r="H144" i="26"/>
  <c r="L144" i="26" s="1"/>
  <c r="R144" i="26" s="1"/>
  <c r="N144" i="26"/>
  <c r="H146" i="26"/>
  <c r="N146" i="26"/>
  <c r="G55" i="99"/>
  <c r="L143" i="26"/>
  <c r="R143" i="26" s="1"/>
  <c r="S143" i="26" s="1"/>
  <c r="I188" i="11"/>
  <c r="Q188" i="11"/>
  <c r="H188" i="11"/>
  <c r="Q180" i="11"/>
  <c r="I180" i="11"/>
  <c r="H180" i="11"/>
  <c r="O151" i="26"/>
  <c r="O150" i="26"/>
  <c r="I196" i="11"/>
  <c r="Q196" i="11"/>
  <c r="U184" i="11"/>
  <c r="Q184" i="11" s="1"/>
  <c r="I156" i="26"/>
  <c r="K156" i="26" s="1"/>
  <c r="I158" i="26"/>
  <c r="K158" i="26" s="1"/>
  <c r="I152" i="26"/>
  <c r="K152" i="26" s="1"/>
  <c r="L152" i="26" s="1"/>
  <c r="R152" i="26" s="1"/>
  <c r="S140" i="26"/>
  <c r="K157" i="26"/>
  <c r="P157" i="26"/>
  <c r="S197" i="26"/>
  <c r="N152" i="26"/>
  <c r="N157" i="26"/>
  <c r="H157" i="26"/>
  <c r="M106" i="26"/>
  <c r="S106" i="26"/>
  <c r="N147" i="26" l="1"/>
  <c r="S147" i="26" s="1"/>
  <c r="M142" i="26"/>
  <c r="L157" i="26"/>
  <c r="R157" i="26" s="1"/>
  <c r="S157" i="26" s="1"/>
  <c r="L156" i="26"/>
  <c r="R156" i="26" s="1"/>
  <c r="L158" i="26"/>
  <c r="R158" i="26" s="1"/>
  <c r="M144" i="26"/>
  <c r="L160" i="26"/>
  <c r="R160" i="26" s="1"/>
  <c r="S160" i="26" s="1"/>
  <c r="H161" i="26"/>
  <c r="N161" i="26"/>
  <c r="S144" i="26"/>
  <c r="S142" i="26"/>
  <c r="H55" i="99"/>
  <c r="I46" i="99" s="1"/>
  <c r="F145" i="26" s="1"/>
  <c r="H145" i="26" s="1"/>
  <c r="L145" i="26" s="1"/>
  <c r="R145" i="26" s="1"/>
  <c r="M147" i="26"/>
  <c r="L146" i="26"/>
  <c r="R146" i="26" s="1"/>
  <c r="S146" i="26" s="1"/>
  <c r="M143" i="26"/>
  <c r="P150" i="26"/>
  <c r="N150" i="26"/>
  <c r="O153" i="26"/>
  <c r="N151" i="26"/>
  <c r="P156" i="26"/>
  <c r="P151" i="26"/>
  <c r="M152" i="26"/>
  <c r="P152" i="26"/>
  <c r="S152" i="26" s="1"/>
  <c r="P158" i="26"/>
  <c r="H105" i="26"/>
  <c r="K105" i="26"/>
  <c r="M3" i="88"/>
  <c r="S174" i="11"/>
  <c r="K174" i="11"/>
  <c r="J174" i="11"/>
  <c r="B171" i="11"/>
  <c r="C171" i="11"/>
  <c r="D171" i="11"/>
  <c r="B170" i="11"/>
  <c r="C170" i="11"/>
  <c r="D170" i="11"/>
  <c r="E170" i="11"/>
  <c r="A170" i="11"/>
  <c r="E171" i="11"/>
  <c r="N192" i="26"/>
  <c r="H192" i="26"/>
  <c r="G155" i="11"/>
  <c r="G154" i="11"/>
  <c r="B153" i="11"/>
  <c r="C153" i="11"/>
  <c r="D153" i="11"/>
  <c r="A153" i="11"/>
  <c r="B152" i="11"/>
  <c r="C152" i="11"/>
  <c r="A152" i="11"/>
  <c r="R110" i="26"/>
  <c r="K110" i="26"/>
  <c r="N110" i="26"/>
  <c r="K109" i="26"/>
  <c r="H109" i="26"/>
  <c r="O110" i="26"/>
  <c r="Q110" i="26"/>
  <c r="H113" i="26"/>
  <c r="G104" i="11"/>
  <c r="G103" i="11"/>
  <c r="G102" i="11"/>
  <c r="G109" i="11"/>
  <c r="D108" i="11"/>
  <c r="D106" i="11"/>
  <c r="C108" i="11"/>
  <c r="B108" i="11"/>
  <c r="A108" i="11"/>
  <c r="B106" i="11"/>
  <c r="C106" i="11"/>
  <c r="A106" i="11"/>
  <c r="K71" i="26"/>
  <c r="H54" i="26"/>
  <c r="S92" i="11"/>
  <c r="S158" i="26" l="1"/>
  <c r="M157" i="26"/>
  <c r="S156" i="26"/>
  <c r="M158" i="26"/>
  <c r="M156" i="26"/>
  <c r="L161" i="26"/>
  <c r="R161" i="26" s="1"/>
  <c r="S161" i="26" s="1"/>
  <c r="M160" i="26"/>
  <c r="N145" i="26"/>
  <c r="S145" i="26" s="1"/>
  <c r="M146" i="26"/>
  <c r="M145" i="26"/>
  <c r="P155" i="26"/>
  <c r="O154" i="26"/>
  <c r="P154" i="26"/>
  <c r="N153" i="26"/>
  <c r="O155" i="26"/>
  <c r="P153" i="26"/>
  <c r="I192" i="26"/>
  <c r="K192" i="26" s="1"/>
  <c r="M192" i="26" s="1"/>
  <c r="L109" i="11"/>
  <c r="F191" i="26"/>
  <c r="I191" i="26"/>
  <c r="M105" i="26"/>
  <c r="E172" i="11"/>
  <c r="J172" i="11" s="1"/>
  <c r="F173" i="11" s="1"/>
  <c r="J173" i="11" s="1"/>
  <c r="R192" i="26"/>
  <c r="Q192" i="26"/>
  <c r="O192" i="26"/>
  <c r="P110" i="26"/>
  <c r="S110" i="26" s="1"/>
  <c r="K103" i="26"/>
  <c r="H103" i="26"/>
  <c r="H110" i="26"/>
  <c r="M110" i="26" s="1"/>
  <c r="M109" i="26"/>
  <c r="I113" i="26"/>
  <c r="M161" i="26" l="1"/>
  <c r="N154" i="26"/>
  <c r="N155" i="26"/>
  <c r="H155" i="26"/>
  <c r="P192" i="26"/>
  <c r="S192" i="26" s="1"/>
  <c r="D64" i="88"/>
  <c r="D62" i="88"/>
  <c r="L107" i="11"/>
  <c r="L105" i="11"/>
  <c r="L156" i="11"/>
  <c r="S172" i="11"/>
  <c r="U171" i="11" s="1"/>
  <c r="Q171" i="11" s="1"/>
  <c r="K172" i="11"/>
  <c r="M103" i="26"/>
  <c r="F18" i="33"/>
  <c r="F17" i="33"/>
  <c r="I205" i="26"/>
  <c r="E233" i="11"/>
  <c r="L75" i="94"/>
  <c r="F182" i="26" l="1"/>
  <c r="H62" i="88"/>
  <c r="I184" i="26"/>
  <c r="H64" i="88"/>
  <c r="P182" i="26"/>
  <c r="K182" i="26"/>
  <c r="E106" i="11"/>
  <c r="E107" i="11" s="1"/>
  <c r="I233" i="11"/>
  <c r="G211" i="26" s="1"/>
  <c r="H233" i="11"/>
  <c r="F211" i="26" s="1"/>
  <c r="Q233" i="11"/>
  <c r="L77" i="94"/>
  <c r="K171" i="11"/>
  <c r="I171" i="11" s="1"/>
  <c r="J171" i="11"/>
  <c r="H171" i="11" s="1"/>
  <c r="J29" i="33"/>
  <c r="I203" i="26" s="1"/>
  <c r="M74" i="26"/>
  <c r="N62" i="26"/>
  <c r="P62" i="26"/>
  <c r="R62" i="26"/>
  <c r="Q62" i="26"/>
  <c r="O62" i="26"/>
  <c r="E59" i="94"/>
  <c r="E60" i="94"/>
  <c r="E61" i="94"/>
  <c r="E62" i="94"/>
  <c r="E63" i="94"/>
  <c r="E67" i="94" l="1"/>
  <c r="K203" i="26"/>
  <c r="M203" i="26" s="1"/>
  <c r="K184" i="26"/>
  <c r="F184" i="26"/>
  <c r="N184" i="26" s="1"/>
  <c r="P184" i="26"/>
  <c r="N182" i="26"/>
  <c r="H182" i="26"/>
  <c r="S121" i="26"/>
  <c r="L74" i="94"/>
  <c r="C78" i="94"/>
  <c r="E123" i="26" s="1"/>
  <c r="E135" i="11"/>
  <c r="E140" i="11" s="1"/>
  <c r="L73" i="94"/>
  <c r="E108" i="11"/>
  <c r="E109" i="11" s="1"/>
  <c r="R67" i="26"/>
  <c r="H56" i="26"/>
  <c r="Q105" i="26"/>
  <c r="J107" i="11"/>
  <c r="J106" i="11" s="1"/>
  <c r="H106" i="11" s="1"/>
  <c r="F66" i="26" s="1"/>
  <c r="K107" i="11"/>
  <c r="K106" i="11" s="1"/>
  <c r="I106" i="11" s="1"/>
  <c r="G66" i="26" s="1"/>
  <c r="S107" i="11"/>
  <c r="U106" i="11" s="1"/>
  <c r="Q106" i="11" s="1"/>
  <c r="I66" i="26" s="1"/>
  <c r="R66" i="26"/>
  <c r="H111" i="26"/>
  <c r="K111" i="26"/>
  <c r="K73" i="26"/>
  <c r="M73" i="26" s="1"/>
  <c r="S62" i="26"/>
  <c r="H184" i="26" l="1"/>
  <c r="L184" i="26" s="1"/>
  <c r="R184" i="26" s="1"/>
  <c r="S184" i="26" s="1"/>
  <c r="S140" i="11"/>
  <c r="K140" i="11"/>
  <c r="J140" i="11"/>
  <c r="E136" i="11"/>
  <c r="S136" i="11" s="1"/>
  <c r="E139" i="11"/>
  <c r="L182" i="26"/>
  <c r="R182" i="26" s="1"/>
  <c r="S182" i="26" s="1"/>
  <c r="O99" i="26"/>
  <c r="R99" i="26"/>
  <c r="Q99" i="26"/>
  <c r="N99" i="26"/>
  <c r="P99" i="26"/>
  <c r="L78" i="94"/>
  <c r="E167" i="11" s="1"/>
  <c r="K167" i="11" s="1"/>
  <c r="K166" i="11" s="1"/>
  <c r="E148" i="11"/>
  <c r="P66" i="26"/>
  <c r="O66" i="26"/>
  <c r="N66" i="26"/>
  <c r="S120" i="26"/>
  <c r="E157" i="11"/>
  <c r="J109" i="11"/>
  <c r="J108" i="11" s="1"/>
  <c r="H108" i="11" s="1"/>
  <c r="F67" i="26" s="1"/>
  <c r="K109" i="11"/>
  <c r="K108" i="11" s="1"/>
  <c r="I108" i="11" s="1"/>
  <c r="G67" i="26" s="1"/>
  <c r="S109" i="11"/>
  <c r="U108" i="11" s="1"/>
  <c r="Q108" i="11" s="1"/>
  <c r="I67" i="26" s="1"/>
  <c r="M56" i="26"/>
  <c r="O105" i="26"/>
  <c r="R105" i="26"/>
  <c r="P105" i="26"/>
  <c r="N105" i="26"/>
  <c r="M111" i="26"/>
  <c r="K139" i="11" l="1"/>
  <c r="J139" i="11"/>
  <c r="E138" i="11"/>
  <c r="K136" i="11"/>
  <c r="J136" i="11"/>
  <c r="M182" i="26"/>
  <c r="M184" i="26"/>
  <c r="S139" i="11"/>
  <c r="E149" i="11"/>
  <c r="S149" i="11" s="1"/>
  <c r="E150" i="11"/>
  <c r="S150" i="11" s="1"/>
  <c r="J167" i="11"/>
  <c r="J166" i="11" s="1"/>
  <c r="S167" i="11"/>
  <c r="U166" i="11" s="1"/>
  <c r="P100" i="26"/>
  <c r="O100" i="26"/>
  <c r="N100" i="26"/>
  <c r="Q100" i="26"/>
  <c r="R100" i="26"/>
  <c r="N74" i="26"/>
  <c r="P74" i="26"/>
  <c r="O74" i="26"/>
  <c r="Q74" i="26"/>
  <c r="R74" i="26"/>
  <c r="S99" i="26"/>
  <c r="E151" i="11"/>
  <c r="P67" i="26"/>
  <c r="O67" i="26"/>
  <c r="E166" i="11"/>
  <c r="H67" i="26"/>
  <c r="N67" i="26"/>
  <c r="O109" i="26"/>
  <c r="O103" i="26"/>
  <c r="N56" i="26"/>
  <c r="P56" i="26"/>
  <c r="O56" i="26"/>
  <c r="R56" i="26"/>
  <c r="Q56" i="26"/>
  <c r="H157" i="11"/>
  <c r="I157" i="11"/>
  <c r="Q157" i="11"/>
  <c r="S105" i="26"/>
  <c r="N111" i="26"/>
  <c r="R111" i="26"/>
  <c r="N89" i="26"/>
  <c r="P89" i="26"/>
  <c r="I116" i="11"/>
  <c r="G77" i="26" s="1"/>
  <c r="C65" i="11"/>
  <c r="E6" i="94"/>
  <c r="E7" i="94"/>
  <c r="E8" i="94"/>
  <c r="E9" i="94"/>
  <c r="E10" i="94"/>
  <c r="E11" i="94"/>
  <c r="E12" i="94"/>
  <c r="E13" i="94"/>
  <c r="E14" i="94"/>
  <c r="E15" i="94"/>
  <c r="E5" i="94"/>
  <c r="O77" i="26" l="1"/>
  <c r="H77" i="26"/>
  <c r="F4" i="94"/>
  <c r="F114" i="26"/>
  <c r="N114" i="26" s="1"/>
  <c r="I114" i="26"/>
  <c r="P114" i="26" s="1"/>
  <c r="G114" i="26"/>
  <c r="O114" i="26" s="1"/>
  <c r="S138" i="11"/>
  <c r="U135" i="11" s="1"/>
  <c r="Q135" i="11" s="1"/>
  <c r="K138" i="11"/>
  <c r="K135" i="11" s="1"/>
  <c r="I135" i="11" s="1"/>
  <c r="J138" i="11"/>
  <c r="F143" i="11" s="1"/>
  <c r="S74" i="26"/>
  <c r="S100" i="26"/>
  <c r="S119" i="26"/>
  <c r="R109" i="26"/>
  <c r="N109" i="26"/>
  <c r="Q109" i="26"/>
  <c r="P109" i="26"/>
  <c r="N103" i="26"/>
  <c r="E153" i="11"/>
  <c r="E154" i="11" s="1"/>
  <c r="Q166" i="11"/>
  <c r="I123" i="26" s="1"/>
  <c r="I166" i="11"/>
  <c r="G123" i="26" s="1"/>
  <c r="H166" i="11"/>
  <c r="F123" i="26" s="1"/>
  <c r="Q103" i="26"/>
  <c r="R103" i="26"/>
  <c r="P103" i="26"/>
  <c r="S116" i="26"/>
  <c r="S118" i="26"/>
  <c r="S56" i="26"/>
  <c r="S151" i="11"/>
  <c r="Q125" i="11" s="1"/>
  <c r="I80" i="26" s="1"/>
  <c r="J151" i="11"/>
  <c r="K151" i="11"/>
  <c r="N68" i="26"/>
  <c r="R68" i="26"/>
  <c r="Q68" i="26"/>
  <c r="O68" i="26"/>
  <c r="P68" i="26"/>
  <c r="B66" i="11"/>
  <c r="J68" i="11"/>
  <c r="J66" i="11" s="1"/>
  <c r="K68" i="11"/>
  <c r="K66" i="11" s="1"/>
  <c r="A65" i="11"/>
  <c r="K21" i="26"/>
  <c r="N21" i="26"/>
  <c r="O21" i="26"/>
  <c r="P21" i="26"/>
  <c r="Q21" i="26"/>
  <c r="R21" i="26"/>
  <c r="H21" i="26"/>
  <c r="G95" i="26" l="1"/>
  <c r="O95" i="26" s="1"/>
  <c r="I95" i="26"/>
  <c r="P95" i="26" s="1"/>
  <c r="J143" i="11"/>
  <c r="J135" i="11" s="1"/>
  <c r="H135" i="11" s="1"/>
  <c r="F95" i="26" s="1"/>
  <c r="P80" i="26"/>
  <c r="F52" i="94"/>
  <c r="F53" i="94" s="1"/>
  <c r="E40" i="26" s="1"/>
  <c r="S109" i="26"/>
  <c r="E156" i="11"/>
  <c r="S156" i="11" s="1"/>
  <c r="E155" i="11"/>
  <c r="J155" i="11" s="1"/>
  <c r="S103" i="26"/>
  <c r="S117" i="26"/>
  <c r="P111" i="26"/>
  <c r="O111" i="26"/>
  <c r="J154" i="11"/>
  <c r="S154" i="11"/>
  <c r="K154" i="11"/>
  <c r="M21" i="26"/>
  <c r="S68" i="26"/>
  <c r="S21" i="26"/>
  <c r="H95" i="26" l="1"/>
  <c r="N95" i="26"/>
  <c r="H71" i="26"/>
  <c r="M71" i="26" s="1"/>
  <c r="S155" i="11"/>
  <c r="U153" i="11" s="1"/>
  <c r="Q153" i="11" s="1"/>
  <c r="I112" i="26" s="1"/>
  <c r="K155" i="11"/>
  <c r="J156" i="11"/>
  <c r="J153" i="11" s="1"/>
  <c r="H153" i="11" s="1"/>
  <c r="F112" i="26" s="1"/>
  <c r="K156" i="11"/>
  <c r="N112" i="26" l="1"/>
  <c r="K153" i="11"/>
  <c r="I153" i="11" s="1"/>
  <c r="G112" i="26" s="1"/>
  <c r="O112" i="26" l="1"/>
  <c r="H112" i="26" l="1"/>
  <c r="H66" i="11"/>
  <c r="F20" i="26" s="1"/>
  <c r="Q66" i="11"/>
  <c r="I20" i="26" s="1"/>
  <c r="P20" i="26" s="1"/>
  <c r="N20" i="26" l="1"/>
  <c r="B2" i="76"/>
  <c r="I3" i="76"/>
  <c r="J3" i="76" s="1"/>
  <c r="I2" i="76"/>
  <c r="J2" i="76" l="1"/>
  <c r="B33" i="75"/>
  <c r="B34" i="75"/>
  <c r="B35" i="75"/>
  <c r="B36" i="75"/>
  <c r="B37" i="75"/>
  <c r="B38" i="75"/>
  <c r="H22" i="75" l="1"/>
  <c r="H23" i="75"/>
  <c r="B32" i="75"/>
  <c r="N24" i="26" l="1"/>
  <c r="H24" i="26"/>
  <c r="H24" i="75"/>
  <c r="Y19" i="89"/>
  <c r="Y20" i="89"/>
  <c r="Y21" i="89"/>
  <c r="Y22" i="89"/>
  <c r="Y18" i="89"/>
  <c r="W22" i="89"/>
  <c r="AB22" i="89" s="1"/>
  <c r="X19" i="89"/>
  <c r="X20" i="89"/>
  <c r="X21" i="89"/>
  <c r="X22" i="89"/>
  <c r="X18" i="89"/>
  <c r="W19" i="89"/>
  <c r="AB19" i="89" s="1"/>
  <c r="AC19" i="89" s="1"/>
  <c r="W20" i="89"/>
  <c r="AB20" i="89" s="1"/>
  <c r="W21" i="89"/>
  <c r="AB21" i="89" s="1"/>
  <c r="W17" i="89"/>
  <c r="W18" i="89"/>
  <c r="AB18" i="89" s="1"/>
  <c r="C22" i="89"/>
  <c r="D22" i="89" s="1"/>
  <c r="H22" i="89" s="1"/>
  <c r="C19" i="89"/>
  <c r="D19" i="89" s="1"/>
  <c r="H19" i="89" s="1"/>
  <c r="C20" i="89"/>
  <c r="D20" i="89" s="1"/>
  <c r="H20" i="89" s="1"/>
  <c r="C21" i="89"/>
  <c r="D21" i="89" s="1"/>
  <c r="H21" i="89" s="1"/>
  <c r="C18" i="89"/>
  <c r="D18" i="89" s="1"/>
  <c r="H18" i="89" s="1"/>
  <c r="B22" i="89"/>
  <c r="N22" i="89" s="1"/>
  <c r="O22" i="89" s="1"/>
  <c r="B19" i="89"/>
  <c r="N19" i="89" s="1"/>
  <c r="O19" i="89" s="1"/>
  <c r="B20" i="89"/>
  <c r="N20" i="89" s="1"/>
  <c r="S20" i="89" s="1"/>
  <c r="B21" i="89"/>
  <c r="N21" i="89" s="1"/>
  <c r="S21" i="89" s="1"/>
  <c r="B18" i="89"/>
  <c r="N18" i="89" s="1"/>
  <c r="S18" i="89" s="1"/>
  <c r="C128" i="89"/>
  <c r="D128" i="89" s="1"/>
  <c r="C104" i="89"/>
  <c r="F123" i="89" s="1"/>
  <c r="D91" i="89"/>
  <c r="C77" i="89"/>
  <c r="F99" i="89" s="1"/>
  <c r="C52" i="89"/>
  <c r="D52" i="89" s="1"/>
  <c r="F47" i="89"/>
  <c r="K22" i="89"/>
  <c r="L22" i="89" s="1"/>
  <c r="U19" i="89"/>
  <c r="C61" i="89"/>
  <c r="H61" i="89" s="1"/>
  <c r="I61" i="89" s="1"/>
  <c r="C92" i="89"/>
  <c r="D92" i="89" s="1"/>
  <c r="J16" i="89"/>
  <c r="S24" i="89" s="1"/>
  <c r="L24" i="26" l="1"/>
  <c r="R24" i="26" s="1"/>
  <c r="S24" i="26" s="1"/>
  <c r="Z22" i="89"/>
  <c r="AC21" i="89"/>
  <c r="AC18" i="89"/>
  <c r="Z19" i="89"/>
  <c r="Z21" i="89"/>
  <c r="AC22" i="89"/>
  <c r="AC20" i="89"/>
  <c r="Z18" i="89"/>
  <c r="C57" i="89"/>
  <c r="H57" i="89" s="1"/>
  <c r="I57" i="89" s="1"/>
  <c r="C85" i="89"/>
  <c r="D85" i="89" s="1"/>
  <c r="K25" i="89"/>
  <c r="Z24" i="89"/>
  <c r="X23" i="89"/>
  <c r="Z20" i="89"/>
  <c r="S19" i="89"/>
  <c r="D104" i="89"/>
  <c r="C109" i="89"/>
  <c r="H109" i="89" s="1"/>
  <c r="I109" i="89" s="1"/>
  <c r="C113" i="89"/>
  <c r="H113" i="89" s="1"/>
  <c r="I113" i="89" s="1"/>
  <c r="C39" i="89"/>
  <c r="D39" i="89" s="1"/>
  <c r="O21" i="89"/>
  <c r="S22" i="89"/>
  <c r="L24" i="89"/>
  <c r="L25" i="89" s="1"/>
  <c r="C90" i="89"/>
  <c r="D90" i="89" s="1"/>
  <c r="C140" i="89"/>
  <c r="D140" i="89" s="1"/>
  <c r="C33" i="89"/>
  <c r="D33" i="89" s="1"/>
  <c r="F148" i="89"/>
  <c r="H23" i="89"/>
  <c r="C136" i="89"/>
  <c r="C141" i="89"/>
  <c r="D141" i="89" s="1"/>
  <c r="C40" i="89"/>
  <c r="C93" i="89"/>
  <c r="D93" i="89" s="1"/>
  <c r="H24" i="89"/>
  <c r="C35" i="89"/>
  <c r="C63" i="89"/>
  <c r="D63" i="89" s="1"/>
  <c r="F72" i="89"/>
  <c r="C86" i="89"/>
  <c r="C58" i="89"/>
  <c r="C115" i="89"/>
  <c r="D115" i="89" s="1"/>
  <c r="C137" i="89"/>
  <c r="C110" i="89"/>
  <c r="D77" i="89"/>
  <c r="C36" i="89"/>
  <c r="C82" i="89"/>
  <c r="C60" i="89"/>
  <c r="C64" i="89"/>
  <c r="D64" i="89" s="1"/>
  <c r="C88" i="89"/>
  <c r="D88" i="89" s="1"/>
  <c r="C133" i="89"/>
  <c r="C112" i="89"/>
  <c r="C116" i="89"/>
  <c r="D116" i="89" s="1"/>
  <c r="C139" i="89"/>
  <c r="D139" i="89" s="1"/>
  <c r="O18" i="89"/>
  <c r="K20" i="89"/>
  <c r="C65" i="89"/>
  <c r="D65" i="89" s="1"/>
  <c r="D61" i="89"/>
  <c r="C32" i="89"/>
  <c r="M31" i="89" s="1"/>
  <c r="C83" i="89"/>
  <c r="C89" i="89"/>
  <c r="D89" i="89" s="1"/>
  <c r="C117" i="89"/>
  <c r="D117" i="89" s="1"/>
  <c r="O20" i="89"/>
  <c r="C38" i="89"/>
  <c r="D38" i="89" s="1"/>
  <c r="C134" i="89"/>
  <c r="M24" i="26" l="1"/>
  <c r="D40" i="89"/>
  <c r="M32" i="89"/>
  <c r="M33" i="89" s="1"/>
  <c r="AC23" i="89"/>
  <c r="H85" i="89"/>
  <c r="I85" i="89" s="1"/>
  <c r="Z23" i="89"/>
  <c r="D57" i="89"/>
  <c r="S23" i="89"/>
  <c r="S25" i="89" s="1"/>
  <c r="O23" i="89"/>
  <c r="D109" i="89"/>
  <c r="D113" i="89"/>
  <c r="F139" i="89"/>
  <c r="E139" i="89" s="1"/>
  <c r="F63" i="89"/>
  <c r="E63" i="89" s="1"/>
  <c r="F115" i="89"/>
  <c r="E115" i="89" s="1"/>
  <c r="H33" i="89"/>
  <c r="I33" i="89" s="1"/>
  <c r="H136" i="89"/>
  <c r="I136" i="89" s="1"/>
  <c r="D136" i="89"/>
  <c r="H86" i="89"/>
  <c r="I86" i="89" s="1"/>
  <c r="D86" i="89"/>
  <c r="H82" i="89"/>
  <c r="I82" i="89" s="1"/>
  <c r="D82" i="89"/>
  <c r="H58" i="89"/>
  <c r="I58" i="89" s="1"/>
  <c r="D58" i="89"/>
  <c r="H35" i="89"/>
  <c r="I35" i="89" s="1"/>
  <c r="D35" i="89"/>
  <c r="H137" i="89"/>
  <c r="I137" i="89" s="1"/>
  <c r="D137" i="89"/>
  <c r="H36" i="89"/>
  <c r="I36" i="89" s="1"/>
  <c r="D36" i="89"/>
  <c r="H60" i="89"/>
  <c r="I60" i="89" s="1"/>
  <c r="D60" i="89"/>
  <c r="F60" i="89" s="1"/>
  <c r="E60" i="89" s="1"/>
  <c r="D134" i="89"/>
  <c r="H134" i="89"/>
  <c r="I134" i="89" s="1"/>
  <c r="H110" i="89"/>
  <c r="I110" i="89" s="1"/>
  <c r="D110" i="89"/>
  <c r="H83" i="89"/>
  <c r="I83" i="89" s="1"/>
  <c r="D83" i="89"/>
  <c r="H32" i="89"/>
  <c r="I32" i="89" s="1"/>
  <c r="D32" i="89"/>
  <c r="H112" i="89"/>
  <c r="I112" i="89" s="1"/>
  <c r="D112" i="89"/>
  <c r="H133" i="89"/>
  <c r="I133" i="89" s="1"/>
  <c r="D133" i="89"/>
  <c r="H25" i="89"/>
  <c r="M25" i="89" s="1"/>
  <c r="D43" i="89" l="1"/>
  <c r="D44" i="89" s="1"/>
  <c r="J44" i="89" s="1"/>
  <c r="F109" i="89"/>
  <c r="E109" i="89" s="1"/>
  <c r="F112" i="89"/>
  <c r="E112" i="89" s="1"/>
  <c r="D68" i="89"/>
  <c r="D69" i="89" s="1"/>
  <c r="D70" i="89" s="1"/>
  <c r="D119" i="89"/>
  <c r="D120" i="89" s="1"/>
  <c r="D122" i="89" s="1"/>
  <c r="I138" i="89"/>
  <c r="I139" i="89" s="1"/>
  <c r="I62" i="89"/>
  <c r="I63" i="89" s="1"/>
  <c r="I37" i="89"/>
  <c r="I38" i="89" s="1"/>
  <c r="D95" i="89"/>
  <c r="D96" i="89" s="1"/>
  <c r="D144" i="89"/>
  <c r="D145" i="89" s="1"/>
  <c r="I87" i="89"/>
  <c r="I88" i="89" s="1"/>
  <c r="I114" i="89"/>
  <c r="I115" i="89" s="1"/>
  <c r="F57" i="89"/>
  <c r="E57" i="89" s="1"/>
  <c r="D121" i="89" l="1"/>
  <c r="D123" i="89" s="1"/>
  <c r="D71" i="89"/>
  <c r="D72" i="89" s="1"/>
  <c r="D147" i="89"/>
  <c r="D146" i="89"/>
  <c r="D98" i="89"/>
  <c r="D97" i="89"/>
  <c r="D46" i="89"/>
  <c r="D45" i="89"/>
  <c r="I32" i="26" l="1"/>
  <c r="S10" i="75" s="1"/>
  <c r="T10" i="75" s="1"/>
  <c r="V10" i="75" s="1"/>
  <c r="I35" i="26"/>
  <c r="S14" i="75" s="1"/>
  <c r="T14" i="75" s="1"/>
  <c r="V14" i="75" s="1"/>
  <c r="I25" i="26"/>
  <c r="S5" i="75" s="1"/>
  <c r="T5" i="75" s="1"/>
  <c r="U5" i="75" s="1"/>
  <c r="I28" i="26"/>
  <c r="I29" i="26"/>
  <c r="D47" i="89"/>
  <c r="D99" i="89"/>
  <c r="D148" i="89"/>
  <c r="G72" i="89"/>
  <c r="G123" i="89"/>
  <c r="K29" i="26" l="1"/>
  <c r="S8" i="75"/>
  <c r="T8" i="75" s="1"/>
  <c r="V8" i="75" s="1"/>
  <c r="I33" i="26"/>
  <c r="S11" i="75" s="1"/>
  <c r="T11" i="75" s="1"/>
  <c r="V11" i="75" s="1"/>
  <c r="I34" i="26"/>
  <c r="S12" i="75" s="1"/>
  <c r="T12" i="75" s="1"/>
  <c r="V12" i="75" s="1"/>
  <c r="K35" i="26"/>
  <c r="P35" i="26"/>
  <c r="J28" i="26"/>
  <c r="Q28" i="26" s="1"/>
  <c r="P28" i="26"/>
  <c r="G99" i="89"/>
  <c r="I31" i="26"/>
  <c r="I30" i="26"/>
  <c r="S9" i="75" s="1"/>
  <c r="T9" i="75" s="1"/>
  <c r="V9" i="75" s="1"/>
  <c r="K25" i="26"/>
  <c r="P25" i="26"/>
  <c r="P29" i="26"/>
  <c r="K32" i="26"/>
  <c r="P32" i="26"/>
  <c r="G47" i="89"/>
  <c r="G148" i="89"/>
  <c r="P34" i="26" l="1"/>
  <c r="K34" i="26"/>
  <c r="K28" i="26"/>
  <c r="S4" i="75" s="1"/>
  <c r="T4" i="75" s="1"/>
  <c r="U4" i="75" s="1"/>
  <c r="J31" i="26"/>
  <c r="Q31" i="26" s="1"/>
  <c r="P31" i="26"/>
  <c r="K33" i="26"/>
  <c r="P33" i="26"/>
  <c r="K30" i="26"/>
  <c r="P30" i="26"/>
  <c r="G151" i="89"/>
  <c r="K14" i="26"/>
  <c r="N14" i="26"/>
  <c r="O14" i="26"/>
  <c r="Q14" i="26"/>
  <c r="R14" i="26"/>
  <c r="H14" i="26"/>
  <c r="S57" i="11"/>
  <c r="S58" i="11"/>
  <c r="S59" i="11"/>
  <c r="S60" i="11"/>
  <c r="J55" i="11"/>
  <c r="K55" i="11"/>
  <c r="S55" i="11"/>
  <c r="E56" i="11"/>
  <c r="K56" i="11" s="1"/>
  <c r="J57" i="11"/>
  <c r="K57" i="11"/>
  <c r="J58" i="11"/>
  <c r="K58" i="11"/>
  <c r="K59" i="11"/>
  <c r="J60" i="11"/>
  <c r="K60" i="11"/>
  <c r="B51" i="11"/>
  <c r="C51" i="11"/>
  <c r="D51" i="11"/>
  <c r="E51" i="11"/>
  <c r="A51" i="11"/>
  <c r="S54" i="11"/>
  <c r="K54" i="11"/>
  <c r="J54" i="11"/>
  <c r="S53" i="11"/>
  <c r="K53" i="11"/>
  <c r="J53" i="11"/>
  <c r="S52" i="11"/>
  <c r="K52" i="11"/>
  <c r="J52" i="11"/>
  <c r="S49" i="11"/>
  <c r="S50" i="11"/>
  <c r="J49" i="11"/>
  <c r="K49" i="11"/>
  <c r="J50" i="11"/>
  <c r="K50" i="11"/>
  <c r="J48" i="11"/>
  <c r="J47" i="11"/>
  <c r="K47" i="11"/>
  <c r="K48" i="11"/>
  <c r="S47" i="11"/>
  <c r="S48" i="11"/>
  <c r="K46" i="11"/>
  <c r="J46" i="11"/>
  <c r="K45" i="11"/>
  <c r="J45" i="11"/>
  <c r="S46" i="11"/>
  <c r="S45" i="11"/>
  <c r="K64" i="11"/>
  <c r="J64" i="11"/>
  <c r="K63" i="11"/>
  <c r="J63" i="11"/>
  <c r="K62" i="11"/>
  <c r="J62" i="11"/>
  <c r="B61" i="11"/>
  <c r="C61" i="11"/>
  <c r="D61" i="11"/>
  <c r="E61" i="11"/>
  <c r="B44" i="11"/>
  <c r="C44" i="11"/>
  <c r="D44" i="11"/>
  <c r="E44" i="11"/>
  <c r="D19" i="88"/>
  <c r="D18" i="88"/>
  <c r="L64" i="11" s="1"/>
  <c r="S64" i="11" s="1"/>
  <c r="D17" i="88"/>
  <c r="D16" i="88"/>
  <c r="D15" i="88"/>
  <c r="I162" i="26" s="1"/>
  <c r="D12" i="88"/>
  <c r="D14" i="88"/>
  <c r="L63" i="11" s="1"/>
  <c r="S63" i="11" s="1"/>
  <c r="D6" i="88"/>
  <c r="D7" i="88"/>
  <c r="D8" i="88"/>
  <c r="D9" i="88"/>
  <c r="D10" i="88"/>
  <c r="D11" i="88"/>
  <c r="D5" i="88"/>
  <c r="J29" i="11"/>
  <c r="K29" i="11"/>
  <c r="J31" i="11"/>
  <c r="K31" i="11"/>
  <c r="J32" i="11"/>
  <c r="K32" i="11"/>
  <c r="J33" i="11"/>
  <c r="K33" i="11"/>
  <c r="J36" i="11"/>
  <c r="K36" i="11"/>
  <c r="J37" i="11"/>
  <c r="K37" i="11"/>
  <c r="J38" i="11"/>
  <c r="K38" i="11"/>
  <c r="S13" i="75" l="1"/>
  <c r="T13" i="75" s="1"/>
  <c r="V13" i="75" s="1"/>
  <c r="V15" i="75" s="1"/>
  <c r="V17" i="75" s="1"/>
  <c r="V18" i="75" s="1"/>
  <c r="K31" i="26"/>
  <c r="J151" i="89"/>
  <c r="K151" i="89" s="1"/>
  <c r="G155" i="89"/>
  <c r="G156" i="89" s="1"/>
  <c r="L62" i="11"/>
  <c r="S62" i="11" s="1"/>
  <c r="U61" i="11" s="1"/>
  <c r="Q61" i="11" s="1"/>
  <c r="I17" i="26" s="1"/>
  <c r="P14" i="26"/>
  <c r="S14" i="26" s="1"/>
  <c r="M14" i="26"/>
  <c r="S56" i="11"/>
  <c r="U51" i="11" s="1"/>
  <c r="Q51" i="11" s="1"/>
  <c r="I16" i="26" s="1"/>
  <c r="J56" i="11"/>
  <c r="K51" i="11"/>
  <c r="I51" i="11" s="1"/>
  <c r="G16" i="26" s="1"/>
  <c r="K44" i="11"/>
  <c r="I44" i="11" s="1"/>
  <c r="G15" i="26" s="1"/>
  <c r="U44" i="11"/>
  <c r="Q44" i="11" s="1"/>
  <c r="I15" i="26" s="1"/>
  <c r="J44" i="11"/>
  <c r="H44" i="11" s="1"/>
  <c r="F15" i="26" s="1"/>
  <c r="K61" i="11"/>
  <c r="I61" i="11" s="1"/>
  <c r="G17" i="26" s="1"/>
  <c r="J61" i="11"/>
  <c r="H61" i="11" s="1"/>
  <c r="F17" i="26" s="1"/>
  <c r="AB31" i="11"/>
  <c r="S31" i="11"/>
  <c r="S32" i="11"/>
  <c r="S33" i="11"/>
  <c r="S42" i="11"/>
  <c r="S23" i="11"/>
  <c r="J23" i="11"/>
  <c r="X25" i="11"/>
  <c r="AE25" i="11" s="1"/>
  <c r="AF25" i="11" s="1"/>
  <c r="AF27" i="11" s="1"/>
  <c r="E26" i="11" s="1"/>
  <c r="AB24" i="11"/>
  <c r="K23" i="11"/>
  <c r="E34" i="11"/>
  <c r="B22" i="11"/>
  <c r="C22" i="11"/>
  <c r="D22" i="11"/>
  <c r="E22" i="11"/>
  <c r="S15" i="11"/>
  <c r="S16" i="11"/>
  <c r="S17" i="11"/>
  <c r="S19" i="11"/>
  <c r="S20" i="11"/>
  <c r="S21" i="11"/>
  <c r="S14" i="11"/>
  <c r="K16" i="11"/>
  <c r="K17" i="11"/>
  <c r="K19" i="11"/>
  <c r="K20" i="11"/>
  <c r="J21" i="11"/>
  <c r="K21" i="11"/>
  <c r="D8" i="87"/>
  <c r="F17" i="11" s="1"/>
  <c r="J17" i="11" s="1"/>
  <c r="F16" i="11"/>
  <c r="J16" i="11" s="1"/>
  <c r="F19" i="11"/>
  <c r="J19" i="11" s="1"/>
  <c r="F15" i="11"/>
  <c r="J15" i="11" s="1"/>
  <c r="F14" i="11"/>
  <c r="J14" i="11" s="1"/>
  <c r="F13" i="11"/>
  <c r="K15" i="11"/>
  <c r="K14" i="11"/>
  <c r="E25" i="11" l="1"/>
  <c r="S26" i="11"/>
  <c r="F59" i="11"/>
  <c r="J59" i="11" s="1"/>
  <c r="J51" i="11" s="1"/>
  <c r="H51" i="11" s="1"/>
  <c r="F16" i="26" s="1"/>
  <c r="N16" i="26" s="1"/>
  <c r="O15" i="26"/>
  <c r="O16" i="26"/>
  <c r="K162" i="26"/>
  <c r="M162" i="26" s="1"/>
  <c r="P162" i="26"/>
  <c r="S162" i="26" s="1"/>
  <c r="H17" i="26"/>
  <c r="P15" i="26"/>
  <c r="N15" i="26"/>
  <c r="P16" i="26"/>
  <c r="J34" i="11"/>
  <c r="F35" i="11" s="1"/>
  <c r="J35" i="11" s="1"/>
  <c r="K34" i="11"/>
  <c r="S34" i="11"/>
  <c r="AB25" i="11"/>
  <c r="AB29" i="11" s="1"/>
  <c r="AB32" i="11" s="1"/>
  <c r="AD32" i="11"/>
  <c r="B12" i="11"/>
  <c r="C12" i="11"/>
  <c r="D12" i="11"/>
  <c r="E12" i="11"/>
  <c r="E13" i="11" s="1"/>
  <c r="L9" i="11"/>
  <c r="B8" i="11"/>
  <c r="C8" i="11"/>
  <c r="D8" i="11"/>
  <c r="E8" i="11"/>
  <c r="E10" i="11" s="1"/>
  <c r="J10" i="11" s="1"/>
  <c r="H16" i="26" l="1"/>
  <c r="H15" i="26"/>
  <c r="E24" i="11"/>
  <c r="K13" i="11"/>
  <c r="S13" i="11"/>
  <c r="E18" i="11"/>
  <c r="J13" i="11"/>
  <c r="S11" i="11"/>
  <c r="E9" i="11"/>
  <c r="S10" i="11"/>
  <c r="K10" i="11"/>
  <c r="N17" i="26"/>
  <c r="O17" i="26"/>
  <c r="P17" i="26"/>
  <c r="R17" i="26"/>
  <c r="N45" i="26"/>
  <c r="O45" i="26"/>
  <c r="P45" i="26"/>
  <c r="Q45" i="26"/>
  <c r="R45" i="26"/>
  <c r="K43" i="26"/>
  <c r="K45" i="26"/>
  <c r="H43" i="26"/>
  <c r="H45" i="26"/>
  <c r="W2" i="26"/>
  <c r="I189" i="26" s="1"/>
  <c r="V2" i="26"/>
  <c r="J12" i="33"/>
  <c r="I204" i="26" s="1"/>
  <c r="D29" i="46"/>
  <c r="K204" i="26" l="1"/>
  <c r="M204" i="26" s="1"/>
  <c r="P204" i="26"/>
  <c r="S204" i="26" s="1"/>
  <c r="E14" i="46"/>
  <c r="E16" i="46"/>
  <c r="F16" i="46" s="1"/>
  <c r="M45" i="26"/>
  <c r="K26" i="11"/>
  <c r="J26" i="11"/>
  <c r="S24" i="11"/>
  <c r="J24" i="11"/>
  <c r="K24" i="11"/>
  <c r="K18" i="11"/>
  <c r="K12" i="11" s="1"/>
  <c r="J18" i="11"/>
  <c r="F20" i="11" s="1"/>
  <c r="J20" i="11" s="1"/>
  <c r="J12" i="11" s="1"/>
  <c r="S18" i="11"/>
  <c r="U12" i="11" s="1"/>
  <c r="K11" i="11"/>
  <c r="J11" i="11"/>
  <c r="K9" i="11"/>
  <c r="J9" i="11"/>
  <c r="S9" i="11"/>
  <c r="U8" i="11" s="1"/>
  <c r="Q8" i="11" s="1"/>
  <c r="I10" i="26" s="1"/>
  <c r="S45" i="26"/>
  <c r="F14" i="46" l="1"/>
  <c r="E18" i="46"/>
  <c r="P189" i="26"/>
  <c r="S189" i="26" s="1"/>
  <c r="K189" i="26"/>
  <c r="M189" i="26" s="1"/>
  <c r="S25" i="11"/>
  <c r="G142" i="76"/>
  <c r="K25" i="11"/>
  <c r="J25" i="11"/>
  <c r="F28" i="11" s="1"/>
  <c r="J28" i="11" s="1"/>
  <c r="J8" i="11"/>
  <c r="H8" i="11" s="1"/>
  <c r="F10" i="26" s="1"/>
  <c r="K8" i="11"/>
  <c r="I8" i="11" s="1"/>
  <c r="G10" i="26" s="1"/>
  <c r="J27" i="33"/>
  <c r="F26" i="33"/>
  <c r="F42" i="33"/>
  <c r="I215" i="26" l="1"/>
  <c r="O43" i="26" l="1"/>
  <c r="N43" i="26" l="1"/>
  <c r="Q43" i="26"/>
  <c r="P43" i="26"/>
  <c r="L24" i="46"/>
  <c r="J21" i="33"/>
  <c r="I214" i="26" l="1"/>
  <c r="P112" i="26"/>
  <c r="J92" i="11" l="1"/>
  <c r="K92" i="11"/>
  <c r="C89" i="11"/>
  <c r="A89" i="11"/>
  <c r="K91" i="11" l="1"/>
  <c r="S91" i="11" l="1"/>
  <c r="J91" i="11"/>
  <c r="J93" i="11"/>
  <c r="K93" i="11"/>
  <c r="K90" i="11" s="1"/>
  <c r="S93" i="11"/>
  <c r="I90" i="11" l="1"/>
  <c r="I81" i="11"/>
  <c r="G49" i="26" s="1"/>
  <c r="O49" i="26" s="1"/>
  <c r="O57" i="26"/>
  <c r="U90" i="11"/>
  <c r="Q90" i="11" s="1"/>
  <c r="J90" i="11"/>
  <c r="G3" i="72"/>
  <c r="H90" i="11" l="1"/>
  <c r="H81" i="11"/>
  <c r="F49" i="26" s="1"/>
  <c r="H57" i="26"/>
  <c r="N57" i="26"/>
  <c r="P57" i="26"/>
  <c r="D5" i="76"/>
  <c r="N49" i="26" l="1"/>
  <c r="H49" i="26"/>
  <c r="J107" i="76"/>
  <c r="K107" i="76" s="1"/>
  <c r="L107" i="76" s="1"/>
  <c r="J105" i="76"/>
  <c r="K105" i="76" s="1"/>
  <c r="L105" i="76" s="1"/>
  <c r="J106" i="76"/>
  <c r="K106" i="76" s="1"/>
  <c r="L106" i="76" s="1"/>
  <c r="J108" i="76"/>
  <c r="K108" i="76" s="1"/>
  <c r="L108" i="76" s="1"/>
  <c r="J100" i="76"/>
  <c r="K100" i="76" s="1"/>
  <c r="L100" i="76" s="1"/>
  <c r="J97" i="76"/>
  <c r="K97" i="76" s="1"/>
  <c r="L97" i="76" s="1"/>
  <c r="J99" i="76"/>
  <c r="K99" i="76" s="1"/>
  <c r="L99" i="76" s="1"/>
  <c r="J98" i="76"/>
  <c r="K98" i="76" s="1"/>
  <c r="L98" i="76" s="1"/>
  <c r="J14" i="76"/>
  <c r="K14" i="76" s="1"/>
  <c r="L14" i="76" s="1"/>
  <c r="J15" i="76"/>
  <c r="K15" i="76" s="1"/>
  <c r="L15" i="76" s="1"/>
  <c r="J13" i="76"/>
  <c r="J12" i="76"/>
  <c r="J112" i="76"/>
  <c r="J111" i="76"/>
  <c r="J110" i="76"/>
  <c r="J80" i="76"/>
  <c r="K80" i="76" s="1"/>
  <c r="L80" i="76" s="1"/>
  <c r="J87" i="76"/>
  <c r="K87" i="76" s="1"/>
  <c r="L87" i="76" s="1"/>
  <c r="J91" i="76"/>
  <c r="K91" i="76" s="1"/>
  <c r="L91" i="76" s="1"/>
  <c r="J85" i="76"/>
  <c r="K85" i="76" s="1"/>
  <c r="L85" i="76" s="1"/>
  <c r="J89" i="76"/>
  <c r="K89" i="76" s="1"/>
  <c r="L89" i="76" s="1"/>
  <c r="J88" i="76"/>
  <c r="K88" i="76" s="1"/>
  <c r="L88" i="76" s="1"/>
  <c r="J82" i="76"/>
  <c r="J79" i="76"/>
  <c r="J78" i="76"/>
  <c r="J76" i="76"/>
  <c r="J68" i="76"/>
  <c r="K68" i="76" s="1"/>
  <c r="L68" i="76" s="1"/>
  <c r="J72" i="76"/>
  <c r="K72" i="76" s="1"/>
  <c r="L72" i="76" s="1"/>
  <c r="J60" i="76"/>
  <c r="J64" i="76"/>
  <c r="J53" i="76"/>
  <c r="K53" i="76" s="1"/>
  <c r="L53" i="76" s="1"/>
  <c r="J57" i="76"/>
  <c r="K57" i="76" s="1"/>
  <c r="L57" i="76" s="1"/>
  <c r="J52" i="76"/>
  <c r="K52" i="76" s="1"/>
  <c r="L52" i="76" s="1"/>
  <c r="J49" i="76"/>
  <c r="K49" i="76" s="1"/>
  <c r="L49" i="76" s="1"/>
  <c r="J56" i="76"/>
  <c r="K56" i="76" s="1"/>
  <c r="L56" i="76" s="1"/>
  <c r="J51" i="76"/>
  <c r="K51" i="76" s="1"/>
  <c r="L51" i="76" s="1"/>
  <c r="K55" i="76"/>
  <c r="L55" i="76" s="1"/>
  <c r="K54" i="76"/>
  <c r="L54" i="76" s="1"/>
  <c r="J50" i="76"/>
  <c r="K50" i="76" s="1"/>
  <c r="L50" i="76" s="1"/>
  <c r="J44" i="76"/>
  <c r="K44" i="76" s="1"/>
  <c r="L44" i="76" s="1"/>
  <c r="J46" i="76"/>
  <c r="K46" i="76" s="1"/>
  <c r="L46" i="76" s="1"/>
  <c r="J42" i="76"/>
  <c r="J41" i="76"/>
  <c r="J40" i="76"/>
  <c r="J38" i="76"/>
  <c r="J45" i="76"/>
  <c r="J43" i="76"/>
  <c r="J39" i="76"/>
  <c r="J28" i="76"/>
  <c r="K28" i="76" s="1"/>
  <c r="L28" i="76" s="1"/>
  <c r="J34" i="76"/>
  <c r="K34" i="76" s="1"/>
  <c r="L34" i="76" s="1"/>
  <c r="J33" i="76"/>
  <c r="K33" i="76" s="1"/>
  <c r="L33" i="76" s="1"/>
  <c r="J35" i="76"/>
  <c r="K35" i="76" s="1"/>
  <c r="L35" i="76" s="1"/>
  <c r="J29" i="76"/>
  <c r="J27" i="76"/>
  <c r="J18" i="76"/>
  <c r="K18" i="76" s="1"/>
  <c r="L18" i="76" s="1"/>
  <c r="J19" i="76"/>
  <c r="K19" i="76" s="1"/>
  <c r="L19" i="76" s="1"/>
  <c r="J20" i="76"/>
  <c r="K20" i="76" s="1"/>
  <c r="L20" i="76" s="1"/>
  <c r="J22" i="76"/>
  <c r="K22" i="76" s="1"/>
  <c r="L22" i="76" s="1"/>
  <c r="J23" i="76"/>
  <c r="K23" i="76" s="1"/>
  <c r="L23" i="76" s="1"/>
  <c r="J21" i="76"/>
  <c r="K21" i="76" s="1"/>
  <c r="L21" i="76" s="1"/>
  <c r="M101" i="76" l="1"/>
  <c r="O101" i="76" s="1"/>
  <c r="E127" i="76" s="1"/>
  <c r="E60" i="75" s="1"/>
  <c r="M93" i="76"/>
  <c r="O93" i="76" s="1"/>
  <c r="E126" i="76" s="1"/>
  <c r="M84" i="76"/>
  <c r="O84" i="76" s="1"/>
  <c r="E125" i="76" s="1"/>
  <c r="M67" i="76"/>
  <c r="O67" i="76" s="1"/>
  <c r="E123" i="76" s="1"/>
  <c r="M48" i="76"/>
  <c r="O48" i="76" s="1"/>
  <c r="E121" i="76" s="1"/>
  <c r="H66" i="26"/>
  <c r="K197" i="26" l="1"/>
  <c r="H197" i="26"/>
  <c r="M197" i="26" l="1"/>
  <c r="T195" i="26" l="1"/>
  <c r="O199" i="26"/>
  <c r="N199" i="26"/>
  <c r="H199" i="26"/>
  <c r="M196" i="26" l="1"/>
  <c r="H123" i="26"/>
  <c r="O206" i="26" l="1"/>
  <c r="N84" i="26"/>
  <c r="O84" i="26"/>
  <c r="Q84" i="26"/>
  <c r="R84" i="26"/>
  <c r="H84" i="26"/>
  <c r="H85" i="26" l="1"/>
  <c r="C69" i="11" l="1"/>
  <c r="A69" i="11"/>
  <c r="B101" i="11"/>
  <c r="C101" i="11"/>
  <c r="D101" i="11"/>
  <c r="H55" i="26" l="1"/>
  <c r="E38" i="75"/>
  <c r="M55" i="26" l="1"/>
  <c r="N55" i="26" l="1"/>
  <c r="N54" i="26" l="1"/>
  <c r="O54" i="26"/>
  <c r="R55" i="26"/>
  <c r="Q55" i="26"/>
  <c r="P55" i="26"/>
  <c r="O55" i="26"/>
  <c r="R54" i="26"/>
  <c r="E101" i="11"/>
  <c r="Q54" i="26"/>
  <c r="P54" i="26"/>
  <c r="M54" i="26"/>
  <c r="E103" i="11" l="1"/>
  <c r="E102" i="11"/>
  <c r="K102" i="11" s="1"/>
  <c r="E104" i="11"/>
  <c r="E105" i="11"/>
  <c r="S54" i="26"/>
  <c r="S55" i="26"/>
  <c r="S105" i="11" l="1"/>
  <c r="K105" i="11"/>
  <c r="J105" i="11"/>
  <c r="S103" i="11"/>
  <c r="K103" i="11"/>
  <c r="J103" i="11"/>
  <c r="S104" i="11"/>
  <c r="K104" i="11"/>
  <c r="J104" i="11"/>
  <c r="K101" i="11" l="1"/>
  <c r="A133" i="26"/>
  <c r="A128" i="26"/>
  <c r="A171" i="11"/>
  <c r="A108" i="26"/>
  <c r="A109" i="26" s="1"/>
  <c r="A97" i="26"/>
  <c r="A148" i="11" s="1"/>
  <c r="K215" i="26"/>
  <c r="H215" i="26"/>
  <c r="H214" i="26"/>
  <c r="R85" i="26"/>
  <c r="Q85" i="26"/>
  <c r="O85" i="26"/>
  <c r="N85" i="26"/>
  <c r="R126" i="26"/>
  <c r="P126" i="26"/>
  <c r="O126" i="26"/>
  <c r="N126" i="26"/>
  <c r="H126" i="26"/>
  <c r="H161" i="76"/>
  <c r="H112" i="76"/>
  <c r="I112" i="76" s="1"/>
  <c r="K112" i="76" s="1"/>
  <c r="L112" i="76" s="1"/>
  <c r="H111" i="76"/>
  <c r="I111" i="76" s="1"/>
  <c r="K111" i="76" s="1"/>
  <c r="L111" i="76" s="1"/>
  <c r="H110" i="76"/>
  <c r="I110" i="76" s="1"/>
  <c r="K110" i="76" s="1"/>
  <c r="L110" i="76" s="1"/>
  <c r="H82" i="76"/>
  <c r="I82" i="76" s="1"/>
  <c r="K82" i="76" s="1"/>
  <c r="L82" i="76" s="1"/>
  <c r="H81" i="76"/>
  <c r="I81" i="76" s="1"/>
  <c r="K81" i="76" s="1"/>
  <c r="L81" i="76" s="1"/>
  <c r="H79" i="76"/>
  <c r="I79" i="76" s="1"/>
  <c r="K79" i="76" s="1"/>
  <c r="L79" i="76" s="1"/>
  <c r="H78" i="76"/>
  <c r="I78" i="76" s="1"/>
  <c r="K78" i="76" s="1"/>
  <c r="L78" i="76" s="1"/>
  <c r="H77" i="76"/>
  <c r="I77" i="76" s="1"/>
  <c r="K77" i="76" s="1"/>
  <c r="L77" i="76" s="1"/>
  <c r="H76" i="76"/>
  <c r="I76" i="76" s="1"/>
  <c r="K76" i="76" s="1"/>
  <c r="L76" i="76" s="1"/>
  <c r="H66" i="76"/>
  <c r="H64" i="76"/>
  <c r="I64" i="76" s="1"/>
  <c r="H63" i="76"/>
  <c r="I63" i="76" s="1"/>
  <c r="H62" i="76"/>
  <c r="I62" i="76" s="1"/>
  <c r="H61" i="76"/>
  <c r="I61" i="76" s="1"/>
  <c r="H60" i="76"/>
  <c r="I60" i="76" s="1"/>
  <c r="H47" i="76"/>
  <c r="H45" i="76"/>
  <c r="I45" i="76" s="1"/>
  <c r="K45" i="76" s="1"/>
  <c r="H43" i="76"/>
  <c r="I43" i="76" s="1"/>
  <c r="H42" i="76"/>
  <c r="I42" i="76" s="1"/>
  <c r="H41" i="76"/>
  <c r="I41" i="76" s="1"/>
  <c r="H40" i="76"/>
  <c r="I40" i="76" s="1"/>
  <c r="H39" i="76"/>
  <c r="I39" i="76" s="1"/>
  <c r="H38" i="76"/>
  <c r="I38" i="76" s="1"/>
  <c r="H30" i="76"/>
  <c r="H29" i="76"/>
  <c r="I29" i="76" s="1"/>
  <c r="H27" i="76"/>
  <c r="I27" i="76" s="1"/>
  <c r="H26" i="76"/>
  <c r="I26" i="76" s="1"/>
  <c r="H24" i="76"/>
  <c r="H13" i="76"/>
  <c r="I13" i="76" s="1"/>
  <c r="H12" i="76"/>
  <c r="I12" i="76" s="1"/>
  <c r="K12" i="76" s="1"/>
  <c r="K30" i="76"/>
  <c r="L30" i="76" s="1"/>
  <c r="K3" i="76"/>
  <c r="L3" i="76" s="1"/>
  <c r="K2" i="76"/>
  <c r="L2" i="76" s="1"/>
  <c r="E37" i="75"/>
  <c r="E36" i="75"/>
  <c r="E35" i="75"/>
  <c r="E34" i="75"/>
  <c r="E33" i="75"/>
  <c r="E40" i="75" l="1"/>
  <c r="M75" i="76"/>
  <c r="O75" i="76" s="1"/>
  <c r="E124" i="76" s="1"/>
  <c r="A8" i="11"/>
  <c r="E32" i="75"/>
  <c r="E39" i="75" s="1"/>
  <c r="A101" i="11"/>
  <c r="M215" i="26"/>
  <c r="D39" i="75"/>
  <c r="H25" i="75"/>
  <c r="C42" i="75" l="1"/>
  <c r="F222" i="26"/>
  <c r="A176" i="11"/>
  <c r="I55" i="75"/>
  <c r="I46" i="75"/>
  <c r="I48" i="75"/>
  <c r="I45" i="75"/>
  <c r="I60" i="75"/>
  <c r="I56" i="75"/>
  <c r="A180" i="11"/>
  <c r="A12" i="11"/>
  <c r="L12" i="76"/>
  <c r="L45" i="76"/>
  <c r="K40" i="76"/>
  <c r="L40" i="76" s="1"/>
  <c r="K38" i="76"/>
  <c r="L38" i="76" s="1"/>
  <c r="K43" i="76"/>
  <c r="L43" i="76" s="1"/>
  <c r="K29" i="76"/>
  <c r="L29" i="76" s="1"/>
  <c r="K13" i="76"/>
  <c r="L13" i="76" s="1"/>
  <c r="K41" i="76"/>
  <c r="L41" i="76" s="1"/>
  <c r="K42" i="76"/>
  <c r="L42" i="76" s="1"/>
  <c r="K39" i="76"/>
  <c r="L39" i="76" s="1"/>
  <c r="K26" i="76"/>
  <c r="L26" i="76" s="1"/>
  <c r="K27" i="76"/>
  <c r="L27" i="76" s="1"/>
  <c r="I58" i="75"/>
  <c r="I49" i="75"/>
  <c r="I44" i="75"/>
  <c r="I59" i="75"/>
  <c r="I50" i="75"/>
  <c r="I57" i="75"/>
  <c r="I47" i="75"/>
  <c r="I53" i="75"/>
  <c r="I52" i="75"/>
  <c r="I51" i="75"/>
  <c r="I54" i="75"/>
  <c r="N222" i="26" l="1"/>
  <c r="H222" i="26"/>
  <c r="M222" i="26" s="1"/>
  <c r="U222" i="26" s="1"/>
  <c r="M11" i="76"/>
  <c r="O11" i="76" s="1"/>
  <c r="E116" i="76" s="1"/>
  <c r="E50" i="75" s="1"/>
  <c r="M109" i="76"/>
  <c r="O109" i="76" s="1"/>
  <c r="E128" i="76" s="1"/>
  <c r="M37" i="76"/>
  <c r="O37" i="76" s="1"/>
  <c r="E120" i="76" s="1"/>
  <c r="M31" i="76"/>
  <c r="O31" i="76" s="1"/>
  <c r="E119" i="76" s="1"/>
  <c r="E58" i="75" s="1"/>
  <c r="M25" i="76"/>
  <c r="O25" i="76" s="1"/>
  <c r="E118" i="76" s="1"/>
  <c r="M17" i="76"/>
  <c r="K60" i="76"/>
  <c r="L60" i="76" s="1"/>
  <c r="A184" i="11"/>
  <c r="E56" i="75"/>
  <c r="A22" i="11"/>
  <c r="K64" i="76"/>
  <c r="L64" i="76" s="1"/>
  <c r="K62" i="76"/>
  <c r="L62" i="76" s="1"/>
  <c r="K61" i="76"/>
  <c r="L61" i="76" s="1"/>
  <c r="K63" i="76"/>
  <c r="L63" i="76" s="1"/>
  <c r="S222" i="26" l="1"/>
  <c r="O17" i="76"/>
  <c r="E117" i="76" s="1"/>
  <c r="M59" i="76"/>
  <c r="O59" i="76" s="1"/>
  <c r="E122" i="76" s="1"/>
  <c r="E57" i="75"/>
  <c r="E55" i="75"/>
  <c r="E47" i="75"/>
  <c r="F217" i="11"/>
  <c r="J217" i="11" s="1"/>
  <c r="A61" i="11"/>
  <c r="A44" i="11"/>
  <c r="E53" i="75"/>
  <c r="E52" i="75"/>
  <c r="E54" i="75"/>
  <c r="R51" i="26"/>
  <c r="N113" i="26"/>
  <c r="E46" i="75" l="1"/>
  <c r="J216" i="11"/>
  <c r="H216" i="11" s="1"/>
  <c r="E59" i="75"/>
  <c r="E51" i="75"/>
  <c r="P113" i="26"/>
  <c r="K113" i="26"/>
  <c r="Q113" i="26"/>
  <c r="O113" i="26"/>
  <c r="O12" i="33"/>
  <c r="O7" i="33"/>
  <c r="R113" i="26" l="1"/>
  <c r="S113" i="26" s="1"/>
  <c r="F206" i="26"/>
  <c r="N206" i="26" s="1"/>
  <c r="M113" i="26" l="1"/>
  <c r="A188" i="11"/>
  <c r="J144" i="76"/>
  <c r="L144" i="76" l="1"/>
  <c r="G145" i="76" s="1"/>
  <c r="G148" i="76" s="1"/>
  <c r="L37" i="26" s="1"/>
  <c r="A196" i="11"/>
  <c r="E45" i="33"/>
  <c r="R37" i="26" l="1"/>
  <c r="S37" i="26" s="1"/>
  <c r="M37" i="26"/>
  <c r="C6" i="72"/>
  <c r="C7" i="72"/>
  <c r="C8" i="72"/>
  <c r="C9" i="72"/>
  <c r="C11" i="72"/>
  <c r="C12" i="72"/>
  <c r="C13" i="72"/>
  <c r="C15" i="72"/>
  <c r="C16" i="72"/>
  <c r="C17" i="72"/>
  <c r="C19" i="72"/>
  <c r="C20" i="72"/>
  <c r="C21" i="72"/>
  <c r="C7" i="89" s="1"/>
  <c r="D7" i="89" s="1"/>
  <c r="C22" i="72"/>
  <c r="C8" i="89" s="1"/>
  <c r="D8" i="89" s="1"/>
  <c r="C23" i="72"/>
  <c r="C24" i="72"/>
  <c r="C10" i="89" s="1"/>
  <c r="C25" i="72"/>
  <c r="C26" i="72"/>
  <c r="C27" i="72"/>
  <c r="C5" i="72"/>
  <c r="C5" i="89" l="1"/>
  <c r="I27" i="26" s="1"/>
  <c r="S6" i="75" s="1"/>
  <c r="T6" i="75" s="1"/>
  <c r="U6" i="75" s="1"/>
  <c r="G69" i="89"/>
  <c r="F69" i="89" s="1"/>
  <c r="J10" i="89"/>
  <c r="D10" i="89"/>
  <c r="C6" i="89"/>
  <c r="I26" i="26" s="1"/>
  <c r="S7" i="75" s="1"/>
  <c r="T7" i="75" s="1"/>
  <c r="U7" i="75" s="1"/>
  <c r="C13" i="89"/>
  <c r="C12" i="89"/>
  <c r="C11" i="89"/>
  <c r="C9" i="89"/>
  <c r="U15" i="75" l="1"/>
  <c r="K26" i="26"/>
  <c r="P26" i="26"/>
  <c r="K27" i="26"/>
  <c r="P27" i="26"/>
  <c r="G44" i="89"/>
  <c r="F44" i="89" s="1"/>
  <c r="J9" i="89"/>
  <c r="D9" i="89"/>
  <c r="G120" i="89"/>
  <c r="F120" i="89" s="1"/>
  <c r="D12" i="89"/>
  <c r="J12" i="89"/>
  <c r="D11" i="89"/>
  <c r="J11" i="89"/>
  <c r="G96" i="89"/>
  <c r="F96" i="89" s="1"/>
  <c r="D6" i="89"/>
  <c r="D5" i="89"/>
  <c r="D13" i="89"/>
  <c r="G145" i="89"/>
  <c r="F145" i="89" s="1"/>
  <c r="J13" i="89"/>
  <c r="P206" i="26"/>
  <c r="J150" i="11"/>
  <c r="K150" i="11"/>
  <c r="N191" i="26"/>
  <c r="O191" i="26"/>
  <c r="P191" i="26"/>
  <c r="Q191" i="26"/>
  <c r="R191" i="26"/>
  <c r="N11" i="26"/>
  <c r="O11" i="26"/>
  <c r="P11" i="26"/>
  <c r="Q11" i="26"/>
  <c r="R11" i="26"/>
  <c r="N9" i="26"/>
  <c r="Q9" i="26"/>
  <c r="R9" i="26"/>
  <c r="N194" i="26"/>
  <c r="O194" i="26"/>
  <c r="P194" i="26"/>
  <c r="Q194" i="26"/>
  <c r="R194" i="26"/>
  <c r="F162" i="11"/>
  <c r="F163" i="11"/>
  <c r="B161" i="11"/>
  <c r="C161" i="11"/>
  <c r="D161" i="11"/>
  <c r="A161" i="11"/>
  <c r="B160" i="11"/>
  <c r="C160" i="11"/>
  <c r="A160" i="11"/>
  <c r="D15" i="89" l="1"/>
  <c r="J15" i="89"/>
  <c r="S191" i="26"/>
  <c r="T190" i="26" s="1"/>
  <c r="S194" i="26"/>
  <c r="H101" i="26"/>
  <c r="C100" i="11"/>
  <c r="A100" i="11"/>
  <c r="J17" i="89" l="1"/>
  <c r="J18" i="89" s="1"/>
  <c r="G152" i="89"/>
  <c r="F151" i="89" s="1"/>
  <c r="P85" i="26" l="1"/>
  <c r="S85" i="26" s="1"/>
  <c r="K85" i="26"/>
  <c r="M85" i="26" s="1"/>
  <c r="P84" i="26"/>
  <c r="S84" i="26" s="1"/>
  <c r="K84" i="26"/>
  <c r="M84" i="26" s="1"/>
  <c r="S71" i="11"/>
  <c r="C74" i="11"/>
  <c r="A74" i="11"/>
  <c r="D70" i="11"/>
  <c r="E70" i="11"/>
  <c r="T83" i="26" l="1"/>
  <c r="E72" i="11"/>
  <c r="E73" i="11"/>
  <c r="S102" i="11"/>
  <c r="U101" i="11" s="1"/>
  <c r="K72" i="11" l="1"/>
  <c r="J72" i="11"/>
  <c r="S72" i="11"/>
  <c r="J102" i="11"/>
  <c r="J101" i="11" s="1"/>
  <c r="I101" i="11"/>
  <c r="G65" i="26" s="1"/>
  <c r="O65" i="26" s="1"/>
  <c r="Q101" i="11"/>
  <c r="I65" i="26" s="1"/>
  <c r="P65" i="26" l="1"/>
  <c r="H101" i="11"/>
  <c r="F65" i="26" s="1"/>
  <c r="H65" i="26" l="1"/>
  <c r="N65" i="26"/>
  <c r="C7" i="11"/>
  <c r="Q12" i="11" l="1"/>
  <c r="I12" i="26" s="1"/>
  <c r="I12" i="11"/>
  <c r="G12" i="26" s="1"/>
  <c r="O9" i="26"/>
  <c r="O12" i="26" l="1"/>
  <c r="P9" i="26" l="1"/>
  <c r="D27" i="72"/>
  <c r="D26" i="72"/>
  <c r="D25" i="72"/>
  <c r="D24" i="72"/>
  <c r="D23" i="72"/>
  <c r="D22" i="72"/>
  <c r="D21" i="72"/>
  <c r="D20" i="72"/>
  <c r="D19" i="72"/>
  <c r="D17" i="72"/>
  <c r="D16" i="72"/>
  <c r="D15" i="72"/>
  <c r="D13" i="72"/>
  <c r="E13" i="72" s="1"/>
  <c r="D12" i="72"/>
  <c r="D11" i="72"/>
  <c r="K11" i="72" s="1"/>
  <c r="D9" i="72"/>
  <c r="D8" i="72"/>
  <c r="D7" i="72"/>
  <c r="D6" i="72"/>
  <c r="D5" i="72"/>
  <c r="K6" i="72" l="1"/>
  <c r="S9" i="26"/>
  <c r="D28" i="72"/>
  <c r="H191" i="26" l="1"/>
  <c r="K191" i="26"/>
  <c r="M191" i="26" l="1"/>
  <c r="H62" i="26"/>
  <c r="H114" i="26"/>
  <c r="H165" i="26"/>
  <c r="L165" i="26" l="1"/>
  <c r="R165" i="26" s="1"/>
  <c r="S165" i="26" s="1"/>
  <c r="H206" i="26"/>
  <c r="K11" i="26"/>
  <c r="H11" i="26"/>
  <c r="M165" i="26" l="1"/>
  <c r="S11" i="26"/>
  <c r="M11" i="26"/>
  <c r="K194" i="26"/>
  <c r="H194" i="26" l="1"/>
  <c r="H140" i="26"/>
  <c r="H136" i="26"/>
  <c r="H135" i="26"/>
  <c r="T193" i="26" l="1"/>
  <c r="M194" i="26"/>
  <c r="K135" i="26" l="1"/>
  <c r="K136" i="26"/>
  <c r="K140" i="26"/>
  <c r="M140" i="26" s="1"/>
  <c r="O133" i="26" l="1"/>
  <c r="Q133" i="26"/>
  <c r="R133" i="26"/>
  <c r="N133" i="26"/>
  <c r="P133" i="26"/>
  <c r="Q139" i="26"/>
  <c r="R139" i="26"/>
  <c r="O139" i="26"/>
  <c r="N139" i="26"/>
  <c r="P139" i="26"/>
  <c r="O135" i="26"/>
  <c r="R135" i="26"/>
  <c r="Q135" i="26"/>
  <c r="P135" i="26"/>
  <c r="N135" i="26"/>
  <c r="Q136" i="26"/>
  <c r="R136" i="26"/>
  <c r="O136" i="26"/>
  <c r="N136" i="26"/>
  <c r="P136" i="26"/>
  <c r="R137" i="26"/>
  <c r="Q137" i="26"/>
  <c r="O137" i="26"/>
  <c r="N137" i="26"/>
  <c r="P137" i="26"/>
  <c r="M135" i="26"/>
  <c r="M136" i="26"/>
  <c r="M137" i="26"/>
  <c r="M139" i="26"/>
  <c r="S137" i="26" l="1"/>
  <c r="S133" i="26"/>
  <c r="S139" i="26"/>
  <c r="S136" i="26"/>
  <c r="S135" i="26"/>
  <c r="P180" i="26" l="1"/>
  <c r="K180" i="26"/>
  <c r="L180" i="26" l="1"/>
  <c r="R180" i="26" s="1"/>
  <c r="S180" i="26" s="1"/>
  <c r="T179" i="26" s="1"/>
  <c r="K178" i="26"/>
  <c r="P178" i="26"/>
  <c r="P188" i="26"/>
  <c r="K188" i="26"/>
  <c r="L188" i="26" l="1"/>
  <c r="R188" i="26" s="1"/>
  <c r="S188" i="26" s="1"/>
  <c r="T187" i="26" s="1"/>
  <c r="L178" i="26"/>
  <c r="R178" i="26" s="1"/>
  <c r="S178" i="26" s="1"/>
  <c r="M180" i="26"/>
  <c r="K186" i="26"/>
  <c r="L186" i="26" s="1"/>
  <c r="R186" i="26" s="1"/>
  <c r="P186" i="26"/>
  <c r="M188" i="26" l="1"/>
  <c r="S186" i="26"/>
  <c r="T185" i="26" s="1"/>
  <c r="M178" i="26"/>
  <c r="M186" i="26"/>
  <c r="O5" i="33"/>
  <c r="O6" i="33"/>
  <c r="O8" i="33"/>
  <c r="O10" i="33"/>
  <c r="O11" i="33"/>
  <c r="O4" i="33"/>
  <c r="H205" i="26"/>
  <c r="K205" i="26" l="1"/>
  <c r="M205" i="26" s="1"/>
  <c r="K108" i="26"/>
  <c r="F13" i="46" l="1"/>
  <c r="F18" i="46" s="1"/>
  <c r="R89" i="26" l="1"/>
  <c r="Q89" i="26"/>
  <c r="O89" i="26"/>
  <c r="K62" i="26"/>
  <c r="K130" i="26"/>
  <c r="H59" i="26"/>
  <c r="K131" i="26" l="1"/>
  <c r="S89" i="26"/>
  <c r="H68" i="26"/>
  <c r="K68" i="26"/>
  <c r="O130" i="26"/>
  <c r="Q130" i="26"/>
  <c r="R130" i="26"/>
  <c r="K101" i="26"/>
  <c r="Q131" i="26"/>
  <c r="O131" i="26"/>
  <c r="N131" i="26"/>
  <c r="N59" i="26"/>
  <c r="O59" i="26"/>
  <c r="P59" i="26"/>
  <c r="K94" i="26"/>
  <c r="H61" i="26"/>
  <c r="K61" i="26"/>
  <c r="R131" i="26"/>
  <c r="K128" i="26"/>
  <c r="H94" i="26"/>
  <c r="H108" i="26"/>
  <c r="H131" i="26"/>
  <c r="M62" i="26"/>
  <c r="M94" i="26" l="1"/>
  <c r="P131" i="26"/>
  <c r="S131" i="26" s="1"/>
  <c r="H89" i="26"/>
  <c r="K89" i="26"/>
  <c r="M61" i="26"/>
  <c r="M101" i="26"/>
  <c r="O128" i="26"/>
  <c r="P130" i="26"/>
  <c r="Q128" i="26"/>
  <c r="H128" i="26"/>
  <c r="M128" i="26" s="1"/>
  <c r="N128" i="26"/>
  <c r="P128" i="26"/>
  <c r="H130" i="26"/>
  <c r="N130" i="26"/>
  <c r="R128" i="26"/>
  <c r="M108" i="26"/>
  <c r="M68" i="26"/>
  <c r="M131" i="26"/>
  <c r="M89" i="26" l="1"/>
  <c r="M130" i="26"/>
  <c r="S128" i="26"/>
  <c r="S130" i="26"/>
  <c r="N61" i="26"/>
  <c r="P61" i="26"/>
  <c r="Q61" i="26"/>
  <c r="R61" i="26"/>
  <c r="O61" i="26"/>
  <c r="T127" i="26" l="1"/>
  <c r="R43" i="26"/>
  <c r="S43" i="26" s="1"/>
  <c r="M43" i="26"/>
  <c r="J149" i="11"/>
  <c r="K149" i="11"/>
  <c r="S61" i="26"/>
  <c r="N101" i="26"/>
  <c r="P101" i="26"/>
  <c r="O101" i="26"/>
  <c r="Q101" i="26"/>
  <c r="R101" i="26"/>
  <c r="E161" i="11"/>
  <c r="H42" i="26"/>
  <c r="Q108" i="26"/>
  <c r="R108" i="26"/>
  <c r="P108" i="26"/>
  <c r="O108" i="26"/>
  <c r="N108" i="26"/>
  <c r="K42" i="26"/>
  <c r="E164" i="11" l="1"/>
  <c r="E163" i="11"/>
  <c r="E165" i="11"/>
  <c r="E162" i="11"/>
  <c r="S108" i="26"/>
  <c r="S101" i="26"/>
  <c r="J148" i="11" l="1"/>
  <c r="H125" i="11" s="1"/>
  <c r="F80" i="26" s="1"/>
  <c r="K148" i="11"/>
  <c r="I125" i="11" s="1"/>
  <c r="U148" i="11"/>
  <c r="Q148" i="11" s="1"/>
  <c r="I97" i="26" s="1"/>
  <c r="N44" i="26"/>
  <c r="P44" i="26"/>
  <c r="Q44" i="26"/>
  <c r="O44" i="26"/>
  <c r="R44" i="26"/>
  <c r="J162" i="11"/>
  <c r="K162" i="11"/>
  <c r="J165" i="11"/>
  <c r="K165" i="11"/>
  <c r="K163" i="11"/>
  <c r="J163" i="11"/>
  <c r="J164" i="11"/>
  <c r="K164" i="11"/>
  <c r="G80" i="26" l="1"/>
  <c r="O80" i="26" s="1"/>
  <c r="P97" i="26"/>
  <c r="N80" i="26"/>
  <c r="P51" i="26"/>
  <c r="O51" i="26"/>
  <c r="Q42" i="26"/>
  <c r="J161" i="11"/>
  <c r="K161" i="11"/>
  <c r="S44" i="26"/>
  <c r="H80" i="26" l="1"/>
  <c r="N42" i="26"/>
  <c r="P42" i="26"/>
  <c r="R42" i="26"/>
  <c r="O42" i="26"/>
  <c r="S42" i="26" l="1"/>
  <c r="H51" i="26"/>
  <c r="N51" i="26"/>
  <c r="N10" i="26" l="1"/>
  <c r="P10" i="26"/>
  <c r="A7" i="11" l="1"/>
  <c r="P12" i="26" l="1"/>
  <c r="D6" i="46"/>
  <c r="H12" i="11" l="1"/>
  <c r="F12" i="26" s="1"/>
  <c r="N12" i="26" l="1"/>
  <c r="C6" i="46"/>
  <c r="C27" i="46" s="1"/>
  <c r="E219" i="26" l="1"/>
  <c r="F27" i="46"/>
  <c r="F28" i="46" s="1"/>
  <c r="F29" i="46" s="1"/>
  <c r="F30" i="46" s="1"/>
  <c r="E6" i="46" s="1"/>
  <c r="T102" i="26" l="1"/>
  <c r="N19" i="33"/>
  <c r="E214" i="26" l="1"/>
  <c r="E215" i="26"/>
  <c r="E203" i="26"/>
  <c r="E205" i="26"/>
  <c r="E210" i="26"/>
  <c r="E208" i="26"/>
  <c r="E227" i="11" s="1"/>
  <c r="E207" i="26"/>
  <c r="E212" i="26"/>
  <c r="E237" i="11" s="1"/>
  <c r="E238" i="11" s="1"/>
  <c r="E43" i="11"/>
  <c r="K43" i="11" s="1"/>
  <c r="K22" i="11" s="1"/>
  <c r="I22" i="11" s="1"/>
  <c r="D27" i="33"/>
  <c r="G27" i="33" s="1"/>
  <c r="D14" i="33"/>
  <c r="O19" i="33"/>
  <c r="N203" i="26" l="1"/>
  <c r="O203" i="26"/>
  <c r="R203" i="26"/>
  <c r="Q203" i="26"/>
  <c r="P203" i="26"/>
  <c r="G13" i="26"/>
  <c r="O13" i="26" s="1"/>
  <c r="J43" i="11"/>
  <c r="J22" i="11" s="1"/>
  <c r="H22" i="11" s="1"/>
  <c r="S43" i="11"/>
  <c r="U22" i="11" s="1"/>
  <c r="Q22" i="11" s="1"/>
  <c r="K27" i="33"/>
  <c r="J238" i="11"/>
  <c r="J237" i="11" s="1"/>
  <c r="H237" i="11" s="1"/>
  <c r="K238" i="11"/>
  <c r="K237" i="11" s="1"/>
  <c r="I237" i="11" s="1"/>
  <c r="S238" i="11"/>
  <c r="U237" i="11" s="1"/>
  <c r="Q237" i="11" s="1"/>
  <c r="E223" i="11"/>
  <c r="E228" i="11"/>
  <c r="E229" i="11"/>
  <c r="Q215" i="26"/>
  <c r="P215" i="26"/>
  <c r="O215" i="26"/>
  <c r="N215" i="26"/>
  <c r="R215" i="26"/>
  <c r="Q214" i="26"/>
  <c r="O214" i="26"/>
  <c r="R214" i="26"/>
  <c r="N214" i="26"/>
  <c r="O210" i="26"/>
  <c r="R210" i="26"/>
  <c r="Q210" i="26"/>
  <c r="P210" i="26"/>
  <c r="N210" i="26"/>
  <c r="N205" i="26"/>
  <c r="Q205" i="26"/>
  <c r="R205" i="26"/>
  <c r="O205" i="26"/>
  <c r="P205" i="26"/>
  <c r="N211" i="26"/>
  <c r="R211" i="26"/>
  <c r="O211" i="26"/>
  <c r="P211" i="26"/>
  <c r="S210" i="26" l="1"/>
  <c r="S205" i="26"/>
  <c r="S203" i="26"/>
  <c r="I13" i="26"/>
  <c r="P13" i="26" s="1"/>
  <c r="F13" i="26"/>
  <c r="N13" i="26" s="1"/>
  <c r="E226" i="11"/>
  <c r="E225" i="11"/>
  <c r="S215" i="26"/>
  <c r="K228" i="11"/>
  <c r="S228" i="11"/>
  <c r="J228" i="11"/>
  <c r="S229" i="11"/>
  <c r="J229" i="11"/>
  <c r="K229" i="11"/>
  <c r="E224" i="11"/>
  <c r="N212" i="26"/>
  <c r="O212" i="26"/>
  <c r="R212" i="26"/>
  <c r="P212" i="26"/>
  <c r="H13" i="26" l="1"/>
  <c r="J226" i="11"/>
  <c r="K226" i="11"/>
  <c r="S226" i="11"/>
  <c r="S224" i="11"/>
  <c r="J224" i="11"/>
  <c r="K224" i="11"/>
  <c r="J225" i="11"/>
  <c r="K225" i="11"/>
  <c r="S225" i="11"/>
  <c r="U227" i="11"/>
  <c r="Q227" i="11" s="1"/>
  <c r="J227" i="11"/>
  <c r="H227" i="11" s="1"/>
  <c r="F208" i="26" s="1"/>
  <c r="K227" i="11"/>
  <c r="I227" i="11" s="1"/>
  <c r="C70" i="11"/>
  <c r="S73" i="11"/>
  <c r="U70" i="11" s="1"/>
  <c r="Q70" i="11" s="1"/>
  <c r="I40" i="26" s="1"/>
  <c r="P40" i="26" l="1"/>
  <c r="I208" i="26"/>
  <c r="P208" i="26" s="1"/>
  <c r="G208" i="26"/>
  <c r="O208" i="26" s="1"/>
  <c r="J223" i="11"/>
  <c r="H223" i="11" s="1"/>
  <c r="N208" i="26"/>
  <c r="K223" i="11"/>
  <c r="I223" i="11" s="1"/>
  <c r="U223" i="11"/>
  <c r="Q223" i="11" s="1"/>
  <c r="J71" i="11"/>
  <c r="J73" i="11"/>
  <c r="K73" i="11"/>
  <c r="H208" i="26" l="1"/>
  <c r="G207" i="26"/>
  <c r="O207" i="26" s="1"/>
  <c r="I207" i="26"/>
  <c r="P207" i="26" s="1"/>
  <c r="F207" i="26"/>
  <c r="N207" i="26" s="1"/>
  <c r="K71" i="11"/>
  <c r="K70" i="11" s="1"/>
  <c r="I70" i="11" s="1"/>
  <c r="G40" i="26" s="1"/>
  <c r="O40" i="26" s="1"/>
  <c r="J70" i="11"/>
  <c r="H70" i="11" s="1"/>
  <c r="F40" i="26" s="1"/>
  <c r="H40" i="26" l="1"/>
  <c r="N40" i="26"/>
  <c r="H207" i="26"/>
  <c r="H212" i="26"/>
  <c r="H211" i="26" l="1"/>
  <c r="F24" i="33" l="1"/>
  <c r="F22" i="33"/>
  <c r="F20" i="33"/>
  <c r="D17" i="33"/>
  <c r="G17" i="33" s="1"/>
  <c r="D42" i="33"/>
  <c r="D43" i="33" s="1"/>
  <c r="D23" i="33"/>
  <c r="D24" i="33"/>
  <c r="D25" i="33"/>
  <c r="G25" i="33" s="1"/>
  <c r="D26" i="33"/>
  <c r="D28" i="33"/>
  <c r="G28" i="33" s="1"/>
  <c r="D29" i="33"/>
  <c r="K29" i="33" s="1"/>
  <c r="D21" i="33"/>
  <c r="G21" i="33" s="1"/>
  <c r="D20" i="33"/>
  <c r="D18" i="33"/>
  <c r="G18" i="33" s="1"/>
  <c r="D16" i="33"/>
  <c r="G16" i="33" s="1"/>
  <c r="D15" i="33"/>
  <c r="G15" i="33" s="1"/>
  <c r="G14" i="33"/>
  <c r="D13" i="33"/>
  <c r="G13" i="33" s="1"/>
  <c r="K12" i="33"/>
  <c r="D10" i="33"/>
  <c r="D9" i="33"/>
  <c r="D45" i="33"/>
  <c r="G36" i="33"/>
  <c r="G35" i="33"/>
  <c r="G34" i="33"/>
  <c r="G33" i="33"/>
  <c r="G32" i="33"/>
  <c r="D22" i="33"/>
  <c r="F10" i="33"/>
  <c r="F9" i="33"/>
  <c r="F8" i="33"/>
  <c r="D8" i="33"/>
  <c r="F7" i="33"/>
  <c r="D7" i="33"/>
  <c r="K21" i="33" l="1"/>
  <c r="K13" i="33"/>
  <c r="H11" i="33"/>
  <c r="H31" i="33"/>
  <c r="G26" i="33"/>
  <c r="P214" i="26"/>
  <c r="G42" i="33"/>
  <c r="G20" i="33"/>
  <c r="G22" i="33"/>
  <c r="G7" i="33"/>
  <c r="F23" i="33"/>
  <c r="G23" i="33" s="1"/>
  <c r="G9" i="33"/>
  <c r="G43" i="33"/>
  <c r="G10" i="33"/>
  <c r="G24" i="33"/>
  <c r="G8" i="33"/>
  <c r="K48" i="33" l="1"/>
  <c r="S214" i="26"/>
  <c r="T213" i="26" s="1"/>
  <c r="K214" i="26"/>
  <c r="M214" i="26" s="1"/>
  <c r="H19" i="33"/>
  <c r="H6" i="33"/>
  <c r="P5" i="11" l="1"/>
  <c r="O5" i="11"/>
  <c r="N5" i="11"/>
  <c r="M5" i="11"/>
  <c r="T88" i="11" l="1"/>
  <c r="T87" i="11"/>
  <c r="T86" i="11"/>
  <c r="T82" i="11"/>
  <c r="T84" i="11"/>
  <c r="T83" i="11"/>
  <c r="T85" i="11"/>
  <c r="T80" i="11"/>
  <c r="T78" i="11"/>
  <c r="T76" i="11"/>
  <c r="T79" i="11"/>
  <c r="T77" i="11"/>
  <c r="T118" i="11"/>
  <c r="T140" i="11"/>
  <c r="T114" i="11"/>
  <c r="T113" i="11"/>
  <c r="T112" i="11"/>
  <c r="T115" i="11"/>
  <c r="T142" i="11"/>
  <c r="T146" i="11"/>
  <c r="T145" i="11"/>
  <c r="T144" i="11"/>
  <c r="T143" i="11"/>
  <c r="T136" i="11"/>
  <c r="T137" i="11"/>
  <c r="T141" i="11"/>
  <c r="T138" i="11"/>
  <c r="T28" i="11"/>
  <c r="T40" i="11"/>
  <c r="T36" i="11"/>
  <c r="T37" i="11"/>
  <c r="T26" i="11"/>
  <c r="T35" i="11"/>
  <c r="T29" i="11"/>
  <c r="T41" i="11"/>
  <c r="T38" i="11"/>
  <c r="T39" i="11"/>
  <c r="T30" i="11"/>
  <c r="T27" i="11"/>
  <c r="T133" i="11"/>
  <c r="T132" i="11"/>
  <c r="T131" i="11"/>
  <c r="T195" i="11"/>
  <c r="T192" i="11"/>
  <c r="T193" i="11"/>
  <c r="T194" i="11"/>
  <c r="T139" i="11"/>
  <c r="T99" i="11"/>
  <c r="T98" i="11"/>
  <c r="T97" i="11"/>
  <c r="T96" i="11"/>
  <c r="T206" i="11"/>
  <c r="T204" i="11"/>
  <c r="T205" i="11"/>
  <c r="T128" i="11"/>
  <c r="T127" i="11"/>
  <c r="T129" i="11"/>
  <c r="T126" i="11"/>
  <c r="T68" i="11"/>
  <c r="T67" i="11"/>
  <c r="T25" i="11"/>
  <c r="T234" i="11"/>
  <c r="T235" i="11"/>
  <c r="T236" i="11"/>
  <c r="T231" i="11"/>
  <c r="T232" i="11"/>
  <c r="T228" i="11"/>
  <c r="T229" i="11"/>
  <c r="T224" i="11"/>
  <c r="T225" i="11"/>
  <c r="T226" i="11"/>
  <c r="T219" i="11"/>
  <c r="T217" i="11"/>
  <c r="T222" i="11"/>
  <c r="T220" i="11"/>
  <c r="T218" i="11"/>
  <c r="T221" i="11"/>
  <c r="T238" i="11"/>
  <c r="V237" i="11" s="1"/>
  <c r="R237" i="11" s="1"/>
  <c r="T169" i="11"/>
  <c r="V168" i="11" s="1"/>
  <c r="T207" i="11"/>
  <c r="T202" i="11"/>
  <c r="T209" i="11"/>
  <c r="T211" i="11"/>
  <c r="T210" i="11"/>
  <c r="T208" i="11"/>
  <c r="T203" i="11"/>
  <c r="T167" i="11"/>
  <c r="T159" i="11"/>
  <c r="T158" i="11"/>
  <c r="T124" i="11"/>
  <c r="T123" i="11"/>
  <c r="T150" i="11"/>
  <c r="T151" i="11"/>
  <c r="T149" i="11"/>
  <c r="T119" i="11"/>
  <c r="T120" i="11"/>
  <c r="T117" i="11"/>
  <c r="T187" i="11"/>
  <c r="T191" i="11"/>
  <c r="T186" i="11"/>
  <c r="T181" i="11"/>
  <c r="T198" i="11"/>
  <c r="T183" i="11"/>
  <c r="T182" i="11"/>
  <c r="T189" i="11"/>
  <c r="T190" i="11"/>
  <c r="T197" i="11"/>
  <c r="T185" i="11"/>
  <c r="T179" i="11"/>
  <c r="T177" i="11"/>
  <c r="T178" i="11"/>
  <c r="T174" i="11"/>
  <c r="T172" i="11"/>
  <c r="T156" i="11"/>
  <c r="T154" i="11"/>
  <c r="T155" i="11"/>
  <c r="T109" i="11"/>
  <c r="V108" i="11" s="1"/>
  <c r="R108" i="11" s="1"/>
  <c r="J67" i="26" s="1"/>
  <c r="T107" i="11"/>
  <c r="V106" i="11" s="1"/>
  <c r="R106" i="11" s="1"/>
  <c r="J66" i="26" s="1"/>
  <c r="T103" i="11"/>
  <c r="T105" i="11"/>
  <c r="T104" i="11"/>
  <c r="T92" i="11"/>
  <c r="T72" i="11"/>
  <c r="T43" i="11"/>
  <c r="T56" i="11"/>
  <c r="T60" i="11"/>
  <c r="T58" i="11"/>
  <c r="T55" i="11"/>
  <c r="T59" i="11"/>
  <c r="T57" i="11"/>
  <c r="T53" i="11"/>
  <c r="T49" i="11"/>
  <c r="T54" i="11"/>
  <c r="T52" i="11"/>
  <c r="T50" i="11"/>
  <c r="T47" i="11"/>
  <c r="T48" i="11"/>
  <c r="T45" i="11"/>
  <c r="T46" i="11"/>
  <c r="T64" i="11"/>
  <c r="T63" i="11"/>
  <c r="T62" i="11"/>
  <c r="T34" i="11"/>
  <c r="T31" i="11"/>
  <c r="T33" i="11"/>
  <c r="T32" i="11"/>
  <c r="T23" i="11"/>
  <c r="T42" i="11"/>
  <c r="T24" i="11"/>
  <c r="T14" i="11"/>
  <c r="T13" i="11"/>
  <c r="T15" i="11"/>
  <c r="T20" i="11"/>
  <c r="T17" i="11"/>
  <c r="T18" i="11"/>
  <c r="T16" i="11"/>
  <c r="T19" i="11"/>
  <c r="T21" i="11"/>
  <c r="T10" i="11"/>
  <c r="T9" i="11"/>
  <c r="T11" i="11"/>
  <c r="T93" i="11"/>
  <c r="T91" i="11"/>
  <c r="T102" i="11"/>
  <c r="T71" i="11"/>
  <c r="T73" i="11"/>
  <c r="V81" i="11" l="1"/>
  <c r="R81" i="11" s="1"/>
  <c r="J49" i="26" s="1"/>
  <c r="V75" i="11"/>
  <c r="R75" i="11" s="1"/>
  <c r="J48" i="26" s="1"/>
  <c r="Q48" i="26" s="1"/>
  <c r="V111" i="11"/>
  <c r="R111" i="11" s="1"/>
  <c r="J76" i="26" s="1"/>
  <c r="V135" i="11"/>
  <c r="R135" i="11" s="1"/>
  <c r="J95" i="26" s="1"/>
  <c r="V130" i="11"/>
  <c r="R130" i="11" s="1"/>
  <c r="J82" i="26" s="1"/>
  <c r="Q82" i="26" s="1"/>
  <c r="V95" i="11"/>
  <c r="R95" i="11" s="1"/>
  <c r="V125" i="11"/>
  <c r="R125" i="11" s="1"/>
  <c r="J80" i="26" s="1"/>
  <c r="V66" i="11"/>
  <c r="R66" i="11" s="1"/>
  <c r="J20" i="26" s="1"/>
  <c r="Q20" i="26" s="1"/>
  <c r="V227" i="11"/>
  <c r="R227" i="11" s="1"/>
  <c r="V230" i="11"/>
  <c r="R230" i="11" s="1"/>
  <c r="V233" i="11"/>
  <c r="R233" i="11" s="1"/>
  <c r="V223" i="11"/>
  <c r="R223" i="11" s="1"/>
  <c r="Q212" i="26"/>
  <c r="S212" i="26" s="1"/>
  <c r="K212" i="26"/>
  <c r="M212" i="26" s="1"/>
  <c r="V216" i="11"/>
  <c r="R216" i="11" s="1"/>
  <c r="J206" i="26" s="1"/>
  <c r="V200" i="11"/>
  <c r="R200" i="11" s="1"/>
  <c r="U200" i="11"/>
  <c r="Q200" i="11" s="1"/>
  <c r="I199" i="26" s="1"/>
  <c r="V157" i="11"/>
  <c r="R157" i="11" s="1"/>
  <c r="V166" i="11"/>
  <c r="R166" i="11" s="1"/>
  <c r="J123" i="26" s="1"/>
  <c r="V122" i="11"/>
  <c r="R122" i="11" s="1"/>
  <c r="V148" i="11"/>
  <c r="R148" i="11" s="1"/>
  <c r="J97" i="26" s="1"/>
  <c r="V116" i="11"/>
  <c r="R116" i="11" s="1"/>
  <c r="J77" i="26" s="1"/>
  <c r="Q77" i="26" s="1"/>
  <c r="Q111" i="26"/>
  <c r="S111" i="26" s="1"/>
  <c r="K155" i="26"/>
  <c r="V196" i="11"/>
  <c r="R196" i="11" s="1"/>
  <c r="V184" i="11"/>
  <c r="R184" i="11" s="1"/>
  <c r="V188" i="11"/>
  <c r="R188" i="11" s="1"/>
  <c r="V180" i="11"/>
  <c r="R180" i="11" s="1"/>
  <c r="V176" i="11"/>
  <c r="R176" i="11" s="1"/>
  <c r="K149" i="26" s="1"/>
  <c r="V171" i="11"/>
  <c r="R171" i="11" s="1"/>
  <c r="V101" i="11"/>
  <c r="R101" i="11" s="1"/>
  <c r="J65" i="26" s="1"/>
  <c r="V153" i="11"/>
  <c r="R153" i="11" s="1"/>
  <c r="J112" i="26" s="1"/>
  <c r="K66" i="26"/>
  <c r="M66" i="26" s="1"/>
  <c r="Q66" i="26"/>
  <c r="S66" i="26" s="1"/>
  <c r="K67" i="26"/>
  <c r="M67" i="26" s="1"/>
  <c r="Q67" i="26"/>
  <c r="S67" i="26" s="1"/>
  <c r="V61" i="11"/>
  <c r="R61" i="11" s="1"/>
  <c r="J17" i="26" s="1"/>
  <c r="V22" i="11"/>
  <c r="R22" i="11" s="1"/>
  <c r="J13" i="26" s="1"/>
  <c r="V51" i="11"/>
  <c r="R51" i="11" s="1"/>
  <c r="J16" i="26" s="1"/>
  <c r="V44" i="11"/>
  <c r="R44" i="11" s="1"/>
  <c r="J15" i="26" s="1"/>
  <c r="V8" i="11"/>
  <c r="R8" i="11" s="1"/>
  <c r="V12" i="11"/>
  <c r="R12" i="11" s="1"/>
  <c r="J12" i="26" s="1"/>
  <c r="V90" i="11"/>
  <c r="R90" i="11" s="1"/>
  <c r="V70" i="11"/>
  <c r="R70" i="11" s="1"/>
  <c r="J40" i="26" s="1"/>
  <c r="AA23" i="26" l="1"/>
  <c r="AA24" i="26" s="1"/>
  <c r="AC24" i="26" s="1"/>
  <c r="AD24" i="26" s="1"/>
  <c r="U16" i="75"/>
  <c r="J199" i="26"/>
  <c r="Q199" i="26" s="1"/>
  <c r="Q65" i="26"/>
  <c r="S65" i="26" s="1"/>
  <c r="T60" i="26" s="1"/>
  <c r="K65" i="26"/>
  <c r="M65" i="26" s="1"/>
  <c r="K49" i="26"/>
  <c r="Q49" i="26"/>
  <c r="K48" i="26"/>
  <c r="L48" i="26" s="1"/>
  <c r="Q76" i="26"/>
  <c r="K76" i="26"/>
  <c r="J79" i="26"/>
  <c r="K79" i="26" s="1"/>
  <c r="J114" i="26"/>
  <c r="Q114" i="26" s="1"/>
  <c r="J59" i="26"/>
  <c r="Q59" i="26" s="1"/>
  <c r="L155" i="26"/>
  <c r="R155" i="26" s="1"/>
  <c r="Q40" i="26"/>
  <c r="K40" i="26"/>
  <c r="J207" i="26"/>
  <c r="Q207" i="26" s="1"/>
  <c r="J208" i="26"/>
  <c r="K208" i="26" s="1"/>
  <c r="J211" i="26"/>
  <c r="Q211" i="26" s="1"/>
  <c r="S211" i="26" s="1"/>
  <c r="L20" i="26"/>
  <c r="R20" i="26" s="1"/>
  <c r="K20" i="26"/>
  <c r="J10" i="26"/>
  <c r="Q10" i="26" s="1"/>
  <c r="K82" i="26"/>
  <c r="L82" i="26" s="1"/>
  <c r="R82" i="26" s="1"/>
  <c r="S82" i="26" s="1"/>
  <c r="Q97" i="26"/>
  <c r="K97" i="26"/>
  <c r="K95" i="26"/>
  <c r="Q95" i="26"/>
  <c r="Q57" i="26"/>
  <c r="S57" i="26" s="1"/>
  <c r="K57" i="26"/>
  <c r="M57" i="26" s="1"/>
  <c r="Q80" i="26"/>
  <c r="K80" i="26"/>
  <c r="Q12" i="26"/>
  <c r="Q112" i="26"/>
  <c r="Q17" i="26"/>
  <c r="S17" i="26" s="1"/>
  <c r="K77" i="26"/>
  <c r="Q209" i="26"/>
  <c r="K209" i="26"/>
  <c r="Q206" i="26"/>
  <c r="K206" i="26"/>
  <c r="P199" i="26"/>
  <c r="K199" i="26"/>
  <c r="K123" i="26"/>
  <c r="Q155" i="26"/>
  <c r="M151" i="26"/>
  <c r="Q153" i="26"/>
  <c r="K153" i="26"/>
  <c r="Q150" i="26"/>
  <c r="K150" i="26"/>
  <c r="Q154" i="26"/>
  <c r="K154" i="26"/>
  <c r="Q149" i="26"/>
  <c r="Q15" i="26"/>
  <c r="K15" i="26"/>
  <c r="Q16" i="26"/>
  <c r="K16" i="26"/>
  <c r="Q13" i="26"/>
  <c r="K13" i="26"/>
  <c r="I148" i="11"/>
  <c r="U17" i="75" l="1"/>
  <c r="U18" i="75" s="1"/>
  <c r="X16" i="75"/>
  <c r="L199" i="26"/>
  <c r="R199" i="26" s="1"/>
  <c r="S199" i="26" s="1"/>
  <c r="T198" i="26" s="1"/>
  <c r="L49" i="26"/>
  <c r="R49" i="26" s="1"/>
  <c r="S49" i="26" s="1"/>
  <c r="R48" i="26"/>
  <c r="S48" i="26" s="1"/>
  <c r="M48" i="26"/>
  <c r="L123" i="26"/>
  <c r="S123" i="26" s="1"/>
  <c r="L77" i="26"/>
  <c r="R77" i="26" s="1"/>
  <c r="S77" i="26" s="1"/>
  <c r="S155" i="26"/>
  <c r="K59" i="26"/>
  <c r="L59" i="26" s="1"/>
  <c r="R59" i="26" s="1"/>
  <c r="S59" i="26" s="1"/>
  <c r="T58" i="26" s="1"/>
  <c r="L76" i="26"/>
  <c r="R76" i="26" s="1"/>
  <c r="S76" i="26" s="1"/>
  <c r="M82" i="26"/>
  <c r="U82" i="26" s="1"/>
  <c r="V82" i="26" s="1"/>
  <c r="L80" i="26"/>
  <c r="R80" i="26" s="1"/>
  <c r="S80" i="26" s="1"/>
  <c r="G97" i="26"/>
  <c r="O97" i="26" s="1"/>
  <c r="L95" i="26"/>
  <c r="R95" i="26" s="1"/>
  <c r="S95" i="26" s="1"/>
  <c r="T88" i="26" s="1"/>
  <c r="K207" i="26"/>
  <c r="L207" i="26" s="1"/>
  <c r="R207" i="26" s="1"/>
  <c r="S207" i="26" s="1"/>
  <c r="Q208" i="26"/>
  <c r="L153" i="26"/>
  <c r="R153" i="26" s="1"/>
  <c r="S153" i="26" s="1"/>
  <c r="L154" i="26"/>
  <c r="R154" i="26" s="1"/>
  <c r="S154" i="26" s="1"/>
  <c r="M155" i="26"/>
  <c r="L150" i="26"/>
  <c r="R150" i="26" s="1"/>
  <c r="S150" i="26" s="1"/>
  <c r="K211" i="26"/>
  <c r="M211" i="26" s="1"/>
  <c r="L208" i="26"/>
  <c r="R208" i="26" s="1"/>
  <c r="L209" i="26"/>
  <c r="R209" i="26" s="1"/>
  <c r="S209" i="26" s="1"/>
  <c r="L206" i="26"/>
  <c r="R206" i="26" s="1"/>
  <c r="S206" i="26" s="1"/>
  <c r="L40" i="26"/>
  <c r="R40" i="26" s="1"/>
  <c r="S40" i="26" s="1"/>
  <c r="L16" i="26"/>
  <c r="R16" i="26" s="1"/>
  <c r="S16" i="26" s="1"/>
  <c r="L15" i="26"/>
  <c r="R15" i="26" s="1"/>
  <c r="S15" i="26" s="1"/>
  <c r="L13" i="26"/>
  <c r="R13" i="26" s="1"/>
  <c r="S13" i="26" s="1"/>
  <c r="Q126" i="26"/>
  <c r="S126" i="26" s="1"/>
  <c r="K114" i="26"/>
  <c r="K112" i="26"/>
  <c r="K17" i="26"/>
  <c r="M17" i="26" s="1"/>
  <c r="K126" i="26"/>
  <c r="M126" i="26" s="1"/>
  <c r="Q151" i="26"/>
  <c r="S151" i="26" s="1"/>
  <c r="Q51" i="26"/>
  <c r="S51" i="26" s="1"/>
  <c r="M51" i="26"/>
  <c r="H148" i="11"/>
  <c r="F97" i="26" s="1"/>
  <c r="H161" i="11"/>
  <c r="I161" i="11"/>
  <c r="S165" i="11"/>
  <c r="U161" i="11" s="1"/>
  <c r="Q161" i="11" s="1"/>
  <c r="T165" i="11"/>
  <c r="V161" i="11" s="1"/>
  <c r="R161" i="11" s="1"/>
  <c r="S208" i="26" l="1"/>
  <c r="T202" i="26" s="1"/>
  <c r="M199" i="26"/>
  <c r="T41" i="26"/>
  <c r="M49" i="26"/>
  <c r="T69" i="26"/>
  <c r="M77" i="26"/>
  <c r="M76" i="26"/>
  <c r="M80" i="26"/>
  <c r="L114" i="26"/>
  <c r="R114" i="26" s="1"/>
  <c r="S114" i="26" s="1"/>
  <c r="R112" i="26"/>
  <c r="S112" i="26" s="1"/>
  <c r="M95" i="26"/>
  <c r="M59" i="26"/>
  <c r="M154" i="26"/>
  <c r="M153" i="26"/>
  <c r="M150" i="26"/>
  <c r="M40" i="26"/>
  <c r="M208" i="26"/>
  <c r="M207" i="26"/>
  <c r="M206" i="26"/>
  <c r="M209" i="26"/>
  <c r="M15" i="26"/>
  <c r="M16" i="26"/>
  <c r="M13" i="26"/>
  <c r="T125" i="26"/>
  <c r="H97" i="26"/>
  <c r="N97" i="26"/>
  <c r="T50" i="26"/>
  <c r="T107" i="26" l="1"/>
  <c r="M114" i="26"/>
  <c r="M112" i="26"/>
  <c r="L97" i="26"/>
  <c r="R97" i="26" s="1"/>
  <c r="S97" i="26" s="1"/>
  <c r="T96" i="26" s="1"/>
  <c r="N79" i="26"/>
  <c r="O79" i="26"/>
  <c r="Q79" i="26"/>
  <c r="P79" i="26"/>
  <c r="K12" i="26"/>
  <c r="K9" i="26"/>
  <c r="K10" i="26"/>
  <c r="H12" i="26"/>
  <c r="H9" i="26"/>
  <c r="H10" i="26"/>
  <c r="M97" i="26" l="1"/>
  <c r="L12" i="26"/>
  <c r="R12" i="26" s="1"/>
  <c r="S12" i="26" s="1"/>
  <c r="L10" i="26"/>
  <c r="R10" i="26" s="1"/>
  <c r="H79" i="26"/>
  <c r="L79" i="26" s="1"/>
  <c r="R79" i="26" s="1"/>
  <c r="S79" i="26" s="1"/>
  <c r="T78" i="26" s="1"/>
  <c r="M9" i="26"/>
  <c r="K44" i="26"/>
  <c r="H44" i="26"/>
  <c r="S10" i="26" l="1"/>
  <c r="T8" i="26" s="1"/>
  <c r="M12" i="26"/>
  <c r="M10" i="26"/>
  <c r="M79" i="26"/>
  <c r="A70" i="11"/>
  <c r="M42" i="26"/>
  <c r="M44" i="26"/>
  <c r="K133" i="26" l="1"/>
  <c r="H133" i="26" l="1"/>
  <c r="M133" i="26" l="1"/>
  <c r="G45" i="33" l="1"/>
  <c r="G44" i="33"/>
  <c r="H41" i="33" l="1"/>
  <c r="H48" i="33" s="1"/>
  <c r="G50" i="33" s="1"/>
  <c r="G48" i="33"/>
  <c r="H174" i="26" l="1"/>
  <c r="L174" i="26" l="1"/>
  <c r="R174" i="26" s="1"/>
  <c r="N174" i="26"/>
  <c r="M174" i="26" l="1"/>
  <c r="S174" i="26"/>
  <c r="T173" i="26" l="1"/>
  <c r="N167" i="26" l="1"/>
  <c r="H167" i="26"/>
  <c r="L167" i="26" l="1"/>
  <c r="R167" i="26" s="1"/>
  <c r="S167" i="26" s="1"/>
  <c r="T164" i="26" s="1"/>
  <c r="E168" i="11"/>
  <c r="Q168" i="11" s="1"/>
  <c r="I124" i="26" s="1"/>
  <c r="M167" i="26" l="1"/>
  <c r="I168" i="11"/>
  <c r="G124" i="26" s="1"/>
  <c r="P216" i="26"/>
  <c r="H168" i="11"/>
  <c r="F124" i="26" s="1"/>
  <c r="R168" i="11"/>
  <c r="J124" i="26" s="1"/>
  <c r="Q216" i="26" l="1"/>
  <c r="H124" i="26" l="1"/>
  <c r="K124" i="26"/>
  <c r="L124" i="26" l="1"/>
  <c r="S124" i="26" s="1"/>
  <c r="T115" i="26" s="1"/>
  <c r="G54" i="33" l="1"/>
  <c r="I54" i="33" s="1"/>
  <c r="G55" i="33"/>
  <c r="I55" i="33" s="1"/>
  <c r="E21" i="46" l="1"/>
  <c r="G21" i="46" s="1"/>
  <c r="F6" i="46"/>
  <c r="K26" i="46" l="1"/>
  <c r="L26" i="46" s="1"/>
  <c r="K25" i="46"/>
  <c r="L25" i="46" s="1"/>
  <c r="I66" i="11"/>
  <c r="G20" i="26" s="1"/>
  <c r="O20" i="26" l="1"/>
  <c r="H20" i="26"/>
  <c r="M20" i="26" s="1"/>
  <c r="S20" i="26" l="1"/>
  <c r="T19" i="26" s="1"/>
  <c r="O216" i="26"/>
  <c r="G53" i="33" s="1"/>
  <c r="I53" i="33" s="1"/>
  <c r="G21" i="75" l="1"/>
  <c r="E21" i="75"/>
  <c r="F21" i="75" s="1"/>
  <c r="H21" i="75" l="1"/>
  <c r="H26" i="75" s="1"/>
  <c r="F48" i="75"/>
  <c r="F49" i="75"/>
  <c r="M26" i="75" l="1"/>
  <c r="K26" i="75"/>
  <c r="J51" i="75"/>
  <c r="F51" i="75" s="1"/>
  <c r="F29" i="26" s="1"/>
  <c r="H27" i="75"/>
  <c r="J55" i="75"/>
  <c r="F55" i="75" s="1"/>
  <c r="F35" i="26" s="1"/>
  <c r="J58" i="75"/>
  <c r="F58" i="75" s="1"/>
  <c r="G58" i="75" s="1"/>
  <c r="J56" i="75"/>
  <c r="F56" i="75" s="1"/>
  <c r="G56" i="75" s="1"/>
  <c r="J59" i="75"/>
  <c r="F59" i="75" s="1"/>
  <c r="G59" i="75" s="1"/>
  <c r="J54" i="75"/>
  <c r="F54" i="75" s="1"/>
  <c r="J60" i="75"/>
  <c r="F60" i="75" s="1"/>
  <c r="J52" i="75"/>
  <c r="F52" i="75" s="1"/>
  <c r="J57" i="75"/>
  <c r="F57" i="75" s="1"/>
  <c r="F45" i="75"/>
  <c r="J53" i="75"/>
  <c r="F53" i="75" s="1"/>
  <c r="G53" i="75" s="1"/>
  <c r="F44" i="75"/>
  <c r="G51" i="75"/>
  <c r="M27" i="75" l="1"/>
  <c r="M28" i="75" s="1"/>
  <c r="M29" i="75" s="1"/>
  <c r="F223" i="26" s="1"/>
  <c r="H223" i="26" s="1"/>
  <c r="M223" i="26" s="1"/>
  <c r="U223" i="26" s="1"/>
  <c r="K27" i="75"/>
  <c r="N35" i="26"/>
  <c r="H35" i="26"/>
  <c r="G55" i="75"/>
  <c r="F32" i="26"/>
  <c r="N32" i="26" s="1"/>
  <c r="G60" i="75"/>
  <c r="F34" i="26"/>
  <c r="H34" i="26" s="1"/>
  <c r="G52" i="75"/>
  <c r="F28" i="26"/>
  <c r="G54" i="75"/>
  <c r="F31" i="26"/>
  <c r="J50" i="75"/>
  <c r="F50" i="75" s="1"/>
  <c r="J46" i="75"/>
  <c r="F46" i="75" s="1"/>
  <c r="J47" i="75"/>
  <c r="F47" i="75" s="1"/>
  <c r="F30" i="26"/>
  <c r="N30" i="26" s="1"/>
  <c r="F33" i="26"/>
  <c r="G57" i="75"/>
  <c r="N29" i="26"/>
  <c r="H29" i="26"/>
  <c r="N223" i="26" l="1"/>
  <c r="S223" i="26" s="1"/>
  <c r="N34" i="26"/>
  <c r="H32" i="26"/>
  <c r="L32" i="26" s="1"/>
  <c r="R32" i="26" s="1"/>
  <c r="S32" i="26" s="1"/>
  <c r="L35" i="26"/>
  <c r="L29" i="26"/>
  <c r="R29" i="26" s="1"/>
  <c r="S29" i="26" s="1"/>
  <c r="L34" i="26"/>
  <c r="R34" i="26" s="1"/>
  <c r="S34" i="26" s="1"/>
  <c r="H30" i="26"/>
  <c r="G46" i="75"/>
  <c r="F26" i="26"/>
  <c r="G47" i="75"/>
  <c r="F25" i="26"/>
  <c r="G50" i="75"/>
  <c r="F27" i="26"/>
  <c r="H31" i="26"/>
  <c r="N31" i="26"/>
  <c r="N28" i="26"/>
  <c r="H28" i="26"/>
  <c r="N33" i="26"/>
  <c r="H33" i="26"/>
  <c r="F229" i="26" l="1"/>
  <c r="H229" i="26" s="1"/>
  <c r="M229" i="26" s="1"/>
  <c r="U229" i="26" s="1"/>
  <c r="V229" i="26" s="1"/>
  <c r="R35" i="26"/>
  <c r="S35" i="26" s="1"/>
  <c r="M35" i="26"/>
  <c r="M32" i="26"/>
  <c r="L30" i="26"/>
  <c r="R30" i="26" s="1"/>
  <c r="S30" i="26" s="1"/>
  <c r="L33" i="26"/>
  <c r="R33" i="26" s="1"/>
  <c r="S33" i="26" s="1"/>
  <c r="M34" i="26"/>
  <c r="L28" i="26"/>
  <c r="R28" i="26" s="1"/>
  <c r="S28" i="26" s="1"/>
  <c r="L31" i="26"/>
  <c r="R31" i="26" s="1"/>
  <c r="S31" i="26" s="1"/>
  <c r="M29" i="26"/>
  <c r="N27" i="26"/>
  <c r="H27" i="26"/>
  <c r="H25" i="26"/>
  <c r="N25" i="26"/>
  <c r="N26" i="26"/>
  <c r="H26" i="26"/>
  <c r="N229" i="26" l="1"/>
  <c r="N230" i="26" s="1"/>
  <c r="M31" i="26"/>
  <c r="M28" i="26"/>
  <c r="M33" i="26"/>
  <c r="M30" i="26"/>
  <c r="L27" i="26"/>
  <c r="R27" i="26" s="1"/>
  <c r="S27" i="26" s="1"/>
  <c r="L26" i="26"/>
  <c r="R26" i="26" s="1"/>
  <c r="S26" i="26" s="1"/>
  <c r="L25" i="26"/>
  <c r="R25" i="26" s="1"/>
  <c r="S229" i="26" l="1"/>
  <c r="S230" i="26" s="1"/>
  <c r="S25" i="26"/>
  <c r="M26" i="26"/>
  <c r="M25" i="26"/>
  <c r="M27" i="26"/>
  <c r="T221" i="26" l="1"/>
  <c r="T230" i="26" s="1"/>
  <c r="T232" i="26" s="1"/>
  <c r="S232" i="26" s="1"/>
  <c r="T23" i="26"/>
  <c r="N98" i="99" l="1"/>
  <c r="H149" i="26"/>
  <c r="N149" i="26"/>
  <c r="N216" i="26"/>
  <c r="G52" i="33" s="1"/>
  <c r="I52" i="33" l="1"/>
  <c r="L149" i="26"/>
  <c r="R149" i="26" s="1"/>
  <c r="R216" i="26" l="1"/>
  <c r="G56" i="33" s="1"/>
  <c r="M149" i="26"/>
  <c r="S149" i="26"/>
  <c r="I56" i="33" l="1"/>
  <c r="I58" i="33" s="1"/>
  <c r="G58" i="33"/>
  <c r="S216" i="26"/>
  <c r="T132" i="26"/>
  <c r="T216" i="26" s="1"/>
  <c r="T219" i="26" s="1"/>
  <c r="G63" i="33" l="1"/>
  <c r="I63" i="33" s="1"/>
  <c r="F70" i="33"/>
  <c r="F60" i="33"/>
  <c r="G60" i="33" s="1"/>
  <c r="G62" i="33"/>
  <c r="I62" i="33" s="1"/>
  <c r="G61" i="33"/>
  <c r="I61" i="33" s="1"/>
  <c r="S219" i="26"/>
  <c r="T234" i="26"/>
  <c r="S234" i="26" s="1"/>
  <c r="I72" i="33" l="1"/>
  <c r="F64" i="33"/>
  <c r="F66" i="33" s="1"/>
  <c r="I60" i="33"/>
  <c r="G64" i="33"/>
  <c r="L48" i="33" s="1"/>
  <c r="M48" i="33" s="1"/>
  <c r="G66" i="33" l="1"/>
  <c r="F71" i="33" s="1"/>
  <c r="T5" i="26"/>
  <c r="U249" i="26" s="1"/>
  <c r="V249" i="26" s="1"/>
  <c r="V223" i="26"/>
  <c r="V222" i="26"/>
  <c r="I64" i="33"/>
  <c r="G68" i="33"/>
  <c r="I68" i="33" s="1"/>
  <c r="U80" i="26"/>
  <c r="V80" i="26" s="1"/>
  <c r="U162" i="26"/>
  <c r="V162" i="26" s="1"/>
  <c r="U29" i="26"/>
  <c r="V29" i="26" s="1"/>
  <c r="U12" i="26"/>
  <c r="V12" i="26" s="1"/>
  <c r="U26" i="26"/>
  <c r="V26" i="26" s="1"/>
  <c r="U62" i="26"/>
  <c r="V62" i="26" s="1"/>
  <c r="U32" i="26"/>
  <c r="V32" i="26" s="1"/>
  <c r="U148" i="26"/>
  <c r="V148" i="26" s="1"/>
  <c r="U122" i="26"/>
  <c r="V122" i="26" s="1"/>
  <c r="U70" i="26"/>
  <c r="V70" i="26" s="1"/>
  <c r="U16" i="26"/>
  <c r="V16" i="26" s="1"/>
  <c r="U188" i="26"/>
  <c r="V188" i="26" s="1"/>
  <c r="U205" i="26"/>
  <c r="U110" i="26"/>
  <c r="V110" i="26" s="1"/>
  <c r="U199" i="26"/>
  <c r="V199" i="26" s="1"/>
  <c r="U49" i="26"/>
  <c r="V49" i="26" s="1"/>
  <c r="U146" i="26"/>
  <c r="V146" i="26" s="1"/>
  <c r="U112" i="26"/>
  <c r="V112" i="26" s="1"/>
  <c r="U52" i="26"/>
  <c r="V52" i="26" s="1"/>
  <c r="U109" i="26"/>
  <c r="V109" i="26" s="1"/>
  <c r="U143" i="26"/>
  <c r="V143" i="26" s="1"/>
  <c r="U66" i="26"/>
  <c r="V66" i="26" s="1"/>
  <c r="U72" i="26"/>
  <c r="V72" i="26" s="1"/>
  <c r="U114" i="26"/>
  <c r="V114" i="26" s="1"/>
  <c r="U157" i="26"/>
  <c r="V157" i="26" s="1"/>
  <c r="U44" i="26"/>
  <c r="V44" i="26" s="1"/>
  <c r="U117" i="26"/>
  <c r="V117" i="26" s="1"/>
  <c r="U53" i="26"/>
  <c r="V53" i="26" s="1"/>
  <c r="U42" i="26"/>
  <c r="V42" i="26" s="1"/>
  <c r="U204" i="26"/>
  <c r="U133" i="26"/>
  <c r="V133" i="26" s="1"/>
  <c r="U79" i="26"/>
  <c r="V79" i="26" s="1"/>
  <c r="U126" i="26"/>
  <c r="V126" i="26" s="1"/>
  <c r="U158" i="26"/>
  <c r="V158" i="26" s="1"/>
  <c r="U21" i="26"/>
  <c r="V21" i="26" s="1"/>
  <c r="U61" i="26"/>
  <c r="V61" i="26" s="1"/>
  <c r="U59" i="26"/>
  <c r="V59" i="26" s="1"/>
  <c r="W58" i="26" s="1"/>
  <c r="Y58" i="26" s="1"/>
  <c r="U149" i="26"/>
  <c r="V149" i="26" s="1"/>
  <c r="U11" i="26" l="1"/>
  <c r="V11" i="26" s="1"/>
  <c r="U172" i="26"/>
  <c r="V172" i="26" s="1"/>
  <c r="U120" i="26"/>
  <c r="V120" i="26" s="1"/>
  <c r="U105" i="26"/>
  <c r="V105" i="26" s="1"/>
  <c r="U247" i="26"/>
  <c r="V247" i="26" s="1"/>
  <c r="U248" i="26"/>
  <c r="V248" i="26" s="1"/>
  <c r="U191" i="26"/>
  <c r="V191" i="26" s="1"/>
  <c r="U85" i="26"/>
  <c r="V85" i="26" s="1"/>
  <c r="U139" i="26"/>
  <c r="V139" i="26" s="1"/>
  <c r="U75" i="26"/>
  <c r="V75" i="26" s="1"/>
  <c r="U206" i="26"/>
  <c r="Y206" i="26" s="1"/>
  <c r="U159" i="26"/>
  <c r="V159" i="26" s="1"/>
  <c r="U22" i="26"/>
  <c r="V22" i="26" s="1"/>
  <c r="U210" i="26"/>
  <c r="V210" i="26" s="1"/>
  <c r="U244" i="26"/>
  <c r="V244" i="26" s="1"/>
  <c r="U36" i="26"/>
  <c r="V36" i="26" s="1"/>
  <c r="U24" i="26"/>
  <c r="V24" i="26" s="1"/>
  <c r="U192" i="26"/>
  <c r="V192" i="26" s="1"/>
  <c r="U243" i="26"/>
  <c r="V243" i="26" s="1"/>
  <c r="U154" i="26"/>
  <c r="V154" i="26" s="1"/>
  <c r="U116" i="26"/>
  <c r="V116" i="26" s="1"/>
  <c r="U165" i="26"/>
  <c r="V165" i="26" s="1"/>
  <c r="U103" i="26"/>
  <c r="V103" i="26" s="1"/>
  <c r="U214" i="26"/>
  <c r="Y214" i="26" s="1"/>
  <c r="U144" i="26"/>
  <c r="V144" i="26" s="1"/>
  <c r="U71" i="26"/>
  <c r="V71" i="26" s="1"/>
  <c r="U73" i="26"/>
  <c r="V73" i="26" s="1"/>
  <c r="U27" i="26"/>
  <c r="V27" i="26" s="1"/>
  <c r="U129" i="26"/>
  <c r="V129" i="26" s="1"/>
  <c r="U208" i="26"/>
  <c r="V208" i="26" s="1"/>
  <c r="U178" i="26"/>
  <c r="V178" i="26" s="1"/>
  <c r="U10" i="26"/>
  <c r="V10" i="26" s="1"/>
  <c r="U99" i="26"/>
  <c r="V99" i="26" s="1"/>
  <c r="U34" i="26"/>
  <c r="V34" i="26" s="1"/>
  <c r="U35" i="26"/>
  <c r="V35" i="26" s="1"/>
  <c r="U121" i="26"/>
  <c r="V121" i="26" s="1"/>
  <c r="U175" i="26"/>
  <c r="V175" i="26" s="1"/>
  <c r="U37" i="26"/>
  <c r="V37" i="26" s="1"/>
  <c r="U33" i="26"/>
  <c r="V33" i="26" s="1"/>
  <c r="U153" i="26"/>
  <c r="V153" i="26" s="1"/>
  <c r="U215" i="26"/>
  <c r="Y215" i="26" s="1"/>
  <c r="U177" i="26"/>
  <c r="V177" i="26" s="1"/>
  <c r="U77" i="26"/>
  <c r="V77" i="26" s="1"/>
  <c r="U113" i="26"/>
  <c r="V113" i="26" s="1"/>
  <c r="U151" i="26"/>
  <c r="V151" i="26" s="1"/>
  <c r="U39" i="26"/>
  <c r="V39" i="26" s="1"/>
  <c r="U55" i="26"/>
  <c r="V55" i="26" s="1"/>
  <c r="U76" i="26"/>
  <c r="V76" i="26" s="1"/>
  <c r="U183" i="26"/>
  <c r="V183" i="26" s="1"/>
  <c r="U14" i="26"/>
  <c r="V14" i="26" s="1"/>
  <c r="F86" i="113"/>
  <c r="F40" i="113"/>
  <c r="F54" i="113"/>
  <c r="F11" i="113"/>
  <c r="F119" i="113"/>
  <c r="F115" i="113"/>
  <c r="F201" i="113"/>
  <c r="F126" i="113"/>
  <c r="F140" i="113"/>
  <c r="F128" i="113"/>
  <c r="G127" i="113" s="1"/>
  <c r="F58" i="113"/>
  <c r="F88" i="113"/>
  <c r="F47" i="113"/>
  <c r="F130" i="113"/>
  <c r="F123" i="113"/>
  <c r="F194" i="113"/>
  <c r="F112" i="113"/>
  <c r="F18" i="113"/>
  <c r="F70" i="113"/>
  <c r="F87" i="113"/>
  <c r="F73" i="113"/>
  <c r="F120" i="113"/>
  <c r="F163" i="113"/>
  <c r="F196" i="113"/>
  <c r="G195" i="113" s="1"/>
  <c r="F190" i="113"/>
  <c r="F125" i="113"/>
  <c r="F136" i="113"/>
  <c r="F55" i="113"/>
  <c r="F14" i="113"/>
  <c r="F124" i="113"/>
  <c r="F107" i="113"/>
  <c r="F59" i="113"/>
  <c r="F9" i="113"/>
  <c r="F17" i="113"/>
  <c r="F65" i="113"/>
  <c r="F142" i="113"/>
  <c r="F93" i="113"/>
  <c r="F121" i="113"/>
  <c r="F139" i="113"/>
  <c r="F76" i="113"/>
  <c r="F39" i="113"/>
  <c r="F46" i="113"/>
  <c r="F45" i="113"/>
  <c r="F193" i="113"/>
  <c r="F122" i="113"/>
  <c r="F53" i="113"/>
  <c r="F69" i="113"/>
  <c r="F21" i="113"/>
  <c r="F108" i="113"/>
  <c r="F118" i="113"/>
  <c r="F157" i="113"/>
  <c r="F41" i="113"/>
  <c r="F111" i="113"/>
  <c r="F101" i="113"/>
  <c r="F67" i="113"/>
  <c r="F113" i="113"/>
  <c r="F20" i="113"/>
  <c r="F38" i="113"/>
  <c r="F83" i="113"/>
  <c r="F198" i="113"/>
  <c r="F77" i="113"/>
  <c r="F78" i="113"/>
  <c r="F49" i="113"/>
  <c r="F72" i="113"/>
  <c r="F132" i="113"/>
  <c r="F191" i="113"/>
  <c r="F155" i="113"/>
  <c r="F64" i="113"/>
  <c r="F105" i="113"/>
  <c r="F152" i="113"/>
  <c r="F100" i="113"/>
  <c r="F116" i="113"/>
  <c r="F56" i="113"/>
  <c r="F95" i="113"/>
  <c r="F57" i="113"/>
  <c r="F131" i="113"/>
  <c r="F89" i="113"/>
  <c r="F199" i="113"/>
  <c r="F63" i="113"/>
  <c r="F103" i="113"/>
  <c r="F185" i="113"/>
  <c r="F75" i="113"/>
  <c r="F141" i="113"/>
  <c r="F144" i="113"/>
  <c r="F137" i="113"/>
  <c r="F97" i="113"/>
  <c r="F92" i="113"/>
  <c r="F81" i="113"/>
  <c r="F114" i="113"/>
  <c r="F44" i="113"/>
  <c r="F50" i="113"/>
  <c r="F91" i="113"/>
  <c r="F66" i="113"/>
  <c r="F74" i="113"/>
  <c r="F106" i="113"/>
  <c r="F202" i="113"/>
  <c r="F22" i="113"/>
  <c r="F143" i="113"/>
  <c r="F161" i="113"/>
  <c r="F138" i="113"/>
  <c r="F68" i="113"/>
  <c r="F110" i="113"/>
  <c r="F94" i="113"/>
  <c r="F164" i="113"/>
  <c r="F135" i="113"/>
  <c r="F102" i="113"/>
  <c r="F96" i="113"/>
  <c r="F156" i="113"/>
  <c r="F133" i="113"/>
  <c r="F10" i="113"/>
  <c r="F188" i="113"/>
  <c r="G187" i="113" s="1"/>
  <c r="F15" i="113"/>
  <c r="F151" i="113"/>
  <c r="F159" i="113"/>
  <c r="F61" i="113"/>
  <c r="G60" i="113" s="1"/>
  <c r="F154" i="113"/>
  <c r="F147" i="113"/>
  <c r="F145" i="113"/>
  <c r="F203" i="113"/>
  <c r="G200" i="113" s="1"/>
  <c r="F13" i="113"/>
  <c r="F158" i="113"/>
  <c r="F150" i="113"/>
  <c r="F51" i="113"/>
  <c r="F162" i="113"/>
  <c r="F184" i="113"/>
  <c r="F160" i="113"/>
  <c r="F48" i="113"/>
  <c r="F29" i="113"/>
  <c r="F149" i="113"/>
  <c r="F16" i="113"/>
  <c r="F42" i="113"/>
  <c r="F28" i="113"/>
  <c r="F146" i="113"/>
  <c r="F12" i="113"/>
  <c r="F82" i="113"/>
  <c r="F148" i="113"/>
  <c r="F79" i="113"/>
  <c r="F153" i="113"/>
  <c r="F26" i="113"/>
  <c r="F99" i="113"/>
  <c r="F176" i="113"/>
  <c r="F174" i="113"/>
  <c r="F178" i="113"/>
  <c r="F180" i="113"/>
  <c r="F186" i="113"/>
  <c r="F172" i="113"/>
  <c r="F179" i="113"/>
  <c r="F173" i="113"/>
  <c r="F182" i="113"/>
  <c r="G181" i="113" s="1"/>
  <c r="F177" i="113"/>
  <c r="F167" i="113"/>
  <c r="F168" i="113"/>
  <c r="F169" i="113"/>
  <c r="F170" i="113"/>
  <c r="F34" i="113"/>
  <c r="F31" i="113"/>
  <c r="F37" i="113"/>
  <c r="F30" i="113"/>
  <c r="F36" i="113"/>
  <c r="F27" i="113"/>
  <c r="F32" i="113"/>
  <c r="F35" i="113"/>
  <c r="F33" i="113"/>
  <c r="U166" i="26"/>
  <c r="V166" i="26" s="1"/>
  <c r="U84" i="26"/>
  <c r="V84" i="26" s="1"/>
  <c r="U54" i="26"/>
  <c r="V54" i="26" s="1"/>
  <c r="U136" i="26"/>
  <c r="V136" i="26" s="1"/>
  <c r="U20" i="26"/>
  <c r="V20" i="26" s="1"/>
  <c r="U68" i="26"/>
  <c r="V68" i="26" s="1"/>
  <c r="U118" i="26"/>
  <c r="V118" i="26" s="1"/>
  <c r="U51" i="26"/>
  <c r="V51" i="26" s="1"/>
  <c r="U108" i="26"/>
  <c r="V108" i="26" s="1"/>
  <c r="U128" i="26"/>
  <c r="V128" i="26" s="1"/>
  <c r="U119" i="26"/>
  <c r="V119" i="26" s="1"/>
  <c r="U196" i="26"/>
  <c r="V196" i="26" s="1"/>
  <c r="U147" i="26"/>
  <c r="V147" i="26" s="1"/>
  <c r="U186" i="26"/>
  <c r="V186" i="26" s="1"/>
  <c r="W185" i="26" s="1"/>
  <c r="Y185" i="26" s="1"/>
  <c r="V204" i="26"/>
  <c r="Y204" i="26"/>
  <c r="V205" i="26"/>
  <c r="Y205" i="26"/>
  <c r="V230" i="26"/>
  <c r="W221" i="26"/>
  <c r="W230" i="26" s="1"/>
  <c r="U31" i="26"/>
  <c r="V31" i="26" s="1"/>
  <c r="U123" i="26"/>
  <c r="V123" i="26" s="1"/>
  <c r="U81" i="26"/>
  <c r="V81" i="26" s="1"/>
  <c r="W78" i="26" s="1"/>
  <c r="Y78" i="26" s="1"/>
  <c r="U40" i="26"/>
  <c r="V40" i="26" s="1"/>
  <c r="U209" i="26"/>
  <c r="U74" i="26"/>
  <c r="V74" i="26" s="1"/>
  <c r="U194" i="26"/>
  <c r="V194" i="26" s="1"/>
  <c r="W193" i="26" s="1"/>
  <c r="Y193" i="26" s="1"/>
  <c r="U106" i="26"/>
  <c r="V106" i="26" s="1"/>
  <c r="U45" i="26"/>
  <c r="V45" i="26" s="1"/>
  <c r="U156" i="26"/>
  <c r="V156" i="26" s="1"/>
  <c r="U91" i="26"/>
  <c r="V91" i="26" s="1"/>
  <c r="U17" i="26"/>
  <c r="V17" i="26" s="1"/>
  <c r="U93" i="26"/>
  <c r="V93" i="26" s="1"/>
  <c r="U13" i="26"/>
  <c r="V13" i="26" s="1"/>
  <c r="U92" i="26"/>
  <c r="V92" i="26" s="1"/>
  <c r="U90" i="26"/>
  <c r="V90" i="26" s="1"/>
  <c r="U160" i="26"/>
  <c r="V160" i="26" s="1"/>
  <c r="U111" i="26"/>
  <c r="V111" i="26" s="1"/>
  <c r="U104" i="26"/>
  <c r="V104" i="26" s="1"/>
  <c r="U65" i="26"/>
  <c r="V65" i="26" s="1"/>
  <c r="U63" i="26"/>
  <c r="V63" i="26" s="1"/>
  <c r="U64" i="26"/>
  <c r="V64" i="26" s="1"/>
  <c r="U182" i="26"/>
  <c r="V182" i="26" s="1"/>
  <c r="U47" i="26"/>
  <c r="V47" i="26" s="1"/>
  <c r="U211" i="26"/>
  <c r="U176" i="26"/>
  <c r="V176" i="26" s="1"/>
  <c r="U38" i="26"/>
  <c r="V38" i="26" s="1"/>
  <c r="U137" i="26"/>
  <c r="V137" i="26" s="1"/>
  <c r="U145" i="26"/>
  <c r="V145" i="26" s="1"/>
  <c r="U174" i="26"/>
  <c r="V174" i="26" s="1"/>
  <c r="U168" i="26"/>
  <c r="V168" i="26" s="1"/>
  <c r="U94" i="26"/>
  <c r="V94" i="26" s="1"/>
  <c r="U152" i="26"/>
  <c r="V152" i="26" s="1"/>
  <c r="U101" i="26"/>
  <c r="V101" i="26" s="1"/>
  <c r="U201" i="26"/>
  <c r="V201" i="26" s="1"/>
  <c r="U212" i="26"/>
  <c r="U67" i="26"/>
  <c r="V67" i="26" s="1"/>
  <c r="U15" i="26"/>
  <c r="V15" i="26" s="1"/>
  <c r="U140" i="26"/>
  <c r="V140" i="26" s="1"/>
  <c r="U197" i="26"/>
  <c r="V197" i="26" s="1"/>
  <c r="U142" i="26"/>
  <c r="V142" i="26" s="1"/>
  <c r="U207" i="26"/>
  <c r="U161" i="26"/>
  <c r="V161" i="26" s="1"/>
  <c r="U25" i="26"/>
  <c r="V25" i="26" s="1"/>
  <c r="U9" i="26"/>
  <c r="V9" i="26" s="1"/>
  <c r="U150" i="26"/>
  <c r="V150" i="26" s="1"/>
  <c r="U95" i="26"/>
  <c r="V95" i="26" s="1"/>
  <c r="U89" i="26"/>
  <c r="V89" i="26" s="1"/>
  <c r="U57" i="26"/>
  <c r="V57" i="26" s="1"/>
  <c r="U124" i="26"/>
  <c r="V124" i="26" s="1"/>
  <c r="U134" i="26"/>
  <c r="V134" i="26" s="1"/>
  <c r="U131" i="26"/>
  <c r="V131" i="26" s="1"/>
  <c r="U30" i="26"/>
  <c r="V30" i="26" s="1"/>
  <c r="U97" i="26"/>
  <c r="V97" i="26" s="1"/>
  <c r="U141" i="26"/>
  <c r="V141" i="26" s="1"/>
  <c r="U184" i="26"/>
  <c r="V184" i="26" s="1"/>
  <c r="U203" i="26"/>
  <c r="U87" i="26"/>
  <c r="V87" i="26" s="1"/>
  <c r="U130" i="26"/>
  <c r="V130" i="26" s="1"/>
  <c r="U167" i="26"/>
  <c r="V167" i="26" s="1"/>
  <c r="U135" i="26"/>
  <c r="V135" i="26" s="1"/>
  <c r="U18" i="26"/>
  <c r="V18" i="26" s="1"/>
  <c r="U138" i="26"/>
  <c r="V138" i="26" s="1"/>
  <c r="U43" i="26"/>
  <c r="V43" i="26" s="1"/>
  <c r="U56" i="26"/>
  <c r="V56" i="26" s="1"/>
  <c r="U155" i="26"/>
  <c r="V155" i="26" s="1"/>
  <c r="U28" i="26"/>
  <c r="V28" i="26" s="1"/>
  <c r="U48" i="26"/>
  <c r="V48" i="26" s="1"/>
  <c r="U189" i="26"/>
  <c r="V189" i="26" s="1"/>
  <c r="W187" i="26" s="1"/>
  <c r="Y187" i="26" s="1"/>
  <c r="U100" i="26"/>
  <c r="V100" i="26" s="1"/>
  <c r="U46" i="26"/>
  <c r="V46" i="26" s="1"/>
  <c r="U180" i="26"/>
  <c r="V180" i="26" s="1"/>
  <c r="W179" i="26" s="1"/>
  <c r="Y179" i="26" s="1"/>
  <c r="U86" i="26"/>
  <c r="V86" i="26" s="1"/>
  <c r="U170" i="26"/>
  <c r="V170" i="26" s="1"/>
  <c r="U171" i="26"/>
  <c r="V171" i="26" s="1"/>
  <c r="U98" i="26"/>
  <c r="V98" i="26" s="1"/>
  <c r="U200" i="26"/>
  <c r="V200" i="26" s="1"/>
  <c r="W125" i="26"/>
  <c r="Y125" i="26" s="1"/>
  <c r="W19" i="26" l="1"/>
  <c r="Y19" i="26" s="1"/>
  <c r="V206" i="26"/>
  <c r="Y210" i="26"/>
  <c r="V250" i="26"/>
  <c r="W246" i="26"/>
  <c r="W190" i="26"/>
  <c r="Y190" i="26" s="1"/>
  <c r="V214" i="26"/>
  <c r="W242" i="26"/>
  <c r="V215" i="26"/>
  <c r="Y208" i="26"/>
  <c r="W69" i="26"/>
  <c r="Y69" i="26" s="1"/>
  <c r="G23" i="113"/>
  <c r="G80" i="113"/>
  <c r="G197" i="113"/>
  <c r="G71" i="113"/>
  <c r="G104" i="113"/>
  <c r="G171" i="113"/>
  <c r="G109" i="113"/>
  <c r="G62" i="113"/>
  <c r="G19" i="113"/>
  <c r="G189" i="113"/>
  <c r="G129" i="113"/>
  <c r="F214" i="113"/>
  <c r="F217" i="113"/>
  <c r="G52" i="113"/>
  <c r="G117" i="113"/>
  <c r="G98" i="113"/>
  <c r="W107" i="26"/>
  <c r="Y107" i="26" s="1"/>
  <c r="G166" i="113"/>
  <c r="F216" i="113"/>
  <c r="G175" i="113"/>
  <c r="F208" i="113"/>
  <c r="G90" i="113"/>
  <c r="F213" i="113"/>
  <c r="F205" i="113"/>
  <c r="F209" i="113"/>
  <c r="F206" i="113"/>
  <c r="F207" i="113"/>
  <c r="F210" i="113"/>
  <c r="F212" i="113"/>
  <c r="G134" i="113"/>
  <c r="G183" i="113"/>
  <c r="G85" i="113"/>
  <c r="G192" i="113"/>
  <c r="G8" i="113"/>
  <c r="G43" i="113"/>
  <c r="F211" i="113"/>
  <c r="W115" i="26"/>
  <c r="W195" i="26"/>
  <c r="Y195" i="26" s="1"/>
  <c r="V211" i="26"/>
  <c r="Y211" i="26"/>
  <c r="V209" i="26"/>
  <c r="Y209" i="26"/>
  <c r="V207" i="26"/>
  <c r="Y207" i="26"/>
  <c r="V212" i="26"/>
  <c r="Y212" i="26"/>
  <c r="V203" i="26"/>
  <c r="Y203" i="26"/>
  <c r="W181" i="26"/>
  <c r="Y181" i="26" s="1"/>
  <c r="W102" i="26"/>
  <c r="Y102" i="26" s="1"/>
  <c r="W173" i="26"/>
  <c r="Y173" i="26" s="1"/>
  <c r="W88" i="26"/>
  <c r="Y88" i="26" s="1"/>
  <c r="W50" i="26"/>
  <c r="Y50" i="26" s="1"/>
  <c r="W60" i="26"/>
  <c r="Y60" i="26" s="1"/>
  <c r="W8" i="26"/>
  <c r="Y8" i="26" s="1"/>
  <c r="W164" i="26"/>
  <c r="Y164" i="26" s="1"/>
  <c r="W198" i="26"/>
  <c r="Y198" i="26" s="1"/>
  <c r="W127" i="26"/>
  <c r="Y127" i="26" s="1"/>
  <c r="W96" i="26"/>
  <c r="Y96" i="26" s="1"/>
  <c r="W83" i="26"/>
  <c r="Y83" i="26" s="1"/>
  <c r="W132" i="26"/>
  <c r="Y132" i="26" s="1"/>
  <c r="W23" i="26"/>
  <c r="W41" i="26"/>
  <c r="Y41" i="26" s="1"/>
  <c r="W169" i="26"/>
  <c r="Y169" i="26" s="1"/>
  <c r="W213" i="26" l="1"/>
  <c r="W250" i="26"/>
  <c r="W252" i="26"/>
  <c r="W254" i="26" s="1"/>
  <c r="V254" i="26" s="1"/>
  <c r="Y23" i="26"/>
  <c r="Y216" i="26" s="1"/>
  <c r="L63" i="33" s="1"/>
  <c r="L64" i="33" s="1"/>
  <c r="W202" i="26"/>
  <c r="W216" i="26" s="1"/>
  <c r="W219" i="26" s="1"/>
  <c r="F218" i="113"/>
  <c r="G204" i="113"/>
  <c r="G215" i="113"/>
  <c r="V216" i="26"/>
  <c r="G218" i="113" l="1"/>
  <c r="H215" i="113" s="1"/>
  <c r="Z221" i="26"/>
  <c r="AC225" i="26"/>
  <c r="AC224" i="26"/>
  <c r="W232" i="26"/>
  <c r="W217" i="26"/>
  <c r="W218" i="26" s="1"/>
  <c r="Y229" i="26"/>
  <c r="X60" i="26"/>
  <c r="X69" i="26"/>
  <c r="X41" i="26"/>
  <c r="X198" i="26"/>
  <c r="X169" i="26"/>
  <c r="X102" i="26"/>
  <c r="X83" i="26"/>
  <c r="X125" i="26"/>
  <c r="X88" i="26"/>
  <c r="X202" i="26"/>
  <c r="X8" i="26"/>
  <c r="X23" i="26"/>
  <c r="X173" i="26"/>
  <c r="X107" i="26"/>
  <c r="X195" i="26"/>
  <c r="X190" i="26"/>
  <c r="X213" i="26"/>
  <c r="X115" i="26"/>
  <c r="X187" i="26"/>
  <c r="X127" i="26"/>
  <c r="X78" i="26"/>
  <c r="X164" i="26"/>
  <c r="X58" i="26"/>
  <c r="X96" i="26"/>
  <c r="X181" i="26"/>
  <c r="X185" i="26"/>
  <c r="X50" i="26"/>
  <c r="X193" i="26"/>
  <c r="X216" i="26"/>
  <c r="F20" i="46"/>
  <c r="G20" i="46" s="1"/>
  <c r="H20" i="46" s="1"/>
  <c r="V219" i="26"/>
  <c r="X179" i="26"/>
  <c r="X19" i="26"/>
  <c r="X132" i="26"/>
  <c r="Z216" i="26"/>
  <c r="H166" i="113" l="1"/>
  <c r="H218" i="113"/>
  <c r="H60" i="113"/>
  <c r="H197" i="113"/>
  <c r="H104" i="113"/>
  <c r="H195" i="113"/>
  <c r="H62" i="113"/>
  <c r="H171" i="113"/>
  <c r="H189" i="113"/>
  <c r="H109" i="113"/>
  <c r="H71" i="113"/>
  <c r="H181" i="113"/>
  <c r="H200" i="113"/>
  <c r="H80" i="113"/>
  <c r="H187" i="113"/>
  <c r="H127" i="113"/>
  <c r="H19" i="113"/>
  <c r="H52" i="113"/>
  <c r="H129" i="113"/>
  <c r="H183" i="113"/>
  <c r="H85" i="113"/>
  <c r="H90" i="113"/>
  <c r="H117" i="113"/>
  <c r="H43" i="113"/>
  <c r="H8" i="113"/>
  <c r="H175" i="113"/>
  <c r="H98" i="113"/>
  <c r="H23" i="113"/>
  <c r="H192" i="113"/>
  <c r="H134" i="113"/>
  <c r="H204" i="113"/>
  <c r="W234" i="26"/>
  <c r="V234" i="26" s="1"/>
  <c r="Z232" i="26"/>
  <c r="AB216" i="26"/>
  <c r="AC216" i="26" s="1"/>
  <c r="AD216" i="26" s="1"/>
  <c r="AF213" i="26"/>
  <c r="F21" i="46"/>
  <c r="F22" i="46" s="1"/>
  <c r="AH219" i="26" l="1"/>
  <c r="AH220" i="26"/>
  <c r="F114" i="99"/>
  <c r="G114" i="99"/>
  <c r="H114" i="99"/>
  <c r="H93" i="99"/>
  <c r="I90" i="99"/>
  <c r="F177" i="11"/>
  <c r="J177" i="11"/>
  <c r="J176" i="11"/>
  <c r="H176" i="11"/>
  <c r="E94" i="99"/>
  <c r="H94" i="99"/>
  <c r="M97" i="99"/>
  <c r="E93" i="99"/>
  <c r="E95" i="99"/>
  <c r="H95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tc={401E1044-8B59-4674-949A-7DE66ECD1B7E}</author>
  </authors>
  <commentList>
    <comment ref="G45" authorId="0" shapeId="0" xr:uid="{401E1044-8B59-4674-949A-7DE66ECD1B7E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Estimo a la mitad de la pared a realizar de nuevo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tc={5C912E93-383F-41E9-A8CE-7C7DD4F44698}</author>
  </authors>
  <commentList>
    <comment ref="F219" authorId="0" shapeId="0" xr:uid="{5C912E93-383F-41E9-A8CE-7C7DD4F446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Divido x 1,5 ya que reutilizo dicho material
</t>
      </text>
    </comment>
  </commentList>
</comments>
</file>

<file path=xl/sharedStrings.xml><?xml version="1.0" encoding="utf-8"?>
<sst xmlns="http://schemas.openxmlformats.org/spreadsheetml/2006/main" count="6281" uniqueCount="2563">
  <si>
    <t>USD</t>
  </si>
  <si>
    <t>DÓLAR MEP</t>
  </si>
  <si>
    <t>VALOR ESTIMADO REFERENCIA COSTO</t>
  </si>
  <si>
    <t>Coef Complej</t>
  </si>
  <si>
    <t>m2</t>
  </si>
  <si>
    <t>USD/ m2</t>
  </si>
  <si>
    <t>SUPERFICIE CUBIERTA</t>
  </si>
  <si>
    <t>Valor estimado precio de venta</t>
  </si>
  <si>
    <t>Lote</t>
  </si>
  <si>
    <t>Pisada</t>
  </si>
  <si>
    <t>Superficie</t>
  </si>
  <si>
    <t>Cubierto</t>
  </si>
  <si>
    <t xml:space="preserve">Semicubierto </t>
  </si>
  <si>
    <t>Subtotal</t>
  </si>
  <si>
    <t>PB</t>
  </si>
  <si>
    <t>planta tipo</t>
  </si>
  <si>
    <t>P Azotea</t>
  </si>
  <si>
    <t>usd/m2</t>
  </si>
  <si>
    <t>OBRA CIVIL</t>
  </si>
  <si>
    <t>PROVISIONES</t>
  </si>
  <si>
    <t>ARQ CLARIN</t>
  </si>
  <si>
    <t>Fecha</t>
  </si>
  <si>
    <t>Inc.</t>
  </si>
  <si>
    <t>Electricidad</t>
  </si>
  <si>
    <t>(se toma MODELO 6 Vivienda en altura)</t>
  </si>
  <si>
    <t>$/ m2</t>
  </si>
  <si>
    <t>Sanitaria s/ calef</t>
  </si>
  <si>
    <t>usd/m2 sin provisiones</t>
  </si>
  <si>
    <t>OK</t>
  </si>
  <si>
    <t>Listo</t>
  </si>
  <si>
    <t>DÓLAR BNA</t>
  </si>
  <si>
    <t>IN</t>
  </si>
  <si>
    <t xml:space="preserve">Estimado </t>
  </si>
  <si>
    <t>C</t>
  </si>
  <si>
    <t>Chekear (Inventado)</t>
  </si>
  <si>
    <t>R</t>
  </si>
  <si>
    <t>Sin hacer/revisar</t>
  </si>
  <si>
    <t>MATERIAL</t>
  </si>
  <si>
    <t>M. DE OBRA</t>
  </si>
  <si>
    <t>PRESUPUESTO OBRA CIVIL</t>
  </si>
  <si>
    <t xml:space="preserve"> </t>
  </si>
  <si>
    <t>Descripción</t>
  </si>
  <si>
    <t>U</t>
  </si>
  <si>
    <t>Cant</t>
  </si>
  <si>
    <t>Otro</t>
  </si>
  <si>
    <t>Corralón</t>
  </si>
  <si>
    <t>Total</t>
  </si>
  <si>
    <t>Albañil</t>
  </si>
  <si>
    <t>EQUIPOS</t>
  </si>
  <si>
    <t>P.Unit</t>
  </si>
  <si>
    <t xml:space="preserve">P unit </t>
  </si>
  <si>
    <t>E</t>
  </si>
  <si>
    <t>TAREAS PRELIMINARES</t>
  </si>
  <si>
    <r>
      <t xml:space="preserve">Limpieza y preparación del terreno </t>
    </r>
    <r>
      <rPr>
        <i/>
        <sz val="10"/>
        <color rgb="FFFF0000"/>
        <rFont val="Calibri"/>
        <family val="2"/>
        <scheme val="minor"/>
      </rPr>
      <t>- No cotiza</t>
    </r>
  </si>
  <si>
    <t>gl</t>
  </si>
  <si>
    <t>Topógrafo - Visita de obra replanteo</t>
  </si>
  <si>
    <t>un</t>
  </si>
  <si>
    <r>
      <t xml:space="preserve">Cartel de Obra </t>
    </r>
    <r>
      <rPr>
        <i/>
        <sz val="10"/>
        <color rgb="FFFF0000"/>
        <rFont val="Calibri"/>
        <family val="2"/>
        <scheme val="minor"/>
      </rPr>
      <t>- No cotiza</t>
    </r>
  </si>
  <si>
    <r>
      <t>Cerco de obra perimetral</t>
    </r>
    <r>
      <rPr>
        <i/>
        <sz val="10"/>
        <color rgb="FFFF0000"/>
        <rFont val="Calibri"/>
        <family val="2"/>
        <scheme val="minor"/>
      </rPr>
      <t xml:space="preserve"> - En chapa C25 + Concertina + Porton corredizo </t>
    </r>
  </si>
  <si>
    <t>ml</t>
  </si>
  <si>
    <t>Alquiler de baños quimicos y duchas portatiles</t>
  </si>
  <si>
    <t>mes</t>
  </si>
  <si>
    <t>Conexión pilar y luz de obra + Tablero de obra</t>
  </si>
  <si>
    <t>Conexión agua de obra, tanque + bomba</t>
  </si>
  <si>
    <t>Tramite luz de obra, certificado luz de obra (2) y medición PAT</t>
  </si>
  <si>
    <t>MOVIMIENTO DE TIERRA, COMPACTACION Y RELLENO</t>
  </si>
  <si>
    <t>m3</t>
  </si>
  <si>
    <r>
      <t xml:space="preserve">Demolición y retiro de fundaciones existentes </t>
    </r>
    <r>
      <rPr>
        <i/>
        <sz val="10"/>
        <color rgb="FFFF0000"/>
        <rFont val="Calibri"/>
        <family val="2"/>
        <scheme val="minor"/>
      </rPr>
      <t>- No cotiza</t>
    </r>
  </si>
  <si>
    <t>ESTRUCTURA RESISTENTE</t>
  </si>
  <si>
    <t>Hormigón de limpieza - e: 10 cm</t>
  </si>
  <si>
    <t>Losa maciza - H30 (110 kg/m3 de hierro)</t>
  </si>
  <si>
    <t>Vigas - H30 (140 kg/m3 de hierro)</t>
  </si>
  <si>
    <t>Tabiques - H30 (120 kg/m3 de hierro)</t>
  </si>
  <si>
    <t>Columna - H30 (240 Kg/m3 de hierro)</t>
  </si>
  <si>
    <t>Escaleras - H30 (105 kg/m3 de hierro)</t>
  </si>
  <si>
    <t>Sistema de apuntalamiento y reapuntalamiento</t>
  </si>
  <si>
    <t xml:space="preserve">Ensayos de Hormigon por etapas de hormigonado </t>
  </si>
  <si>
    <t>u</t>
  </si>
  <si>
    <t>ALBAÑILERIA</t>
  </si>
  <si>
    <t>Banquinas para bombas y tanques en SB</t>
  </si>
  <si>
    <t>AISLACIONES</t>
  </si>
  <si>
    <r>
      <t xml:space="preserve">Aislación hidrófuga horizontal (baños) - </t>
    </r>
    <r>
      <rPr>
        <i/>
        <sz val="10"/>
        <color rgb="FFFF0000"/>
        <rFont val="Calibri"/>
        <family val="2"/>
        <scheme val="minor"/>
      </rPr>
      <t>Inc. membrana geotextil</t>
    </r>
    <r>
      <rPr>
        <sz val="10"/>
        <color rgb="FFFF0000"/>
        <rFont val="Calibri"/>
        <family val="2"/>
        <scheme val="minor"/>
      </rPr>
      <t xml:space="preserve"> y 35% en concepto de babetas</t>
    </r>
  </si>
  <si>
    <r>
      <t xml:space="preserve">Azotado hidrofugo - </t>
    </r>
    <r>
      <rPr>
        <i/>
        <sz val="10"/>
        <color rgb="FFFF0000"/>
        <rFont val="Calibri"/>
        <family val="2"/>
        <scheme val="minor"/>
      </rPr>
      <t>Sobre medianeras existentes</t>
    </r>
  </si>
  <si>
    <t xml:space="preserve">Aislación térmica en terrazas, eps e:2,00 cm </t>
  </si>
  <si>
    <t>Barrera de vapor</t>
  </si>
  <si>
    <r>
      <t xml:space="preserve">Membrana asfaltica geotextil 4mm </t>
    </r>
    <r>
      <rPr>
        <i/>
        <sz val="10"/>
        <color rgb="FFFF0000"/>
        <rFont val="Calibri"/>
        <family val="2"/>
        <scheme val="minor"/>
      </rPr>
      <t>- Balcones y azotea - Inc. 20% en concepto de babetas</t>
    </r>
  </si>
  <si>
    <t>CUBIERTAS</t>
  </si>
  <si>
    <t>Babeta de chapa galvanizada en medianeras</t>
  </si>
  <si>
    <t>REVOQUES</t>
  </si>
  <si>
    <t>Revoque Grueso Interior + fino</t>
  </si>
  <si>
    <t>Yeso interior</t>
  </si>
  <si>
    <t xml:space="preserve">Arista en yeso </t>
  </si>
  <si>
    <t xml:space="preserve">Provisión y colocación de guardacanto yesero </t>
  </si>
  <si>
    <t>Revoque Grueso Impermeable Interior b/ revestimiento</t>
  </si>
  <si>
    <t>CONTRAPISOS Y CARPETAS</t>
  </si>
  <si>
    <t xml:space="preserve">Contrapiso - Carpeta monolitico e: 7 cm </t>
  </si>
  <si>
    <t xml:space="preserve">Carpeta en PB y balcones, baños y azoteas e: 3,00 cm </t>
  </si>
  <si>
    <t>Banquinas para cocinas</t>
  </si>
  <si>
    <t>ESCALERAS</t>
  </si>
  <si>
    <t xml:space="preserve">Provisión nariz escalera, hierro angulo 5/8 x 1/8" </t>
  </si>
  <si>
    <t>VENTILACIONES</t>
  </si>
  <si>
    <t>PISOS - PROVISION A CARGO DEL COMITENTE</t>
  </si>
  <si>
    <t xml:space="preserve">Provisión y ejecución de alisado de cemento rodillado </t>
  </si>
  <si>
    <r>
      <t>Colocación de baldoson de vereda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</si>
  <si>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t>ZOCALOS Y SOLIAS - PROVISION A CARGO DEL COMITENTE</t>
  </si>
  <si>
    <t>Provisión y colocación de zocalos de Madera (MDF) h: 7 cm</t>
  </si>
  <si>
    <r>
      <t xml:space="preserve">Colocación de zocalo de porcelanico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</si>
  <si>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zocalo de porcelanato en palieres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</si>
  <si>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zocalo de porcelanato en terraza y espacios comunes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</si>
  <si>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REVESTIMIENTOS - PROVISION A CARGO DEL COMITENTE</t>
  </si>
  <si>
    <t>Provisión y colocación de perfileria de aluminio tipo ATRIM L anod. Natural</t>
  </si>
  <si>
    <t>CIELORRASOS</t>
  </si>
  <si>
    <t xml:space="preserve">Cielorraso junta tomada placa STD </t>
  </si>
  <si>
    <t>Cielorraso junta tomada placa RH</t>
  </si>
  <si>
    <t>Buña perimetral / Cantoneras</t>
  </si>
  <si>
    <t>Aplicado de yeso interior</t>
  </si>
  <si>
    <t xml:space="preserve">Buña en yeso </t>
  </si>
  <si>
    <t>H° Visto - Maquillaje para recibir pintura</t>
  </si>
  <si>
    <t>PINTURA</t>
  </si>
  <si>
    <t>Látex interior para paredes Bco. mate (enduido parcial)</t>
  </si>
  <si>
    <t>Látex para cielorraso Bco. mate (enduido parcial)</t>
  </si>
  <si>
    <t>Látex para cielorraso Bco. mate (enduido completo)</t>
  </si>
  <si>
    <r>
      <t xml:space="preserve">Convertidor y esmalte sintentico en barandas </t>
    </r>
    <r>
      <rPr>
        <i/>
        <sz val="10"/>
        <color rgb="FFFF0000"/>
        <rFont val="Calibri"/>
        <family val="2"/>
        <scheme val="minor"/>
      </rPr>
      <t>- Escalera, balcones, porton, medidores y SDM</t>
    </r>
  </si>
  <si>
    <t>MARMOLES Y GRANITOS - PROVISION Y COLOCACION A CARGO DEL COMITENTE</t>
  </si>
  <si>
    <t>CARPINTERIA - PROVISION A CARGO DEL COMITENTE</t>
  </si>
  <si>
    <r>
      <t xml:space="preserve">Amure de puertas placa </t>
    </r>
    <r>
      <rPr>
        <i/>
        <sz val="10"/>
        <color rgb="FFFF0000"/>
        <rFont val="Calibri"/>
        <family val="2"/>
        <scheme val="minor"/>
      </rPr>
      <t xml:space="preserve"> Provisión a cargo del comitente</t>
    </r>
  </si>
  <si>
    <r>
      <t>Amure de premarcos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</si>
  <si>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Amure Puertas de Ascensor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</si>
  <si>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INSTALACION ELECTRICA</t>
  </si>
  <si>
    <t>Tendido y cableado boca Iluminación</t>
  </si>
  <si>
    <t>Tendido y cableado boca tomacorriente</t>
  </si>
  <si>
    <t>Tendido y cableado boca tomacorriente especial (AA.CC)</t>
  </si>
  <si>
    <t xml:space="preserve">Boca de TV - Cañería c/cable testigo </t>
  </si>
  <si>
    <t>Tendido y cableado boca MBT Timbre</t>
  </si>
  <si>
    <t xml:space="preserve">Boca de PE - Cañería c/cable testigo </t>
  </si>
  <si>
    <t>Tablero Servicios generales - TSG</t>
  </si>
  <si>
    <t>Tablero Bombas impulsión - TS BI</t>
  </si>
  <si>
    <t>Tablero de Bomba presurizadora - TS BR</t>
  </si>
  <si>
    <t>Montante eléctrica</t>
  </si>
  <si>
    <t xml:space="preserve">Montante TV + Tablero TV - Cañería c/cable testigo </t>
  </si>
  <si>
    <t>Montante PE + Tablero PE- Cañería c/cable testigo</t>
  </si>
  <si>
    <r>
      <t xml:space="preserve">Colocación de luz de emergencia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</si>
  <si>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Puesta a tierra, jabalinas y cableados</t>
  </si>
  <si>
    <t>INSTALACION SANITARIA, GRIFERIA Y SANITARIOS</t>
  </si>
  <si>
    <t>INSTALACION CLOACAL</t>
  </si>
  <si>
    <t>Por armar CDV en planta tipo</t>
  </si>
  <si>
    <t>INSTALACION PLUVIAL</t>
  </si>
  <si>
    <t>INSTALACION AGUA FRIA Y CALIENTE</t>
  </si>
  <si>
    <t>Colocación TR, armado de colector, subida y bajadas de AF</t>
  </si>
  <si>
    <r>
      <t xml:space="preserve">Colocación de artefactos y griferias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</si>
  <si>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INSTALACION DESCARGA SPLIT</t>
  </si>
  <si>
    <r>
      <t xml:space="preserve">Armado y conexionado de desagües </t>
    </r>
    <r>
      <rPr>
        <sz val="10"/>
        <rFont val="Calibri"/>
        <family val="2"/>
        <scheme val="minor"/>
      </rPr>
      <t>AA.CC</t>
    </r>
  </si>
  <si>
    <t>INSTALACION DE INCENDIO</t>
  </si>
  <si>
    <r>
      <t xml:space="preserve">Tendido cañeria de incendio </t>
    </r>
    <r>
      <rPr>
        <i/>
        <sz val="10"/>
        <color rgb="FFFF0000"/>
        <rFont val="Calibri"/>
        <family val="2"/>
        <scheme val="minor"/>
      </rPr>
      <t xml:space="preserve">- Gabinetes, mangueras, lanzas y valvulas cotizadas en provisiones </t>
    </r>
  </si>
  <si>
    <t>INSTALACION DE GAS</t>
  </si>
  <si>
    <t>Provisión y tendido de cañerías de gas a cada UF</t>
  </si>
  <si>
    <t>AIRE ACONDICIONADO - PROVISION A CARGO DEL COMITENTE</t>
  </si>
  <si>
    <r>
      <t>Montaje, colocación y puesta en marcha de equipos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</si>
  <si>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t>ASCENSOR  - PROVISION A CARGO DEL COMITENTE</t>
  </si>
  <si>
    <r>
      <t xml:space="preserve">Ascensores </t>
    </r>
    <r>
      <rPr>
        <i/>
        <sz val="10"/>
        <color rgb="FFFF0000"/>
        <rFont val="Calibri"/>
        <family val="2"/>
        <scheme val="minor"/>
      </rPr>
      <t>- Provisión y colocación a cargo del comitente</t>
    </r>
  </si>
  <si>
    <t>EQUIPAMIENTO - PROVISION A CARGO DEL COMITENTE</t>
  </si>
  <si>
    <r>
      <t>Artefactos de cocina, instalacion anafes y hornos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</si>
  <si>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>Instalacion de extractores de baños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</si>
  <si>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t>TRABAJOS COMPLEMENTARIOS</t>
  </si>
  <si>
    <t>AYUDA DE GREMIOS</t>
  </si>
  <si>
    <t>Sereno</t>
  </si>
  <si>
    <t>Higiene y seguridad Res 51</t>
  </si>
  <si>
    <t>Protecciones y defensas</t>
  </si>
  <si>
    <t>Ayuda de gremios</t>
  </si>
  <si>
    <t xml:space="preserve">Limpieza periodica </t>
  </si>
  <si>
    <t>Limpieza final de Obra</t>
  </si>
  <si>
    <t>Fletes</t>
  </si>
  <si>
    <t>Alquiler de equipos - Montacargas, tubos de descarga y balancin</t>
  </si>
  <si>
    <t>Volquetes</t>
  </si>
  <si>
    <t>JEFATURA DE OBRA</t>
  </si>
  <si>
    <t>Movilidad y viaticos</t>
  </si>
  <si>
    <t>SUB TOTAL OBRA GRIS</t>
  </si>
  <si>
    <t>VALOR x m2 (sin IVA)</t>
  </si>
  <si>
    <t>CALEFACCION</t>
  </si>
  <si>
    <t>Válvula tipo teatro de 2" BSP x 1 3/4"INC.</t>
  </si>
  <si>
    <t>Gabinete para manguera de 1 3/4" con puerta hierro angulo . s/vidrio 500 x 550 x 160
mm.</t>
  </si>
  <si>
    <t>Manguera sintética RYL JET sello IRAM de 1 3/4" x 25 mts.</t>
  </si>
  <si>
    <t>Lanza de 1 3/4" con boquilla chorro PLENO Y NIEBLA regulable</t>
  </si>
  <si>
    <t>Válvula de Impulsión para Piso o Pared c/anilla giratoria de 2 1/2"</t>
  </si>
  <si>
    <t>Tapa con inscripción BOMBEROS para piso chapa antideslizante</t>
  </si>
  <si>
    <t>TOTAL</t>
  </si>
  <si>
    <t>Los valores no contemplan IVA</t>
  </si>
  <si>
    <t>MATERIALES</t>
  </si>
  <si>
    <t>MANO DE OBRA</t>
  </si>
  <si>
    <t>PU</t>
  </si>
  <si>
    <t>OTRO</t>
  </si>
  <si>
    <t>CORRALON</t>
  </si>
  <si>
    <t>ES</t>
  </si>
  <si>
    <t>OF</t>
  </si>
  <si>
    <t>MED</t>
  </si>
  <si>
    <t>AY</t>
  </si>
  <si>
    <t>ALB</t>
  </si>
  <si>
    <t>M.Obra topografo</t>
  </si>
  <si>
    <t>d</t>
  </si>
  <si>
    <t>M.Obra ayudante</t>
  </si>
  <si>
    <t xml:space="preserve">Consumibles </t>
  </si>
  <si>
    <t>Chapa acanalada C25</t>
  </si>
  <si>
    <t>Perfiles UPN 100</t>
  </si>
  <si>
    <t xml:space="preserve">Bastidor para porton corredizo - Perfil 40 x 40 x 2 </t>
  </si>
  <si>
    <t>Riel Roma 174 e: 2,1 mm. 53 x 60 x 6000</t>
  </si>
  <si>
    <t>Carro acero 174 4 ruedas puertas portones Ø45mm</t>
  </si>
  <si>
    <t xml:space="preserve">Autoperforantes punta mecha 14 x 2 </t>
  </si>
  <si>
    <t>Rollo Concertina</t>
  </si>
  <si>
    <t>rol</t>
  </si>
  <si>
    <t>Consumibles</t>
  </si>
  <si>
    <t>M.Obra</t>
  </si>
  <si>
    <t>Chapa acanalada C25 - Reutilizado (estimado 3 usos)</t>
  </si>
  <si>
    <t>Largo</t>
  </si>
  <si>
    <t xml:space="preserve">Ancho </t>
  </si>
  <si>
    <t>perim</t>
  </si>
  <si>
    <t>h</t>
  </si>
  <si>
    <t>Puntales</t>
  </si>
  <si>
    <t>Fenolico 1,22 x 2,44 - Reutilizado (estimado 3 usos)</t>
  </si>
  <si>
    <t>Paredes</t>
  </si>
  <si>
    <t>Puntales 1 x 4 x 3,7 - Reutilizado (estimado 3 usos)</t>
  </si>
  <si>
    <t>Piso</t>
  </si>
  <si>
    <t>Puntales 3 x 3 x 3,7 - Reutilizado (estimado 3 usos)</t>
  </si>
  <si>
    <t>Paredes interiores</t>
  </si>
  <si>
    <t>Flete madera</t>
  </si>
  <si>
    <t>M.Obra carpinteros</t>
  </si>
  <si>
    <t xml:space="preserve">Rollo de cable TPR 3 x 2,5 </t>
  </si>
  <si>
    <t xml:space="preserve">rol </t>
  </si>
  <si>
    <t>Zocalo E27</t>
  </si>
  <si>
    <t>Lampara Led 12 w</t>
  </si>
  <si>
    <t>M.Obra elect</t>
  </si>
  <si>
    <t>Materiales Sanit</t>
  </si>
  <si>
    <t xml:space="preserve">Bacha </t>
  </si>
  <si>
    <t>Termo electrico 40 lts</t>
  </si>
  <si>
    <t xml:space="preserve">M.Obra sanit </t>
  </si>
  <si>
    <t>Mantenimiento</t>
  </si>
  <si>
    <t>Pilar de obra, albañileria</t>
  </si>
  <si>
    <t>Kit medidor pilar Edenor Conextube</t>
  </si>
  <si>
    <t>Kit jabalina + caja + toma cable</t>
  </si>
  <si>
    <t>Cable subterraneo 5 x 10 mm2</t>
  </si>
  <si>
    <t>mts</t>
  </si>
  <si>
    <t>Tablero de obra</t>
  </si>
  <si>
    <t>Tanque de Bombeo 500 lts (reutilizado)</t>
  </si>
  <si>
    <t xml:space="preserve">Bomba pres (reutilizada) </t>
  </si>
  <si>
    <t xml:space="preserve">Flotante mecanico 1" + boya </t>
  </si>
  <si>
    <t>Flotante automatico</t>
  </si>
  <si>
    <t>Caño 3/4"</t>
  </si>
  <si>
    <t>Val. esf doble media union 1"</t>
  </si>
  <si>
    <t xml:space="preserve">Canilla de pvc </t>
  </si>
  <si>
    <t>Desperdicio</t>
  </si>
  <si>
    <t>Gestion suministro luz de obra</t>
  </si>
  <si>
    <t>Luz de Obra</t>
  </si>
  <si>
    <t>Medicion PAT luz de obra</t>
  </si>
  <si>
    <t>CEMENTO AVELLANEDA x 50 KG</t>
  </si>
  <si>
    <t>bol</t>
  </si>
  <si>
    <t>Consumibles - Punta martillo</t>
  </si>
  <si>
    <t>H30 6.20</t>
  </si>
  <si>
    <t>Hierro del 10</t>
  </si>
  <si>
    <t>kg</t>
  </si>
  <si>
    <t>H°</t>
  </si>
  <si>
    <t xml:space="preserve">Fenolicos 1,22 x 2,44 </t>
  </si>
  <si>
    <t>Excavación</t>
  </si>
  <si>
    <t>Yeso Knauf MP 40/75 Proyectable x 25 kg - (17 kg/m2)</t>
  </si>
  <si>
    <t>PA-MAX PUENTE DE ADHERENCIA 20LT (150 m2/tac) - Contemplo el 20% de los m2</t>
  </si>
  <si>
    <t>tac</t>
  </si>
  <si>
    <t xml:space="preserve">Malla de fibra 5 x 5 90 gr, rollo 1 x 50 mts - Contemplo el 20% de los m2 </t>
  </si>
  <si>
    <t>Guardacanto yesero 2,00 mts</t>
  </si>
  <si>
    <t>PLACA CEMENTICIA CONSTRUCCION SECO SUPERBOARD ESTRUCTURAL BORDE RECTO 10MM X 1200MM X 2400MM</t>
  </si>
  <si>
    <t xml:space="preserve">Sellador / Silicona (rinde 5 mts) </t>
  </si>
  <si>
    <t>M.O (25 ml/dia)</t>
  </si>
  <si>
    <t>BUÑA Z PERIMETRAL - Largo 2,60 mt</t>
  </si>
  <si>
    <t>PA-MAX PUENTE DE ADHERENCIA 20LT (150 m2/tac) - Contemplo el 100% de los m2</t>
  </si>
  <si>
    <t xml:space="preserve">Materiales varios </t>
  </si>
  <si>
    <t xml:space="preserve">M.Obra. Carga de material y lijado de la losa </t>
  </si>
  <si>
    <t>Base quarzo (0,2 lts/m2)</t>
  </si>
  <si>
    <t xml:space="preserve">lts </t>
  </si>
  <si>
    <t>Atenas fino 2 kg/m2</t>
  </si>
  <si>
    <t>Consumibles (rodillos, llanas, etc)</t>
  </si>
  <si>
    <t xml:space="preserve">Mano de obra - Silleta Elias </t>
  </si>
  <si>
    <t xml:space="preserve">Mensula de hierro </t>
  </si>
  <si>
    <t>PERFIL ANGULO ALAS IGUALES ESTRUCTURAL ACERO 6M X 5/8" X 1/8</t>
  </si>
  <si>
    <t>Materiales</t>
  </si>
  <si>
    <t xml:space="preserve">SXXI MODULO toma doble 10A </t>
  </si>
  <si>
    <t>Mat</t>
  </si>
  <si>
    <t>Caño de acometida</t>
  </si>
  <si>
    <t>Caja de toma</t>
  </si>
  <si>
    <t>MAT</t>
  </si>
  <si>
    <t xml:space="preserve">Puesta A TIERRA </t>
  </si>
  <si>
    <t>Malla Q188 15 x 15 6 mm 6x2,40</t>
  </si>
  <si>
    <t xml:space="preserve">Ladrillo refractario </t>
  </si>
  <si>
    <t>WEBER REFRACTARIO X 10KG (rend. 0,5 m2)</t>
  </si>
  <si>
    <t xml:space="preserve">Dintel </t>
  </si>
  <si>
    <t>Consumibles (maderas, apuntalamiento, discos, etc.)</t>
  </si>
  <si>
    <t>M. Obra</t>
  </si>
  <si>
    <t>Defensas</t>
  </si>
  <si>
    <t>Protecciones barandas</t>
  </si>
  <si>
    <t>Tabla 4 x 1 x 3,6 Saligna bruto</t>
  </si>
  <si>
    <t>Tirante 3 x 3 x 3,6 Saligna bruto</t>
  </si>
  <si>
    <t>M.Obra def. (2 dias x def)</t>
  </si>
  <si>
    <t xml:space="preserve">Mat. </t>
  </si>
  <si>
    <t xml:space="preserve">M.Obra arreglos </t>
  </si>
  <si>
    <t>M.Obra descarga y mov de material</t>
  </si>
  <si>
    <t>Balancin</t>
  </si>
  <si>
    <t>Montacargas</t>
  </si>
  <si>
    <t>Manga y tubos</t>
  </si>
  <si>
    <t>Volquete x mes</t>
  </si>
  <si>
    <t>MESES</t>
  </si>
  <si>
    <t>GASTOS GENERALES y BENEFICIO</t>
  </si>
  <si>
    <t>Descrip</t>
  </si>
  <si>
    <t>Mes</t>
  </si>
  <si>
    <t>Total Dias</t>
  </si>
  <si>
    <t>Prelim</t>
  </si>
  <si>
    <t>Gastos Grales de obra en items</t>
  </si>
  <si>
    <t>Precio Unit</t>
  </si>
  <si>
    <t>Oficina en obra (6x3 c/AA)</t>
  </si>
  <si>
    <t>Fundac</t>
  </si>
  <si>
    <t>Obrador 6x3 s/AA</t>
  </si>
  <si>
    <t>Losa sobre PB</t>
  </si>
  <si>
    <t>Pañol (6x3)</t>
  </si>
  <si>
    <t>Losa sobre 1</t>
  </si>
  <si>
    <t>Baños</t>
  </si>
  <si>
    <t>Losa sobre 2</t>
  </si>
  <si>
    <t>Losa sobre 3</t>
  </si>
  <si>
    <t>HyS permanente</t>
  </si>
  <si>
    <t>Losa sobre 4</t>
  </si>
  <si>
    <t>Inicio mamposteria</t>
  </si>
  <si>
    <t>HyS</t>
  </si>
  <si>
    <t>Energía de obra</t>
  </si>
  <si>
    <t>Agua de obra</t>
  </si>
  <si>
    <t>Alquiler cerco de obra chapa</t>
  </si>
  <si>
    <t>Proyecto Ejecutivo</t>
  </si>
  <si>
    <t>Proyecto (50%)</t>
  </si>
  <si>
    <t>Revoques, contrap y carp</t>
  </si>
  <si>
    <t xml:space="preserve">Amures </t>
  </si>
  <si>
    <t>Gastos Directos</t>
  </si>
  <si>
    <t>Pintura</t>
  </si>
  <si>
    <t>Coordinacion de obra</t>
  </si>
  <si>
    <t>Terminaciones</t>
  </si>
  <si>
    <t>Jefe de obra</t>
  </si>
  <si>
    <t>Sobrestante</t>
  </si>
  <si>
    <t>Administrativo en obra</t>
  </si>
  <si>
    <t>Capataz</t>
  </si>
  <si>
    <t>Logistica</t>
  </si>
  <si>
    <t>Vehiculo obra</t>
  </si>
  <si>
    <t>Mov y viaticos</t>
  </si>
  <si>
    <t>UOCRA</t>
  </si>
  <si>
    <t>Pañolero/Sereno</t>
  </si>
  <si>
    <t>Equipos</t>
  </si>
  <si>
    <t>Bobcat</t>
  </si>
  <si>
    <t>Camion limpieza</t>
  </si>
  <si>
    <t>Tijera electrica 12</t>
  </si>
  <si>
    <t>JLG</t>
  </si>
  <si>
    <t>Grua 20ton</t>
  </si>
  <si>
    <t>Gastos Indirectos</t>
  </si>
  <si>
    <t>Admin (50%Compras - 50%RRHH)</t>
  </si>
  <si>
    <t>Seguros</t>
  </si>
  <si>
    <t>IIBB (monto venta obra gris)</t>
  </si>
  <si>
    <t>Imp cheque</t>
  </si>
  <si>
    <t>Contrato</t>
  </si>
  <si>
    <t>Monto puesto en Ayuda de gremio que no se eroga</t>
  </si>
  <si>
    <t>Total de Gastos Generales</t>
  </si>
  <si>
    <t>Corralon</t>
  </si>
  <si>
    <t>Subcontratos</t>
  </si>
  <si>
    <t>Mano de obra</t>
  </si>
  <si>
    <t>A</t>
  </si>
  <si>
    <t>GG</t>
  </si>
  <si>
    <t>Imprevistos + Negciacion</t>
  </si>
  <si>
    <t>Beneficio</t>
  </si>
  <si>
    <t>B</t>
  </si>
  <si>
    <t>K</t>
  </si>
  <si>
    <t>A+B</t>
  </si>
  <si>
    <t>Picado de medianeras</t>
  </si>
  <si>
    <t xml:space="preserve">Subtotal </t>
  </si>
  <si>
    <t>MEDIANERAS enchape</t>
  </si>
  <si>
    <t>C01</t>
  </si>
  <si>
    <t>Lado A</t>
  </si>
  <si>
    <t>C04</t>
  </si>
  <si>
    <t>Lado B</t>
  </si>
  <si>
    <t>C06</t>
  </si>
  <si>
    <t>Fondo</t>
  </si>
  <si>
    <t>1P</t>
  </si>
  <si>
    <t>C02</t>
  </si>
  <si>
    <t>Ancho</t>
  </si>
  <si>
    <t>e</t>
  </si>
  <si>
    <t>M1</t>
  </si>
  <si>
    <t>M2</t>
  </si>
  <si>
    <t>M3</t>
  </si>
  <si>
    <t>M4</t>
  </si>
  <si>
    <t>Base</t>
  </si>
  <si>
    <t>Sup</t>
  </si>
  <si>
    <t>PINTURA PUERTAS</t>
  </si>
  <si>
    <t>Caras</t>
  </si>
  <si>
    <t>m2 hojas</t>
  </si>
  <si>
    <t>Perim</t>
  </si>
  <si>
    <t>ancho</t>
  </si>
  <si>
    <t>m2 marcos</t>
  </si>
  <si>
    <t>Placa MDF 0,80 m</t>
  </si>
  <si>
    <t>Puerta Ascensor</t>
  </si>
  <si>
    <t>BARANDAS y HERRERIAS</t>
  </si>
  <si>
    <t>Subt</t>
  </si>
  <si>
    <t>CONTRAFRENTE</t>
  </si>
  <si>
    <t>FRENTE</t>
  </si>
  <si>
    <t>Laterales</t>
  </si>
  <si>
    <t>PORTONES MEDIDORES</t>
  </si>
  <si>
    <t>Medidor luz</t>
  </si>
  <si>
    <t>ESCALERA</t>
  </si>
  <si>
    <t>DEFENSAS</t>
  </si>
  <si>
    <t>Defensas frente y contrafrente</t>
  </si>
  <si>
    <t>Ml</t>
  </si>
  <si>
    <t>Frente</t>
  </si>
  <si>
    <t>Contrafrente</t>
  </si>
  <si>
    <t>Fachada lat</t>
  </si>
  <si>
    <t>BARANDAS</t>
  </si>
  <si>
    <t>Escalera</t>
  </si>
  <si>
    <t>NARICES METALICAS</t>
  </si>
  <si>
    <t>alzada</t>
  </si>
  <si>
    <t>N° Alzadas</t>
  </si>
  <si>
    <t>Cant niveles</t>
  </si>
  <si>
    <t>H Promedio</t>
  </si>
  <si>
    <t>CARPINTERIAS</t>
  </si>
  <si>
    <t>ELECTRICIDAD</t>
  </si>
  <si>
    <t>ART SANITARIO</t>
  </si>
  <si>
    <t>GRIFERIAS</t>
  </si>
  <si>
    <t>H a revisar</t>
  </si>
  <si>
    <t>Puertas</t>
  </si>
  <si>
    <t>PISOS (m2)</t>
  </si>
  <si>
    <t>ZOCALOS (ml)</t>
  </si>
  <si>
    <t>PAREDES</t>
  </si>
  <si>
    <t>CIELORRASO</t>
  </si>
  <si>
    <t>Revisar</t>
  </si>
  <si>
    <t>A1</t>
  </si>
  <si>
    <t>A2</t>
  </si>
  <si>
    <t>A3</t>
  </si>
  <si>
    <t>A4</t>
  </si>
  <si>
    <t>A5</t>
  </si>
  <si>
    <t>R1</t>
  </si>
  <si>
    <t xml:space="preserve">C </t>
  </si>
  <si>
    <t>R2</t>
  </si>
  <si>
    <t>C1</t>
  </si>
  <si>
    <t>C2</t>
  </si>
  <si>
    <t>C3</t>
  </si>
  <si>
    <t>P1</t>
  </si>
  <si>
    <t>P2</t>
  </si>
  <si>
    <t>P3</t>
  </si>
  <si>
    <t>P4</t>
  </si>
  <si>
    <t>P5</t>
  </si>
  <si>
    <t>P6</t>
  </si>
  <si>
    <t>P7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</si>
  <si>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</si>
  <si>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</si>
  <si>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</si>
  <si>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</si>
  <si>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</si>
  <si>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</si>
  <si>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</si>
  <si>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</si>
  <si>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</si>
  <si>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</si>
  <si>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Z1</t>
  </si>
  <si>
    <t>Z2</t>
  </si>
  <si>
    <t>Z3</t>
  </si>
  <si>
    <t>PI1</t>
  </si>
  <si>
    <t>PI2</t>
  </si>
  <si>
    <t>PCI1</t>
  </si>
  <si>
    <t>PCI2</t>
  </si>
  <si>
    <t>IL1</t>
  </si>
  <si>
    <t>IL2</t>
  </si>
  <si>
    <t>IL3</t>
  </si>
  <si>
    <t>IL4</t>
  </si>
  <si>
    <t>IL5</t>
  </si>
  <si>
    <t>IL6</t>
  </si>
  <si>
    <t>IL7</t>
  </si>
  <si>
    <t>IL8</t>
  </si>
  <si>
    <t>IL9</t>
  </si>
  <si>
    <t>IL10</t>
  </si>
  <si>
    <t>Revisado</t>
  </si>
  <si>
    <t>MC</t>
  </si>
  <si>
    <t>Monolitico e: 6,00 cm</t>
  </si>
  <si>
    <t>Carpeta</t>
  </si>
  <si>
    <t>Carpeta s/ membrana</t>
  </si>
  <si>
    <t xml:space="preserve">Yeso </t>
  </si>
  <si>
    <t>Aristas</t>
  </si>
  <si>
    <t>Cantoneras</t>
  </si>
  <si>
    <t xml:space="preserve">Bajo revestimiento </t>
  </si>
  <si>
    <t>Aislacion Horizontal en Baños</t>
  </si>
  <si>
    <t>Yeso aplicado</t>
  </si>
  <si>
    <t>Buña</t>
  </si>
  <si>
    <t>Cantonera</t>
  </si>
  <si>
    <t>Chapa F30 0,90 m</t>
  </si>
  <si>
    <t>Chapa 0,80 m</t>
  </si>
  <si>
    <t>Micropiso</t>
  </si>
  <si>
    <t xml:space="preserve">Sensor de movimiento </t>
  </si>
  <si>
    <t>Toma A/A</t>
  </si>
  <si>
    <t>Boca TV</t>
  </si>
  <si>
    <t>Tecla</t>
  </si>
  <si>
    <t>PLANTA</t>
  </si>
  <si>
    <t>Nº</t>
  </si>
  <si>
    <t>LOCAL</t>
  </si>
  <si>
    <t>SUP</t>
  </si>
  <si>
    <t>perim unit</t>
  </si>
  <si>
    <t>vacio</t>
  </si>
  <si>
    <t>perim real</t>
  </si>
  <si>
    <t>H</t>
  </si>
  <si>
    <t>H r</t>
  </si>
  <si>
    <t>aux</t>
  </si>
  <si>
    <t>SALA BOMBEO</t>
  </si>
  <si>
    <t>AZ</t>
  </si>
  <si>
    <t>AZOTEA</t>
  </si>
  <si>
    <t>SM</t>
  </si>
  <si>
    <t>Un</t>
  </si>
  <si>
    <t>TAREA</t>
  </si>
  <si>
    <t>DIA</t>
  </si>
  <si>
    <t>GGBB</t>
  </si>
  <si>
    <t>H-3  TUBO UNIFUSION CALø.1/2"X4M</t>
  </si>
  <si>
    <t>tira</t>
  </si>
  <si>
    <t>H-3 SOBREPASO ø13MM.FUSION</t>
  </si>
  <si>
    <t>H-3 CUPLA   ø13 MM.FUSION</t>
  </si>
  <si>
    <t>H-3 CODO  ø13 MM.FUSION</t>
  </si>
  <si>
    <t>H-3 CODO ø13 MM.FUS-R.MET.H.</t>
  </si>
  <si>
    <t>H-3 TAPON MACHO PRUEBA HIDRA.ø13</t>
  </si>
  <si>
    <t>H-3 CUPLA ..ø13X 9MM FUS-R.MET.H.</t>
  </si>
  <si>
    <t>H-3 CUPLA 13MM FUS-R.MET.M.</t>
  </si>
  <si>
    <t>BFV CANILLA ESFER. MANGUERA ø13 FV436.03</t>
  </si>
  <si>
    <t>H-3 TEE  ø13 MM.FUSION</t>
  </si>
  <si>
    <t>H-3 LLAVE DE PASO 13MM FUSION CR.</t>
  </si>
  <si>
    <t>H-3  TUBO AGUA FRIA ø19 X 6</t>
  </si>
  <si>
    <t>H-3  TUBO AGUA CALIENTE 19X3.9X6</t>
  </si>
  <si>
    <t>H-3 SOBREPASO ø19MM.FUSION</t>
  </si>
  <si>
    <t xml:space="preserve">H-3 CUPLA   ø19 MM.FUSION </t>
  </si>
  <si>
    <t>H-3 CODO  ø19 MM.FUSION</t>
  </si>
  <si>
    <t>H-3 CODO ø19 MM.FUS-R.MET.H.</t>
  </si>
  <si>
    <t>H-3 TEE  ø19 MM.FUSION</t>
  </si>
  <si>
    <t>H-3 LLAVE DE PASO 19MM FUSION CR.</t>
  </si>
  <si>
    <t>H-3 VALV.ESFER.EMB.MARRON ø19 CRO</t>
  </si>
  <si>
    <t>H-3 BUJE RED. 19X13 FUSION</t>
  </si>
  <si>
    <t>VARIOS</t>
  </si>
  <si>
    <t>BFV FLEXIBLE TRENZADO ø13X30   FV261-D20</t>
  </si>
  <si>
    <t>BC ROSETA A*I* ø13 MM.P/CANILLA-FLEXIBLE</t>
  </si>
  <si>
    <t>BC TORNILLO 22X70 MM.P/INODORO CABEZA CR</t>
  </si>
  <si>
    <t>AWA SOPAPA BAÑERA VERTICAL BCE.CR.1/4128</t>
  </si>
  <si>
    <t>RP DESCARGA BLANCA FLEX.PLAST.LISA 40/50</t>
  </si>
  <si>
    <t>AWA SIFON BACHA DOBLE</t>
  </si>
  <si>
    <t>AWA PORTAREJ.+REJA A*I*12X12 ø110 4/4002</t>
  </si>
  <si>
    <t>AWA PORTAREJ +TAPA A*I*15X15 ø110 4/4005</t>
  </si>
  <si>
    <t>H-3  TUBO AGUA FRIA ø32 X 6</t>
  </si>
  <si>
    <t>H-3 TEE  ø32 MM.FUSION</t>
  </si>
  <si>
    <t>H-3 BUJE RED. 32X25 FUSION</t>
  </si>
  <si>
    <t>H-3 BUJE RED. 25X19 FUSION</t>
  </si>
  <si>
    <t>H-3 CODO  ø32 MM.FUSION</t>
  </si>
  <si>
    <t>H-3 VALV.ESFER.EXT.MARRON DMU ø32</t>
  </si>
  <si>
    <t>BR CODO BCE.ROSC. A 90* HH 51MM.</t>
  </si>
  <si>
    <t>BR NIPLE BCE.ROSC. 51 X 15 CMS. F</t>
  </si>
  <si>
    <t>BC FLOTANTE PRESION 51 MM.S/BOYA</t>
  </si>
  <si>
    <t>BC BOYA PRESION TELGOPOR 51 MM.</t>
  </si>
  <si>
    <t>TQ AUTOMAT.TANQUE SUMERGIBLE CUAD.X1.50</t>
  </si>
  <si>
    <t>BR BRIDA BCE.ROSC. 51MM.</t>
  </si>
  <si>
    <t>H-3 CUPLA   ø32 MM.FUSION</t>
  </si>
  <si>
    <t>H-3  TUBO AGUA FRIA ø50 X 6</t>
  </si>
  <si>
    <t>H-3 CODO  ø50 MM.FUSION</t>
  </si>
  <si>
    <t>H-3 CUPLA   ø50 MM.FUSION</t>
  </si>
  <si>
    <t>H-3 VALV.ESFER.EXT.MARRON DMU ø50</t>
  </si>
  <si>
    <t>H-3 TEE  ø50 MM.FUSION</t>
  </si>
  <si>
    <t>H-3 BUJE RED. 50X32 FUSION</t>
  </si>
  <si>
    <t>H-3  TUBO AGUA FRIA ø25 X 6</t>
  </si>
  <si>
    <t>H-3 CODO  ø25 MM.FUSION</t>
  </si>
  <si>
    <t>H-3 CUPLA   ø25 MM.FUSION</t>
  </si>
  <si>
    <t>H-3 VALV.ESFER.EXT.MARRON DMU ø25</t>
  </si>
  <si>
    <t>Tendido montante</t>
  </si>
  <si>
    <t>P Unit</t>
  </si>
  <si>
    <t>AWA TUBO PPN CLOACAL ø.110X4.00   3/1035</t>
  </si>
  <si>
    <t>AWA CAÑO CAMARA PPN CLOACAL ø110  5/2065</t>
  </si>
  <si>
    <t>AWA CODO MH 90*PPN.CLOACAL ø110  12/2008</t>
  </si>
  <si>
    <t>AWA CODO MH 45*PPN CLOACAL.ø110   6/2004</t>
  </si>
  <si>
    <t>AWA RAMAL 45*PPN CLOAC.ø110X110   5/2023</t>
  </si>
  <si>
    <t>AWA GRAMPA RAPICLACK ø110        10/4170</t>
  </si>
  <si>
    <t>AWA PILETA BALCON ø 63(M)         4/2062</t>
  </si>
  <si>
    <t>AWA BUJE RED.MH ø 63X50          20/2081</t>
  </si>
  <si>
    <t>AWA DISCO ANTIFILTRACION P/REJA   4/2077</t>
  </si>
  <si>
    <t>AWA SOLUC.DESLIZ.AEROSOL 255 CM3 12/4023</t>
  </si>
  <si>
    <t>HF EMBUDO H*F* 100 CENTRO C/REJA 20 X 20</t>
  </si>
  <si>
    <t xml:space="preserve">H-3 TEE  ø25 MM.FUSION </t>
  </si>
  <si>
    <t>AWA A.A.ADAPT.ø32M X 3/4" ESPIGA 20/2283</t>
  </si>
  <si>
    <t>AWA A.A.TUBO PPN CLOACAL ø32X3   10/1060</t>
  </si>
  <si>
    <t>AWA A.A.CODO HH 90*PPN CLOAC.ø32 10/2265</t>
  </si>
  <si>
    <t>AWA A.A.CODO HH 45*PPN CLOAC.ø32 10/2252</t>
  </si>
  <si>
    <t>AWA GRAMPA RAPICLACK ø 40-50-63  20/4167</t>
  </si>
  <si>
    <t>AWA RAMAL 45*PPN CLOAC.ø 63X 63  20/2026</t>
  </si>
  <si>
    <t>AWA TUBO PPN CLOACAL ø 63X4.00   10/1026</t>
  </si>
  <si>
    <t>AWA MANG/CUPLA PPN CLOAC.ø110    10/2016</t>
  </si>
  <si>
    <t>AWA TAPA PPN CLOACAL ø.110       10/2036</t>
  </si>
  <si>
    <t>AWA CODO MH 90*PPN CLOACAL ø63   20/2007</t>
  </si>
  <si>
    <t>AWA CODO MH 45*PPN CLOACAL ø63   20/2003</t>
  </si>
  <si>
    <t>AWA MANG/CUPLA PPN CLOAC.ø 63    20/2015</t>
  </si>
  <si>
    <t>AWA TUBO PPN CLOACAL ø 50X4.00   10/1017</t>
  </si>
  <si>
    <t>AWA CODO MH 90*PPN CLOACAL ø50   20/2006</t>
  </si>
  <si>
    <t>AWA MANG/CUPLA PPN CLOAC.ø 50    20/2014</t>
  </si>
  <si>
    <t>AWA TAPA PPN CLOACAL ø 50        20/2037</t>
  </si>
  <si>
    <t>AWA TUBO PPN CLOACAL ø 40X4.00   10/1008</t>
  </si>
  <si>
    <t>AWA CODO MH 90*PPN CLOACAL ø40   20/2005</t>
  </si>
  <si>
    <t>AWA CODO MH 45*PPN CLOACAL ø40   20/2001</t>
  </si>
  <si>
    <t>AWA MANG/CUPLA PPN CLOAC.ø 40    20/2013</t>
  </si>
  <si>
    <t>AWA TAPA PPN CLOACAL ø 40        20/2034</t>
  </si>
  <si>
    <t>UN</t>
  </si>
  <si>
    <t>AWA BOCA ACCES.HOR.3 ACOM.ø110X63 4/2460</t>
  </si>
  <si>
    <t>AWA RAMAL 45*PPN CLOAC.ø110X 63   5/2024</t>
  </si>
  <si>
    <t>AWA RAMAL 90+ ø110X110 C/VENT.    2/2050</t>
  </si>
  <si>
    <t>AWA RAMAL 90+ ø110X 63 C/VENT.    2/2063</t>
  </si>
  <si>
    <t>AWA ADAPT.SUPEREXCENT.INO.ø105"AC"4/2271</t>
  </si>
  <si>
    <t>AWA SIFON ROMPE ESPUMA PPN        1/7120</t>
  </si>
  <si>
    <t>AWA RAMAL INV.PPN CLOAC.110X50    5/3014</t>
  </si>
  <si>
    <t>AWA RAMAL INV.PPN CLOAC. 50X50   20/2025</t>
  </si>
  <si>
    <t>AWA CODO MH 45*PPN CLOACAL ø50   20/2002</t>
  </si>
  <si>
    <t>AWA.TUBO DRENA+CAMP.110X4M.4/5 RAN3/7886</t>
  </si>
  <si>
    <t>MEMBRANA C/GEOTEXTIL W450</t>
  </si>
  <si>
    <t>BOLSON DE PIEDRA PARTIDA 6/20</t>
  </si>
  <si>
    <t>Rollo Polietileno negro 2x50 mt x 200mic</t>
  </si>
  <si>
    <t>Malla N° 4 Liv 15 x 15 3 x 2 mt</t>
  </si>
  <si>
    <t>CC CAL.FLEXIBLES INSTALAC.CALDERA DUAL</t>
  </si>
  <si>
    <t xml:space="preserve">NOTA: CANTIDADES SALEN DE COMPUTO AUXILIAR INCENDIO </t>
  </si>
  <si>
    <t xml:space="preserve">Por tendido cañeria de incendio - (no incluye gabinetes, manguera, lanza y valvula) </t>
  </si>
  <si>
    <t>CAÑO DE HIERRO GALVANIZADO 2" x 6,4 m</t>
  </si>
  <si>
    <t>CAÑO DE HIERRO GALVANIZADO 2 1/2" x 6,4 m</t>
  </si>
  <si>
    <t>TEE REDUCCION GALVANIZADA 2 1/2" x 2"</t>
  </si>
  <si>
    <t>TEE GALVANIZADA 2 1/2"</t>
  </si>
  <si>
    <t>CODO GALVANIZADO H-H 90° 2 1/2"</t>
  </si>
  <si>
    <t>BUJE REDUCCION M - H  2 1/2" x 2"</t>
  </si>
  <si>
    <t>CODO GALVANIZADO H-H 90° 2"</t>
  </si>
  <si>
    <r>
      <rPr>
        <sz val="10"/>
        <rFont val="Calibri"/>
        <family val="2"/>
        <scheme val="minor"/>
      </rPr>
      <t>ROSCA CON TUERCA GALVANIZADA 2"
Página 1 de 2</t>
    </r>
  </si>
  <si>
    <t>CUPLA H - H  GALVANIZADA 2 1/2"</t>
  </si>
  <si>
    <t>CUPLA H - H  GALVANIZADA 2"</t>
  </si>
  <si>
    <t>Esmalte sintetico 3 en 1 Bermellon x 4 lts</t>
  </si>
  <si>
    <t>Rodillos y pinceles</t>
  </si>
  <si>
    <t xml:space="preserve">Desperdicio / Imprevistos / </t>
  </si>
  <si>
    <t xml:space="preserve">BOCA GABINETE COMPLETA </t>
  </si>
  <si>
    <r>
      <rPr>
        <sz val="10"/>
        <rFont val="Calibri"/>
        <family val="2"/>
        <scheme val="minor"/>
      </rPr>
      <t>Gabinete para manguera de 1 3/4" con puerta hierro angulo . s/vidrio 500 x 550 x 160
mm.</t>
    </r>
  </si>
  <si>
    <t>IMPULSION COMPLETA</t>
  </si>
  <si>
    <t>FU  TUBO FUSIOGAS ø20X4M.</t>
  </si>
  <si>
    <t>FU  TUBO FUSIOGAS ø25X4M.</t>
  </si>
  <si>
    <t>FU  TUBO FUSIOGAS ø32X4M.</t>
  </si>
  <si>
    <t>FU CUPLA FUSIOGAS ø20</t>
  </si>
  <si>
    <t>FU CUPLA FUSIOGAS ø25</t>
  </si>
  <si>
    <t>FU CUPLA FUSIOGAS ø32</t>
  </si>
  <si>
    <t xml:space="preserve">FU LLAVE PASO FUSIO.ø20 CROMO </t>
  </si>
  <si>
    <t xml:space="preserve">FU LLAVE PASO FUSIO.ø25 CROMO </t>
  </si>
  <si>
    <t xml:space="preserve">FU LLAVE PASO FUSIO.ø32 CROMO  </t>
  </si>
  <si>
    <t>FU TEE FUSIOGAS ø25</t>
  </si>
  <si>
    <t>FU TEE FUSIOGAS ø32</t>
  </si>
  <si>
    <t>FU CUPLA RED.FUSIOGAS ø25X20</t>
  </si>
  <si>
    <t>FU CUPLA RED.FUSIOGAS ø32X25</t>
  </si>
  <si>
    <t>FU CODO 90º FUSIO.ø25XRH3/4"</t>
  </si>
  <si>
    <t xml:space="preserve">FU CODO 90º FUSIO.ø20XRH1/2" </t>
  </si>
  <si>
    <t>FU CODO 90º FUSIO.ø32XRH1"</t>
  </si>
  <si>
    <t>FU CODO FUSION 90º FUSIO.ø20</t>
  </si>
  <si>
    <t>FU CODO FUSION 90º FUSIO.ø25</t>
  </si>
  <si>
    <t>FU CODO FUSION 90º FUSIO.ø32</t>
  </si>
  <si>
    <t>FU TRANS.HEMBRA FUSIO.ø32X1"</t>
  </si>
  <si>
    <t>HE  CAÑO C/REVES.EPOXI NAG151 51X6 40 19</t>
  </si>
  <si>
    <t>HE  CAÑO C/REVES.EPOXI NAG151 25X6 40 61</t>
  </si>
  <si>
    <t>HE TEE REDUCCION H*EPOXI 50 X 25 X 50 MM</t>
  </si>
  <si>
    <t>HE CODO H*EPOXI A 90* MH 25 MM.</t>
  </si>
  <si>
    <t>GS LLAVE ESF.PASO RED.BCE.GAS 25MM.ENARG</t>
  </si>
  <si>
    <t>GS FLEX.EXTENS.ENARGAS ø13MM X 40-90/105</t>
  </si>
  <si>
    <t>GS FLEX.EXTENS.ENARGAS ø19MM X 40-90/105</t>
  </si>
  <si>
    <t>GS REJA.VENT.APROB.ESMAL.15X15-100 ATORN</t>
  </si>
  <si>
    <t>Especificacion</t>
  </si>
  <si>
    <t>Unid</t>
  </si>
  <si>
    <t>TSG Tablero de servicios Generales</t>
  </si>
  <si>
    <t>ID interruptos  diferencial</t>
  </si>
  <si>
    <t>STECK DIFERENCIAL 2X25A 30MA</t>
  </si>
  <si>
    <t>2x16 A</t>
  </si>
  <si>
    <t>2x20 A</t>
  </si>
  <si>
    <t>STECK DIFERENCIAL 4X40A 30MA</t>
  </si>
  <si>
    <t>4x40 A</t>
  </si>
  <si>
    <t>STECK DIFERENCIAL 4X63A 30MA</t>
  </si>
  <si>
    <t>4x63 A</t>
  </si>
  <si>
    <t>Llave termomagnetica</t>
  </si>
  <si>
    <t>STECK TM BIPOLAR 10A 6KA</t>
  </si>
  <si>
    <t>2x10 A</t>
  </si>
  <si>
    <t>STECK TM BIPOLAR 16A 6KA</t>
  </si>
  <si>
    <t>STECK TM TETRAPOLAR 32A 6KA</t>
  </si>
  <si>
    <t>4x32 A</t>
  </si>
  <si>
    <t>STECK TM TETRAPOLAR 50A 6KA</t>
  </si>
  <si>
    <t>4x50 A</t>
  </si>
  <si>
    <t>GAB. IP65 SERIE 9000 600X900X225</t>
  </si>
  <si>
    <t>CONTRAF ABISAG CALADO 60BIP S9000 600X900</t>
  </si>
  <si>
    <t>RIEL DIN 35MM 1 METRO PERFOR.</t>
  </si>
  <si>
    <t>RIEL PORTA ELEMENTOS X 1 METRO</t>
  </si>
  <si>
    <t>SOP REG P/CONTRAFRENTE PROF 225 X1</t>
  </si>
  <si>
    <t>INTERRUPTOR COMPACTO 4X125A S250</t>
  </si>
  <si>
    <t>Contactos 4 x 125A</t>
  </si>
  <si>
    <t>DISTRIBUIDOR TETRAP.160A 15 STD</t>
  </si>
  <si>
    <t>Distribuidor tetrapolar 160a</t>
  </si>
  <si>
    <t>TERMINAL COBRE SCC 120-2 (5/8)</t>
  </si>
  <si>
    <t>Terminal de cobre 50mm</t>
  </si>
  <si>
    <t>Voltimetro Display Ojo de Buey 22 mm</t>
  </si>
  <si>
    <t>Ojo de buey panel</t>
  </si>
  <si>
    <t>Bornera puesta a tierra</t>
  </si>
  <si>
    <t xml:space="preserve">Rollo cable </t>
  </si>
  <si>
    <t>1 x 6 mm</t>
  </si>
  <si>
    <t>Seccion de cable</t>
  </si>
  <si>
    <t xml:space="preserve">Consumibles, desperdicio </t>
  </si>
  <si>
    <t>TSBI Tablero Seccional Bomba Impulsora</t>
  </si>
  <si>
    <t>2 x 20 A</t>
  </si>
  <si>
    <t>2 x 16</t>
  </si>
  <si>
    <t>2 x 10</t>
  </si>
  <si>
    <t>LC1D18M7 18A 7,5KW 1+1 220V</t>
  </si>
  <si>
    <t>16 A nc/no 220V</t>
  </si>
  <si>
    <t>ALTERNADOR 2 BOMBA DIGITAL 24/110/220VCA</t>
  </si>
  <si>
    <t>3 A  220V</t>
  </si>
  <si>
    <t>GAB. IP65 SERIE 9000 450X450X225</t>
  </si>
  <si>
    <t>450 X 450 X 150</t>
  </si>
  <si>
    <t>CONTRAF ABISAG.CALADO 18BIP S9000 450X450</t>
  </si>
  <si>
    <t>p/Gabinete Genrod S900 IP66</t>
  </si>
  <si>
    <t>2x16A</t>
  </si>
  <si>
    <t>2x20A</t>
  </si>
  <si>
    <t>GAB. IP65 SERIE 9000 300X300X150</t>
  </si>
  <si>
    <t>300 X 300 X 150</t>
  </si>
  <si>
    <t>CONTRAF ABISAG.CALADO 10BIP S9000 300X300</t>
  </si>
  <si>
    <t>TS.ASC  Tablero Ascensor</t>
  </si>
  <si>
    <t>4x32A</t>
  </si>
  <si>
    <t>4x40A</t>
  </si>
  <si>
    <t>TS BP Tablero S Bomba Presurizadora</t>
  </si>
  <si>
    <t>2 x 10A</t>
  </si>
  <si>
    <t>2 x 20</t>
  </si>
  <si>
    <t>2 x 25</t>
  </si>
  <si>
    <t>CAJA EMB P/ TM 36 POLOS BC T/FUME</t>
  </si>
  <si>
    <t>Puesta  a tierra</t>
  </si>
  <si>
    <t>M COBRE DESNUDO 7H 25MM</t>
  </si>
  <si>
    <t>1 x 25 desnudo</t>
  </si>
  <si>
    <t>CONDUWELD JAB ST 3/4 1.5M</t>
  </si>
  <si>
    <t>Jabalina 3/4" x 1,5 m</t>
  </si>
  <si>
    <t>CONDUWELD TOMACABLE 3</t>
  </si>
  <si>
    <t>ACOMETIDA</t>
  </si>
  <si>
    <t>M SUBTERRANEO N IRAM 1X 120MM2</t>
  </si>
  <si>
    <t>1 x 120</t>
  </si>
  <si>
    <t>Caja de toma y secc. 400A c/6 bases NH T3</t>
  </si>
  <si>
    <t xml:space="preserve">Gabinete columna 2 modulos trifasico Edesur </t>
  </si>
  <si>
    <t>MONTANTE</t>
  </si>
  <si>
    <t>VARILLA ROSCADA 1/4"X1MTC/BUL.</t>
  </si>
  <si>
    <t>BROCA METALICA 1/4 CJA X 100</t>
  </si>
  <si>
    <t>CAÑOX3M RIGIDO 25MM PVC TUBE</t>
  </si>
  <si>
    <t>RIEL DE FIJAC.1.22 OLMAR</t>
  </si>
  <si>
    <t>GRAMPA P/RIEL 1</t>
  </si>
  <si>
    <t>RLLOX100M 1X 1,5MM NEGRO N.IRAM</t>
  </si>
  <si>
    <t>CAJA DE CONEXION 30X40X10 CH20</t>
  </si>
  <si>
    <t>Computos salen de computo auxiliar COVE</t>
  </si>
  <si>
    <t>Descripcion</t>
  </si>
  <si>
    <t>Nombre</t>
  </si>
  <si>
    <t>Cantidad</t>
  </si>
  <si>
    <t>Rend x chapa</t>
  </si>
  <si>
    <t xml:space="preserve">Tipo de chapa </t>
  </si>
  <si>
    <t>Precio por chapa</t>
  </si>
  <si>
    <t>MO</t>
  </si>
  <si>
    <t>Cove de inyección/extracción 20x20</t>
  </si>
  <si>
    <t>CHAPA LISA GALVANIZADA C25 - 1,22 x 2,44 m</t>
  </si>
  <si>
    <t>Cove Humo 40x40</t>
  </si>
  <si>
    <t>Curva 20x20</t>
  </si>
  <si>
    <t>Conducto Ciego</t>
  </si>
  <si>
    <t>CC</t>
  </si>
  <si>
    <t>CCA</t>
  </si>
  <si>
    <t>Conducto simple</t>
  </si>
  <si>
    <t>CS</t>
  </si>
  <si>
    <t>CHAPA LISA GALVANIZADA C25 - 1,22 x 2,00 m</t>
  </si>
  <si>
    <t>Conducto simple desvio</t>
  </si>
  <si>
    <t>CD</t>
  </si>
  <si>
    <t>Caño Ventilación Corrugado Aluminio 4 Pulgadas X 1 Metro</t>
  </si>
  <si>
    <t>CAMAPANA  PARRILLA</t>
  </si>
  <si>
    <t xml:space="preserve">Sup </t>
  </si>
  <si>
    <t>CHAPA LISA GALVANIZADA C22 - 1,22 x 2,44 m</t>
  </si>
  <si>
    <t>Rejilla De Ventilacion 20 X 20 Fija - Retorno / Extraccion</t>
  </si>
  <si>
    <t xml:space="preserve">Tapa acceso pleno </t>
  </si>
  <si>
    <t>Cocina</t>
  </si>
  <si>
    <t>P unit</t>
  </si>
  <si>
    <t>Proveedor</t>
  </si>
  <si>
    <t>PRELIMINARES</t>
  </si>
  <si>
    <t>C. CIN. T101 ESP 0,50 MM (C25)</t>
  </si>
  <si>
    <t>Peril UPN 100 x 12 m</t>
  </si>
  <si>
    <t>bar</t>
  </si>
  <si>
    <t>CMP Web</t>
  </si>
  <si>
    <t>Tubo estructural 40 x 40 x 2, Largo 6 metros</t>
  </si>
  <si>
    <t>CHAPA LISA GALVANIZADA C27 - 1,22 x 2,00 m</t>
  </si>
  <si>
    <t>CHAPA LISA GALVANIZADA C27 - 1,22 x 2,44 m</t>
  </si>
  <si>
    <t>MADERA</t>
  </si>
  <si>
    <t>Precio fenolico comun e: 18 mm</t>
  </si>
  <si>
    <t>placa</t>
  </si>
  <si>
    <t>Precio fenolico visto e: 18 mm</t>
  </si>
  <si>
    <t>ML</t>
  </si>
  <si>
    <t>HORMIGON</t>
  </si>
  <si>
    <t>FENOMIX</t>
  </si>
  <si>
    <t>Piedra 6/12</t>
  </si>
  <si>
    <t xml:space="preserve">Acarreo </t>
  </si>
  <si>
    <t>Bombeo</t>
  </si>
  <si>
    <t>Super</t>
  </si>
  <si>
    <t>Hidrofugo</t>
  </si>
  <si>
    <t>HIERRO CONSTRUCCION</t>
  </si>
  <si>
    <t>Hierro del 6</t>
  </si>
  <si>
    <t>Hierro del 8</t>
  </si>
  <si>
    <t>Hierro del 12</t>
  </si>
  <si>
    <t>Hierro del 16</t>
  </si>
  <si>
    <t>Hierro del 20</t>
  </si>
  <si>
    <t>Hierro del 25</t>
  </si>
  <si>
    <t xml:space="preserve">BAÑOS </t>
  </si>
  <si>
    <t>Indice CAC</t>
  </si>
  <si>
    <t xml:space="preserve">Baño portatil / Ducha </t>
  </si>
  <si>
    <t>BATH</t>
  </si>
  <si>
    <t xml:space="preserve">Traslado flete entrega/ retiro </t>
  </si>
  <si>
    <t>Telgopor 1 x 1 x 20 mm densidad 20 kg</t>
  </si>
  <si>
    <t>CUTULI HNOS</t>
  </si>
  <si>
    <t>Malla de fibra 5 x 5 90 gr, rollo 1 x 50 mts</t>
  </si>
  <si>
    <t xml:space="preserve">Liston refractario 230 x 65 x 19 </t>
  </si>
  <si>
    <t xml:space="preserve">Weber refractaro x 10 kg </t>
  </si>
  <si>
    <t>Yeso Knauf MP 40/75 Proyectable x 25 kg</t>
  </si>
  <si>
    <t>Guardacanto yesero 2 mts</t>
  </si>
  <si>
    <t>PA-MAX PUENTE DE ADHERENCIA 20LT</t>
  </si>
  <si>
    <t>150 m2/balde</t>
  </si>
  <si>
    <t>LISTON REFRACTARIO 230x65x19</t>
  </si>
  <si>
    <t>MERCADO LIBRE</t>
  </si>
  <si>
    <t>Sika WaterStop V-20, largo 15 mts</t>
  </si>
  <si>
    <t>Tapa Y Marco Para Tanque De Hormigón Poliéster 52 X 52 Cm</t>
  </si>
  <si>
    <t>Varilla Guardacanto L Aluminio Cromo Mate 1663 12 Mm Atrim</t>
  </si>
  <si>
    <t>DECO TURNER</t>
  </si>
  <si>
    <t>REJILLAS</t>
  </si>
  <si>
    <t>SAPAN</t>
  </si>
  <si>
    <r>
      <rPr>
        <sz val="10"/>
        <rFont val="Calibri"/>
        <family val="2"/>
        <scheme val="minor"/>
      </rPr>
      <t>M PRYSMIAN VALIO 1X 50 MM2</t>
    </r>
  </si>
  <si>
    <t>CASTELAO</t>
  </si>
  <si>
    <r>
      <rPr>
        <sz val="10"/>
        <rFont val="Calibri"/>
        <family val="2"/>
        <scheme val="minor"/>
      </rPr>
      <t>M SUBTERRANEO N IRAM 5X16 MM2</t>
    </r>
  </si>
  <si>
    <r>
      <rPr>
        <sz val="10"/>
        <rFont val="Calibri"/>
        <family val="2"/>
        <scheme val="minor"/>
      </rPr>
      <t>M SUBTERRANEO N.IRAM 5X10 MM2</t>
    </r>
  </si>
  <si>
    <r>
      <rPr>
        <sz val="10"/>
        <rFont val="Calibri"/>
        <family val="2"/>
        <scheme val="minor"/>
      </rPr>
      <t>M SUBTERRANEO N IRAM 5X 6 MM2</t>
    </r>
  </si>
  <si>
    <r>
      <rPr>
        <sz val="10"/>
        <rFont val="Calibri"/>
        <family val="2"/>
        <scheme val="minor"/>
      </rPr>
      <t>M PRYSMIAN VALIO 3X10.00 MM2</t>
    </r>
  </si>
  <si>
    <r>
      <rPr>
        <sz val="10"/>
        <rFont val="Calibri"/>
        <family val="2"/>
        <scheme val="minor"/>
      </rPr>
      <t>M SUBTERRANEO N IRAM 3X 6.00 MM2</t>
    </r>
  </si>
  <si>
    <r>
      <rPr>
        <sz val="10"/>
        <rFont val="Calibri"/>
        <family val="2"/>
        <scheme val="minor"/>
      </rPr>
      <t>M SUBTERRANEO N IRAM 3X 4.00 MM2</t>
    </r>
  </si>
  <si>
    <r>
      <rPr>
        <sz val="10"/>
        <rFont val="Calibri"/>
        <family val="2"/>
        <scheme val="minor"/>
      </rPr>
      <t>M SUBTERRANEO N IRAM 3X 2.50 MM2</t>
    </r>
  </si>
  <si>
    <r>
      <rPr>
        <sz val="10"/>
        <rFont val="Calibri"/>
        <family val="2"/>
        <scheme val="minor"/>
      </rPr>
      <t>M SUBTERRANEO N IRAM 1X 120MM2</t>
    </r>
  </si>
  <si>
    <r>
      <rPr>
        <sz val="10"/>
        <rFont val="Calibri"/>
        <family val="2"/>
        <scheme val="minor"/>
      </rPr>
      <t>M COBRE DESNUDO 7H 25MM</t>
    </r>
  </si>
  <si>
    <r>
      <rPr>
        <sz val="10"/>
        <rFont val="Calibri"/>
        <family val="2"/>
        <scheme val="minor"/>
      </rPr>
      <t>RLLOX100M 1X16 MM VD/ AM N.IRAM</t>
    </r>
  </si>
  <si>
    <r>
      <rPr>
        <sz val="10"/>
        <rFont val="Calibri"/>
        <family val="2"/>
        <scheme val="minor"/>
      </rPr>
      <t>RLLOX100M 1X 2,5MM NEGRO N.IRAM</t>
    </r>
  </si>
  <si>
    <r>
      <rPr>
        <sz val="10"/>
        <rFont val="Calibri"/>
        <family val="2"/>
        <scheme val="minor"/>
      </rPr>
      <t>RLLOX100M 1X 1,5MM NEGRO N.IRAM</t>
    </r>
  </si>
  <si>
    <r>
      <rPr>
        <sz val="10"/>
        <rFont val="Calibri"/>
        <family val="2"/>
        <scheme val="minor"/>
      </rPr>
      <t>RLLOX100M 1X 4,0MM NEGRO N.IRAM</t>
    </r>
  </si>
  <si>
    <r>
      <rPr>
        <sz val="10"/>
        <rFont val="Calibri"/>
        <family val="2"/>
        <scheme val="minor"/>
      </rPr>
      <t>CONDUWELD JAB ST 3/4 1.5M</t>
    </r>
  </si>
  <si>
    <r>
      <rPr>
        <sz val="10"/>
        <rFont val="Calibri"/>
        <family val="2"/>
        <scheme val="minor"/>
      </rPr>
      <t>CONDUWELD TOMACABLE 3</t>
    </r>
  </si>
  <si>
    <r>
      <rPr>
        <sz val="10"/>
        <rFont val="Calibri"/>
        <family val="2"/>
        <scheme val="minor"/>
      </rPr>
      <t>INT. TERMOMAGNETICO E9 2X10A 4,5KA</t>
    </r>
  </si>
  <si>
    <r>
      <rPr>
        <sz val="10"/>
        <rFont val="Calibri"/>
        <family val="2"/>
        <scheme val="minor"/>
      </rPr>
      <t>INT. TERMOMAGNETICO E9 2X16A 4,5KA</t>
    </r>
  </si>
  <si>
    <r>
      <rPr>
        <sz val="10"/>
        <rFont val="Calibri"/>
        <family val="2"/>
        <scheme val="minor"/>
      </rPr>
      <t>INT. TERMOMAGNETICO E9 2X20A 4,5KA</t>
    </r>
  </si>
  <si>
    <r>
      <rPr>
        <sz val="10"/>
        <rFont val="Calibri"/>
        <family val="2"/>
        <scheme val="minor"/>
      </rPr>
      <t>INT. TERMOMAGNETICO E9 2X32A 4,5KA</t>
    </r>
  </si>
  <si>
    <r>
      <rPr>
        <sz val="10"/>
        <rFont val="Calibri"/>
        <family val="2"/>
        <scheme val="minor"/>
      </rPr>
      <t>INT. DIFERENCIAL E9 2X25A 30MA</t>
    </r>
  </si>
  <si>
    <r>
      <rPr>
        <sz val="10"/>
        <rFont val="Calibri"/>
        <family val="2"/>
        <scheme val="minor"/>
      </rPr>
      <t>INT. DIFERENCIAL E9 2X40A 30MA</t>
    </r>
  </si>
  <si>
    <r>
      <rPr>
        <sz val="10"/>
        <rFont val="Calibri"/>
        <family val="2"/>
        <scheme val="minor"/>
      </rPr>
      <t>CAJA EMB P/ TM 24 POLOS BC T/FUME</t>
    </r>
  </si>
  <si>
    <r>
      <rPr>
        <sz val="10"/>
        <rFont val="Calibri"/>
        <family val="2"/>
        <scheme val="minor"/>
      </rPr>
      <t>INTERRUPTOR COMPACTO 4X125A S250</t>
    </r>
  </si>
  <si>
    <r>
      <rPr>
        <sz val="10"/>
        <rFont val="Calibri"/>
        <family val="2"/>
        <scheme val="minor"/>
      </rPr>
      <t>DISTRIBUIDOR TETRAP.160A 15 STD</t>
    </r>
  </si>
  <si>
    <r>
      <rPr>
        <sz val="10"/>
        <rFont val="Calibri"/>
        <family val="2"/>
        <scheme val="minor"/>
      </rPr>
      <t>STECK TM TETRAPOLAR 16A 6KA</t>
    </r>
  </si>
  <si>
    <r>
      <rPr>
        <sz val="10"/>
        <rFont val="Calibri"/>
        <family val="2"/>
        <scheme val="minor"/>
      </rPr>
      <t>STECK TM TETRAPOLAR 32A 6KA</t>
    </r>
  </si>
  <si>
    <r>
      <rPr>
        <sz val="10"/>
        <rFont val="Calibri"/>
        <family val="2"/>
        <scheme val="minor"/>
      </rPr>
      <t>STECK TM TETRAPOLAR 50A 6KA</t>
    </r>
  </si>
  <si>
    <r>
      <rPr>
        <sz val="10"/>
        <rFont val="Calibri"/>
        <family val="2"/>
        <scheme val="minor"/>
      </rPr>
      <t>STECK TM BIPOLAR 16A 6KA</t>
    </r>
  </si>
  <si>
    <r>
      <rPr>
        <sz val="10"/>
        <rFont val="Calibri"/>
        <family val="2"/>
        <scheme val="minor"/>
      </rPr>
      <t>STECK TM BIPOLAR 10A 6KA</t>
    </r>
  </si>
  <si>
    <r>
      <rPr>
        <sz val="10"/>
        <rFont val="Calibri"/>
        <family val="2"/>
        <scheme val="minor"/>
      </rPr>
      <t>STECK DIFERENCIAL 4X40A 30MA</t>
    </r>
  </si>
  <si>
    <r>
      <rPr>
        <sz val="10"/>
        <rFont val="Calibri"/>
        <family val="2"/>
        <scheme val="minor"/>
      </rPr>
      <t>STECK DIFERENCIAL 4X63A 30MA</t>
    </r>
  </si>
  <si>
    <r>
      <rPr>
        <sz val="10"/>
        <rFont val="Calibri"/>
        <family val="2"/>
        <scheme val="minor"/>
      </rPr>
      <t>STECK DIFERENCIAL 4X25A 30MA</t>
    </r>
  </si>
  <si>
    <r>
      <rPr>
        <sz val="10"/>
        <rFont val="Calibri"/>
        <family val="2"/>
        <scheme val="minor"/>
      </rPr>
      <t>STECK DIFERENCIAL 2X25A 30MA</t>
    </r>
  </si>
  <si>
    <r>
      <rPr>
        <sz val="10"/>
        <rFont val="Calibri"/>
        <family val="2"/>
        <scheme val="minor"/>
      </rPr>
      <t>GAB. IP65 SERIE 9000 600X900X225</t>
    </r>
  </si>
  <si>
    <r>
      <rPr>
        <sz val="10"/>
        <rFont val="Calibri"/>
        <family val="2"/>
        <scheme val="minor"/>
      </rPr>
      <t>CONTRAF ABISAG CALADO 60BIP S9000 600X900</t>
    </r>
  </si>
  <si>
    <r>
      <rPr>
        <sz val="10"/>
        <rFont val="Calibri"/>
        <family val="2"/>
        <scheme val="minor"/>
      </rPr>
      <t>SOP REG P/CONTRAFRENTE PROF 225 X1</t>
    </r>
  </si>
  <si>
    <r>
      <rPr>
        <sz val="10"/>
        <rFont val="Calibri"/>
        <family val="2"/>
        <scheme val="minor"/>
      </rPr>
      <t>RIEL DIN 35MM 1 METRO PERFOR.</t>
    </r>
  </si>
  <si>
    <r>
      <rPr>
        <sz val="10"/>
        <rFont val="Calibri"/>
        <family val="2"/>
        <scheme val="minor"/>
      </rPr>
      <t>RIEL PORTA ELEMENTOS X 1 METRO</t>
    </r>
  </si>
  <si>
    <r>
      <rPr>
        <sz val="10"/>
        <rFont val="Calibri"/>
        <family val="2"/>
        <scheme val="minor"/>
      </rPr>
      <t>SOP FIJACION RIEL PORTAEL - REG 100 A 130</t>
    </r>
  </si>
  <si>
    <r>
      <rPr>
        <sz val="10"/>
        <rFont val="Calibri"/>
        <family val="2"/>
        <scheme val="minor"/>
      </rPr>
      <t>GAB. IP65 SERIE 9000 450X600X225</t>
    </r>
  </si>
  <si>
    <r>
      <rPr>
        <sz val="10"/>
        <rFont val="Calibri"/>
        <family val="2"/>
        <scheme val="minor"/>
      </rPr>
      <t>CONTRAF ABISAG.CALADO 27BIP S9000 450X600</t>
    </r>
  </si>
  <si>
    <r>
      <rPr>
        <sz val="10"/>
        <rFont val="Calibri"/>
        <family val="2"/>
        <scheme val="minor"/>
      </rPr>
      <t>GAB. IP65 SERIE 9000 450X450X225</t>
    </r>
  </si>
  <si>
    <r>
      <rPr>
        <sz val="10"/>
        <rFont val="Calibri"/>
        <family val="2"/>
        <scheme val="minor"/>
      </rPr>
      <t>CONTRAF ABISAG.CALADO 18BIP S9000 450X450</t>
    </r>
  </si>
  <si>
    <r>
      <rPr>
        <sz val="10"/>
        <rFont val="Calibri"/>
        <family val="2"/>
        <scheme val="minor"/>
      </rPr>
      <t>GAB. IP65 SERIE 9000 300X300X150</t>
    </r>
  </si>
  <si>
    <r>
      <rPr>
        <sz val="10"/>
        <rFont val="Calibri"/>
        <family val="2"/>
        <scheme val="minor"/>
      </rPr>
      <t>CONTRAF ABISAG.CALADO 10BIP S9000 300X300</t>
    </r>
  </si>
  <si>
    <r>
      <rPr>
        <sz val="10"/>
        <rFont val="Calibri"/>
        <family val="2"/>
        <scheme val="minor"/>
      </rPr>
      <t>CAJA EMB P/ TM 36 POLOS BC T/FUME</t>
    </r>
  </si>
  <si>
    <r>
      <rPr>
        <sz val="10"/>
        <rFont val="Calibri"/>
        <family val="2"/>
        <scheme val="minor"/>
      </rPr>
      <t>BANDEJA PERF. TRP300 X3M L7</t>
    </r>
  </si>
  <si>
    <r>
      <rPr>
        <sz val="10"/>
        <rFont val="Calibri"/>
        <family val="2"/>
        <scheme val="minor"/>
      </rPr>
      <t>PACK (50U) CUPLA UNION PERFORADA</t>
    </r>
  </si>
  <si>
    <r>
      <rPr>
        <sz val="10"/>
        <rFont val="Calibri"/>
        <family val="2"/>
        <scheme val="minor"/>
      </rPr>
      <t>CP-300-90* CURVA PLANA 90*</t>
    </r>
  </si>
  <si>
    <r>
      <rPr>
        <sz val="10"/>
        <rFont val="Calibri"/>
        <family val="2"/>
        <scheme val="minor"/>
      </rPr>
      <t>CUP-300 CURVA VERTICAL</t>
    </r>
  </si>
  <si>
    <r>
      <rPr>
        <sz val="10"/>
        <rFont val="Calibri"/>
        <family val="2"/>
        <scheme val="minor"/>
      </rPr>
      <t>TP-300 UNION TEE</t>
    </r>
  </si>
  <si>
    <r>
      <rPr>
        <sz val="10"/>
        <rFont val="Calibri"/>
        <family val="2"/>
        <scheme val="minor"/>
      </rPr>
      <t>CP-150-90* CURVA PLANA 90*</t>
    </r>
  </si>
  <si>
    <r>
      <rPr>
        <sz val="10"/>
        <rFont val="Calibri"/>
        <family val="2"/>
        <scheme val="minor"/>
      </rPr>
      <t>CUP-150 CURVA VERTICAL</t>
    </r>
  </si>
  <si>
    <r>
      <rPr>
        <sz val="10"/>
        <rFont val="Calibri"/>
        <family val="2"/>
        <scheme val="minor"/>
      </rPr>
      <t>*ST-300 SOPORTE TRAPECIO</t>
    </r>
  </si>
  <si>
    <r>
      <rPr>
        <sz val="10"/>
        <rFont val="Calibri"/>
        <family val="2"/>
        <scheme val="minor"/>
      </rPr>
      <t>VARILLA ROSCADA 1/4"X1MTC/BUL.</t>
    </r>
  </si>
  <si>
    <r>
      <rPr>
        <sz val="10"/>
        <rFont val="Calibri"/>
        <family val="2"/>
        <scheme val="minor"/>
      </rPr>
      <t>AVV-1/4 -ENVX100 TUERCA/ARANDELA</t>
    </r>
  </si>
  <si>
    <r>
      <rPr>
        <sz val="10"/>
        <rFont val="Calibri"/>
        <family val="2"/>
        <scheme val="minor"/>
      </rPr>
      <t>BROCA METALICA 1/4 CJA X 100</t>
    </r>
  </si>
  <si>
    <r>
      <rPr>
        <sz val="10"/>
        <rFont val="Calibri"/>
        <family val="2"/>
        <scheme val="minor"/>
      </rPr>
      <t>*TTRP-150-Z TAPA CIEGA</t>
    </r>
  </si>
  <si>
    <r>
      <rPr>
        <sz val="10"/>
        <rFont val="Calibri"/>
        <family val="2"/>
        <scheme val="minor"/>
      </rPr>
      <t>BANDEJA PERF. TRP150 X3M L7</t>
    </r>
  </si>
  <si>
    <r>
      <rPr>
        <sz val="10"/>
        <rFont val="Calibri"/>
        <family val="2"/>
        <scheme val="minor"/>
      </rPr>
      <t>LC1D18M7 18A 7,5KW 1+1 220V</t>
    </r>
  </si>
  <si>
    <r>
      <rPr>
        <sz val="10"/>
        <rFont val="Calibri"/>
        <family val="2"/>
        <scheme val="minor"/>
      </rPr>
      <t>ALTERNADOR 2 BOMBA DIGITAL 24/110/220VCA</t>
    </r>
  </si>
  <si>
    <r>
      <rPr>
        <sz val="10"/>
        <rFont val="Calibri"/>
        <family val="2"/>
        <scheme val="minor"/>
      </rPr>
      <t>CAÑOX3M RIGIDO 20MM PVC TUBE</t>
    </r>
  </si>
  <si>
    <r>
      <rPr>
        <sz val="10"/>
        <rFont val="Calibri"/>
        <family val="2"/>
        <scheme val="minor"/>
      </rPr>
      <t>CAÑOX3M RIGIDO 25MM PVC TUBE</t>
    </r>
  </si>
  <si>
    <r>
      <rPr>
        <sz val="10"/>
        <rFont val="Calibri"/>
        <family val="2"/>
        <scheme val="minor"/>
      </rPr>
      <t>ROLLO X25M CORRUG LIV. 20MM TUBE</t>
    </r>
  </si>
  <si>
    <r>
      <rPr>
        <sz val="10"/>
        <rFont val="Calibri"/>
        <family val="2"/>
        <scheme val="minor"/>
      </rPr>
      <t>ROLLO X25M CORRUG LIV. 25MM TUBE</t>
    </r>
  </si>
  <si>
    <r>
      <rPr>
        <sz val="10"/>
        <rFont val="Calibri"/>
        <family val="2"/>
        <scheme val="minor"/>
      </rPr>
      <t>CURVA 20MM 90ºPVC IP54 TUBE</t>
    </r>
  </si>
  <si>
    <r>
      <rPr>
        <sz val="10"/>
        <rFont val="Calibri"/>
        <family val="2"/>
        <scheme val="minor"/>
      </rPr>
      <t>CURVA 25MM 90ºPVC IP54 TUBE</t>
    </r>
  </si>
  <si>
    <r>
      <rPr>
        <sz val="10"/>
        <rFont val="Calibri"/>
        <family val="2"/>
        <scheme val="minor"/>
      </rPr>
      <t>CAJA LIVIANA OCTOGONAL CHICA</t>
    </r>
  </si>
  <si>
    <r>
      <rPr>
        <sz val="10"/>
        <rFont val="Calibri"/>
        <family val="2"/>
        <scheme val="minor"/>
      </rPr>
      <t>CAJA LIVIANA RECTANGULAR</t>
    </r>
  </si>
  <si>
    <r>
      <rPr>
        <sz val="10"/>
        <rFont val="Calibri"/>
        <family val="2"/>
        <scheme val="minor"/>
      </rPr>
      <t>CAJA LIVIANA MIGNON</t>
    </r>
  </si>
  <si>
    <r>
      <rPr>
        <sz val="10"/>
        <rFont val="Calibri"/>
        <family val="2"/>
        <scheme val="minor"/>
      </rPr>
      <t>CONECTOR 20MM PVC RIG IP54 TUBE</t>
    </r>
  </si>
  <si>
    <r>
      <rPr>
        <sz val="10"/>
        <rFont val="Calibri"/>
        <family val="2"/>
        <scheme val="minor"/>
      </rPr>
      <t>CONECTOR 25MM PVC RIG IP54 TUBE</t>
    </r>
  </si>
  <si>
    <r>
      <rPr>
        <sz val="10"/>
        <rFont val="Calibri"/>
        <family val="2"/>
        <scheme val="minor"/>
      </rPr>
      <t>UNION 20MM PVC RIG IP54 TUBE</t>
    </r>
  </si>
  <si>
    <r>
      <rPr>
        <sz val="10"/>
        <rFont val="Calibri"/>
        <family val="2"/>
        <scheme val="minor"/>
      </rPr>
      <t>UNION 25MM PVC RIG IP54 TUBE</t>
    </r>
  </si>
  <si>
    <r>
      <rPr>
        <sz val="10"/>
        <rFont val="Calibri"/>
        <family val="2"/>
        <scheme val="minor"/>
      </rPr>
      <t>CAJA DE CONEXION 10X10X7 CH20</t>
    </r>
  </si>
  <si>
    <r>
      <rPr>
        <sz val="10"/>
        <rFont val="Calibri"/>
        <family val="2"/>
        <scheme val="minor"/>
      </rPr>
      <t>CAJA DE CONEXION 15X15X10 CH20</t>
    </r>
  </si>
  <si>
    <r>
      <rPr>
        <sz val="10"/>
        <rFont val="Calibri"/>
        <family val="2"/>
        <scheme val="minor"/>
      </rPr>
      <t>CAJA DE CONEXION 15X20X10 CH20</t>
    </r>
  </si>
  <si>
    <r>
      <rPr>
        <sz val="10"/>
        <rFont val="Calibri"/>
        <family val="2"/>
        <scheme val="minor"/>
      </rPr>
      <t>CAJA DE CONEXION 20X25X10 CH20</t>
    </r>
  </si>
  <si>
    <r>
      <rPr>
        <sz val="10"/>
        <rFont val="Calibri"/>
        <family val="2"/>
        <scheme val="minor"/>
      </rPr>
      <t>CAJA DE CONEXION 30X40X10 CH20</t>
    </r>
  </si>
  <si>
    <r>
      <rPr>
        <sz val="10"/>
        <rFont val="Calibri"/>
        <family val="2"/>
        <scheme val="minor"/>
      </rPr>
      <t>GRAMPA P/RIEL 1</t>
    </r>
  </si>
  <si>
    <r>
      <rPr>
        <sz val="10"/>
        <rFont val="Calibri"/>
        <family val="2"/>
        <scheme val="minor"/>
      </rPr>
      <t>GRAMPA P/RIEL 3/4</t>
    </r>
  </si>
  <si>
    <r>
      <rPr>
        <sz val="10"/>
        <rFont val="Calibri"/>
        <family val="2"/>
        <scheme val="minor"/>
      </rPr>
      <t>GRAMPA MEDIA OMEGA 1</t>
    </r>
  </si>
  <si>
    <r>
      <rPr>
        <sz val="10"/>
        <rFont val="Calibri"/>
        <family val="2"/>
        <scheme val="minor"/>
      </rPr>
      <t>GRAMPA MEDIA OMEGA 3/4</t>
    </r>
  </si>
  <si>
    <r>
      <rPr>
        <sz val="10"/>
        <rFont val="Calibri"/>
        <family val="2"/>
        <scheme val="minor"/>
      </rPr>
      <t>RIEL DE FIJAC.1.22 OLMAR</t>
    </r>
  </si>
  <si>
    <r>
      <rPr>
        <sz val="10"/>
        <rFont val="Calibri"/>
        <family val="2"/>
        <scheme val="minor"/>
      </rPr>
      <t>SXXII MODULO PUNTO</t>
    </r>
  </si>
  <si>
    <r>
      <rPr>
        <sz val="10"/>
        <rFont val="Calibri"/>
        <family val="2"/>
        <scheme val="minor"/>
      </rPr>
      <t>S XXI/XXII BASTIDOR LUJO</t>
    </r>
  </si>
  <si>
    <r>
      <rPr>
        <sz val="10"/>
        <rFont val="Calibri"/>
        <family val="2"/>
        <scheme val="minor"/>
      </rPr>
      <t>SXXII TAPA 1 MOD. BLANCA</t>
    </r>
  </si>
  <si>
    <r>
      <rPr>
        <sz val="10"/>
        <rFont val="Calibri"/>
        <family val="2"/>
        <scheme val="minor"/>
      </rPr>
      <t>SXXII TAPA 2 MOD. BLANCA</t>
    </r>
  </si>
  <si>
    <r>
      <rPr>
        <sz val="10"/>
        <rFont val="Calibri"/>
        <family val="2"/>
        <scheme val="minor"/>
      </rPr>
      <t>SXXII MODULO COMBINACION</t>
    </r>
  </si>
  <si>
    <r>
      <rPr>
        <sz val="10"/>
        <rFont val="Calibri"/>
        <family val="2"/>
        <scheme val="minor"/>
      </rPr>
      <t>CAJA RECTANGULAR SOBREPONER GRIS</t>
    </r>
  </si>
  <si>
    <r>
      <rPr>
        <sz val="10"/>
        <rFont val="Calibri"/>
        <family val="2"/>
        <scheme val="minor"/>
      </rPr>
      <t>M VAINA REDONDA 2X 2,50</t>
    </r>
  </si>
  <si>
    <r>
      <rPr>
        <sz val="10"/>
        <rFont val="Calibri"/>
        <family val="2"/>
        <scheme val="minor"/>
      </rPr>
      <t>S XXI SOPORTE MIGNON</t>
    </r>
  </si>
  <si>
    <r>
      <rPr>
        <sz val="10"/>
        <rFont val="Calibri"/>
        <family val="2"/>
        <scheme val="minor"/>
      </rPr>
      <t>SXXII MODULO PULSADOR</t>
    </r>
  </si>
  <si>
    <r>
      <rPr>
        <sz val="10"/>
        <rFont val="Calibri"/>
        <family val="2"/>
        <scheme val="minor"/>
      </rPr>
      <t>SXXII TAPA MIGNON 1 MD.BLANCA</t>
    </r>
  </si>
  <si>
    <r>
      <rPr>
        <sz val="10"/>
        <rFont val="Calibri"/>
        <family val="2"/>
        <scheme val="minor"/>
      </rPr>
      <t>CINTA PVC 20M NG PRYSMIAN</t>
    </r>
  </si>
  <si>
    <r>
      <rPr>
        <sz val="10"/>
        <rFont val="Calibri"/>
        <family val="2"/>
        <scheme val="minor"/>
      </rPr>
      <t>B 4 AISLADO AZ CRR 5MM 130102</t>
    </r>
  </si>
  <si>
    <r>
      <rPr>
        <sz val="10"/>
        <rFont val="Calibri"/>
        <family val="2"/>
        <scheme val="minor"/>
      </rPr>
      <t>TUBO TERMOC.12,7MM-6 MM</t>
    </r>
  </si>
  <si>
    <r>
      <rPr>
        <sz val="10"/>
        <rFont val="Calibri"/>
        <family val="2"/>
        <scheme val="minor"/>
      </rPr>
      <t>PRENSACABLE PVC 3/4RE 6-12 IP65</t>
    </r>
  </si>
  <si>
    <r>
      <rPr>
        <sz val="10"/>
        <rFont val="Calibri"/>
        <family val="2"/>
        <scheme val="minor"/>
      </rPr>
      <t>TERMINAL COBRE SCC 120-2 (5/8)</t>
    </r>
  </si>
  <si>
    <t>PELBA WEB</t>
  </si>
  <si>
    <t xml:space="preserve">Gabinete columna 4 modulos trifasico Edesur </t>
  </si>
  <si>
    <t>GAS</t>
  </si>
  <si>
    <t>INCENDIO</t>
  </si>
  <si>
    <t>INCEN SANIT SA</t>
  </si>
  <si>
    <t>ROSCA CON TUERCA GALVANIZADA 2"
Página 1 de 2</t>
  </si>
  <si>
    <t>Extintor ABC de 5 KG sello IRAM con soporte, tarjeta y chapa baliza</t>
  </si>
  <si>
    <t>Extintor C02 de 5 KG sello IRAM con soporte, tarjeta y chapa baliza</t>
  </si>
  <si>
    <t>AF Y AC</t>
  </si>
  <si>
    <t>BR NIPLE CONEXION BCE.ROSC. 51 X 20 CMS.</t>
  </si>
  <si>
    <t>H-3 BUJE RED. 38X19 FUSION</t>
  </si>
  <si>
    <t>BC CANILLA ESCUADRA P/LAVARROPAS CROMO</t>
  </si>
  <si>
    <t>CLOACAL / PLUVIAL</t>
  </si>
  <si>
    <t>AWA. TUBO TERRA C/CAMPANA ø118X4M.3/7706</t>
  </si>
  <si>
    <t>AWA.RAMAL 45+TERRA ø118 H-HC(MH) 10/8823</t>
  </si>
  <si>
    <t>AWA.CODO 45* TERRA ø118 H-HC(MH) 10/8843</t>
  </si>
  <si>
    <t>AWA CURVA A 90* MH ø110           6/2090</t>
  </si>
  <si>
    <t>BOMBAS, TANQUES Y TT</t>
  </si>
  <si>
    <t>Rowa Tango SFL 20 220V</t>
  </si>
  <si>
    <t>CAMPANA</t>
  </si>
  <si>
    <t>Motorarg Centrifuga BC 100 T R.4</t>
  </si>
  <si>
    <t>Rowa 5/1 Sanitaria Tempo 220 V</t>
  </si>
  <si>
    <t>Rheem termo comercial gas 250 Lts GN</t>
  </si>
  <si>
    <t>Tanque T2500 tricapa 2500 lts 145 D x 189 ALT</t>
  </si>
  <si>
    <t>Tanque T5000 tricapa 5000 lts 193 D x 209 ALT</t>
  </si>
  <si>
    <t>SANITRIUN SRL</t>
  </si>
  <si>
    <t>Bomba motormech 1 HP (E-MO-042) Monofasica</t>
  </si>
  <si>
    <t>Termotanque Rheem 250 lts GN</t>
  </si>
  <si>
    <t>Tanque T3000 Tricapa + Flot 145 D x 220 ALT</t>
  </si>
  <si>
    <t>Tanque T5000 Tricapa 193 D x 209 ALT</t>
  </si>
  <si>
    <t>Valores USD</t>
  </si>
  <si>
    <t>Sistema ACS - TAG + 1 Termo Solar PEISA</t>
  </si>
  <si>
    <t>PEISA</t>
  </si>
  <si>
    <t>Sistema ACS - TAG + 3 Termo Solar PEISA</t>
  </si>
  <si>
    <t>DOMEC SA</t>
  </si>
  <si>
    <t>PUERTAS</t>
  </si>
  <si>
    <t>PUERTAS PLACA</t>
  </si>
  <si>
    <t>Puerta placa de abrir, modelo clasico, medidas 90 x 200 cm con marco de Ch 18, ancho 15 cm y hoja de MDF e: 5,5 mm</t>
  </si>
  <si>
    <t>GROMANTI SA</t>
  </si>
  <si>
    <t>Puerta placa de abrir, modelo clasico, medidas 60 +20 x 200 cm con marco de Ch 18, ancho 15 cm y hoja de MDF e: 5,5 mm</t>
  </si>
  <si>
    <t>PUERTAS METALICAS</t>
  </si>
  <si>
    <t>Puerta de chapa F60, medidas 90 x 200 cm, con barral antpanico y cierre hidraulico. Certificicada y homologada por INTI</t>
  </si>
  <si>
    <t>BARMETAL</t>
  </si>
  <si>
    <t>Puerta de chapa F30, medidas 90 x 200 cm. Certificada y homologada por INTI</t>
  </si>
  <si>
    <t>Puerta de chapa F60, medidas 80 x 200 cm. Certificada y homologada por INTI</t>
  </si>
  <si>
    <t xml:space="preserve">Puerta de chapa C18, inyectada, medidas 80 x 200 cm. </t>
  </si>
  <si>
    <t xml:space="preserve">Puerta de chapa C18, inyectada, medidas 90 x 200 cm. </t>
  </si>
  <si>
    <t>Puerta ignifica RF60, medidas 1050 x 2050 mm</t>
  </si>
  <si>
    <t>MASAN SRL</t>
  </si>
  <si>
    <t xml:space="preserve">Sistema pad salida de emerfencia + acceso ext. c/llave </t>
  </si>
  <si>
    <t>Cierrapuertas hidraulico</t>
  </si>
  <si>
    <t>Puerta ignifica RF60, medidas 900 x 2050 mm con accesorios</t>
  </si>
  <si>
    <t>Puerta Ignifuga RF30, medidas 900 x 2050 mm</t>
  </si>
  <si>
    <t>Puerta Ignifuga RF60, medidas 800 x 2050 mm</t>
  </si>
  <si>
    <t>Puerta de chapa, medidas 800 x 2050 mm</t>
  </si>
  <si>
    <t>Puerta de chapa, medidas 900 x 2050 mm</t>
  </si>
  <si>
    <t xml:space="preserve">GRIFERIAS Y LOSAS </t>
  </si>
  <si>
    <t>Bacha Ferrum L324K Blanco de apoyar 3 AG 40 x 42,5</t>
  </si>
  <si>
    <t>BARUGEL</t>
  </si>
  <si>
    <t>Bacha de porcelana COD A117-3 Piazza apoyar 3 AG 46,5 x 40 x 15</t>
  </si>
  <si>
    <t>Bacha de apoyar Ferrum Toilette Blanca de 1 AG de 40 x 25 x 12 cm L15 KF</t>
  </si>
  <si>
    <t>Bacha de porcelana COD A146 Piazza apoyar 1 AG 46 x 26 x 12</t>
  </si>
  <si>
    <t xml:space="preserve">Inodoro largo Ferrum Bari blanco IKLM B </t>
  </si>
  <si>
    <t xml:space="preserve">Deposito p/inodoro Ferrum Bari blanco de apoyar descarga dual DKW6F B </t>
  </si>
  <si>
    <t>Asiento p/inodoro Ferrum Bari blanco herrajes de plastico TKM blanco</t>
  </si>
  <si>
    <t>Grifería lavatorio Piazza pico de caño Domani Cromo 31001</t>
  </si>
  <si>
    <t>Grifería lavatorio FV Arizona cromo monocomando 0181/B1-CR</t>
  </si>
  <si>
    <t>Grifería ducha exterior con transferencia Piazza Domani 31008</t>
  </si>
  <si>
    <t>Grifería cocina FV Puelo monocomando cromo 0411.04/B5-CR</t>
  </si>
  <si>
    <t>Pileta cocina Johnson E37/18 37x34x18 Inoxidable</t>
  </si>
  <si>
    <t>Pileta Johnson Z52/18 52 x 32 x 18 Inoxidable</t>
  </si>
  <si>
    <t>Precio</t>
  </si>
  <si>
    <t xml:space="preserve">Fecha </t>
  </si>
  <si>
    <t>Contratista</t>
  </si>
  <si>
    <t>Pres. BASE ENE</t>
  </si>
  <si>
    <t>GESTOR ELECTRICO</t>
  </si>
  <si>
    <t>CAC</t>
  </si>
  <si>
    <t>Proyecto instalacion electrica</t>
  </si>
  <si>
    <t>IGT</t>
  </si>
  <si>
    <t>Baja de suministros</t>
  </si>
  <si>
    <t>Corte por demolicion</t>
  </si>
  <si>
    <t>Instalacion electrica desenergizada</t>
  </si>
  <si>
    <t>Traslado de alumbrado publico</t>
  </si>
  <si>
    <t xml:space="preserve">Factibilidad y renovacion </t>
  </si>
  <si>
    <t>Gestion suministros luz de obra</t>
  </si>
  <si>
    <t>Sala de medidores / Camara transformadora</t>
  </si>
  <si>
    <t>Certificados</t>
  </si>
  <si>
    <t>Servicios grales T1</t>
  </si>
  <si>
    <t>Servicios grales T2</t>
  </si>
  <si>
    <t xml:space="preserve">Residencial </t>
  </si>
  <si>
    <t>Medicion PAT adicional c/u tableros</t>
  </si>
  <si>
    <t>ENSAYOS HORMIGON</t>
  </si>
  <si>
    <t>MOVIMIENTO DE SUELOS</t>
  </si>
  <si>
    <t>Desmonte, retiro, aporte y compactación e: 40 cm</t>
  </si>
  <si>
    <t>CELSI VIAL</t>
  </si>
  <si>
    <t>PROYECTABLE</t>
  </si>
  <si>
    <t>Base Agosto 24</t>
  </si>
  <si>
    <t>Cargas sociales</t>
  </si>
  <si>
    <t>Monolitico</t>
  </si>
  <si>
    <t>JUAN VAZQUEZ</t>
  </si>
  <si>
    <t>Alivianado</t>
  </si>
  <si>
    <t>Arista / Buña</t>
  </si>
  <si>
    <t>Revoque 3 en 1</t>
  </si>
  <si>
    <t>Buña en revoque</t>
  </si>
  <si>
    <t>TARQUINI</t>
  </si>
  <si>
    <t xml:space="preserve">Revestimiento plastico </t>
  </si>
  <si>
    <t>CRISTIAN CAPONE</t>
  </si>
  <si>
    <t>Preinstalacion MAT</t>
  </si>
  <si>
    <t>GUILLERMO ERBA</t>
  </si>
  <si>
    <t>Preinstalacion M.O</t>
  </si>
  <si>
    <t xml:space="preserve">Instalacion y puesta en marcha </t>
  </si>
  <si>
    <t>Precios WEB</t>
  </si>
  <si>
    <t>Canalización</t>
  </si>
  <si>
    <t>b</t>
  </si>
  <si>
    <t>AAIERIC</t>
  </si>
  <si>
    <t>Cableado</t>
  </si>
  <si>
    <t xml:space="preserve">Boca completa </t>
  </si>
  <si>
    <t>Boca completa de ilum/toma + punto/toma</t>
  </si>
  <si>
    <t>Conexión de punto y toma</t>
  </si>
  <si>
    <t>Colocación artefacto</t>
  </si>
  <si>
    <t>Colocación extractor de aire en baño</t>
  </si>
  <si>
    <t>ELECTRO INSTALADOR</t>
  </si>
  <si>
    <t>Colocación Campana tipo Spar</t>
  </si>
  <si>
    <t>Luz de emergencia</t>
  </si>
  <si>
    <t>Tablero seccional de 8 a 36 polos</t>
  </si>
  <si>
    <t>Tablero seccional de 36 a 54 polos</t>
  </si>
  <si>
    <t>Bandeja portacable 300 mm</t>
  </si>
  <si>
    <t>Tendido de cable subterraneo</t>
  </si>
  <si>
    <t xml:space="preserve">Gabinete 4 medidores </t>
  </si>
  <si>
    <t>Gabinete 1 medidor trif</t>
  </si>
  <si>
    <t>PAT de Servicio</t>
  </si>
  <si>
    <t xml:space="preserve">Piso radiante + caldera </t>
  </si>
  <si>
    <t>ARIAS</t>
  </si>
  <si>
    <t>usd</t>
  </si>
  <si>
    <t>Puesta en marcha de caldera</t>
  </si>
  <si>
    <t>m</t>
  </si>
  <si>
    <t xml:space="preserve">COSTO M.O. </t>
  </si>
  <si>
    <t>Carga Manual</t>
  </si>
  <si>
    <t>Costo Real (B+N)</t>
  </si>
  <si>
    <t>Jornal</t>
  </si>
  <si>
    <t>Mensual</t>
  </si>
  <si>
    <t>Hora</t>
  </si>
  <si>
    <t>Dif real / teorico</t>
  </si>
  <si>
    <t>Mano Jornal</t>
  </si>
  <si>
    <t>Hora Uocra</t>
  </si>
  <si>
    <t>ESPECIALIZADO</t>
  </si>
  <si>
    <t xml:space="preserve">OFICIAL </t>
  </si>
  <si>
    <t>MEDIO OFICIAL</t>
  </si>
  <si>
    <t>AYUDANTE</t>
  </si>
  <si>
    <t>SOBRESTANTE</t>
  </si>
  <si>
    <t>JEFE DE OBRA</t>
  </si>
  <si>
    <t>COORD OBRAS</t>
  </si>
  <si>
    <t>CAPATAZ</t>
  </si>
  <si>
    <t>,</t>
  </si>
  <si>
    <t>Mes:</t>
  </si>
  <si>
    <t>Año:</t>
  </si>
  <si>
    <t>Revisado:</t>
  </si>
  <si>
    <t>ANALISIS DE PRECIO UNITARIO</t>
  </si>
  <si>
    <t>RESUMEN</t>
  </si>
  <si>
    <t>PRECIO UNITARIO</t>
  </si>
  <si>
    <t>Unitario Materiales:</t>
  </si>
  <si>
    <t>Unitario Mano de Obra:</t>
  </si>
  <si>
    <t>Unitario Equipos:</t>
  </si>
  <si>
    <t>RENDIMIENTO</t>
  </si>
  <si>
    <t>CODIGO</t>
  </si>
  <si>
    <t>PARTIDA</t>
  </si>
  <si>
    <t>DETALLE</t>
  </si>
  <si>
    <t>u/dia</t>
  </si>
  <si>
    <t>Movimiento de suelos para bases c/ aporte de tosca (e: 40 cm en 2 capas de 20 cm)</t>
  </si>
  <si>
    <t>ARQUIN21</t>
  </si>
  <si>
    <t>Ladrillo común 12,5 x 5,5 x 25 (e:15 cm)</t>
  </si>
  <si>
    <t>Ladrillo cerámico 8 x 18 x 33 cm</t>
  </si>
  <si>
    <t xml:space="preserve">Ladrillo cerámico 12 x 18 x 33 cm </t>
  </si>
  <si>
    <t>Ladrillo cerámico 18 x 18 x 33 cm</t>
  </si>
  <si>
    <t>Pared DOBLE Comun / 5 / LHC 08 - (ladrillo a la vista)</t>
  </si>
  <si>
    <t>Ladrillo hueco portante 12 x 19 x 33</t>
  </si>
  <si>
    <t>Amure puertas tipo (0,90 x 2,00 m)</t>
  </si>
  <si>
    <t>Amure Premarcos</t>
  </si>
  <si>
    <t>Amure barandas (insertos c/1,00 m)</t>
  </si>
  <si>
    <t xml:space="preserve">Azotado hidrófugo </t>
  </si>
  <si>
    <t>Interior jaharro a la cal + Enlucido a la cal</t>
  </si>
  <si>
    <t>Revoque Grueso impermeable Exterior hasta 3.00 m - Incl. Azotado hidrófugo</t>
  </si>
  <si>
    <t>Revoque Grueso impermeable Exterior a mas de 3.00 m - Incl. Azotado hidrófugo</t>
  </si>
  <si>
    <t>Contrapiso HHRP</t>
  </si>
  <si>
    <t>Carpeta MC 1:3 (e: 2cm)</t>
  </si>
  <si>
    <t>Carpeta monolítico h = 7 cm</t>
  </si>
  <si>
    <t>Carpeta hidrófuga (e: 2 cm)</t>
  </si>
  <si>
    <t>Cemento alisado o cilindrado (e: 3 cm)</t>
  </si>
  <si>
    <t>Látex interior para paredes (incl. enduido)</t>
  </si>
  <si>
    <t>Living</t>
  </si>
  <si>
    <t>látex para cielorrasos  (incl. enduido)</t>
  </si>
  <si>
    <t>látex exterior para paredes hasta 3.00 m de altura</t>
  </si>
  <si>
    <t>Dormitori</t>
  </si>
  <si>
    <t>ARQUIN22</t>
  </si>
  <si>
    <t>53 bis</t>
  </si>
  <si>
    <t>látex exterior para paredes a más 3.00 m de altura</t>
  </si>
  <si>
    <t>Esmalte sintético sobre carpintería metálica , herrería (cuando es vacio x lleno contemplar MAT al 60%)</t>
  </si>
  <si>
    <t>Baño</t>
  </si>
  <si>
    <t xml:space="preserve">Revestimiento plastico texturado tipo Quimtex fino </t>
  </si>
  <si>
    <t>Colocación porcelanato en pisos (no incluye baños)</t>
  </si>
  <si>
    <t>Revestimiento porcelanato en paredes y piso baños</t>
  </si>
  <si>
    <t>Colocacion de zocalo porcelanato</t>
  </si>
  <si>
    <t>Látex interior satinado para paredes</t>
  </si>
  <si>
    <t>ARQUIN23</t>
  </si>
  <si>
    <t>Cielorraso Durlock - Junta Tomada STD</t>
  </si>
  <si>
    <t>ARQUIN24</t>
  </si>
  <si>
    <t>Cielorraso Durlock - Junta Tomada RH</t>
  </si>
  <si>
    <t>ARQUIN25</t>
  </si>
  <si>
    <t>Cielorraso Durlock - Junta Tomada RF</t>
  </si>
  <si>
    <t>ARQUIN26</t>
  </si>
  <si>
    <t xml:space="preserve">Cielorraso Desmontable 60x60 - sin provision </t>
  </si>
  <si>
    <t>63 bis</t>
  </si>
  <si>
    <t>Cielorraso Desmontable 60x60 - incluye placa  Deco Vinyl</t>
  </si>
  <si>
    <t>ARQUIN27</t>
  </si>
  <si>
    <t>Pared Durlock - Simple</t>
  </si>
  <si>
    <t>ARQUIN28</t>
  </si>
  <si>
    <t xml:space="preserve">Pared Durlock - Doble placa STD ambas caras y asilación lana de vidrio </t>
  </si>
  <si>
    <t>ARQUIN29</t>
  </si>
  <si>
    <t xml:space="preserve">Medio tabique espesor total 8,5 cm </t>
  </si>
  <si>
    <t>ARQUIN30</t>
  </si>
  <si>
    <t>Esmalte sintetico para paredes</t>
  </si>
  <si>
    <t>ARQUIN31</t>
  </si>
  <si>
    <t>Ladrillo Klimablock 27 x 19 x 30 cm</t>
  </si>
  <si>
    <t>ARQUIN33</t>
  </si>
  <si>
    <t>Impermeabilización de cubierta transitable sobre carpeta horizontal con membrana Geotextil de 4mm, a soplete.</t>
  </si>
  <si>
    <t>ARQUIN34</t>
  </si>
  <si>
    <t>Impermeabilización de cubierta con Malla no tejida de poliester y pintura poliuretánica</t>
  </si>
  <si>
    <t>ARQUIN35</t>
  </si>
  <si>
    <t>Revoque Exterior 3 en 1 hasta 3,00 m</t>
  </si>
  <si>
    <t>ARQUIN36</t>
  </si>
  <si>
    <t>Pintura sobre pared existente</t>
  </si>
  <si>
    <t>ARQUIN37</t>
  </si>
  <si>
    <t>Impermeabilizacion sobre ladrillo</t>
  </si>
  <si>
    <t>ARQUIN38</t>
  </si>
  <si>
    <t>ladrillo cerámico 12 x 19 x 33 cm - PORTANTE</t>
  </si>
  <si>
    <t>ARQUIN41</t>
  </si>
  <si>
    <t>Impermeabilizacion de azotea con pintura asfaltica / Barrera de vapor</t>
  </si>
  <si>
    <t>ARQUIN42</t>
  </si>
  <si>
    <t>Babeta en Azotea con membrana Geotextil Ormiflex de 4mm, a soplete.</t>
  </si>
  <si>
    <t>ARQUIN43</t>
  </si>
  <si>
    <t>Revoque Grueso Exterior S/hidrofugo hasta 3.00 m</t>
  </si>
  <si>
    <t>ARQUIN44</t>
  </si>
  <si>
    <t>Cielorraso Desmontable 120x60 - incluye placa</t>
  </si>
  <si>
    <t>ARQUIN45</t>
  </si>
  <si>
    <t>Perfil buña Z / Cantonera</t>
  </si>
  <si>
    <t>ARQUIN46</t>
  </si>
  <si>
    <t>Bloque de Hormigon 10 x 19 x 39</t>
  </si>
  <si>
    <t>ARQUIN47</t>
  </si>
  <si>
    <t>Bloque de Hormigon 19 x 19 x 39</t>
  </si>
  <si>
    <t>ARQUIN48</t>
  </si>
  <si>
    <t>BOCA ILUMINACIÓN</t>
  </si>
  <si>
    <t>ARQUIN49</t>
  </si>
  <si>
    <t>BOCA TOMACORRIENTE</t>
  </si>
  <si>
    <t>ARQUIN50</t>
  </si>
  <si>
    <t>BANDEJA PORTACABLES 200</t>
  </si>
  <si>
    <t>ARQUIN51</t>
  </si>
  <si>
    <t>COLUMNA HORMIGÓN RÚSTICO 85 kg/m3</t>
  </si>
  <si>
    <t>ARQUIN52</t>
  </si>
  <si>
    <t>COLUMNA HORMIGÓN VISTO</t>
  </si>
  <si>
    <t>ARQUIN53</t>
  </si>
  <si>
    <t>Viga de hormigon rustico 180 kg/m3</t>
  </si>
  <si>
    <t>ARQUIN54</t>
  </si>
  <si>
    <t>Viga</t>
  </si>
  <si>
    <t>ARQUIN55</t>
  </si>
  <si>
    <t xml:space="preserve">Losa de hormigon rustico </t>
  </si>
  <si>
    <t>ARQUIN56</t>
  </si>
  <si>
    <t>Losa</t>
  </si>
  <si>
    <t>ARQUIN57</t>
  </si>
  <si>
    <t>Tabique de hormigon rustico 80 kg/m3</t>
  </si>
  <si>
    <t>ARQUIN58</t>
  </si>
  <si>
    <t>Tabique de hormigon visto 80 kg/m3</t>
  </si>
  <si>
    <t>ARQUIN59</t>
  </si>
  <si>
    <t>Escalera de hormigon rustico 75 kg/m3</t>
  </si>
  <si>
    <t>ARQUIN60</t>
  </si>
  <si>
    <t>Bases asiladas 60 kg/m3</t>
  </si>
  <si>
    <t>ARQUIN61</t>
  </si>
  <si>
    <t>Vigas de fundacion 60 kg/m3</t>
  </si>
  <si>
    <t>ARQUIN62</t>
  </si>
  <si>
    <t>Revoque grueso para interiores</t>
  </si>
  <si>
    <t>ARQUIN63</t>
  </si>
  <si>
    <t xml:space="preserve">Revoque fino a la cal </t>
  </si>
  <si>
    <t>ARQUIN64</t>
  </si>
  <si>
    <t>Carpeta cal reforzada (e: 1,5 cm)</t>
  </si>
  <si>
    <t>ARQUIN65</t>
  </si>
  <si>
    <t>Látex interior para paredes (enduido parcial)</t>
  </si>
  <si>
    <t>ARQUIN66</t>
  </si>
  <si>
    <t xml:space="preserve">Pared simple con aislacion de lana de vidrio </t>
  </si>
  <si>
    <t>ARQUIN67</t>
  </si>
  <si>
    <t xml:space="preserve">Yeso pared </t>
  </si>
  <si>
    <t>ARQUIN68</t>
  </si>
  <si>
    <t xml:space="preserve">Yeso en cielorraso </t>
  </si>
  <si>
    <t>ARQUIN69</t>
  </si>
  <si>
    <t xml:space="preserve">Cemento alisado </t>
  </si>
  <si>
    <t>ARQUIN70</t>
  </si>
  <si>
    <t>ARQUIN71</t>
  </si>
  <si>
    <t>REVOQUE 2 EN 1 hasta 3,00 m</t>
  </si>
  <si>
    <t>ARQUIN72</t>
  </si>
  <si>
    <t>REVOQUE 2 EN 1 a mas 3,00 m</t>
  </si>
  <si>
    <t>ARQUIN73</t>
  </si>
  <si>
    <t xml:space="preserve">Muro retak </t>
  </si>
  <si>
    <t>ARQUIN74</t>
  </si>
  <si>
    <t>Látex interior para paredes (s/enduido)</t>
  </si>
  <si>
    <t>Elemento</t>
  </si>
  <si>
    <t>Cabezales</t>
  </si>
  <si>
    <t>Vigas</t>
  </si>
  <si>
    <t>Tabiques</t>
  </si>
  <si>
    <t>Escaleras</t>
  </si>
  <si>
    <t>COMPUTO HORMIGON</t>
  </si>
  <si>
    <t>Pego valores de computo auxiliar</t>
  </si>
  <si>
    <t>Unidad</t>
  </si>
  <si>
    <t>Fund</t>
  </si>
  <si>
    <t>s/PB</t>
  </si>
  <si>
    <t>s/1º</t>
  </si>
  <si>
    <t>s/2º</t>
  </si>
  <si>
    <t>s/3º</t>
  </si>
  <si>
    <t>s/4º</t>
  </si>
  <si>
    <t>Total m3</t>
  </si>
  <si>
    <t xml:space="preserve">Descripcion </t>
  </si>
  <si>
    <t>P UNIT</t>
  </si>
  <si>
    <t>Total hormigonadas</t>
  </si>
  <si>
    <t xml:space="preserve">Total m3 </t>
  </si>
  <si>
    <t>Bomba x m3</t>
  </si>
  <si>
    <t>Bomba</t>
  </si>
  <si>
    <t>H30 6.12</t>
  </si>
  <si>
    <t>Desperdicio/corte</t>
  </si>
  <si>
    <t>S/PB</t>
  </si>
  <si>
    <t>Hierros, alambres, separadores, etc</t>
  </si>
  <si>
    <t>S/1</t>
  </si>
  <si>
    <t>Corte y doblado</t>
  </si>
  <si>
    <t>S/2</t>
  </si>
  <si>
    <t>S/3</t>
  </si>
  <si>
    <t>HIERRO DE CONSTRUCCION</t>
  </si>
  <si>
    <t>S/4</t>
  </si>
  <si>
    <t>Kilo por barra</t>
  </si>
  <si>
    <t xml:space="preserve">Precio por kg </t>
  </si>
  <si>
    <t>S/5</t>
  </si>
  <si>
    <t>$/kg</t>
  </si>
  <si>
    <t xml:space="preserve">Elemento </t>
  </si>
  <si>
    <t>Cuantia</t>
  </si>
  <si>
    <t xml:space="preserve">Hierro x m3 </t>
  </si>
  <si>
    <t xml:space="preserve">H30 </t>
  </si>
  <si>
    <t>Madera x m3</t>
  </si>
  <si>
    <t>Zapata aislada -H30 (55 kg/m3)</t>
  </si>
  <si>
    <t>Tronco - H30 (240 kg/m3 de hierro)</t>
  </si>
  <si>
    <t>Cabezal - H30 (90 kg/m3)</t>
  </si>
  <si>
    <t>Vigas de fundación - H30 (170 kg/m3 de hierro)</t>
  </si>
  <si>
    <t>Escalera - H30 (105 kg/m3 de hierro)</t>
  </si>
  <si>
    <t>Escalera vista - H30 (105 kg/m3 de hierro)</t>
  </si>
  <si>
    <t>SILVA HNOS</t>
  </si>
  <si>
    <t>OBRA VERA 1199</t>
  </si>
  <si>
    <t>TRABAJOS PRELIMINARES</t>
  </si>
  <si>
    <t>Construcción de obrador y deposito de herramientas-vestuario 3X5 con separaciones por COVID-19-deposito de herramientas (pañol) 3X3-comedor para los trabajadores 3X4 con mesas banquetas- pieza para el sereno 3X3</t>
  </si>
  <si>
    <t>Obrador + Sanitarios</t>
  </si>
  <si>
    <t>módulos de sanitarios personal con ducha el mismo comprende con 2 módulos para inodoro, dos módulos para duchas, lavaderos y mingitorio urinario de fenólicos revestido con concreto. Medida del baño 3X4</t>
  </si>
  <si>
    <t>limpieza y preparación inicial del terreno a construir</t>
  </si>
  <si>
    <t>conexión temporaria de cloaca</t>
  </si>
  <si>
    <t>defensa de proteccion</t>
  </si>
  <si>
    <t>meses</t>
  </si>
  <si>
    <t>dias x mes</t>
  </si>
  <si>
    <t>Costo por dia</t>
  </si>
  <si>
    <t>limpieza de obra diaria</t>
  </si>
  <si>
    <t>Ayuda de Gremio</t>
  </si>
  <si>
    <t>sereno</t>
  </si>
  <si>
    <t>Excavación manual de cabezales</t>
  </si>
  <si>
    <t>Excavación manual de vigas de fundación</t>
  </si>
  <si>
    <t>demolicion de 41 pilotines de Ø0,20 con retiro de escombro A un costado de la obra a construir</t>
  </si>
  <si>
    <t>Hormigón Armado de Fundación</t>
  </si>
  <si>
    <t>HA. De cabezales (90 kg/m3 de hierro)</t>
  </si>
  <si>
    <t>H.A. De vigas de fundación (115kg/m3 de hierro)</t>
  </si>
  <si>
    <t>Armado de pilotes soldado</t>
  </si>
  <si>
    <t>LOSAS S/PB - S/10ºP</t>
  </si>
  <si>
    <t>H.A. De Columnas hormigón rustico (90kg/m3 de hierro)</t>
  </si>
  <si>
    <t>H.A. De tabiques hormigón rustico (80kg/m3 de hierro)</t>
  </si>
  <si>
    <t>H.A. De vigas normales hormigón rustico (120kg/m3 de hierro)</t>
  </si>
  <si>
    <t>H.A. De losas macizas hormigón rustico (80kg/m3 de hierro)</t>
  </si>
  <si>
    <t>H.A. De escalera normales S/PB (115kg/m3 de hierro)</t>
  </si>
  <si>
    <t>Subtotal SIN IVA</t>
  </si>
  <si>
    <t>P UNIT ACTUALIZADO</t>
  </si>
  <si>
    <t>SUBTOTAL</t>
  </si>
  <si>
    <t>PRECIOS BASE ENE 23</t>
  </si>
  <si>
    <t>m3 piso 2</t>
  </si>
  <si>
    <t>Por losa</t>
  </si>
  <si>
    <t>Precios M.O</t>
  </si>
  <si>
    <t>Jornal c/ horas extra (2)</t>
  </si>
  <si>
    <t>Armadores</t>
  </si>
  <si>
    <t>Carpinteros</t>
  </si>
  <si>
    <t xml:space="preserve">Cant </t>
  </si>
  <si>
    <t xml:space="preserve">Precios M.O </t>
  </si>
  <si>
    <t>JORNAL</t>
  </si>
  <si>
    <t>Cuadrilla x dia</t>
  </si>
  <si>
    <t>Dias por losa</t>
  </si>
  <si>
    <t xml:space="preserve">En mano </t>
  </si>
  <si>
    <t>Por mes</t>
  </si>
  <si>
    <t xml:space="preserve">hs x losa </t>
  </si>
  <si>
    <t>Precio x m2</t>
  </si>
  <si>
    <t xml:space="preserve">Precio por losa </t>
  </si>
  <si>
    <t xml:space="preserve">El ayudante corresponde a dias de lluvia tambien </t>
  </si>
  <si>
    <t>ANALISIS DE M.O</t>
  </si>
  <si>
    <t>VERA 1199</t>
  </si>
  <si>
    <t>ARQUINERING SRL</t>
  </si>
  <si>
    <t>Unidad:</t>
  </si>
  <si>
    <t>Cantidad:</t>
  </si>
  <si>
    <t>Rendimiento:</t>
  </si>
  <si>
    <t>COLUMNAS H°A° - 2° piso</t>
  </si>
  <si>
    <t>m3/dia</t>
  </si>
  <si>
    <t>DESCRIPCIÓN</t>
  </si>
  <si>
    <t>Salario $</t>
  </si>
  <si>
    <t>Total $</t>
  </si>
  <si>
    <t>Dias</t>
  </si>
  <si>
    <t xml:space="preserve">DOBLADO, ARMADO Y POSICIONAMIENTO </t>
  </si>
  <si>
    <t xml:space="preserve">ENCONFRADO Y APUNTALAMIENTO </t>
  </si>
  <si>
    <t>HORMIGONADO</t>
  </si>
  <si>
    <t>$ x m3</t>
  </si>
  <si>
    <t>Total Mano de Obra Menor:</t>
  </si>
  <si>
    <t>Gastos Generales:</t>
  </si>
  <si>
    <t>Beneficio:</t>
  </si>
  <si>
    <t xml:space="preserve">PRECIO UNITARIO: </t>
  </si>
  <si>
    <t>TABIQUES H°A° - 2° piso</t>
  </si>
  <si>
    <t>VIGAS H°A° - 2° piso</t>
  </si>
  <si>
    <t>LLUVIA/MAL CLIMA</t>
  </si>
  <si>
    <t>Cant m3</t>
  </si>
  <si>
    <t>LOSAS H°A° - 2° piso</t>
  </si>
  <si>
    <t>Imprevistos / mal clima</t>
  </si>
  <si>
    <t>ESCALERAS H°A° - 2° piso</t>
  </si>
  <si>
    <t>Pres Silva</t>
  </si>
  <si>
    <t xml:space="preserve">$ x ml </t>
  </si>
  <si>
    <t xml:space="preserve">Pie </t>
  </si>
  <si>
    <t xml:space="preserve">Precio x pie </t>
  </si>
  <si>
    <t>Tabala 4 x 1 x 3,6</t>
  </si>
  <si>
    <t>Tirante 3 x 3 x 3,6</t>
  </si>
  <si>
    <t>Un med.</t>
  </si>
  <si>
    <t xml:space="preserve">Redondeo </t>
  </si>
  <si>
    <t xml:space="preserve">Precio por PIE SALIGNA BRUTO </t>
  </si>
  <si>
    <t xml:space="preserve">pie cub </t>
  </si>
  <si>
    <t>pulgadas</t>
  </si>
  <si>
    <t>Saligna</t>
  </si>
  <si>
    <t>Material</t>
  </si>
  <si>
    <t>CANT.</t>
  </si>
  <si>
    <t>Seccion (en pulgadas)</t>
  </si>
  <si>
    <t>Pie x pieza</t>
  </si>
  <si>
    <t>Precio por pie</t>
  </si>
  <si>
    <t>Costo x pieza</t>
  </si>
  <si>
    <t>DEPRECIACIÓN</t>
  </si>
  <si>
    <t xml:space="preserve">PRECIO </t>
  </si>
  <si>
    <t>PLATEA 1m3</t>
  </si>
  <si>
    <t>Sep.</t>
  </si>
  <si>
    <t>Largo pieza</t>
  </si>
  <si>
    <t>Long total</t>
  </si>
  <si>
    <t>x m3</t>
  </si>
  <si>
    <t>Barrotes</t>
  </si>
  <si>
    <t>Estacas</t>
  </si>
  <si>
    <t>Verticales</t>
  </si>
  <si>
    <t>Muerto</t>
  </si>
  <si>
    <t>Fenolico</t>
  </si>
  <si>
    <t>Encofrado</t>
  </si>
  <si>
    <t>VIGA FUNDACION 1m3</t>
  </si>
  <si>
    <t>Aprox. 8 ml de vigas de 0,25 x 0,50 m</t>
  </si>
  <si>
    <t xml:space="preserve">Platea tipo </t>
  </si>
  <si>
    <t>Pie derecho</t>
  </si>
  <si>
    <t>Tornapuntas</t>
  </si>
  <si>
    <t>Muertos</t>
  </si>
  <si>
    <t>Separadores</t>
  </si>
  <si>
    <t>ml x m3</t>
  </si>
  <si>
    <t>Elemento tipico</t>
  </si>
  <si>
    <t>COLUMNA 1m3</t>
  </si>
  <si>
    <t>Aprox. 4 columnas de 2,60 m</t>
  </si>
  <si>
    <t>Pie derecho / Puntales</t>
  </si>
  <si>
    <t>Estacas / Avioncitos</t>
  </si>
  <si>
    <t>Barrotes lado largo</t>
  </si>
  <si>
    <t>Barrotes lado corto</t>
  </si>
  <si>
    <t xml:space="preserve">Altura promedio </t>
  </si>
  <si>
    <t>COLUMNA 1m3 VISTA</t>
  </si>
  <si>
    <t>TABIQUE 1m3</t>
  </si>
  <si>
    <t>Aprox. 2,5 ml de tabique de e: 15 cm</t>
  </si>
  <si>
    <t xml:space="preserve">Encofrado </t>
  </si>
  <si>
    <t xml:space="preserve">Elemento tipico </t>
  </si>
  <si>
    <t>Largueros</t>
  </si>
  <si>
    <t>Arriostre 1</t>
  </si>
  <si>
    <t>Arriostre 2</t>
  </si>
  <si>
    <t>Puntales Largos</t>
  </si>
  <si>
    <t>Puntales Cortos</t>
  </si>
  <si>
    <t>Bases</t>
  </si>
  <si>
    <t>TABIQUE 1m3 VISTO</t>
  </si>
  <si>
    <t>Barrotes / Posibilidad viga H</t>
  </si>
  <si>
    <t>Largueros / Posibilidad viga H</t>
  </si>
  <si>
    <t xml:space="preserve">Puntales Largos / Puntales </t>
  </si>
  <si>
    <t>Puntales Cortos / Puntales</t>
  </si>
  <si>
    <t>LOSA 1m3</t>
  </si>
  <si>
    <t>Aprox. 10 m2 de losa e: 10 cm</t>
  </si>
  <si>
    <t>Arriostres / Flechas</t>
  </si>
  <si>
    <t>Solera / Vigas H</t>
  </si>
  <si>
    <t>Cuña / Tripodes</t>
  </si>
  <si>
    <t>Refuerzo / Flechas</t>
  </si>
  <si>
    <t xml:space="preserve">Cierre lateral </t>
  </si>
  <si>
    <t xml:space="preserve">Tapada </t>
  </si>
  <si>
    <t>LOSA VISTA 1m3</t>
  </si>
  <si>
    <t xml:space="preserve">VIGA 1m3 </t>
  </si>
  <si>
    <t>Aprox. 20 ml de viga de 12 x 45 cm</t>
  </si>
  <si>
    <t>Arriostres laterales / Flechas</t>
  </si>
  <si>
    <t>Solera</t>
  </si>
  <si>
    <t>VIGA 1m3 VISTA</t>
  </si>
  <si>
    <t>ESCALERA 1m3</t>
  </si>
  <si>
    <t>Aprox. Escalera ancho 1,20 m x piso</t>
  </si>
  <si>
    <t xml:space="preserve">Tramo 1 </t>
  </si>
  <si>
    <t>Tramo 2</t>
  </si>
  <si>
    <t>h promed</t>
  </si>
  <si>
    <t>Contra pasos</t>
  </si>
  <si>
    <t>Fondos</t>
  </si>
  <si>
    <t>Arriostres</t>
  </si>
  <si>
    <t>ESCALERA 1m3 VISTA</t>
  </si>
  <si>
    <t>DEFENSA / BANDEJA SEGURIDAD 1m</t>
  </si>
  <si>
    <t>Correas</t>
  </si>
  <si>
    <t>Fenolico 15mm</t>
  </si>
  <si>
    <t xml:space="preserve">RESUMEN ENCOFRADO </t>
  </si>
  <si>
    <t>P. UNIT</t>
  </si>
  <si>
    <t>Platea</t>
  </si>
  <si>
    <t xml:space="preserve">Viga fundacion </t>
  </si>
  <si>
    <t>Columna</t>
  </si>
  <si>
    <t xml:space="preserve">Columna vista </t>
  </si>
  <si>
    <t>Tabique</t>
  </si>
  <si>
    <t>Tabique visto</t>
  </si>
  <si>
    <t>Losa vista</t>
  </si>
  <si>
    <t xml:space="preserve">Viga </t>
  </si>
  <si>
    <t>Viga vista</t>
  </si>
  <si>
    <t>Escalera vista</t>
  </si>
  <si>
    <t>Defensa</t>
  </si>
  <si>
    <t xml:space="preserve">APUNTALAMIENTO </t>
  </si>
  <si>
    <t xml:space="preserve">PERI </t>
  </si>
  <si>
    <t xml:space="preserve">Alquiler mensual </t>
  </si>
  <si>
    <t xml:space="preserve">P. unit </t>
  </si>
  <si>
    <t>Cant / Sup</t>
  </si>
  <si>
    <t>Cant meses</t>
  </si>
  <si>
    <t xml:space="preserve">Planta tipo </t>
  </si>
  <si>
    <t>Losa c/vigas - Mes de desencofrado</t>
  </si>
  <si>
    <t>Reapuntalamiento (propios)</t>
  </si>
  <si>
    <t>Compra nueva</t>
  </si>
  <si>
    <t>Obras</t>
  </si>
  <si>
    <t>Amortización</t>
  </si>
  <si>
    <t>Flete entrega</t>
  </si>
  <si>
    <t xml:space="preserve">Flete devolucion </t>
  </si>
  <si>
    <t>Superficie planta s/pb</t>
  </si>
  <si>
    <t>Superficie planta s/1°</t>
  </si>
  <si>
    <t>Superficie planta s/2°</t>
  </si>
  <si>
    <t>Superficie planta s/3°</t>
  </si>
  <si>
    <t>Superficie planta s/4°</t>
  </si>
  <si>
    <t>meses de alquiler</t>
  </si>
  <si>
    <t>Medianera</t>
  </si>
  <si>
    <t>FACHADA</t>
  </si>
  <si>
    <t>Sala de maquinas</t>
  </si>
  <si>
    <t>Vacio</t>
  </si>
  <si>
    <t xml:space="preserve">Zócalo de concreto </t>
  </si>
  <si>
    <t>Cemento alisado arrodillado en escaleras</t>
  </si>
  <si>
    <t>Rep</t>
  </si>
  <si>
    <t>Látex interior para paredes Bco. mate (s/enduido)</t>
  </si>
  <si>
    <t>Latex interior cielorraso sobre H°</t>
  </si>
  <si>
    <t>m2 pedada</t>
  </si>
  <si>
    <t>m2 alzada total</t>
  </si>
  <si>
    <t>Carpeta cilindrada</t>
  </si>
  <si>
    <t>Esmalte sintetico</t>
  </si>
  <si>
    <t>Electrodos</t>
  </si>
  <si>
    <t>Chapa F60</t>
  </si>
  <si>
    <t>Esmalte sintético en puertas placa, chapa y de ascensor</t>
  </si>
  <si>
    <t>Balcones Frente - 1º a 6º</t>
  </si>
  <si>
    <t xml:space="preserve">Balcones contrafrente 1º a 6º </t>
  </si>
  <si>
    <t xml:space="preserve">Horizontales ojo </t>
  </si>
  <si>
    <t>Consumibles (mechas, tornillos, etc.)</t>
  </si>
  <si>
    <t>15x35x50</t>
  </si>
  <si>
    <t>15x25x100</t>
  </si>
  <si>
    <t>20x20x100</t>
  </si>
  <si>
    <t>40x40x100</t>
  </si>
  <si>
    <t>UBICACION</t>
  </si>
  <si>
    <t>DS</t>
  </si>
  <si>
    <t>INY</t>
  </si>
  <si>
    <t>EXT</t>
  </si>
  <si>
    <t>PUL</t>
  </si>
  <si>
    <t>Baños Mono B</t>
  </si>
  <si>
    <t>Baños 2 amb.</t>
  </si>
  <si>
    <t>Baños Mono A</t>
  </si>
  <si>
    <t>Conductos para Humos y Gases - Palier</t>
  </si>
  <si>
    <t>CANTIDADES</t>
  </si>
  <si>
    <t>INY/EXT</t>
  </si>
  <si>
    <t>HUMOS</t>
  </si>
  <si>
    <t>BAÑOS</t>
  </si>
  <si>
    <t>Rejillas inyección/extracción palier 20 x 20</t>
  </si>
  <si>
    <t>Rejillas</t>
  </si>
  <si>
    <t>CHAPA LISA PREP C25 - 1,22 x 2,44 m</t>
  </si>
  <si>
    <t>Sombreretes en chapa prepintada C25</t>
  </si>
  <si>
    <t>FIHOS WEB</t>
  </si>
  <si>
    <t>ATRIM VERTICAL</t>
  </si>
  <si>
    <t>Provisión y amure de tapas para pleno electricos y gas en palieres</t>
  </si>
  <si>
    <t>Tapas de acceso a electricidad y gas</t>
  </si>
  <si>
    <t>Revestimiento</t>
  </si>
  <si>
    <t>Mmaposteria</t>
  </si>
  <si>
    <t>Revoque</t>
  </si>
  <si>
    <t>CONTREFRENTE</t>
  </si>
  <si>
    <t>M.Obra barandas (1 d por piso)</t>
  </si>
  <si>
    <t>Supervisión profesional de Obra</t>
  </si>
  <si>
    <t>Babeta</t>
  </si>
  <si>
    <t>Weber Imper G x 25 kg</t>
  </si>
  <si>
    <t>IMPERMEABILIZACION</t>
  </si>
  <si>
    <t>BAJO RECORRIDO ASC.</t>
  </si>
  <si>
    <t>Revestimiento plastico tipo Quimtex en exteriores y PB</t>
  </si>
  <si>
    <t>Atenas Fino de 27 kg color Y099</t>
  </si>
  <si>
    <t>Base Cuarzo de 18 lt Color F109</t>
  </si>
  <si>
    <t>Base Cuarzo de 9 lts Color Y099</t>
  </si>
  <si>
    <t>Base Cuarzo de 18 lts Color Y099</t>
  </si>
  <si>
    <t>Atenas Fino de 27 kg color F109</t>
  </si>
  <si>
    <t>15% plus altura + 25% menor rendimiento</t>
  </si>
  <si>
    <t>REVESTIMIENTO PLASTICO Y MICROPISO</t>
  </si>
  <si>
    <t>QUIMTEX</t>
  </si>
  <si>
    <t>Revest. Plastico</t>
  </si>
  <si>
    <t>Fijador sellador al agua de alto rendimiento de 4 lt</t>
  </si>
  <si>
    <t>Malla para tratamiento antialcalino x m2</t>
  </si>
  <si>
    <t>Quimtex Base niveladora de 30 kg</t>
  </si>
  <si>
    <t>Quimtex micropiso de 27 kg color G175</t>
  </si>
  <si>
    <t>Laca al agua de 5 lt</t>
  </si>
  <si>
    <t>bid</t>
  </si>
  <si>
    <t>Zocalo 5,6cm Madera Mdf Redondeado Prepintado Blanco Pz-56l</t>
  </si>
  <si>
    <r>
      <t>Colocación de teclas simples y/o combinadas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</si>
  <si>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Colocación de zumbador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</si>
  <si>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tomacorriente simple y doble 10 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</si>
  <si>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sensor de movimiento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</si>
  <si>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 xml:space="preserve">Acometida y gabiente de medidores </t>
  </si>
  <si>
    <r>
      <t xml:space="preserve">Colocación de pulsadores, circulación + timbres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</si>
  <si>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TUF - Monofásico</t>
  </si>
  <si>
    <t>TUF -Trifásico</t>
  </si>
  <si>
    <t>2 x 40</t>
  </si>
  <si>
    <t>CAJA EMB P/ TM 24 POLOS BC T/FUME</t>
  </si>
  <si>
    <t>CAJA INSPECCION 15 x 15 PVC</t>
  </si>
  <si>
    <t>Coloco 2 porque no tengo el precio de 2X40</t>
  </si>
  <si>
    <t xml:space="preserve">Gabinete columna 3 modulos monofasico Edesur </t>
  </si>
  <si>
    <t xml:space="preserve">Gabinete columna 12 modulos monofasico Edesur </t>
  </si>
  <si>
    <t>Bastidor unico 3 mod. Kalop</t>
  </si>
  <si>
    <t>Interruptor unipolar simple blanco marca Kalop</t>
  </si>
  <si>
    <t>Tapa civil 3 mod. Blanco marca Kalop</t>
  </si>
  <si>
    <t>Toma doble blanco 10 A marca Kalop</t>
  </si>
  <si>
    <t>Toma blanco 10A marca Kalop</t>
  </si>
  <si>
    <t>Toma 20A blanco marca Kalop</t>
  </si>
  <si>
    <t>Tapon ciego blanco marca Kalop</t>
  </si>
  <si>
    <t>4 x 40</t>
  </si>
  <si>
    <t>STECK DIFERENCIAL 4X25A 30MA</t>
  </si>
  <si>
    <t>4 x 20</t>
  </si>
  <si>
    <t>STECK TM TETRAPOLAR 16A 6KA</t>
  </si>
  <si>
    <t>4 x 16</t>
  </si>
  <si>
    <t>Mod</t>
  </si>
  <si>
    <t xml:space="preserve">Fusible NH 02 a 125 A </t>
  </si>
  <si>
    <t xml:space="preserve">Fusible NH 00 63 A </t>
  </si>
  <si>
    <t>MONO</t>
  </si>
  <si>
    <t>TRI</t>
  </si>
  <si>
    <t>SG</t>
  </si>
  <si>
    <t>Fusible</t>
  </si>
  <si>
    <t>PISO</t>
  </si>
  <si>
    <t>Cant caños</t>
  </si>
  <si>
    <t>Total m</t>
  </si>
  <si>
    <t>PARTE MECANICA / PLENO</t>
  </si>
  <si>
    <t>PARTE MECANICA / SUSP. PB</t>
  </si>
  <si>
    <t>RLLOX100M 1X 6,0MM NEGRO N.IRAM</t>
  </si>
  <si>
    <t>Cable unipolar 10 mm N.IRAM</t>
  </si>
  <si>
    <t>UF trifasicas (235 ml en syntenax)</t>
  </si>
  <si>
    <t>UF monos (360 ml en syntenax)</t>
  </si>
  <si>
    <t>RLLOX100M 1X 4,0MM NEGRO N.IRAM</t>
  </si>
  <si>
    <t>T ASC. (38 ml)</t>
  </si>
  <si>
    <t>Bombas PB + Bombas Pres. (45 ml)</t>
  </si>
  <si>
    <t>RLLOX100M 1X16 MM VD/ AM N.IRAM</t>
  </si>
  <si>
    <t>DESPERDICIO</t>
  </si>
  <si>
    <t>Estimado x boca</t>
  </si>
  <si>
    <t>Bocas</t>
  </si>
  <si>
    <t>CONECTOR 25MM PVC RIG IP54 TUBE</t>
  </si>
  <si>
    <t>Tendido cañería x boca</t>
  </si>
  <si>
    <t>Cableado x boca</t>
  </si>
  <si>
    <t xml:space="preserve">Cable testigo </t>
  </si>
  <si>
    <t>Mov de suelos y excav. + micro</t>
  </si>
  <si>
    <t>CARPINTERIAS DE ALUMINIO</t>
  </si>
  <si>
    <t>ASCENSOR</t>
  </si>
  <si>
    <t>Amurado de gabinete</t>
  </si>
  <si>
    <t>Colocación de mangueras</t>
  </si>
  <si>
    <t>Albañilería parrila completa</t>
  </si>
  <si>
    <t>V10 - Medidas 800 x 600 mm - Ventana proyectante Linea Modena, color A. Natural, con vidrios DVH 4/9/4</t>
  </si>
  <si>
    <t>V1 - Medidas 2500 x 2600 mm -  Puerta ventana corrediza Línea A30 New de 2 hojas, color A. Natural, con vidrios DVH F6 TEMP + 12 + F6 TEMP c/mosquitero</t>
  </si>
  <si>
    <t>V2 - Medidas 2200 x 2600 mm - Puerta ventana corrediza Línea A30 New de 2 hojas, color A. Natural, con vidrios DVH F6 TEMP + 12 + F6 TEMP c/mosquitero</t>
  </si>
  <si>
    <t>V4 - Medidas 2000 x 1550 mm - Ventana corrediza Línea A30 New de 2 hojas, color A. Natural, con vidrios DVH F6 TEMP + 12 + F6 TEM c/mosquitero</t>
  </si>
  <si>
    <t>V5 - Medidas 2500 x 2300 mm - Puerta ventana corrediza Línea A30 New de 2 hojas, color A. Natural, con vidrios DVH F6 TEMP + 12 + F6 TEMP c/ mosquitero</t>
  </si>
  <si>
    <t>V6 - Medidas 2200 x 2300 mm - Puerta ventana corrediza Línea A30 New de 2 hojas, color A. Natural, con vidrios DVH F6 TEMP + 12 + F6 TEMP c/ mosquitero</t>
  </si>
  <si>
    <t>V8 - Medidas 2000 x 1250 mm - Ventana corrediza Línea A30 New de 2 hojas, color A. Natural, con vidrios DVH F6 TEMP + 12 + F6 TEM c/mosquitero</t>
  </si>
  <si>
    <t>V9 - Medidas 2000 x 2300 mm - Puerta ventana corrediza Línea A30 New de 2 hojas, color A. Natural, con vidrios DVH F6 TEMP + 12 + F6 TEM c/mosquitero</t>
  </si>
  <si>
    <t>PV1 - Medidas 1500 x 2150 mm - Puerta de rebatir c/ umbral + Paño fijo Línea A30 New, con vidrios DVH F6 TEMP + 12 + F6 TEMP</t>
  </si>
  <si>
    <t>V3 - Medidas 500 + 500 x 1550 mm - Ventana banderola + Paño fijo Línea A30 New, color A. Natural, con vidrios DVH 4/12/4 Pacific</t>
  </si>
  <si>
    <t>M3 - Medidas 500 x 1550 mm - Mosquitero Línea A30 New, color A. Natural</t>
  </si>
  <si>
    <t>V7 - Medidas 500 + 500 x 1250 mm - Ventana banderola + Paño fijo Línea A30 New, color A. Natural, con vidrios DVH 4/12/4 Pacific</t>
  </si>
  <si>
    <t>TODO ALUMINIO</t>
  </si>
  <si>
    <t>M7 - Medidas 500 x 1250 mm - Mosquitero Línea A30 New, color A. Natural</t>
  </si>
  <si>
    <t>GN ASCENSORES</t>
  </si>
  <si>
    <t>Ascensor - Kit completo electromecanico</t>
  </si>
  <si>
    <t>Botonera tactil</t>
  </si>
  <si>
    <t>CONDOR SRL</t>
  </si>
  <si>
    <t>BELTEK</t>
  </si>
  <si>
    <t>Habilitación municipal</t>
  </si>
  <si>
    <t>Ascensor - Kit completo electromecanico - Incluye instalación y puesta en marcha</t>
  </si>
  <si>
    <t>Inventado</t>
  </si>
  <si>
    <t>MESADAS</t>
  </si>
  <si>
    <t>Minera Fame</t>
  </si>
  <si>
    <t xml:space="preserve">Mesada tipo 1, Granito Negro Boreal, medidas 1,80 x 0,60 m, con zocalo (1,80 ml) y trasforos, e: 2,00 cm </t>
  </si>
  <si>
    <t>Mesada tipo 2, Granito Negro Boreal, medidas 1,95 x 1,68 m, con zocalo (4,23 ml) y trasforos, e: 2,00 cm</t>
  </si>
  <si>
    <t xml:space="preserve">Mesada tipo 3, Granito Negro Boreal, medidas 1,80 x 0,60 m, con zocalo (2,40 ml) y trasforos, e: 2,00 cm </t>
  </si>
  <si>
    <t xml:space="preserve">Mesada tipo 4, Granito Negro Boreal, medidas 1,80 x 0,60 m, con zocalo (3,00 ml) y trasforos, e: 2,00 cm </t>
  </si>
  <si>
    <t xml:space="preserve">Barra tipo 7, Granito Negro Boreal, medidas 1,50 x 0,35 m, con zocalo (0,35 ml), e: 2,00 cm </t>
  </si>
  <si>
    <t xml:space="preserve">Mesada tipo 8, Granito Negro Boreal, medidas 1,50 x 0,60 m, con zocalo (2,70 ml) y trasforos, e: 2,00 cm </t>
  </si>
  <si>
    <t xml:space="preserve">Mesada tipo 5, Granito Negro Boreal, medidas 1,80 x 0,60 m, con zocalo (2,40 ml) y trasforos, e: 2,00 cm </t>
  </si>
  <si>
    <t xml:space="preserve">Mesada tipo 6, Granito Negro Boreal, medidas 1,72 x 0,60 m, con zocalo (2,32 ml) y trasforos, e: 2,00 cm </t>
  </si>
  <si>
    <t>Indoro largo Ferrum Andina blanco IALQ B</t>
  </si>
  <si>
    <t xml:space="preserve">Deposito p/inodoro Ferrum Andina blanco de apoyar descarga dual DAW4A B </t>
  </si>
  <si>
    <t>Filhos WEB</t>
  </si>
  <si>
    <t>TODO GRIFERIA WEB</t>
  </si>
  <si>
    <t>Tapa Asiento Inodoro Traful Ferrum Tfw-b Original</t>
  </si>
  <si>
    <t xml:space="preserve">Lavatorio de pie y columna de 1 agujero Ferrum Andina </t>
  </si>
  <si>
    <t>Grifería cocina pico bajo para mesada FV Arizona monocomando cromo 0411.01/B1-CR</t>
  </si>
  <si>
    <t xml:space="preserve">Tanque acumulador acs 1000 Lts </t>
  </si>
  <si>
    <t>Generador ACS Diva Acqua 22 F GN</t>
  </si>
  <si>
    <t>MUNRO CALEFACCION</t>
  </si>
  <si>
    <t>Kit bomba p/gener. ACS</t>
  </si>
  <si>
    <t>Kit acces. p/tanque acum. ACS TAG</t>
  </si>
  <si>
    <t>Kit codo y tubo Coax 60/100 Term ANTIV</t>
  </si>
  <si>
    <t>Vaso expansion ACS 50 Lts</t>
  </si>
  <si>
    <t>TTQ Solar Presur. 300 Lts. Tanque Acum.</t>
  </si>
  <si>
    <t>TTQ Solar Presur. 300 Lts. Estructura</t>
  </si>
  <si>
    <t>TTQ Solar Presur. 300 Lts. Heat pipe pok x 10</t>
  </si>
  <si>
    <t>Ruptor de vacio</t>
  </si>
  <si>
    <t>Moby WEB</t>
  </si>
  <si>
    <t xml:space="preserve">Virola - Vulcano </t>
  </si>
  <si>
    <t>Retorno orientable - Vulcano</t>
  </si>
  <si>
    <t>Toma de fondo - Vulcano (Hormigon)</t>
  </si>
  <si>
    <t>Tanque mult y colector VC30 Soplado - Vulcano</t>
  </si>
  <si>
    <t>Skimmer boca ancha -38 cm- para hormigon 2T - Vulcano</t>
  </si>
  <si>
    <t>Electrobomba autocebante 0,33 HP 220V-50HZ (S2000)</t>
  </si>
  <si>
    <t>RODAPIE</t>
  </si>
  <si>
    <t xml:space="preserve">Rendimiento </t>
  </si>
  <si>
    <t>Cant placas</t>
  </si>
  <si>
    <t>Placa cementicia</t>
  </si>
  <si>
    <t>Consumibles (tornillos, discos, mechas, etc.)</t>
  </si>
  <si>
    <t>Provisión y colocación de Rodapie/ Zócalo rampante en placa cementicia</t>
  </si>
  <si>
    <t xml:space="preserve">Loseta 8 V gris claro 40 x 40 cm, Blangino </t>
  </si>
  <si>
    <t>Mosaico granítico, Compacto JB 40 x 40 cm, Blangino</t>
  </si>
  <si>
    <t>PISOS Y REVESTIMIENTO</t>
  </si>
  <si>
    <t>Mosaicos Curti</t>
  </si>
  <si>
    <t>Cerámica Neve brillante blanco, medidas 38 x 38 cm, Cerro Negro</t>
  </si>
  <si>
    <t>Revestimiento cerámico Aspen brillante, medidas 29 x 59 cm s/ rect., Cerro Negro</t>
  </si>
  <si>
    <t>Cerámica Recife gris, medidas 38 x 38 cm s/ rect., Cerro Negro</t>
  </si>
  <si>
    <t>Cerámica Portland gris natural, medidas 33 x 33 cm s/ rect., San Lorenzo</t>
  </si>
  <si>
    <t>Porcelanato London gris natural, medidas 58 x 117 cm rect., Cerro Negro</t>
  </si>
  <si>
    <t>Porcelanato London gris natural, medidas 58 x 117 cm rect. taad, Cerro Negro</t>
  </si>
  <si>
    <t>Porcelanato Liscio Graphite natural, medidas 60 x 60 cm rect., Vite</t>
  </si>
  <si>
    <t>Porcelanico FOG, medidas 60 x 60 cm rect., Tendenza</t>
  </si>
  <si>
    <t>Porcelanico Silvermoon, medidas 60 x 120 cm rect., Tendenza</t>
  </si>
  <si>
    <t>Anafe electrico, 2 hornallas, palcas de resistencia electrica, acero inoxidable, AEX2G Domec</t>
  </si>
  <si>
    <t>Anafe electrico, 4 hornallas, palcas de resistencia electrica, acero inoxidable, AEX2G Domec</t>
  </si>
  <si>
    <t>Horno de empotrar electrico, medidas 60 x 60 cm, acero inoxidable, HEXG</t>
  </si>
  <si>
    <t>Terrazo Bali 10 x 10, Quadri</t>
  </si>
  <si>
    <t>QUADRI</t>
  </si>
  <si>
    <t>LA NORIA WEB</t>
  </si>
  <si>
    <t>Revestimiento cerámico Perla satinado, medidas 33 x 45,3 cm, San Lorenzo</t>
  </si>
  <si>
    <t>https://www.herrajes-veiga.com.ar/MLA-670573108-manijon-y-manija-tropea-currao-aceroo-con-cromo-puerta-_JM#position%3D35%26search_layout%3Dgrid%26type%3Ditem%26tracking_id%3D6611fc6c-a12c-4a2e-ad96-e61a857fba79</t>
  </si>
  <si>
    <t>https://www.herrajes-veiga.com.ar/MLA-861440888-manija-currao-latina-2-doble-sanatorio-reforzada-pack-4-_JM#position%3D34%26search_layout%3Dgrid%26type%3Ditem%26tracking_id%3Da5849249-9dde-4093-902b-e909a5e6182e</t>
  </si>
  <si>
    <t>Herraje doble balancin, marca Currao, línea Latina II - Acerado, color acerado Mate</t>
  </si>
  <si>
    <t>Manijon y manija, marca Currao, línea Tropea Currao, color cromo - Para puertas de acceso a UF</t>
  </si>
  <si>
    <t xml:space="preserve">Cerradura Kallay 4000 </t>
  </si>
  <si>
    <t>https://www.herrajes-veiga.com.ar/kallay-4000-cerradura-seguridad-puerta-exterior/p/MLA22736477?pdp_filters=seller_id:231944987#position=1&amp;search_layout=grid&amp;type=item&amp;tracking_id=2c1ce423-9e28-4800-ad26-b46d0df1282d</t>
  </si>
  <si>
    <t>https://www.easy.com.ar/numero-4-acero-inoxidable-2mm-1338306/p</t>
  </si>
  <si>
    <t>Easy WEB</t>
  </si>
  <si>
    <t>Herrajes Veiga WEB</t>
  </si>
  <si>
    <t xml:space="preserve">Señalética - Numeros y letras de acero inox. 2 mm </t>
  </si>
  <si>
    <t>Portero eléctrico Commax 30 Pulsadores c/ 29 porteros completos</t>
  </si>
  <si>
    <t>Purificador color blanco, DOM3060B</t>
  </si>
  <si>
    <t>Extractor de aire Hydra Vf100 10 cm color blanco</t>
  </si>
  <si>
    <t>https://articulo.mercadolibre.com.ar/MLA-607550702-portero-electrico-commax-30-pulsadores-29-porteros-completo-_JM?matt_tool=92724942&amp;matt_word=&amp;matt_source=google&amp;matt_campaign_id=14508409196&amp;matt_ad_group_id=162589498932&amp;matt_match_type=&amp;matt_network=g&amp;matt_device=c&amp;matt_creative=686475006469&amp;matt_keyword=&amp;matt_ad_position=&amp;matt_ad_type=pla&amp;matt_merchant_id=114368600&amp;matt_product_id=MLA607550702&amp;matt_product_partition_id=2267523913386&amp;matt_target_id=aud-1930507555360:pla-2267523913386&amp;cq_src=google_ads&amp;cq_cmp=14508409196&amp;cq_net=g&amp;cq_plt=gp&amp;cq_med=pla&amp;gad_source=1&amp;gclid=CjwKCAjwlbu2BhA3EiwA3yXyuxNaDfL96VON04gJCW-Mi7QeiJutyXHL5bPpa9p757nRPuboEpaTWBoCI90QAvD_BwE</t>
  </si>
  <si>
    <t>ARTEFACTOS ELECTRICOS COCINA E ILUMINACIÓN</t>
  </si>
  <si>
    <t>Luz de emergencia Led Sica 60 Leds Litio </t>
  </si>
  <si>
    <t>https://articulo.mercadolibre.com.ar/MLA-1421747685-luz-de-emergencia-led-sica-60-leds-litio-971141-_JM?matt_tool=50340547&amp;matt_word=&amp;matt_source=google&amp;matt_campaign_id=19555638887&amp;matt_ad_group_id=144564370505&amp;matt_match_type=&amp;matt_network=g&amp;matt_device=c&amp;matt_creative=644635883413&amp;matt_keyword=&amp;matt_ad_position=&amp;matt_ad_type=pla&amp;matt_merchant_id=317399249&amp;matt_product_id=MLA1421747685&amp;matt_product_partition_id=2267186031042&amp;matt_target_id=aud-1930507555360:pla-2267186031042&amp;cq_src=google_ads&amp;cq_cmp=19555638887&amp;cq_net=g&amp;cq_plt=gp&amp;cq_med=pla&amp;gad_source=1&amp;gclid=CjwKCAjwlbu2BhA3EiwA3yXyu-636p3OT1libAh0i_S60REErQtUP3o9M-G6JuuiZOxyoJbdXx9q2xoCe8EQAvD_BwE</t>
  </si>
  <si>
    <t>https://www.mercadolibre.com.ar/plafon-led-18w-candil-circular-aplicar-negro-luz-calida-3000k/p/MLA21805046#polycard_client=search-nordic&amp;wid=MLA1895940506&amp;sid=search&amp;searchVariation=MLA21805046&amp;position=27&amp;search_layout=grid&amp;type=product&amp;tracking_id=0417dcf8-99a6-4bb8-a3d6-55b4925479a3</t>
  </si>
  <si>
    <t xml:space="preserve">Panel led 18w circular de aplicar </t>
  </si>
  <si>
    <t>Panel led 18w circular embutir redondo</t>
  </si>
  <si>
    <t>Aplique luz para frente exterior unidireccional color negro c/zocalo Gu10</t>
  </si>
  <si>
    <t xml:space="preserve">https://articulo.mercadolibre.com.ar/MLA-1447829534-aplique-luz-para-frente-exterior-unidireccional-negro-gu10-_JM#polycard_client=search-nordic&amp;position=29&amp;search_layout=grid&amp;type=item&amp;tracking_id=52e8b524-4ac4-45fb-ba73-faf3ae1f1412 </t>
  </si>
  <si>
    <t>Lampara Led 6 w</t>
  </si>
  <si>
    <t>https://articulo.mercadolibre.com.ar/MLA-636550993-lampara-led-6w-gu10-lcalida-sicazocalo-x12u-electro-oeste-_JM#polycard_client=search-nordic&amp;position=33&amp;search_layout=grid&amp;type=item&amp;tracking_id=4b703957-3360-437a-a286-84d6e650f86c</t>
  </si>
  <si>
    <t>HERRAJES/SEÑALETICA</t>
  </si>
  <si>
    <r>
      <t xml:space="preserve">Interruptor unipolar simple blanco marca Kalop </t>
    </r>
    <r>
      <rPr>
        <i/>
        <sz val="10"/>
        <color rgb="FFFF0000"/>
        <rFont val="Calibri"/>
        <family val="2"/>
        <scheme val="minor"/>
      </rPr>
      <t xml:space="preserve">- Completo, bastidor + tapa + interruptor + tapon </t>
    </r>
  </si>
  <si>
    <r>
      <t>Toma doble blanco 10 A marca Kalop</t>
    </r>
    <r>
      <rPr>
        <i/>
        <sz val="10"/>
        <color rgb="FFFF0000"/>
        <rFont val="Calibri"/>
        <family val="2"/>
        <scheme val="minor"/>
      </rPr>
      <t xml:space="preserve"> - Completo, bastidor + tapa + tomacorriente</t>
    </r>
  </si>
  <si>
    <r>
      <t xml:space="preserve">Toma blanco 10A marca Kalop </t>
    </r>
    <r>
      <rPr>
        <i/>
        <sz val="10"/>
        <color rgb="FFFF0000"/>
        <rFont val="Calibri"/>
        <family val="2"/>
        <scheme val="minor"/>
      </rPr>
      <t>- Completo, bastidor + tapa + tomacorriente + tapon</t>
    </r>
  </si>
  <si>
    <r>
      <t xml:space="preserve">Toma blanco 20A marca Kalop </t>
    </r>
    <r>
      <rPr>
        <i/>
        <sz val="10"/>
        <color rgb="FFFF0000"/>
        <rFont val="Calibri"/>
        <family val="2"/>
        <scheme val="minor"/>
      </rPr>
      <t>- Completo, bastidor + tapa + tomacorriente + tapon</t>
    </r>
  </si>
  <si>
    <r>
      <t xml:space="preserve">Toma para TV ciego marca Kalop </t>
    </r>
    <r>
      <rPr>
        <i/>
        <sz val="10"/>
        <color rgb="FFFF0000"/>
        <rFont val="Calibri"/>
        <family val="2"/>
        <scheme val="minor"/>
      </rPr>
      <t>- Completo, bastidor + tapa + tapones</t>
    </r>
  </si>
  <si>
    <t>https://herrafecom.mercadoshops.com.ar/MLA-827793984-manijon-cuadrado-puerta-doble-apolo-simil-forum-inox-600-d10-_JM#position%3D7%26search_layout%3Dstack%26type%3Ditem%26tracking_id%3D4f5f0db9-b941-4d5d-984c-9dc0dcb3107f</t>
  </si>
  <si>
    <t>Herrafe S.A. WEB</t>
  </si>
  <si>
    <t>Manijon cuadrado puerta doble Apolo Simil Forum A°I°, largo 600 mm</t>
  </si>
  <si>
    <t>https://surefsuministros.mercadoshops.com.ar/MLA-1315412695-rejilla-de-ventilacion-60x25-fija-retorno-extraccion-_JM?gad_source=1&amp;gclid=CjwKCAjwuMC2BhA7EiwAmJKRrBsF7v-jNZTqJpTBzXJ5xCG9oqcQTWkgAttZaEZuAUMNY4ZB49ecMBoCDdgQAvD_BwE</t>
  </si>
  <si>
    <t>SUREF WEB</t>
  </si>
  <si>
    <t xml:space="preserve">Forzador de aire 720 m3/h - Sala de maquinas de Asc. </t>
  </si>
  <si>
    <t>Rejilla de ventilación fija 60 x 25 cm - Sala de maquinas de Asc.</t>
  </si>
  <si>
    <t>https://www.climatecnica.com/forzador-de-aire-galaxia-serie-fs.72.477.html?srsltid=AfmBOoryxth9SwwxLj2AQttxVSWHrXEIwj3NaKPSBTM43SyGmw8M9lI3</t>
  </si>
  <si>
    <t>CLIMA TECNICA WEB</t>
  </si>
  <si>
    <t>Distribución agua fria y caliente en planta tipo</t>
  </si>
  <si>
    <t>Montantes, remate y ventilación a los 4 vientos</t>
  </si>
  <si>
    <t>Vera</t>
  </si>
  <si>
    <t>Act</t>
  </si>
  <si>
    <t>Incidencia</t>
  </si>
  <si>
    <t>Cloaca</t>
  </si>
  <si>
    <t>Pluvial + SPLIT</t>
  </si>
  <si>
    <t>Incendio</t>
  </si>
  <si>
    <t>Zumbador Ext. 10 x 10 cm</t>
  </si>
  <si>
    <t>Detector movimiento C/base Bco. 1200W 180º</t>
  </si>
  <si>
    <t>ESP</t>
  </si>
  <si>
    <t>Semana</t>
  </si>
  <si>
    <t>cargas</t>
  </si>
  <si>
    <t>OBRA: EDIFICIO EL SALVADOR 4140</t>
  </si>
  <si>
    <t>Techo escalera y sobrerecorrido</t>
  </si>
  <si>
    <t>MADERERA NEWTON</t>
  </si>
  <si>
    <t>NEWTON</t>
  </si>
  <si>
    <t>SS</t>
  </si>
  <si>
    <t>Patios</t>
  </si>
  <si>
    <t>%</t>
  </si>
  <si>
    <t>Balcones y semicubiertos</t>
  </si>
  <si>
    <t>P 1º</t>
  </si>
  <si>
    <t>P 2° a 3°</t>
  </si>
  <si>
    <t>P 4º</t>
  </si>
  <si>
    <t>Colocación</t>
  </si>
  <si>
    <t>Mampostería</t>
  </si>
  <si>
    <t xml:space="preserve">Mochila plastico </t>
  </si>
  <si>
    <t>NUQLEA</t>
  </si>
  <si>
    <t>Subtotal obra</t>
  </si>
  <si>
    <t>Sistema de depresión de napas</t>
  </si>
  <si>
    <t>DEPRESION DE NAPAS</t>
  </si>
  <si>
    <t>Claudio Pizzutto</t>
  </si>
  <si>
    <t>Perforación completa</t>
  </si>
  <si>
    <t>Total de Obra (3 perforaciones)</t>
  </si>
  <si>
    <t>Excavación a maquina para submuración y subsuelo</t>
  </si>
  <si>
    <t>Subcontrato + 10%  - Celsi VIAL</t>
  </si>
  <si>
    <t>Tabique de submuración</t>
  </si>
  <si>
    <t>H13 6.20</t>
  </si>
  <si>
    <t>CORIFERSA</t>
  </si>
  <si>
    <t>TODO PROYECT WEB</t>
  </si>
  <si>
    <t>Vigas de H° visto - H30 (140 kg/m3 de hierro)</t>
  </si>
  <si>
    <t>Inodoro</t>
  </si>
  <si>
    <t xml:space="preserve">Mat. Elect. (tomas, enchufes, etc.) </t>
  </si>
  <si>
    <t>Obrador colgante, pañol y ducha</t>
  </si>
  <si>
    <t xml:space="preserve">Flechas 3 x 6 x 3,7 - Reutilizado (estimado 3 usos) </t>
  </si>
  <si>
    <t>Galeria</t>
  </si>
  <si>
    <t xml:space="preserve">Escalera </t>
  </si>
  <si>
    <t>SV4140_Computo Hormigon_Rev01</t>
  </si>
  <si>
    <t>RAMPA</t>
  </si>
  <si>
    <t>Zapata corrida tabique</t>
  </si>
  <si>
    <t>Vigas balcon</t>
  </si>
  <si>
    <t xml:space="preserve">s/ss  </t>
  </si>
  <si>
    <t>s/Esc</t>
  </si>
  <si>
    <t>s/rec</t>
  </si>
  <si>
    <t>s/techos</t>
  </si>
  <si>
    <t>Tabique de tanques</t>
  </si>
  <si>
    <t>FUNDACIONES tabiques</t>
  </si>
  <si>
    <t>PLATEA</t>
  </si>
  <si>
    <t>S/SS</t>
  </si>
  <si>
    <t>H° Limpieza</t>
  </si>
  <si>
    <t>PISO SM</t>
  </si>
  <si>
    <t>TECHO SM</t>
  </si>
  <si>
    <t xml:space="preserve">H° Hidrófugo </t>
  </si>
  <si>
    <t>Ø 10</t>
  </si>
  <si>
    <t>Tabique submuración - H30 (95 kg/m3 de hierro)</t>
  </si>
  <si>
    <t>Zapata corrida tabique - H30 (120 kg/m3)</t>
  </si>
  <si>
    <t>Vigas H° visto - H30 (130 kg/m3 de hierro)</t>
  </si>
  <si>
    <t>Losa maciza - H30 (120 kg/m3 de hierro)</t>
  </si>
  <si>
    <t>Platea - H30 (95 kg/m3 de hierro)</t>
  </si>
  <si>
    <t>Losa maciza visto - H30 (120 kg/m3 de hierro)</t>
  </si>
  <si>
    <t>Vigas - H30 (130 kg/m3 de hierro)</t>
  </si>
  <si>
    <t>Tabique - H30 (140 kg/m3 de hierro)</t>
  </si>
  <si>
    <t>Tabique visto - H30 (140 kg/m3 de hierro)</t>
  </si>
  <si>
    <t>Columna - H30 (190 kg/m3 de hierro)</t>
  </si>
  <si>
    <t>Columna vista - H30 (190 kg/m3 de hierro)</t>
  </si>
  <si>
    <t>Pozo de achique pluvial - exterior a exterior</t>
  </si>
  <si>
    <t>Pozo de achique cloacal - exterior a exterior</t>
  </si>
  <si>
    <t>Manual</t>
  </si>
  <si>
    <t>VF FRENTE</t>
  </si>
  <si>
    <t>VF MED DER.</t>
  </si>
  <si>
    <t>VF MED IZQ</t>
  </si>
  <si>
    <t>VF FONDO</t>
  </si>
  <si>
    <t>LS 70</t>
  </si>
  <si>
    <t>LS 40</t>
  </si>
  <si>
    <t>LS 60</t>
  </si>
  <si>
    <t>BREC</t>
  </si>
  <si>
    <t>LS 80</t>
  </si>
  <si>
    <t>Losa Supresión (de atrás hacia adelante)</t>
  </si>
  <si>
    <t>EXCAVACIÓN</t>
  </si>
  <si>
    <t>Excavación manual para pozo de achique y bombeo</t>
  </si>
  <si>
    <t>Sup sub</t>
  </si>
  <si>
    <t>Tabique submuración - H30 hidrófugo (95 kg/m3 de hierro)</t>
  </si>
  <si>
    <t>Zapata corrida tabique - H30 hidrófugo (120 kg/m3)</t>
  </si>
  <si>
    <t>Platea - H30 hidrófugo (95 kg/m3 de hierro)</t>
  </si>
  <si>
    <t>Rampa - H30 (120 kg/m3 de hierro)</t>
  </si>
  <si>
    <t>Tabiques tanques de H° - H30 (120 kg/m3 de hierro)</t>
  </si>
  <si>
    <t>JUNTAS PVC HORMIGON</t>
  </si>
  <si>
    <t>Sika Waterbars V15 x 15 mts</t>
  </si>
  <si>
    <t>SIKA MAIPU</t>
  </si>
  <si>
    <t>Sika Waterbars V20 x 15 mts</t>
  </si>
  <si>
    <t xml:space="preserve">m3 x etapa </t>
  </si>
  <si>
    <t>Camiones x etapa</t>
  </si>
  <si>
    <t xml:space="preserve">Meses H° </t>
  </si>
  <si>
    <t>Estacionamiento en contramano</t>
  </si>
  <si>
    <t>Permiso de estacionamiento de bomba de hormigón a contramano</t>
  </si>
  <si>
    <t>Probetas x camion</t>
  </si>
  <si>
    <t>Cant. Probetas</t>
  </si>
  <si>
    <t>$ x probeta</t>
  </si>
  <si>
    <t>INTI</t>
  </si>
  <si>
    <t xml:space="preserve">Ensayo probeta 15 x 30  x un </t>
  </si>
  <si>
    <t>Etapas</t>
  </si>
  <si>
    <t>$ x etapa</t>
  </si>
  <si>
    <t>EL SALVADOR 4140</t>
  </si>
  <si>
    <t>Reapuntalamiento</t>
  </si>
  <si>
    <t>Retiro</t>
  </si>
  <si>
    <t>Superficie planta s/ss</t>
  </si>
  <si>
    <t>Superficie planta s/5° - Terrazas</t>
  </si>
  <si>
    <t>Techo SM</t>
  </si>
  <si>
    <t xml:space="preserve"> s/ss</t>
  </si>
  <si>
    <t>s/pb</t>
  </si>
  <si>
    <t>s/1°</t>
  </si>
  <si>
    <t>s/2°</t>
  </si>
  <si>
    <t>s/3°</t>
  </si>
  <si>
    <t>s/4°</t>
  </si>
  <si>
    <t xml:space="preserve"> s/5° - Terrazas</t>
  </si>
  <si>
    <t>SEPTIEMBRE</t>
  </si>
  <si>
    <t>Impermeabilización de subsuelo</t>
  </si>
  <si>
    <t>LH 8</t>
  </si>
  <si>
    <t>LHP 12</t>
  </si>
  <si>
    <t>LH 12</t>
  </si>
  <si>
    <t>H° PORTANTE</t>
  </si>
  <si>
    <t>Med exist</t>
  </si>
  <si>
    <t xml:space="preserve">Nº </t>
  </si>
  <si>
    <t xml:space="preserve">Descripción </t>
  </si>
  <si>
    <t xml:space="preserve">Tipo </t>
  </si>
  <si>
    <t>cant.</t>
  </si>
  <si>
    <t>D</t>
  </si>
  <si>
    <t>Bauleras</t>
  </si>
  <si>
    <t>Camara transf.</t>
  </si>
  <si>
    <t>M5</t>
  </si>
  <si>
    <t>Auxiliar</t>
  </si>
  <si>
    <t>M6</t>
  </si>
  <si>
    <t>M7</t>
  </si>
  <si>
    <t>Rampa/Aux.</t>
  </si>
  <si>
    <t>M8</t>
  </si>
  <si>
    <t>Bauleras / Rampa</t>
  </si>
  <si>
    <t>M9</t>
  </si>
  <si>
    <t>Divisor bauleras</t>
  </si>
  <si>
    <t>M9a</t>
  </si>
  <si>
    <t>Divisor bauleras intermedias</t>
  </si>
  <si>
    <t>M10</t>
  </si>
  <si>
    <t>Baños/Baulera</t>
  </si>
  <si>
    <t>M10a</t>
  </si>
  <si>
    <t>Baños/moto</t>
  </si>
  <si>
    <t>M11</t>
  </si>
  <si>
    <t>Baños/Rampa</t>
  </si>
  <si>
    <t>M12</t>
  </si>
  <si>
    <t>Motos/Rampa</t>
  </si>
  <si>
    <t>M13</t>
  </si>
  <si>
    <t>Hueco escalera</t>
  </si>
  <si>
    <t>Frente ascensor</t>
  </si>
  <si>
    <t xml:space="preserve">Cierre curvo </t>
  </si>
  <si>
    <t>fachada</t>
  </si>
  <si>
    <t>local comercial</t>
  </si>
  <si>
    <t>baño local comercial</t>
  </si>
  <si>
    <t>Dto PB</t>
  </si>
  <si>
    <t>M14</t>
  </si>
  <si>
    <t>M15</t>
  </si>
  <si>
    <t>M16</t>
  </si>
  <si>
    <t>M17</t>
  </si>
  <si>
    <t>M18</t>
  </si>
  <si>
    <t>dto cocina</t>
  </si>
  <si>
    <t>M-032</t>
  </si>
  <si>
    <t>pleno hall</t>
  </si>
  <si>
    <t>M-033</t>
  </si>
  <si>
    <t>M-034</t>
  </si>
  <si>
    <t>entrada dto PB</t>
  </si>
  <si>
    <t>M-035</t>
  </si>
  <si>
    <t>pleno cocina dto PB</t>
  </si>
  <si>
    <t>M-036</t>
  </si>
  <si>
    <t>M-037</t>
  </si>
  <si>
    <t>cocina PB</t>
  </si>
  <si>
    <t>M-038</t>
  </si>
  <si>
    <t>Pasillo PB</t>
  </si>
  <si>
    <t>M-039</t>
  </si>
  <si>
    <t>M-040</t>
  </si>
  <si>
    <t>M-041</t>
  </si>
  <si>
    <t xml:space="preserve"> Toillete </t>
  </si>
  <si>
    <t>M-042</t>
  </si>
  <si>
    <t>M-043</t>
  </si>
  <si>
    <t>P-001</t>
  </si>
  <si>
    <t>Baño PB</t>
  </si>
  <si>
    <t>P-002</t>
  </si>
  <si>
    <t>P-003</t>
  </si>
  <si>
    <t>P-004</t>
  </si>
  <si>
    <t>Paso a dormitorios</t>
  </si>
  <si>
    <t>P-005</t>
  </si>
  <si>
    <t>P-006</t>
  </si>
  <si>
    <t>Dormitorio 1</t>
  </si>
  <si>
    <t>Dorm. Principal</t>
  </si>
  <si>
    <t>Pleno Dorm. Principal</t>
  </si>
  <si>
    <t>1º a 3º Piso</t>
  </si>
  <si>
    <t>Monoambiente A</t>
  </si>
  <si>
    <t xml:space="preserve">3 ambientes A </t>
  </si>
  <si>
    <t>3 ambientes B</t>
  </si>
  <si>
    <t>M14a</t>
  </si>
  <si>
    <t>Monoambiente B</t>
  </si>
  <si>
    <t>M19</t>
  </si>
  <si>
    <t>M20</t>
  </si>
  <si>
    <t>M21</t>
  </si>
  <si>
    <t>Pleno monoambiente</t>
  </si>
  <si>
    <t>Baño monoambiente</t>
  </si>
  <si>
    <t>Pleno baño monoambiente</t>
  </si>
  <si>
    <t>Parrilla</t>
  </si>
  <si>
    <t>Toillette 3 ambientes</t>
  </si>
  <si>
    <t>Dorm 3 ambientes</t>
  </si>
  <si>
    <t>Baño 3 ambientes</t>
  </si>
  <si>
    <t>Dorm Principal 3 ambientes</t>
  </si>
  <si>
    <t>4º Piso</t>
  </si>
  <si>
    <t>M1a</t>
  </si>
  <si>
    <t>M1b</t>
  </si>
  <si>
    <t>M8a</t>
  </si>
  <si>
    <t>M8b</t>
  </si>
  <si>
    <t>4 ambientes</t>
  </si>
  <si>
    <t>3 ambientes</t>
  </si>
  <si>
    <t>Monoambiente</t>
  </si>
  <si>
    <t>M-629</t>
  </si>
  <si>
    <t>M-630</t>
  </si>
  <si>
    <t>M-631</t>
  </si>
  <si>
    <t>M-632</t>
  </si>
  <si>
    <t>M-633</t>
  </si>
  <si>
    <t>M-634</t>
  </si>
  <si>
    <t>M-635</t>
  </si>
  <si>
    <t>M-636</t>
  </si>
  <si>
    <t>M-637</t>
  </si>
  <si>
    <t>parrilla</t>
  </si>
  <si>
    <t>M-638</t>
  </si>
  <si>
    <t>M-639</t>
  </si>
  <si>
    <t>M-640</t>
  </si>
  <si>
    <t>M-641</t>
  </si>
  <si>
    <t>M-642</t>
  </si>
  <si>
    <t>M-643</t>
  </si>
  <si>
    <t>M-644</t>
  </si>
  <si>
    <t>M-645</t>
  </si>
  <si>
    <t>M-646</t>
  </si>
  <si>
    <t>P-601</t>
  </si>
  <si>
    <t>P-602</t>
  </si>
  <si>
    <t>Cocina 3 ambientes c/ terraza</t>
  </si>
  <si>
    <t>P-603</t>
  </si>
  <si>
    <t>living 3 ambientes c/ terraza</t>
  </si>
  <si>
    <t>P-604</t>
  </si>
  <si>
    <t>P-605</t>
  </si>
  <si>
    <t>Paso 3 ambientes c/ terraza</t>
  </si>
  <si>
    <t>P-606</t>
  </si>
  <si>
    <t>Paso pleno 3 ambientes c/ terraza</t>
  </si>
  <si>
    <t>P-607</t>
  </si>
  <si>
    <t>dorm 3 ambientes c/ terraza</t>
  </si>
  <si>
    <t>dorm principal 3 ambientes c/ terraza</t>
  </si>
  <si>
    <t>M-701</t>
  </si>
  <si>
    <t>M-702</t>
  </si>
  <si>
    <t>M-703</t>
  </si>
  <si>
    <t>M-704</t>
  </si>
  <si>
    <t>M-705</t>
  </si>
  <si>
    <t>Puerta</t>
  </si>
  <si>
    <t>Parapeto</t>
  </si>
  <si>
    <t>Divisor terrazas</t>
  </si>
  <si>
    <t>Cierre pleno escalera independiente</t>
  </si>
  <si>
    <t>Baranda escalera independiente</t>
  </si>
  <si>
    <t>Cierres fachada frente / contrafrente</t>
  </si>
  <si>
    <t>Muros bajo baranda</t>
  </si>
  <si>
    <t>Muros bajo TERRAZA VERDE</t>
  </si>
  <si>
    <t>Cierre escalera extr</t>
  </si>
  <si>
    <t>Cierre escalera pasillo</t>
  </si>
  <si>
    <t>Pleno escalera</t>
  </si>
  <si>
    <t xml:space="preserve">Pleno </t>
  </si>
  <si>
    <t>Pleno terraza fondo largo</t>
  </si>
  <si>
    <t>Acceso</t>
  </si>
  <si>
    <t>Cierre</t>
  </si>
  <si>
    <t xml:space="preserve">Lateral </t>
  </si>
  <si>
    <t>Pleno ventilacion int</t>
  </si>
  <si>
    <t>Pleno ventilacion sector tanque</t>
  </si>
  <si>
    <t xml:space="preserve">Bloque de H° con masillado de hormigon </t>
  </si>
  <si>
    <t>Pozo de bombeo pluvial y cloacal</t>
  </si>
  <si>
    <r>
      <t>Junta de impermeabilización de PVC -</t>
    </r>
    <r>
      <rPr>
        <i/>
        <sz val="10"/>
        <color rgb="FFFF0000"/>
        <rFont val="Calibri"/>
        <family val="2"/>
        <scheme val="minor"/>
      </rPr>
      <t xml:space="preserve"> Sika Waterbars v15 x 15mts o similar</t>
    </r>
  </si>
  <si>
    <t>Syh permanente</t>
  </si>
  <si>
    <t>Tecnico de seguridad &amp; higiene permanente en Obra</t>
  </si>
  <si>
    <t xml:space="preserve">Balcones 1° a 4° </t>
  </si>
  <si>
    <t>Piso 5°</t>
  </si>
  <si>
    <t>SUBSUELO</t>
  </si>
  <si>
    <t xml:space="preserve">Rampa </t>
  </si>
  <si>
    <t>Ventanas</t>
  </si>
  <si>
    <t>R5</t>
  </si>
  <si>
    <t>PI3</t>
  </si>
  <si>
    <t>PI4</t>
  </si>
  <si>
    <t>Contrapiso c/ pend. s/azotea</t>
  </si>
  <si>
    <t>Contrapiso s/ Platea</t>
  </si>
  <si>
    <t>Revoque Grueso y Fino a la cal</t>
  </si>
  <si>
    <t>Membrana geotextil - Balcones y azotea</t>
  </si>
  <si>
    <t>Suspendido placa STD</t>
  </si>
  <si>
    <t>Suspendido placa RH</t>
  </si>
  <si>
    <t xml:space="preserve">Buña "Z" Durlock </t>
  </si>
  <si>
    <t xml:space="preserve">Puerta de chapa F60 para gabinetes de medidores de gas y luz </t>
  </si>
  <si>
    <t>Frente de Baulera</t>
  </si>
  <si>
    <t>Frentes de Placard</t>
  </si>
  <si>
    <t>Ventana de aluminio anodizado 2,60m</t>
  </si>
  <si>
    <t xml:space="preserve">Ventana de aluminio anodizado 2m </t>
  </si>
  <si>
    <t xml:space="preserve">Ventana de aluminio anodizado 2,80m </t>
  </si>
  <si>
    <t xml:space="preserve">Ventana de aluminio anodizado 2,10m </t>
  </si>
  <si>
    <t xml:space="preserve">Ventana de aluminio anodizado 2,50m </t>
  </si>
  <si>
    <t xml:space="preserve">Ventana de aluminio anodizado 1,40m </t>
  </si>
  <si>
    <t xml:space="preserve">Ventana de aluminio anodizado 0,50m </t>
  </si>
  <si>
    <t xml:space="preserve">Ventana de aluminio anodizado 0,60m </t>
  </si>
  <si>
    <t xml:space="preserve">Ventana de aluminio anodizado 2,85m </t>
  </si>
  <si>
    <t xml:space="preserve">Ventana de aluminio anodizado 2,25m </t>
  </si>
  <si>
    <t>Pavimento</t>
  </si>
  <si>
    <t>Travertino</t>
  </si>
  <si>
    <t>Alisado de cemento rodillado</t>
  </si>
  <si>
    <t>Baldosones</t>
  </si>
  <si>
    <t xml:space="preserve">Madera </t>
  </si>
  <si>
    <t xml:space="preserve">Zocalo de material h: 10 cm </t>
  </si>
  <si>
    <t xml:space="preserve">Toma  de  emergencia </t>
  </si>
  <si>
    <t>Boca cctv</t>
  </si>
  <si>
    <t>Tablero TSBT</t>
  </si>
  <si>
    <t>Termostato</t>
  </si>
  <si>
    <t>Indoro Roca monaco</t>
  </si>
  <si>
    <t>Bidet Roca monaco</t>
  </si>
  <si>
    <t>Bacha de apoyar roca</t>
  </si>
  <si>
    <t>Pileta de cocina</t>
  </si>
  <si>
    <t xml:space="preserve">Accesorios de Baño FV alerce o similar </t>
  </si>
  <si>
    <t xml:space="preserve">Griferia de lavarotio FV alerce o similar </t>
  </si>
  <si>
    <t xml:space="preserve">Griferia de bidet 3 agujeros con tapita FV alerce o similar </t>
  </si>
  <si>
    <t xml:space="preserve">Griferia de ducha FV alerce o similar </t>
  </si>
  <si>
    <t xml:space="preserve">Griferia de cocina FV alerce o similar </t>
  </si>
  <si>
    <t>Subsuelo</t>
  </si>
  <si>
    <t>Cocheras</t>
  </si>
  <si>
    <t>Pallier</t>
  </si>
  <si>
    <t>Pasillo Baulera</t>
  </si>
  <si>
    <t>Baulera 1</t>
  </si>
  <si>
    <t>Baulera 2</t>
  </si>
  <si>
    <t>Baulera 3</t>
  </si>
  <si>
    <t>Baulera 4</t>
  </si>
  <si>
    <t>Baulera 5</t>
  </si>
  <si>
    <t>Baulera 6</t>
  </si>
  <si>
    <t>Baulera 7</t>
  </si>
  <si>
    <t>Baulera 8</t>
  </si>
  <si>
    <t>Baulera 9</t>
  </si>
  <si>
    <t>Baulera 10</t>
  </si>
  <si>
    <t>Camara Transformadora</t>
  </si>
  <si>
    <t>Entrada</t>
  </si>
  <si>
    <t>Hall ingreso</t>
  </si>
  <si>
    <t>Local Comercial</t>
  </si>
  <si>
    <t>Baño Comercial</t>
  </si>
  <si>
    <t>Hall Dto. PB</t>
  </si>
  <si>
    <t>Cocina Dto. PB</t>
  </si>
  <si>
    <t>Lavadero Dto. PB</t>
  </si>
  <si>
    <t>living  Dto. PB</t>
  </si>
  <si>
    <t>Toillette  Dto. PB</t>
  </si>
  <si>
    <t>Paso Dorm Dto. PB</t>
  </si>
  <si>
    <t>Placard Paso Dorm Dto. PB</t>
  </si>
  <si>
    <t>Dorm 1 Dto. PB</t>
  </si>
  <si>
    <t>Placard Dorm 1 Dto. PB</t>
  </si>
  <si>
    <t>Balcon  Dto. PB</t>
  </si>
  <si>
    <t>Baño  Dto. PB</t>
  </si>
  <si>
    <t>Dorm 2 Dto. PB</t>
  </si>
  <si>
    <t>Placard Dorm 2 Dto. PB</t>
  </si>
  <si>
    <t>Dorm Principal Dto. PB</t>
  </si>
  <si>
    <t>Placard Dorm Principal Dto. PB</t>
  </si>
  <si>
    <t>Paso Dorm Principal Dto. PB</t>
  </si>
  <si>
    <t>Baño Dorm Principal Dto. PB</t>
  </si>
  <si>
    <t>P 1  a P3</t>
  </si>
  <si>
    <t xml:space="preserve"> Hall 1amb A</t>
  </si>
  <si>
    <t>Placard Hall 1amb A</t>
  </si>
  <si>
    <t xml:space="preserve"> Baño 1amb A</t>
  </si>
  <si>
    <t xml:space="preserve"> Cocina 1amb A</t>
  </si>
  <si>
    <t xml:space="preserve"> Living 1amb A</t>
  </si>
  <si>
    <t xml:space="preserve"> Balcon 1amb A</t>
  </si>
  <si>
    <t xml:space="preserve"> Hall  3amb A</t>
  </si>
  <si>
    <t>Cocina  3amb A</t>
  </si>
  <si>
    <t xml:space="preserve"> Toillette 3amb A</t>
  </si>
  <si>
    <t xml:space="preserve"> Living 3amb A</t>
  </si>
  <si>
    <t xml:space="preserve"> Paso 3amb A</t>
  </si>
  <si>
    <t xml:space="preserve"> Dorm 2 3amb A</t>
  </si>
  <si>
    <t>Placard Dorm 2 3amb A</t>
  </si>
  <si>
    <t>Baño 3amb A</t>
  </si>
  <si>
    <t>Dorm Principal 3amb A</t>
  </si>
  <si>
    <t>Vestuario 3amb A</t>
  </si>
  <si>
    <t>Placard Vest 3amb A</t>
  </si>
  <si>
    <t>Balcon 3amb A</t>
  </si>
  <si>
    <t xml:space="preserve"> Hall 1amb B</t>
  </si>
  <si>
    <t>Placard Hall 1amb B</t>
  </si>
  <si>
    <t xml:space="preserve"> Baño 1amb B</t>
  </si>
  <si>
    <t xml:space="preserve"> Cocina 1amb B</t>
  </si>
  <si>
    <t xml:space="preserve"> Living 1amb B</t>
  </si>
  <si>
    <t xml:space="preserve"> Balcon 1amb B</t>
  </si>
  <si>
    <t xml:space="preserve"> Hall  3amb B</t>
  </si>
  <si>
    <t>Cocina  3amb B</t>
  </si>
  <si>
    <t xml:space="preserve"> Toillette 3amb B</t>
  </si>
  <si>
    <t xml:space="preserve"> Living 3amb B</t>
  </si>
  <si>
    <t xml:space="preserve"> Paso 3amb B</t>
  </si>
  <si>
    <t xml:space="preserve"> Dorm 2 3amb B</t>
  </si>
  <si>
    <t>Placard Dorm 2 3amb B</t>
  </si>
  <si>
    <t>Baño 3amb B</t>
  </si>
  <si>
    <t>Dorm Principal 3amb B</t>
  </si>
  <si>
    <t>Vestuario 3amb B</t>
  </si>
  <si>
    <t>Placard Vest 3amb B</t>
  </si>
  <si>
    <t>Balcon 3amb B</t>
  </si>
  <si>
    <t>P 4</t>
  </si>
  <si>
    <t xml:space="preserve"> Escalera 3amb B</t>
  </si>
  <si>
    <t xml:space="preserve"> Hall  3amb C</t>
  </si>
  <si>
    <t>Cocina  3amb C</t>
  </si>
  <si>
    <t xml:space="preserve"> Living 3amb C</t>
  </si>
  <si>
    <t xml:space="preserve"> Escalera 3amb C</t>
  </si>
  <si>
    <t xml:space="preserve"> Paso 3amb C</t>
  </si>
  <si>
    <t>Placard 1 Paso 3amb C</t>
  </si>
  <si>
    <t>Placard 2 Paso 3amb C</t>
  </si>
  <si>
    <t>Baño 3amb C</t>
  </si>
  <si>
    <t xml:space="preserve"> Dorm 2 3amb C</t>
  </si>
  <si>
    <t>Placard Dorm 2 3amb C</t>
  </si>
  <si>
    <t>Dorm Principal 3amb C</t>
  </si>
  <si>
    <t>Vestuario 3amb C</t>
  </si>
  <si>
    <t>Placard Vest 3amb C</t>
  </si>
  <si>
    <t>Baño Dorm Principal 3amb C</t>
  </si>
  <si>
    <t>Balcon 3amb C</t>
  </si>
  <si>
    <t>Terraza</t>
  </si>
  <si>
    <t>Terraza comun A</t>
  </si>
  <si>
    <t>Terraza comun B</t>
  </si>
  <si>
    <t>Terraza 3amb B</t>
  </si>
  <si>
    <t>Terraza 3amb C</t>
  </si>
  <si>
    <t>Terraza VERDE comun A</t>
  </si>
  <si>
    <t>Terraza VERDE comun B</t>
  </si>
  <si>
    <t>Terraza VERDE  3amb B</t>
  </si>
  <si>
    <t>Terraza VERDE 3amb C</t>
  </si>
  <si>
    <t>Repeticion</t>
  </si>
  <si>
    <t>Porcelanato en UF</t>
  </si>
  <si>
    <t>Porcelanato en espacio comun</t>
  </si>
  <si>
    <t>Vereda</t>
  </si>
  <si>
    <t>Acceso cocheras</t>
  </si>
  <si>
    <t>Rampa</t>
  </si>
  <si>
    <t>Muro tipo 1 (interiores, divisorio de locales) e: 10 cm - Ladrillo hueco 08 x 18 x 33</t>
  </si>
  <si>
    <t xml:space="preserve">Muro tipo 2 y 3 (medianera, caja de escaleras y ascensor) e: 15 cm - Ladrillo hueco portante 12 x 19 x 33 </t>
  </si>
  <si>
    <t>Cordón de hormigón en umbrales carpinterías</t>
  </si>
  <si>
    <t>Muro tipo 4 (divisorio de unidades y fachas) e: 15 cm -  Ladrillo hueco 12 x 18 x 33</t>
  </si>
  <si>
    <r>
      <t xml:space="preserve">Enchape medianeras existentes </t>
    </r>
    <r>
      <rPr>
        <sz val="10"/>
        <color rgb="FFFF0000"/>
        <rFont val="Calibri"/>
        <family val="2"/>
        <scheme val="minor"/>
      </rPr>
      <t>- Contemplamos picado zonas sueltas y enchape con ladrillo comun para PB</t>
    </r>
  </si>
  <si>
    <r>
      <t xml:space="preserve">Azotado hidrofugo - </t>
    </r>
    <r>
      <rPr>
        <i/>
        <sz val="10"/>
        <color rgb="FFFF0000"/>
        <rFont val="Calibri"/>
        <family val="2"/>
        <scheme val="minor"/>
      </rPr>
      <t xml:space="preserve">Contrapiso de vereda </t>
    </r>
  </si>
  <si>
    <t>Porcelanato en baños</t>
  </si>
  <si>
    <t xml:space="preserve">Travertino Hall </t>
  </si>
  <si>
    <t xml:space="preserve">Sustrato </t>
  </si>
  <si>
    <t>Semicubierto/Balcon Dto. PB</t>
  </si>
  <si>
    <t xml:space="preserve">Patio / Jardin </t>
  </si>
  <si>
    <t>Sala de maquina</t>
  </si>
  <si>
    <t>Techo sala de maquinas</t>
  </si>
  <si>
    <t>Contrapiso s/ suelo nat</t>
  </si>
  <si>
    <t>CARPETAS / CONTRAPISOS</t>
  </si>
  <si>
    <t>Contrapiso de cascote s/terreno natural e: 20 cm - Incluye film de polietileno</t>
  </si>
  <si>
    <t>Carpeta sobre membrana</t>
  </si>
  <si>
    <t>Contrapiso de cascotes en azoteas c/pendiente e: 15 cm</t>
  </si>
  <si>
    <t>Contrapiso de cascotes en SS e: 15 cm</t>
  </si>
  <si>
    <r>
      <t xml:space="preserve">Picado de medianeras para columnas y vigas </t>
    </r>
    <r>
      <rPr>
        <i/>
        <sz val="10"/>
        <color rgb="FFFF0000"/>
        <rFont val="Calibri"/>
        <family val="2"/>
        <scheme val="minor"/>
      </rPr>
      <t xml:space="preserve">- Cotizado solo para PB y 1P, </t>
    </r>
    <r>
      <rPr>
        <b/>
        <i/>
        <sz val="10"/>
        <color rgb="FFFF0000"/>
        <rFont val="Calibri"/>
        <family val="2"/>
        <scheme val="minor"/>
      </rPr>
      <t>No</t>
    </r>
    <r>
      <rPr>
        <i/>
        <sz val="10"/>
        <color rgb="FFFF0000"/>
        <rFont val="Calibri"/>
        <family val="2"/>
        <scheme val="minor"/>
      </rPr>
      <t xml:space="preserve"> contempla picado en SS</t>
    </r>
  </si>
  <si>
    <t>C03</t>
  </si>
  <si>
    <t>C05</t>
  </si>
  <si>
    <t>C19</t>
  </si>
  <si>
    <t>C20</t>
  </si>
  <si>
    <t>C21</t>
  </si>
  <si>
    <t>C22</t>
  </si>
  <si>
    <t>C23</t>
  </si>
  <si>
    <t>C24</t>
  </si>
  <si>
    <t>V201</t>
  </si>
  <si>
    <t>V202</t>
  </si>
  <si>
    <t>V203</t>
  </si>
  <si>
    <t>V204</t>
  </si>
  <si>
    <t>V205</t>
  </si>
  <si>
    <t>V206</t>
  </si>
  <si>
    <t>V224</t>
  </si>
  <si>
    <t>V225</t>
  </si>
  <si>
    <t>V226</t>
  </si>
  <si>
    <t>V227</t>
  </si>
  <si>
    <t>V228</t>
  </si>
  <si>
    <t>V301</t>
  </si>
  <si>
    <t>V302</t>
  </si>
  <si>
    <t>V303</t>
  </si>
  <si>
    <t>V304</t>
  </si>
  <si>
    <t>V305</t>
  </si>
  <si>
    <t>V306</t>
  </si>
  <si>
    <t>V323</t>
  </si>
  <si>
    <t>V324</t>
  </si>
  <si>
    <t>V325</t>
  </si>
  <si>
    <t>V326</t>
  </si>
  <si>
    <t>V327</t>
  </si>
  <si>
    <t>Tendido caño cloacal en planta baja y ss</t>
  </si>
  <si>
    <t>Tendido caño pluvial por pisos</t>
  </si>
  <si>
    <t>Instalación tanque de recupero y bombeo pluvial</t>
  </si>
  <si>
    <t>Armado de pozo de bombeo cloacal</t>
  </si>
  <si>
    <t>Tendido caño pluvial en planta baja y ss</t>
  </si>
  <si>
    <t>Colocación de bomba presurizadora, armado de colector y montantes presurizadas (ultimo piso 4°) AF</t>
  </si>
  <si>
    <t>Tendido caño de agua en SS hasta TB. Colocación de TB, armado de colector y cuadro de bombas</t>
  </si>
  <si>
    <t>Punit ACT</t>
  </si>
  <si>
    <t>respecto a VL 572</t>
  </si>
  <si>
    <t>Tramites gas - Prefactibilidad, inspección parcial, final</t>
  </si>
  <si>
    <t>Tablero de UF (monoambiente)</t>
  </si>
  <si>
    <t xml:space="preserve">Boca de CCTV - Cañería c/cable testigo </t>
  </si>
  <si>
    <t xml:space="preserve">Tablero TS Local </t>
  </si>
  <si>
    <t>Certificado DCI para servicios generales</t>
  </si>
  <si>
    <t>Artefacto en espacio comun y balcon</t>
  </si>
  <si>
    <t>Tomas simple</t>
  </si>
  <si>
    <t xml:space="preserve">Pulsador timbre </t>
  </si>
  <si>
    <t>Caja para led</t>
  </si>
  <si>
    <t>Toma doble</t>
  </si>
  <si>
    <t>Extractor</t>
  </si>
  <si>
    <t>Boca ilum</t>
  </si>
  <si>
    <t>Fotocelula</t>
  </si>
  <si>
    <t>Portero elecrico</t>
  </si>
  <si>
    <t>AE1</t>
  </si>
  <si>
    <t>AE2</t>
  </si>
  <si>
    <t>AE3</t>
  </si>
  <si>
    <t>AE4</t>
  </si>
  <si>
    <t>AE5</t>
  </si>
  <si>
    <t>IL11</t>
  </si>
  <si>
    <t>IL12</t>
  </si>
  <si>
    <t>BOCAS</t>
  </si>
  <si>
    <t>ARTEFACTOS ILUM</t>
  </si>
  <si>
    <t>Tablero Seccional ascensor - TS.ASC.</t>
  </si>
  <si>
    <t>Tendido y cableado boca Iluminación - Caja mignon para Led</t>
  </si>
  <si>
    <t>Tablero de UF (2 y 3 ambientes)</t>
  </si>
  <si>
    <r>
      <t xml:space="preserve">Tendido y cableado boca de temostato </t>
    </r>
    <r>
      <rPr>
        <i/>
        <sz val="10"/>
        <color rgb="FFFF0000"/>
        <rFont val="Calibri"/>
        <family val="2"/>
        <scheme val="minor"/>
      </rPr>
      <t>- Sin instalación de termostato</t>
    </r>
  </si>
  <si>
    <r>
      <t xml:space="preserve">Colocación artefactos en espacios comunes y balcones </t>
    </r>
    <r>
      <rPr>
        <i/>
        <sz val="10"/>
        <color rgb="FFFF0000"/>
        <rFont val="Calibri"/>
        <family val="2"/>
        <scheme val="minor"/>
      </rPr>
      <t>- Provisión a cargo del comitente. NO incluye provisión, ni colocación de artefactos en interior de UF</t>
    </r>
  </si>
  <si>
    <r>
      <t xml:space="preserve">Colocación de fotocelula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</si>
  <si>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INSTALACION CALEFACCION</t>
  </si>
  <si>
    <t xml:space="preserve">Preinstalación para AA.CC </t>
  </si>
  <si>
    <t>Tendido de cañerías de mando y retorno para calefacción</t>
  </si>
  <si>
    <r>
      <t xml:space="preserve">Montaje de caldera y puesta en marcha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</si>
  <si>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Tendido de cañerías</t>
  </si>
  <si>
    <t>Montaje de radiadores</t>
  </si>
  <si>
    <t xml:space="preserve">Cotización de peña </t>
  </si>
  <si>
    <t>dólar mep abril</t>
  </si>
  <si>
    <t xml:space="preserve">Incidencia de obra </t>
  </si>
  <si>
    <t>ACT. CAC M.O</t>
  </si>
  <si>
    <t>x caldera</t>
  </si>
  <si>
    <t xml:space="preserve">x UF promedio </t>
  </si>
  <si>
    <r>
      <t xml:space="preserve">Montaje de radiadores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</si>
  <si>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x radiador</t>
  </si>
  <si>
    <t>P.ACT</t>
  </si>
  <si>
    <t xml:space="preserve">1° a 3° </t>
  </si>
  <si>
    <t>4°</t>
  </si>
  <si>
    <t>1A</t>
  </si>
  <si>
    <t>1B</t>
  </si>
  <si>
    <t>1C</t>
  </si>
  <si>
    <t>1D</t>
  </si>
  <si>
    <t>3 X 10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</si>
  <si>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</si>
  <si>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</si>
  <si>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</si>
  <si>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</si>
  <si>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</si>
  <si>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</si>
  <si>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</si>
  <si>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</si>
  <si>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</si>
  <si>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</si>
  <si>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</si>
  <si>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ASC</t>
  </si>
  <si>
    <t>5 X 10</t>
  </si>
  <si>
    <t>Alim</t>
  </si>
  <si>
    <t>5 x 16</t>
  </si>
  <si>
    <t>BOMBAS PB</t>
  </si>
  <si>
    <t>5 x 4</t>
  </si>
  <si>
    <t>Act. Sep 24</t>
  </si>
  <si>
    <t>AA.CC - PREINSTALACIONES</t>
  </si>
  <si>
    <t>Puerta placa F30 de 90cm ancho</t>
  </si>
  <si>
    <t>Puerta placa MDF</t>
  </si>
  <si>
    <t>Puerta de chapa</t>
  </si>
  <si>
    <t>Puerta de chapa F60</t>
  </si>
  <si>
    <r>
      <t xml:space="preserve">Amure de puertas de chapa e ingresos depto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</si>
  <si>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Aislaciòn sobre contrapiso</t>
  </si>
  <si>
    <t>Aislaciòn termica EPS</t>
  </si>
  <si>
    <r>
      <t xml:space="preserve">Colocación de travertino en hall PB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</si>
  <si>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en paliers, terraza y espacios comunes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</si>
  <si>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en UF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</si>
  <si>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en baños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</si>
  <si>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Alquiler de aserradora</t>
  </si>
  <si>
    <t>Alquiler de helicoptero</t>
  </si>
  <si>
    <t>Porcelanato</t>
  </si>
  <si>
    <t>Z4</t>
  </si>
  <si>
    <t>P8</t>
  </si>
  <si>
    <t>sem</t>
  </si>
  <si>
    <t xml:space="preserve">Selladores / etc. </t>
  </si>
  <si>
    <t>M.Obra armado y preparación</t>
  </si>
  <si>
    <t>M.Obra llenado y llaneado</t>
  </si>
  <si>
    <t>M.Obra cortado y tomado de juntas</t>
  </si>
  <si>
    <t>Provisión y ejecución de pavimento e: 18 cm, incluye malla Q188</t>
  </si>
  <si>
    <t>Sikafloor Quartz top</t>
  </si>
  <si>
    <r>
      <t>Revestimiento en baños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</si>
  <si>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t>Hormigon visto / Maquillaje</t>
  </si>
  <si>
    <t>Arista</t>
  </si>
  <si>
    <t>Cajòn durlock</t>
  </si>
  <si>
    <t>C4</t>
  </si>
  <si>
    <t>C5</t>
  </si>
  <si>
    <t>C6</t>
  </si>
  <si>
    <t>C7</t>
  </si>
  <si>
    <t>C8</t>
  </si>
  <si>
    <t>Cajon en junta tomada placa STD</t>
  </si>
  <si>
    <t>Garganta</t>
  </si>
  <si>
    <t xml:space="preserve">Mamposteria cribada de ladrillo visto en balcones </t>
  </si>
  <si>
    <r>
      <t xml:space="preserve">Revestimiento tejuela exterior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</si>
  <si>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Latex interior blanco s/ enduido</t>
  </si>
  <si>
    <t>Latex interior blanco enduido parcial</t>
  </si>
  <si>
    <t>Latex cielorraso blanco s/enduido</t>
  </si>
  <si>
    <t>Latex cielorraso blanco enduido parcial</t>
  </si>
  <si>
    <t>Latex cielorraso blanco enduido completo</t>
  </si>
  <si>
    <t>Revestimiento cocina</t>
  </si>
  <si>
    <t>Revestimiento baño</t>
  </si>
  <si>
    <t>REV</t>
  </si>
  <si>
    <t>kg/m3</t>
  </si>
  <si>
    <t>Total KG</t>
  </si>
  <si>
    <t>Hierro c/ corte y doblado</t>
  </si>
  <si>
    <t>Planta</t>
  </si>
  <si>
    <t>Submuración</t>
  </si>
  <si>
    <t>1° a 4°</t>
  </si>
  <si>
    <t>SS°</t>
  </si>
  <si>
    <t>Mono cocina</t>
  </si>
  <si>
    <t>Mono isla</t>
  </si>
  <si>
    <t>Contrapiso</t>
  </si>
  <si>
    <t xml:space="preserve">3 AMB </t>
  </si>
  <si>
    <t>4 AMB - Bacha</t>
  </si>
  <si>
    <t>4 AMB -  Anafe</t>
  </si>
  <si>
    <t>4 AMB - Isla</t>
  </si>
  <si>
    <t>BANQUINAS COCINA</t>
  </si>
  <si>
    <t xml:space="preserve">Carpeta </t>
  </si>
  <si>
    <t>BOMBAS SS</t>
  </si>
  <si>
    <t>RETIROS</t>
  </si>
  <si>
    <t>PB / PORTON</t>
  </si>
  <si>
    <t>Medidor gas</t>
  </si>
  <si>
    <t>Horizontales pasamanos largo</t>
  </si>
  <si>
    <t>Horizontales pasamanos corto</t>
  </si>
  <si>
    <t xml:space="preserve">Escaleras terraza y gato </t>
  </si>
  <si>
    <r>
      <t>Revestimiento en cocinas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</si>
  <si>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t>MNS 2920</t>
  </si>
  <si>
    <t>EL SALVADOR 4041</t>
  </si>
  <si>
    <t>Bañadera Roca</t>
  </si>
  <si>
    <t>Latex interior blanco enduido completo</t>
  </si>
  <si>
    <t>Baño Suit</t>
  </si>
  <si>
    <t>MONO FRENTE baño</t>
  </si>
  <si>
    <t xml:space="preserve">PLANTA TIPO 1° a 3° </t>
  </si>
  <si>
    <t>MONO C FRENTE baño</t>
  </si>
  <si>
    <t>BaÑO PPAL FRENTE BAÑO</t>
  </si>
  <si>
    <t>BaÑO PPAL CFRENTE BAÑO</t>
  </si>
  <si>
    <t>PLANTA 4°</t>
  </si>
  <si>
    <t xml:space="preserve">3 amb frente baño </t>
  </si>
  <si>
    <t>3 amb frente baño  SUIT</t>
  </si>
  <si>
    <t>Mono CF Baño</t>
  </si>
  <si>
    <t>3 AMB CF Baño</t>
  </si>
  <si>
    <t>Revestimiento plastico tipo Quimtex en exteriores a mas de 3m de altura, incluye medianeras</t>
  </si>
  <si>
    <r>
      <t>Colocación de rejillas de inyección y extracción</t>
    </r>
    <r>
      <rPr>
        <i/>
        <sz val="10"/>
        <color rgb="FFFF0000"/>
        <rFont val="Calibri"/>
        <family val="2"/>
        <scheme val="minor"/>
      </rPr>
      <t xml:space="preserve"> - No aplica s/proyecto</t>
    </r>
  </si>
  <si>
    <r>
      <t xml:space="preserve">Ventilación Baños </t>
    </r>
    <r>
      <rPr>
        <i/>
        <sz val="10"/>
        <color rgb="FFFF0000"/>
        <rFont val="Calibri"/>
        <family val="2"/>
        <scheme val="minor"/>
      </rPr>
      <t xml:space="preserve">- En caño Ø 110 </t>
    </r>
  </si>
  <si>
    <r>
      <t xml:space="preserve">Ventilación Conducto Humos. Incluye toma de aire en PB </t>
    </r>
    <r>
      <rPr>
        <i/>
        <sz val="10"/>
        <color rgb="FFFF0000"/>
        <rFont val="Calibri"/>
        <family val="2"/>
        <scheme val="minor"/>
      </rPr>
      <t>- No aplica s/proyecto</t>
    </r>
  </si>
  <si>
    <r>
      <t xml:space="preserve">Colocación de ladrillos de vidrio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</si>
  <si>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 xml:space="preserve">Vista frontal </t>
  </si>
  <si>
    <t xml:space="preserve">Revestimiento tejuela </t>
  </si>
  <si>
    <t>Medianeras F</t>
  </si>
  <si>
    <t>Vista CF</t>
  </si>
  <si>
    <t>Medianeras CF</t>
  </si>
  <si>
    <t>Ventanas dormi</t>
  </si>
  <si>
    <t>Ventanas baños / lavadero</t>
  </si>
  <si>
    <t xml:space="preserve">Patio interno - Local </t>
  </si>
  <si>
    <t>Patio interno - dormi pb</t>
  </si>
  <si>
    <t>Carga CF</t>
  </si>
  <si>
    <t>Carga Frente</t>
  </si>
  <si>
    <t>LADRILLO CRIBADO</t>
  </si>
  <si>
    <t>Balcones</t>
  </si>
  <si>
    <t>Balco PB</t>
  </si>
  <si>
    <t>Taco quimico Fischer</t>
  </si>
  <si>
    <t>FONDO</t>
  </si>
  <si>
    <t>TAPA</t>
  </si>
  <si>
    <t>M.Obra imper</t>
  </si>
  <si>
    <t>Impermeabilizazión - Sika monotop 107</t>
  </si>
  <si>
    <t>MONOTOP</t>
  </si>
  <si>
    <t xml:space="preserve">Rend. </t>
  </si>
  <si>
    <t>POZO BOMBEO CLOACAL</t>
  </si>
  <si>
    <t>POZO BOMBEO pluvial</t>
  </si>
  <si>
    <t xml:space="preserve">Revoque ext  a + 3,00 mts de h </t>
  </si>
  <si>
    <t>Vista lateral derecha F y CF</t>
  </si>
  <si>
    <t xml:space="preserve">Vista lateral izq. </t>
  </si>
  <si>
    <t>Vista lateral izq. Tanques</t>
  </si>
  <si>
    <t>Medianeras</t>
  </si>
  <si>
    <t>Fachada</t>
  </si>
  <si>
    <t>Balcones 1°, 2° y 3°</t>
  </si>
  <si>
    <t>Balcones 4° + carga</t>
  </si>
  <si>
    <t xml:space="preserve">CF </t>
  </si>
  <si>
    <t xml:space="preserve">Revoque ext  a - 3,00 mts de h </t>
  </si>
  <si>
    <t xml:space="preserve">Hueco Aire luz </t>
  </si>
  <si>
    <t>Dormi fondo / frente</t>
  </si>
  <si>
    <t>TERRAZA</t>
  </si>
  <si>
    <t>SMA</t>
  </si>
  <si>
    <t xml:space="preserve">Medianera izq. </t>
  </si>
  <si>
    <t xml:space="preserve">Mednera derecha + hueco </t>
  </si>
  <si>
    <t xml:space="preserve">Muros terrazas verde </t>
  </si>
  <si>
    <t>PB ACCESO</t>
  </si>
  <si>
    <t>Acceso peatonal</t>
  </si>
  <si>
    <t>Acceso vehicular</t>
  </si>
  <si>
    <t xml:space="preserve">Hueco </t>
  </si>
  <si>
    <t xml:space="preserve">Cantero hueco </t>
  </si>
  <si>
    <t>PB PATIOS</t>
  </si>
  <si>
    <t>RETIRO 4° FRENTE</t>
  </si>
  <si>
    <t>Total revo ext</t>
  </si>
  <si>
    <t>TEJUELA</t>
  </si>
  <si>
    <t>Buñas revoque</t>
  </si>
  <si>
    <t>Vista lateral der.</t>
  </si>
  <si>
    <t>Revoque Grueso Impermeable Exterior proyectable</t>
  </si>
  <si>
    <r>
      <t xml:space="preserve">Revoque Grueso Impermeable Exterior a mas de 3m proyectable </t>
    </r>
    <r>
      <rPr>
        <i/>
        <sz val="10"/>
        <color rgb="FFFF0000"/>
        <rFont val="Calibri"/>
        <family val="2"/>
        <scheme val="minor"/>
      </rPr>
      <t>- Medianero y fachadas</t>
    </r>
  </si>
  <si>
    <t>Total parrillas</t>
  </si>
  <si>
    <t>3m +</t>
  </si>
  <si>
    <t>3m -</t>
  </si>
  <si>
    <t>COMPRA DIRECTA COMITENTE</t>
  </si>
  <si>
    <t>Presupuesto base sep 24</t>
  </si>
  <si>
    <t>H° - inc hidrofugo, bombeo, piedra 6/12</t>
  </si>
  <si>
    <r>
      <t xml:space="preserve">Tanques y bombas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</si>
  <si>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Matafuego ABC x 5 kg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</si>
  <si>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Matafuego CO2 x 3,5 kg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</si>
  <si>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Boca de incencio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</si>
  <si>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Boca de impulsión </t>
    </r>
    <r>
      <rPr>
        <i/>
        <sz val="10"/>
        <color rgb="FFFF0000"/>
        <rFont val="Calibri"/>
        <family val="2"/>
        <scheme val="minor"/>
      </rPr>
      <t>- No cotiza</t>
    </r>
  </si>
  <si>
    <t>Gestión de compras</t>
  </si>
  <si>
    <t>1 ambienta</t>
  </si>
  <si>
    <t>Presupuesto base sep24</t>
  </si>
  <si>
    <t>SUB TOTAL OBRA GRIS (SIN IVA)</t>
  </si>
  <si>
    <t>H Pobre</t>
  </si>
  <si>
    <t>H30 hidrofugo</t>
  </si>
  <si>
    <t>Con Desperdicio</t>
  </si>
  <si>
    <t>De PB y superiores</t>
  </si>
  <si>
    <t>M.O</t>
  </si>
  <si>
    <t>SS/Fund</t>
  </si>
  <si>
    <t>Excavacion</t>
  </si>
  <si>
    <t>H° Limp</t>
  </si>
  <si>
    <t xml:space="preserve">Colocación de artefactos a gas - Anafe/Horno </t>
  </si>
  <si>
    <t>Conducto ventilacion 30 x 30 - FRENTE</t>
  </si>
  <si>
    <t>Conducto ventilacion 30 x 30 prep - FRENTE</t>
  </si>
  <si>
    <t>Sombrero - Spriros</t>
  </si>
  <si>
    <t xml:space="preserve">Provisión y colicación de campanas de parrilla y ventilaciones individuales. Tramo a los 4 vientos en chapa prep. Negra </t>
  </si>
  <si>
    <t>S XXI/XXII BASTIDOR LUJO</t>
  </si>
  <si>
    <t>SXXII TAPA 2 MOD. BLANCA</t>
  </si>
  <si>
    <t>Toma simple</t>
  </si>
  <si>
    <t xml:space="preserve">Punto </t>
  </si>
  <si>
    <t>SXXII MODULO PUNTO</t>
  </si>
  <si>
    <t>SXXI MODULO toma simple</t>
  </si>
  <si>
    <t>Pulsador</t>
  </si>
  <si>
    <t>Caja LED</t>
  </si>
  <si>
    <t>S XXI SOPORTE MIGNON</t>
  </si>
  <si>
    <t>SXXII MODULO PULSADOR</t>
  </si>
  <si>
    <t>SXXII TAPA MIGNON 1 MD.BLANCA</t>
  </si>
  <si>
    <t>Colectores y gabinetes</t>
  </si>
  <si>
    <t>Circuitos</t>
  </si>
  <si>
    <t>Consumo caldera</t>
  </si>
  <si>
    <t>1º - 3 AMB FRENTE</t>
  </si>
  <si>
    <t>1º - MONO FRENTE</t>
  </si>
  <si>
    <t>1º - 1 MONO CF</t>
  </si>
  <si>
    <t>1º - 3 AMB CF</t>
  </si>
  <si>
    <t>2º - MONO FRENTE</t>
  </si>
  <si>
    <t>2º - 3 AMB FRENTE</t>
  </si>
  <si>
    <t>2º - 1 MONO CF</t>
  </si>
  <si>
    <t>2º - 3 AMB CF</t>
  </si>
  <si>
    <t>3º - MONO FRENTE</t>
  </si>
  <si>
    <t>3º - 3 AMB FRENTE</t>
  </si>
  <si>
    <t>3º - 1 MONO CF</t>
  </si>
  <si>
    <t>3º - 3 AMB CF</t>
  </si>
  <si>
    <t>4º - 3 AMB CF</t>
  </si>
  <si>
    <t>4º - 1 MONO CF</t>
  </si>
  <si>
    <t>4º - 3 AMB FRENTE</t>
  </si>
  <si>
    <t xml:space="preserve">Colector 5 </t>
  </si>
  <si>
    <t>Colector 4</t>
  </si>
  <si>
    <t>Colector 2</t>
  </si>
  <si>
    <t>Malla 15 x 15 Ø 4,2 mm</t>
  </si>
  <si>
    <t xml:space="preserve">Gabinete 5 </t>
  </si>
  <si>
    <t>Gabinete 4</t>
  </si>
  <si>
    <t>Gabinete 2</t>
  </si>
  <si>
    <t xml:space="preserve">Membrana termica 1 x 20 </t>
  </si>
  <si>
    <t>Rollo por 240 ml</t>
  </si>
  <si>
    <t>Precinto</t>
  </si>
  <si>
    <t>paq</t>
  </si>
  <si>
    <t>Tendido de cañería por piso, manta y malla</t>
  </si>
  <si>
    <t>Flexibles caldera</t>
  </si>
  <si>
    <t>Covertor</t>
  </si>
  <si>
    <t>3/AMB</t>
  </si>
  <si>
    <t>Tira</t>
  </si>
  <si>
    <t>Codo Ø 3/4"</t>
  </si>
  <si>
    <t>Caño Ø 3/4" aluminio, largo 6 ml</t>
  </si>
  <si>
    <t xml:space="preserve">Cupla Ø 3/4" </t>
  </si>
  <si>
    <t xml:space="preserve">Codo con rosca met. Ø 3/4" </t>
  </si>
  <si>
    <r>
      <t xml:space="preserve">Limpieza y preparación del terreno </t>
    </r>
    <r>
      <rPr>
        <i/>
        <sz val="8"/>
        <color rgb="FFFF0000"/>
        <rFont val="Calibri"/>
        <family val="2"/>
        <scheme val="minor"/>
      </rPr>
      <t>- No cotiza</t>
    </r>
  </si>
  <si>
    <r>
      <t xml:space="preserve">Cartel de Obra </t>
    </r>
    <r>
      <rPr>
        <i/>
        <sz val="8"/>
        <color rgb="FFFF0000"/>
        <rFont val="Calibri"/>
        <family val="2"/>
        <scheme val="minor"/>
      </rPr>
      <t>- No cotiza</t>
    </r>
  </si>
  <si>
    <r>
      <t>Cerco de obra perimetral</t>
    </r>
    <r>
      <rPr>
        <i/>
        <sz val="8"/>
        <color rgb="FFFF0000"/>
        <rFont val="Calibri"/>
        <family val="2"/>
        <scheme val="minor"/>
      </rPr>
      <t xml:space="preserve"> - En chapa C25 + Concertina + Porton corredizo </t>
    </r>
  </si>
  <si>
    <r>
      <t xml:space="preserve">Demolición y retiro de fundaciones existentes </t>
    </r>
    <r>
      <rPr>
        <i/>
        <sz val="8"/>
        <color rgb="FFFF0000"/>
        <rFont val="Calibri"/>
        <family val="2"/>
        <scheme val="minor"/>
      </rPr>
      <t>- No cotiza</t>
    </r>
  </si>
  <si>
    <r>
      <t>Junta de impermeabilización de PVC -</t>
    </r>
    <r>
      <rPr>
        <i/>
        <sz val="8"/>
        <color rgb="FFFF0000"/>
        <rFont val="Calibri"/>
        <family val="2"/>
        <scheme val="minor"/>
      </rPr>
      <t xml:space="preserve"> Sika Waterbars v15 x 15mts o similar</t>
    </r>
  </si>
  <si>
    <r>
      <t xml:space="preserve">Picado de medianeras para columnas y vigas </t>
    </r>
    <r>
      <rPr>
        <i/>
        <sz val="8"/>
        <color rgb="FFFF0000"/>
        <rFont val="Calibri"/>
        <family val="2"/>
        <scheme val="minor"/>
      </rPr>
      <t xml:space="preserve">- Cotizado solo para PB y 1P, </t>
    </r>
    <r>
      <rPr>
        <b/>
        <i/>
        <sz val="8"/>
        <color rgb="FFFF0000"/>
        <rFont val="Calibri"/>
        <family val="2"/>
        <scheme val="minor"/>
      </rPr>
      <t>No</t>
    </r>
    <r>
      <rPr>
        <i/>
        <sz val="8"/>
        <color rgb="FFFF0000"/>
        <rFont val="Calibri"/>
        <family val="2"/>
        <scheme val="minor"/>
      </rPr>
      <t xml:space="preserve"> contempla picado en SS</t>
    </r>
  </si>
  <si>
    <r>
      <t xml:space="preserve">Enchape medianeras existentes </t>
    </r>
    <r>
      <rPr>
        <sz val="8"/>
        <color rgb="FFFF0000"/>
        <rFont val="Calibri"/>
        <family val="2"/>
        <scheme val="minor"/>
      </rPr>
      <t>- Contemplamos picado zonas sueltas y enchape con ladrillo comun para PB</t>
    </r>
  </si>
  <si>
    <r>
      <t xml:space="preserve">Aislación hidrófuga horizontal (baños) - </t>
    </r>
    <r>
      <rPr>
        <i/>
        <sz val="8"/>
        <color rgb="FFFF0000"/>
        <rFont val="Calibri"/>
        <family val="2"/>
        <scheme val="minor"/>
      </rPr>
      <t>Inc. membrana geotextil</t>
    </r>
    <r>
      <rPr>
        <sz val="8"/>
        <color rgb="FFFF0000"/>
        <rFont val="Calibri"/>
        <family val="2"/>
        <scheme val="minor"/>
      </rPr>
      <t xml:space="preserve"> y 35% en concepto de babetas</t>
    </r>
  </si>
  <si>
    <r>
      <t xml:space="preserve">Azotado hidrofugo - </t>
    </r>
    <r>
      <rPr>
        <i/>
        <sz val="8"/>
        <color rgb="FFFF0000"/>
        <rFont val="Calibri"/>
        <family val="2"/>
        <scheme val="minor"/>
      </rPr>
      <t>Sobre medianeras existentes</t>
    </r>
  </si>
  <si>
    <r>
      <t xml:space="preserve">Azotado hidrofugo - </t>
    </r>
    <r>
      <rPr>
        <i/>
        <sz val="8"/>
        <color rgb="FFFF0000"/>
        <rFont val="Calibri"/>
        <family val="2"/>
        <scheme val="minor"/>
      </rPr>
      <t xml:space="preserve">Contrapiso de vereda </t>
    </r>
  </si>
  <si>
    <r>
      <t xml:space="preserve">Membrana asfaltica geotextil 4mm </t>
    </r>
    <r>
      <rPr>
        <i/>
        <sz val="8"/>
        <color rgb="FFFF0000"/>
        <rFont val="Calibri"/>
        <family val="2"/>
        <scheme val="minor"/>
      </rPr>
      <t>- Balcones y azotea - Inc. 20% en concepto de babetas</t>
    </r>
  </si>
  <si>
    <r>
      <t xml:space="preserve">Revoque Grueso Impermeable Exterior a mas de 3m proyectable </t>
    </r>
    <r>
      <rPr>
        <i/>
        <sz val="8"/>
        <color rgb="FFFF0000"/>
        <rFont val="Calibri"/>
        <family val="2"/>
        <scheme val="minor"/>
      </rPr>
      <t>- Medianero y fachadas</t>
    </r>
  </si>
  <si>
    <r>
      <t xml:space="preserve">Ventilación Conducto Humos. Incluye toma de aire en PB </t>
    </r>
    <r>
      <rPr>
        <i/>
        <sz val="8"/>
        <color rgb="FFFF0000"/>
        <rFont val="Calibri"/>
        <family val="2"/>
        <scheme val="minor"/>
      </rPr>
      <t>- No aplica s/proyecto</t>
    </r>
  </si>
  <si>
    <r>
      <t xml:space="preserve">Ventilación Baños </t>
    </r>
    <r>
      <rPr>
        <i/>
        <sz val="8"/>
        <color rgb="FFFF0000"/>
        <rFont val="Calibri"/>
        <family val="2"/>
        <scheme val="minor"/>
      </rPr>
      <t xml:space="preserve">- En caño Ø 110 </t>
    </r>
  </si>
  <si>
    <r>
      <t>Colocación de rejillas de inyección y extracción</t>
    </r>
    <r>
      <rPr>
        <i/>
        <sz val="8"/>
        <color rgb="FFFF0000"/>
        <rFont val="Calibri"/>
        <family val="2"/>
        <scheme val="minor"/>
      </rPr>
      <t xml:space="preserve"> - No aplica s/proyecto</t>
    </r>
  </si>
  <si>
    <r>
      <t xml:space="preserve">Colocación de travertino en hall PB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</si>
  <si>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porcelanato en paliers, terraza y espacios comunes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</si>
  <si>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porcelanato en UF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</si>
  <si>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porcelanato en baños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</si>
  <si>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>Colocación de baldoson de vereda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</si>
  <si>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 xml:space="preserve">Colocación de zocalo de porcelanico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</si>
  <si>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zocalo de porcelanato en palieres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</si>
  <si>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zocalo de porcelanato en terraza y espacios comunes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</si>
  <si>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>Revestimiento en baños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</si>
  <si>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>Revestimiento en cocinas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</si>
  <si>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 xml:space="preserve">Revestimiento tejuela exterior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</si>
  <si>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Convertidor y esmalte sintentico en barandas </t>
    </r>
    <r>
      <rPr>
        <i/>
        <sz val="8"/>
        <color rgb="FFFF0000"/>
        <rFont val="Calibri"/>
        <family val="2"/>
        <scheme val="minor"/>
      </rPr>
      <t>- Escalera, balcones, porton, medidores y SDM</t>
    </r>
  </si>
  <si>
    <r>
      <t xml:space="preserve">Amure de puertas placa </t>
    </r>
    <r>
      <rPr>
        <i/>
        <sz val="8"/>
        <color rgb="FFFF0000"/>
        <rFont val="Calibri"/>
        <family val="2"/>
        <scheme val="minor"/>
      </rPr>
      <t xml:space="preserve"> Provisión a cargo del comitente</t>
    </r>
  </si>
  <si>
    <r>
      <t xml:space="preserve">Amure de puertas de chapa e ingresos depto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</si>
  <si>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>Amure de premarcos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</si>
  <si>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 xml:space="preserve">Amure Puertas de Ascensor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</si>
  <si>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Tendido y cableado boca de temostato </t>
    </r>
    <r>
      <rPr>
        <i/>
        <sz val="8"/>
        <color rgb="FFFF0000"/>
        <rFont val="Calibri"/>
        <family val="2"/>
        <scheme val="minor"/>
      </rPr>
      <t>- Sin instalación de termostato</t>
    </r>
  </si>
  <si>
    <r>
      <t xml:space="preserve">Colocación de sensor de movimiento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</si>
  <si>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>Colocación de teclas simples y/o combinadas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</si>
  <si>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 xml:space="preserve">Colocación de pulsadores, circulación + timbres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</si>
  <si>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tomacorriente simple y doble 10 A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</si>
  <si>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luz de emergencia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</si>
  <si>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zumbador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</si>
  <si>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artefactos en espacios comunes y balcones </t>
    </r>
    <r>
      <rPr>
        <i/>
        <sz val="8"/>
        <color rgb="FFFF0000"/>
        <rFont val="Calibri"/>
        <family val="2"/>
        <scheme val="minor"/>
      </rPr>
      <t>- Provisión a cargo del comitente. NO incluye provisión, ni colocación de artefactos en interior de UF</t>
    </r>
  </si>
  <si>
    <r>
      <t xml:space="preserve">Colocación de fotocelula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</si>
  <si>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Colocación de artefactos y griferias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</si>
  <si>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Armado y conexionado de desagües </t>
    </r>
    <r>
      <rPr>
        <sz val="8"/>
        <rFont val="Calibri"/>
        <family val="2"/>
        <scheme val="minor"/>
      </rPr>
      <t>AA.CC</t>
    </r>
  </si>
  <si>
    <r>
      <t xml:space="preserve">Montaje de radiadores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</si>
  <si>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Montaje de caldera y puesta en marcha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</si>
  <si>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Tendido cañeria de incendio </t>
    </r>
    <r>
      <rPr>
        <i/>
        <sz val="8"/>
        <color rgb="FFFF0000"/>
        <rFont val="Calibri"/>
        <family val="2"/>
        <scheme val="minor"/>
      </rPr>
      <t xml:space="preserve">- Gabinetes, mangueras, lanzas y valvulas cotizadas en provisiones </t>
    </r>
  </si>
  <si>
    <r>
      <t>Montaje, colocación y puesta en marcha de equipos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</si>
  <si>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 xml:space="preserve">Ascensores </t>
    </r>
    <r>
      <rPr>
        <i/>
        <sz val="8"/>
        <color rgb="FFFF0000"/>
        <rFont val="Calibri"/>
        <family val="2"/>
        <scheme val="minor"/>
      </rPr>
      <t>- Provisión y colocación a cargo del comitente</t>
    </r>
  </si>
  <si>
    <r>
      <t>Artefactos de cocina, instalacion anafes y hornos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</si>
  <si>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>Instalacion de extractores de baños</t>
    </r>
    <r>
      <rPr>
        <i/>
        <sz val="8"/>
        <color rgb="FFFF0000"/>
        <rFont val="Calibri"/>
        <family val="2"/>
        <scheme val="minor"/>
      </rPr>
      <t xml:space="preserve"> - Provisión a cargo del comitente</t>
    </r>
  </si>
  <si>
    <r>
      <t xml:space="preserve">Colocación de ladrillos de vidrio </t>
    </r>
    <r>
      <rPr>
        <i/>
        <sz val="8"/>
        <color rgb="FFFF0000"/>
        <rFont val="Calibri"/>
        <family val="2"/>
        <scheme val="minor"/>
      </rPr>
      <t>- Provisión a cargo del comitente</t>
    </r>
  </si>
  <si>
    <r>
      <t xml:space="preserve">Tanques y bombas </t>
    </r>
    <r>
      <rPr>
        <i/>
        <sz val="8"/>
        <color rgb="FFFF0000"/>
        <rFont val="Calibri"/>
        <family val="2"/>
        <scheme val="minor"/>
      </rPr>
      <t>- No cotiza</t>
    </r>
  </si>
  <si>
    <r>
      <t xml:space="preserve">Matafuego ABC x 5 kg </t>
    </r>
    <r>
      <rPr>
        <i/>
        <sz val="8"/>
        <color rgb="FFFF0000"/>
        <rFont val="Calibri"/>
        <family val="2"/>
        <scheme val="minor"/>
      </rPr>
      <t>- No cotiza</t>
    </r>
  </si>
  <si>
    <r>
      <t xml:space="preserve">Matafuego CO2 x 3,5 kg </t>
    </r>
    <r>
      <rPr>
        <i/>
        <sz val="8"/>
        <color rgb="FFFF0000"/>
        <rFont val="Calibri"/>
        <family val="2"/>
        <scheme val="minor"/>
      </rPr>
      <t>- No cotiza</t>
    </r>
  </si>
  <si>
    <r>
      <t xml:space="preserve">Boca de incencio </t>
    </r>
    <r>
      <rPr>
        <i/>
        <sz val="8"/>
        <color rgb="FFFF0000"/>
        <rFont val="Calibri"/>
        <family val="2"/>
        <scheme val="minor"/>
      </rPr>
      <t>- No cotiza</t>
    </r>
  </si>
  <si>
    <r>
      <t xml:space="preserve">Boca de impulsión </t>
    </r>
    <r>
      <rPr>
        <i/>
        <sz val="8"/>
        <color rgb="FFFF0000"/>
        <rFont val="Calibri"/>
        <family val="2"/>
        <scheme val="minor"/>
      </rPr>
      <t>- No cotiza</t>
    </r>
  </si>
  <si>
    <r>
      <t>Provisión de teclas, tomacorrientes, pulsadores marca Cambre Linea SXXI</t>
    </r>
    <r>
      <rPr>
        <i/>
        <sz val="8"/>
        <color rgb="FFFF0000"/>
        <rFont val="Calibri"/>
        <family val="2"/>
        <scheme val="minor"/>
      </rPr>
      <t xml:space="preserve"> No incluye mod. Coaxil ni RJ45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</si>
</sst>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 &quot;$&quot;\ * #,##0.00_ ;_ &quot;$&quot;\ * \-#,##0.00_ ;_ &quot;$&quot;\ * &quot;-&quot;??_ ;_ @_ "/>
    <numFmt numFmtId="167" formatCode="_ * #,##0.00_ ;_ * \-#,##0.00_ ;_ * &quot;-&quot;??_ ;_ @_ "/>
    <numFmt numFmtId="168" formatCode="_-* #,##0.00\ _€_-;\-* #,##0.00\ _€_-;_-* &quot;-&quot;??\ _€_-;_-@_-"/>
    <numFmt numFmtId="169" formatCode="_-* #,##0_-;\-* #,##0_-;_-* &quot;-&quot;??_-;_-@_-"/>
    <numFmt numFmtId="170" formatCode="_-* #,##0.00\ _$_-;\-* #,##0.00\ _$_-;_-* &quot;-&quot;??\ _$_-;_-@_-"/>
    <numFmt numFmtId="171" formatCode="_ * #,##0.0_ ;_ * \-#,##0.0_ ;_ * &quot;-&quot;??_ ;_ @_ "/>
    <numFmt numFmtId="172" formatCode="_ [$€-2]\ * #,##0.00_ ;_ [$€-2]\ * \-#,##0.00_ ;_ [$€-2]\ * &quot;-&quot;??_ "/>
    <numFmt numFmtId="173" formatCode="&quot;Mano de Obra (Rend &quot;0.00&quot; m2/dia)&quot;"/>
    <numFmt numFmtId="174" formatCode="_-* #,##0.0000_-;\-* #,##0.0000_-;_-* &quot;-&quot;??_-;_-@_-"/>
    <numFmt numFmtId="175" formatCode="#,##0&quot;    &quot;;&quot;-&quot;#,##0&quot;    &quot;;&quot; -    &quot;;@&quot; &quot;"/>
    <numFmt numFmtId="176" formatCode="_-* #,##0.00\ &quot;$&quot;_-;\-* #,##0.00\ &quot;$&quot;_-;_-* &quot;-&quot;??\ &quot;$&quot;_-;_-@_-"/>
    <numFmt numFmtId="177" formatCode="_(* #,##0_);_(* \(#,##0\);_(* &quot;-&quot;??_);_(@_)"/>
    <numFmt numFmtId="178" formatCode="_-* #,##0.00\ _p_t_a_-;\-* #,##0.00\ _p_t_a_-;_-* &quot;-&quot;??\ _p_t_a_-;_-@_-"/>
    <numFmt numFmtId="179" formatCode="_-* #,##0.0000_-;\-* #,##0.0000_-;_-* &quot;-&quot;????_-;_-@_-"/>
    <numFmt numFmtId="180" formatCode="_(* #,##0.0000_);_(* \(#,##0.0000\);_(* &quot;-&quot;??_);_(@_)"/>
    <numFmt numFmtId="181" formatCode="_(* #,##0.000_);_(* \(#,##0.000\);_(* &quot;-&quot;??_);_(@_)"/>
    <numFmt numFmtId="182" formatCode="0.0%"/>
    <numFmt numFmtId="183" formatCode="_-* #,##0.000_-;\-* #,##0.000_-;_-* &quot;-&quot;??_-;_-@_-"/>
  </numFmts>
  <fonts count="1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61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7030A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i/>
      <sz val="10"/>
      <color theme="0" tint="-0.499984740745262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b/>
      <i/>
      <sz val="10"/>
      <name val="Calibri"/>
      <family val="2"/>
      <scheme val="minor"/>
    </font>
    <font>
      <u val="singleAccounting"/>
      <sz val="10"/>
      <color rgb="FFFF0000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name val="MS Sans Serif"/>
    </font>
    <font>
      <sz val="11"/>
      <color rgb="FF000000"/>
      <name val="Arial1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i/>
      <sz val="10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sz val="8"/>
      <name val="Arial"/>
      <family val="2"/>
    </font>
    <font>
      <b/>
      <u val="singleAccounting"/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0"/>
      <color rgb="FF000000"/>
      <name val="Times New Roman"/>
      <family val="1"/>
    </font>
    <font>
      <sz val="10"/>
      <color theme="0" tint="-0.499984740745262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6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i/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b/>
      <sz val="10"/>
      <color theme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7030A0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8"/>
      <color theme="7"/>
      <name val="Calibri"/>
      <family val="2"/>
      <scheme val="minor"/>
    </font>
    <font>
      <sz val="8"/>
      <color theme="7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theme="8" tint="-0.249977111117893"/>
      <name val="Calibri"/>
      <family val="2"/>
      <scheme val="minor"/>
    </font>
    <font>
      <sz val="8"/>
      <color theme="9" tint="-0.249977111117893"/>
      <name val="Calibri"/>
      <family val="2"/>
      <scheme val="minor"/>
    </font>
    <font>
      <sz val="8"/>
      <color theme="6" tint="-0.249977111117893"/>
      <name val="Calibri"/>
      <family val="2"/>
      <scheme val="minor"/>
    </font>
    <font>
      <sz val="8"/>
      <color theme="7" tint="-0.249977111117893"/>
      <name val="Calibri"/>
      <family val="2"/>
      <scheme val="minor"/>
    </font>
    <font>
      <sz val="8"/>
      <color theme="8" tint="-0.249977111117893"/>
      <name val="Arial"/>
      <family val="2"/>
    </font>
    <font>
      <sz val="8"/>
      <color theme="9" tint="-0.249977111117893"/>
      <name val="Arial"/>
      <family val="2"/>
    </font>
    <font>
      <b/>
      <sz val="8"/>
      <color rgb="FF00B0F0"/>
      <name val="Calibri"/>
      <family val="2"/>
      <scheme val="minor"/>
    </font>
    <font>
      <b/>
      <sz val="8"/>
      <color theme="6" tint="-0.249977111117893"/>
      <name val="Arial"/>
      <family val="2"/>
    </font>
    <font>
      <b/>
      <sz val="8"/>
      <color theme="7" tint="-0.249977111117893"/>
      <name val="Arial"/>
      <family val="2"/>
    </font>
    <font>
      <b/>
      <sz val="8"/>
      <color theme="8" tint="-0.249977111117893"/>
      <name val="Arial"/>
      <family val="2"/>
    </font>
    <font>
      <b/>
      <sz val="8"/>
      <color theme="9" tint="-0.249977111117893"/>
      <name val="Arial"/>
      <family val="2"/>
    </font>
    <font>
      <b/>
      <sz val="8"/>
      <name val="Arial"/>
      <family val="2"/>
    </font>
    <font>
      <i/>
      <sz val="8"/>
      <color theme="1" tint="0.499984740745262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i/>
      <sz val="8"/>
      <color theme="8" tint="-0.249977111117893"/>
      <name val="Calibri"/>
      <family val="2"/>
      <scheme val="minor"/>
    </font>
    <font>
      <b/>
      <sz val="8"/>
      <color theme="9" tint="-0.249977111117893"/>
      <name val="Calibri"/>
      <family val="2"/>
      <scheme val="minor"/>
    </font>
    <font>
      <i/>
      <sz val="8"/>
      <color theme="9" tint="-0.249977111117893"/>
      <name val="Calibri"/>
      <family val="2"/>
      <scheme val="minor"/>
    </font>
    <font>
      <b/>
      <i/>
      <sz val="8"/>
      <color theme="0" tint="-0.499984740745262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249977111117893"/>
        <bgColor rgb="FFF2F2F2"/>
      </patternFill>
    </fill>
    <fill>
      <patternFill patternType="solid">
        <fgColor theme="5" tint="0.79998168889431442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</borders>
  <cellStyleXfs count="135">
    <xf numFmtId="0" fontId="0" fillId="0" borderId="1"/>
    <xf numFmtId="43" fontId="45" fillId="0" borderId="0" applyFont="0" applyFill="0" applyBorder="0" applyAlignment="0" applyProtection="0"/>
    <xf numFmtId="0" fontId="43" fillId="0" borderId="0"/>
    <xf numFmtId="167" fontId="43" fillId="0" borderId="0" applyFont="0" applyFill="0" applyBorder="0" applyAlignment="0" applyProtection="0"/>
    <xf numFmtId="168" fontId="42" fillId="0" borderId="0" applyFont="0" applyFill="0" applyBorder="0" applyAlignment="0" applyProtection="0"/>
    <xf numFmtId="167" fontId="43" fillId="0" borderId="0" applyFont="0" applyFill="0" applyBorder="0" applyAlignment="0" applyProtection="0"/>
    <xf numFmtId="0" fontId="43" fillId="0" borderId="0"/>
    <xf numFmtId="170" fontId="41" fillId="0" borderId="0" applyFont="0" applyFill="0" applyBorder="0" applyAlignment="0" applyProtection="0"/>
    <xf numFmtId="0" fontId="41" fillId="0" borderId="0"/>
    <xf numFmtId="168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59" fillId="3" borderId="0" applyNumberFormat="0" applyBorder="0" applyAlignment="0" applyProtection="0"/>
    <xf numFmtId="0" fontId="40" fillId="0" borderId="0"/>
    <xf numFmtId="170" fontId="40" fillId="0" borderId="0" applyFont="0" applyFill="0" applyBorder="0" applyAlignment="0" applyProtection="0"/>
    <xf numFmtId="168" fontId="60" fillId="0" borderId="0" applyFont="0" applyFill="0" applyBorder="0" applyAlignment="0" applyProtection="0"/>
    <xf numFmtId="9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0" fontId="39" fillId="0" borderId="0"/>
    <xf numFmtId="0" fontId="43" fillId="0" borderId="0"/>
    <xf numFmtId="166" fontId="43" fillId="0" borderId="0" applyFont="0" applyFill="0" applyBorder="0" applyAlignment="0" applyProtection="0"/>
    <xf numFmtId="170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68" fontId="3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38" fillId="0" borderId="0" applyFont="0" applyFill="0" applyBorder="0" applyAlignment="0" applyProtection="0"/>
    <xf numFmtId="0" fontId="43" fillId="0" borderId="0"/>
    <xf numFmtId="168" fontId="38" fillId="0" borderId="0" applyFont="0" applyFill="0" applyBorder="0" applyAlignment="0" applyProtection="0"/>
    <xf numFmtId="0" fontId="38" fillId="0" borderId="0"/>
    <xf numFmtId="168" fontId="38" fillId="0" borderId="0" applyFont="0" applyFill="0" applyBorder="0" applyAlignment="0" applyProtection="0"/>
    <xf numFmtId="0" fontId="37" fillId="0" borderId="0"/>
    <xf numFmtId="9" fontId="65" fillId="0" borderId="0" applyFont="0" applyFill="0" applyBorder="0" applyAlignment="0" applyProtection="0"/>
    <xf numFmtId="0" fontId="43" fillId="0" borderId="1"/>
    <xf numFmtId="43" fontId="43" fillId="0" borderId="0" applyFont="0" applyFill="0" applyBorder="0" applyAlignment="0" applyProtection="0"/>
    <xf numFmtId="0" fontId="36" fillId="0" borderId="0"/>
    <xf numFmtId="172" fontId="43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68" fillId="0" borderId="0"/>
    <xf numFmtId="0" fontId="67" fillId="0" borderId="0"/>
    <xf numFmtId="0" fontId="35" fillId="0" borderId="0"/>
    <xf numFmtId="43" fontId="34" fillId="0" borderId="0" applyFont="0" applyFill="0" applyBorder="0" applyAlignment="0" applyProtection="0"/>
    <xf numFmtId="0" fontId="34" fillId="0" borderId="0"/>
    <xf numFmtId="0" fontId="33" fillId="0" borderId="0"/>
    <xf numFmtId="167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170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170" fontId="33" fillId="0" borderId="0" applyFont="0" applyFill="0" applyBorder="0" applyAlignment="0" applyProtection="0"/>
    <xf numFmtId="167" fontId="43" fillId="0" borderId="0" applyFont="0" applyFill="0" applyBorder="0" applyAlignment="0" applyProtection="0"/>
    <xf numFmtId="168" fontId="33" fillId="0" borderId="0" applyFont="0" applyFill="0" applyBorder="0" applyAlignment="0" applyProtection="0"/>
    <xf numFmtId="0" fontId="33" fillId="0" borderId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1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4" fontId="4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79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175" fontId="80" fillId="0" borderId="0"/>
    <xf numFmtId="44" fontId="32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1" fillId="0" borderId="0"/>
    <xf numFmtId="43" fontId="30" fillId="0" borderId="0" applyFont="0" applyFill="0" applyBorder="0" applyAlignment="0" applyProtection="0"/>
    <xf numFmtId="0" fontId="30" fillId="0" borderId="0"/>
    <xf numFmtId="44" fontId="30" fillId="0" borderId="0" applyFont="0" applyFill="0" applyBorder="0" applyAlignment="0" applyProtection="0"/>
    <xf numFmtId="0" fontId="79" fillId="0" borderId="0"/>
    <xf numFmtId="43" fontId="4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7" fillId="0" borderId="0"/>
    <xf numFmtId="43" fontId="27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5" fillId="0" borderId="0"/>
    <xf numFmtId="43" fontId="25" fillId="0" borderId="0" applyFon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86" fillId="0" borderId="0" applyNumberFormat="0" applyFill="0" applyBorder="0" applyProtection="0"/>
    <xf numFmtId="165" fontId="43" fillId="0" borderId="0" applyFont="0" applyFill="0" applyBorder="0" applyAlignment="0" applyProtection="0"/>
    <xf numFmtId="0" fontId="87" fillId="0" borderId="0"/>
    <xf numFmtId="178" fontId="87" fillId="0" borderId="0" applyFont="0" applyFill="0" applyBorder="0" applyAlignment="0" applyProtection="0"/>
    <xf numFmtId="170" fontId="21" fillId="0" borderId="0" applyFont="0" applyFill="0" applyBorder="0" applyAlignment="0" applyProtection="0"/>
    <xf numFmtId="165" fontId="43" fillId="0" borderId="0" applyFont="0" applyFill="0" applyBorder="0" applyAlignment="0" applyProtection="0"/>
    <xf numFmtId="168" fontId="21" fillId="0" borderId="0" applyFont="0" applyFill="0" applyBorder="0" applyAlignment="0" applyProtection="0"/>
    <xf numFmtId="178" fontId="43" fillId="0" borderId="0" applyFont="0" applyFill="0" applyBorder="0" applyAlignment="0" applyProtection="0"/>
    <xf numFmtId="0" fontId="21" fillId="0" borderId="0"/>
    <xf numFmtId="0" fontId="87" fillId="0" borderId="0"/>
    <xf numFmtId="0" fontId="87" fillId="0" borderId="0"/>
    <xf numFmtId="0" fontId="89" fillId="0" borderId="0"/>
    <xf numFmtId="43" fontId="20" fillId="0" borderId="0" applyFont="0" applyFill="0" applyBorder="0" applyAlignment="0" applyProtection="0"/>
    <xf numFmtId="0" fontId="20" fillId="0" borderId="0"/>
    <xf numFmtId="44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8" fillId="0" borderId="0"/>
    <xf numFmtId="170" fontId="18" fillId="0" borderId="0" applyFont="0" applyFill="0" applyBorder="0" applyAlignment="0" applyProtection="0"/>
    <xf numFmtId="0" fontId="85" fillId="0" borderId="0"/>
    <xf numFmtId="9" fontId="85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165" fontId="16" fillId="0" borderId="0" applyFont="0" applyFill="0" applyBorder="0" applyAlignment="0" applyProtection="0"/>
    <xf numFmtId="0" fontId="16" fillId="0" borderId="0"/>
    <xf numFmtId="165" fontId="15" fillId="0" borderId="0" applyFont="0" applyFill="0" applyBorder="0" applyAlignment="0" applyProtection="0"/>
    <xf numFmtId="0" fontId="15" fillId="0" borderId="0"/>
    <xf numFmtId="0" fontId="95" fillId="0" borderId="0"/>
    <xf numFmtId="165" fontId="95" fillId="0" borderId="0" applyFont="0" applyFill="0" applyBorder="0" applyAlignment="0" applyProtection="0"/>
    <xf numFmtId="0" fontId="14" fillId="0" borderId="0"/>
    <xf numFmtId="168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165" fontId="43" fillId="0" borderId="0" applyFont="0" applyFill="0" applyBorder="0" applyAlignment="0" applyProtection="0"/>
    <xf numFmtId="0" fontId="12" fillId="0" borderId="0"/>
    <xf numFmtId="0" fontId="101" fillId="0" borderId="1" applyNumberFormat="0" applyFill="0" applyBorder="0" applyAlignment="0" applyProtection="0"/>
    <xf numFmtId="165" fontId="11" fillId="0" borderId="0" applyFont="0" applyFill="0" applyBorder="0" applyAlignment="0" applyProtection="0"/>
    <xf numFmtId="0" fontId="10" fillId="0" borderId="0"/>
    <xf numFmtId="165" fontId="9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</cellStyleXfs>
  <cellXfs count="2286">
    <xf numFmtId="0" fontId="0" fillId="0" borderId="1" xfId="0"/>
    <xf numFmtId="43" fontId="46" fillId="0" borderId="0" xfId="1" applyFont="1" applyBorder="1"/>
    <xf numFmtId="43" fontId="46" fillId="0" borderId="0" xfId="1" applyFont="1" applyBorder="1" applyAlignment="1">
      <alignment horizontal="center"/>
    </xf>
    <xf numFmtId="43" fontId="47" fillId="0" borderId="0" xfId="1" applyFont="1" applyBorder="1"/>
    <xf numFmtId="3" fontId="46" fillId="0" borderId="0" xfId="2" applyNumberFormat="1" applyFont="1" applyAlignment="1">
      <alignment horizontal="center" vertical="center" wrapText="1"/>
    </xf>
    <xf numFmtId="0" fontId="46" fillId="0" borderId="0" xfId="2" applyFont="1" applyAlignment="1">
      <alignment vertical="center" wrapText="1"/>
    </xf>
    <xf numFmtId="0" fontId="46" fillId="0" borderId="0" xfId="2" applyFont="1" applyAlignment="1">
      <alignment horizontal="center" vertical="center" wrapText="1"/>
    </xf>
    <xf numFmtId="49" fontId="46" fillId="0" borderId="12" xfId="8" applyNumberFormat="1" applyFont="1" applyBorder="1" applyAlignment="1">
      <alignment horizontal="center" vertical="center"/>
    </xf>
    <xf numFmtId="43" fontId="46" fillId="0" borderId="12" xfId="1" applyFont="1" applyFill="1" applyBorder="1" applyAlignment="1">
      <alignment horizontal="center" vertical="center" wrapText="1"/>
    </xf>
    <xf numFmtId="43" fontId="55" fillId="0" borderId="9" xfId="1" applyFont="1" applyFill="1" applyBorder="1"/>
    <xf numFmtId="0" fontId="55" fillId="0" borderId="0" xfId="8" applyFont="1"/>
    <xf numFmtId="43" fontId="55" fillId="0" borderId="12" xfId="1" applyFont="1" applyFill="1" applyBorder="1" applyAlignment="1">
      <alignment horizontal="center" vertical="center"/>
    </xf>
    <xf numFmtId="43" fontId="46" fillId="0" borderId="12" xfId="1" applyFont="1" applyBorder="1"/>
    <xf numFmtId="43" fontId="46" fillId="0" borderId="15" xfId="1" applyFont="1" applyBorder="1"/>
    <xf numFmtId="43" fontId="47" fillId="0" borderId="12" xfId="1" applyFont="1" applyBorder="1"/>
    <xf numFmtId="0" fontId="46" fillId="0" borderId="0" xfId="25" applyFont="1" applyAlignment="1">
      <alignment vertical="center" wrapText="1"/>
    </xf>
    <xf numFmtId="43" fontId="55" fillId="0" borderId="0" xfId="1" applyFont="1"/>
    <xf numFmtId="43" fontId="55" fillId="2" borderId="0" xfId="1" applyFont="1" applyFill="1"/>
    <xf numFmtId="43" fontId="46" fillId="0" borderId="0" xfId="35" applyFont="1"/>
    <xf numFmtId="43" fontId="46" fillId="0" borderId="0" xfId="35" applyFont="1" applyAlignment="1">
      <alignment horizontal="center"/>
    </xf>
    <xf numFmtId="43" fontId="47" fillId="0" borderId="0" xfId="35" applyFont="1"/>
    <xf numFmtId="43" fontId="47" fillId="0" borderId="0" xfId="35" applyFont="1" applyAlignment="1"/>
    <xf numFmtId="0" fontId="63" fillId="0" borderId="0" xfId="36" applyFont="1"/>
    <xf numFmtId="49" fontId="46" fillId="0" borderId="0" xfId="35" applyNumberFormat="1" applyFont="1"/>
    <xf numFmtId="43" fontId="73" fillId="0" borderId="0" xfId="35" applyFont="1"/>
    <xf numFmtId="0" fontId="46" fillId="0" borderId="0" xfId="8" applyFont="1"/>
    <xf numFmtId="0" fontId="55" fillId="0" borderId="0" xfId="41" applyFont="1"/>
    <xf numFmtId="167" fontId="46" fillId="0" borderId="0" xfId="42" applyFont="1" applyFill="1" applyBorder="1" applyAlignment="1">
      <alignment vertical="center"/>
    </xf>
    <xf numFmtId="167" fontId="55" fillId="0" borderId="0" xfId="41" applyNumberFormat="1" applyFont="1" applyAlignment="1">
      <alignment vertical="center"/>
    </xf>
    <xf numFmtId="49" fontId="46" fillId="0" borderId="0" xfId="6" applyNumberFormat="1" applyFont="1" applyAlignment="1">
      <alignment horizontal="center" vertical="top"/>
    </xf>
    <xf numFmtId="43" fontId="55" fillId="0" borderId="0" xfId="43" applyFont="1"/>
    <xf numFmtId="43" fontId="55" fillId="0" borderId="0" xfId="41" applyNumberFormat="1" applyFont="1"/>
    <xf numFmtId="43" fontId="56" fillId="0" borderId="0" xfId="43" applyFont="1"/>
    <xf numFmtId="0" fontId="55" fillId="0" borderId="0" xfId="41" applyFont="1" applyAlignment="1">
      <alignment horizontal="center"/>
    </xf>
    <xf numFmtId="0" fontId="56" fillId="0" borderId="0" xfId="41" applyFont="1"/>
    <xf numFmtId="0" fontId="47" fillId="0" borderId="0" xfId="41" applyFont="1" applyAlignment="1">
      <alignment horizontal="center"/>
    </xf>
    <xf numFmtId="0" fontId="47" fillId="0" borderId="0" xfId="41" applyFont="1"/>
    <xf numFmtId="4" fontId="74" fillId="0" borderId="12" xfId="6" applyNumberFormat="1" applyFont="1" applyBorder="1" applyAlignment="1">
      <alignment horizontal="center"/>
    </xf>
    <xf numFmtId="3" fontId="74" fillId="0" borderId="12" xfId="6" applyNumberFormat="1" applyFont="1" applyBorder="1" applyAlignment="1">
      <alignment horizontal="center"/>
    </xf>
    <xf numFmtId="4" fontId="75" fillId="0" borderId="12" xfId="6" applyNumberFormat="1" applyFont="1" applyBorder="1" applyAlignment="1">
      <alignment horizontal="center"/>
    </xf>
    <xf numFmtId="3" fontId="75" fillId="0" borderId="12" xfId="6" applyNumberFormat="1" applyFont="1" applyBorder="1" applyAlignment="1">
      <alignment horizontal="center"/>
    </xf>
    <xf numFmtId="43" fontId="46" fillId="0" borderId="0" xfId="23" applyFont="1"/>
    <xf numFmtId="3" fontId="74" fillId="0" borderId="12" xfId="0" applyNumberFormat="1" applyFont="1" applyBorder="1" applyAlignment="1">
      <alignment horizontal="center"/>
    </xf>
    <xf numFmtId="43" fontId="51" fillId="0" borderId="0" xfId="23" applyFont="1"/>
    <xf numFmtId="43" fontId="47" fillId="0" borderId="0" xfId="23" applyFont="1" applyAlignment="1">
      <alignment horizontal="center"/>
    </xf>
    <xf numFmtId="43" fontId="55" fillId="0" borderId="0" xfId="43" applyFont="1" applyFill="1"/>
    <xf numFmtId="170" fontId="46" fillId="0" borderId="0" xfId="46" applyFont="1" applyFill="1" applyBorder="1" applyAlignment="1">
      <alignment horizontal="right" vertical="center" wrapText="1"/>
    </xf>
    <xf numFmtId="171" fontId="46" fillId="0" borderId="0" xfId="47" applyNumberFormat="1" applyFont="1" applyBorder="1" applyAlignment="1">
      <alignment horizontal="center" vertical="center" wrapText="1"/>
    </xf>
    <xf numFmtId="167" fontId="46" fillId="0" borderId="0" xfId="47" applyFont="1" applyBorder="1" applyAlignment="1">
      <alignment horizontal="center" vertical="center" wrapText="1"/>
    </xf>
    <xf numFmtId="14" fontId="47" fillId="0" borderId="0" xfId="47" applyNumberFormat="1" applyFont="1" applyBorder="1" applyAlignment="1">
      <alignment horizontal="center" wrapText="1"/>
    </xf>
    <xf numFmtId="171" fontId="46" fillId="0" borderId="0" xfId="47" applyNumberFormat="1" applyFont="1" applyFill="1" applyBorder="1" applyAlignment="1">
      <alignment horizontal="center" vertical="center" wrapText="1"/>
    </xf>
    <xf numFmtId="167" fontId="46" fillId="0" borderId="0" xfId="47" applyFont="1" applyFill="1" applyBorder="1" applyAlignment="1">
      <alignment horizontal="center" vertical="center" wrapText="1"/>
    </xf>
    <xf numFmtId="167" fontId="47" fillId="0" borderId="0" xfId="47" applyFont="1" applyBorder="1" applyAlignment="1">
      <alignment horizontal="center" vertical="center" wrapText="1"/>
    </xf>
    <xf numFmtId="167" fontId="46" fillId="0" borderId="0" xfId="47" applyFont="1" applyBorder="1" applyAlignment="1">
      <alignment vertical="center" wrapText="1"/>
    </xf>
    <xf numFmtId="14" fontId="47" fillId="0" borderId="0" xfId="47" applyNumberFormat="1" applyFont="1" applyFill="1" applyBorder="1" applyAlignment="1">
      <alignment vertical="center" wrapText="1"/>
    </xf>
    <xf numFmtId="14" fontId="46" fillId="0" borderId="0" xfId="47" applyNumberFormat="1" applyFont="1" applyFill="1" applyBorder="1" applyAlignment="1">
      <alignment vertical="center" wrapText="1"/>
    </xf>
    <xf numFmtId="168" fontId="48" fillId="0" borderId="12" xfId="25" applyNumberFormat="1" applyFont="1" applyBorder="1" applyAlignment="1">
      <alignment vertical="center" wrapText="1"/>
    </xf>
    <xf numFmtId="171" fontId="47" fillId="0" borderId="0" xfId="47" applyNumberFormat="1" applyFont="1" applyBorder="1" applyAlignment="1">
      <alignment wrapText="1"/>
    </xf>
    <xf numFmtId="167" fontId="47" fillId="0" borderId="0" xfId="47" applyFont="1" applyBorder="1" applyAlignment="1">
      <alignment vertical="center" wrapText="1"/>
    </xf>
    <xf numFmtId="171" fontId="52" fillId="0" borderId="0" xfId="47" applyNumberFormat="1" applyFont="1" applyFill="1" applyBorder="1" applyAlignment="1">
      <alignment horizontal="center" wrapText="1"/>
    </xf>
    <xf numFmtId="171" fontId="47" fillId="0" borderId="0" xfId="47" applyNumberFormat="1" applyFont="1" applyFill="1" applyAlignment="1">
      <alignment vertical="center" wrapText="1"/>
    </xf>
    <xf numFmtId="171" fontId="46" fillId="0" borderId="0" xfId="47" applyNumberFormat="1" applyFont="1" applyFill="1" applyBorder="1" applyAlignment="1">
      <alignment vertical="center" wrapText="1"/>
    </xf>
    <xf numFmtId="171" fontId="47" fillId="0" borderId="0" xfId="47" applyNumberFormat="1" applyFont="1" applyBorder="1" applyAlignment="1">
      <alignment horizontal="center" wrapText="1"/>
    </xf>
    <xf numFmtId="167" fontId="47" fillId="0" borderId="0" xfId="47" applyFont="1" applyFill="1" applyBorder="1" applyAlignment="1">
      <alignment wrapText="1"/>
    </xf>
    <xf numFmtId="168" fontId="46" fillId="0" borderId="0" xfId="48" applyFont="1"/>
    <xf numFmtId="43" fontId="46" fillId="0" borderId="0" xfId="43" applyFont="1"/>
    <xf numFmtId="39" fontId="46" fillId="0" borderId="9" xfId="48" applyNumberFormat="1" applyFont="1" applyBorder="1"/>
    <xf numFmtId="39" fontId="46" fillId="0" borderId="12" xfId="48" applyNumberFormat="1" applyFont="1" applyBorder="1"/>
    <xf numFmtId="43" fontId="57" fillId="0" borderId="0" xfId="43" applyFont="1"/>
    <xf numFmtId="43" fontId="47" fillId="0" borderId="0" xfId="43" applyFont="1"/>
    <xf numFmtId="39" fontId="46" fillId="0" borderId="12" xfId="50" applyNumberFormat="1" applyFont="1" applyBorder="1"/>
    <xf numFmtId="39" fontId="46" fillId="0" borderId="15" xfId="48" applyNumberFormat="1" applyFont="1" applyBorder="1"/>
    <xf numFmtId="39" fontId="46" fillId="0" borderId="15" xfId="50" applyNumberFormat="1" applyFont="1" applyBorder="1"/>
    <xf numFmtId="39" fontId="46" fillId="0" borderId="9" xfId="50" applyNumberFormat="1" applyFont="1" applyBorder="1"/>
    <xf numFmtId="39" fontId="46" fillId="0" borderId="0" xfId="50" applyNumberFormat="1" applyFont="1"/>
    <xf numFmtId="39" fontId="46" fillId="2" borderId="0" xfId="50" applyNumberFormat="1" applyFont="1" applyFill="1"/>
    <xf numFmtId="168" fontId="55" fillId="0" borderId="0" xfId="51" applyFont="1"/>
    <xf numFmtId="39" fontId="55" fillId="0" borderId="0" xfId="50" applyNumberFormat="1" applyFont="1"/>
    <xf numFmtId="43" fontId="58" fillId="0" borderId="0" xfId="11" applyNumberFormat="1" applyFont="1" applyFill="1"/>
    <xf numFmtId="0" fontId="49" fillId="0" borderId="0" xfId="41" applyFont="1" applyAlignment="1">
      <alignment horizontal="right"/>
    </xf>
    <xf numFmtId="43" fontId="55" fillId="0" borderId="0" xfId="52" applyFont="1"/>
    <xf numFmtId="43" fontId="55" fillId="0" borderId="0" xfId="52" applyFont="1" applyFill="1"/>
    <xf numFmtId="0" fontId="55" fillId="0" borderId="0" xfId="41" applyFont="1" applyAlignment="1">
      <alignment horizontal="right"/>
    </xf>
    <xf numFmtId="9" fontId="56" fillId="0" borderId="0" xfId="41" applyNumberFormat="1" applyFont="1"/>
    <xf numFmtId="43" fontId="78" fillId="0" borderId="0" xfId="52" applyFont="1" applyFill="1"/>
    <xf numFmtId="169" fontId="55" fillId="0" borderId="0" xfId="43" applyNumberFormat="1" applyFont="1" applyAlignment="1">
      <alignment horizontal="right"/>
    </xf>
    <xf numFmtId="169" fontId="46" fillId="0" borderId="0" xfId="43" applyNumberFormat="1" applyFont="1" applyAlignment="1">
      <alignment horizontal="right"/>
    </xf>
    <xf numFmtId="168" fontId="47" fillId="0" borderId="0" xfId="48" applyFont="1"/>
    <xf numFmtId="43" fontId="46" fillId="0" borderId="0" xfId="48" applyNumberFormat="1" applyFont="1"/>
    <xf numFmtId="43" fontId="55" fillId="0" borderId="0" xfId="49" applyNumberFormat="1" applyFont="1"/>
    <xf numFmtId="0" fontId="55" fillId="0" borderId="0" xfId="49" applyFont="1"/>
    <xf numFmtId="14" fontId="47" fillId="0" borderId="0" xfId="1" applyNumberFormat="1" applyFont="1" applyFill="1" applyBorder="1" applyAlignment="1">
      <alignment horizontal="center" vertical="center" wrapText="1"/>
    </xf>
    <xf numFmtId="9" fontId="55" fillId="0" borderId="0" xfId="60" applyFont="1"/>
    <xf numFmtId="9" fontId="55" fillId="0" borderId="0" xfId="60" applyFont="1" applyBorder="1"/>
    <xf numFmtId="43" fontId="55" fillId="0" borderId="0" xfId="73" applyFont="1"/>
    <xf numFmtId="43" fontId="55" fillId="2" borderId="0" xfId="73" applyFont="1" applyFill="1"/>
    <xf numFmtId="43" fontId="83" fillId="0" borderId="0" xfId="73" applyFont="1"/>
    <xf numFmtId="43" fontId="84" fillId="0" borderId="0" xfId="73" applyFont="1"/>
    <xf numFmtId="43" fontId="55" fillId="0" borderId="0" xfId="73" applyFont="1" applyBorder="1"/>
    <xf numFmtId="43" fontId="56" fillId="0" borderId="0" xfId="73" applyFont="1"/>
    <xf numFmtId="43" fontId="56" fillId="0" borderId="0" xfId="73" applyFont="1" applyAlignment="1">
      <alignment horizontal="center"/>
    </xf>
    <xf numFmtId="43" fontId="62" fillId="0" borderId="0" xfId="11" applyNumberFormat="1" applyFont="1" applyFill="1"/>
    <xf numFmtId="17" fontId="55" fillId="0" borderId="0" xfId="73" applyNumberFormat="1" applyFont="1"/>
    <xf numFmtId="43" fontId="56" fillId="0" borderId="0" xfId="73" applyFont="1" applyBorder="1"/>
    <xf numFmtId="0" fontId="0" fillId="0" borderId="0" xfId="0" applyBorder="1"/>
    <xf numFmtId="0" fontId="44" fillId="0" borderId="0" xfId="0" applyFont="1" applyBorder="1"/>
    <xf numFmtId="0" fontId="44" fillId="0" borderId="15" xfId="0" applyFont="1" applyBorder="1"/>
    <xf numFmtId="43" fontId="46" fillId="0" borderId="15" xfId="1" applyFont="1" applyFill="1" applyBorder="1" applyAlignment="1">
      <alignment horizontal="center" vertical="center" wrapText="1"/>
    </xf>
    <xf numFmtId="0" fontId="46" fillId="0" borderId="0" xfId="41" applyFont="1"/>
    <xf numFmtId="166" fontId="46" fillId="0" borderId="0" xfId="45" applyNumberFormat="1" applyFont="1" applyFill="1" applyBorder="1"/>
    <xf numFmtId="43" fontId="46" fillId="0" borderId="0" xfId="57" applyFont="1" applyAlignment="1">
      <alignment horizontal="center" vertical="center"/>
    </xf>
    <xf numFmtId="43" fontId="47" fillId="0" borderId="0" xfId="57" applyFont="1" applyAlignment="1">
      <alignment horizontal="center" vertical="center"/>
    </xf>
    <xf numFmtId="0" fontId="47" fillId="0" borderId="0" xfId="57" applyNumberFormat="1" applyFont="1" applyAlignment="1">
      <alignment horizontal="center" vertical="center"/>
    </xf>
    <xf numFmtId="43" fontId="56" fillId="0" borderId="0" xfId="1" applyFont="1"/>
    <xf numFmtId="43" fontId="57" fillId="0" borderId="0" xfId="1" applyFont="1"/>
    <xf numFmtId="43" fontId="46" fillId="0" borderId="0" xfId="1" applyFont="1"/>
    <xf numFmtId="177" fontId="46" fillId="0" borderId="12" xfId="1" applyNumberFormat="1" applyFont="1" applyFill="1" applyBorder="1"/>
    <xf numFmtId="43" fontId="46" fillId="0" borderId="0" xfId="1" applyFont="1" applyBorder="1" applyAlignment="1">
      <alignment horizontal="center" vertical="center"/>
    </xf>
    <xf numFmtId="43" fontId="46" fillId="0" borderId="0" xfId="1" applyFont="1" applyFill="1" applyBorder="1" applyAlignment="1">
      <alignment horizontal="center" vertical="center"/>
    </xf>
    <xf numFmtId="43" fontId="47" fillId="0" borderId="0" xfId="1" applyFont="1" applyBorder="1" applyAlignment="1">
      <alignment horizontal="center" vertical="center"/>
    </xf>
    <xf numFmtId="43" fontId="0" fillId="0" borderId="0" xfId="1" applyFont="1"/>
    <xf numFmtId="43" fontId="62" fillId="0" borderId="0" xfId="73" applyFont="1" applyBorder="1"/>
    <xf numFmtId="43" fontId="55" fillId="0" borderId="0" xfId="73" applyFont="1" applyFill="1" applyBorder="1"/>
    <xf numFmtId="14" fontId="46" fillId="0" borderId="0" xfId="1" applyNumberFormat="1" applyFont="1" applyBorder="1"/>
    <xf numFmtId="168" fontId="55" fillId="0" borderId="0" xfId="41" applyNumberFormat="1" applyFont="1"/>
    <xf numFmtId="166" fontId="0" fillId="0" borderId="12" xfId="0" applyNumberFormat="1" applyBorder="1"/>
    <xf numFmtId="0" fontId="44" fillId="0" borderId="12" xfId="0" applyFont="1" applyBorder="1"/>
    <xf numFmtId="0" fontId="44" fillId="14" borderId="0" xfId="0" applyFont="1" applyFill="1" applyBorder="1"/>
    <xf numFmtId="0" fontId="46" fillId="0" borderId="35" xfId="2" applyFont="1" applyBorder="1" applyAlignment="1">
      <alignment horizontal="center" vertical="center" wrapText="1"/>
    </xf>
    <xf numFmtId="0" fontId="46" fillId="0" borderId="12" xfId="0" applyFont="1" applyBorder="1"/>
    <xf numFmtId="49" fontId="46" fillId="0" borderId="15" xfId="8" applyNumberFormat="1" applyFont="1" applyBorder="1" applyAlignment="1">
      <alignment horizontal="center" vertical="center"/>
    </xf>
    <xf numFmtId="0" fontId="46" fillId="0" borderId="12" xfId="0" applyFont="1" applyBorder="1" applyAlignment="1">
      <alignment horizontal="center" vertical="center"/>
    </xf>
    <xf numFmtId="0" fontId="46" fillId="0" borderId="12" xfId="2" applyFont="1" applyBorder="1" applyAlignment="1">
      <alignment horizontal="center" vertical="center" wrapText="1"/>
    </xf>
    <xf numFmtId="177" fontId="46" fillId="0" borderId="12" xfId="1" applyNumberFormat="1" applyFont="1" applyFill="1" applyBorder="1" applyAlignment="1">
      <alignment horizontal="center" vertical="center" wrapText="1"/>
    </xf>
    <xf numFmtId="43" fontId="81" fillId="0" borderId="0" xfId="57" applyFont="1" applyAlignment="1"/>
    <xf numFmtId="43" fontId="81" fillId="0" borderId="0" xfId="57" applyFont="1"/>
    <xf numFmtId="43" fontId="55" fillId="0" borderId="0" xfId="57" applyFont="1"/>
    <xf numFmtId="177" fontId="55" fillId="0" borderId="0" xfId="1" applyNumberFormat="1" applyFont="1"/>
    <xf numFmtId="43" fontId="53" fillId="0" borderId="0" xfId="1" applyFont="1" applyBorder="1"/>
    <xf numFmtId="0" fontId="46" fillId="0" borderId="15" xfId="2" applyFont="1" applyBorder="1" applyAlignment="1">
      <alignment horizontal="center" vertical="center" wrapText="1"/>
    </xf>
    <xf numFmtId="177" fontId="46" fillId="0" borderId="15" xfId="1" applyNumberFormat="1" applyFont="1" applyFill="1" applyBorder="1" applyAlignment="1">
      <alignment horizontal="center" vertical="center" wrapText="1"/>
    </xf>
    <xf numFmtId="43" fontId="46" fillId="0" borderId="12" xfId="1" applyFont="1" applyFill="1" applyBorder="1" applyAlignment="1">
      <alignment horizontal="center" vertical="center"/>
    </xf>
    <xf numFmtId="43" fontId="46" fillId="0" borderId="12" xfId="1" applyFont="1" applyBorder="1" applyAlignment="1">
      <alignment horizontal="right"/>
    </xf>
    <xf numFmtId="43" fontId="50" fillId="0" borderId="12" xfId="1" applyFont="1" applyBorder="1"/>
    <xf numFmtId="43" fontId="46" fillId="0" borderId="0" xfId="1" quotePrefix="1" applyFont="1"/>
    <xf numFmtId="167" fontId="47" fillId="0" borderId="0" xfId="47" applyFont="1" applyBorder="1" applyAlignment="1">
      <alignment horizontal="center" wrapText="1"/>
    </xf>
    <xf numFmtId="43" fontId="47" fillId="0" borderId="0" xfId="57" applyFont="1" applyFill="1" applyBorder="1" applyAlignment="1">
      <alignment horizontal="center" vertical="center"/>
    </xf>
    <xf numFmtId="43" fontId="46" fillId="0" borderId="0" xfId="57" applyFont="1" applyBorder="1" applyAlignment="1">
      <alignment horizontal="center" vertical="center"/>
    </xf>
    <xf numFmtId="43" fontId="46" fillId="0" borderId="0" xfId="57" applyFont="1" applyFill="1" applyBorder="1"/>
    <xf numFmtId="43" fontId="46" fillId="0" borderId="1" xfId="57" applyFont="1" applyBorder="1"/>
    <xf numFmtId="43" fontId="47" fillId="0" borderId="0" xfId="57" applyFont="1" applyBorder="1" applyAlignment="1">
      <alignment vertical="center"/>
    </xf>
    <xf numFmtId="43" fontId="46" fillId="0" borderId="0" xfId="57" applyFont="1" applyBorder="1"/>
    <xf numFmtId="43" fontId="47" fillId="0" borderId="0" xfId="57" applyFont="1" applyFill="1" applyBorder="1"/>
    <xf numFmtId="43" fontId="47" fillId="0" borderId="0" xfId="57" applyFont="1" applyFill="1" applyBorder="1" applyAlignment="1">
      <alignment horizontal="right" vertical="center"/>
    </xf>
    <xf numFmtId="43" fontId="46" fillId="0" borderId="0" xfId="57" applyFont="1" applyFill="1" applyBorder="1" applyAlignment="1">
      <alignment horizontal="center" vertical="center"/>
    </xf>
    <xf numFmtId="43" fontId="46" fillId="0" borderId="0" xfId="57" applyFont="1" applyFill="1" applyBorder="1" applyAlignment="1">
      <alignment vertical="center"/>
    </xf>
    <xf numFmtId="43" fontId="47" fillId="2" borderId="0" xfId="57" applyFont="1" applyFill="1" applyBorder="1"/>
    <xf numFmtId="43" fontId="46" fillId="0" borderId="0" xfId="57" applyFont="1" applyFill="1" applyBorder="1" applyAlignment="1">
      <alignment horizontal="left" vertical="center"/>
    </xf>
    <xf numFmtId="43" fontId="46" fillId="0" borderId="0" xfId="103" applyFont="1"/>
    <xf numFmtId="43" fontId="46" fillId="0" borderId="12" xfId="57" applyFont="1" applyFill="1" applyBorder="1"/>
    <xf numFmtId="43" fontId="47" fillId="0" borderId="12" xfId="57" applyFont="1" applyFill="1" applyBorder="1"/>
    <xf numFmtId="0" fontId="55" fillId="0" borderId="0" xfId="104" applyFont="1"/>
    <xf numFmtId="43" fontId="47" fillId="0" borderId="0" xfId="57" applyFont="1" applyBorder="1" applyAlignment="1">
      <alignment horizontal="center" vertical="center"/>
    </xf>
    <xf numFmtId="0" fontId="56" fillId="0" borderId="0" xfId="104" applyFont="1" applyAlignment="1">
      <alignment horizontal="left" vertical="center"/>
    </xf>
    <xf numFmtId="0" fontId="55" fillId="0" borderId="0" xfId="104" applyFont="1" applyAlignment="1">
      <alignment horizontal="center" vertical="center"/>
    </xf>
    <xf numFmtId="14" fontId="56" fillId="0" borderId="0" xfId="104" applyNumberFormat="1" applyFont="1" applyAlignment="1">
      <alignment horizontal="left" vertical="center"/>
    </xf>
    <xf numFmtId="0" fontId="56" fillId="0" borderId="0" xfId="104" applyFont="1"/>
    <xf numFmtId="0" fontId="56" fillId="0" borderId="0" xfId="104" applyFont="1" applyAlignment="1">
      <alignment horizontal="center" vertical="center"/>
    </xf>
    <xf numFmtId="174" fontId="46" fillId="0" borderId="0" xfId="103" applyNumberFormat="1" applyFont="1"/>
    <xf numFmtId="43" fontId="47" fillId="0" borderId="0" xfId="103" applyFont="1"/>
    <xf numFmtId="0" fontId="56" fillId="0" borderId="0" xfId="104" applyFont="1" applyAlignment="1">
      <alignment horizontal="center"/>
    </xf>
    <xf numFmtId="43" fontId="47" fillId="0" borderId="0" xfId="103" applyFont="1" applyBorder="1" applyAlignment="1">
      <alignment horizontal="center" vertical="center"/>
    </xf>
    <xf numFmtId="43" fontId="46" fillId="0" borderId="12" xfId="103" applyFont="1" applyBorder="1"/>
    <xf numFmtId="0" fontId="55" fillId="0" borderId="12" xfId="104" applyFont="1" applyBorder="1" applyAlignment="1">
      <alignment horizontal="center"/>
    </xf>
    <xf numFmtId="44" fontId="46" fillId="0" borderId="12" xfId="105" applyFont="1" applyBorder="1"/>
    <xf numFmtId="44" fontId="55" fillId="0" borderId="12" xfId="105" applyFont="1" applyBorder="1"/>
    <xf numFmtId="43" fontId="46" fillId="0" borderId="15" xfId="103" applyFont="1" applyBorder="1"/>
    <xf numFmtId="0" fontId="55" fillId="0" borderId="15" xfId="104" applyFont="1" applyBorder="1" applyAlignment="1">
      <alignment horizontal="center"/>
    </xf>
    <xf numFmtId="44" fontId="46" fillId="0" borderId="15" xfId="105" applyFont="1" applyBorder="1"/>
    <xf numFmtId="44" fontId="55" fillId="0" borderId="15" xfId="105" applyFont="1" applyBorder="1"/>
    <xf numFmtId="2" fontId="55" fillId="0" borderId="0" xfId="57" applyNumberFormat="1" applyFont="1"/>
    <xf numFmtId="2" fontId="55" fillId="0" borderId="0" xfId="104" applyNumberFormat="1" applyFont="1"/>
    <xf numFmtId="43" fontId="56" fillId="2" borderId="0" xfId="103" applyFont="1" applyFill="1"/>
    <xf numFmtId="2" fontId="55" fillId="0" borderId="0" xfId="57" applyNumberFormat="1" applyFont="1" applyAlignment="1">
      <alignment horizontal="center" vertical="center"/>
    </xf>
    <xf numFmtId="0" fontId="55" fillId="0" borderId="9" xfId="104" applyFont="1" applyBorder="1" applyAlignment="1">
      <alignment horizontal="center"/>
    </xf>
    <xf numFmtId="44" fontId="46" fillId="0" borderId="15" xfId="105" applyFont="1" applyFill="1" applyBorder="1"/>
    <xf numFmtId="43" fontId="46" fillId="0" borderId="13" xfId="103" applyFont="1" applyBorder="1"/>
    <xf numFmtId="0" fontId="55" fillId="0" borderId="13" xfId="104" applyFont="1" applyBorder="1" applyAlignment="1">
      <alignment horizontal="center"/>
    </xf>
    <xf numFmtId="0" fontId="55" fillId="0" borderId="15" xfId="104" applyFont="1" applyBorder="1"/>
    <xf numFmtId="43" fontId="55" fillId="0" borderId="0" xfId="104" applyNumberFormat="1" applyFont="1"/>
    <xf numFmtId="43" fontId="56" fillId="0" borderId="0" xfId="57" applyFont="1"/>
    <xf numFmtId="17" fontId="55" fillId="0" borderId="0" xfId="104" applyNumberFormat="1" applyFont="1"/>
    <xf numFmtId="43" fontId="46" fillId="0" borderId="12" xfId="57" applyFont="1" applyFill="1" applyBorder="1" applyAlignment="1">
      <alignment horizontal="center" vertical="center"/>
    </xf>
    <xf numFmtId="43" fontId="46" fillId="0" borderId="0" xfId="1" applyFont="1" applyFill="1" applyAlignment="1">
      <alignment horizontal="center" vertical="center" wrapText="1"/>
    </xf>
    <xf numFmtId="0" fontId="46" fillId="0" borderId="12" xfId="99" applyFont="1" applyBorder="1" applyAlignment="1">
      <alignment horizontal="center" vertical="center"/>
    </xf>
    <xf numFmtId="0" fontId="46" fillId="0" borderId="15" xfId="99" applyFont="1" applyBorder="1" applyAlignment="1">
      <alignment horizontal="center" vertical="center"/>
    </xf>
    <xf numFmtId="14" fontId="55" fillId="0" borderId="0" xfId="104" applyNumberFormat="1" applyFont="1" applyAlignment="1">
      <alignment horizontal="center" vertical="center"/>
    </xf>
    <xf numFmtId="0" fontId="43" fillId="0" borderId="3" xfId="0" applyFont="1" applyBorder="1"/>
    <xf numFmtId="0" fontId="44" fillId="0" borderId="11" xfId="0" applyFont="1" applyBorder="1"/>
    <xf numFmtId="0" fontId="0" fillId="0" borderId="16" xfId="0" applyBorder="1"/>
    <xf numFmtId="0" fontId="44" fillId="0" borderId="17" xfId="0" applyFont="1" applyBorder="1"/>
    <xf numFmtId="0" fontId="0" fillId="0" borderId="18" xfId="0" applyBorder="1"/>
    <xf numFmtId="43" fontId="46" fillId="0" borderId="15" xfId="1" applyFont="1" applyFill="1" applyBorder="1" applyAlignment="1">
      <alignment horizontal="center" vertical="center"/>
    </xf>
    <xf numFmtId="43" fontId="50" fillId="2" borderId="12" xfId="1" applyFont="1" applyFill="1" applyBorder="1"/>
    <xf numFmtId="43" fontId="55" fillId="0" borderId="53" xfId="73" applyFont="1" applyBorder="1"/>
    <xf numFmtId="43" fontId="83" fillId="2" borderId="53" xfId="73" applyFont="1" applyFill="1" applyBorder="1"/>
    <xf numFmtId="43" fontId="56" fillId="0" borderId="53" xfId="73" applyFont="1" applyBorder="1" applyAlignment="1">
      <alignment horizontal="center"/>
    </xf>
    <xf numFmtId="43" fontId="47" fillId="0" borderId="53" xfId="1" applyFont="1" applyBorder="1" applyAlignment="1">
      <alignment horizontal="center" vertical="center"/>
    </xf>
    <xf numFmtId="43" fontId="56" fillId="0" borderId="53" xfId="73" applyFont="1" applyBorder="1" applyAlignment="1">
      <alignment horizontal="center" vertical="center"/>
    </xf>
    <xf numFmtId="43" fontId="46" fillId="0" borderId="54" xfId="1" applyFont="1" applyBorder="1"/>
    <xf numFmtId="43" fontId="55" fillId="0" borderId="55" xfId="73" applyFont="1" applyBorder="1"/>
    <xf numFmtId="43" fontId="47" fillId="8" borderId="53" xfId="1" applyFont="1" applyFill="1" applyBorder="1" applyAlignment="1">
      <alignment horizontal="center" wrapText="1"/>
    </xf>
    <xf numFmtId="43" fontId="47" fillId="0" borderId="55" xfId="1" applyFont="1" applyFill="1" applyBorder="1" applyAlignment="1">
      <alignment horizontal="center" vertical="center" wrapText="1"/>
    </xf>
    <xf numFmtId="49" fontId="46" fillId="0" borderId="54" xfId="8" applyNumberFormat="1" applyFont="1" applyBorder="1" applyAlignment="1">
      <alignment horizontal="center" vertical="center"/>
    </xf>
    <xf numFmtId="0" fontId="46" fillId="0" borderId="54" xfId="2" applyFont="1" applyBorder="1" applyAlignment="1">
      <alignment horizontal="center" vertical="center" wrapText="1"/>
    </xf>
    <xf numFmtId="177" fontId="46" fillId="0" borderId="54" xfId="1" applyNumberFormat="1" applyFont="1" applyFill="1" applyBorder="1" applyAlignment="1">
      <alignment horizontal="center" vertical="center" wrapText="1"/>
    </xf>
    <xf numFmtId="0" fontId="46" fillId="0" borderId="54" xfId="99" applyFont="1" applyBorder="1" applyAlignment="1">
      <alignment horizontal="center" vertical="center"/>
    </xf>
    <xf numFmtId="43" fontId="55" fillId="0" borderId="54" xfId="1" applyFont="1" applyFill="1" applyBorder="1" applyAlignment="1">
      <alignment horizontal="center" vertical="center"/>
    </xf>
    <xf numFmtId="43" fontId="47" fillId="0" borderId="53" xfId="1" applyFont="1" applyFill="1" applyBorder="1" applyAlignment="1">
      <alignment horizontal="center" vertical="center"/>
    </xf>
    <xf numFmtId="43" fontId="46" fillId="0" borderId="54" xfId="1" applyFont="1" applyFill="1" applyBorder="1" applyAlignment="1">
      <alignment horizontal="center" vertical="center" wrapText="1"/>
    </xf>
    <xf numFmtId="43" fontId="46" fillId="0" borderId="54" xfId="1" applyFont="1" applyFill="1" applyBorder="1" applyAlignment="1">
      <alignment horizontal="center" vertical="center"/>
    </xf>
    <xf numFmtId="43" fontId="47" fillId="0" borderId="35" xfId="1" applyFont="1" applyBorder="1" applyAlignment="1">
      <alignment wrapText="1"/>
    </xf>
    <xf numFmtId="171" fontId="47" fillId="0" borderId="53" xfId="47" applyNumberFormat="1" applyFont="1" applyBorder="1" applyAlignment="1">
      <alignment horizontal="center" vertical="center" wrapText="1"/>
    </xf>
    <xf numFmtId="0" fontId="51" fillId="11" borderId="53" xfId="25" applyFont="1" applyFill="1" applyBorder="1" applyAlignment="1">
      <alignment horizontal="center" vertical="center" wrapText="1"/>
    </xf>
    <xf numFmtId="171" fontId="47" fillId="0" borderId="53" xfId="47" applyNumberFormat="1" applyFont="1" applyBorder="1" applyAlignment="1">
      <alignment horizontal="center" wrapText="1"/>
    </xf>
    <xf numFmtId="0" fontId="46" fillId="0" borderId="57" xfId="25" applyFont="1" applyBorder="1" applyAlignment="1">
      <alignment horizontal="center" vertical="center" wrapText="1"/>
    </xf>
    <xf numFmtId="0" fontId="46" fillId="0" borderId="58" xfId="25" applyFont="1" applyBorder="1" applyAlignment="1">
      <alignment horizontal="center" vertical="center" wrapText="1"/>
    </xf>
    <xf numFmtId="0" fontId="53" fillId="0" borderId="53" xfId="49" applyFont="1" applyBorder="1" applyAlignment="1">
      <alignment horizontal="center"/>
    </xf>
    <xf numFmtId="168" fontId="47" fillId="0" borderId="53" xfId="48" applyFont="1" applyBorder="1" applyAlignment="1">
      <alignment horizontal="center"/>
    </xf>
    <xf numFmtId="0" fontId="49" fillId="0" borderId="55" xfId="41" applyFont="1" applyBorder="1" applyAlignment="1">
      <alignment horizontal="right"/>
    </xf>
    <xf numFmtId="0" fontId="44" fillId="15" borderId="53" xfId="0" applyFont="1" applyFill="1" applyBorder="1"/>
    <xf numFmtId="0" fontId="43" fillId="0" borderId="53" xfId="0" applyFont="1" applyBorder="1"/>
    <xf numFmtId="0" fontId="44" fillId="0" borderId="54" xfId="0" applyFont="1" applyBorder="1"/>
    <xf numFmtId="0" fontId="44" fillId="0" borderId="56" xfId="0" applyFont="1" applyBorder="1"/>
    <xf numFmtId="0" fontId="0" fillId="0" borderId="60" xfId="0" applyBorder="1"/>
    <xf numFmtId="0" fontId="63" fillId="0" borderId="55" xfId="36" applyFont="1" applyBorder="1"/>
    <xf numFmtId="0" fontId="69" fillId="0" borderId="59" xfId="36" applyFont="1" applyBorder="1" applyAlignment="1">
      <alignment vertical="center" wrapText="1"/>
    </xf>
    <xf numFmtId="0" fontId="70" fillId="0" borderId="59" xfId="36" applyFont="1" applyBorder="1" applyAlignment="1">
      <alignment horizontal="center" vertical="center" wrapText="1"/>
    </xf>
    <xf numFmtId="0" fontId="63" fillId="0" borderId="59" xfId="36" applyFont="1" applyBorder="1"/>
    <xf numFmtId="0" fontId="71" fillId="0" borderId="59" xfId="36" applyFont="1" applyBorder="1" applyAlignment="1">
      <alignment horizontal="left" wrapText="1" shrinkToFit="1"/>
    </xf>
    <xf numFmtId="14" fontId="72" fillId="0" borderId="61" xfId="36" applyNumberFormat="1" applyFont="1" applyBorder="1" applyAlignment="1">
      <alignment horizontal="center" vertical="center"/>
    </xf>
    <xf numFmtId="43" fontId="47" fillId="0" borderId="53" xfId="35" applyFont="1" applyBorder="1" applyAlignment="1">
      <alignment horizontal="center"/>
    </xf>
    <xf numFmtId="3" fontId="75" fillId="0" borderId="54" xfId="6" applyNumberFormat="1" applyFont="1" applyBorder="1" applyAlignment="1">
      <alignment horizontal="center"/>
    </xf>
    <xf numFmtId="43" fontId="46" fillId="0" borderId="54" xfId="1" applyFont="1" applyBorder="1" applyAlignment="1">
      <alignment horizontal="right"/>
    </xf>
    <xf numFmtId="43" fontId="47" fillId="0" borderId="54" xfId="1" applyFont="1" applyBorder="1"/>
    <xf numFmtId="4" fontId="74" fillId="0" borderId="54" xfId="6" applyNumberFormat="1" applyFont="1" applyBorder="1" applyAlignment="1">
      <alignment horizontal="center"/>
    </xf>
    <xf numFmtId="43" fontId="46" fillId="0" borderId="54" xfId="57" applyFont="1" applyFill="1" applyBorder="1" applyAlignment="1">
      <alignment horizontal="center" vertical="center"/>
    </xf>
    <xf numFmtId="43" fontId="47" fillId="0" borderId="53" xfId="57" applyFont="1" applyFill="1" applyBorder="1" applyAlignment="1">
      <alignment horizontal="right" vertical="center"/>
    </xf>
    <xf numFmtId="43" fontId="47" fillId="0" borderId="53" xfId="57" applyFont="1" applyFill="1" applyBorder="1" applyAlignment="1">
      <alignment horizontal="center" vertical="center"/>
    </xf>
    <xf numFmtId="43" fontId="46" fillId="0" borderId="54" xfId="57" applyFont="1" applyFill="1" applyBorder="1"/>
    <xf numFmtId="43" fontId="47" fillId="0" borderId="54" xfId="57" applyFont="1" applyFill="1" applyBorder="1"/>
    <xf numFmtId="0" fontId="82" fillId="0" borderId="59" xfId="102" applyFont="1" applyBorder="1"/>
    <xf numFmtId="43" fontId="47" fillId="0" borderId="53" xfId="103" applyFont="1" applyBorder="1" applyAlignment="1">
      <alignment horizontal="center" vertical="center"/>
    </xf>
    <xf numFmtId="43" fontId="47" fillId="0" borderId="55" xfId="103" applyFont="1" applyBorder="1"/>
    <xf numFmtId="43" fontId="47" fillId="0" borderId="59" xfId="103" applyFont="1" applyBorder="1" applyAlignment="1">
      <alignment horizontal="center" vertical="center"/>
    </xf>
    <xf numFmtId="0" fontId="55" fillId="0" borderId="61" xfId="104" applyFont="1" applyBorder="1"/>
    <xf numFmtId="43" fontId="46" fillId="0" borderId="54" xfId="103" applyFont="1" applyBorder="1"/>
    <xf numFmtId="0" fontId="55" fillId="0" borderId="54" xfId="104" applyFont="1" applyBorder="1" applyAlignment="1">
      <alignment horizontal="center"/>
    </xf>
    <xf numFmtId="44" fontId="46" fillId="0" borderId="54" xfId="105" applyFont="1" applyBorder="1"/>
    <xf numFmtId="44" fontId="55" fillId="0" borderId="54" xfId="105" applyFont="1" applyBorder="1"/>
    <xf numFmtId="0" fontId="56" fillId="0" borderId="59" xfId="104" applyFont="1" applyBorder="1" applyAlignment="1">
      <alignment horizontal="center" vertical="center"/>
    </xf>
    <xf numFmtId="0" fontId="55" fillId="0" borderId="54" xfId="104" applyFont="1" applyBorder="1"/>
    <xf numFmtId="43" fontId="55" fillId="0" borderId="59" xfId="73" applyFont="1" applyBorder="1"/>
    <xf numFmtId="43" fontId="56" fillId="2" borderId="61" xfId="73" applyFont="1" applyFill="1" applyBorder="1"/>
    <xf numFmtId="0" fontId="47" fillId="0" borderId="61" xfId="2" applyFont="1" applyBorder="1" applyAlignment="1">
      <alignment horizontal="center" vertical="center" wrapText="1"/>
    </xf>
    <xf numFmtId="0" fontId="46" fillId="0" borderId="59" xfId="2" applyFont="1" applyBorder="1" applyAlignment="1">
      <alignment horizontal="center" vertical="center" wrapText="1"/>
    </xf>
    <xf numFmtId="177" fontId="46" fillId="0" borderId="59" xfId="1" applyNumberFormat="1" applyFont="1" applyFill="1" applyBorder="1" applyAlignment="1">
      <alignment horizontal="center" vertical="center" wrapText="1"/>
    </xf>
    <xf numFmtId="0" fontId="55" fillId="0" borderId="59" xfId="41" applyFont="1" applyBorder="1"/>
    <xf numFmtId="43" fontId="56" fillId="0" borderId="59" xfId="52" applyFont="1" applyBorder="1"/>
    <xf numFmtId="43" fontId="58" fillId="0" borderId="61" xfId="11" applyNumberFormat="1" applyFont="1" applyFill="1" applyBorder="1"/>
    <xf numFmtId="43" fontId="55" fillId="0" borderId="61" xfId="52" applyFont="1" applyFill="1" applyBorder="1"/>
    <xf numFmtId="43" fontId="46" fillId="0" borderId="62" xfId="103" applyFont="1" applyBorder="1"/>
    <xf numFmtId="44" fontId="47" fillId="0" borderId="62" xfId="105" applyFont="1" applyFill="1" applyBorder="1"/>
    <xf numFmtId="177" fontId="56" fillId="0" borderId="0" xfId="1" applyNumberFormat="1" applyFont="1"/>
    <xf numFmtId="177" fontId="55" fillId="0" borderId="59" xfId="1" applyNumberFormat="1" applyFont="1" applyBorder="1"/>
    <xf numFmtId="0" fontId="93" fillId="0" borderId="0" xfId="102" applyFont="1"/>
    <xf numFmtId="0" fontId="46" fillId="0" borderId="0" xfId="0" applyFont="1" applyBorder="1"/>
    <xf numFmtId="17" fontId="46" fillId="0" borderId="0" xfId="0" applyNumberFormat="1" applyFont="1" applyBorder="1"/>
    <xf numFmtId="17" fontId="92" fillId="0" borderId="0" xfId="102" applyNumberFormat="1" applyFont="1"/>
    <xf numFmtId="168" fontId="92" fillId="0" borderId="61" xfId="102" applyNumberFormat="1" applyFont="1" applyBorder="1"/>
    <xf numFmtId="43" fontId="47" fillId="0" borderId="0" xfId="57" applyFont="1" applyFill="1" applyBorder="1" applyAlignment="1">
      <alignment vertical="center"/>
    </xf>
    <xf numFmtId="43" fontId="47" fillId="10" borderId="53" xfId="57" applyFont="1" applyFill="1" applyBorder="1" applyAlignment="1">
      <alignment horizontal="center" vertical="center"/>
    </xf>
    <xf numFmtId="43" fontId="46" fillId="0" borderId="12" xfId="57" applyFont="1" applyFill="1" applyBorder="1" applyAlignment="1">
      <alignment horizontal="center"/>
    </xf>
    <xf numFmtId="177" fontId="46" fillId="0" borderId="0" xfId="1" applyNumberFormat="1" applyFont="1"/>
    <xf numFmtId="177" fontId="46" fillId="0" borderId="0" xfId="1" applyNumberFormat="1" applyFont="1" applyBorder="1" applyAlignment="1">
      <alignment horizontal="center" vertical="center" wrapText="1"/>
    </xf>
    <xf numFmtId="177" fontId="47" fillId="0" borderId="53" xfId="1" applyNumberFormat="1" applyFont="1" applyFill="1" applyBorder="1" applyAlignment="1">
      <alignment horizontal="center" vertical="center"/>
    </xf>
    <xf numFmtId="177" fontId="46" fillId="0" borderId="12" xfId="1" applyNumberFormat="1" applyFont="1" applyBorder="1"/>
    <xf numFmtId="177" fontId="46" fillId="0" borderId="35" xfId="1" applyNumberFormat="1" applyFont="1" applyFill="1" applyBorder="1" applyAlignment="1">
      <alignment horizontal="center" vertical="center" wrapText="1"/>
    </xf>
    <xf numFmtId="177" fontId="46" fillId="0" borderId="54" xfId="1" applyNumberFormat="1" applyFont="1" applyBorder="1"/>
    <xf numFmtId="177" fontId="46" fillId="0" borderId="59" xfId="1" applyNumberFormat="1" applyFont="1" applyBorder="1"/>
    <xf numFmtId="177" fontId="46" fillId="0" borderId="0" xfId="1" applyNumberFormat="1" applyFont="1" applyFill="1" applyBorder="1" applyAlignment="1">
      <alignment horizontal="center" vertical="center" wrapText="1"/>
    </xf>
    <xf numFmtId="43" fontId="46" fillId="2" borderId="0" xfId="57" applyFont="1" applyFill="1" applyBorder="1"/>
    <xf numFmtId="43" fontId="46" fillId="0" borderId="0" xfId="57" applyFont="1"/>
    <xf numFmtId="43" fontId="46" fillId="0" borderId="15" xfId="35" applyFont="1" applyBorder="1"/>
    <xf numFmtId="3" fontId="74" fillId="0" borderId="15" xfId="0" applyNumberFormat="1" applyFont="1" applyBorder="1" applyAlignment="1">
      <alignment horizontal="center"/>
    </xf>
    <xf numFmtId="0" fontId="47" fillId="0" borderId="0" xfId="0" applyFont="1" applyBorder="1" applyAlignment="1">
      <alignment horizontal="center" vertical="center"/>
    </xf>
    <xf numFmtId="165" fontId="46" fillId="0" borderId="0" xfId="0" applyNumberFormat="1" applyFont="1" applyBorder="1"/>
    <xf numFmtId="43" fontId="47" fillId="2" borderId="0" xfId="1" applyFont="1" applyFill="1" applyBorder="1" applyAlignment="1">
      <alignment horizontal="center" vertical="center"/>
    </xf>
    <xf numFmtId="43" fontId="46" fillId="0" borderId="12" xfId="1" applyFont="1" applyFill="1" applyBorder="1" applyAlignment="1">
      <alignment horizontal="left" vertical="center" wrapText="1"/>
    </xf>
    <xf numFmtId="43" fontId="62" fillId="0" borderId="53" xfId="73" applyFont="1" applyBorder="1" applyAlignment="1">
      <alignment horizontal="center" vertical="center"/>
    </xf>
    <xf numFmtId="43" fontId="55" fillId="0" borderId="53" xfId="73" applyFont="1" applyBorder="1" applyAlignment="1">
      <alignment horizontal="center" vertical="center"/>
    </xf>
    <xf numFmtId="43" fontId="54" fillId="0" borderId="33" xfId="57" applyFont="1" applyBorder="1" applyAlignment="1">
      <alignment horizontal="left" vertical="center"/>
    </xf>
    <xf numFmtId="43" fontId="46" fillId="0" borderId="34" xfId="57" applyFont="1" applyBorder="1" applyAlignment="1">
      <alignment horizontal="center" vertical="center"/>
    </xf>
    <xf numFmtId="43" fontId="47" fillId="0" borderId="34" xfId="57" applyFont="1" applyFill="1" applyBorder="1" applyAlignment="1">
      <alignment horizontal="center" vertical="center"/>
    </xf>
    <xf numFmtId="43" fontId="47" fillId="0" borderId="35" xfId="57" applyFont="1" applyBorder="1" applyAlignment="1">
      <alignment vertical="center"/>
    </xf>
    <xf numFmtId="167" fontId="0" fillId="0" borderId="0" xfId="3" applyFont="1"/>
    <xf numFmtId="166" fontId="0" fillId="2" borderId="12" xfId="0" applyNumberFormat="1" applyFill="1" applyBorder="1"/>
    <xf numFmtId="43" fontId="46" fillId="0" borderId="12" xfId="57" applyFont="1" applyBorder="1"/>
    <xf numFmtId="43" fontId="46" fillId="0" borderId="15" xfId="57" applyFont="1" applyBorder="1"/>
    <xf numFmtId="43" fontId="46" fillId="0" borderId="12" xfId="57" applyFont="1" applyFill="1" applyBorder="1" applyAlignment="1">
      <alignment horizontal="left" vertical="center"/>
    </xf>
    <xf numFmtId="43" fontId="46" fillId="0" borderId="12" xfId="57" applyFont="1" applyFill="1" applyBorder="1" applyAlignment="1">
      <alignment horizontal="left"/>
    </xf>
    <xf numFmtId="43" fontId="46" fillId="0" borderId="12" xfId="35" applyFont="1" applyBorder="1"/>
    <xf numFmtId="4" fontId="74" fillId="0" borderId="15" xfId="6" applyNumberFormat="1" applyFont="1" applyBorder="1" applyAlignment="1">
      <alignment horizontal="center"/>
    </xf>
    <xf numFmtId="0" fontId="46" fillId="0" borderId="0" xfId="2" applyFont="1" applyAlignment="1">
      <alignment horizontal="left" vertical="center" wrapText="1"/>
    </xf>
    <xf numFmtId="0" fontId="54" fillId="0" borderId="0" xfId="2" applyFont="1" applyAlignment="1">
      <alignment horizontal="left" vertical="center"/>
    </xf>
    <xf numFmtId="0" fontId="53" fillId="0" borderId="53" xfId="49" applyFont="1" applyBorder="1" applyAlignment="1">
      <alignment horizontal="left"/>
    </xf>
    <xf numFmtId="0" fontId="55" fillId="0" borderId="0" xfId="41" applyFont="1" applyAlignment="1">
      <alignment horizontal="left"/>
    </xf>
    <xf numFmtId="0" fontId="55" fillId="0" borderId="59" xfId="41" applyFont="1" applyBorder="1" applyAlignment="1">
      <alignment horizontal="left"/>
    </xf>
    <xf numFmtId="0" fontId="46" fillId="0" borderId="0" xfId="0" applyFont="1" applyBorder="1" applyAlignment="1">
      <alignment horizontal="center" vertical="center"/>
    </xf>
    <xf numFmtId="14" fontId="46" fillId="0" borderId="0" xfId="0" applyNumberFormat="1" applyFont="1" applyBorder="1"/>
    <xf numFmtId="177" fontId="47" fillId="0" borderId="0" xfId="1" applyNumberFormat="1" applyFont="1" applyFill="1" applyBorder="1" applyAlignment="1">
      <alignment horizontal="center" vertical="center" wrapText="1"/>
    </xf>
    <xf numFmtId="177" fontId="47" fillId="0" borderId="53" xfId="1" applyNumberFormat="1" applyFont="1" applyBorder="1" applyAlignment="1">
      <alignment horizontal="center" vertical="center" wrapText="1"/>
    </xf>
    <xf numFmtId="177" fontId="47" fillId="0" borderId="59" xfId="1" applyNumberFormat="1" applyFont="1" applyFill="1" applyBorder="1" applyAlignment="1">
      <alignment horizontal="center" vertical="center" wrapText="1"/>
    </xf>
    <xf numFmtId="177" fontId="47" fillId="0" borderId="3" xfId="1" applyNumberFormat="1" applyFont="1" applyFill="1" applyBorder="1" applyAlignment="1">
      <alignment horizontal="center" vertical="center" wrapText="1"/>
    </xf>
    <xf numFmtId="177" fontId="47" fillId="0" borderId="0" xfId="1" applyNumberFormat="1" applyFont="1"/>
    <xf numFmtId="177" fontId="47" fillId="0" borderId="61" xfId="1" applyNumberFormat="1" applyFont="1" applyFill="1" applyBorder="1" applyAlignment="1">
      <alignment horizontal="center" vertical="center" wrapText="1"/>
    </xf>
    <xf numFmtId="177" fontId="47" fillId="0" borderId="2" xfId="1" applyNumberFormat="1" applyFont="1" applyFill="1" applyBorder="1" applyAlignment="1">
      <alignment horizontal="center" vertical="center" wrapText="1"/>
    </xf>
    <xf numFmtId="43" fontId="56" fillId="0" borderId="55" xfId="73" applyFont="1" applyBorder="1"/>
    <xf numFmtId="43" fontId="56" fillId="0" borderId="61" xfId="73" applyFont="1" applyFill="1" applyBorder="1"/>
    <xf numFmtId="43" fontId="56" fillId="0" borderId="0" xfId="73" applyFont="1" applyFill="1"/>
    <xf numFmtId="43" fontId="55" fillId="0" borderId="59" xfId="73" applyFont="1" applyFill="1" applyBorder="1"/>
    <xf numFmtId="43" fontId="56" fillId="0" borderId="53" xfId="73" applyFont="1" applyFill="1" applyBorder="1"/>
    <xf numFmtId="43" fontId="55" fillId="0" borderId="0" xfId="73" applyFont="1" applyBorder="1" applyAlignment="1">
      <alignment horizontal="center" vertical="center"/>
    </xf>
    <xf numFmtId="43" fontId="56" fillId="0" borderId="0" xfId="73" applyFont="1" applyAlignment="1">
      <alignment vertical="center"/>
    </xf>
    <xf numFmtId="43" fontId="56" fillId="2" borderId="53" xfId="73" applyFont="1" applyFill="1" applyBorder="1"/>
    <xf numFmtId="43" fontId="56" fillId="0" borderId="59" xfId="73" applyFont="1" applyBorder="1"/>
    <xf numFmtId="43" fontId="56" fillId="0" borderId="61" xfId="73" applyFont="1" applyBorder="1"/>
    <xf numFmtId="43" fontId="56" fillId="0" borderId="0" xfId="73" applyFont="1" applyAlignment="1">
      <alignment horizontal="center" vertical="center"/>
    </xf>
    <xf numFmtId="14" fontId="56" fillId="0" borderId="0" xfId="73" applyNumberFormat="1" applyFont="1" applyAlignment="1">
      <alignment horizontal="right" vertical="center"/>
    </xf>
    <xf numFmtId="0" fontId="46" fillId="0" borderId="12" xfId="0" applyFont="1" applyBorder="1" applyAlignment="1">
      <alignment horizontal="left" vertical="center"/>
    </xf>
    <xf numFmtId="9" fontId="55" fillId="0" borderId="0" xfId="30" applyFont="1"/>
    <xf numFmtId="43" fontId="47" fillId="0" borderId="0" xfId="1" applyFont="1" applyFill="1" applyBorder="1"/>
    <xf numFmtId="43" fontId="46" fillId="0" borderId="0" xfId="1" applyFont="1" applyFill="1" applyBorder="1"/>
    <xf numFmtId="14" fontId="47" fillId="0" borderId="0" xfId="1" applyNumberFormat="1" applyFont="1" applyBorder="1"/>
    <xf numFmtId="0" fontId="46" fillId="0" borderId="0" xfId="0" applyFont="1" applyBorder="1" applyAlignment="1">
      <alignment horizontal="left" vertical="center"/>
    </xf>
    <xf numFmtId="43" fontId="46" fillId="0" borderId="12" xfId="43" applyFont="1" applyFill="1" applyBorder="1" applyAlignment="1">
      <alignment horizontal="center" vertical="center"/>
    </xf>
    <xf numFmtId="43" fontId="46" fillId="0" borderId="15" xfId="43" applyFont="1" applyFill="1" applyBorder="1" applyAlignment="1">
      <alignment horizontal="center" vertical="center"/>
    </xf>
    <xf numFmtId="43" fontId="81" fillId="0" borderId="0" xfId="57" applyFont="1" applyAlignment="1">
      <alignment horizontal="center" vertical="center"/>
    </xf>
    <xf numFmtId="165" fontId="81" fillId="0" borderId="0" xfId="102" applyNumberFormat="1" applyFont="1" applyAlignment="1">
      <alignment horizontal="center" vertical="center"/>
    </xf>
    <xf numFmtId="168" fontId="93" fillId="0" borderId="0" xfId="102" applyNumberFormat="1" applyFont="1" applyAlignment="1">
      <alignment horizontal="center" vertical="center"/>
    </xf>
    <xf numFmtId="0" fontId="46" fillId="0" borderId="0" xfId="0" applyFont="1" applyBorder="1" applyAlignment="1">
      <alignment horizontal="center"/>
    </xf>
    <xf numFmtId="165" fontId="81" fillId="0" borderId="0" xfId="102" applyNumberFormat="1" applyFont="1" applyAlignment="1">
      <alignment horizontal="center"/>
    </xf>
    <xf numFmtId="43" fontId="81" fillId="0" borderId="0" xfId="57" applyFont="1" applyAlignment="1">
      <alignment horizontal="center"/>
    </xf>
    <xf numFmtId="168" fontId="93" fillId="0" borderId="0" xfId="102" applyNumberFormat="1" applyFont="1" applyAlignment="1">
      <alignment horizontal="center"/>
    </xf>
    <xf numFmtId="165" fontId="81" fillId="2" borderId="0" xfId="102" applyNumberFormat="1" applyFont="1" applyFill="1" applyAlignment="1">
      <alignment horizontal="center"/>
    </xf>
    <xf numFmtId="0" fontId="92" fillId="0" borderId="0" xfId="102" applyFont="1" applyAlignment="1">
      <alignment horizontal="left"/>
    </xf>
    <xf numFmtId="0" fontId="93" fillId="0" borderId="0" xfId="102" applyFont="1" applyAlignment="1">
      <alignment horizontal="left"/>
    </xf>
    <xf numFmtId="0" fontId="82" fillId="0" borderId="55" xfId="102" applyFont="1" applyBorder="1" applyAlignment="1">
      <alignment horizontal="left"/>
    </xf>
    <xf numFmtId="0" fontId="81" fillId="0" borderId="0" xfId="102" applyFont="1" applyAlignment="1">
      <alignment horizontal="left" vertical="center" wrapText="1"/>
    </xf>
    <xf numFmtId="0" fontId="81" fillId="0" borderId="0" xfId="102" applyFont="1" applyAlignment="1">
      <alignment horizontal="left"/>
    </xf>
    <xf numFmtId="0" fontId="81" fillId="0" borderId="0" xfId="102" applyFont="1" applyAlignment="1">
      <alignment horizontal="left" wrapText="1"/>
    </xf>
    <xf numFmtId="0" fontId="46" fillId="0" borderId="0" xfId="0" applyFont="1" applyBorder="1" applyAlignment="1">
      <alignment horizontal="left"/>
    </xf>
    <xf numFmtId="0" fontId="82" fillId="0" borderId="59" xfId="102" applyFont="1" applyBorder="1" applyAlignment="1">
      <alignment horizontal="center" vertical="center"/>
    </xf>
    <xf numFmtId="0" fontId="92" fillId="0" borderId="61" xfId="102" applyFont="1" applyBorder="1" applyAlignment="1">
      <alignment horizontal="center" vertical="center"/>
    </xf>
    <xf numFmtId="43" fontId="81" fillId="0" borderId="59" xfId="57" applyFont="1" applyBorder="1" applyAlignment="1">
      <alignment horizontal="center" vertical="center"/>
    </xf>
    <xf numFmtId="168" fontId="93" fillId="0" borderId="61" xfId="102" applyNumberFormat="1" applyFont="1" applyBorder="1" applyAlignment="1">
      <alignment horizontal="center" vertical="center"/>
    </xf>
    <xf numFmtId="165" fontId="81" fillId="0" borderId="59" xfId="102" applyNumberFormat="1" applyFont="1" applyBorder="1" applyAlignment="1">
      <alignment horizontal="center" vertical="center"/>
    </xf>
    <xf numFmtId="165" fontId="47" fillId="0" borderId="0" xfId="0" applyNumberFormat="1" applyFont="1" applyBorder="1" applyAlignment="1">
      <alignment horizontal="center" vertical="center"/>
    </xf>
    <xf numFmtId="43" fontId="92" fillId="0" borderId="0" xfId="57" applyFont="1"/>
    <xf numFmtId="43" fontId="93" fillId="0" borderId="0" xfId="57" applyFont="1"/>
    <xf numFmtId="43" fontId="93" fillId="0" borderId="0" xfId="57" applyFont="1" applyAlignment="1">
      <alignment horizontal="center"/>
    </xf>
    <xf numFmtId="43" fontId="46" fillId="0" borderId="0" xfId="57" applyFont="1" applyBorder="1" applyAlignment="1">
      <alignment horizontal="center"/>
    </xf>
    <xf numFmtId="14" fontId="46" fillId="0" borderId="0" xfId="57" applyNumberFormat="1" applyFont="1" applyBorder="1" applyAlignment="1">
      <alignment horizontal="center"/>
    </xf>
    <xf numFmtId="14" fontId="92" fillId="0" borderId="0" xfId="57" applyNumberFormat="1" applyFont="1" applyAlignment="1">
      <alignment horizontal="center"/>
    </xf>
    <xf numFmtId="43" fontId="82" fillId="0" borderId="59" xfId="57" applyFont="1" applyBorder="1" applyAlignment="1">
      <alignment horizontal="center" vertical="center"/>
    </xf>
    <xf numFmtId="43" fontId="92" fillId="0" borderId="61" xfId="57" applyFont="1" applyBorder="1" applyAlignment="1">
      <alignment horizontal="center" vertical="center"/>
    </xf>
    <xf numFmtId="43" fontId="82" fillId="0" borderId="55" xfId="57" applyFont="1" applyBorder="1"/>
    <xf numFmtId="43" fontId="81" fillId="2" borderId="0" xfId="57" applyFont="1" applyFill="1"/>
    <xf numFmtId="43" fontId="82" fillId="0" borderId="59" xfId="57" applyFont="1" applyBorder="1"/>
    <xf numFmtId="43" fontId="92" fillId="0" borderId="61" xfId="57" applyFont="1" applyBorder="1"/>
    <xf numFmtId="43" fontId="47" fillId="0" borderId="0" xfId="57" applyFont="1" applyBorder="1" applyAlignment="1">
      <alignment horizontal="right" vertical="center"/>
    </xf>
    <xf numFmtId="43" fontId="46" fillId="0" borderId="0" xfId="57" applyFont="1" applyBorder="1" applyAlignment="1">
      <alignment horizontal="right" vertical="center"/>
    </xf>
    <xf numFmtId="43" fontId="46" fillId="0" borderId="0" xfId="57" applyFont="1" applyBorder="1" applyAlignment="1">
      <alignment vertical="center"/>
    </xf>
    <xf numFmtId="165" fontId="46" fillId="0" borderId="0" xfId="57" applyNumberFormat="1" applyFont="1" applyBorder="1"/>
    <xf numFmtId="43" fontId="47" fillId="0" borderId="0" xfId="57" applyFont="1" applyBorder="1"/>
    <xf numFmtId="43" fontId="46" fillId="0" borderId="0" xfId="57" applyFont="1" applyBorder="1" applyAlignment="1">
      <alignment horizontal="justify" vertical="top"/>
    </xf>
    <xf numFmtId="43" fontId="46" fillId="0" borderId="0" xfId="57" applyFont="1" applyBorder="1" applyAlignment="1">
      <alignment horizontal="left"/>
    </xf>
    <xf numFmtId="43" fontId="47" fillId="0" borderId="0" xfId="57" applyFont="1" applyBorder="1" applyAlignment="1">
      <alignment horizontal="center"/>
    </xf>
    <xf numFmtId="43" fontId="54" fillId="0" borderId="0" xfId="57" applyFont="1" applyBorder="1" applyAlignment="1">
      <alignment horizontal="left" vertical="top"/>
    </xf>
    <xf numFmtId="43" fontId="46" fillId="0" borderId="0" xfId="57" applyFont="1" applyBorder="1" applyAlignment="1">
      <alignment horizontal="right"/>
    </xf>
    <xf numFmtId="43" fontId="61" fillId="0" borderId="0" xfId="57" applyFont="1" applyBorder="1" applyAlignment="1">
      <alignment horizontal="right" vertical="center"/>
    </xf>
    <xf numFmtId="9" fontId="46" fillId="0" borderId="0" xfId="58" applyFont="1" applyBorder="1" applyAlignment="1">
      <alignment horizontal="right" vertical="center"/>
    </xf>
    <xf numFmtId="43" fontId="46" fillId="0" borderId="32" xfId="57" applyFont="1" applyBorder="1"/>
    <xf numFmtId="43" fontId="46" fillId="0" borderId="34" xfId="57" applyFont="1" applyBorder="1"/>
    <xf numFmtId="43" fontId="82" fillId="0" borderId="55" xfId="57" applyFont="1" applyBorder="1" applyAlignment="1">
      <alignment horizontal="left" vertical="center"/>
    </xf>
    <xf numFmtId="9" fontId="46" fillId="0" borderId="0" xfId="30" applyFont="1" applyFill="1" applyBorder="1"/>
    <xf numFmtId="49" fontId="46" fillId="0" borderId="0" xfId="6" applyNumberFormat="1" applyFont="1" applyAlignment="1">
      <alignment vertical="top" wrapText="1"/>
    </xf>
    <xf numFmtId="43" fontId="47" fillId="0" borderId="53" xfId="1" applyFont="1" applyFill="1" applyBorder="1"/>
    <xf numFmtId="43" fontId="46" fillId="0" borderId="12" xfId="1" applyFont="1" applyFill="1" applyBorder="1"/>
    <xf numFmtId="43" fontId="46" fillId="0" borderId="55" xfId="1" applyFont="1" applyBorder="1"/>
    <xf numFmtId="43" fontId="46" fillId="0" borderId="59" xfId="1" applyFont="1" applyBorder="1"/>
    <xf numFmtId="43" fontId="47" fillId="0" borderId="59" xfId="1" applyFont="1" applyBorder="1"/>
    <xf numFmtId="177" fontId="47" fillId="0" borderId="0" xfId="1" applyNumberFormat="1" applyFont="1" applyFill="1" applyBorder="1"/>
    <xf numFmtId="177" fontId="46" fillId="0" borderId="15" xfId="1" applyNumberFormat="1" applyFont="1" applyBorder="1"/>
    <xf numFmtId="43" fontId="47" fillId="0" borderId="59" xfId="1" applyFont="1" applyBorder="1" applyAlignment="1">
      <alignment horizontal="center" vertical="center"/>
    </xf>
    <xf numFmtId="165" fontId="55" fillId="0" borderId="0" xfId="104" applyNumberFormat="1" applyFont="1"/>
    <xf numFmtId="43" fontId="55" fillId="0" borderId="15" xfId="1" applyFont="1" applyFill="1" applyBorder="1" applyAlignment="1">
      <alignment horizontal="center" vertical="center"/>
    </xf>
    <xf numFmtId="43" fontId="55" fillId="0" borderId="54" xfId="1" applyFont="1" applyFill="1" applyBorder="1"/>
    <xf numFmtId="43" fontId="46" fillId="0" borderId="54" xfId="1" applyFont="1" applyBorder="1" applyAlignment="1">
      <alignment horizontal="center" vertical="center"/>
    </xf>
    <xf numFmtId="43" fontId="46" fillId="0" borderId="12" xfId="1" applyFont="1" applyBorder="1" applyAlignment="1">
      <alignment horizontal="center" vertical="center"/>
    </xf>
    <xf numFmtId="43" fontId="46" fillId="0" borderId="15" xfId="1" applyFont="1" applyBorder="1" applyAlignment="1">
      <alignment horizontal="center" vertical="center"/>
    </xf>
    <xf numFmtId="43" fontId="56" fillId="0" borderId="59" xfId="1" applyFont="1" applyBorder="1"/>
    <xf numFmtId="39" fontId="47" fillId="2" borderId="12" xfId="48" applyNumberFormat="1" applyFont="1" applyFill="1" applyBorder="1"/>
    <xf numFmtId="9" fontId="46" fillId="0" borderId="0" xfId="30" applyFont="1" applyBorder="1"/>
    <xf numFmtId="43" fontId="47" fillId="0" borderId="0" xfId="1" applyFont="1" applyBorder="1" applyAlignment="1">
      <alignment horizontal="center"/>
    </xf>
    <xf numFmtId="43" fontId="47" fillId="2" borderId="0" xfId="1" applyFont="1" applyFill="1" applyBorder="1"/>
    <xf numFmtId="43" fontId="46" fillId="0" borderId="32" xfId="1" applyFont="1" applyBorder="1"/>
    <xf numFmtId="43" fontId="46" fillId="0" borderId="32" xfId="1" applyFont="1" applyBorder="1" applyAlignment="1">
      <alignment horizontal="center" vertical="center"/>
    </xf>
    <xf numFmtId="43" fontId="46" fillId="0" borderId="34" xfId="1" applyFont="1" applyBorder="1"/>
    <xf numFmtId="43" fontId="46" fillId="0" borderId="34" xfId="1" applyFont="1" applyBorder="1" applyAlignment="1">
      <alignment horizontal="center" vertical="center"/>
    </xf>
    <xf numFmtId="177" fontId="46" fillId="0" borderId="39" xfId="1" applyNumberFormat="1" applyFont="1" applyBorder="1" applyAlignment="1">
      <alignment horizontal="center" textRotation="90" wrapText="1"/>
    </xf>
    <xf numFmtId="177" fontId="46" fillId="0" borderId="7" xfId="1" applyNumberFormat="1" applyFont="1" applyBorder="1" applyAlignment="1">
      <alignment horizontal="center" textRotation="90" wrapText="1"/>
    </xf>
    <xf numFmtId="177" fontId="46" fillId="0" borderId="8" xfId="1" applyNumberFormat="1" applyFont="1" applyBorder="1" applyAlignment="1">
      <alignment horizontal="center" textRotation="90" wrapText="1"/>
    </xf>
    <xf numFmtId="177" fontId="47" fillId="0" borderId="63" xfId="1" applyNumberFormat="1" applyFont="1" applyFill="1" applyBorder="1" applyAlignment="1">
      <alignment horizontal="center" vertical="center" wrapText="1"/>
    </xf>
    <xf numFmtId="177" fontId="47" fillId="0" borderId="67" xfId="1" applyNumberFormat="1" applyFont="1" applyFill="1" applyBorder="1" applyAlignment="1">
      <alignment horizontal="center" vertical="center" wrapText="1"/>
    </xf>
    <xf numFmtId="177" fontId="47" fillId="0" borderId="64" xfId="1" applyNumberFormat="1" applyFont="1" applyFill="1" applyBorder="1" applyAlignment="1">
      <alignment horizontal="center" vertical="center" wrapText="1"/>
    </xf>
    <xf numFmtId="177" fontId="46" fillId="0" borderId="24" xfId="1" applyNumberFormat="1" applyFont="1" applyFill="1" applyBorder="1" applyAlignment="1">
      <alignment wrapText="1"/>
    </xf>
    <xf numFmtId="177" fontId="46" fillId="0" borderId="20" xfId="1" applyNumberFormat="1" applyFont="1" applyFill="1" applyBorder="1" applyAlignment="1">
      <alignment wrapText="1"/>
    </xf>
    <xf numFmtId="177" fontId="46" fillId="0" borderId="22" xfId="1" applyNumberFormat="1" applyFont="1" applyFill="1" applyBorder="1" applyAlignment="1">
      <alignment wrapText="1"/>
    </xf>
    <xf numFmtId="177" fontId="46" fillId="0" borderId="21" xfId="1" applyNumberFormat="1" applyFont="1" applyFill="1" applyBorder="1" applyAlignment="1">
      <alignment wrapText="1"/>
    </xf>
    <xf numFmtId="177" fontId="46" fillId="0" borderId="26" xfId="1" applyNumberFormat="1" applyFont="1" applyFill="1" applyBorder="1" applyAlignment="1">
      <alignment wrapText="1"/>
    </xf>
    <xf numFmtId="177" fontId="46" fillId="0" borderId="27" xfId="1" applyNumberFormat="1" applyFont="1" applyFill="1" applyBorder="1" applyAlignment="1">
      <alignment wrapText="1"/>
    </xf>
    <xf numFmtId="177" fontId="46" fillId="0" borderId="25" xfId="1" applyNumberFormat="1" applyFont="1" applyFill="1" applyBorder="1" applyAlignment="1">
      <alignment wrapText="1"/>
    </xf>
    <xf numFmtId="177" fontId="46" fillId="0" borderId="23" xfId="1" applyNumberFormat="1" applyFont="1" applyFill="1" applyBorder="1" applyAlignment="1">
      <alignment wrapText="1"/>
    </xf>
    <xf numFmtId="177" fontId="46" fillId="0" borderId="71" xfId="1" applyNumberFormat="1" applyFont="1" applyFill="1" applyBorder="1" applyAlignment="1">
      <alignment wrapText="1"/>
    </xf>
    <xf numFmtId="177" fontId="46" fillId="0" borderId="21" xfId="1" applyNumberFormat="1" applyFont="1" applyFill="1" applyBorder="1" applyAlignment="1"/>
    <xf numFmtId="177" fontId="46" fillId="0" borderId="44" xfId="1" applyNumberFormat="1" applyFont="1" applyFill="1" applyBorder="1" applyAlignment="1">
      <alignment wrapText="1"/>
    </xf>
    <xf numFmtId="177" fontId="46" fillId="0" borderId="46" xfId="1" applyNumberFormat="1" applyFont="1" applyFill="1" applyBorder="1" applyAlignment="1">
      <alignment wrapText="1"/>
    </xf>
    <xf numFmtId="177" fontId="46" fillId="0" borderId="22" xfId="1" applyNumberFormat="1" applyFont="1" applyFill="1" applyBorder="1" applyAlignment="1"/>
    <xf numFmtId="177" fontId="46" fillId="0" borderId="43" xfId="1" applyNumberFormat="1" applyFont="1" applyFill="1" applyBorder="1" applyAlignment="1">
      <alignment wrapText="1"/>
    </xf>
    <xf numFmtId="177" fontId="46" fillId="0" borderId="29" xfId="1" applyNumberFormat="1" applyFont="1" applyFill="1" applyBorder="1" applyAlignment="1"/>
    <xf numFmtId="177" fontId="46" fillId="0" borderId="30" xfId="1" applyNumberFormat="1" applyFont="1" applyFill="1" applyBorder="1" applyAlignment="1"/>
    <xf numFmtId="177" fontId="56" fillId="0" borderId="68" xfId="1" applyNumberFormat="1" applyFont="1" applyBorder="1"/>
    <xf numFmtId="177" fontId="55" fillId="0" borderId="0" xfId="1" applyNumberFormat="1" applyFont="1" applyFill="1" applyBorder="1"/>
    <xf numFmtId="43" fontId="46" fillId="0" borderId="0" xfId="43" applyFont="1" applyFill="1"/>
    <xf numFmtId="43" fontId="55" fillId="0" borderId="59" xfId="1" applyFont="1" applyBorder="1"/>
    <xf numFmtId="177" fontId="47" fillId="9" borderId="53" xfId="1" applyNumberFormat="1" applyFont="1" applyFill="1" applyBorder="1" applyAlignment="1">
      <alignment horizontal="center" wrapText="1"/>
    </xf>
    <xf numFmtId="177" fontId="47" fillId="0" borderId="53" xfId="1" applyNumberFormat="1" applyFont="1" applyBorder="1" applyAlignment="1">
      <alignment horizontal="center"/>
    </xf>
    <xf numFmtId="177" fontId="46" fillId="0" borderId="9" xfId="1" applyNumberFormat="1" applyFont="1" applyBorder="1"/>
    <xf numFmtId="177" fontId="57" fillId="2" borderId="12" xfId="1" applyNumberFormat="1" applyFont="1" applyFill="1" applyBorder="1"/>
    <xf numFmtId="39" fontId="46" fillId="0" borderId="54" xfId="48" applyNumberFormat="1" applyFont="1" applyBorder="1"/>
    <xf numFmtId="0" fontId="53" fillId="0" borderId="55" xfId="49" applyFont="1" applyBorder="1" applyAlignment="1">
      <alignment horizontal="left"/>
    </xf>
    <xf numFmtId="39" fontId="46" fillId="0" borderId="59" xfId="48" applyNumberFormat="1" applyFont="1" applyBorder="1"/>
    <xf numFmtId="0" fontId="56" fillId="0" borderId="55" xfId="41" applyFont="1" applyBorder="1" applyAlignment="1">
      <alignment horizontal="left"/>
    </xf>
    <xf numFmtId="168" fontId="55" fillId="0" borderId="59" xfId="48" applyFont="1" applyBorder="1"/>
    <xf numFmtId="39" fontId="46" fillId="0" borderId="59" xfId="50" applyNumberFormat="1" applyFont="1" applyBorder="1"/>
    <xf numFmtId="43" fontId="55" fillId="0" borderId="0" xfId="43" applyFont="1" applyFill="1" applyBorder="1"/>
    <xf numFmtId="43" fontId="53" fillId="0" borderId="55" xfId="1" applyFont="1" applyBorder="1"/>
    <xf numFmtId="43" fontId="53" fillId="0" borderId="59" xfId="1" applyFont="1" applyBorder="1"/>
    <xf numFmtId="43" fontId="55" fillId="0" borderId="12" xfId="1" applyFont="1" applyBorder="1" applyAlignment="1">
      <alignment horizontal="center" vertical="center"/>
    </xf>
    <xf numFmtId="43" fontId="47" fillId="0" borderId="15" xfId="1" applyFont="1" applyBorder="1"/>
    <xf numFmtId="0" fontId="46" fillId="0" borderId="54" xfId="0" applyFont="1" applyBorder="1"/>
    <xf numFmtId="0" fontId="46" fillId="0" borderId="54" xfId="0" applyFont="1" applyBorder="1" applyAlignment="1">
      <alignment horizontal="center" vertical="center"/>
    </xf>
    <xf numFmtId="43" fontId="46" fillId="0" borderId="54" xfId="1" applyFont="1" applyFill="1" applyBorder="1" applyAlignment="1">
      <alignment vertical="center"/>
    </xf>
    <xf numFmtId="43" fontId="46" fillId="0" borderId="12" xfId="1" applyFont="1" applyFill="1" applyBorder="1" applyAlignment="1">
      <alignment vertical="center"/>
    </xf>
    <xf numFmtId="43" fontId="46" fillId="0" borderId="12" xfId="1" applyFont="1" applyFill="1" applyBorder="1" applyAlignment="1">
      <alignment vertical="center" wrapText="1"/>
    </xf>
    <xf numFmtId="43" fontId="46" fillId="0" borderId="59" xfId="1" applyFont="1" applyBorder="1" applyAlignment="1">
      <alignment horizontal="center" vertical="center"/>
    </xf>
    <xf numFmtId="0" fontId="55" fillId="0" borderId="12" xfId="8" applyFont="1" applyBorder="1" applyAlignment="1">
      <alignment horizontal="center" vertical="center"/>
    </xf>
    <xf numFmtId="43" fontId="47" fillId="0" borderId="0" xfId="1" applyFont="1" applyBorder="1" applyAlignment="1">
      <alignment horizontal="right" vertical="center"/>
    </xf>
    <xf numFmtId="43" fontId="46" fillId="0" borderId="0" xfId="1" applyFont="1" applyBorder="1" applyAlignment="1">
      <alignment horizontal="right" vertical="center"/>
    </xf>
    <xf numFmtId="43" fontId="56" fillId="0" borderId="53" xfId="1" applyFont="1" applyBorder="1" applyAlignment="1">
      <alignment horizontal="center" vertical="center"/>
    </xf>
    <xf numFmtId="43" fontId="56" fillId="13" borderId="53" xfId="1" applyFont="1" applyFill="1" applyBorder="1" applyAlignment="1">
      <alignment horizontal="center" vertical="center"/>
    </xf>
    <xf numFmtId="43" fontId="46" fillId="13" borderId="54" xfId="1" applyFont="1" applyFill="1" applyBorder="1"/>
    <xf numFmtId="43" fontId="55" fillId="0" borderId="54" xfId="1" applyFont="1" applyBorder="1"/>
    <xf numFmtId="43" fontId="55" fillId="0" borderId="54" xfId="1" applyFont="1" applyBorder="1" applyAlignment="1">
      <alignment horizontal="center" vertical="center"/>
    </xf>
    <xf numFmtId="43" fontId="46" fillId="13" borderId="12" xfId="1" applyFont="1" applyFill="1" applyBorder="1"/>
    <xf numFmtId="43" fontId="55" fillId="0" borderId="12" xfId="1" applyFont="1" applyBorder="1"/>
    <xf numFmtId="43" fontId="55" fillId="0" borderId="15" xfId="1" applyFont="1" applyBorder="1"/>
    <xf numFmtId="43" fontId="55" fillId="13" borderId="0" xfId="1" applyFont="1" applyFill="1"/>
    <xf numFmtId="43" fontId="55" fillId="13" borderId="0" xfId="1" applyFont="1" applyFill="1" applyAlignment="1">
      <alignment horizontal="center" vertical="center"/>
    </xf>
    <xf numFmtId="43" fontId="55" fillId="0" borderId="0" xfId="1" applyFont="1" applyAlignment="1">
      <alignment horizontal="center" vertical="center"/>
    </xf>
    <xf numFmtId="43" fontId="66" fillId="13" borderId="12" xfId="1" applyFont="1" applyFill="1" applyBorder="1"/>
    <xf numFmtId="43" fontId="66" fillId="13" borderId="12" xfId="1" applyFont="1" applyFill="1" applyBorder="1" applyAlignment="1">
      <alignment horizontal="center" vertical="center"/>
    </xf>
    <xf numFmtId="43" fontId="66" fillId="13" borderId="54" xfId="1" applyFont="1" applyFill="1" applyBorder="1"/>
    <xf numFmtId="43" fontId="66" fillId="13" borderId="54" xfId="1" applyFont="1" applyFill="1" applyBorder="1" applyAlignment="1">
      <alignment horizontal="center" vertical="center"/>
    </xf>
    <xf numFmtId="0" fontId="66" fillId="0" borderId="15" xfId="118" applyFont="1" applyBorder="1" applyAlignment="1">
      <alignment horizontal="left" vertical="top"/>
    </xf>
    <xf numFmtId="43" fontId="66" fillId="13" borderId="15" xfId="1" applyFont="1" applyFill="1" applyBorder="1"/>
    <xf numFmtId="43" fontId="66" fillId="13" borderId="15" xfId="1" applyFont="1" applyFill="1" applyBorder="1" applyAlignment="1">
      <alignment horizontal="center" vertical="center"/>
    </xf>
    <xf numFmtId="0" fontId="66" fillId="0" borderId="12" xfId="118" applyFont="1" applyBorder="1" applyAlignment="1">
      <alignment horizontal="left" vertical="top"/>
    </xf>
    <xf numFmtId="0" fontId="96" fillId="0" borderId="12" xfId="118" applyFont="1" applyBorder="1" applyAlignment="1">
      <alignment horizontal="left" vertical="top"/>
    </xf>
    <xf numFmtId="0" fontId="66" fillId="0" borderId="54" xfId="118" applyFont="1" applyBorder="1" applyAlignment="1">
      <alignment horizontal="left" vertical="top"/>
    </xf>
    <xf numFmtId="43" fontId="66" fillId="13" borderId="12" xfId="1" applyFont="1" applyFill="1" applyBorder="1" applyAlignment="1">
      <alignment horizontal="left" vertical="center"/>
    </xf>
    <xf numFmtId="0" fontId="66" fillId="0" borderId="12" xfId="118" applyFont="1" applyBorder="1" applyAlignment="1">
      <alignment horizontal="center" vertical="center"/>
    </xf>
    <xf numFmtId="43" fontId="43" fillId="0" borderId="0" xfId="1" applyFont="1" applyAlignment="1">
      <alignment horizontal="center" vertical="center"/>
    </xf>
    <xf numFmtId="43" fontId="66" fillId="0" borderId="12" xfId="1" applyFont="1" applyBorder="1" applyAlignment="1">
      <alignment horizontal="center" vertical="center"/>
    </xf>
    <xf numFmtId="43" fontId="66" fillId="0" borderId="15" xfId="1" applyFont="1" applyBorder="1" applyAlignment="1">
      <alignment horizontal="center" vertical="center"/>
    </xf>
    <xf numFmtId="43" fontId="66" fillId="0" borderId="54" xfId="1" applyFont="1" applyBorder="1" applyAlignment="1">
      <alignment horizontal="center" vertical="center"/>
    </xf>
    <xf numFmtId="43" fontId="55" fillId="0" borderId="54" xfId="1" applyFont="1" applyBorder="1" applyAlignment="1">
      <alignment horizontal="left" vertical="center"/>
    </xf>
    <xf numFmtId="0" fontId="66" fillId="0" borderId="54" xfId="118" applyFont="1" applyBorder="1" applyAlignment="1">
      <alignment horizontal="center" vertical="center"/>
    </xf>
    <xf numFmtId="43" fontId="56" fillId="21" borderId="55" xfId="1" applyFont="1" applyFill="1" applyBorder="1" applyAlignment="1">
      <alignment horizontal="left" vertical="center"/>
    </xf>
    <xf numFmtId="43" fontId="56" fillId="21" borderId="59" xfId="1" applyFont="1" applyFill="1" applyBorder="1" applyAlignment="1">
      <alignment horizontal="center" vertical="center"/>
    </xf>
    <xf numFmtId="43" fontId="55" fillId="21" borderId="59" xfId="1" applyFont="1" applyFill="1" applyBorder="1"/>
    <xf numFmtId="43" fontId="56" fillId="21" borderId="61" xfId="1" applyFont="1" applyFill="1" applyBorder="1"/>
    <xf numFmtId="43" fontId="46" fillId="0" borderId="0" xfId="1" applyFont="1" applyAlignment="1">
      <alignment horizontal="center" vertical="center"/>
    </xf>
    <xf numFmtId="43" fontId="46" fillId="0" borderId="9" xfId="1" applyFont="1" applyBorder="1" applyAlignment="1">
      <alignment horizontal="center" vertical="center"/>
    </xf>
    <xf numFmtId="177" fontId="55" fillId="0" borderId="54" xfId="1" applyNumberFormat="1" applyFont="1" applyFill="1" applyBorder="1" applyAlignment="1">
      <alignment horizontal="center" vertical="center"/>
    </xf>
    <xf numFmtId="177" fontId="55" fillId="0" borderId="12" xfId="1" applyNumberFormat="1" applyFont="1" applyFill="1" applyBorder="1" applyAlignment="1">
      <alignment horizontal="center" vertical="center"/>
    </xf>
    <xf numFmtId="177" fontId="55" fillId="0" borderId="15" xfId="1" applyNumberFormat="1" applyFont="1" applyFill="1" applyBorder="1" applyAlignment="1">
      <alignment horizontal="center" vertical="center"/>
    </xf>
    <xf numFmtId="177" fontId="46" fillId="0" borderId="54" xfId="1" applyNumberFormat="1" applyFont="1" applyBorder="1" applyAlignment="1">
      <alignment horizontal="center" vertical="center"/>
    </xf>
    <xf numFmtId="177" fontId="46" fillId="0" borderId="12" xfId="1" applyNumberFormat="1" applyFont="1" applyBorder="1" applyAlignment="1">
      <alignment horizontal="center" vertical="center"/>
    </xf>
    <xf numFmtId="43" fontId="46" fillId="0" borderId="79" xfId="1" applyFont="1" applyBorder="1" applyAlignment="1">
      <alignment vertical="center"/>
    </xf>
    <xf numFmtId="43" fontId="81" fillId="0" borderId="79" xfId="1" applyFont="1" applyBorder="1" applyAlignment="1">
      <alignment horizontal="center" vertical="center" shrinkToFit="1"/>
    </xf>
    <xf numFmtId="43" fontId="81" fillId="0" borderId="79" xfId="1" applyFont="1" applyBorder="1" applyAlignment="1">
      <alignment vertical="center"/>
    </xf>
    <xf numFmtId="43" fontId="46" fillId="0" borderId="79" xfId="1" applyFont="1" applyBorder="1" applyAlignment="1">
      <alignment horizontal="center" vertical="center"/>
    </xf>
    <xf numFmtId="43" fontId="81" fillId="0" borderId="79" xfId="1" applyFont="1" applyBorder="1" applyAlignment="1">
      <alignment horizontal="center" vertical="center"/>
    </xf>
    <xf numFmtId="43" fontId="46" fillId="0" borderId="12" xfId="1" applyFont="1" applyBorder="1" applyAlignment="1">
      <alignment vertical="center"/>
    </xf>
    <xf numFmtId="43" fontId="81" fillId="0" borderId="12" xfId="1" applyFont="1" applyBorder="1" applyAlignment="1">
      <alignment horizontal="center" vertical="center" shrinkToFit="1"/>
    </xf>
    <xf numFmtId="43" fontId="81" fillId="0" borderId="12" xfId="1" applyFont="1" applyBorder="1" applyAlignment="1">
      <alignment vertical="center"/>
    </xf>
    <xf numFmtId="43" fontId="81" fillId="0" borderId="12" xfId="1" applyFont="1" applyBorder="1" applyAlignment="1">
      <alignment horizontal="center" vertical="center"/>
    </xf>
    <xf numFmtId="43" fontId="46" fillId="0" borderId="15" xfId="1" applyFont="1" applyBorder="1" applyAlignment="1">
      <alignment vertical="center"/>
    </xf>
    <xf numFmtId="43" fontId="46" fillId="0" borderId="9" xfId="1" applyFont="1" applyBorder="1" applyAlignment="1">
      <alignment vertical="center"/>
    </xf>
    <xf numFmtId="43" fontId="81" fillId="0" borderId="9" xfId="1" applyFont="1" applyBorder="1" applyAlignment="1">
      <alignment horizontal="center" vertical="center" shrinkToFit="1"/>
    </xf>
    <xf numFmtId="43" fontId="46" fillId="0" borderId="9" xfId="1" applyFont="1" applyBorder="1"/>
    <xf numFmtId="43" fontId="47" fillId="0" borderId="55" xfId="1" applyFont="1" applyBorder="1"/>
    <xf numFmtId="43" fontId="47" fillId="0" borderId="61" xfId="1" applyFont="1" applyBorder="1"/>
    <xf numFmtId="43" fontId="46" fillId="0" borderId="80" xfId="1" applyFont="1" applyBorder="1" applyAlignment="1">
      <alignment vertical="center"/>
    </xf>
    <xf numFmtId="43" fontId="46" fillId="0" borderId="80" xfId="1" applyFont="1" applyBorder="1" applyAlignment="1">
      <alignment horizontal="center" vertical="center"/>
    </xf>
    <xf numFmtId="43" fontId="81" fillId="0" borderId="80" xfId="1" applyFont="1" applyBorder="1" applyAlignment="1">
      <alignment horizontal="center" vertical="center" shrinkToFit="1"/>
    </xf>
    <xf numFmtId="43" fontId="46" fillId="0" borderId="80" xfId="1" applyFont="1" applyBorder="1"/>
    <xf numFmtId="43" fontId="46" fillId="0" borderId="79" xfId="1" applyFont="1" applyBorder="1"/>
    <xf numFmtId="43" fontId="46" fillId="0" borderId="81" xfId="1" applyFont="1" applyBorder="1" applyAlignment="1">
      <alignment vertical="center"/>
    </xf>
    <xf numFmtId="43" fontId="46" fillId="0" borderId="81" xfId="1" applyFont="1" applyBorder="1" applyAlignment="1">
      <alignment horizontal="center" vertical="center"/>
    </xf>
    <xf numFmtId="43" fontId="81" fillId="0" borderId="81" xfId="1" applyFont="1" applyBorder="1" applyAlignment="1">
      <alignment horizontal="center" vertical="center" shrinkToFit="1"/>
    </xf>
    <xf numFmtId="43" fontId="46" fillId="0" borderId="81" xfId="1" applyFont="1" applyBorder="1"/>
    <xf numFmtId="43" fontId="46" fillId="0" borderId="82" xfId="1" applyFont="1" applyBorder="1" applyAlignment="1">
      <alignment vertical="center"/>
    </xf>
    <xf numFmtId="43" fontId="46" fillId="0" borderId="82" xfId="1" applyFont="1" applyBorder="1" applyAlignment="1">
      <alignment horizontal="center" vertical="center"/>
    </xf>
    <xf numFmtId="43" fontId="81" fillId="0" borderId="82" xfId="1" applyFont="1" applyBorder="1" applyAlignment="1">
      <alignment horizontal="center" vertical="center" shrinkToFit="1"/>
    </xf>
    <xf numFmtId="43" fontId="46" fillId="0" borderId="82" xfId="1" applyFont="1" applyBorder="1"/>
    <xf numFmtId="177" fontId="55" fillId="0" borderId="54" xfId="1" applyNumberFormat="1" applyFont="1" applyBorder="1" applyAlignment="1">
      <alignment horizontal="center" vertical="center"/>
    </xf>
    <xf numFmtId="177" fontId="55" fillId="0" borderId="15" xfId="1" applyNumberFormat="1" applyFont="1" applyBorder="1" applyAlignment="1">
      <alignment horizontal="center" vertical="center"/>
    </xf>
    <xf numFmtId="177" fontId="47" fillId="0" borderId="0" xfId="1" applyNumberFormat="1" applyFont="1" applyAlignment="1">
      <alignment horizontal="center" vertical="center" wrapText="1"/>
    </xf>
    <xf numFmtId="177" fontId="55" fillId="0" borderId="12" xfId="1" applyNumberFormat="1" applyFont="1" applyBorder="1" applyAlignment="1">
      <alignment horizontal="center" vertical="center"/>
    </xf>
    <xf numFmtId="177" fontId="55" fillId="0" borderId="9" xfId="1" applyNumberFormat="1" applyFont="1" applyBorder="1" applyAlignment="1">
      <alignment horizontal="center" vertical="center"/>
    </xf>
    <xf numFmtId="177" fontId="55" fillId="0" borderId="0" xfId="1" applyNumberFormat="1" applyFont="1" applyAlignment="1">
      <alignment horizontal="center" vertical="center"/>
    </xf>
    <xf numFmtId="43" fontId="47" fillId="8" borderId="53" xfId="1" applyFont="1" applyFill="1" applyBorder="1" applyAlignment="1">
      <alignment horizontal="center" vertical="center" wrapText="1"/>
    </xf>
    <xf numFmtId="177" fontId="47" fillId="0" borderId="0" xfId="1" applyNumberFormat="1" applyFont="1" applyBorder="1" applyAlignment="1">
      <alignment horizontal="center" vertical="center" wrapText="1"/>
    </xf>
    <xf numFmtId="177" fontId="56" fillId="0" borderId="0" xfId="1" applyNumberFormat="1" applyFont="1" applyAlignment="1">
      <alignment horizontal="center" vertical="center"/>
    </xf>
    <xf numFmtId="177" fontId="47" fillId="0" borderId="0" xfId="1" applyNumberFormat="1" applyFont="1" applyAlignment="1">
      <alignment horizontal="center" vertical="center"/>
    </xf>
    <xf numFmtId="177" fontId="55" fillId="0" borderId="14" xfId="1" applyNumberFormat="1" applyFont="1" applyBorder="1" applyAlignment="1">
      <alignment horizontal="center" vertical="center"/>
    </xf>
    <xf numFmtId="177" fontId="56" fillId="0" borderId="2" xfId="1" applyNumberFormat="1" applyFont="1" applyBorder="1" applyAlignment="1">
      <alignment horizontal="center" vertical="center"/>
    </xf>
    <xf numFmtId="177" fontId="56" fillId="0" borderId="0" xfId="1" applyNumberFormat="1" applyFont="1" applyFill="1" applyAlignment="1">
      <alignment horizontal="center" vertical="center"/>
    </xf>
    <xf numFmtId="177" fontId="55" fillId="0" borderId="49" xfId="1" applyNumberFormat="1" applyFont="1" applyBorder="1" applyAlignment="1">
      <alignment horizontal="center" vertical="center"/>
    </xf>
    <xf numFmtId="0" fontId="46" fillId="0" borderId="59" xfId="0" applyFont="1" applyBorder="1"/>
    <xf numFmtId="0" fontId="46" fillId="0" borderId="15" xfId="0" applyFont="1" applyBorder="1"/>
    <xf numFmtId="43" fontId="66" fillId="0" borderId="0" xfId="43" applyFont="1" applyFill="1" applyBorder="1"/>
    <xf numFmtId="0" fontId="46" fillId="0" borderId="13" xfId="0" applyFont="1" applyBorder="1"/>
    <xf numFmtId="0" fontId="47" fillId="0" borderId="55" xfId="0" applyFont="1" applyBorder="1"/>
    <xf numFmtId="177" fontId="46" fillId="0" borderId="0" xfId="1" applyNumberFormat="1" applyFont="1" applyBorder="1" applyAlignment="1">
      <alignment horizontal="center" vertical="center"/>
    </xf>
    <xf numFmtId="43" fontId="46" fillId="0" borderId="53" xfId="1" applyFont="1" applyBorder="1" applyAlignment="1">
      <alignment horizontal="center" vertical="center"/>
    </xf>
    <xf numFmtId="177" fontId="55" fillId="0" borderId="59" xfId="1" applyNumberFormat="1" applyFont="1" applyBorder="1" applyAlignment="1">
      <alignment horizontal="center" vertical="center"/>
    </xf>
    <xf numFmtId="0" fontId="55" fillId="0" borderId="61" xfId="8" applyFont="1" applyBorder="1"/>
    <xf numFmtId="177" fontId="46" fillId="0" borderId="12" xfId="1" applyNumberFormat="1" applyFont="1" applyFill="1" applyBorder="1" applyAlignment="1">
      <alignment horizontal="center" vertical="center"/>
    </xf>
    <xf numFmtId="177" fontId="46" fillId="0" borderId="15" xfId="1" applyNumberFormat="1" applyFont="1" applyFill="1" applyBorder="1" applyAlignment="1">
      <alignment horizontal="center" vertical="center"/>
    </xf>
    <xf numFmtId="177" fontId="46" fillId="0" borderId="54" xfId="1" applyNumberFormat="1" applyFont="1" applyFill="1" applyBorder="1" applyAlignment="1">
      <alignment horizontal="center" vertical="center"/>
    </xf>
    <xf numFmtId="177" fontId="46" fillId="0" borderId="9" xfId="1" applyNumberFormat="1" applyFont="1" applyFill="1" applyBorder="1" applyAlignment="1">
      <alignment horizontal="center" vertical="center"/>
    </xf>
    <xf numFmtId="177" fontId="46" fillId="0" borderId="53" xfId="1" applyNumberFormat="1" applyFont="1" applyFill="1" applyBorder="1" applyAlignment="1">
      <alignment horizontal="center" vertical="center"/>
    </xf>
    <xf numFmtId="177" fontId="46" fillId="0" borderId="15" xfId="1" applyNumberFormat="1" applyFont="1" applyBorder="1" applyAlignment="1">
      <alignment horizontal="center" vertical="center"/>
    </xf>
    <xf numFmtId="43" fontId="55" fillId="0" borderId="9" xfId="1" applyFont="1" applyFill="1" applyBorder="1" applyAlignment="1">
      <alignment horizontal="center" vertical="center"/>
    </xf>
    <xf numFmtId="0" fontId="55" fillId="0" borderId="9" xfId="8" applyFont="1" applyBorder="1" applyAlignment="1">
      <alignment horizontal="center" vertical="center"/>
    </xf>
    <xf numFmtId="177" fontId="55" fillId="0" borderId="9" xfId="1" applyNumberFormat="1" applyFont="1" applyFill="1" applyBorder="1" applyAlignment="1">
      <alignment horizontal="center" vertical="center"/>
    </xf>
    <xf numFmtId="43" fontId="55" fillId="0" borderId="0" xfId="1" applyFont="1" applyFill="1" applyAlignment="1">
      <alignment horizontal="center" vertical="center"/>
    </xf>
    <xf numFmtId="43" fontId="47" fillId="0" borderId="55" xfId="1" applyFont="1" applyFill="1" applyBorder="1" applyAlignment="1">
      <alignment horizontal="center" vertical="center"/>
    </xf>
    <xf numFmtId="43" fontId="55" fillId="0" borderId="37" xfId="1" applyFont="1" applyFill="1" applyBorder="1" applyAlignment="1">
      <alignment horizontal="center" vertical="center"/>
    </xf>
    <xf numFmtId="43" fontId="46" fillId="0" borderId="53" xfId="1" applyFont="1" applyFill="1" applyBorder="1" applyAlignment="1">
      <alignment horizontal="center" vertical="center"/>
    </xf>
    <xf numFmtId="43" fontId="12" fillId="0" borderId="0" xfId="1" applyFont="1"/>
    <xf numFmtId="177" fontId="12" fillId="0" borderId="0" xfId="1" applyNumberFormat="1" applyFont="1"/>
    <xf numFmtId="43" fontId="53" fillId="2" borderId="0" xfId="1" applyFont="1" applyFill="1"/>
    <xf numFmtId="43" fontId="12" fillId="0" borderId="0" xfId="1" applyFont="1" applyAlignment="1">
      <alignment horizontal="left" vertical="center"/>
    </xf>
    <xf numFmtId="43" fontId="55" fillId="0" borderId="0" xfId="1" applyFont="1" applyAlignment="1">
      <alignment horizontal="left" vertical="center"/>
    </xf>
    <xf numFmtId="177" fontId="53" fillId="2" borderId="0" xfId="1" applyNumberFormat="1" applyFont="1" applyFill="1"/>
    <xf numFmtId="177" fontId="47" fillId="0" borderId="0" xfId="1" applyNumberFormat="1" applyFont="1" applyFill="1" applyBorder="1" applyAlignment="1">
      <alignment horizontal="center" vertical="center"/>
    </xf>
    <xf numFmtId="177" fontId="56" fillId="0" borderId="0" xfId="1" applyNumberFormat="1" applyFont="1" applyBorder="1" applyAlignment="1">
      <alignment horizontal="center" vertical="center"/>
    </xf>
    <xf numFmtId="49" fontId="46" fillId="0" borderId="12" xfId="6" applyNumberFormat="1" applyFont="1" applyBorder="1" applyAlignment="1">
      <alignment horizontal="center" vertical="center"/>
    </xf>
    <xf numFmtId="0" fontId="55" fillId="0" borderId="0" xfId="8" applyFont="1" applyAlignment="1">
      <alignment horizontal="center" vertical="center"/>
    </xf>
    <xf numFmtId="49" fontId="46" fillId="0" borderId="54" xfId="6" applyNumberFormat="1" applyFont="1" applyBorder="1" applyAlignment="1">
      <alignment horizontal="center" vertical="center"/>
    </xf>
    <xf numFmtId="0" fontId="46" fillId="0" borderId="12" xfId="8" applyFont="1" applyBorder="1" applyAlignment="1">
      <alignment horizontal="center" vertical="center"/>
    </xf>
    <xf numFmtId="49" fontId="46" fillId="0" borderId="15" xfId="6" applyNumberFormat="1" applyFont="1" applyBorder="1" applyAlignment="1">
      <alignment horizontal="center" vertical="center"/>
    </xf>
    <xf numFmtId="0" fontId="46" fillId="0" borderId="54" xfId="8" applyFont="1" applyBorder="1" applyAlignment="1">
      <alignment horizontal="center" vertical="center"/>
    </xf>
    <xf numFmtId="0" fontId="46" fillId="0" borderId="15" xfId="8" applyFont="1" applyBorder="1" applyAlignment="1">
      <alignment horizontal="center" vertical="center"/>
    </xf>
    <xf numFmtId="0" fontId="55" fillId="0" borderId="54" xfId="8" applyFont="1" applyBorder="1" applyAlignment="1">
      <alignment horizontal="center" vertical="center"/>
    </xf>
    <xf numFmtId="0" fontId="55" fillId="0" borderId="15" xfId="8" applyFont="1" applyBorder="1" applyAlignment="1">
      <alignment horizontal="center" vertical="center"/>
    </xf>
    <xf numFmtId="49" fontId="46" fillId="0" borderId="53" xfId="6" applyNumberFormat="1" applyFont="1" applyBorder="1" applyAlignment="1">
      <alignment horizontal="center" vertical="center"/>
    </xf>
    <xf numFmtId="43" fontId="55" fillId="0" borderId="12" xfId="43" applyFont="1" applyFill="1" applyBorder="1" applyAlignment="1">
      <alignment horizontal="center" vertical="center"/>
    </xf>
    <xf numFmtId="43" fontId="55" fillId="0" borderId="15" xfId="43" applyFont="1" applyFill="1" applyBorder="1" applyAlignment="1">
      <alignment horizontal="center" vertical="center"/>
    </xf>
    <xf numFmtId="0" fontId="55" fillId="0" borderId="59" xfId="8" applyFont="1" applyBorder="1" applyAlignment="1">
      <alignment horizontal="center" vertical="center"/>
    </xf>
    <xf numFmtId="177" fontId="58" fillId="0" borderId="0" xfId="1" applyNumberFormat="1" applyFont="1" applyFill="1" applyBorder="1" applyAlignment="1">
      <alignment horizontal="right"/>
    </xf>
    <xf numFmtId="177" fontId="58" fillId="0" borderId="0" xfId="1" applyNumberFormat="1" applyFont="1" applyFill="1" applyBorder="1" applyAlignment="1">
      <alignment horizontal="center" vertical="center"/>
    </xf>
    <xf numFmtId="177" fontId="58" fillId="0" borderId="59" xfId="1" applyNumberFormat="1" applyFont="1" applyFill="1" applyBorder="1" applyAlignment="1">
      <alignment horizontal="right"/>
    </xf>
    <xf numFmtId="0" fontId="55" fillId="0" borderId="0" xfId="104" applyFont="1" applyAlignment="1">
      <alignment horizontal="left" vertical="center"/>
    </xf>
    <xf numFmtId="0" fontId="55" fillId="0" borderId="0" xfId="104" applyFont="1" applyAlignment="1">
      <alignment horizontal="center"/>
    </xf>
    <xf numFmtId="43" fontId="55" fillId="0" borderId="0" xfId="1" applyFont="1" applyFill="1"/>
    <xf numFmtId="43" fontId="56" fillId="0" borderId="0" xfId="1" applyFont="1" applyFill="1"/>
    <xf numFmtId="17" fontId="47" fillId="2" borderId="0" xfId="0" applyNumberFormat="1" applyFont="1" applyFill="1" applyBorder="1"/>
    <xf numFmtId="0" fontId="47" fillId="2" borderId="0" xfId="0" applyFont="1" applyFill="1" applyBorder="1" applyAlignment="1">
      <alignment horizontal="center" vertical="center"/>
    </xf>
    <xf numFmtId="0" fontId="47" fillId="2" borderId="0" xfId="0" applyFont="1" applyFill="1" applyBorder="1"/>
    <xf numFmtId="168" fontId="46" fillId="0" borderId="0" xfId="48" applyFont="1" applyFill="1"/>
    <xf numFmtId="168" fontId="46" fillId="0" borderId="0" xfId="48" applyFont="1" applyFill="1" applyAlignment="1">
      <alignment horizontal="right"/>
    </xf>
    <xf numFmtId="169" fontId="55" fillId="0" borderId="0" xfId="43" applyNumberFormat="1" applyFont="1" applyFill="1" applyAlignment="1">
      <alignment horizontal="right"/>
    </xf>
    <xf numFmtId="169" fontId="46" fillId="0" borderId="0" xfId="43" applyNumberFormat="1" applyFont="1" applyFill="1" applyAlignment="1">
      <alignment horizontal="right"/>
    </xf>
    <xf numFmtId="43" fontId="46" fillId="0" borderId="0" xfId="43" applyFont="1" applyFill="1" applyAlignment="1">
      <alignment horizontal="right"/>
    </xf>
    <xf numFmtId="168" fontId="46" fillId="0" borderId="0" xfId="48" applyFont="1" applyFill="1" applyAlignment="1">
      <alignment horizontal="left"/>
    </xf>
    <xf numFmtId="43" fontId="47" fillId="0" borderId="0" xfId="43" applyFont="1" applyFill="1"/>
    <xf numFmtId="168" fontId="47" fillId="0" borderId="0" xfId="48" applyFont="1" applyFill="1"/>
    <xf numFmtId="43" fontId="46" fillId="0" borderId="0" xfId="57" applyFont="1" applyBorder="1" applyAlignment="1">
      <alignment horizontal="left" vertical="center"/>
    </xf>
    <xf numFmtId="43" fontId="46" fillId="0" borderId="31" xfId="57" applyFont="1" applyBorder="1" applyAlignment="1">
      <alignment horizontal="left" vertical="center"/>
    </xf>
    <xf numFmtId="43" fontId="46" fillId="0" borderId="54" xfId="57" applyFont="1" applyFill="1" applyBorder="1" applyAlignment="1">
      <alignment horizontal="left" vertical="center"/>
    </xf>
    <xf numFmtId="43" fontId="47" fillId="0" borderId="12" xfId="57" applyFont="1" applyBorder="1"/>
    <xf numFmtId="43" fontId="46" fillId="0" borderId="53" xfId="57" applyFont="1" applyFill="1" applyBorder="1"/>
    <xf numFmtId="43" fontId="47" fillId="0" borderId="68" xfId="1" applyFont="1" applyFill="1" applyBorder="1"/>
    <xf numFmtId="0" fontId="102" fillId="0" borderId="0" xfId="128" applyFont="1" applyBorder="1"/>
    <xf numFmtId="0" fontId="81" fillId="0" borderId="77" xfId="118" applyFont="1" applyBorder="1" applyAlignment="1">
      <alignment horizontal="right" vertical="top"/>
    </xf>
    <xf numFmtId="0" fontId="81" fillId="0" borderId="78" xfId="118" applyFont="1" applyBorder="1" applyAlignment="1">
      <alignment horizontal="right" vertical="top"/>
    </xf>
    <xf numFmtId="16" fontId="81" fillId="0" borderId="78" xfId="118" applyNumberFormat="1" applyFont="1" applyBorder="1" applyAlignment="1">
      <alignment horizontal="right" vertical="top"/>
    </xf>
    <xf numFmtId="0" fontId="47" fillId="0" borderId="55" xfId="0" applyFont="1" applyBorder="1" applyAlignment="1">
      <alignment horizontal="left" vertical="center"/>
    </xf>
    <xf numFmtId="0" fontId="46" fillId="0" borderId="59" xfId="0" applyFont="1" applyBorder="1" applyAlignment="1">
      <alignment horizontal="center" vertical="center"/>
    </xf>
    <xf numFmtId="0" fontId="46" fillId="0" borderId="61" xfId="0" applyFont="1" applyBorder="1"/>
    <xf numFmtId="14" fontId="46" fillId="0" borderId="54" xfId="0" applyNumberFormat="1" applyFont="1" applyBorder="1"/>
    <xf numFmtId="14" fontId="46" fillId="0" borderId="12" xfId="0" applyNumberFormat="1" applyFont="1" applyBorder="1"/>
    <xf numFmtId="0" fontId="46" fillId="0" borderId="15" xfId="0" applyFont="1" applyBorder="1" applyAlignment="1">
      <alignment horizontal="center" vertical="center"/>
    </xf>
    <xf numFmtId="14" fontId="46" fillId="0" borderId="15" xfId="0" applyNumberFormat="1" applyFont="1" applyBorder="1"/>
    <xf numFmtId="14" fontId="46" fillId="0" borderId="61" xfId="0" applyNumberFormat="1" applyFont="1" applyBorder="1"/>
    <xf numFmtId="0" fontId="55" fillId="0" borderId="54" xfId="104" applyFont="1" applyBorder="1" applyAlignment="1">
      <alignment horizontal="center" vertical="center"/>
    </xf>
    <xf numFmtId="0" fontId="46" fillId="2" borderId="12" xfId="0" applyFont="1" applyFill="1" applyBorder="1" applyAlignment="1">
      <alignment horizontal="center" vertical="center"/>
    </xf>
    <xf numFmtId="14" fontId="46" fillId="2" borderId="12" xfId="0" applyNumberFormat="1" applyFont="1" applyFill="1" applyBorder="1"/>
    <xf numFmtId="43" fontId="62" fillId="0" borderId="53" xfId="1" applyFont="1" applyBorder="1"/>
    <xf numFmtId="43" fontId="47" fillId="10" borderId="53" xfId="57" applyFont="1" applyFill="1" applyBorder="1" applyAlignment="1">
      <alignment horizontal="left" vertical="center"/>
    </xf>
    <xf numFmtId="0" fontId="47" fillId="10" borderId="53" xfId="0" applyFont="1" applyFill="1" applyBorder="1" applyAlignment="1">
      <alignment horizontal="center" vertical="center"/>
    </xf>
    <xf numFmtId="14" fontId="47" fillId="0" borderId="0" xfId="57" applyNumberFormat="1" applyFont="1" applyFill="1" applyBorder="1"/>
    <xf numFmtId="0" fontId="55" fillId="0" borderId="0" xfId="1" applyNumberFormat="1" applyFont="1"/>
    <xf numFmtId="17" fontId="55" fillId="0" borderId="0" xfId="1" applyNumberFormat="1" applyFont="1" applyAlignment="1">
      <alignment horizontal="center" vertical="center"/>
    </xf>
    <xf numFmtId="43" fontId="55" fillId="0" borderId="0" xfId="1" applyFont="1" applyAlignment="1">
      <alignment horizontal="right" vertical="center"/>
    </xf>
    <xf numFmtId="43" fontId="56" fillId="2" borderId="0" xfId="104" applyNumberFormat="1" applyFont="1" applyFill="1"/>
    <xf numFmtId="0" fontId="46" fillId="0" borderId="0" xfId="1" applyNumberFormat="1" applyFont="1"/>
    <xf numFmtId="17" fontId="46" fillId="0" borderId="0" xfId="0" applyNumberFormat="1" applyFont="1" applyBorder="1" applyAlignment="1">
      <alignment horizontal="right" vertical="center"/>
    </xf>
    <xf numFmtId="43" fontId="46" fillId="7" borderId="0" xfId="1" applyFont="1" applyFill="1" applyBorder="1"/>
    <xf numFmtId="43" fontId="47" fillId="2" borderId="32" xfId="1" applyFont="1" applyFill="1" applyBorder="1"/>
    <xf numFmtId="43" fontId="46" fillId="22" borderId="54" xfId="1" applyFont="1" applyFill="1" applyBorder="1"/>
    <xf numFmtId="43" fontId="46" fillId="22" borderId="12" xfId="1" applyFont="1" applyFill="1" applyBorder="1"/>
    <xf numFmtId="43" fontId="46" fillId="22" borderId="15" xfId="1" applyFont="1" applyFill="1" applyBorder="1"/>
    <xf numFmtId="0" fontId="55" fillId="0" borderId="12" xfId="127" applyFont="1" applyBorder="1"/>
    <xf numFmtId="0" fontId="55" fillId="0" borderId="15" xfId="127" applyFont="1" applyBorder="1"/>
    <xf numFmtId="43" fontId="46" fillId="0" borderId="12" xfId="1" applyFont="1" applyBorder="1" applyAlignment="1">
      <alignment horizontal="left" vertical="center"/>
    </xf>
    <xf numFmtId="0" fontId="47" fillId="0" borderId="37" xfId="0" applyFont="1" applyBorder="1" applyAlignment="1">
      <alignment horizontal="left" vertical="center"/>
    </xf>
    <xf numFmtId="0" fontId="81" fillId="0" borderId="54" xfId="118" applyFont="1" applyBorder="1" applyAlignment="1">
      <alignment horizontal="left" vertical="top"/>
    </xf>
    <xf numFmtId="0" fontId="81" fillId="0" borderId="54" xfId="118" applyFont="1" applyBorder="1" applyAlignment="1">
      <alignment horizontal="center" vertical="center"/>
    </xf>
    <xf numFmtId="0" fontId="81" fillId="0" borderId="12" xfId="118" applyFont="1" applyBorder="1" applyAlignment="1">
      <alignment horizontal="left" vertical="top"/>
    </xf>
    <xf numFmtId="0" fontId="81" fillId="0" borderId="12" xfId="118" applyFont="1" applyBorder="1" applyAlignment="1">
      <alignment horizontal="center" vertical="center"/>
    </xf>
    <xf numFmtId="43" fontId="46" fillId="17" borderId="54" xfId="1" applyFont="1" applyFill="1" applyBorder="1"/>
    <xf numFmtId="43" fontId="46" fillId="17" borderId="12" xfId="1" applyFont="1" applyFill="1" applyBorder="1"/>
    <xf numFmtId="43" fontId="46" fillId="17" borderId="15" xfId="1" applyFont="1" applyFill="1" applyBorder="1"/>
    <xf numFmtId="165" fontId="81" fillId="17" borderId="12" xfId="119" applyFont="1" applyFill="1" applyBorder="1" applyAlignment="1">
      <alignment horizontal="right" vertical="top" shrinkToFit="1"/>
    </xf>
    <xf numFmtId="14" fontId="46" fillId="0" borderId="12" xfId="1" applyNumberFormat="1" applyFont="1" applyBorder="1" applyAlignment="1">
      <alignment horizontal="center" vertical="center"/>
    </xf>
    <xf numFmtId="0" fontId="46" fillId="0" borderId="15" xfId="0" applyFont="1" applyBorder="1" applyAlignment="1">
      <alignment horizontal="left" vertical="center"/>
    </xf>
    <xf numFmtId="14" fontId="46" fillId="0" borderId="15" xfId="1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left" vertical="center"/>
    </xf>
    <xf numFmtId="0" fontId="47" fillId="0" borderId="53" xfId="0" applyFont="1" applyBorder="1" applyAlignment="1">
      <alignment horizontal="center" vertical="center"/>
    </xf>
    <xf numFmtId="0" fontId="47" fillId="0" borderId="11" xfId="0" applyFont="1" applyBorder="1" applyAlignment="1">
      <alignment horizontal="left" vertical="center"/>
    </xf>
    <xf numFmtId="0" fontId="47" fillId="0" borderId="16" xfId="0" applyFont="1" applyBorder="1" applyAlignment="1">
      <alignment horizontal="center" vertical="center"/>
    </xf>
    <xf numFmtId="43" fontId="47" fillId="0" borderId="16" xfId="1" applyFont="1" applyBorder="1" applyAlignment="1">
      <alignment horizontal="center" vertical="center"/>
    </xf>
    <xf numFmtId="14" fontId="46" fillId="0" borderId="16" xfId="1" applyNumberFormat="1" applyFont="1" applyBorder="1" applyAlignment="1">
      <alignment horizontal="center" vertical="center"/>
    </xf>
    <xf numFmtId="43" fontId="47" fillId="0" borderId="87" xfId="1" applyFont="1" applyBorder="1" applyAlignment="1">
      <alignment horizontal="center" vertical="center"/>
    </xf>
    <xf numFmtId="0" fontId="46" fillId="0" borderId="54" xfId="0" applyFont="1" applyBorder="1" applyAlignment="1">
      <alignment horizontal="left" vertical="center"/>
    </xf>
    <xf numFmtId="14" fontId="46" fillId="0" borderId="54" xfId="1" applyNumberFormat="1" applyFont="1" applyBorder="1" applyAlignment="1">
      <alignment horizontal="center" vertical="center"/>
    </xf>
    <xf numFmtId="0" fontId="46" fillId="0" borderId="53" xfId="0" applyFont="1" applyBorder="1" applyAlignment="1">
      <alignment horizontal="left" vertical="center"/>
    </xf>
    <xf numFmtId="0" fontId="46" fillId="0" borderId="53" xfId="0" applyFont="1" applyBorder="1" applyAlignment="1">
      <alignment horizontal="center" vertical="center"/>
    </xf>
    <xf numFmtId="14" fontId="46" fillId="0" borderId="53" xfId="1" applyNumberFormat="1" applyFont="1" applyBorder="1" applyAlignment="1">
      <alignment horizontal="center" vertical="center"/>
    </xf>
    <xf numFmtId="0" fontId="46" fillId="7" borderId="12" xfId="0" applyFont="1" applyFill="1" applyBorder="1" applyAlignment="1">
      <alignment horizontal="left" vertical="center"/>
    </xf>
    <xf numFmtId="0" fontId="46" fillId="7" borderId="12" xfId="0" applyFont="1" applyFill="1" applyBorder="1" applyAlignment="1">
      <alignment horizontal="center" vertical="center"/>
    </xf>
    <xf numFmtId="43" fontId="46" fillId="7" borderId="12" xfId="1" applyFont="1" applyFill="1" applyBorder="1" applyAlignment="1">
      <alignment horizontal="center" vertical="center"/>
    </xf>
    <xf numFmtId="14" fontId="46" fillId="7" borderId="12" xfId="1" applyNumberFormat="1" applyFont="1" applyFill="1" applyBorder="1" applyAlignment="1">
      <alignment horizontal="center" vertical="center"/>
    </xf>
    <xf numFmtId="0" fontId="82" fillId="0" borderId="55" xfId="102" applyFont="1" applyBorder="1" applyAlignment="1">
      <alignment horizontal="left" vertical="center"/>
    </xf>
    <xf numFmtId="164" fontId="55" fillId="0" borderId="0" xfId="104" applyNumberFormat="1" applyFont="1"/>
    <xf numFmtId="43" fontId="47" fillId="0" borderId="0" xfId="103" applyFont="1" applyBorder="1"/>
    <xf numFmtId="43" fontId="47" fillId="0" borderId="59" xfId="103" applyFont="1" applyBorder="1"/>
    <xf numFmtId="43" fontId="46" fillId="0" borderId="9" xfId="103" applyFont="1" applyBorder="1"/>
    <xf numFmtId="0" fontId="55" fillId="0" borderId="12" xfId="104" applyFont="1" applyBorder="1"/>
    <xf numFmtId="0" fontId="56" fillId="0" borderId="53" xfId="104" applyFont="1" applyBorder="1" applyAlignment="1">
      <alignment horizontal="center" vertical="center"/>
    </xf>
    <xf numFmtId="43" fontId="47" fillId="0" borderId="53" xfId="103" applyFont="1" applyBorder="1" applyAlignment="1">
      <alignment horizontal="left" vertical="center"/>
    </xf>
    <xf numFmtId="43" fontId="55" fillId="0" borderId="0" xfId="57" applyFont="1" applyAlignment="1">
      <alignment horizontal="center" vertical="center"/>
    </xf>
    <xf numFmtId="2" fontId="55" fillId="0" borderId="0" xfId="57" applyNumberFormat="1" applyFont="1" applyAlignment="1">
      <alignment horizontal="right" vertical="center"/>
    </xf>
    <xf numFmtId="0" fontId="55" fillId="0" borderId="0" xfId="104" applyFont="1" applyAlignment="1">
      <alignment horizontal="right" vertical="center"/>
    </xf>
    <xf numFmtId="43" fontId="47" fillId="0" borderId="59" xfId="103" applyFont="1" applyFill="1" applyBorder="1"/>
    <xf numFmtId="43" fontId="47" fillId="0" borderId="59" xfId="103" applyFont="1" applyFill="1" applyBorder="1" applyAlignment="1">
      <alignment horizontal="center" vertical="center"/>
    </xf>
    <xf numFmtId="0" fontId="55" fillId="0" borderId="9" xfId="104" applyFont="1" applyBorder="1"/>
    <xf numFmtId="44" fontId="46" fillId="0" borderId="9" xfId="105" applyFont="1" applyBorder="1"/>
    <xf numFmtId="44" fontId="55" fillId="0" borderId="9" xfId="105" applyFont="1" applyBorder="1"/>
    <xf numFmtId="43" fontId="47" fillId="0" borderId="55" xfId="103" applyFont="1" applyFill="1" applyBorder="1"/>
    <xf numFmtId="0" fontId="56" fillId="0" borderId="61" xfId="104" applyFont="1" applyBorder="1"/>
    <xf numFmtId="2" fontId="55" fillId="0" borderId="0" xfId="104" applyNumberFormat="1" applyFont="1" applyAlignment="1">
      <alignment horizontal="center" vertical="center"/>
    </xf>
    <xf numFmtId="43" fontId="46" fillId="0" borderId="12" xfId="103" applyFont="1" applyFill="1" applyBorder="1"/>
    <xf numFmtId="44" fontId="55" fillId="0" borderId="13" xfId="105" applyFont="1" applyBorder="1"/>
    <xf numFmtId="0" fontId="46" fillId="0" borderId="12" xfId="104" applyFont="1" applyBorder="1"/>
    <xf numFmtId="0" fontId="46" fillId="0" borderId="12" xfId="104" applyFont="1" applyBorder="1" applyAlignment="1">
      <alignment horizontal="center"/>
    </xf>
    <xf numFmtId="44" fontId="46" fillId="0" borderId="13" xfId="105" applyFont="1" applyBorder="1"/>
    <xf numFmtId="43" fontId="56" fillId="0" borderId="0" xfId="103" applyFont="1" applyFill="1"/>
    <xf numFmtId="43" fontId="56" fillId="0" borderId="0" xfId="103" applyFont="1"/>
    <xf numFmtId="179" fontId="55" fillId="0" borderId="0" xfId="104" applyNumberFormat="1" applyFont="1" applyAlignment="1">
      <alignment horizontal="center" vertical="center"/>
    </xf>
    <xf numFmtId="43" fontId="46" fillId="0" borderId="54" xfId="103" applyFont="1" applyFill="1" applyBorder="1"/>
    <xf numFmtId="44" fontId="46" fillId="0" borderId="12" xfId="105" applyFont="1" applyFill="1" applyBorder="1"/>
    <xf numFmtId="44" fontId="46" fillId="0" borderId="54" xfId="105" applyFont="1" applyFill="1" applyBorder="1"/>
    <xf numFmtId="43" fontId="46" fillId="0" borderId="15" xfId="103" applyFont="1" applyFill="1" applyBorder="1"/>
    <xf numFmtId="2" fontId="55" fillId="0" borderId="54" xfId="57" applyNumberFormat="1" applyFont="1" applyBorder="1"/>
    <xf numFmtId="2" fontId="55" fillId="0" borderId="12" xfId="57" applyNumberFormat="1" applyFont="1" applyBorder="1"/>
    <xf numFmtId="43" fontId="47" fillId="0" borderId="35" xfId="103" applyFont="1" applyBorder="1" applyAlignment="1">
      <alignment horizontal="center" vertical="center"/>
    </xf>
    <xf numFmtId="0" fontId="56" fillId="0" borderId="35" xfId="104" applyFont="1" applyBorder="1" applyAlignment="1">
      <alignment horizontal="center" vertical="center"/>
    </xf>
    <xf numFmtId="43" fontId="46" fillId="0" borderId="12" xfId="1" applyFont="1" applyBorder="1" applyAlignment="1">
      <alignment horizontal="left" vertical="center" wrapText="1"/>
    </xf>
    <xf numFmtId="0" fontId="46" fillId="0" borderId="9" xfId="8" applyFont="1" applyBorder="1" applyAlignment="1">
      <alignment horizontal="center" vertical="center"/>
    </xf>
    <xf numFmtId="177" fontId="47" fillId="0" borderId="75" xfId="1" applyNumberFormat="1" applyFont="1" applyFill="1" applyBorder="1" applyAlignment="1">
      <alignment horizontal="center" vertical="center"/>
    </xf>
    <xf numFmtId="177" fontId="47" fillId="0" borderId="85" xfId="1" applyNumberFormat="1" applyFont="1" applyFill="1" applyBorder="1" applyAlignment="1">
      <alignment horizontal="center" vertical="center" wrapText="1"/>
    </xf>
    <xf numFmtId="43" fontId="8" fillId="0" borderId="59" xfId="1" applyFont="1" applyBorder="1"/>
    <xf numFmtId="43" fontId="8" fillId="0" borderId="15" xfId="1" applyFont="1" applyBorder="1"/>
    <xf numFmtId="43" fontId="8" fillId="0" borderId="0" xfId="1" applyFont="1"/>
    <xf numFmtId="43" fontId="8" fillId="0" borderId="54" xfId="1" applyFont="1" applyBorder="1"/>
    <xf numFmtId="43" fontId="8" fillId="0" borderId="12" xfId="1" applyFont="1" applyBorder="1"/>
    <xf numFmtId="43" fontId="8" fillId="0" borderId="15" xfId="1" applyFont="1" applyBorder="1" applyAlignment="1">
      <alignment horizontal="center" vertical="center"/>
    </xf>
    <xf numFmtId="0" fontId="46" fillId="0" borderId="88" xfId="0" applyFont="1" applyBorder="1" applyAlignment="1">
      <alignment horizontal="center" vertical="center"/>
    </xf>
    <xf numFmtId="43" fontId="46" fillId="0" borderId="88" xfId="1" applyFont="1" applyBorder="1"/>
    <xf numFmtId="0" fontId="46" fillId="0" borderId="89" xfId="0" applyFont="1" applyBorder="1"/>
    <xf numFmtId="43" fontId="8" fillId="0" borderId="12" xfId="1" applyFont="1" applyBorder="1" applyAlignment="1">
      <alignment horizontal="center" vertical="center"/>
    </xf>
    <xf numFmtId="43" fontId="47" fillId="0" borderId="65" xfId="103" applyFont="1" applyBorder="1"/>
    <xf numFmtId="43" fontId="47" fillId="0" borderId="62" xfId="103" applyFont="1" applyBorder="1" applyAlignment="1">
      <alignment horizontal="center" vertical="center"/>
    </xf>
    <xf numFmtId="0" fontId="55" fillId="0" borderId="66" xfId="104" applyFont="1" applyBorder="1"/>
    <xf numFmtId="43" fontId="8" fillId="0" borderId="0" xfId="1" applyFont="1" applyAlignment="1">
      <alignment horizontal="left" vertical="center"/>
    </xf>
    <xf numFmtId="177" fontId="8" fillId="0" borderId="0" xfId="1" applyNumberFormat="1" applyFont="1"/>
    <xf numFmtId="43" fontId="8" fillId="0" borderId="0" xfId="1" applyFont="1" applyFill="1"/>
    <xf numFmtId="177" fontId="55" fillId="0" borderId="61" xfId="1" applyNumberFormat="1" applyFont="1" applyBorder="1"/>
    <xf numFmtId="177" fontId="47" fillId="2" borderId="12" xfId="1" applyNumberFormat="1" applyFont="1" applyFill="1" applyBorder="1"/>
    <xf numFmtId="177" fontId="46" fillId="0" borderId="61" xfId="1" applyNumberFormat="1" applyFont="1" applyBorder="1"/>
    <xf numFmtId="0" fontId="103" fillId="23" borderId="53" xfId="0" applyFont="1" applyFill="1" applyBorder="1" applyAlignment="1">
      <alignment horizontal="left" vertical="center"/>
    </xf>
    <xf numFmtId="0" fontId="103" fillId="23" borderId="53" xfId="0" applyFont="1" applyFill="1" applyBorder="1" applyAlignment="1">
      <alignment horizontal="center" vertical="center"/>
    </xf>
    <xf numFmtId="0" fontId="104" fillId="24" borderId="53" xfId="0" applyFont="1" applyFill="1" applyBorder="1" applyAlignment="1">
      <alignment horizontal="left" vertical="center"/>
    </xf>
    <xf numFmtId="43" fontId="8" fillId="0" borderId="54" xfId="1" applyFont="1" applyBorder="1" applyAlignment="1">
      <alignment horizontal="left" vertical="center"/>
    </xf>
    <xf numFmtId="43" fontId="8" fillId="0" borderId="12" xfId="1" applyFont="1" applyBorder="1" applyAlignment="1">
      <alignment horizontal="left" vertical="center"/>
    </xf>
    <xf numFmtId="43" fontId="8" fillId="0" borderId="15" xfId="1" applyFont="1" applyBorder="1" applyAlignment="1">
      <alignment horizontal="left" vertical="center"/>
    </xf>
    <xf numFmtId="0" fontId="104" fillId="24" borderId="53" xfId="0" applyFont="1" applyFill="1" applyBorder="1" applyAlignment="1">
      <alignment horizontal="center" vertical="center"/>
    </xf>
    <xf numFmtId="43" fontId="103" fillId="23" borderId="53" xfId="1" applyFont="1" applyFill="1" applyBorder="1" applyAlignment="1">
      <alignment horizontal="center" vertical="center"/>
    </xf>
    <xf numFmtId="43" fontId="7" fillId="0" borderId="0" xfId="1" applyFont="1"/>
    <xf numFmtId="43" fontId="56" fillId="0" borderId="53" xfId="1" applyFont="1" applyFill="1" applyBorder="1" applyAlignment="1">
      <alignment horizontal="center" vertical="center"/>
    </xf>
    <xf numFmtId="177" fontId="8" fillId="0" borderId="2" xfId="1" applyNumberFormat="1" applyFont="1" applyBorder="1"/>
    <xf numFmtId="43" fontId="8" fillId="0" borderId="59" xfId="1" applyFont="1" applyFill="1" applyBorder="1"/>
    <xf numFmtId="43" fontId="8" fillId="0" borderId="59" xfId="1" applyFont="1" applyBorder="1" applyAlignment="1">
      <alignment horizontal="left" vertical="center"/>
    </xf>
    <xf numFmtId="177" fontId="53" fillId="0" borderId="61" xfId="1" applyNumberFormat="1" applyFont="1" applyBorder="1"/>
    <xf numFmtId="43" fontId="7" fillId="0" borderId="54" xfId="1" applyFont="1" applyBorder="1" applyAlignment="1">
      <alignment horizontal="center" vertical="center"/>
    </xf>
    <xf numFmtId="43" fontId="8" fillId="0" borderId="54" xfId="1" applyFont="1" applyFill="1" applyBorder="1"/>
    <xf numFmtId="43" fontId="7" fillId="0" borderId="54" xfId="1" applyFont="1" applyBorder="1" applyAlignment="1">
      <alignment horizontal="left" vertical="center"/>
    </xf>
    <xf numFmtId="43" fontId="7" fillId="0" borderId="12" xfId="1" applyFont="1" applyBorder="1" applyAlignment="1">
      <alignment horizontal="center" vertical="center"/>
    </xf>
    <xf numFmtId="43" fontId="8" fillId="0" borderId="12" xfId="1" applyFont="1" applyFill="1" applyBorder="1"/>
    <xf numFmtId="43" fontId="7" fillId="0" borderId="12" xfId="1" applyFont="1" applyBorder="1" applyAlignment="1">
      <alignment horizontal="left" vertical="center"/>
    </xf>
    <xf numFmtId="43" fontId="8" fillId="0" borderId="15" xfId="1" applyFont="1" applyFill="1" applyBorder="1"/>
    <xf numFmtId="43" fontId="6" fillId="0" borderId="53" xfId="1" applyFont="1" applyBorder="1"/>
    <xf numFmtId="43" fontId="8" fillId="0" borderId="53" xfId="1" applyFont="1" applyBorder="1"/>
    <xf numFmtId="43" fontId="8" fillId="0" borderId="53" xfId="1" applyFont="1" applyFill="1" applyBorder="1"/>
    <xf numFmtId="43" fontId="8" fillId="0" borderId="53" xfId="1" applyFont="1" applyBorder="1" applyAlignment="1">
      <alignment horizontal="left" vertical="center"/>
    </xf>
    <xf numFmtId="43" fontId="8" fillId="2" borderId="53" xfId="1" applyFont="1" applyFill="1" applyBorder="1"/>
    <xf numFmtId="43" fontId="8" fillId="0" borderId="55" xfId="1" applyFont="1" applyBorder="1"/>
    <xf numFmtId="43" fontId="97" fillId="0" borderId="59" xfId="1" applyFont="1" applyBorder="1"/>
    <xf numFmtId="43" fontId="98" fillId="0" borderId="59" xfId="1" applyFont="1" applyBorder="1"/>
    <xf numFmtId="43" fontId="99" fillId="0" borderId="59" xfId="1" applyFont="1" applyBorder="1"/>
    <xf numFmtId="43" fontId="100" fillId="0" borderId="59" xfId="1" applyFont="1" applyBorder="1"/>
    <xf numFmtId="43" fontId="66" fillId="0" borderId="59" xfId="1" applyFont="1" applyFill="1" applyBorder="1"/>
    <xf numFmtId="43" fontId="53" fillId="2" borderId="61" xfId="1" applyFont="1" applyFill="1" applyBorder="1"/>
    <xf numFmtId="43" fontId="53" fillId="0" borderId="61" xfId="1" applyFont="1" applyFill="1" applyBorder="1"/>
    <xf numFmtId="43" fontId="6" fillId="0" borderId="54" xfId="1" applyFont="1" applyBorder="1"/>
    <xf numFmtId="43" fontId="8" fillId="2" borderId="54" xfId="1" applyFont="1" applyFill="1" applyBorder="1"/>
    <xf numFmtId="0" fontId="46" fillId="0" borderId="13" xfId="0" applyFont="1" applyBorder="1" applyAlignment="1">
      <alignment horizontal="center" vertical="center"/>
    </xf>
    <xf numFmtId="43" fontId="5" fillId="0" borderId="53" xfId="1" applyFont="1" applyBorder="1"/>
    <xf numFmtId="43" fontId="55" fillId="0" borderId="59" xfId="1" applyFont="1" applyBorder="1" applyAlignment="1">
      <alignment horizontal="center" vertical="center"/>
    </xf>
    <xf numFmtId="0" fontId="47" fillId="0" borderId="85" xfId="0" applyFont="1" applyBorder="1"/>
    <xf numFmtId="0" fontId="46" fillId="0" borderId="62" xfId="0" applyFont="1" applyBorder="1" applyAlignment="1">
      <alignment horizontal="center" vertical="center"/>
    </xf>
    <xf numFmtId="0" fontId="46" fillId="0" borderId="86" xfId="0" applyFont="1" applyBorder="1"/>
    <xf numFmtId="0" fontId="46" fillId="0" borderId="0" xfId="1" applyNumberFormat="1" applyFont="1" applyAlignment="1">
      <alignment vertical="center" wrapText="1"/>
    </xf>
    <xf numFmtId="0" fontId="47" fillId="0" borderId="0" xfId="1" applyNumberFormat="1" applyFont="1" applyAlignment="1">
      <alignment vertical="center"/>
    </xf>
    <xf numFmtId="0" fontId="47" fillId="0" borderId="61" xfId="1" applyNumberFormat="1" applyFont="1" applyBorder="1" applyAlignment="1">
      <alignment horizontal="center" vertical="center" wrapText="1"/>
    </xf>
    <xf numFmtId="0" fontId="47" fillId="0" borderId="59" xfId="1" applyNumberFormat="1" applyFont="1" applyBorder="1" applyAlignment="1">
      <alignment vertical="center" wrapText="1"/>
    </xf>
    <xf numFmtId="0" fontId="46" fillId="0" borderId="54" xfId="1" applyNumberFormat="1" applyFont="1" applyBorder="1" applyAlignment="1">
      <alignment vertical="top" wrapText="1"/>
    </xf>
    <xf numFmtId="0" fontId="46" fillId="0" borderId="12" xfId="1" applyNumberFormat="1" applyFont="1" applyBorder="1" applyAlignment="1">
      <alignment vertical="top" wrapText="1"/>
    </xf>
    <xf numFmtId="0" fontId="46" fillId="0" borderId="15" xfId="1" applyNumberFormat="1" applyFont="1" applyBorder="1" applyAlignment="1">
      <alignment vertical="top" wrapText="1"/>
    </xf>
    <xf numFmtId="0" fontId="46" fillId="0" borderId="11" xfId="1" applyNumberFormat="1" applyFont="1" applyBorder="1" applyAlignment="1">
      <alignment horizontal="left"/>
    </xf>
    <xf numFmtId="0" fontId="46" fillId="0" borderId="11" xfId="1" applyNumberFormat="1" applyFont="1" applyBorder="1" applyAlignment="1">
      <alignment vertical="top" wrapText="1"/>
    </xf>
    <xf numFmtId="0" fontId="55" fillId="0" borderId="54" xfId="1" applyNumberFormat="1" applyFont="1" applyBorder="1" applyAlignment="1">
      <alignment vertical="center" wrapText="1"/>
    </xf>
    <xf numFmtId="0" fontId="55" fillId="0" borderId="12" xfId="1" applyNumberFormat="1" applyFont="1" applyBorder="1" applyAlignment="1">
      <alignment vertical="center" wrapText="1"/>
    </xf>
    <xf numFmtId="0" fontId="46" fillId="0" borderId="12" xfId="1" applyNumberFormat="1" applyFont="1" applyBorder="1" applyAlignment="1">
      <alignment horizontal="left"/>
    </xf>
    <xf numFmtId="0" fontId="46" fillId="0" borderId="12" xfId="1" applyNumberFormat="1" applyFont="1" applyBorder="1" applyAlignment="1">
      <alignment vertical="center" wrapText="1"/>
    </xf>
    <xf numFmtId="0" fontId="46" fillId="0" borderId="12" xfId="1" applyNumberFormat="1" applyFont="1" applyBorder="1" applyAlignment="1">
      <alignment vertical="top"/>
    </xf>
    <xf numFmtId="0" fontId="46" fillId="0" borderId="54" xfId="1" applyNumberFormat="1" applyFont="1" applyBorder="1" applyAlignment="1">
      <alignment vertical="center" wrapText="1"/>
    </xf>
    <xf numFmtId="0" fontId="46" fillId="13" borderId="54" xfId="1" applyNumberFormat="1" applyFont="1" applyFill="1" applyBorder="1" applyAlignment="1">
      <alignment vertical="top" wrapText="1"/>
    </xf>
    <xf numFmtId="0" fontId="46" fillId="13" borderId="12" xfId="1" applyNumberFormat="1" applyFont="1" applyFill="1" applyBorder="1" applyAlignment="1">
      <alignment vertical="top"/>
    </xf>
    <xf numFmtId="0" fontId="46" fillId="0" borderId="12" xfId="1" applyNumberFormat="1" applyFont="1" applyBorder="1" applyAlignment="1">
      <alignment horizontal="left" vertical="top" wrapText="1"/>
    </xf>
    <xf numFmtId="0" fontId="46" fillId="0" borderId="9" xfId="1" applyNumberFormat="1" applyFont="1" applyBorder="1" applyAlignment="1">
      <alignment vertical="top" wrapText="1"/>
    </xf>
    <xf numFmtId="0" fontId="46" fillId="0" borderId="9" xfId="1" applyNumberFormat="1" applyFont="1" applyBorder="1" applyAlignment="1">
      <alignment vertical="top"/>
    </xf>
    <xf numFmtId="0" fontId="46" fillId="0" borderId="15" xfId="1" applyNumberFormat="1" applyFont="1" applyBorder="1" applyAlignment="1">
      <alignment vertical="center"/>
    </xf>
    <xf numFmtId="0" fontId="47" fillId="0" borderId="59" xfId="1" applyNumberFormat="1" applyFont="1" applyBorder="1" applyAlignment="1">
      <alignment vertical="center"/>
    </xf>
    <xf numFmtId="0" fontId="46" fillId="0" borderId="54" xfId="1" applyNumberFormat="1" applyFont="1" applyBorder="1"/>
    <xf numFmtId="0" fontId="46" fillId="0" borderId="12" xfId="1" applyNumberFormat="1" applyFont="1" applyBorder="1"/>
    <xf numFmtId="0" fontId="46" fillId="0" borderId="54" xfId="1" applyNumberFormat="1" applyFont="1" applyBorder="1" applyAlignment="1">
      <alignment horizontal="left" vertical="center" wrapText="1"/>
    </xf>
    <xf numFmtId="0" fontId="46" fillId="0" borderId="12" xfId="1" applyNumberFormat="1" applyFont="1" applyBorder="1" applyAlignment="1">
      <alignment horizontal="left" vertical="center" wrapText="1"/>
    </xf>
    <xf numFmtId="0" fontId="55" fillId="0" borderId="15" xfId="1" applyNumberFormat="1" applyFont="1" applyBorder="1" applyAlignment="1">
      <alignment vertical="center" wrapText="1"/>
    </xf>
    <xf numFmtId="0" fontId="56" fillId="0" borderId="35" xfId="1" applyNumberFormat="1" applyFont="1" applyBorder="1" applyAlignment="1">
      <alignment vertical="center" wrapText="1"/>
    </xf>
    <xf numFmtId="0" fontId="55" fillId="0" borderId="54" xfId="1" applyNumberFormat="1" applyFont="1" applyBorder="1"/>
    <xf numFmtId="0" fontId="55" fillId="0" borderId="12" xfId="1" applyNumberFormat="1" applyFont="1" applyBorder="1"/>
    <xf numFmtId="0" fontId="55" fillId="0" borderId="15" xfId="1" applyNumberFormat="1" applyFont="1" applyBorder="1"/>
    <xf numFmtId="0" fontId="46" fillId="0" borderId="53" xfId="1" applyNumberFormat="1" applyFont="1" applyBorder="1" applyAlignment="1">
      <alignment vertical="top" wrapText="1"/>
    </xf>
    <xf numFmtId="0" fontId="46" fillId="0" borderId="12" xfId="1" applyNumberFormat="1" applyFont="1" applyBorder="1" applyAlignment="1">
      <alignment horizontal="left" vertical="center"/>
    </xf>
    <xf numFmtId="0" fontId="46" fillId="0" borderId="15" xfId="1" applyNumberFormat="1" applyFont="1" applyBorder="1" applyAlignment="1">
      <alignment horizontal="left" vertical="center"/>
    </xf>
    <xf numFmtId="43" fontId="56" fillId="0" borderId="0" xfId="1" applyFont="1" applyFill="1" applyBorder="1"/>
    <xf numFmtId="0" fontId="46" fillId="0" borderId="12" xfId="118" applyFont="1" applyBorder="1" applyAlignment="1">
      <alignment horizontal="left" vertical="top"/>
    </xf>
    <xf numFmtId="0" fontId="46" fillId="0" borderId="13" xfId="118" applyFont="1" applyBorder="1" applyAlignment="1">
      <alignment horizontal="left" vertical="top"/>
    </xf>
    <xf numFmtId="14" fontId="46" fillId="0" borderId="13" xfId="0" applyNumberFormat="1" applyFont="1" applyBorder="1"/>
    <xf numFmtId="43" fontId="66" fillId="0" borderId="54" xfId="1" applyFont="1" applyBorder="1" applyAlignment="1">
      <alignment horizontal="left" vertical="top"/>
    </xf>
    <xf numFmtId="43" fontId="66" fillId="0" borderId="12" xfId="1" applyFont="1" applyBorder="1" applyAlignment="1">
      <alignment horizontal="left" vertical="top"/>
    </xf>
    <xf numFmtId="43" fontId="66" fillId="2" borderId="12" xfId="1" applyFont="1" applyFill="1" applyBorder="1" applyAlignment="1">
      <alignment horizontal="center" vertical="center"/>
    </xf>
    <xf numFmtId="43" fontId="96" fillId="0" borderId="12" xfId="1" applyFont="1" applyBorder="1" applyAlignment="1">
      <alignment horizontal="left" vertical="top"/>
    </xf>
    <xf numFmtId="43" fontId="66" fillId="0" borderId="15" xfId="1" applyFont="1" applyBorder="1" applyAlignment="1">
      <alignment horizontal="left" vertical="top"/>
    </xf>
    <xf numFmtId="0" fontId="66" fillId="0" borderId="15" xfId="118" applyFont="1" applyBorder="1" applyAlignment="1">
      <alignment horizontal="center" vertical="center"/>
    </xf>
    <xf numFmtId="43" fontId="46" fillId="20" borderId="55" xfId="1" applyFont="1" applyFill="1" applyBorder="1"/>
    <xf numFmtId="43" fontId="43" fillId="0" borderId="59" xfId="1" applyFont="1" applyBorder="1" applyAlignment="1">
      <alignment horizontal="center" vertical="center"/>
    </xf>
    <xf numFmtId="43" fontId="55" fillId="0" borderId="61" xfId="1" applyFont="1" applyBorder="1"/>
    <xf numFmtId="43" fontId="53" fillId="0" borderId="53" xfId="1" applyFont="1" applyBorder="1"/>
    <xf numFmtId="43" fontId="46" fillId="0" borderId="0" xfId="52" applyFont="1" applyFill="1"/>
    <xf numFmtId="180" fontId="46" fillId="0" borderId="0" xfId="1" applyNumberFormat="1" applyFont="1" applyFill="1"/>
    <xf numFmtId="43" fontId="46" fillId="0" borderId="0" xfId="11" applyNumberFormat="1" applyFont="1" applyFill="1"/>
    <xf numFmtId="43" fontId="47" fillId="0" borderId="53" xfId="1" applyFont="1" applyBorder="1" applyAlignment="1">
      <alignment wrapText="1"/>
    </xf>
    <xf numFmtId="0" fontId="46" fillId="0" borderId="12" xfId="1" applyNumberFormat="1" applyFont="1" applyBorder="1" applyAlignment="1">
      <alignment vertical="center"/>
    </xf>
    <xf numFmtId="14" fontId="46" fillId="0" borderId="54" xfId="0" applyNumberFormat="1" applyFont="1" applyBorder="1" applyAlignment="1">
      <alignment horizontal="center" vertical="center"/>
    </xf>
    <xf numFmtId="14" fontId="46" fillId="0" borderId="12" xfId="0" applyNumberFormat="1" applyFont="1" applyBorder="1" applyAlignment="1">
      <alignment horizontal="center" vertical="center"/>
    </xf>
    <xf numFmtId="14" fontId="46" fillId="0" borderId="15" xfId="0" applyNumberFormat="1" applyFont="1" applyBorder="1" applyAlignment="1">
      <alignment horizontal="center" vertical="center"/>
    </xf>
    <xf numFmtId="43" fontId="46" fillId="0" borderId="54" xfId="1" applyFont="1" applyBorder="1" applyAlignment="1">
      <alignment horizontal="left" vertical="center" wrapText="1"/>
    </xf>
    <xf numFmtId="43" fontId="46" fillId="0" borderId="15" xfId="1" applyFont="1" applyBorder="1" applyAlignment="1">
      <alignment horizontal="left" vertical="center" wrapText="1"/>
    </xf>
    <xf numFmtId="0" fontId="46" fillId="0" borderId="15" xfId="1" applyNumberFormat="1" applyFont="1" applyBorder="1" applyAlignment="1">
      <alignment vertical="center" wrapText="1"/>
    </xf>
    <xf numFmtId="0" fontId="46" fillId="2" borderId="15" xfId="0" applyFont="1" applyFill="1" applyBorder="1"/>
    <xf numFmtId="0" fontId="46" fillId="2" borderId="15" xfId="0" applyFont="1" applyFill="1" applyBorder="1" applyAlignment="1">
      <alignment horizontal="center" vertical="center"/>
    </xf>
    <xf numFmtId="14" fontId="46" fillId="2" borderId="15" xfId="0" applyNumberFormat="1" applyFont="1" applyFill="1" applyBorder="1"/>
    <xf numFmtId="0" fontId="46" fillId="0" borderId="2" xfId="0" applyFont="1" applyBorder="1"/>
    <xf numFmtId="0" fontId="46" fillId="2" borderId="12" xfId="0" applyFont="1" applyFill="1" applyBorder="1"/>
    <xf numFmtId="0" fontId="101" fillId="0" borderId="0" xfId="128" applyBorder="1"/>
    <xf numFmtId="43" fontId="101" fillId="0" borderId="0" xfId="128" applyNumberFormat="1" applyFill="1" applyBorder="1" applyAlignment="1"/>
    <xf numFmtId="0" fontId="55" fillId="0" borderId="12" xfId="1" applyNumberFormat="1" applyFont="1" applyBorder="1" applyAlignment="1"/>
    <xf numFmtId="43" fontId="55" fillId="0" borderId="12" xfId="1" applyFont="1" applyBorder="1" applyAlignment="1">
      <alignment horizontal="left" vertical="center"/>
    </xf>
    <xf numFmtId="43" fontId="55" fillId="0" borderId="15" xfId="1" applyFont="1" applyBorder="1" applyAlignment="1">
      <alignment horizontal="left" vertical="center"/>
    </xf>
    <xf numFmtId="0" fontId="55" fillId="0" borderId="12" xfId="104" applyFont="1" applyBorder="1" applyAlignment="1">
      <alignment horizontal="center" vertical="center"/>
    </xf>
    <xf numFmtId="43" fontId="46" fillId="11" borderId="54" xfId="1" applyFont="1" applyFill="1" applyBorder="1"/>
    <xf numFmtId="43" fontId="46" fillId="11" borderId="12" xfId="1" applyFont="1" applyFill="1" applyBorder="1"/>
    <xf numFmtId="43" fontId="46" fillId="11" borderId="15" xfId="1" applyFont="1" applyFill="1" applyBorder="1"/>
    <xf numFmtId="43" fontId="55" fillId="11" borderId="54" xfId="1" applyFont="1" applyFill="1" applyBorder="1"/>
    <xf numFmtId="43" fontId="46" fillId="0" borderId="3" xfId="1" applyFont="1" applyBorder="1" applyAlignment="1">
      <alignment horizontal="center" vertical="center"/>
    </xf>
    <xf numFmtId="43" fontId="46" fillId="0" borderId="3" xfId="1" applyFont="1" applyBorder="1" applyAlignment="1">
      <alignment horizontal="left" vertical="center"/>
    </xf>
    <xf numFmtId="43" fontId="55" fillId="0" borderId="3" xfId="73" applyFont="1" applyBorder="1" applyAlignment="1">
      <alignment horizontal="center" vertical="center"/>
    </xf>
    <xf numFmtId="43" fontId="46" fillId="0" borderId="0" xfId="73" applyFont="1" applyBorder="1"/>
    <xf numFmtId="43" fontId="46" fillId="0" borderId="0" xfId="73" applyFont="1" applyFill="1" applyBorder="1"/>
    <xf numFmtId="43" fontId="46" fillId="0" borderId="0" xfId="73" applyFont="1"/>
    <xf numFmtId="39" fontId="46" fillId="2" borderId="54" xfId="48" applyNumberFormat="1" applyFont="1" applyFill="1" applyBorder="1"/>
    <xf numFmtId="0" fontId="46" fillId="0" borderId="61" xfId="0" applyFont="1" applyBorder="1" applyAlignment="1">
      <alignment horizontal="center" vertical="center"/>
    </xf>
    <xf numFmtId="14" fontId="46" fillId="0" borderId="61" xfId="0" applyNumberFormat="1" applyFont="1" applyBorder="1" applyAlignment="1">
      <alignment horizontal="center" vertical="center"/>
    </xf>
    <xf numFmtId="2" fontId="46" fillId="0" borderId="0" xfId="0" applyNumberFormat="1" applyFont="1" applyBorder="1" applyAlignment="1">
      <alignment horizontal="center" vertical="center"/>
    </xf>
    <xf numFmtId="43" fontId="46" fillId="11" borderId="13" xfId="1" applyFont="1" applyFill="1" applyBorder="1"/>
    <xf numFmtId="17" fontId="46" fillId="0" borderId="0" xfId="0" applyNumberFormat="1" applyFont="1" applyBorder="1" applyAlignment="1">
      <alignment horizontal="center" vertical="center"/>
    </xf>
    <xf numFmtId="9" fontId="46" fillId="0" borderId="0" xfId="30" applyFont="1" applyBorder="1" applyAlignment="1">
      <alignment horizontal="center" vertical="center"/>
    </xf>
    <xf numFmtId="43" fontId="46" fillId="0" borderId="2" xfId="57" applyFont="1" applyBorder="1"/>
    <xf numFmtId="43" fontId="46" fillId="0" borderId="2" xfId="57" applyFont="1" applyFill="1" applyBorder="1"/>
    <xf numFmtId="0" fontId="47" fillId="10" borderId="57" xfId="0" applyFont="1" applyFill="1" applyBorder="1" applyAlignment="1">
      <alignment horizontal="center" vertical="center"/>
    </xf>
    <xf numFmtId="0" fontId="47" fillId="10" borderId="68" xfId="0" applyFont="1" applyFill="1" applyBorder="1" applyAlignment="1">
      <alignment horizontal="center" vertical="center"/>
    </xf>
    <xf numFmtId="0" fontId="47" fillId="10" borderId="58" xfId="0" applyFont="1" applyFill="1" applyBorder="1" applyAlignment="1">
      <alignment horizontal="center" vertical="center"/>
    </xf>
    <xf numFmtId="43" fontId="46" fillId="0" borderId="71" xfId="1" applyFont="1" applyFill="1" applyBorder="1" applyAlignment="1">
      <alignment horizontal="center" vertical="center"/>
    </xf>
    <xf numFmtId="43" fontId="46" fillId="0" borderId="23" xfId="1" applyFont="1" applyFill="1" applyBorder="1" applyAlignment="1">
      <alignment horizontal="center" vertical="center"/>
    </xf>
    <xf numFmtId="43" fontId="46" fillId="0" borderId="24" xfId="1" applyFont="1" applyFill="1" applyBorder="1" applyAlignment="1">
      <alignment horizontal="center" vertical="center"/>
    </xf>
    <xf numFmtId="43" fontId="46" fillId="0" borderId="20" xfId="1" applyFont="1" applyFill="1" applyBorder="1" applyAlignment="1">
      <alignment horizontal="center" vertical="center"/>
    </xf>
    <xf numFmtId="43" fontId="46" fillId="0" borderId="21" xfId="1" applyFont="1" applyFill="1" applyBorder="1" applyAlignment="1">
      <alignment horizontal="center" vertical="center"/>
    </xf>
    <xf numFmtId="43" fontId="46" fillId="0" borderId="22" xfId="1" applyFont="1" applyFill="1" applyBorder="1" applyAlignment="1">
      <alignment horizontal="center" vertical="center"/>
    </xf>
    <xf numFmtId="43" fontId="46" fillId="0" borderId="20" xfId="1" applyFont="1" applyBorder="1" applyAlignment="1">
      <alignment horizontal="center" vertical="center"/>
    </xf>
    <xf numFmtId="43" fontId="46" fillId="0" borderId="21" xfId="1" applyFont="1" applyBorder="1" applyAlignment="1">
      <alignment horizontal="center" vertical="center"/>
    </xf>
    <xf numFmtId="43" fontId="46" fillId="0" borderId="22" xfId="1" applyFont="1" applyBorder="1" applyAlignment="1">
      <alignment horizontal="center" vertical="center"/>
    </xf>
    <xf numFmtId="43" fontId="46" fillId="0" borderId="3" xfId="57" applyFont="1" applyFill="1" applyBorder="1" applyAlignment="1">
      <alignment horizontal="left" vertical="center"/>
    </xf>
    <xf numFmtId="43" fontId="46" fillId="0" borderId="3" xfId="57" applyFont="1" applyFill="1" applyBorder="1" applyAlignment="1">
      <alignment horizontal="center"/>
    </xf>
    <xf numFmtId="43" fontId="46" fillId="0" borderId="4" xfId="1" applyFont="1" applyBorder="1" applyAlignment="1">
      <alignment horizontal="center" vertical="center"/>
    </xf>
    <xf numFmtId="43" fontId="46" fillId="0" borderId="5" xfId="1" applyFont="1" applyBorder="1" applyAlignment="1">
      <alignment horizontal="center" vertical="center"/>
    </xf>
    <xf numFmtId="43" fontId="46" fillId="0" borderId="6" xfId="1" applyFont="1" applyBorder="1" applyAlignment="1">
      <alignment horizontal="center" vertical="center"/>
    </xf>
    <xf numFmtId="43" fontId="46" fillId="25" borderId="54" xfId="1" applyFont="1" applyFill="1" applyBorder="1" applyAlignment="1">
      <alignment horizontal="left" vertical="center" wrapText="1"/>
    </xf>
    <xf numFmtId="43" fontId="46" fillId="25" borderId="12" xfId="1" applyFont="1" applyFill="1" applyBorder="1" applyAlignment="1">
      <alignment horizontal="left" vertical="center" wrapText="1"/>
    </xf>
    <xf numFmtId="43" fontId="46" fillId="7" borderId="12" xfId="1" applyFont="1" applyFill="1" applyBorder="1" applyAlignment="1">
      <alignment horizontal="left" vertical="center" wrapText="1"/>
    </xf>
    <xf numFmtId="43" fontId="46" fillId="7" borderId="12" xfId="1" applyFont="1" applyFill="1" applyBorder="1" applyAlignment="1">
      <alignment horizontal="left" vertical="top" wrapText="1"/>
    </xf>
    <xf numFmtId="43" fontId="46" fillId="0" borderId="15" xfId="57" applyFont="1" applyFill="1" applyBorder="1"/>
    <xf numFmtId="43" fontId="47" fillId="0" borderId="15" xfId="57" applyFont="1" applyFill="1" applyBorder="1"/>
    <xf numFmtId="43" fontId="46" fillId="7" borderId="15" xfId="1" applyFont="1" applyFill="1" applyBorder="1" applyAlignment="1">
      <alignment horizontal="left" vertical="center" wrapText="1"/>
    </xf>
    <xf numFmtId="43" fontId="46" fillId="7" borderId="12" xfId="1" applyFont="1" applyFill="1" applyBorder="1" applyAlignment="1">
      <alignment horizontal="left" vertical="center"/>
    </xf>
    <xf numFmtId="165" fontId="46" fillId="0" borderId="0" xfId="123" applyFont="1" applyFill="1" applyBorder="1"/>
    <xf numFmtId="165" fontId="47" fillId="0" borderId="0" xfId="123" applyFont="1" applyFill="1" applyBorder="1"/>
    <xf numFmtId="165" fontId="47" fillId="0" borderId="0" xfId="0" applyNumberFormat="1" applyFont="1" applyBorder="1"/>
    <xf numFmtId="0" fontId="47" fillId="0" borderId="0" xfId="0" applyFont="1" applyBorder="1"/>
    <xf numFmtId="9" fontId="46" fillId="0" borderId="0" xfId="58" applyFont="1" applyFill="1" applyBorder="1"/>
    <xf numFmtId="165" fontId="47" fillId="2" borderId="0" xfId="0" applyNumberFormat="1" applyFont="1" applyFill="1" applyBorder="1"/>
    <xf numFmtId="0" fontId="46" fillId="0" borderId="13" xfId="1" applyNumberFormat="1" applyFont="1" applyBorder="1" applyAlignment="1">
      <alignment horizontal="left"/>
    </xf>
    <xf numFmtId="49" fontId="46" fillId="0" borderId="13" xfId="6" applyNumberFormat="1" applyFont="1" applyBorder="1" applyAlignment="1">
      <alignment horizontal="center" vertical="center"/>
    </xf>
    <xf numFmtId="177" fontId="46" fillId="0" borderId="13" xfId="1" applyNumberFormat="1" applyFont="1" applyFill="1" applyBorder="1" applyAlignment="1">
      <alignment horizontal="center" vertical="center"/>
    </xf>
    <xf numFmtId="0" fontId="81" fillId="0" borderId="59" xfId="102" applyFont="1" applyBorder="1" applyAlignment="1">
      <alignment horizontal="center" vertical="center"/>
    </xf>
    <xf numFmtId="168" fontId="81" fillId="0" borderId="0" xfId="102" applyNumberFormat="1" applyFont="1" applyAlignment="1">
      <alignment horizontal="center" vertical="center"/>
    </xf>
    <xf numFmtId="168" fontId="81" fillId="0" borderId="59" xfId="102" applyNumberFormat="1" applyFont="1" applyBorder="1" applyAlignment="1">
      <alignment horizontal="center" vertical="center"/>
    </xf>
    <xf numFmtId="0" fontId="81" fillId="0" borderId="0" xfId="102" applyFont="1" applyAlignment="1">
      <alignment horizontal="left" vertical="center"/>
    </xf>
    <xf numFmtId="43" fontId="46" fillId="17" borderId="59" xfId="1" applyFont="1" applyFill="1" applyBorder="1"/>
    <xf numFmtId="43" fontId="46" fillId="17" borderId="62" xfId="1" applyFont="1" applyFill="1" applyBorder="1"/>
    <xf numFmtId="43" fontId="46" fillId="17" borderId="54" xfId="1" applyFont="1" applyFill="1" applyBorder="1" applyAlignment="1">
      <alignment horizontal="center" vertical="center"/>
    </xf>
    <xf numFmtId="43" fontId="46" fillId="17" borderId="12" xfId="1" applyFont="1" applyFill="1" applyBorder="1" applyAlignment="1">
      <alignment horizontal="center" vertical="center"/>
    </xf>
    <xf numFmtId="43" fontId="46" fillId="17" borderId="15" xfId="1" applyFont="1" applyFill="1" applyBorder="1" applyAlignment="1">
      <alignment horizontal="center" vertical="center"/>
    </xf>
    <xf numFmtId="43" fontId="46" fillId="17" borderId="13" xfId="1" applyFont="1" applyFill="1" applyBorder="1" applyAlignment="1">
      <alignment horizontal="center" vertical="center"/>
    </xf>
    <xf numFmtId="43" fontId="55" fillId="0" borderId="0" xfId="1" applyFont="1" applyAlignment="1">
      <alignment horizontal="center"/>
    </xf>
    <xf numFmtId="0" fontId="56" fillId="0" borderId="0" xfId="104" applyFont="1" applyAlignment="1">
      <alignment horizontal="right" vertical="center"/>
    </xf>
    <xf numFmtId="14" fontId="56" fillId="0" borderId="0" xfId="104" applyNumberFormat="1" applyFont="1"/>
    <xf numFmtId="43" fontId="56" fillId="0" borderId="0" xfId="1" applyFont="1" applyAlignment="1">
      <alignment horizontal="center" vertical="center"/>
    </xf>
    <xf numFmtId="177" fontId="55" fillId="0" borderId="0" xfId="104" applyNumberFormat="1" applyFont="1"/>
    <xf numFmtId="165" fontId="106" fillId="0" borderId="0" xfId="132" applyFont="1"/>
    <xf numFmtId="165" fontId="106" fillId="0" borderId="0" xfId="132" applyFont="1" applyAlignment="1">
      <alignment horizontal="center" vertical="center"/>
    </xf>
    <xf numFmtId="165" fontId="107" fillId="0" borderId="0" xfId="132" applyFont="1"/>
    <xf numFmtId="165" fontId="108" fillId="0" borderId="0" xfId="132" applyFont="1" applyAlignment="1">
      <alignment horizontal="center" vertical="center"/>
    </xf>
    <xf numFmtId="165" fontId="108" fillId="0" borderId="0" xfId="132" applyFont="1"/>
    <xf numFmtId="165" fontId="108" fillId="0" borderId="53" xfId="132" applyFont="1" applyBorder="1"/>
    <xf numFmtId="165" fontId="108" fillId="0" borderId="53" xfId="132" applyFont="1" applyBorder="1" applyAlignment="1">
      <alignment horizontal="center" vertical="center"/>
    </xf>
    <xf numFmtId="165" fontId="109" fillId="0" borderId="53" xfId="132" applyFont="1" applyBorder="1"/>
    <xf numFmtId="165" fontId="108" fillId="0" borderId="85" xfId="132" applyFont="1" applyBorder="1"/>
    <xf numFmtId="165" fontId="108" fillId="0" borderId="62" xfId="132" applyFont="1" applyBorder="1"/>
    <xf numFmtId="165" fontId="108" fillId="0" borderId="62" xfId="132" applyFont="1" applyBorder="1" applyAlignment="1">
      <alignment horizontal="center" vertical="center"/>
    </xf>
    <xf numFmtId="165" fontId="109" fillId="0" borderId="62" xfId="132" applyFont="1" applyBorder="1"/>
    <xf numFmtId="165" fontId="108" fillId="0" borderId="86" xfId="132" applyFont="1" applyBorder="1" applyAlignment="1">
      <alignment horizontal="center" vertical="center"/>
    </xf>
    <xf numFmtId="165" fontId="108" fillId="0" borderId="55" xfId="132" applyFont="1" applyBorder="1"/>
    <xf numFmtId="165" fontId="108" fillId="0" borderId="59" xfId="132" applyFont="1" applyBorder="1"/>
    <xf numFmtId="165" fontId="108" fillId="0" borderId="59" xfId="132" applyFont="1" applyBorder="1" applyAlignment="1">
      <alignment horizontal="center" vertical="center"/>
    </xf>
    <xf numFmtId="165" fontId="109" fillId="0" borderId="59" xfId="132" applyFont="1" applyBorder="1"/>
    <xf numFmtId="165" fontId="108" fillId="0" borderId="61" xfId="132" applyFont="1" applyBorder="1"/>
    <xf numFmtId="165" fontId="106" fillId="0" borderId="71" xfId="132" applyFont="1" applyBorder="1"/>
    <xf numFmtId="165" fontId="106" fillId="0" borderId="23" xfId="132" applyFont="1" applyBorder="1"/>
    <xf numFmtId="165" fontId="106" fillId="0" borderId="23" xfId="132" applyFont="1" applyBorder="1" applyAlignment="1">
      <alignment horizontal="center" vertical="center"/>
    </xf>
    <xf numFmtId="165" fontId="107" fillId="0" borderId="23" xfId="132" applyFont="1" applyBorder="1"/>
    <xf numFmtId="165" fontId="106" fillId="0" borderId="24" xfId="132" applyFont="1" applyBorder="1"/>
    <xf numFmtId="165" fontId="106" fillId="0" borderId="20" xfId="132" applyFont="1" applyBorder="1"/>
    <xf numFmtId="165" fontId="106" fillId="0" borderId="21" xfId="132" applyFont="1" applyBorder="1"/>
    <xf numFmtId="165" fontId="106" fillId="0" borderId="21" xfId="132" applyFont="1" applyBorder="1" applyAlignment="1">
      <alignment horizontal="center" vertical="center"/>
    </xf>
    <xf numFmtId="165" fontId="107" fillId="0" borderId="21" xfId="132" applyFont="1" applyBorder="1"/>
    <xf numFmtId="165" fontId="106" fillId="0" borderId="22" xfId="132" applyFont="1" applyBorder="1"/>
    <xf numFmtId="165" fontId="106" fillId="0" borderId="25" xfId="132" applyFont="1" applyBorder="1"/>
    <xf numFmtId="165" fontId="106" fillId="0" borderId="26" xfId="132" applyFont="1" applyBorder="1"/>
    <xf numFmtId="165" fontId="106" fillId="0" borderId="26" xfId="132" applyFont="1" applyBorder="1" applyAlignment="1">
      <alignment horizontal="center" vertical="center"/>
    </xf>
    <xf numFmtId="165" fontId="107" fillId="0" borderId="26" xfId="132" applyFont="1" applyBorder="1"/>
    <xf numFmtId="165" fontId="106" fillId="0" borderId="27" xfId="132" applyFont="1" applyBorder="1"/>
    <xf numFmtId="165" fontId="106" fillId="0" borderId="59" xfId="132" applyFont="1" applyBorder="1"/>
    <xf numFmtId="165" fontId="106" fillId="0" borderId="59" xfId="132" applyFont="1" applyBorder="1" applyAlignment="1">
      <alignment horizontal="center" vertical="center"/>
    </xf>
    <xf numFmtId="165" fontId="107" fillId="0" borderId="59" xfId="132" applyFont="1" applyBorder="1"/>
    <xf numFmtId="165" fontId="106" fillId="0" borderId="61" xfId="132" applyFont="1" applyBorder="1"/>
    <xf numFmtId="165" fontId="106" fillId="2" borderId="23" xfId="132" applyFont="1" applyFill="1" applyBorder="1"/>
    <xf numFmtId="165" fontId="106" fillId="0" borderId="43" xfId="132" applyFont="1" applyBorder="1"/>
    <xf numFmtId="165" fontId="106" fillId="0" borderId="44" xfId="132" applyFont="1" applyBorder="1"/>
    <xf numFmtId="165" fontId="106" fillId="0" borderId="44" xfId="132" applyFont="1" applyBorder="1" applyAlignment="1">
      <alignment horizontal="center" vertical="center"/>
    </xf>
    <xf numFmtId="165" fontId="107" fillId="0" borderId="44" xfId="132" applyFont="1" applyBorder="1"/>
    <xf numFmtId="165" fontId="106" fillId="0" borderId="46" xfId="132" applyFont="1" applyBorder="1"/>
    <xf numFmtId="49" fontId="46" fillId="0" borderId="9" xfId="8" applyNumberFormat="1" applyFont="1" applyBorder="1" applyAlignment="1">
      <alignment horizontal="center" vertical="center"/>
    </xf>
    <xf numFmtId="0" fontId="46" fillId="0" borderId="9" xfId="1" applyNumberFormat="1" applyFont="1" applyFill="1" applyBorder="1" applyAlignment="1">
      <alignment horizontal="left" vertical="center"/>
    </xf>
    <xf numFmtId="0" fontId="46" fillId="0" borderId="54" xfId="1" applyNumberFormat="1" applyFont="1" applyFill="1" applyBorder="1" applyAlignment="1">
      <alignment horizontal="left" vertical="center"/>
    </xf>
    <xf numFmtId="165" fontId="56" fillId="0" borderId="0" xfId="133" applyFont="1"/>
    <xf numFmtId="165" fontId="47" fillId="0" borderId="0" xfId="133" applyFont="1" applyFill="1" applyBorder="1" applyAlignment="1">
      <alignment horizontal="left" vertical="center"/>
    </xf>
    <xf numFmtId="165" fontId="47" fillId="0" borderId="0" xfId="133" applyFont="1" applyFill="1" applyBorder="1" applyAlignment="1">
      <alignment horizontal="right"/>
    </xf>
    <xf numFmtId="169" fontId="56" fillId="0" borderId="0" xfId="133" applyNumberFormat="1" applyFont="1"/>
    <xf numFmtId="165" fontId="47" fillId="0" borderId="0" xfId="133" applyFont="1" applyFill="1" applyBorder="1"/>
    <xf numFmtId="169" fontId="47" fillId="0" borderId="0" xfId="133" applyNumberFormat="1" applyFont="1" applyFill="1" applyBorder="1"/>
    <xf numFmtId="169" fontId="47" fillId="0" borderId="0" xfId="133" applyNumberFormat="1" applyFont="1"/>
    <xf numFmtId="165" fontId="47" fillId="0" borderId="0" xfId="133" applyFont="1" applyFill="1" applyBorder="1" applyAlignment="1">
      <alignment horizontal="center" vertical="center"/>
    </xf>
    <xf numFmtId="165" fontId="47" fillId="0" borderId="0" xfId="133" applyFont="1" applyFill="1" applyBorder="1" applyAlignment="1">
      <alignment horizontal="left"/>
    </xf>
    <xf numFmtId="165" fontId="46" fillId="17" borderId="0" xfId="133" applyFont="1" applyFill="1" applyBorder="1" applyAlignment="1">
      <alignment vertical="center"/>
    </xf>
    <xf numFmtId="165" fontId="47" fillId="0" borderId="38" xfId="133" applyFont="1" applyFill="1" applyBorder="1" applyAlignment="1">
      <alignment horizontal="right"/>
    </xf>
    <xf numFmtId="165" fontId="47" fillId="0" borderId="53" xfId="133" applyFont="1" applyFill="1" applyBorder="1" applyAlignment="1">
      <alignment horizontal="center" vertical="center"/>
    </xf>
    <xf numFmtId="165" fontId="47" fillId="0" borderId="38" xfId="133" applyFont="1" applyFill="1" applyBorder="1" applyAlignment="1">
      <alignment horizontal="center" vertical="center"/>
    </xf>
    <xf numFmtId="165" fontId="47" fillId="0" borderId="3" xfId="133" applyFont="1" applyFill="1" applyBorder="1" applyAlignment="1">
      <alignment horizontal="center" vertical="center"/>
    </xf>
    <xf numFmtId="165" fontId="56" fillId="0" borderId="0" xfId="133" applyFont="1" applyBorder="1" applyAlignment="1">
      <alignment horizontal="center" vertical="center"/>
    </xf>
    <xf numFmtId="165" fontId="56" fillId="0" borderId="0" xfId="133" applyFont="1" applyBorder="1"/>
    <xf numFmtId="165" fontId="46" fillId="18" borderId="0" xfId="133" applyFont="1" applyFill="1" applyBorder="1" applyAlignment="1">
      <alignment vertical="center"/>
    </xf>
    <xf numFmtId="165" fontId="56" fillId="0" borderId="0" xfId="133" applyFont="1" applyBorder="1" applyAlignment="1">
      <alignment horizontal="center" vertical="center" wrapText="1"/>
    </xf>
    <xf numFmtId="165" fontId="46" fillId="2" borderId="0" xfId="133" applyFont="1" applyFill="1" applyBorder="1" applyAlignment="1">
      <alignment vertical="center"/>
    </xf>
    <xf numFmtId="165" fontId="47" fillId="0" borderId="57" xfId="133" applyFont="1" applyFill="1" applyBorder="1" applyAlignment="1">
      <alignment horizontal="center" vertical="center"/>
    </xf>
    <xf numFmtId="165" fontId="47" fillId="0" borderId="68" xfId="133" applyFont="1" applyFill="1" applyBorder="1" applyAlignment="1">
      <alignment horizontal="center" vertical="center"/>
    </xf>
    <xf numFmtId="165" fontId="47" fillId="0" borderId="58" xfId="133" applyFont="1" applyFill="1" applyBorder="1" applyAlignment="1">
      <alignment horizontal="center" vertical="center"/>
    </xf>
    <xf numFmtId="165" fontId="47" fillId="0" borderId="38" xfId="133" applyFont="1" applyFill="1" applyBorder="1" applyAlignment="1">
      <alignment horizontal="center" wrapText="1"/>
    </xf>
    <xf numFmtId="165" fontId="47" fillId="0" borderId="3" xfId="133" applyFont="1" applyBorder="1" applyAlignment="1">
      <alignment horizontal="center" wrapText="1"/>
    </xf>
    <xf numFmtId="165" fontId="47" fillId="0" borderId="38" xfId="133" applyFont="1" applyBorder="1" applyAlignment="1">
      <alignment horizontal="center" wrapText="1"/>
    </xf>
    <xf numFmtId="169" fontId="47" fillId="0" borderId="0" xfId="133" applyNumberFormat="1" applyFont="1" applyFill="1" applyBorder="1" applyAlignment="1">
      <alignment horizontal="center" vertical="center"/>
    </xf>
    <xf numFmtId="165" fontId="46" fillId="12" borderId="0" xfId="133" applyFont="1" applyFill="1" applyBorder="1" applyAlignment="1">
      <alignment vertical="center"/>
    </xf>
    <xf numFmtId="165" fontId="46" fillId="12" borderId="63" xfId="133" applyFont="1" applyFill="1" applyBorder="1" applyAlignment="1">
      <alignment horizontal="center" vertical="center"/>
    </xf>
    <xf numFmtId="165" fontId="46" fillId="12" borderId="67" xfId="133" applyFont="1" applyFill="1" applyBorder="1" applyAlignment="1">
      <alignment horizontal="center" vertical="center"/>
    </xf>
    <xf numFmtId="165" fontId="46" fillId="12" borderId="64" xfId="133" applyFont="1" applyFill="1" applyBorder="1" applyAlignment="1">
      <alignment horizontal="center" vertical="center"/>
    </xf>
    <xf numFmtId="165" fontId="46" fillId="12" borderId="91" xfId="133" applyFont="1" applyFill="1" applyBorder="1" applyAlignment="1">
      <alignment horizontal="center" vertical="center"/>
    </xf>
    <xf numFmtId="165" fontId="47" fillId="0" borderId="0" xfId="133" applyFont="1" applyBorder="1" applyAlignment="1">
      <alignment horizontal="center" wrapText="1"/>
    </xf>
    <xf numFmtId="165" fontId="46" fillId="12" borderId="92" xfId="133" applyFont="1" applyFill="1" applyBorder="1" applyAlignment="1">
      <alignment horizontal="center" vertical="center"/>
    </xf>
    <xf numFmtId="165" fontId="76" fillId="0" borderId="0" xfId="133" applyFont="1" applyFill="1" applyBorder="1" applyAlignment="1">
      <alignment horizontal="center" vertical="center"/>
    </xf>
    <xf numFmtId="169" fontId="64" fillId="0" borderId="0" xfId="133" applyNumberFormat="1" applyFont="1" applyFill="1" applyBorder="1" applyAlignment="1">
      <alignment horizontal="center" vertical="center"/>
    </xf>
    <xf numFmtId="165" fontId="46" fillId="0" borderId="0" xfId="133" applyFont="1" applyFill="1" applyBorder="1" applyAlignment="1">
      <alignment horizontal="left"/>
    </xf>
    <xf numFmtId="165" fontId="46" fillId="0" borderId="0" xfId="133" applyFont="1" applyFill="1" applyBorder="1" applyAlignment="1">
      <alignment horizontal="right"/>
    </xf>
    <xf numFmtId="165" fontId="77" fillId="0" borderId="0" xfId="133" applyFont="1" applyFill="1" applyBorder="1" applyAlignment="1">
      <alignment horizontal="right"/>
    </xf>
    <xf numFmtId="169" fontId="46" fillId="0" borderId="76" xfId="133" applyNumberFormat="1" applyFont="1" applyBorder="1" applyAlignment="1">
      <alignment horizontal="center" textRotation="90" wrapText="1"/>
    </xf>
    <xf numFmtId="165" fontId="46" fillId="0" borderId="38" xfId="133" applyFont="1" applyFill="1" applyBorder="1" applyAlignment="1">
      <alignment horizontal="center" textRotation="90" wrapText="1"/>
    </xf>
    <xf numFmtId="165" fontId="46" fillId="0" borderId="3" xfId="133" applyFont="1" applyBorder="1" applyAlignment="1">
      <alignment horizontal="center" textRotation="90" wrapText="1"/>
    </xf>
    <xf numFmtId="169" fontId="46" fillId="0" borderId="39" xfId="133" applyNumberFormat="1" applyFont="1" applyBorder="1" applyAlignment="1">
      <alignment horizontal="center" textRotation="90" wrapText="1"/>
    </xf>
    <xf numFmtId="169" fontId="46" fillId="0" borderId="7" xfId="133" applyNumberFormat="1" applyFont="1" applyBorder="1" applyAlignment="1">
      <alignment horizontal="center" textRotation="90" wrapText="1"/>
    </xf>
    <xf numFmtId="169" fontId="46" fillId="0" borderId="8" xfId="133" applyNumberFormat="1" applyFont="1" applyBorder="1" applyAlignment="1">
      <alignment horizontal="center" textRotation="90" wrapText="1"/>
    </xf>
    <xf numFmtId="169" fontId="46" fillId="0" borderId="40" xfId="133" applyNumberFormat="1" applyFont="1" applyBorder="1" applyAlignment="1">
      <alignment horizontal="center" textRotation="90" wrapText="1"/>
    </xf>
    <xf numFmtId="165" fontId="46" fillId="0" borderId="0" xfId="133" applyFont="1" applyBorder="1" applyAlignment="1">
      <alignment horizontal="center" textRotation="90" wrapText="1"/>
    </xf>
    <xf numFmtId="165" fontId="55" fillId="0" borderId="0" xfId="133" applyFont="1" applyBorder="1"/>
    <xf numFmtId="165" fontId="55" fillId="0" borderId="0" xfId="133" applyFont="1"/>
    <xf numFmtId="169" fontId="55" fillId="0" borderId="53" xfId="133" applyNumberFormat="1" applyFont="1" applyBorder="1" applyAlignment="1">
      <alignment horizontal="center" vertical="center"/>
    </xf>
    <xf numFmtId="165" fontId="47" fillId="0" borderId="57" xfId="133" applyFont="1" applyFill="1" applyBorder="1" applyAlignment="1">
      <alignment horizontal="center" vertical="center" wrapText="1"/>
    </xf>
    <xf numFmtId="165" fontId="49" fillId="0" borderId="68" xfId="133" applyFont="1" applyFill="1" applyBorder="1" applyAlignment="1">
      <alignment horizontal="center" vertical="center"/>
    </xf>
    <xf numFmtId="165" fontId="50" fillId="0" borderId="58" xfId="133" applyFont="1" applyFill="1" applyBorder="1" applyAlignment="1">
      <alignment horizontal="center" vertical="center" wrapText="1"/>
    </xf>
    <xf numFmtId="165" fontId="49" fillId="0" borderId="68" xfId="133" applyFont="1" applyFill="1" applyBorder="1" applyAlignment="1">
      <alignment horizontal="center" vertical="center" wrapText="1"/>
    </xf>
    <xf numFmtId="165" fontId="50" fillId="0" borderId="58" xfId="133" applyFont="1" applyFill="1" applyBorder="1" applyAlignment="1">
      <alignment horizontal="center" vertical="center"/>
    </xf>
    <xf numFmtId="169" fontId="47" fillId="0" borderId="57" xfId="133" applyNumberFormat="1" applyFont="1" applyFill="1" applyBorder="1" applyAlignment="1">
      <alignment horizontal="center" vertical="center" wrapText="1"/>
    </xf>
    <xf numFmtId="169" fontId="47" fillId="0" borderId="68" xfId="133" applyNumberFormat="1" applyFont="1" applyFill="1" applyBorder="1" applyAlignment="1">
      <alignment horizontal="center" vertical="center" wrapText="1"/>
    </xf>
    <xf numFmtId="169" fontId="47" fillId="0" borderId="67" xfId="133" applyNumberFormat="1" applyFont="1" applyFill="1" applyBorder="1" applyAlignment="1">
      <alignment horizontal="center" vertical="center" wrapText="1"/>
    </xf>
    <xf numFmtId="169" fontId="47" fillId="0" borderId="92" xfId="133" applyNumberFormat="1" applyFont="1" applyFill="1" applyBorder="1" applyAlignment="1">
      <alignment horizontal="center" vertical="center" wrapText="1"/>
    </xf>
    <xf numFmtId="169" fontId="55" fillId="0" borderId="9" xfId="133" applyNumberFormat="1" applyFont="1" applyBorder="1" applyAlignment="1">
      <alignment horizontal="center" vertical="center"/>
    </xf>
    <xf numFmtId="165" fontId="55" fillId="0" borderId="28" xfId="133" applyFont="1" applyBorder="1" applyAlignment="1">
      <alignment horizontal="left"/>
    </xf>
    <xf numFmtId="165" fontId="55" fillId="0" borderId="29" xfId="133" applyFont="1" applyBorder="1" applyAlignment="1">
      <alignment horizontal="left"/>
    </xf>
    <xf numFmtId="165" fontId="46" fillId="0" borderId="28" xfId="133" applyFont="1" applyFill="1" applyBorder="1" applyAlignment="1">
      <alignment horizontal="right"/>
    </xf>
    <xf numFmtId="165" fontId="46" fillId="0" borderId="30" xfId="133" applyFont="1" applyFill="1" applyBorder="1" applyAlignment="1">
      <alignment horizontal="right"/>
    </xf>
    <xf numFmtId="165" fontId="46" fillId="0" borderId="0" xfId="133" applyFont="1" applyFill="1" applyBorder="1" applyAlignment="1"/>
    <xf numFmtId="165" fontId="46" fillId="0" borderId="38" xfId="133" applyFont="1" applyFill="1" applyBorder="1" applyAlignment="1">
      <alignment wrapText="1"/>
    </xf>
    <xf numFmtId="165" fontId="46" fillId="0" borderId="3" xfId="133" applyFont="1" applyFill="1" applyBorder="1" applyAlignment="1">
      <alignment wrapText="1"/>
    </xf>
    <xf numFmtId="169" fontId="46" fillId="0" borderId="28" xfId="133" applyNumberFormat="1" applyFont="1" applyFill="1" applyBorder="1" applyAlignment="1">
      <alignment wrapText="1"/>
    </xf>
    <xf numFmtId="169" fontId="46" fillId="0" borderId="29" xfId="133" applyNumberFormat="1" applyFont="1" applyFill="1" applyBorder="1" applyAlignment="1">
      <alignment wrapText="1"/>
    </xf>
    <xf numFmtId="169" fontId="46" fillId="0" borderId="48" xfId="133" applyNumberFormat="1" applyFont="1" applyFill="1" applyBorder="1" applyAlignment="1">
      <alignment wrapText="1"/>
    </xf>
    <xf numFmtId="165" fontId="46" fillId="0" borderId="0" xfId="133" applyFont="1" applyFill="1" applyBorder="1" applyAlignment="1">
      <alignment wrapText="1"/>
    </xf>
    <xf numFmtId="169" fontId="46" fillId="0" borderId="71" xfId="133" applyNumberFormat="1" applyFont="1" applyFill="1" applyBorder="1" applyAlignment="1">
      <alignment wrapText="1"/>
    </xf>
    <xf numFmtId="169" fontId="46" fillId="0" borderId="23" xfId="133" applyNumberFormat="1" applyFont="1" applyFill="1" applyBorder="1" applyAlignment="1">
      <alignment wrapText="1"/>
    </xf>
    <xf numFmtId="169" fontId="46" fillId="0" borderId="24" xfId="133" applyNumberFormat="1" applyFont="1" applyFill="1" applyBorder="1" applyAlignment="1">
      <alignment wrapText="1"/>
    </xf>
    <xf numFmtId="169" fontId="46" fillId="0" borderId="41" xfId="133" applyNumberFormat="1" applyFont="1" applyFill="1" applyBorder="1" applyAlignment="1">
      <alignment wrapText="1"/>
    </xf>
    <xf numFmtId="169" fontId="55" fillId="0" borderId="12" xfId="133" applyNumberFormat="1" applyFont="1" applyBorder="1" applyAlignment="1">
      <alignment horizontal="center" vertical="center"/>
    </xf>
    <xf numFmtId="165" fontId="55" fillId="0" borderId="20" xfId="133" applyFont="1" applyBorder="1" applyAlignment="1">
      <alignment horizontal="left"/>
    </xf>
    <xf numFmtId="165" fontId="55" fillId="0" borderId="21" xfId="133" applyFont="1" applyBorder="1" applyAlignment="1">
      <alignment horizontal="left"/>
    </xf>
    <xf numFmtId="165" fontId="46" fillId="13" borderId="22" xfId="133" applyFont="1" applyFill="1" applyBorder="1" applyAlignment="1">
      <alignment vertical="center"/>
    </xf>
    <xf numFmtId="165" fontId="46" fillId="0" borderId="20" xfId="133" applyFont="1" applyFill="1" applyBorder="1" applyAlignment="1">
      <alignment horizontal="right"/>
    </xf>
    <xf numFmtId="165" fontId="57" fillId="0" borderId="21" xfId="133" applyFont="1" applyFill="1" applyBorder="1" applyAlignment="1">
      <alignment horizontal="right"/>
    </xf>
    <xf numFmtId="165" fontId="46" fillId="0" borderId="22" xfId="133" applyFont="1" applyFill="1" applyBorder="1" applyAlignment="1">
      <alignment horizontal="right"/>
    </xf>
    <xf numFmtId="165" fontId="46" fillId="0" borderId="20" xfId="133" applyFont="1" applyFill="1" applyBorder="1" applyAlignment="1">
      <alignment horizontal="right" vertical="center"/>
    </xf>
    <xf numFmtId="169" fontId="46" fillId="0" borderId="50" xfId="133" applyNumberFormat="1" applyFont="1" applyFill="1" applyBorder="1" applyAlignment="1">
      <alignment wrapText="1"/>
    </xf>
    <xf numFmtId="169" fontId="46" fillId="0" borderId="20" xfId="133" applyNumberFormat="1" applyFont="1" applyFill="1" applyBorder="1" applyAlignment="1">
      <alignment wrapText="1"/>
    </xf>
    <xf numFmtId="169" fontId="46" fillId="0" borderId="21" xfId="133" applyNumberFormat="1" applyFont="1" applyFill="1" applyBorder="1" applyAlignment="1">
      <alignment wrapText="1"/>
    </xf>
    <xf numFmtId="169" fontId="46" fillId="0" borderId="42" xfId="133" applyNumberFormat="1" applyFont="1" applyFill="1" applyBorder="1" applyAlignment="1">
      <alignment wrapText="1"/>
    </xf>
    <xf numFmtId="169" fontId="46" fillId="0" borderId="22" xfId="133" applyNumberFormat="1" applyFont="1" applyFill="1" applyBorder="1" applyAlignment="1">
      <alignment wrapText="1"/>
    </xf>
    <xf numFmtId="165" fontId="55" fillId="0" borderId="22" xfId="133" applyFont="1" applyBorder="1" applyAlignment="1">
      <alignment horizontal="center"/>
    </xf>
    <xf numFmtId="169" fontId="46" fillId="0" borderId="25" xfId="133" applyNumberFormat="1" applyFont="1" applyFill="1" applyBorder="1" applyAlignment="1">
      <alignment wrapText="1"/>
    </xf>
    <xf numFmtId="169" fontId="46" fillId="0" borderId="26" xfId="133" applyNumberFormat="1" applyFont="1" applyFill="1" applyBorder="1" applyAlignment="1">
      <alignment wrapText="1"/>
    </xf>
    <xf numFmtId="169" fontId="46" fillId="0" borderId="27" xfId="133" applyNumberFormat="1" applyFont="1" applyFill="1" applyBorder="1" applyAlignment="1">
      <alignment wrapText="1"/>
    </xf>
    <xf numFmtId="169" fontId="46" fillId="0" borderId="47" xfId="133" applyNumberFormat="1" applyFont="1" applyFill="1" applyBorder="1" applyAlignment="1">
      <alignment wrapText="1"/>
    </xf>
    <xf numFmtId="169" fontId="46" fillId="0" borderId="96" xfId="133" applyNumberFormat="1" applyFont="1" applyFill="1" applyBorder="1" applyAlignment="1">
      <alignment wrapText="1"/>
    </xf>
    <xf numFmtId="169" fontId="46" fillId="0" borderId="93" xfId="133" applyNumberFormat="1" applyFont="1" applyFill="1" applyBorder="1" applyAlignment="1">
      <alignment wrapText="1"/>
    </xf>
    <xf numFmtId="169" fontId="46" fillId="0" borderId="94" xfId="133" applyNumberFormat="1" applyFont="1" applyFill="1" applyBorder="1" applyAlignment="1">
      <alignment wrapText="1"/>
    </xf>
    <xf numFmtId="169" fontId="46" fillId="0" borderId="97" xfId="133" applyNumberFormat="1" applyFont="1" applyFill="1" applyBorder="1" applyAlignment="1">
      <alignment wrapText="1"/>
    </xf>
    <xf numFmtId="165" fontId="55" fillId="0" borderId="32" xfId="133" applyFont="1" applyBorder="1"/>
    <xf numFmtId="169" fontId="46" fillId="0" borderId="95" xfId="133" applyNumberFormat="1" applyFont="1" applyFill="1" applyBorder="1" applyAlignment="1">
      <alignment wrapText="1"/>
    </xf>
    <xf numFmtId="169" fontId="46" fillId="0" borderId="30" xfId="133" applyNumberFormat="1" applyFont="1" applyFill="1" applyBorder="1" applyAlignment="1">
      <alignment wrapText="1"/>
    </xf>
    <xf numFmtId="165" fontId="55" fillId="0" borderId="25" xfId="133" applyFont="1" applyBorder="1" applyAlignment="1">
      <alignment horizontal="left"/>
    </xf>
    <xf numFmtId="165" fontId="55" fillId="0" borderId="26" xfId="133" applyFont="1" applyBorder="1" applyAlignment="1">
      <alignment horizontal="left"/>
    </xf>
    <xf numFmtId="165" fontId="55" fillId="0" borderId="27" xfId="133" applyFont="1" applyBorder="1" applyAlignment="1">
      <alignment horizontal="center"/>
    </xf>
    <xf numFmtId="165" fontId="46" fillId="0" borderId="25" xfId="133" applyFont="1" applyFill="1" applyBorder="1" applyAlignment="1">
      <alignment horizontal="right"/>
    </xf>
    <xf numFmtId="165" fontId="57" fillId="0" borderId="26" xfId="133" applyFont="1" applyFill="1" applyBorder="1" applyAlignment="1">
      <alignment horizontal="right"/>
    </xf>
    <xf numFmtId="165" fontId="46" fillId="0" borderId="27" xfId="133" applyFont="1" applyFill="1" applyBorder="1" applyAlignment="1">
      <alignment horizontal="right"/>
    </xf>
    <xf numFmtId="165" fontId="46" fillId="0" borderId="25" xfId="133" applyFont="1" applyFill="1" applyBorder="1" applyAlignment="1">
      <alignment horizontal="right" vertical="center"/>
    </xf>
    <xf numFmtId="169" fontId="46" fillId="0" borderId="51" xfId="133" applyNumberFormat="1" applyFont="1" applyFill="1" applyBorder="1" applyAlignment="1">
      <alignment wrapText="1"/>
    </xf>
    <xf numFmtId="169" fontId="55" fillId="0" borderId="13" xfId="133" applyNumberFormat="1" applyFont="1" applyBorder="1" applyAlignment="1">
      <alignment horizontal="center" vertical="center"/>
    </xf>
    <xf numFmtId="165" fontId="55" fillId="0" borderId="30" xfId="133" applyFont="1" applyBorder="1" applyAlignment="1">
      <alignment horizontal="center"/>
    </xf>
    <xf numFmtId="165" fontId="57" fillId="0" borderId="29" xfId="133" applyFont="1" applyFill="1" applyBorder="1" applyAlignment="1">
      <alignment horizontal="right"/>
    </xf>
    <xf numFmtId="169" fontId="55" fillId="0" borderId="9" xfId="133" applyNumberFormat="1" applyFont="1" applyFill="1" applyBorder="1" applyAlignment="1">
      <alignment horizontal="center" vertical="center"/>
    </xf>
    <xf numFmtId="165" fontId="55" fillId="0" borderId="43" xfId="133" applyFont="1" applyBorder="1" applyAlignment="1">
      <alignment horizontal="left"/>
    </xf>
    <xf numFmtId="165" fontId="55" fillId="0" borderId="44" xfId="133" applyFont="1" applyBorder="1" applyAlignment="1">
      <alignment horizontal="left"/>
    </xf>
    <xf numFmtId="165" fontId="46" fillId="13" borderId="46" xfId="133" applyFont="1" applyFill="1" applyBorder="1" applyAlignment="1">
      <alignment vertical="center"/>
    </xf>
    <xf numFmtId="165" fontId="46" fillId="13" borderId="43" xfId="133" applyFont="1" applyFill="1" applyBorder="1" applyAlignment="1">
      <alignment horizontal="right"/>
    </xf>
    <xf numFmtId="165" fontId="57" fillId="0" borderId="44" xfId="133" applyFont="1" applyFill="1" applyBorder="1" applyAlignment="1">
      <alignment horizontal="right"/>
    </xf>
    <xf numFmtId="165" fontId="46" fillId="0" borderId="46" xfId="133" applyFont="1" applyFill="1" applyBorder="1" applyAlignment="1">
      <alignment horizontal="right"/>
    </xf>
    <xf numFmtId="165" fontId="46" fillId="0" borderId="43" xfId="133" applyFont="1" applyFill="1" applyBorder="1" applyAlignment="1">
      <alignment horizontal="right" vertical="center"/>
    </xf>
    <xf numFmtId="169" fontId="46" fillId="0" borderId="52" xfId="133" applyNumberFormat="1" applyFont="1" applyFill="1" applyBorder="1" applyAlignment="1">
      <alignment wrapText="1"/>
    </xf>
    <xf numFmtId="169" fontId="46" fillId="0" borderId="43" xfId="133" applyNumberFormat="1" applyFont="1" applyFill="1" applyBorder="1" applyAlignment="1">
      <alignment wrapText="1"/>
    </xf>
    <xf numFmtId="169" fontId="46" fillId="0" borderId="44" xfId="133" applyNumberFormat="1" applyFont="1" applyFill="1" applyBorder="1" applyAlignment="1">
      <alignment wrapText="1"/>
    </xf>
    <xf numFmtId="169" fontId="46" fillId="0" borderId="45" xfId="133" applyNumberFormat="1" applyFont="1" applyFill="1" applyBorder="1" applyAlignment="1">
      <alignment wrapText="1"/>
    </xf>
    <xf numFmtId="169" fontId="46" fillId="0" borderId="46" xfId="133" applyNumberFormat="1" applyFont="1" applyFill="1" applyBorder="1" applyAlignment="1">
      <alignment wrapText="1"/>
    </xf>
    <xf numFmtId="165" fontId="55" fillId="0" borderId="34" xfId="133" applyFont="1" applyBorder="1"/>
    <xf numFmtId="165" fontId="55" fillId="0" borderId="71" xfId="133" applyFont="1" applyFill="1" applyBorder="1" applyAlignment="1">
      <alignment horizontal="left"/>
    </xf>
    <xf numFmtId="165" fontId="55" fillId="0" borderId="23" xfId="133" applyFont="1" applyFill="1" applyBorder="1" applyAlignment="1">
      <alignment horizontal="left"/>
    </xf>
    <xf numFmtId="165" fontId="55" fillId="0" borderId="24" xfId="133" applyFont="1" applyBorder="1" applyAlignment="1">
      <alignment horizontal="center"/>
    </xf>
    <xf numFmtId="165" fontId="46" fillId="0" borderId="71" xfId="133" applyFont="1" applyFill="1" applyBorder="1" applyAlignment="1">
      <alignment horizontal="right"/>
    </xf>
    <xf numFmtId="165" fontId="57" fillId="0" borderId="23" xfId="133" applyFont="1" applyFill="1" applyBorder="1" applyAlignment="1">
      <alignment horizontal="right"/>
    </xf>
    <xf numFmtId="165" fontId="46" fillId="0" borderId="24" xfId="133" applyFont="1" applyFill="1" applyBorder="1" applyAlignment="1">
      <alignment horizontal="right"/>
    </xf>
    <xf numFmtId="165" fontId="46" fillId="0" borderId="38" xfId="133" applyFont="1" applyFill="1" applyBorder="1" applyAlignment="1"/>
    <xf numFmtId="165" fontId="46" fillId="0" borderId="3" xfId="133" applyFont="1" applyFill="1" applyBorder="1" applyAlignment="1"/>
    <xf numFmtId="165" fontId="55" fillId="0" borderId="0" xfId="133" applyFont="1" applyFill="1" applyBorder="1"/>
    <xf numFmtId="169" fontId="46" fillId="0" borderId="28" xfId="133" applyNumberFormat="1" applyFont="1" applyFill="1" applyBorder="1" applyAlignment="1"/>
    <xf numFmtId="169" fontId="46" fillId="0" borderId="29" xfId="133" applyNumberFormat="1" applyFont="1" applyFill="1" applyBorder="1" applyAlignment="1"/>
    <xf numFmtId="169" fontId="46" fillId="0" borderId="30" xfId="133" applyNumberFormat="1" applyFont="1" applyFill="1" applyBorder="1" applyAlignment="1"/>
    <xf numFmtId="169" fontId="46" fillId="0" borderId="74" xfId="133" applyNumberFormat="1" applyFont="1" applyFill="1" applyBorder="1" applyAlignment="1"/>
    <xf numFmtId="165" fontId="55" fillId="0" borderId="20" xfId="133" applyFont="1" applyFill="1" applyBorder="1" applyAlignment="1">
      <alignment horizontal="left"/>
    </xf>
    <xf numFmtId="165" fontId="55" fillId="0" borderId="21" xfId="133" applyFont="1" applyFill="1" applyBorder="1" applyAlignment="1">
      <alignment horizontal="left"/>
    </xf>
    <xf numFmtId="165" fontId="57" fillId="0" borderId="21" xfId="133" applyFont="1" applyFill="1" applyBorder="1"/>
    <xf numFmtId="169" fontId="46" fillId="0" borderId="20" xfId="133" applyNumberFormat="1" applyFont="1" applyFill="1" applyBorder="1" applyAlignment="1"/>
    <xf numFmtId="165" fontId="55" fillId="0" borderId="25" xfId="133" applyFont="1" applyFill="1" applyBorder="1" applyAlignment="1">
      <alignment horizontal="left"/>
    </xf>
    <xf numFmtId="165" fontId="55" fillId="0" borderId="26" xfId="133" applyFont="1" applyFill="1" applyBorder="1" applyAlignment="1">
      <alignment horizontal="left"/>
    </xf>
    <xf numFmtId="165" fontId="46" fillId="0" borderId="39" xfId="133" applyFont="1" applyFill="1" applyBorder="1" applyAlignment="1">
      <alignment horizontal="right"/>
    </xf>
    <xf numFmtId="165" fontId="46" fillId="0" borderId="6" xfId="133" applyFont="1" applyFill="1" applyBorder="1" applyAlignment="1">
      <alignment wrapText="1"/>
    </xf>
    <xf numFmtId="165" fontId="55" fillId="0" borderId="28" xfId="133" applyFont="1" applyFill="1" applyBorder="1" applyAlignment="1">
      <alignment horizontal="left"/>
    </xf>
    <xf numFmtId="165" fontId="55" fillId="0" borderId="29" xfId="133" applyFont="1" applyFill="1" applyBorder="1" applyAlignment="1">
      <alignment horizontal="left"/>
    </xf>
    <xf numFmtId="165" fontId="57" fillId="0" borderId="29" xfId="133" applyFont="1" applyFill="1" applyBorder="1"/>
    <xf numFmtId="0" fontId="55" fillId="0" borderId="0" xfId="133" applyNumberFormat="1" applyFont="1" applyBorder="1"/>
    <xf numFmtId="165" fontId="46" fillId="13" borderId="30" xfId="133" applyFont="1" applyFill="1" applyBorder="1" applyAlignment="1">
      <alignment horizontal="center" vertical="center"/>
    </xf>
    <xf numFmtId="169" fontId="46" fillId="0" borderId="48" xfId="133" applyNumberFormat="1" applyFont="1" applyFill="1" applyBorder="1" applyAlignment="1"/>
    <xf numFmtId="165" fontId="55" fillId="0" borderId="62" xfId="133" applyFont="1" applyBorder="1"/>
    <xf numFmtId="165" fontId="46" fillId="0" borderId="22" xfId="133" applyFont="1" applyFill="1" applyBorder="1" applyAlignment="1">
      <alignment vertical="center"/>
    </xf>
    <xf numFmtId="169" fontId="46" fillId="0" borderId="21" xfId="133" applyNumberFormat="1" applyFont="1" applyFill="1" applyBorder="1" applyAlignment="1"/>
    <xf numFmtId="169" fontId="46" fillId="0" borderId="22" xfId="133" applyNumberFormat="1" applyFont="1" applyFill="1" applyBorder="1" applyAlignment="1"/>
    <xf numFmtId="169" fontId="46" fillId="0" borderId="42" xfId="133" applyNumberFormat="1" applyFont="1" applyFill="1" applyBorder="1" applyAlignment="1"/>
    <xf numFmtId="169" fontId="56" fillId="0" borderId="68" xfId="133" applyNumberFormat="1" applyFont="1" applyBorder="1"/>
    <xf numFmtId="165" fontId="55" fillId="0" borderId="38" xfId="133" applyFont="1" applyBorder="1"/>
    <xf numFmtId="165" fontId="55" fillId="0" borderId="38" xfId="133" applyFont="1" applyFill="1" applyBorder="1"/>
    <xf numFmtId="165" fontId="55" fillId="0" borderId="3" xfId="133" applyFont="1" applyBorder="1"/>
    <xf numFmtId="169" fontId="56" fillId="0" borderId="57" xfId="133" applyNumberFormat="1" applyFont="1" applyBorder="1"/>
    <xf numFmtId="169" fontId="56" fillId="0" borderId="69" xfId="133" applyNumberFormat="1" applyFont="1" applyBorder="1"/>
    <xf numFmtId="169" fontId="56" fillId="0" borderId="58" xfId="133" applyNumberFormat="1" applyFont="1" applyBorder="1"/>
    <xf numFmtId="169" fontId="55" fillId="0" borderId="0" xfId="133" applyNumberFormat="1" applyFont="1"/>
    <xf numFmtId="165" fontId="57" fillId="0" borderId="0" xfId="133" applyFont="1"/>
    <xf numFmtId="165" fontId="46" fillId="0" borderId="0" xfId="133" applyFont="1" applyBorder="1"/>
    <xf numFmtId="165" fontId="46" fillId="0" borderId="0" xfId="133" applyFont="1" applyFill="1"/>
    <xf numFmtId="169" fontId="46" fillId="0" borderId="0" xfId="133" applyNumberFormat="1" applyFont="1"/>
    <xf numFmtId="165" fontId="46" fillId="0" borderId="4" xfId="133" applyFont="1" applyFill="1" applyBorder="1" applyAlignment="1">
      <alignment horizontal="right"/>
    </xf>
    <xf numFmtId="165" fontId="46" fillId="0" borderId="4" xfId="133" applyFont="1" applyFill="1" applyBorder="1" applyAlignment="1"/>
    <xf numFmtId="169" fontId="46" fillId="0" borderId="4" xfId="133" applyNumberFormat="1" applyFont="1" applyFill="1" applyBorder="1" applyAlignment="1">
      <alignment wrapText="1"/>
    </xf>
    <xf numFmtId="169" fontId="46" fillId="0" borderId="5" xfId="133" applyNumberFormat="1" applyFont="1" applyFill="1" applyBorder="1" applyAlignment="1">
      <alignment wrapText="1"/>
    </xf>
    <xf numFmtId="169" fontId="46" fillId="0" borderId="84" xfId="133" applyNumberFormat="1" applyFont="1" applyFill="1" applyBorder="1" applyAlignment="1">
      <alignment wrapText="1"/>
    </xf>
    <xf numFmtId="165" fontId="46" fillId="0" borderId="83" xfId="133" applyFont="1" applyFill="1" applyBorder="1" applyAlignment="1"/>
    <xf numFmtId="169" fontId="55" fillId="0" borderId="3" xfId="133" applyNumberFormat="1" applyFont="1" applyBorder="1" applyAlignment="1">
      <alignment horizontal="center" vertical="center"/>
    </xf>
    <xf numFmtId="165" fontId="57" fillId="13" borderId="21" xfId="133" applyFont="1" applyFill="1" applyBorder="1" applyAlignment="1">
      <alignment horizontal="right"/>
    </xf>
    <xf numFmtId="169" fontId="46" fillId="12" borderId="63" xfId="133" applyNumberFormat="1" applyFont="1" applyFill="1" applyBorder="1" applyAlignment="1">
      <alignment horizontal="center" vertical="center"/>
    </xf>
    <xf numFmtId="169" fontId="46" fillId="12" borderId="67" xfId="133" applyNumberFormat="1" applyFont="1" applyFill="1" applyBorder="1" applyAlignment="1">
      <alignment horizontal="center" vertical="center"/>
    </xf>
    <xf numFmtId="169" fontId="46" fillId="12" borderId="64" xfId="133" applyNumberFormat="1" applyFont="1" applyFill="1" applyBorder="1" applyAlignment="1">
      <alignment horizontal="center" vertical="center"/>
    </xf>
    <xf numFmtId="169" fontId="47" fillId="0" borderId="57" xfId="133" applyNumberFormat="1" applyFont="1" applyBorder="1" applyAlignment="1">
      <alignment horizontal="center" vertical="center"/>
    </xf>
    <xf numFmtId="169" fontId="47" fillId="0" borderId="68" xfId="133" applyNumberFormat="1" applyFont="1" applyBorder="1" applyAlignment="1">
      <alignment horizontal="center" vertical="center"/>
    </xf>
    <xf numFmtId="169" fontId="47" fillId="0" borderId="58" xfId="133" applyNumberFormat="1" applyFont="1" applyBorder="1" applyAlignment="1">
      <alignment horizontal="center" vertical="center"/>
    </xf>
    <xf numFmtId="169" fontId="46" fillId="0" borderId="25" xfId="133" applyNumberFormat="1" applyFont="1" applyFill="1" applyBorder="1" applyAlignment="1"/>
    <xf numFmtId="169" fontId="55" fillId="0" borderId="15" xfId="133" applyNumberFormat="1" applyFont="1" applyBorder="1" applyAlignment="1">
      <alignment horizontal="center" vertical="center"/>
    </xf>
    <xf numFmtId="169" fontId="46" fillId="0" borderId="39" xfId="133" applyNumberFormat="1" applyFont="1" applyFill="1" applyBorder="1" applyAlignment="1"/>
    <xf numFmtId="169" fontId="46" fillId="0" borderId="71" xfId="133" applyNumberFormat="1" applyFont="1" applyFill="1" applyBorder="1" applyAlignment="1"/>
    <xf numFmtId="169" fontId="46" fillId="7" borderId="57" xfId="133" applyNumberFormat="1" applyFont="1" applyFill="1" applyBorder="1" applyAlignment="1"/>
    <xf numFmtId="169" fontId="46" fillId="7" borderId="68" xfId="133" applyNumberFormat="1" applyFont="1" applyFill="1" applyBorder="1" applyAlignment="1"/>
    <xf numFmtId="169" fontId="46" fillId="7" borderId="58" xfId="133" applyNumberFormat="1" applyFont="1" applyFill="1" applyBorder="1" applyAlignment="1"/>
    <xf numFmtId="169" fontId="46" fillId="12" borderId="92" xfId="133" applyNumberFormat="1" applyFont="1" applyFill="1" applyBorder="1" applyAlignment="1">
      <alignment horizontal="center" vertical="center"/>
    </xf>
    <xf numFmtId="169" fontId="47" fillId="0" borderId="70" xfId="133" applyNumberFormat="1" applyFont="1" applyBorder="1" applyAlignment="1">
      <alignment horizontal="center" vertical="center"/>
    </xf>
    <xf numFmtId="165" fontId="56" fillId="0" borderId="83" xfId="133" applyFont="1" applyBorder="1"/>
    <xf numFmtId="169" fontId="47" fillId="0" borderId="0" xfId="133" applyNumberFormat="1" applyFont="1" applyFill="1" applyBorder="1" applyAlignment="1">
      <alignment horizontal="right"/>
    </xf>
    <xf numFmtId="169" fontId="47" fillId="0" borderId="57" xfId="133" applyNumberFormat="1" applyFont="1" applyFill="1" applyBorder="1" applyAlignment="1">
      <alignment horizontal="center" vertical="center"/>
    </xf>
    <xf numFmtId="169" fontId="47" fillId="0" borderId="68" xfId="133" applyNumberFormat="1" applyFont="1" applyFill="1" applyBorder="1" applyAlignment="1">
      <alignment horizontal="center" vertical="center"/>
    </xf>
    <xf numFmtId="169" fontId="47" fillId="0" borderId="58" xfId="133" applyNumberFormat="1" applyFont="1" applyFill="1" applyBorder="1" applyAlignment="1">
      <alignment horizontal="center" vertical="center"/>
    </xf>
    <xf numFmtId="169" fontId="46" fillId="0" borderId="23" xfId="133" applyNumberFormat="1" applyFont="1" applyFill="1" applyBorder="1" applyAlignment="1"/>
    <xf numFmtId="169" fontId="46" fillId="0" borderId="24" xfId="133" applyNumberFormat="1" applyFont="1" applyFill="1" applyBorder="1" applyAlignment="1"/>
    <xf numFmtId="169" fontId="46" fillId="0" borderId="26" xfId="133" applyNumberFormat="1" applyFont="1" applyFill="1" applyBorder="1" applyAlignment="1"/>
    <xf numFmtId="169" fontId="46" fillId="0" borderId="27" xfId="133" applyNumberFormat="1" applyFont="1" applyFill="1" applyBorder="1" applyAlignment="1"/>
    <xf numFmtId="169" fontId="46" fillId="0" borderId="7" xfId="133" applyNumberFormat="1" applyFont="1" applyFill="1" applyBorder="1" applyAlignment="1"/>
    <xf numFmtId="165" fontId="47" fillId="0" borderId="38" xfId="133" applyFont="1" applyFill="1" applyBorder="1" applyAlignment="1">
      <alignment vertical="center"/>
    </xf>
    <xf numFmtId="169" fontId="46" fillId="0" borderId="43" xfId="133" applyNumberFormat="1" applyFont="1" applyFill="1" applyBorder="1" applyAlignment="1"/>
    <xf numFmtId="169" fontId="46" fillId="0" borderId="44" xfId="133" applyNumberFormat="1" applyFont="1" applyFill="1" applyBorder="1" applyAlignment="1"/>
    <xf numFmtId="169" fontId="46" fillId="0" borderId="46" xfId="133" applyNumberFormat="1" applyFont="1" applyFill="1" applyBorder="1" applyAlignment="1"/>
    <xf numFmtId="2" fontId="55" fillId="0" borderId="12" xfId="1" applyNumberFormat="1" applyFont="1" applyFill="1" applyBorder="1" applyAlignment="1">
      <alignment horizontal="center" vertical="center"/>
    </xf>
    <xf numFmtId="2" fontId="46" fillId="0" borderId="12" xfId="1" applyNumberFormat="1" applyFont="1" applyFill="1" applyBorder="1" applyAlignment="1">
      <alignment horizontal="center" vertical="center" wrapText="1"/>
    </xf>
    <xf numFmtId="9" fontId="46" fillId="2" borderId="0" xfId="30" applyFont="1" applyFill="1" applyBorder="1"/>
    <xf numFmtId="177" fontId="46" fillId="12" borderId="63" xfId="1" applyNumberFormat="1" applyFont="1" applyFill="1" applyBorder="1" applyAlignment="1">
      <alignment horizontal="center" vertical="center"/>
    </xf>
    <xf numFmtId="177" fontId="46" fillId="12" borderId="67" xfId="1" applyNumberFormat="1" applyFont="1" applyFill="1" applyBorder="1" applyAlignment="1">
      <alignment horizontal="center" vertical="center"/>
    </xf>
    <xf numFmtId="177" fontId="46" fillId="12" borderId="64" xfId="1" applyNumberFormat="1" applyFont="1" applyFill="1" applyBorder="1" applyAlignment="1">
      <alignment horizontal="center" vertical="center"/>
    </xf>
    <xf numFmtId="177" fontId="46" fillId="0" borderId="28" xfId="1" applyNumberFormat="1" applyFont="1" applyFill="1" applyBorder="1" applyAlignment="1"/>
    <xf numFmtId="177" fontId="46" fillId="13" borderId="21" xfId="1" applyNumberFormat="1" applyFont="1" applyFill="1" applyBorder="1" applyAlignment="1">
      <alignment wrapText="1"/>
    </xf>
    <xf numFmtId="177" fontId="46" fillId="7" borderId="57" xfId="1" applyNumberFormat="1" applyFont="1" applyFill="1" applyBorder="1" applyAlignment="1"/>
    <xf numFmtId="177" fontId="46" fillId="7" borderId="68" xfId="1" applyNumberFormat="1" applyFont="1" applyFill="1" applyBorder="1" applyAlignment="1"/>
    <xf numFmtId="0" fontId="46" fillId="0" borderId="15" xfId="1" applyNumberFormat="1" applyFont="1" applyFill="1" applyBorder="1" applyAlignment="1">
      <alignment horizontal="left" vertical="center" wrapText="1"/>
    </xf>
    <xf numFmtId="177" fontId="46" fillId="12" borderId="91" xfId="1" applyNumberFormat="1" applyFont="1" applyFill="1" applyBorder="1" applyAlignment="1">
      <alignment horizontal="center" vertical="center"/>
    </xf>
    <xf numFmtId="177" fontId="56" fillId="0" borderId="69" xfId="1" applyNumberFormat="1" applyFont="1" applyBorder="1"/>
    <xf numFmtId="165" fontId="46" fillId="0" borderId="2" xfId="133" applyFont="1" applyFill="1" applyBorder="1" applyAlignment="1"/>
    <xf numFmtId="177" fontId="46" fillId="7" borderId="58" xfId="1" applyNumberFormat="1" applyFont="1" applyFill="1" applyBorder="1" applyAlignment="1"/>
    <xf numFmtId="177" fontId="56" fillId="0" borderId="57" xfId="1" applyNumberFormat="1" applyFont="1" applyBorder="1"/>
    <xf numFmtId="177" fontId="56" fillId="0" borderId="58" xfId="1" applyNumberFormat="1" applyFont="1" applyBorder="1"/>
    <xf numFmtId="169" fontId="55" fillId="0" borderId="54" xfId="133" applyNumberFormat="1" applyFont="1" applyBorder="1" applyAlignment="1">
      <alignment horizontal="center" vertical="center"/>
    </xf>
    <xf numFmtId="165" fontId="55" fillId="0" borderId="71" xfId="133" applyFont="1" applyBorder="1" applyAlignment="1">
      <alignment horizontal="left"/>
    </xf>
    <xf numFmtId="165" fontId="55" fillId="0" borderId="23" xfId="133" applyFont="1" applyBorder="1" applyAlignment="1">
      <alignment horizontal="left"/>
    </xf>
    <xf numFmtId="165" fontId="46" fillId="13" borderId="24" xfId="133" applyFont="1" applyFill="1" applyBorder="1" applyAlignment="1">
      <alignment vertical="center"/>
    </xf>
    <xf numFmtId="165" fontId="57" fillId="13" borderId="23" xfId="133" applyFont="1" applyFill="1" applyBorder="1" applyAlignment="1">
      <alignment horizontal="right"/>
    </xf>
    <xf numFmtId="165" fontId="46" fillId="0" borderId="71" xfId="133" applyFont="1" applyFill="1" applyBorder="1" applyAlignment="1">
      <alignment horizontal="right" vertical="center"/>
    </xf>
    <xf numFmtId="43" fontId="47" fillId="0" borderId="0" xfId="1" applyFont="1" applyFill="1" applyBorder="1" applyAlignment="1">
      <alignment horizontal="left" vertical="center"/>
    </xf>
    <xf numFmtId="43" fontId="47" fillId="0" borderId="0" xfId="1" applyFont="1" applyFill="1" applyBorder="1" applyAlignment="1">
      <alignment horizontal="left"/>
    </xf>
    <xf numFmtId="43" fontId="47" fillId="0" borderId="53" xfId="1" applyFont="1" applyFill="1" applyBorder="1" applyAlignment="1">
      <alignment horizontal="left" vertical="center"/>
    </xf>
    <xf numFmtId="43" fontId="55" fillId="0" borderId="9" xfId="1" applyFont="1" applyBorder="1" applyAlignment="1">
      <alignment horizontal="left" vertical="center"/>
    </xf>
    <xf numFmtId="43" fontId="55" fillId="0" borderId="13" xfId="1" applyFont="1" applyBorder="1" applyAlignment="1">
      <alignment horizontal="left" vertical="center"/>
    </xf>
    <xf numFmtId="43" fontId="55" fillId="0" borderId="12" xfId="1" applyFont="1" applyFill="1" applyBorder="1"/>
    <xf numFmtId="43" fontId="55" fillId="0" borderId="0" xfId="1" applyFont="1" applyFill="1" applyBorder="1"/>
    <xf numFmtId="43" fontId="55" fillId="0" borderId="15" xfId="1" applyFont="1" applyFill="1" applyBorder="1"/>
    <xf numFmtId="177" fontId="47" fillId="0" borderId="68" xfId="1" applyNumberFormat="1" applyFont="1" applyFill="1" applyBorder="1" applyAlignment="1">
      <alignment horizontal="center"/>
    </xf>
    <xf numFmtId="177" fontId="46" fillId="0" borderId="76" xfId="1" applyNumberFormat="1" applyFont="1" applyBorder="1" applyAlignment="1">
      <alignment horizontal="center" textRotation="90" wrapText="1"/>
    </xf>
    <xf numFmtId="177" fontId="47" fillId="0" borderId="91" xfId="1" applyNumberFormat="1" applyFont="1" applyFill="1" applyBorder="1" applyAlignment="1">
      <alignment horizontal="center" vertical="center" wrapText="1"/>
    </xf>
    <xf numFmtId="177" fontId="46" fillId="0" borderId="72" xfId="1" applyNumberFormat="1" applyFont="1" applyFill="1" applyBorder="1" applyAlignment="1">
      <alignment wrapText="1"/>
    </xf>
    <xf numFmtId="177" fontId="46" fillId="0" borderId="50" xfId="1" applyNumberFormat="1" applyFont="1" applyFill="1" applyBorder="1" applyAlignment="1">
      <alignment wrapText="1"/>
    </xf>
    <xf numFmtId="177" fontId="46" fillId="0" borderId="51" xfId="1" applyNumberFormat="1" applyFont="1" applyFill="1" applyBorder="1" applyAlignment="1">
      <alignment wrapText="1"/>
    </xf>
    <xf numFmtId="177" fontId="46" fillId="0" borderId="52" xfId="1" applyNumberFormat="1" applyFont="1" applyFill="1" applyBorder="1" applyAlignment="1">
      <alignment wrapText="1"/>
    </xf>
    <xf numFmtId="177" fontId="46" fillId="0" borderId="74" xfId="1" applyNumberFormat="1" applyFont="1" applyFill="1" applyBorder="1" applyAlignment="1"/>
    <xf numFmtId="177" fontId="46" fillId="0" borderId="50" xfId="1" applyNumberFormat="1" applyFont="1" applyFill="1" applyBorder="1" applyAlignment="1"/>
    <xf numFmtId="177" fontId="46" fillId="7" borderId="69" xfId="1" applyNumberFormat="1" applyFont="1" applyFill="1" applyBorder="1" applyAlignment="1"/>
    <xf numFmtId="177" fontId="47" fillId="0" borderId="69" xfId="1" applyNumberFormat="1" applyFont="1" applyFill="1" applyBorder="1" applyAlignment="1">
      <alignment horizontal="center"/>
    </xf>
    <xf numFmtId="169" fontId="47" fillId="0" borderId="91" xfId="133" applyNumberFormat="1" applyFont="1" applyFill="1" applyBorder="1" applyAlignment="1">
      <alignment horizontal="center" vertical="center" wrapText="1"/>
    </xf>
    <xf numFmtId="177" fontId="47" fillId="0" borderId="57" xfId="1" applyNumberFormat="1" applyFont="1" applyFill="1" applyBorder="1" applyAlignment="1">
      <alignment horizontal="center"/>
    </xf>
    <xf numFmtId="177" fontId="47" fillId="0" borderId="58" xfId="1" applyNumberFormat="1" applyFont="1" applyFill="1" applyBorder="1" applyAlignment="1">
      <alignment horizontal="center"/>
    </xf>
    <xf numFmtId="165" fontId="46" fillId="0" borderId="2" xfId="133" applyFont="1" applyFill="1" applyBorder="1" applyAlignment="1">
      <alignment wrapText="1"/>
    </xf>
    <xf numFmtId="165" fontId="46" fillId="13" borderId="24" xfId="133" applyFont="1" applyFill="1" applyBorder="1" applyAlignment="1">
      <alignment horizontal="center" vertical="center"/>
    </xf>
    <xf numFmtId="165" fontId="46" fillId="13" borderId="27" xfId="133" applyFont="1" applyFill="1" applyBorder="1" applyAlignment="1">
      <alignment horizontal="center" vertical="center"/>
    </xf>
    <xf numFmtId="177" fontId="46" fillId="0" borderId="71" xfId="1" applyNumberFormat="1" applyFont="1" applyFill="1" applyBorder="1" applyAlignment="1"/>
    <xf numFmtId="177" fontId="46" fillId="0" borderId="23" xfId="1" applyNumberFormat="1" applyFont="1" applyFill="1" applyBorder="1" applyAlignment="1"/>
    <xf numFmtId="177" fontId="46" fillId="0" borderId="24" xfId="1" applyNumberFormat="1" applyFont="1" applyFill="1" applyBorder="1" applyAlignment="1"/>
    <xf numFmtId="177" fontId="46" fillId="0" borderId="72" xfId="1" applyNumberFormat="1" applyFont="1" applyFill="1" applyBorder="1" applyAlignment="1"/>
    <xf numFmtId="177" fontId="46" fillId="0" borderId="25" xfId="1" applyNumberFormat="1" applyFont="1" applyFill="1" applyBorder="1" applyAlignment="1"/>
    <xf numFmtId="177" fontId="46" fillId="0" borderId="26" xfId="1" applyNumberFormat="1" applyFont="1" applyFill="1" applyBorder="1" applyAlignment="1"/>
    <xf numFmtId="177" fontId="46" fillId="0" borderId="27" xfId="1" applyNumberFormat="1" applyFont="1" applyFill="1" applyBorder="1" applyAlignment="1"/>
    <xf numFmtId="177" fontId="46" fillId="0" borderId="51" xfId="1" applyNumberFormat="1" applyFont="1" applyFill="1" applyBorder="1" applyAlignment="1"/>
    <xf numFmtId="43" fontId="55" fillId="0" borderId="13" xfId="1" applyFont="1" applyFill="1" applyBorder="1"/>
    <xf numFmtId="165" fontId="55" fillId="0" borderId="43" xfId="133" applyFont="1" applyFill="1" applyBorder="1" applyAlignment="1">
      <alignment horizontal="left"/>
    </xf>
    <xf numFmtId="165" fontId="55" fillId="0" borderId="44" xfId="133" applyFont="1" applyFill="1" applyBorder="1" applyAlignment="1">
      <alignment horizontal="left"/>
    </xf>
    <xf numFmtId="165" fontId="46" fillId="0" borderId="46" xfId="133" applyFont="1" applyFill="1" applyBorder="1" applyAlignment="1">
      <alignment vertical="center"/>
    </xf>
    <xf numFmtId="165" fontId="46" fillId="0" borderId="43" xfId="133" applyFont="1" applyFill="1" applyBorder="1" applyAlignment="1">
      <alignment horizontal="right"/>
    </xf>
    <xf numFmtId="165" fontId="56" fillId="7" borderId="55" xfId="133" applyFont="1" applyFill="1" applyBorder="1" applyAlignment="1">
      <alignment horizontal="center" vertical="center"/>
    </xf>
    <xf numFmtId="169" fontId="55" fillId="7" borderId="59" xfId="133" applyNumberFormat="1" applyFont="1" applyFill="1" applyBorder="1" applyAlignment="1">
      <alignment horizontal="center" vertical="center"/>
    </xf>
    <xf numFmtId="43" fontId="55" fillId="7" borderId="59" xfId="1" applyFont="1" applyFill="1" applyBorder="1"/>
    <xf numFmtId="165" fontId="55" fillId="7" borderId="59" xfId="133" applyFont="1" applyFill="1" applyBorder="1" applyAlignment="1">
      <alignment horizontal="left"/>
    </xf>
    <xf numFmtId="169" fontId="46" fillId="7" borderId="59" xfId="133" applyNumberFormat="1" applyFont="1" applyFill="1" applyBorder="1" applyAlignment="1"/>
    <xf numFmtId="165" fontId="46" fillId="7" borderId="59" xfId="133" applyFont="1" applyFill="1" applyBorder="1" applyAlignment="1">
      <alignment horizontal="right"/>
    </xf>
    <xf numFmtId="165" fontId="57" fillId="7" borderId="59" xfId="133" applyFont="1" applyFill="1" applyBorder="1" applyAlignment="1">
      <alignment horizontal="right"/>
    </xf>
    <xf numFmtId="165" fontId="55" fillId="0" borderId="46" xfId="133" applyFont="1" applyBorder="1" applyAlignment="1">
      <alignment horizontal="center"/>
    </xf>
    <xf numFmtId="169" fontId="55" fillId="0" borderId="75" xfId="133" applyNumberFormat="1" applyFont="1" applyBorder="1" applyAlignment="1">
      <alignment horizontal="center" vertical="center"/>
    </xf>
    <xf numFmtId="169" fontId="55" fillId="0" borderId="36" xfId="133" applyNumberFormat="1" applyFont="1" applyBorder="1" applyAlignment="1">
      <alignment horizontal="center" vertical="center"/>
    </xf>
    <xf numFmtId="169" fontId="55" fillId="0" borderId="88" xfId="133" applyNumberFormat="1" applyFont="1" applyBorder="1"/>
    <xf numFmtId="43" fontId="55" fillId="0" borderId="88" xfId="1" applyFont="1" applyFill="1" applyBorder="1"/>
    <xf numFmtId="165" fontId="55" fillId="0" borderId="37" xfId="133" applyFont="1" applyFill="1" applyBorder="1"/>
    <xf numFmtId="165" fontId="55" fillId="0" borderId="88" xfId="133" applyFont="1" applyFill="1" applyBorder="1"/>
    <xf numFmtId="165" fontId="55" fillId="0" borderId="89" xfId="133" applyFont="1" applyFill="1" applyBorder="1"/>
    <xf numFmtId="43" fontId="55" fillId="0" borderId="60" xfId="1" applyFont="1" applyFill="1" applyBorder="1"/>
    <xf numFmtId="165" fontId="55" fillId="0" borderId="56" xfId="133" applyFont="1" applyFill="1" applyBorder="1" applyAlignment="1">
      <alignment horizontal="left"/>
    </xf>
    <xf numFmtId="165" fontId="55" fillId="0" borderId="60" xfId="133" applyFont="1" applyFill="1" applyBorder="1" applyAlignment="1">
      <alignment horizontal="left"/>
    </xf>
    <xf numFmtId="165" fontId="46" fillId="0" borderId="56" xfId="133" applyFont="1" applyFill="1" applyBorder="1" applyAlignment="1">
      <alignment horizontal="right"/>
    </xf>
    <xf numFmtId="165" fontId="57" fillId="0" borderId="60" xfId="133" applyFont="1" applyFill="1" applyBorder="1" applyAlignment="1">
      <alignment horizontal="right"/>
    </xf>
    <xf numFmtId="43" fontId="55" fillId="0" borderId="18" xfId="1" applyFont="1" applyFill="1" applyBorder="1"/>
    <xf numFmtId="165" fontId="55" fillId="0" borderId="17" xfId="133" applyFont="1" applyFill="1" applyBorder="1" applyAlignment="1">
      <alignment horizontal="left"/>
    </xf>
    <xf numFmtId="165" fontId="55" fillId="0" borderId="18" xfId="133" applyFont="1" applyFill="1" applyBorder="1" applyAlignment="1">
      <alignment horizontal="left"/>
    </xf>
    <xf numFmtId="165" fontId="46" fillId="0" borderId="17" xfId="133" applyFont="1" applyFill="1" applyBorder="1" applyAlignment="1">
      <alignment horizontal="right"/>
    </xf>
    <xf numFmtId="165" fontId="57" fillId="0" borderId="18" xfId="133" applyFont="1" applyFill="1" applyBorder="1" applyAlignment="1">
      <alignment horizontal="right"/>
    </xf>
    <xf numFmtId="169" fontId="55" fillId="0" borderId="13" xfId="133" applyNumberFormat="1" applyFont="1" applyFill="1" applyBorder="1" applyAlignment="1">
      <alignment horizontal="center" vertical="center"/>
    </xf>
    <xf numFmtId="165" fontId="50" fillId="0" borderId="46" xfId="133" applyFont="1" applyFill="1" applyBorder="1" applyAlignment="1">
      <alignment horizontal="center" vertical="center"/>
    </xf>
    <xf numFmtId="0" fontId="55" fillId="0" borderId="56" xfId="133" applyNumberFormat="1" applyFont="1" applyBorder="1"/>
    <xf numFmtId="0" fontId="46" fillId="0" borderId="13" xfId="0" applyFont="1" applyBorder="1" applyAlignment="1">
      <alignment horizontal="left" vertical="center"/>
    </xf>
    <xf numFmtId="43" fontId="46" fillId="0" borderId="13" xfId="1" applyFont="1" applyBorder="1" applyAlignment="1">
      <alignment horizontal="center" vertical="center"/>
    </xf>
    <xf numFmtId="14" fontId="46" fillId="0" borderId="13" xfId="1" applyNumberFormat="1" applyFont="1" applyBorder="1" applyAlignment="1">
      <alignment horizontal="center" vertical="center"/>
    </xf>
    <xf numFmtId="17" fontId="55" fillId="0" borderId="0" xfId="1" applyNumberFormat="1" applyFont="1"/>
    <xf numFmtId="181" fontId="55" fillId="0" borderId="0" xfId="1" applyNumberFormat="1" applyFont="1"/>
    <xf numFmtId="43" fontId="46" fillId="0" borderId="61" xfId="1" applyFont="1" applyBorder="1" applyAlignment="1">
      <alignment horizontal="center" vertical="center"/>
    </xf>
    <xf numFmtId="165" fontId="47" fillId="0" borderId="3" xfId="133" applyFont="1" applyFill="1" applyBorder="1" applyAlignment="1">
      <alignment horizontal="center" vertical="center" wrapText="1"/>
    </xf>
    <xf numFmtId="177" fontId="47" fillId="0" borderId="57" xfId="1" applyNumberFormat="1" applyFont="1" applyBorder="1" applyAlignment="1">
      <alignment horizontal="center" wrapText="1"/>
    </xf>
    <xf numFmtId="177" fontId="47" fillId="0" borderId="68" xfId="1" applyNumberFormat="1" applyFont="1" applyBorder="1" applyAlignment="1">
      <alignment horizontal="center" wrapText="1"/>
    </xf>
    <xf numFmtId="177" fontId="47" fillId="0" borderId="70" xfId="1" applyNumberFormat="1" applyFont="1" applyBorder="1" applyAlignment="1">
      <alignment horizontal="center" wrapText="1"/>
    </xf>
    <xf numFmtId="177" fontId="47" fillId="0" borderId="58" xfId="1" applyNumberFormat="1" applyFont="1" applyBorder="1" applyAlignment="1">
      <alignment horizontal="center" wrapText="1"/>
    </xf>
    <xf numFmtId="177" fontId="47" fillId="0" borderId="57" xfId="1" applyNumberFormat="1" applyFont="1" applyFill="1" applyBorder="1" applyAlignment="1">
      <alignment horizontal="center" vertical="center" wrapText="1"/>
    </xf>
    <xf numFmtId="177" fontId="47" fillId="0" borderId="68" xfId="1" applyNumberFormat="1" applyFont="1" applyFill="1" applyBorder="1" applyAlignment="1">
      <alignment horizontal="center" vertical="center" wrapText="1"/>
    </xf>
    <xf numFmtId="177" fontId="47" fillId="0" borderId="58" xfId="1" applyNumberFormat="1" applyFont="1" applyFill="1" applyBorder="1" applyAlignment="1">
      <alignment horizontal="center" vertical="center" wrapText="1"/>
    </xf>
    <xf numFmtId="177" fontId="46" fillId="0" borderId="28" xfId="1" applyNumberFormat="1" applyFont="1" applyFill="1" applyBorder="1" applyAlignment="1">
      <alignment wrapText="1"/>
    </xf>
    <xf numFmtId="177" fontId="46" fillId="0" borderId="29" xfId="1" applyNumberFormat="1" applyFont="1" applyFill="1" applyBorder="1" applyAlignment="1">
      <alignment wrapText="1"/>
    </xf>
    <xf numFmtId="177" fontId="46" fillId="0" borderId="48" xfId="1" applyNumberFormat="1" applyFont="1" applyFill="1" applyBorder="1" applyAlignment="1">
      <alignment wrapText="1"/>
    </xf>
    <xf numFmtId="177" fontId="46" fillId="0" borderId="42" xfId="1" applyNumberFormat="1" applyFont="1" applyFill="1" applyBorder="1" applyAlignment="1">
      <alignment wrapText="1"/>
    </xf>
    <xf numFmtId="177" fontId="55" fillId="0" borderId="0" xfId="1" applyNumberFormat="1" applyFont="1" applyBorder="1"/>
    <xf numFmtId="177" fontId="46" fillId="0" borderId="47" xfId="1" applyNumberFormat="1" applyFont="1" applyFill="1" applyBorder="1" applyAlignment="1">
      <alignment wrapText="1"/>
    </xf>
    <xf numFmtId="177" fontId="55" fillId="0" borderId="83" xfId="1" applyNumberFormat="1" applyFont="1" applyBorder="1"/>
    <xf numFmtId="177" fontId="46" fillId="0" borderId="45" xfId="1" applyNumberFormat="1" applyFont="1" applyFill="1" applyBorder="1" applyAlignment="1">
      <alignment wrapText="1"/>
    </xf>
    <xf numFmtId="177" fontId="46" fillId="0" borderId="41" xfId="1" applyNumberFormat="1" applyFont="1" applyFill="1" applyBorder="1" applyAlignment="1">
      <alignment wrapText="1"/>
    </xf>
    <xf numFmtId="177" fontId="55" fillId="0" borderId="21" xfId="1" applyNumberFormat="1" applyFont="1" applyBorder="1"/>
    <xf numFmtId="165" fontId="50" fillId="0" borderId="38" xfId="133" applyFont="1" applyFill="1" applyBorder="1" applyAlignment="1">
      <alignment horizontal="center" vertical="center"/>
    </xf>
    <xf numFmtId="165" fontId="46" fillId="0" borderId="0" xfId="133" applyFont="1" applyFill="1" applyBorder="1"/>
    <xf numFmtId="165" fontId="50" fillId="0" borderId="0" xfId="133" applyFont="1" applyFill="1" applyBorder="1" applyAlignment="1">
      <alignment horizontal="center" vertical="center"/>
    </xf>
    <xf numFmtId="165" fontId="57" fillId="0" borderId="0" xfId="133" applyFont="1" applyFill="1" applyBorder="1" applyAlignment="1"/>
    <xf numFmtId="177" fontId="46" fillId="12" borderId="92" xfId="1" applyNumberFormat="1" applyFont="1" applyFill="1" applyBorder="1" applyAlignment="1">
      <alignment horizontal="center" vertical="center"/>
    </xf>
    <xf numFmtId="177" fontId="47" fillId="0" borderId="0" xfId="1" applyNumberFormat="1" applyFont="1" applyFill="1" applyBorder="1" applyAlignment="1">
      <alignment horizontal="center" wrapText="1"/>
    </xf>
    <xf numFmtId="177" fontId="46" fillId="0" borderId="40" xfId="1" applyNumberFormat="1" applyFont="1" applyBorder="1" applyAlignment="1">
      <alignment horizontal="center" textRotation="90" wrapText="1"/>
    </xf>
    <xf numFmtId="177" fontId="46" fillId="0" borderId="0" xfId="1" applyNumberFormat="1" applyFont="1" applyFill="1" applyBorder="1" applyAlignment="1">
      <alignment horizontal="center" textRotation="90" wrapText="1"/>
    </xf>
    <xf numFmtId="177" fontId="47" fillId="0" borderId="69" xfId="1" applyNumberFormat="1" applyFont="1" applyFill="1" applyBorder="1" applyAlignment="1">
      <alignment horizontal="center" vertical="center" wrapText="1"/>
    </xf>
    <xf numFmtId="177" fontId="47" fillId="0" borderId="70" xfId="1" applyNumberFormat="1" applyFont="1" applyFill="1" applyBorder="1" applyAlignment="1">
      <alignment horizontal="center" vertical="center" wrapText="1"/>
    </xf>
    <xf numFmtId="177" fontId="46" fillId="0" borderId="74" xfId="1" applyNumberFormat="1" applyFont="1" applyFill="1" applyBorder="1" applyAlignment="1">
      <alignment wrapText="1"/>
    </xf>
    <xf numFmtId="177" fontId="46" fillId="0" borderId="0" xfId="1" applyNumberFormat="1" applyFont="1" applyFill="1" applyBorder="1" applyAlignment="1">
      <alignment wrapText="1"/>
    </xf>
    <xf numFmtId="177" fontId="46" fillId="0" borderId="30" xfId="1" applyNumberFormat="1" applyFont="1" applyFill="1" applyBorder="1" applyAlignment="1">
      <alignment wrapText="1"/>
    </xf>
    <xf numFmtId="177" fontId="46" fillId="0" borderId="39" xfId="1" applyNumberFormat="1" applyFont="1" applyFill="1" applyBorder="1" applyAlignment="1">
      <alignment wrapText="1"/>
    </xf>
    <xf numFmtId="177" fontId="46" fillId="0" borderId="7" xfId="1" applyNumberFormat="1" applyFont="1" applyFill="1" applyBorder="1" applyAlignment="1">
      <alignment wrapText="1"/>
    </xf>
    <xf numFmtId="177" fontId="46" fillId="0" borderId="8" xfId="1" applyNumberFormat="1" applyFont="1" applyFill="1" applyBorder="1" applyAlignment="1">
      <alignment wrapText="1"/>
    </xf>
    <xf numFmtId="177" fontId="46" fillId="0" borderId="40" xfId="1" applyNumberFormat="1" applyFont="1" applyFill="1" applyBorder="1" applyAlignment="1">
      <alignment wrapText="1"/>
    </xf>
    <xf numFmtId="165" fontId="46" fillId="13" borderId="22" xfId="133" applyFont="1" applyFill="1" applyBorder="1" applyAlignment="1">
      <alignment horizontal="center" vertical="center"/>
    </xf>
    <xf numFmtId="0" fontId="55" fillId="0" borderId="54" xfId="133" applyNumberFormat="1" applyFont="1" applyBorder="1"/>
    <xf numFmtId="0" fontId="55" fillId="0" borderId="15" xfId="133" applyNumberFormat="1" applyFont="1" applyBorder="1"/>
    <xf numFmtId="177" fontId="3" fillId="0" borderId="0" xfId="1" applyNumberFormat="1" applyFont="1"/>
    <xf numFmtId="177" fontId="46" fillId="0" borderId="39" xfId="1" applyNumberFormat="1" applyFont="1" applyFill="1" applyBorder="1" applyAlignment="1">
      <alignment horizontal="center" textRotation="90" wrapText="1"/>
    </xf>
    <xf numFmtId="177" fontId="46" fillId="0" borderId="7" xfId="1" applyNumberFormat="1" applyFont="1" applyFill="1" applyBorder="1" applyAlignment="1">
      <alignment horizontal="center" textRotation="90" wrapText="1"/>
    </xf>
    <xf numFmtId="177" fontId="46" fillId="0" borderId="8" xfId="1" applyNumberFormat="1" applyFont="1" applyFill="1" applyBorder="1" applyAlignment="1">
      <alignment horizontal="center" textRotation="90" wrapText="1"/>
    </xf>
    <xf numFmtId="177" fontId="46" fillId="0" borderId="0" xfId="1" applyNumberFormat="1" applyFont="1" applyFill="1" applyBorder="1" applyAlignment="1"/>
    <xf numFmtId="177" fontId="46" fillId="0" borderId="8" xfId="1" applyNumberFormat="1" applyFont="1" applyFill="1" applyBorder="1" applyAlignment="1"/>
    <xf numFmtId="177" fontId="56" fillId="0" borderId="8" xfId="1" applyNumberFormat="1" applyFont="1" applyBorder="1"/>
    <xf numFmtId="177" fontId="46" fillId="0" borderId="62" xfId="1" applyNumberFormat="1" applyFont="1" applyBorder="1"/>
    <xf numFmtId="177" fontId="47" fillId="0" borderId="57" xfId="1" applyNumberFormat="1" applyFont="1" applyBorder="1" applyAlignment="1">
      <alignment horizontal="center" vertical="center" wrapText="1"/>
    </xf>
    <xf numFmtId="177" fontId="47" fillId="0" borderId="68" xfId="1" applyNumberFormat="1" applyFont="1" applyBorder="1" applyAlignment="1">
      <alignment horizontal="center" vertical="center" wrapText="1"/>
    </xf>
    <xf numFmtId="177" fontId="47" fillId="0" borderId="64" xfId="1" applyNumberFormat="1" applyFont="1" applyBorder="1" applyAlignment="1">
      <alignment horizontal="center" vertical="center" wrapText="1"/>
    </xf>
    <xf numFmtId="177" fontId="46" fillId="0" borderId="7" xfId="1" applyNumberFormat="1" applyFont="1" applyFill="1" applyBorder="1" applyAlignment="1"/>
    <xf numFmtId="177" fontId="46" fillId="2" borderId="21" xfId="1" applyNumberFormat="1" applyFont="1" applyFill="1" applyBorder="1" applyAlignment="1">
      <alignment wrapText="1"/>
    </xf>
    <xf numFmtId="177" fontId="46" fillId="2" borderId="28" xfId="1" applyNumberFormat="1" applyFont="1" applyFill="1" applyBorder="1" applyAlignment="1">
      <alignment wrapText="1"/>
    </xf>
    <xf numFmtId="177" fontId="46" fillId="2" borderId="29" xfId="1" applyNumberFormat="1" applyFont="1" applyFill="1" applyBorder="1" applyAlignment="1"/>
    <xf numFmtId="177" fontId="46" fillId="2" borderId="20" xfId="1" applyNumberFormat="1" applyFont="1" applyFill="1" applyBorder="1" applyAlignment="1">
      <alignment wrapText="1"/>
    </xf>
    <xf numFmtId="177" fontId="46" fillId="2" borderId="21" xfId="1" applyNumberFormat="1" applyFont="1" applyFill="1" applyBorder="1" applyAlignment="1"/>
    <xf numFmtId="177" fontId="46" fillId="0" borderId="44" xfId="1" applyNumberFormat="1" applyFont="1" applyFill="1" applyBorder="1" applyAlignment="1"/>
    <xf numFmtId="177" fontId="46" fillId="0" borderId="46" xfId="1" applyNumberFormat="1" applyFont="1" applyFill="1" applyBorder="1" applyAlignment="1"/>
    <xf numFmtId="177" fontId="56" fillId="0" borderId="40" xfId="1" applyNumberFormat="1" applyFont="1" applyBorder="1"/>
    <xf numFmtId="177" fontId="46" fillId="12" borderId="20" xfId="1" applyNumberFormat="1" applyFont="1" applyFill="1" applyBorder="1" applyAlignment="1">
      <alignment horizontal="center" vertical="center"/>
    </xf>
    <xf numFmtId="177" fontId="46" fillId="12" borderId="21" xfId="1" applyNumberFormat="1" applyFont="1" applyFill="1" applyBorder="1" applyAlignment="1">
      <alignment horizontal="center" vertical="center"/>
    </xf>
    <xf numFmtId="177" fontId="46" fillId="12" borderId="22" xfId="1" applyNumberFormat="1" applyFont="1" applyFill="1" applyBorder="1" applyAlignment="1">
      <alignment horizontal="center" vertical="center"/>
    </xf>
    <xf numFmtId="165" fontId="50" fillId="0" borderId="22" xfId="133" applyFont="1" applyFill="1" applyBorder="1" applyAlignment="1">
      <alignment horizontal="center" vertical="center"/>
    </xf>
    <xf numFmtId="165" fontId="57" fillId="0" borderId="3" xfId="133" applyFont="1" applyFill="1" applyBorder="1" applyAlignment="1"/>
    <xf numFmtId="177" fontId="46" fillId="13" borderId="25" xfId="1" applyNumberFormat="1" applyFont="1" applyFill="1" applyBorder="1" applyAlignment="1">
      <alignment wrapText="1"/>
    </xf>
    <xf numFmtId="39" fontId="46" fillId="2" borderId="12" xfId="48" applyNumberFormat="1" applyFont="1" applyFill="1" applyBorder="1"/>
    <xf numFmtId="43" fontId="47" fillId="0" borderId="62" xfId="1" applyFont="1" applyFill="1" applyBorder="1" applyAlignment="1">
      <alignment horizontal="center" vertical="center" wrapText="1"/>
    </xf>
    <xf numFmtId="0" fontId="56" fillId="0" borderId="0" xfId="1" applyNumberFormat="1" applyFont="1" applyBorder="1"/>
    <xf numFmtId="177" fontId="47" fillId="0" borderId="0" xfId="1" applyNumberFormat="1" applyFont="1" applyBorder="1" applyAlignment="1">
      <alignment horizontal="center" vertical="center"/>
    </xf>
    <xf numFmtId="169" fontId="55" fillId="0" borderId="54" xfId="133" applyNumberFormat="1" applyFont="1" applyFill="1" applyBorder="1" applyAlignment="1">
      <alignment horizontal="center" vertical="center"/>
    </xf>
    <xf numFmtId="169" fontId="55" fillId="0" borderId="36" xfId="133" applyNumberFormat="1" applyFont="1" applyFill="1" applyBorder="1" applyAlignment="1">
      <alignment horizontal="center" vertical="center"/>
    </xf>
    <xf numFmtId="165" fontId="49" fillId="0" borderId="29" xfId="133" applyFont="1" applyFill="1" applyBorder="1" applyAlignment="1"/>
    <xf numFmtId="165" fontId="49" fillId="0" borderId="21" xfId="133" applyFont="1" applyFill="1" applyBorder="1" applyAlignment="1"/>
    <xf numFmtId="177" fontId="47" fillId="7" borderId="57" xfId="1" applyNumberFormat="1" applyFont="1" applyFill="1" applyBorder="1" applyAlignment="1"/>
    <xf numFmtId="177" fontId="47" fillId="7" borderId="68" xfId="1" applyNumberFormat="1" applyFont="1" applyFill="1" applyBorder="1" applyAlignment="1"/>
    <xf numFmtId="177" fontId="47" fillId="7" borderId="58" xfId="1" applyNumberFormat="1" applyFont="1" applyFill="1" applyBorder="1" applyAlignment="1"/>
    <xf numFmtId="165" fontId="110" fillId="0" borderId="22" xfId="133" applyFont="1" applyFill="1" applyBorder="1" applyAlignment="1"/>
    <xf numFmtId="177" fontId="47" fillId="0" borderId="59" xfId="1" applyNumberFormat="1" applyFont="1" applyFill="1" applyBorder="1" applyAlignment="1">
      <alignment horizontal="center" vertical="center"/>
    </xf>
    <xf numFmtId="0" fontId="56" fillId="0" borderId="59" xfId="1" applyNumberFormat="1" applyFont="1" applyFill="1" applyBorder="1"/>
    <xf numFmtId="177" fontId="58" fillId="0" borderId="59" xfId="1" applyNumberFormat="1" applyFont="1" applyFill="1" applyBorder="1" applyAlignment="1">
      <alignment horizontal="center" vertical="center"/>
    </xf>
    <xf numFmtId="43" fontId="47" fillId="0" borderId="0" xfId="1" applyFont="1" applyFill="1" applyBorder="1" applyAlignment="1">
      <alignment horizontal="center" vertical="center"/>
    </xf>
    <xf numFmtId="0" fontId="47" fillId="0" borderId="0" xfId="1" applyNumberFormat="1" applyFont="1" applyBorder="1" applyAlignment="1">
      <alignment vertical="center" wrapText="1"/>
    </xf>
    <xf numFmtId="43" fontId="2" fillId="0" borderId="54" xfId="1" applyFont="1" applyBorder="1"/>
    <xf numFmtId="0" fontId="2" fillId="0" borderId="0" xfId="49" applyFont="1"/>
    <xf numFmtId="0" fontId="2" fillId="0" borderId="0" xfId="49" applyFont="1" applyAlignment="1">
      <alignment horizontal="left"/>
    </xf>
    <xf numFmtId="43" fontId="2" fillId="0" borderId="12" xfId="1" applyFont="1" applyBorder="1"/>
    <xf numFmtId="43" fontId="2" fillId="0" borderId="0" xfId="49" applyNumberFormat="1" applyFont="1"/>
    <xf numFmtId="0" fontId="2" fillId="0" borderId="9" xfId="49" applyFont="1" applyBorder="1" applyAlignment="1">
      <alignment horizontal="left"/>
    </xf>
    <xf numFmtId="0" fontId="2" fillId="0" borderId="9" xfId="49" applyFont="1" applyBorder="1"/>
    <xf numFmtId="0" fontId="2" fillId="0" borderId="12" xfId="49" applyFont="1" applyBorder="1" applyAlignment="1">
      <alignment horizontal="left"/>
    </xf>
    <xf numFmtId="0" fontId="2" fillId="0" borderId="12" xfId="49" applyFont="1" applyBorder="1"/>
    <xf numFmtId="0" fontId="2" fillId="0" borderId="54" xfId="49" applyFont="1" applyBorder="1" applyAlignment="1">
      <alignment horizontal="left"/>
    </xf>
    <xf numFmtId="0" fontId="2" fillId="0" borderId="54" xfId="49" applyFont="1" applyBorder="1"/>
    <xf numFmtId="43" fontId="2" fillId="0" borderId="15" xfId="1" applyFont="1" applyBorder="1"/>
    <xf numFmtId="0" fontId="2" fillId="0" borderId="59" xfId="49" applyFont="1" applyBorder="1"/>
    <xf numFmtId="0" fontId="2" fillId="0" borderId="15" xfId="49" applyFont="1" applyBorder="1" applyAlignment="1">
      <alignment horizontal="left"/>
    </xf>
    <xf numFmtId="0" fontId="2" fillId="0" borderId="15" xfId="49" applyFont="1" applyBorder="1"/>
    <xf numFmtId="0" fontId="2" fillId="0" borderId="9" xfId="49" applyFont="1" applyBorder="1" applyAlignment="1">
      <alignment horizontal="center" vertical="center"/>
    </xf>
    <xf numFmtId="0" fontId="2" fillId="0" borderId="12" xfId="49" applyFont="1" applyBorder="1" applyAlignment="1">
      <alignment horizontal="center" vertical="center"/>
    </xf>
    <xf numFmtId="0" fontId="46" fillId="2" borderId="12" xfId="49" applyFont="1" applyFill="1" applyBorder="1" applyAlignment="1">
      <alignment horizontal="left"/>
    </xf>
    <xf numFmtId="0" fontId="46" fillId="0" borderId="0" xfId="49" applyFont="1" applyAlignment="1">
      <alignment horizontal="left"/>
    </xf>
    <xf numFmtId="168" fontId="46" fillId="0" borderId="12" xfId="48" applyFont="1" applyBorder="1"/>
    <xf numFmtId="177" fontId="56" fillId="7" borderId="57" xfId="1" applyNumberFormat="1" applyFont="1" applyFill="1" applyBorder="1"/>
    <xf numFmtId="177" fontId="56" fillId="7" borderId="68" xfId="1" applyNumberFormat="1" applyFont="1" applyFill="1" applyBorder="1"/>
    <xf numFmtId="177" fontId="56" fillId="7" borderId="58" xfId="1" applyNumberFormat="1" applyFont="1" applyFill="1" applyBorder="1"/>
    <xf numFmtId="177" fontId="47" fillId="7" borderId="70" xfId="1" applyNumberFormat="1" applyFont="1" applyFill="1" applyBorder="1" applyAlignment="1"/>
    <xf numFmtId="169" fontId="47" fillId="7" borderId="57" xfId="133" applyNumberFormat="1" applyFont="1" applyFill="1" applyBorder="1" applyAlignment="1"/>
    <xf numFmtId="169" fontId="47" fillId="7" borderId="68" xfId="133" applyNumberFormat="1" applyFont="1" applyFill="1" applyBorder="1" applyAlignment="1"/>
    <xf numFmtId="169" fontId="47" fillId="7" borderId="70" xfId="133" applyNumberFormat="1" applyFont="1" applyFill="1" applyBorder="1" applyAlignment="1"/>
    <xf numFmtId="169" fontId="47" fillId="7" borderId="58" xfId="133" applyNumberFormat="1" applyFont="1" applyFill="1" applyBorder="1" applyAlignment="1"/>
    <xf numFmtId="177" fontId="47" fillId="0" borderId="3" xfId="1" applyNumberFormat="1" applyFont="1" applyFill="1" applyBorder="1" applyAlignment="1">
      <alignment horizontal="center" vertical="center"/>
    </xf>
    <xf numFmtId="177" fontId="47" fillId="0" borderId="3" xfId="1" applyNumberFormat="1" applyFont="1" applyFill="1" applyBorder="1" applyAlignment="1">
      <alignment horizontal="center"/>
    </xf>
    <xf numFmtId="177" fontId="46" fillId="12" borderId="3" xfId="1" applyNumberFormat="1" applyFont="1" applyFill="1" applyBorder="1" applyAlignment="1">
      <alignment horizontal="center" vertical="center"/>
    </xf>
    <xf numFmtId="177" fontId="46" fillId="0" borderId="3" xfId="1" applyNumberFormat="1" applyFont="1" applyBorder="1" applyAlignment="1">
      <alignment horizontal="center" textRotation="90" wrapText="1"/>
    </xf>
    <xf numFmtId="177" fontId="46" fillId="0" borderId="3" xfId="1" applyNumberFormat="1" applyFont="1" applyFill="1" applyBorder="1" applyAlignment="1">
      <alignment wrapText="1"/>
    </xf>
    <xf numFmtId="177" fontId="46" fillId="0" borderId="3" xfId="1" applyNumberFormat="1" applyFont="1" applyFill="1" applyBorder="1" applyAlignment="1"/>
    <xf numFmtId="177" fontId="56" fillId="0" borderId="3" xfId="1" applyNumberFormat="1" applyFont="1" applyBorder="1"/>
    <xf numFmtId="169" fontId="46" fillId="12" borderId="62" xfId="133" applyNumberFormat="1" applyFont="1" applyFill="1" applyBorder="1" applyAlignment="1">
      <alignment horizontal="center" vertical="center"/>
    </xf>
    <xf numFmtId="169" fontId="46" fillId="0" borderId="4" xfId="133" applyNumberFormat="1" applyFont="1" applyBorder="1" applyAlignment="1">
      <alignment horizontal="center" textRotation="90" wrapText="1"/>
    </xf>
    <xf numFmtId="169" fontId="46" fillId="0" borderId="0" xfId="133" applyNumberFormat="1" applyFont="1" applyBorder="1" applyAlignment="1">
      <alignment horizontal="center" textRotation="90" wrapText="1"/>
    </xf>
    <xf numFmtId="169" fontId="46" fillId="0" borderId="6" xfId="133" applyNumberFormat="1" applyFont="1" applyBorder="1" applyAlignment="1">
      <alignment horizontal="center" textRotation="90" wrapText="1"/>
    </xf>
    <xf numFmtId="169" fontId="47" fillId="0" borderId="59" xfId="133" applyNumberFormat="1" applyFont="1" applyFill="1" applyBorder="1" applyAlignment="1">
      <alignment horizontal="center" vertical="center"/>
    </xf>
    <xf numFmtId="169" fontId="46" fillId="0" borderId="71" xfId="133" applyNumberFormat="1" applyFont="1" applyBorder="1"/>
    <xf numFmtId="169" fontId="46" fillId="0" borderId="60" xfId="133" applyNumberFormat="1" applyFont="1" applyBorder="1"/>
    <xf numFmtId="169" fontId="46" fillId="0" borderId="24" xfId="133" applyNumberFormat="1" applyFont="1" applyBorder="1"/>
    <xf numFmtId="169" fontId="46" fillId="0" borderId="16" xfId="133" applyNumberFormat="1" applyFont="1" applyFill="1" applyBorder="1" applyAlignment="1">
      <alignment wrapText="1"/>
    </xf>
    <xf numFmtId="169" fontId="46" fillId="0" borderId="20" xfId="133" applyNumberFormat="1" applyFont="1" applyBorder="1"/>
    <xf numFmtId="169" fontId="46" fillId="0" borderId="16" xfId="133" applyNumberFormat="1" applyFont="1" applyBorder="1"/>
    <xf numFmtId="169" fontId="46" fillId="0" borderId="22" xfId="133" applyNumberFormat="1" applyFont="1" applyBorder="1"/>
    <xf numFmtId="169" fontId="46" fillId="0" borderId="18" xfId="133" applyNumberFormat="1" applyFont="1" applyFill="1" applyBorder="1" applyAlignment="1">
      <alignment wrapText="1"/>
    </xf>
    <xf numFmtId="169" fontId="46" fillId="0" borderId="19" xfId="133" applyNumberFormat="1" applyFont="1" applyFill="1" applyBorder="1" applyAlignment="1">
      <alignment wrapText="1"/>
    </xf>
    <xf numFmtId="169" fontId="46" fillId="0" borderId="90" xfId="133" applyNumberFormat="1" applyFont="1" applyFill="1" applyBorder="1" applyAlignment="1">
      <alignment wrapText="1"/>
    </xf>
    <xf numFmtId="169" fontId="46" fillId="0" borderId="60" xfId="133" applyNumberFormat="1" applyFont="1" applyFill="1" applyBorder="1" applyAlignment="1"/>
    <xf numFmtId="169" fontId="46" fillId="0" borderId="18" xfId="133" applyNumberFormat="1" applyFont="1" applyFill="1" applyBorder="1" applyAlignment="1"/>
    <xf numFmtId="169" fontId="46" fillId="0" borderId="16" xfId="133" applyNumberFormat="1" applyFont="1" applyFill="1" applyBorder="1" applyAlignment="1"/>
    <xf numFmtId="169" fontId="46" fillId="0" borderId="19" xfId="133" applyNumberFormat="1" applyFont="1" applyFill="1" applyBorder="1" applyAlignment="1"/>
    <xf numFmtId="169" fontId="46" fillId="0" borderId="90" xfId="133" applyNumberFormat="1" applyFont="1" applyFill="1" applyBorder="1" applyAlignment="1"/>
    <xf numFmtId="169" fontId="56" fillId="7" borderId="57" xfId="1" applyNumberFormat="1" applyFont="1" applyFill="1" applyBorder="1"/>
    <xf numFmtId="169" fontId="56" fillId="7" borderId="68" xfId="1" applyNumberFormat="1" applyFont="1" applyFill="1" applyBorder="1"/>
    <xf numFmtId="169" fontId="56" fillId="7" borderId="58" xfId="1" applyNumberFormat="1" applyFont="1" applyFill="1" applyBorder="1"/>
    <xf numFmtId="177" fontId="47" fillId="0" borderId="58" xfId="1" applyNumberFormat="1" applyFont="1" applyBorder="1" applyAlignment="1">
      <alignment horizontal="center" vertical="center" wrapText="1"/>
    </xf>
    <xf numFmtId="169" fontId="47" fillId="0" borderId="59" xfId="133" applyNumberFormat="1" applyFont="1" applyFill="1" applyBorder="1" applyAlignment="1">
      <alignment horizontal="center" vertical="center" wrapText="1"/>
    </xf>
    <xf numFmtId="169" fontId="47" fillId="0" borderId="58" xfId="133" applyNumberFormat="1" applyFont="1" applyFill="1" applyBorder="1" applyAlignment="1">
      <alignment horizontal="center" vertical="center" wrapText="1"/>
    </xf>
    <xf numFmtId="169" fontId="47" fillId="0" borderId="70" xfId="133" applyNumberFormat="1" applyFont="1" applyFill="1" applyBorder="1" applyAlignment="1">
      <alignment horizontal="center" vertical="center" wrapText="1"/>
    </xf>
    <xf numFmtId="177" fontId="47" fillId="0" borderId="70" xfId="1" applyNumberFormat="1" applyFont="1" applyBorder="1" applyAlignment="1">
      <alignment horizontal="center" vertical="center" wrapText="1"/>
    </xf>
    <xf numFmtId="165" fontId="49" fillId="0" borderId="26" xfId="133" applyFont="1" applyFill="1" applyBorder="1" applyAlignment="1"/>
    <xf numFmtId="177" fontId="47" fillId="0" borderId="71" xfId="1" applyNumberFormat="1" applyFont="1" applyBorder="1" applyAlignment="1">
      <alignment horizontal="center" vertical="center" wrapText="1"/>
    </xf>
    <xf numFmtId="177" fontId="47" fillId="0" borderId="23" xfId="1" applyNumberFormat="1" applyFont="1" applyBorder="1" applyAlignment="1">
      <alignment horizontal="center" vertical="center" wrapText="1"/>
    </xf>
    <xf numFmtId="177" fontId="47" fillId="0" borderId="24" xfId="1" applyNumberFormat="1" applyFont="1" applyBorder="1" applyAlignment="1">
      <alignment horizontal="center" vertical="center" wrapText="1"/>
    </xf>
    <xf numFmtId="177" fontId="46" fillId="0" borderId="43" xfId="1" applyNumberFormat="1" applyFont="1" applyBorder="1" applyAlignment="1">
      <alignment horizontal="center" textRotation="90" wrapText="1"/>
    </xf>
    <xf numFmtId="177" fontId="46" fillId="0" borderId="44" xfId="1" applyNumberFormat="1" applyFont="1" applyBorder="1" applyAlignment="1">
      <alignment horizontal="center" textRotation="90" wrapText="1"/>
    </xf>
    <xf numFmtId="177" fontId="46" fillId="0" borderId="46" xfId="1" applyNumberFormat="1" applyFont="1" applyBorder="1" applyAlignment="1">
      <alignment horizontal="center" textRotation="90" wrapText="1"/>
    </xf>
    <xf numFmtId="177" fontId="46" fillId="0" borderId="25" xfId="1" applyNumberFormat="1" applyFont="1" applyBorder="1" applyAlignment="1">
      <alignment horizontal="center" textRotation="90" wrapText="1"/>
    </xf>
    <xf numFmtId="177" fontId="46" fillId="0" borderId="27" xfId="1" applyNumberFormat="1" applyFont="1" applyBorder="1" applyAlignment="1">
      <alignment horizontal="center" textRotation="90" wrapText="1"/>
    </xf>
    <xf numFmtId="177" fontId="46" fillId="0" borderId="26" xfId="1" applyNumberFormat="1" applyFont="1" applyBorder="1" applyAlignment="1">
      <alignment horizontal="center" textRotation="90" wrapText="1"/>
    </xf>
    <xf numFmtId="165" fontId="49" fillId="0" borderId="0" xfId="133" applyFont="1" applyFill="1" applyBorder="1" applyAlignment="1">
      <alignment horizontal="right"/>
    </xf>
    <xf numFmtId="165" fontId="49" fillId="0" borderId="23" xfId="133" applyFont="1" applyFill="1" applyBorder="1" applyAlignment="1"/>
    <xf numFmtId="165" fontId="47" fillId="0" borderId="24" xfId="133" applyFont="1" applyFill="1" applyBorder="1" applyAlignment="1"/>
    <xf numFmtId="165" fontId="47" fillId="0" borderId="22" xfId="133" applyFont="1" applyFill="1" applyBorder="1" applyAlignment="1"/>
    <xf numFmtId="165" fontId="47" fillId="0" borderId="22" xfId="133" applyFont="1" applyFill="1" applyBorder="1" applyAlignment="1">
      <alignment horizontal="right"/>
    </xf>
    <xf numFmtId="165" fontId="47" fillId="0" borderId="27" xfId="133" applyFont="1" applyFill="1" applyBorder="1" applyAlignment="1">
      <alignment horizontal="right"/>
    </xf>
    <xf numFmtId="165" fontId="47" fillId="0" borderId="24" xfId="133" applyFont="1" applyFill="1" applyBorder="1" applyAlignment="1">
      <alignment horizontal="right"/>
    </xf>
    <xf numFmtId="165" fontId="49" fillId="0" borderId="44" xfId="133" applyFont="1" applyFill="1" applyBorder="1" applyAlignment="1"/>
    <xf numFmtId="165" fontId="47" fillId="0" borderId="46" xfId="133" applyFont="1" applyFill="1" applyBorder="1" applyAlignment="1"/>
    <xf numFmtId="165" fontId="47" fillId="0" borderId="27" xfId="133" applyFont="1" applyFill="1" applyBorder="1" applyAlignment="1"/>
    <xf numFmtId="165" fontId="47" fillId="0" borderId="30" xfId="133" applyFont="1" applyFill="1" applyBorder="1" applyAlignment="1"/>
    <xf numFmtId="165" fontId="49" fillId="0" borderId="7" xfId="133" applyFont="1" applyFill="1" applyBorder="1" applyAlignment="1"/>
    <xf numFmtId="165" fontId="47" fillId="0" borderId="8" xfId="133" applyFont="1" applyFill="1" applyBorder="1" applyAlignment="1"/>
    <xf numFmtId="165" fontId="47" fillId="0" borderId="46" xfId="133" applyFont="1" applyFill="1" applyBorder="1" applyAlignment="1">
      <alignment horizontal="right"/>
    </xf>
    <xf numFmtId="165" fontId="49" fillId="7" borderId="59" xfId="133" applyFont="1" applyFill="1" applyBorder="1" applyAlignment="1"/>
    <xf numFmtId="165" fontId="47" fillId="7" borderId="61" xfId="133" applyFont="1" applyFill="1" applyBorder="1" applyAlignment="1">
      <alignment horizontal="right"/>
    </xf>
    <xf numFmtId="165" fontId="49" fillId="0" borderId="60" xfId="133" applyFont="1" applyFill="1" applyBorder="1" applyAlignment="1"/>
    <xf numFmtId="165" fontId="47" fillId="0" borderId="100" xfId="133" applyFont="1" applyFill="1" applyBorder="1" applyAlignment="1"/>
    <xf numFmtId="165" fontId="49" fillId="0" borderId="18" xfId="133" applyFont="1" applyFill="1" applyBorder="1" applyAlignment="1"/>
    <xf numFmtId="165" fontId="47" fillId="0" borderId="98" xfId="133" applyFont="1" applyFill="1" applyBorder="1" applyAlignment="1"/>
    <xf numFmtId="165" fontId="56" fillId="0" borderId="88" xfId="133" applyFont="1" applyFill="1" applyBorder="1"/>
    <xf numFmtId="165" fontId="56" fillId="0" borderId="89" xfId="133" applyFont="1" applyFill="1" applyBorder="1"/>
    <xf numFmtId="165" fontId="49" fillId="0" borderId="0" xfId="133" applyFont="1"/>
    <xf numFmtId="165" fontId="47" fillId="0" borderId="0" xfId="133" applyFont="1"/>
    <xf numFmtId="169" fontId="47" fillId="7" borderId="55" xfId="133" applyNumberFormat="1" applyFont="1" applyFill="1" applyBorder="1" applyAlignment="1"/>
    <xf numFmtId="177" fontId="47" fillId="0" borderId="70" xfId="1" applyNumberFormat="1" applyFont="1" applyFill="1" applyBorder="1" applyAlignment="1">
      <alignment horizontal="center"/>
    </xf>
    <xf numFmtId="169" fontId="46" fillId="0" borderId="6" xfId="133" applyNumberFormat="1" applyFont="1" applyFill="1" applyBorder="1" applyAlignment="1">
      <alignment wrapText="1"/>
    </xf>
    <xf numFmtId="169" fontId="46" fillId="0" borderId="39" xfId="133" applyNumberFormat="1" applyFont="1" applyFill="1" applyBorder="1" applyAlignment="1">
      <alignment wrapText="1"/>
    </xf>
    <xf numFmtId="169" fontId="46" fillId="0" borderId="7" xfId="133" applyNumberFormat="1" applyFont="1" applyFill="1" applyBorder="1" applyAlignment="1">
      <alignment wrapText="1"/>
    </xf>
    <xf numFmtId="169" fontId="46" fillId="0" borderId="40" xfId="133" applyNumberFormat="1" applyFont="1" applyFill="1" applyBorder="1" applyAlignment="1">
      <alignment wrapText="1"/>
    </xf>
    <xf numFmtId="169" fontId="46" fillId="0" borderId="8" xfId="133" applyNumberFormat="1" applyFont="1" applyFill="1" applyBorder="1" applyAlignment="1">
      <alignment wrapText="1"/>
    </xf>
    <xf numFmtId="169" fontId="46" fillId="0" borderId="41" xfId="133" applyNumberFormat="1" applyFont="1" applyFill="1" applyBorder="1" applyAlignment="1"/>
    <xf numFmtId="169" fontId="46" fillId="0" borderId="47" xfId="133" applyNumberFormat="1" applyFont="1" applyFill="1" applyBorder="1" applyAlignment="1"/>
    <xf numFmtId="169" fontId="46" fillId="0" borderId="72" xfId="133" applyNumberFormat="1" applyFont="1" applyFill="1" applyBorder="1" applyAlignment="1"/>
    <xf numFmtId="169" fontId="46" fillId="0" borderId="51" xfId="133" applyNumberFormat="1" applyFont="1" applyFill="1" applyBorder="1" applyAlignment="1"/>
    <xf numFmtId="177" fontId="56" fillId="0" borderId="39" xfId="1" applyNumberFormat="1" applyFont="1" applyBorder="1"/>
    <xf numFmtId="177" fontId="56" fillId="0" borderId="7" xfId="1" applyNumberFormat="1" applyFont="1" applyBorder="1"/>
    <xf numFmtId="177" fontId="55" fillId="0" borderId="22" xfId="1" applyNumberFormat="1" applyFont="1" applyBorder="1"/>
    <xf numFmtId="177" fontId="46" fillId="2" borderId="22" xfId="1" applyNumberFormat="1" applyFont="1" applyFill="1" applyBorder="1" applyAlignment="1">
      <alignment wrapText="1"/>
    </xf>
    <xf numFmtId="169" fontId="47" fillId="7" borderId="63" xfId="133" applyNumberFormat="1" applyFont="1" applyFill="1" applyBorder="1" applyAlignment="1"/>
    <xf numFmtId="169" fontId="47" fillId="7" borderId="64" xfId="133" applyNumberFormat="1" applyFont="1" applyFill="1" applyBorder="1" applyAlignment="1"/>
    <xf numFmtId="169" fontId="47" fillId="7" borderId="67" xfId="133" applyNumberFormat="1" applyFont="1" applyFill="1" applyBorder="1" applyAlignment="1"/>
    <xf numFmtId="177" fontId="46" fillId="2" borderId="24" xfId="1" applyNumberFormat="1" applyFont="1" applyFill="1" applyBorder="1" applyAlignment="1">
      <alignment wrapText="1"/>
    </xf>
    <xf numFmtId="165" fontId="56" fillId="0" borderId="37" xfId="133" applyFont="1" applyFill="1" applyBorder="1"/>
    <xf numFmtId="177" fontId="47" fillId="0" borderId="41" xfId="1" applyNumberFormat="1" applyFont="1" applyBorder="1" applyAlignment="1">
      <alignment horizontal="center" vertical="center" wrapText="1"/>
    </xf>
    <xf numFmtId="177" fontId="46" fillId="12" borderId="42" xfId="1" applyNumberFormat="1" applyFont="1" applyFill="1" applyBorder="1" applyAlignment="1">
      <alignment horizontal="center" vertical="center"/>
    </xf>
    <xf numFmtId="177" fontId="46" fillId="0" borderId="47" xfId="1" applyNumberFormat="1" applyFont="1" applyBorder="1" applyAlignment="1">
      <alignment horizontal="center" textRotation="90" wrapText="1"/>
    </xf>
    <xf numFmtId="169" fontId="47" fillId="7" borderId="92" xfId="133" applyNumberFormat="1" applyFont="1" applyFill="1" applyBorder="1" applyAlignment="1"/>
    <xf numFmtId="43" fontId="46" fillId="0" borderId="62" xfId="43" applyFont="1" applyFill="1" applyBorder="1" applyAlignment="1">
      <alignment horizontal="center" vertical="center" wrapText="1"/>
    </xf>
    <xf numFmtId="0" fontId="46" fillId="0" borderId="12" xfId="1" applyNumberFormat="1" applyFont="1" applyFill="1" applyBorder="1" applyAlignment="1">
      <alignment horizontal="left" vertical="center"/>
    </xf>
    <xf numFmtId="43" fontId="55" fillId="0" borderId="0" xfId="1" applyFont="1" applyFill="1" applyBorder="1" applyAlignment="1">
      <alignment horizontal="center" vertical="center"/>
    </xf>
    <xf numFmtId="0" fontId="55" fillId="0" borderId="0" xfId="1" applyNumberFormat="1" applyFont="1" applyBorder="1"/>
    <xf numFmtId="165" fontId="55" fillId="0" borderId="0" xfId="41" applyNumberFormat="1" applyFont="1"/>
    <xf numFmtId="165" fontId="55" fillId="2" borderId="0" xfId="41" applyNumberFormat="1" applyFont="1" applyFill="1"/>
    <xf numFmtId="183" fontId="55" fillId="0" borderId="0" xfId="41" applyNumberFormat="1" applyFont="1"/>
    <xf numFmtId="183" fontId="46" fillId="0" borderId="0" xfId="1" applyNumberFormat="1" applyFont="1" applyFill="1"/>
    <xf numFmtId="0" fontId="56" fillId="0" borderId="62" xfId="57" applyNumberFormat="1" applyFont="1" applyFill="1" applyBorder="1" applyAlignment="1">
      <alignment vertical="center" wrapText="1"/>
    </xf>
    <xf numFmtId="0" fontId="47" fillId="0" borderId="59" xfId="57" applyNumberFormat="1" applyFont="1" applyBorder="1" applyAlignment="1">
      <alignment vertical="center" wrapText="1"/>
    </xf>
    <xf numFmtId="43" fontId="47" fillId="0" borderId="55" xfId="57" applyFont="1" applyFill="1" applyBorder="1" applyAlignment="1">
      <alignment horizontal="center" vertical="center"/>
    </xf>
    <xf numFmtId="177" fontId="46" fillId="0" borderId="59" xfId="57" applyNumberFormat="1" applyFont="1" applyFill="1" applyBorder="1" applyAlignment="1">
      <alignment horizontal="center" vertical="center" wrapText="1"/>
    </xf>
    <xf numFmtId="43" fontId="47" fillId="0" borderId="62" xfId="57" applyFont="1" applyFill="1" applyBorder="1" applyAlignment="1">
      <alignment horizontal="center" vertical="center" wrapText="1"/>
    </xf>
    <xf numFmtId="177" fontId="46" fillId="0" borderId="62" xfId="57" applyNumberFormat="1" applyFont="1" applyFill="1" applyBorder="1" applyAlignment="1">
      <alignment horizontal="center" vertical="center" wrapText="1"/>
    </xf>
    <xf numFmtId="43" fontId="1" fillId="0" borderId="12" xfId="1" applyFont="1" applyBorder="1"/>
    <xf numFmtId="43" fontId="1" fillId="0" borderId="15" xfId="1" applyFont="1" applyBorder="1"/>
    <xf numFmtId="43" fontId="8" fillId="2" borderId="15" xfId="1" applyFont="1" applyFill="1" applyBorder="1"/>
    <xf numFmtId="43" fontId="46" fillId="0" borderId="0" xfId="1" applyFont="1" applyBorder="1" applyAlignment="1">
      <alignment vertical="center"/>
    </xf>
    <xf numFmtId="43" fontId="47" fillId="0" borderId="0" xfId="1" applyFont="1" applyBorder="1" applyAlignment="1">
      <alignment horizontal="left" vertical="center"/>
    </xf>
    <xf numFmtId="43" fontId="46" fillId="0" borderId="0" xfId="1" applyFont="1" applyBorder="1" applyAlignment="1">
      <alignment horizontal="left" vertical="center"/>
    </xf>
    <xf numFmtId="43" fontId="46" fillId="2" borderId="0" xfId="1" applyFont="1" applyFill="1" applyBorder="1"/>
    <xf numFmtId="177" fontId="51" fillId="0" borderId="0" xfId="1" applyNumberFormat="1" applyFont="1" applyFill="1" applyBorder="1" applyAlignment="1">
      <alignment horizontal="center" vertical="center" wrapText="1"/>
    </xf>
    <xf numFmtId="177" fontId="51" fillId="0" borderId="53" xfId="1" applyNumberFormat="1" applyFont="1" applyBorder="1" applyAlignment="1">
      <alignment horizontal="center" vertical="center" wrapText="1"/>
    </xf>
    <xf numFmtId="43" fontId="51" fillId="8" borderId="53" xfId="1" applyFont="1" applyFill="1" applyBorder="1" applyAlignment="1">
      <alignment horizontal="center" vertical="center" wrapText="1"/>
    </xf>
    <xf numFmtId="43" fontId="48" fillId="0" borderId="0" xfId="1" applyFont="1" applyFill="1" applyAlignment="1">
      <alignment horizontal="center" vertical="center" wrapText="1"/>
    </xf>
    <xf numFmtId="0" fontId="48" fillId="0" borderId="0" xfId="1" applyNumberFormat="1" applyFont="1" applyAlignment="1">
      <alignment vertical="center" wrapText="1"/>
    </xf>
    <xf numFmtId="0" fontId="48" fillId="0" borderId="0" xfId="2" applyFont="1" applyAlignment="1">
      <alignment horizontal="center" vertical="center" wrapText="1"/>
    </xf>
    <xf numFmtId="177" fontId="48" fillId="0" borderId="0" xfId="1" applyNumberFormat="1" applyFont="1" applyFill="1" applyBorder="1" applyAlignment="1">
      <alignment horizontal="center" vertical="center" wrapText="1"/>
    </xf>
    <xf numFmtId="177" fontId="48" fillId="0" borderId="0" xfId="1" applyNumberFormat="1" applyFont="1" applyBorder="1" applyAlignment="1">
      <alignment horizontal="center" vertical="center" wrapText="1"/>
    </xf>
    <xf numFmtId="177" fontId="112" fillId="0" borderId="0" xfId="1" applyNumberFormat="1" applyFont="1" applyFill="1" applyBorder="1" applyAlignment="1">
      <alignment horizontal="center" vertical="center" wrapText="1"/>
    </xf>
    <xf numFmtId="177" fontId="48" fillId="0" borderId="0" xfId="1" applyNumberFormat="1" applyFont="1" applyFill="1" applyAlignment="1">
      <alignment vertical="center" wrapText="1"/>
    </xf>
    <xf numFmtId="177" fontId="51" fillId="0" borderId="0" xfId="1" applyNumberFormat="1" applyFont="1" applyAlignment="1">
      <alignment vertical="center" wrapText="1"/>
    </xf>
    <xf numFmtId="177" fontId="51" fillId="0" borderId="0" xfId="1" applyNumberFormat="1" applyFont="1" applyAlignment="1">
      <alignment horizontal="center" vertical="center" wrapText="1"/>
    </xf>
    <xf numFmtId="0" fontId="48" fillId="0" borderId="0" xfId="2" applyFont="1" applyAlignment="1">
      <alignment vertical="center" wrapText="1"/>
    </xf>
    <xf numFmtId="177" fontId="48" fillId="0" borderId="0" xfId="1" applyNumberFormat="1" applyFont="1" applyAlignment="1">
      <alignment vertical="center" wrapText="1"/>
    </xf>
    <xf numFmtId="177" fontId="48" fillId="0" borderId="0" xfId="1" applyNumberFormat="1" applyFont="1" applyBorder="1" applyAlignment="1">
      <alignment horizontal="center" wrapText="1"/>
    </xf>
    <xf numFmtId="14" fontId="51" fillId="0" borderId="0" xfId="1" applyNumberFormat="1" applyFont="1" applyFill="1" applyBorder="1" applyAlignment="1">
      <alignment horizontal="center" vertical="center" wrapText="1"/>
    </xf>
    <xf numFmtId="177" fontId="51" fillId="0" borderId="55" xfId="1" applyNumberFormat="1" applyFont="1" applyBorder="1" applyAlignment="1">
      <alignment horizontal="center" wrapText="1"/>
    </xf>
    <xf numFmtId="177" fontId="51" fillId="0" borderId="59" xfId="1" applyNumberFormat="1" applyFont="1" applyBorder="1" applyAlignment="1">
      <alignment horizontal="center" wrapText="1"/>
    </xf>
    <xf numFmtId="177" fontId="51" fillId="0" borderId="61" xfId="1" applyNumberFormat="1" applyFont="1" applyBorder="1" applyAlignment="1">
      <alignment horizontal="center" wrapText="1"/>
    </xf>
    <xf numFmtId="177" fontId="112" fillId="0" borderId="0" xfId="1" applyNumberFormat="1" applyFont="1" applyFill="1" applyBorder="1" applyAlignment="1">
      <alignment horizontal="center" wrapText="1"/>
    </xf>
    <xf numFmtId="177" fontId="51" fillId="0" borderId="0" xfId="1" applyNumberFormat="1" applyFont="1" applyBorder="1" applyAlignment="1">
      <alignment horizontal="center" wrapText="1"/>
    </xf>
    <xf numFmtId="0" fontId="48" fillId="0" borderId="35" xfId="2" applyFont="1" applyBorder="1" applyAlignment="1">
      <alignment horizontal="center" vertical="center" wrapText="1"/>
    </xf>
    <xf numFmtId="177" fontId="48" fillId="0" borderId="35" xfId="1" applyNumberFormat="1" applyFont="1" applyFill="1" applyBorder="1" applyAlignment="1">
      <alignment horizontal="center" vertical="center" wrapText="1"/>
    </xf>
    <xf numFmtId="43" fontId="48" fillId="0" borderId="0" xfId="1" applyFont="1" applyAlignment="1">
      <alignment vertical="center" wrapText="1"/>
    </xf>
    <xf numFmtId="177" fontId="51" fillId="0" borderId="0" xfId="1" applyNumberFormat="1" applyFont="1" applyBorder="1" applyAlignment="1">
      <alignment horizontal="center" vertical="center" wrapText="1"/>
    </xf>
    <xf numFmtId="43" fontId="51" fillId="0" borderId="55" xfId="1" applyFont="1" applyFill="1" applyBorder="1" applyAlignment="1">
      <alignment horizontal="center" vertical="center" wrapText="1"/>
    </xf>
    <xf numFmtId="43" fontId="51" fillId="0" borderId="59" xfId="1" applyFont="1" applyFill="1" applyBorder="1" applyAlignment="1">
      <alignment horizontal="center" vertical="center" wrapText="1"/>
    </xf>
    <xf numFmtId="0" fontId="51" fillId="0" borderId="61" xfId="1" applyNumberFormat="1" applyFont="1" applyBorder="1" applyAlignment="1">
      <alignment horizontal="center" vertical="center" wrapText="1"/>
    </xf>
    <xf numFmtId="0" fontId="51" fillId="0" borderId="61" xfId="2" applyFont="1" applyBorder="1" applyAlignment="1">
      <alignment horizontal="center" vertical="center" wrapText="1"/>
    </xf>
    <xf numFmtId="177" fontId="51" fillId="4" borderId="53" xfId="1" applyNumberFormat="1" applyFont="1" applyFill="1" applyBorder="1" applyAlignment="1">
      <alignment horizontal="center" vertical="center" wrapText="1"/>
    </xf>
    <xf numFmtId="0" fontId="51" fillId="0" borderId="59" xfId="1" applyNumberFormat="1" applyFont="1" applyBorder="1" applyAlignment="1">
      <alignment vertical="center" wrapText="1"/>
    </xf>
    <xf numFmtId="0" fontId="48" fillId="0" borderId="59" xfId="2" applyFont="1" applyBorder="1" applyAlignment="1">
      <alignment horizontal="center" vertical="center" wrapText="1"/>
    </xf>
    <xf numFmtId="177" fontId="48" fillId="0" borderId="59" xfId="1" applyNumberFormat="1" applyFont="1" applyFill="1" applyBorder="1" applyAlignment="1">
      <alignment horizontal="center" vertical="center" wrapText="1"/>
    </xf>
    <xf numFmtId="177" fontId="48" fillId="0" borderId="59" xfId="1" applyNumberFormat="1" applyFont="1" applyFill="1" applyBorder="1" applyAlignment="1">
      <alignment vertical="center" wrapText="1"/>
    </xf>
    <xf numFmtId="177" fontId="51" fillId="0" borderId="59" xfId="1" applyNumberFormat="1" applyFont="1" applyFill="1" applyBorder="1" applyAlignment="1">
      <alignment horizontal="center" vertical="center" wrapText="1"/>
    </xf>
    <xf numFmtId="177" fontId="51" fillId="0" borderId="61" xfId="1" applyNumberFormat="1" applyFont="1" applyFill="1" applyBorder="1" applyAlignment="1">
      <alignment horizontal="center" vertical="center" wrapText="1"/>
    </xf>
    <xf numFmtId="0" fontId="48" fillId="0" borderId="54" xfId="1" applyNumberFormat="1" applyFont="1" applyBorder="1" applyAlignment="1">
      <alignment vertical="top" wrapText="1"/>
    </xf>
    <xf numFmtId="177" fontId="48" fillId="0" borderId="54" xfId="1" applyNumberFormat="1" applyFont="1" applyFill="1" applyBorder="1" applyAlignment="1">
      <alignment horizontal="center" vertical="center" wrapText="1"/>
    </xf>
    <xf numFmtId="177" fontId="48" fillId="4" borderId="54" xfId="1" applyNumberFormat="1" applyFont="1" applyFill="1" applyBorder="1" applyAlignment="1">
      <alignment horizontal="center" vertical="center" wrapText="1"/>
    </xf>
    <xf numFmtId="177" fontId="48" fillId="6" borderId="54" xfId="1" applyNumberFormat="1" applyFont="1" applyFill="1" applyBorder="1" applyAlignment="1">
      <alignment horizontal="center" vertical="center" wrapText="1"/>
    </xf>
    <xf numFmtId="177" fontId="48" fillId="5" borderId="54" xfId="1" applyNumberFormat="1" applyFont="1" applyFill="1" applyBorder="1" applyAlignment="1">
      <alignment horizontal="center" vertical="center" wrapText="1"/>
    </xf>
    <xf numFmtId="177" fontId="51" fillId="0" borderId="75" xfId="1" applyNumberFormat="1" applyFont="1" applyFill="1" applyBorder="1" applyAlignment="1">
      <alignment horizontal="center" vertical="center" wrapText="1"/>
    </xf>
    <xf numFmtId="43" fontId="48" fillId="0" borderId="12" xfId="1" applyFont="1" applyFill="1" applyBorder="1" applyAlignment="1">
      <alignment horizontal="center" vertical="center" wrapText="1"/>
    </xf>
    <xf numFmtId="0" fontId="48" fillId="0" borderId="12" xfId="1" applyNumberFormat="1" applyFont="1" applyBorder="1" applyAlignment="1">
      <alignment vertical="top" wrapText="1"/>
    </xf>
    <xf numFmtId="177" fontId="115" fillId="0" borderId="12" xfId="1" applyNumberFormat="1" applyFont="1" applyFill="1" applyBorder="1" applyAlignment="1">
      <alignment horizontal="center" vertical="center" wrapText="1"/>
    </xf>
    <xf numFmtId="177" fontId="48" fillId="4" borderId="12" xfId="1" applyNumberFormat="1" applyFont="1" applyFill="1" applyBorder="1" applyAlignment="1">
      <alignment horizontal="center" vertical="center" wrapText="1"/>
    </xf>
    <xf numFmtId="177" fontId="48" fillId="6" borderId="12" xfId="1" applyNumberFormat="1" applyFont="1" applyFill="1" applyBorder="1" applyAlignment="1">
      <alignment horizontal="center" vertical="center" wrapText="1"/>
    </xf>
    <xf numFmtId="177" fontId="48" fillId="5" borderId="12" xfId="1" applyNumberFormat="1" applyFont="1" applyFill="1" applyBorder="1" applyAlignment="1">
      <alignment horizontal="center" vertical="center" wrapText="1"/>
    </xf>
    <xf numFmtId="177" fontId="51" fillId="0" borderId="3" xfId="1" applyNumberFormat="1" applyFont="1" applyFill="1" applyBorder="1" applyAlignment="1">
      <alignment horizontal="center" vertical="center" wrapText="1"/>
    </xf>
    <xf numFmtId="0" fontId="48" fillId="0" borderId="12" xfId="2" applyFont="1" applyBorder="1" applyAlignment="1">
      <alignment horizontal="center" vertical="center" wrapText="1"/>
    </xf>
    <xf numFmtId="177" fontId="48" fillId="0" borderId="12" xfId="1" applyNumberFormat="1" applyFont="1" applyFill="1" applyBorder="1" applyAlignment="1">
      <alignment horizontal="center" vertical="center" wrapText="1"/>
    </xf>
    <xf numFmtId="177" fontId="115" fillId="0" borderId="12" xfId="1" applyNumberFormat="1" applyFont="1" applyFill="1" applyBorder="1" applyAlignment="1">
      <alignment vertical="center" wrapText="1"/>
    </xf>
    <xf numFmtId="177" fontId="116" fillId="0" borderId="12" xfId="1" applyNumberFormat="1" applyFont="1" applyFill="1" applyBorder="1" applyAlignment="1">
      <alignment horizontal="center" vertical="center" wrapText="1"/>
    </xf>
    <xf numFmtId="43" fontId="48" fillId="0" borderId="12" xfId="1" applyFont="1" applyFill="1" applyBorder="1" applyAlignment="1">
      <alignment horizontal="center" vertical="center"/>
    </xf>
    <xf numFmtId="43" fontId="48" fillId="0" borderId="15" xfId="1" applyFont="1" applyFill="1" applyBorder="1" applyAlignment="1">
      <alignment horizontal="center" vertical="center"/>
    </xf>
    <xf numFmtId="0" fontId="48" fillId="0" borderId="15" xfId="1" applyNumberFormat="1" applyFont="1" applyBorder="1" applyAlignment="1">
      <alignment vertical="top" wrapText="1"/>
    </xf>
    <xf numFmtId="177" fontId="115" fillId="0" borderId="15" xfId="1" applyNumberFormat="1" applyFont="1" applyFill="1" applyBorder="1" applyAlignment="1">
      <alignment vertical="center" wrapText="1"/>
    </xf>
    <xf numFmtId="177" fontId="48" fillId="4" borderId="15" xfId="1" applyNumberFormat="1" applyFont="1" applyFill="1" applyBorder="1" applyAlignment="1">
      <alignment horizontal="center" vertical="center" wrapText="1"/>
    </xf>
    <xf numFmtId="177" fontId="116" fillId="0" borderId="15" xfId="1" applyNumberFormat="1" applyFont="1" applyFill="1" applyBorder="1" applyAlignment="1">
      <alignment horizontal="center" vertical="center" wrapText="1"/>
    </xf>
    <xf numFmtId="177" fontId="115" fillId="0" borderId="15" xfId="1" applyNumberFormat="1" applyFont="1" applyFill="1" applyBorder="1" applyAlignment="1">
      <alignment horizontal="center" vertical="center" wrapText="1"/>
    </xf>
    <xf numFmtId="177" fontId="48" fillId="0" borderId="15" xfId="1" applyNumberFormat="1" applyFont="1" applyFill="1" applyBorder="1" applyAlignment="1">
      <alignment horizontal="center" vertical="center" wrapText="1"/>
    </xf>
    <xf numFmtId="177" fontId="48" fillId="6" borderId="15" xfId="1" applyNumberFormat="1" applyFont="1" applyFill="1" applyBorder="1" applyAlignment="1">
      <alignment horizontal="center" vertical="center" wrapText="1"/>
    </xf>
    <xf numFmtId="177" fontId="48" fillId="5" borderId="15" xfId="1" applyNumberFormat="1" applyFont="1" applyFill="1" applyBorder="1" applyAlignment="1">
      <alignment horizontal="center" vertical="center" wrapText="1"/>
    </xf>
    <xf numFmtId="0" fontId="48" fillId="0" borderId="11" xfId="1" applyNumberFormat="1" applyFont="1" applyBorder="1" applyAlignment="1">
      <alignment vertical="top" wrapText="1"/>
    </xf>
    <xf numFmtId="177" fontId="112" fillId="0" borderId="12" xfId="1" applyNumberFormat="1" applyFont="1" applyFill="1" applyBorder="1" applyAlignment="1">
      <alignment horizontal="center" vertical="center" wrapText="1"/>
    </xf>
    <xf numFmtId="9" fontId="48" fillId="0" borderId="59" xfId="30" applyFont="1" applyFill="1" applyBorder="1" applyAlignment="1">
      <alignment horizontal="center" vertical="center" wrapText="1"/>
    </xf>
    <xf numFmtId="0" fontId="111" fillId="0" borderId="12" xfId="1" applyNumberFormat="1" applyFont="1" applyBorder="1" applyAlignment="1">
      <alignment vertical="center" wrapText="1"/>
    </xf>
    <xf numFmtId="177" fontId="116" fillId="2" borderId="12" xfId="1" applyNumberFormat="1" applyFont="1" applyFill="1" applyBorder="1" applyAlignment="1">
      <alignment horizontal="center" vertical="center" wrapText="1"/>
    </xf>
    <xf numFmtId="43" fontId="48" fillId="0" borderId="13" xfId="1" applyFont="1" applyFill="1" applyBorder="1" applyAlignment="1">
      <alignment horizontal="center" vertical="center"/>
    </xf>
    <xf numFmtId="43" fontId="48" fillId="0" borderId="54" xfId="1" applyFont="1" applyFill="1" applyBorder="1" applyAlignment="1">
      <alignment horizontal="center" vertical="center"/>
    </xf>
    <xf numFmtId="177" fontId="118" fillId="0" borderId="54" xfId="1" applyNumberFormat="1" applyFont="1" applyFill="1" applyBorder="1" applyAlignment="1">
      <alignment horizontal="center" vertical="center" wrapText="1"/>
    </xf>
    <xf numFmtId="177" fontId="119" fillId="0" borderId="54" xfId="1" applyNumberFormat="1" applyFont="1" applyFill="1" applyBorder="1" applyAlignment="1">
      <alignment horizontal="center" vertical="center" wrapText="1"/>
    </xf>
    <xf numFmtId="0" fontId="48" fillId="0" borderId="12" xfId="1" applyNumberFormat="1" applyFont="1" applyBorder="1" applyAlignment="1">
      <alignment vertical="center" wrapText="1"/>
    </xf>
    <xf numFmtId="177" fontId="118" fillId="0" borderId="12" xfId="1" applyNumberFormat="1" applyFont="1" applyFill="1" applyBorder="1" applyAlignment="1">
      <alignment horizontal="center" vertical="center" wrapText="1"/>
    </xf>
    <xf numFmtId="177" fontId="119" fillId="0" borderId="12" xfId="1" applyNumberFormat="1" applyFont="1" applyFill="1" applyBorder="1" applyAlignment="1">
      <alignment horizontal="center" vertical="center" wrapText="1"/>
    </xf>
    <xf numFmtId="177" fontId="118" fillId="2" borderId="12" xfId="1" applyNumberFormat="1" applyFont="1" applyFill="1" applyBorder="1" applyAlignment="1">
      <alignment horizontal="center" vertical="center" wrapText="1"/>
    </xf>
    <xf numFmtId="43" fontId="48" fillId="0" borderId="12" xfId="43" applyFont="1" applyFill="1" applyBorder="1" applyAlignment="1">
      <alignment horizontal="center" vertical="center"/>
    </xf>
    <xf numFmtId="177" fontId="51" fillId="0" borderId="2" xfId="1" applyNumberFormat="1" applyFont="1" applyFill="1" applyBorder="1" applyAlignment="1">
      <alignment horizontal="center" vertical="center" wrapText="1"/>
    </xf>
    <xf numFmtId="177" fontId="115" fillId="0" borderId="13" xfId="1" applyNumberFormat="1" applyFont="1" applyFill="1" applyBorder="1" applyAlignment="1">
      <alignment horizontal="center" vertical="center" wrapText="1"/>
    </xf>
    <xf numFmtId="177" fontId="120" fillId="2" borderId="13" xfId="1" applyNumberFormat="1" applyFont="1" applyFill="1" applyBorder="1" applyAlignment="1">
      <alignment horizontal="center" vertical="center" wrapText="1"/>
    </xf>
    <xf numFmtId="177" fontId="118" fillId="0" borderId="13" xfId="1" applyNumberFormat="1" applyFont="1" applyFill="1" applyBorder="1" applyAlignment="1">
      <alignment horizontal="center" vertical="center" wrapText="1"/>
    </xf>
    <xf numFmtId="43" fontId="48" fillId="0" borderId="15" xfId="43" applyFont="1" applyFill="1" applyBorder="1" applyAlignment="1">
      <alignment horizontal="center" vertical="center"/>
    </xf>
    <xf numFmtId="177" fontId="118" fillId="0" borderId="15" xfId="1" applyNumberFormat="1" applyFont="1" applyFill="1" applyBorder="1" applyAlignment="1">
      <alignment horizontal="center" vertical="center" wrapText="1"/>
    </xf>
    <xf numFmtId="0" fontId="48" fillId="13" borderId="54" xfId="1" applyNumberFormat="1" applyFont="1" applyFill="1" applyBorder="1" applyAlignment="1">
      <alignment vertical="top" wrapText="1"/>
    </xf>
    <xf numFmtId="177" fontId="51" fillId="0" borderId="85" xfId="1" applyNumberFormat="1" applyFont="1" applyFill="1" applyBorder="1" applyAlignment="1">
      <alignment horizontal="center" vertical="center" wrapText="1"/>
    </xf>
    <xf numFmtId="0" fontId="48" fillId="0" borderId="12" xfId="1" applyNumberFormat="1" applyFont="1" applyBorder="1" applyAlignment="1">
      <alignment horizontal="left" vertical="top" wrapText="1"/>
    </xf>
    <xf numFmtId="43" fontId="48" fillId="0" borderId="15" xfId="1" applyFont="1" applyFill="1" applyBorder="1" applyAlignment="1">
      <alignment horizontal="center" vertical="center" wrapText="1"/>
    </xf>
    <xf numFmtId="177" fontId="119" fillId="0" borderId="15" xfId="1" applyNumberFormat="1" applyFont="1" applyFill="1" applyBorder="1" applyAlignment="1">
      <alignment horizontal="center" vertical="center" wrapText="1"/>
    </xf>
    <xf numFmtId="177" fontId="115" fillId="0" borderId="54" xfId="1" applyNumberFormat="1" applyFont="1" applyFill="1" applyBorder="1" applyAlignment="1">
      <alignment horizontal="center" vertical="center" wrapText="1"/>
    </xf>
    <xf numFmtId="177" fontId="51" fillId="0" borderId="38" xfId="1" applyNumberFormat="1" applyFont="1" applyFill="1" applyBorder="1" applyAlignment="1">
      <alignment horizontal="center" vertical="center" wrapText="1"/>
    </xf>
    <xf numFmtId="177" fontId="120" fillId="0" borderId="12" xfId="1" applyNumberFormat="1" applyFont="1" applyFill="1" applyBorder="1" applyAlignment="1">
      <alignment vertical="center" wrapText="1"/>
    </xf>
    <xf numFmtId="177" fontId="120" fillId="2" borderId="12" xfId="1" applyNumberFormat="1" applyFont="1" applyFill="1" applyBorder="1" applyAlignment="1">
      <alignment horizontal="center" vertical="center" wrapText="1"/>
    </xf>
    <xf numFmtId="43" fontId="48" fillId="0" borderId="9" xfId="1" applyFont="1" applyFill="1" applyBorder="1" applyAlignment="1">
      <alignment horizontal="center" vertical="center"/>
    </xf>
    <xf numFmtId="0" fontId="48" fillId="0" borderId="9" xfId="1" applyNumberFormat="1" applyFont="1" applyBorder="1" applyAlignment="1">
      <alignment vertical="top" wrapText="1"/>
    </xf>
    <xf numFmtId="0" fontId="48" fillId="0" borderId="15" xfId="1" applyNumberFormat="1" applyFont="1" applyBorder="1" applyAlignment="1">
      <alignment vertical="center" wrapText="1"/>
    </xf>
    <xf numFmtId="0" fontId="48" fillId="0" borderId="15" xfId="2" applyFont="1" applyBorder="1" applyAlignment="1">
      <alignment horizontal="center" vertical="center" wrapText="1"/>
    </xf>
    <xf numFmtId="43" fontId="48" fillId="0" borderId="54" xfId="1" applyFont="1" applyFill="1" applyBorder="1" applyAlignment="1">
      <alignment horizontal="center" vertical="center" wrapText="1"/>
    </xf>
    <xf numFmtId="177" fontId="116" fillId="0" borderId="54" xfId="1" applyNumberFormat="1" applyFont="1" applyFill="1" applyBorder="1" applyAlignment="1">
      <alignment horizontal="center" vertical="center" wrapText="1"/>
    </xf>
    <xf numFmtId="177" fontId="112" fillId="0" borderId="54" xfId="1" applyNumberFormat="1" applyFont="1" applyFill="1" applyBorder="1" applyAlignment="1">
      <alignment horizontal="center" vertical="center" wrapText="1"/>
    </xf>
    <xf numFmtId="177" fontId="116" fillId="0" borderId="12" xfId="1" applyNumberFormat="1" applyFont="1" applyFill="1" applyBorder="1" applyAlignment="1">
      <alignment vertical="center" wrapText="1"/>
    </xf>
    <xf numFmtId="177" fontId="115" fillId="0" borderId="9" xfId="1" applyNumberFormat="1" applyFont="1" applyFill="1" applyBorder="1" applyAlignment="1">
      <alignment horizontal="center" vertical="center" wrapText="1"/>
    </xf>
    <xf numFmtId="177" fontId="120" fillId="0" borderId="12" xfId="1" applyNumberFormat="1" applyFont="1" applyFill="1" applyBorder="1" applyAlignment="1">
      <alignment horizontal="center" vertical="center" wrapText="1"/>
    </xf>
    <xf numFmtId="177" fontId="51" fillId="0" borderId="36" xfId="1" applyNumberFormat="1" applyFont="1" applyFill="1" applyBorder="1" applyAlignment="1">
      <alignment horizontal="center" vertical="center" wrapText="1"/>
    </xf>
    <xf numFmtId="177" fontId="118" fillId="2" borderId="15" xfId="1" applyNumberFormat="1" applyFont="1" applyFill="1" applyBorder="1" applyAlignment="1">
      <alignment horizontal="center" vertical="center" wrapText="1"/>
    </xf>
    <xf numFmtId="0" fontId="48" fillId="0" borderId="54" xfId="1" applyNumberFormat="1" applyFont="1" applyBorder="1" applyAlignment="1">
      <alignment horizontal="left" vertical="center" wrapText="1"/>
    </xf>
    <xf numFmtId="177" fontId="48" fillId="0" borderId="54" xfId="1" applyNumberFormat="1" applyFont="1" applyFill="1" applyBorder="1" applyAlignment="1">
      <alignment vertical="center" wrapText="1"/>
    </xf>
    <xf numFmtId="0" fontId="48" fillId="0" borderId="12" xfId="1" applyNumberFormat="1" applyFont="1" applyBorder="1" applyAlignment="1">
      <alignment horizontal="left" vertical="center" wrapText="1"/>
    </xf>
    <xf numFmtId="177" fontId="48" fillId="0" borderId="12" xfId="1" applyNumberFormat="1" applyFont="1" applyFill="1" applyBorder="1" applyAlignment="1">
      <alignment vertical="center" wrapText="1"/>
    </xf>
    <xf numFmtId="43" fontId="48" fillId="0" borderId="12" xfId="1" applyFont="1" applyFill="1" applyBorder="1" applyAlignment="1">
      <alignment vertical="center" wrapText="1"/>
    </xf>
    <xf numFmtId="0" fontId="48" fillId="0" borderId="15" xfId="1" applyNumberFormat="1" applyFont="1" applyFill="1" applyBorder="1" applyAlignment="1">
      <alignment horizontal="left" vertical="center" wrapText="1"/>
    </xf>
    <xf numFmtId="177" fontId="48" fillId="0" borderId="15" xfId="1" applyNumberFormat="1" applyFont="1" applyFill="1" applyBorder="1" applyAlignment="1">
      <alignment vertical="center" wrapText="1"/>
    </xf>
    <xf numFmtId="43" fontId="48" fillId="0" borderId="59" xfId="1" applyFont="1" applyFill="1" applyBorder="1" applyAlignment="1">
      <alignment horizontal="center" vertical="center" wrapText="1"/>
    </xf>
    <xf numFmtId="0" fontId="111" fillId="0" borderId="54" xfId="1" applyNumberFormat="1" applyFont="1" applyBorder="1" applyAlignment="1">
      <alignment vertical="center" wrapText="1"/>
    </xf>
    <xf numFmtId="0" fontId="48" fillId="0" borderId="54" xfId="2" applyFont="1" applyBorder="1" applyAlignment="1">
      <alignment horizontal="center" vertical="center" wrapText="1"/>
    </xf>
    <xf numFmtId="0" fontId="111" fillId="0" borderId="15" xfId="1" applyNumberFormat="1" applyFont="1" applyBorder="1" applyAlignment="1">
      <alignment vertical="center" wrapText="1"/>
    </xf>
    <xf numFmtId="0" fontId="113" fillId="0" borderId="35" xfId="1" applyNumberFormat="1" applyFont="1" applyBorder="1" applyAlignment="1">
      <alignment vertical="center" wrapText="1"/>
    </xf>
    <xf numFmtId="177" fontId="112" fillId="0" borderId="35" xfId="1" applyNumberFormat="1" applyFont="1" applyFill="1" applyBorder="1" applyAlignment="1">
      <alignment horizontal="center" vertical="center" wrapText="1"/>
    </xf>
    <xf numFmtId="43" fontId="48" fillId="0" borderId="59" xfId="1" applyFont="1" applyFill="1" applyBorder="1" applyAlignment="1">
      <alignment vertical="center" wrapText="1"/>
    </xf>
    <xf numFmtId="2" fontId="48" fillId="0" borderId="12" xfId="1" applyNumberFormat="1" applyFont="1" applyFill="1" applyBorder="1" applyAlignment="1">
      <alignment horizontal="center" vertical="center" wrapText="1"/>
    </xf>
    <xf numFmtId="177" fontId="120" fillId="2" borderId="15" xfId="1" applyNumberFormat="1" applyFont="1" applyFill="1" applyBorder="1" applyAlignment="1">
      <alignment horizontal="center" vertical="center" wrapText="1"/>
    </xf>
    <xf numFmtId="177" fontId="112" fillId="0" borderId="15" xfId="1" applyNumberFormat="1" applyFont="1" applyFill="1" applyBorder="1" applyAlignment="1">
      <alignment horizontal="center" vertical="center" wrapText="1"/>
    </xf>
    <xf numFmtId="43" fontId="48" fillId="0" borderId="9" xfId="1" applyFont="1" applyFill="1" applyBorder="1" applyAlignment="1">
      <alignment horizontal="center" vertical="center" wrapText="1"/>
    </xf>
    <xf numFmtId="177" fontId="116" fillId="0" borderId="9" xfId="1" applyNumberFormat="1" applyFont="1" applyFill="1" applyBorder="1" applyAlignment="1">
      <alignment horizontal="center" vertical="center" wrapText="1"/>
    </xf>
    <xf numFmtId="177" fontId="48" fillId="4" borderId="9" xfId="1" applyNumberFormat="1" applyFont="1" applyFill="1" applyBorder="1" applyAlignment="1">
      <alignment horizontal="center" vertical="center" wrapText="1"/>
    </xf>
    <xf numFmtId="177" fontId="112" fillId="0" borderId="9" xfId="1" applyNumberFormat="1" applyFont="1" applyFill="1" applyBorder="1" applyAlignment="1">
      <alignment horizontal="center" vertical="center" wrapText="1"/>
    </xf>
    <xf numFmtId="177" fontId="48" fillId="6" borderId="9" xfId="1" applyNumberFormat="1" applyFont="1" applyFill="1" applyBorder="1" applyAlignment="1">
      <alignment horizontal="center" vertical="center" wrapText="1"/>
    </xf>
    <xf numFmtId="177" fontId="48" fillId="5" borderId="9" xfId="1" applyNumberFormat="1" applyFont="1" applyFill="1" applyBorder="1" applyAlignment="1">
      <alignment horizontal="center" vertical="center" wrapText="1"/>
    </xf>
    <xf numFmtId="0" fontId="48" fillId="0" borderId="53" xfId="1" applyNumberFormat="1" applyFont="1" applyBorder="1" applyAlignment="1">
      <alignment vertical="top" wrapText="1"/>
    </xf>
    <xf numFmtId="177" fontId="118" fillId="0" borderId="53" xfId="1" applyNumberFormat="1" applyFont="1" applyFill="1" applyBorder="1" applyAlignment="1">
      <alignment horizontal="center" vertical="center" wrapText="1"/>
    </xf>
    <xf numFmtId="177" fontId="48" fillId="4" borderId="53" xfId="1" applyNumberFormat="1" applyFont="1" applyFill="1" applyBorder="1" applyAlignment="1">
      <alignment horizontal="center" vertical="center" wrapText="1"/>
    </xf>
    <xf numFmtId="177" fontId="48" fillId="6" borderId="53" xfId="1" applyNumberFormat="1" applyFont="1" applyFill="1" applyBorder="1" applyAlignment="1">
      <alignment horizontal="center" vertical="center" wrapText="1"/>
    </xf>
    <xf numFmtId="177" fontId="48" fillId="5" borderId="53" xfId="1" applyNumberFormat="1" applyFont="1" applyFill="1" applyBorder="1" applyAlignment="1">
      <alignment horizontal="center" vertical="center" wrapText="1"/>
    </xf>
    <xf numFmtId="177" fontId="116" fillId="0" borderId="15" xfId="1" applyNumberFormat="1" applyFont="1" applyFill="1" applyBorder="1" applyAlignment="1">
      <alignment vertical="center" wrapText="1"/>
    </xf>
    <xf numFmtId="177" fontId="116" fillId="2" borderId="54" xfId="1" applyNumberFormat="1" applyFont="1" applyFill="1" applyBorder="1" applyAlignment="1">
      <alignment horizontal="center" vertical="center" wrapText="1"/>
    </xf>
    <xf numFmtId="177" fontId="48" fillId="0" borderId="9" xfId="1" applyNumberFormat="1" applyFont="1" applyFill="1" applyBorder="1" applyAlignment="1">
      <alignment horizontal="center" vertical="center" wrapText="1"/>
    </xf>
    <xf numFmtId="177" fontId="116" fillId="2" borderId="9" xfId="1" applyNumberFormat="1" applyFont="1" applyFill="1" applyBorder="1" applyAlignment="1">
      <alignment horizontal="center" vertical="center" wrapText="1"/>
    </xf>
    <xf numFmtId="177" fontId="120" fillId="2" borderId="12" xfId="1" applyNumberFormat="1" applyFont="1" applyFill="1" applyBorder="1" applyAlignment="1">
      <alignment vertical="center" wrapText="1"/>
    </xf>
    <xf numFmtId="43" fontId="51" fillId="0" borderId="49" xfId="1" applyFont="1" applyFill="1" applyBorder="1" applyAlignment="1">
      <alignment horizontal="center" vertical="center" wrapText="1"/>
    </xf>
    <xf numFmtId="0" fontId="111" fillId="0" borderId="49" xfId="1" applyNumberFormat="1" applyFont="1" applyFill="1" applyBorder="1" applyAlignment="1">
      <alignment vertical="center" wrapText="1"/>
    </xf>
    <xf numFmtId="43" fontId="48" fillId="0" borderId="49" xfId="43" applyFont="1" applyFill="1" applyBorder="1" applyAlignment="1">
      <alignment horizontal="center" vertical="center" wrapText="1"/>
    </xf>
    <xf numFmtId="9" fontId="48" fillId="0" borderId="49" xfId="30" applyFont="1" applyFill="1" applyBorder="1" applyAlignment="1">
      <alignment horizontal="center" vertical="center" wrapText="1"/>
    </xf>
    <xf numFmtId="177" fontId="48" fillId="0" borderId="49" xfId="1" applyNumberFormat="1" applyFont="1" applyFill="1" applyBorder="1" applyAlignment="1">
      <alignment horizontal="center" vertical="center" wrapText="1"/>
    </xf>
    <xf numFmtId="177" fontId="112" fillId="0" borderId="49" xfId="1" applyNumberFormat="1" applyFont="1" applyFill="1" applyBorder="1" applyAlignment="1">
      <alignment horizontal="center" vertical="center" wrapText="1"/>
    </xf>
    <xf numFmtId="177" fontId="51" fillId="0" borderId="49" xfId="1" applyNumberFormat="1" applyFont="1" applyFill="1" applyBorder="1" applyAlignment="1">
      <alignment horizontal="center" vertical="center" wrapText="1"/>
    </xf>
    <xf numFmtId="0" fontId="48" fillId="0" borderId="35" xfId="1" applyNumberFormat="1" applyFont="1" applyBorder="1" applyAlignment="1">
      <alignment horizontal="left" vertical="top" wrapText="1"/>
    </xf>
    <xf numFmtId="177" fontId="51" fillId="0" borderId="35" xfId="1" applyNumberFormat="1" applyFont="1" applyFill="1" applyBorder="1" applyAlignment="1">
      <alignment horizontal="center" vertical="center" wrapText="1"/>
    </xf>
    <xf numFmtId="43" fontId="51" fillId="0" borderId="62" xfId="1" applyFont="1" applyFill="1" applyBorder="1" applyAlignment="1">
      <alignment horizontal="center" vertical="center" wrapText="1"/>
    </xf>
    <xf numFmtId="43" fontId="51" fillId="0" borderId="0" xfId="1" applyFont="1" applyFill="1" applyBorder="1" applyAlignment="1">
      <alignment horizontal="center" vertical="center" wrapText="1"/>
    </xf>
    <xf numFmtId="43" fontId="51" fillId="0" borderId="54" xfId="1" applyFont="1" applyFill="1" applyBorder="1" applyAlignment="1">
      <alignment horizontal="center" vertical="center" wrapText="1"/>
    </xf>
    <xf numFmtId="43" fontId="51" fillId="0" borderId="12" xfId="1" applyFont="1" applyFill="1" applyBorder="1" applyAlignment="1">
      <alignment horizontal="center" vertical="center" wrapText="1"/>
    </xf>
    <xf numFmtId="43" fontId="51" fillId="0" borderId="15" xfId="1" applyFont="1" applyFill="1" applyBorder="1" applyAlignment="1">
      <alignment horizontal="center" vertical="center" wrapText="1"/>
    </xf>
    <xf numFmtId="0" fontId="51" fillId="0" borderId="0" xfId="1" applyNumberFormat="1" applyFont="1" applyBorder="1" applyAlignment="1">
      <alignment vertical="center" wrapText="1"/>
    </xf>
    <xf numFmtId="177" fontId="48" fillId="0" borderId="0" xfId="1" applyNumberFormat="1" applyFont="1" applyFill="1" applyBorder="1" applyAlignment="1">
      <alignment vertical="center" wrapText="1"/>
    </xf>
    <xf numFmtId="177" fontId="51" fillId="0" borderId="61" xfId="57" applyNumberFormat="1" applyFont="1" applyFill="1" applyBorder="1" applyAlignment="1">
      <alignment horizontal="center" vertical="center" wrapText="1"/>
    </xf>
    <xf numFmtId="0" fontId="48" fillId="0" borderId="0" xfId="1" applyNumberFormat="1" applyFont="1" applyBorder="1" applyAlignment="1">
      <alignment horizontal="left" vertical="top" wrapText="1"/>
    </xf>
    <xf numFmtId="0" fontId="111" fillId="0" borderId="0" xfId="1" applyNumberFormat="1" applyFont="1" applyFill="1" applyBorder="1" applyAlignment="1">
      <alignment vertical="center" wrapText="1"/>
    </xf>
    <xf numFmtId="43" fontId="111" fillId="0" borderId="0" xfId="1" applyFont="1" applyFill="1" applyAlignment="1">
      <alignment horizontal="center" vertical="center" wrapText="1"/>
    </xf>
    <xf numFmtId="0" fontId="111" fillId="0" borderId="0" xfId="1" applyNumberFormat="1" applyFont="1" applyAlignment="1">
      <alignment wrapText="1"/>
    </xf>
    <xf numFmtId="0" fontId="111" fillId="0" borderId="0" xfId="8" applyFont="1" applyAlignment="1">
      <alignment horizontal="center" vertical="center" wrapText="1"/>
    </xf>
    <xf numFmtId="177" fontId="111" fillId="0" borderId="54" xfId="1" applyNumberFormat="1" applyFont="1" applyFill="1" applyBorder="1" applyAlignment="1">
      <alignment horizontal="center" wrapText="1"/>
    </xf>
    <xf numFmtId="177" fontId="48" fillId="0" borderId="0" xfId="1" applyNumberFormat="1" applyFont="1" applyBorder="1" applyAlignment="1">
      <alignment horizontal="left" vertical="center" wrapText="1"/>
    </xf>
    <xf numFmtId="177" fontId="111" fillId="0" borderId="0" xfId="1" applyNumberFormat="1" applyFont="1" applyAlignment="1">
      <alignment wrapText="1"/>
    </xf>
    <xf numFmtId="177" fontId="48" fillId="0" borderId="0" xfId="1" applyNumberFormat="1" applyFont="1" applyFill="1" applyAlignment="1">
      <alignment wrapText="1"/>
    </xf>
    <xf numFmtId="177" fontId="112" fillId="0" borderId="0" xfId="1" applyNumberFormat="1" applyFont="1" applyAlignment="1">
      <alignment wrapText="1"/>
    </xf>
    <xf numFmtId="177" fontId="111" fillId="0" borderId="0" xfId="1" applyNumberFormat="1" applyFont="1" applyFill="1" applyAlignment="1">
      <alignment wrapText="1"/>
    </xf>
    <xf numFmtId="177" fontId="113" fillId="0" borderId="0" xfId="1" applyNumberFormat="1" applyFont="1" applyAlignment="1">
      <alignment wrapText="1"/>
    </xf>
    <xf numFmtId="177" fontId="111" fillId="0" borderId="0" xfId="1" applyNumberFormat="1" applyFont="1" applyAlignment="1">
      <alignment horizontal="center" vertical="center" wrapText="1"/>
    </xf>
    <xf numFmtId="0" fontId="111" fillId="0" borderId="0" xfId="8" applyFont="1" applyAlignment="1">
      <alignment wrapText="1"/>
    </xf>
    <xf numFmtId="177" fontId="111" fillId="0" borderId="12" xfId="1" applyNumberFormat="1" applyFont="1" applyFill="1" applyBorder="1" applyAlignment="1">
      <alignment horizontal="center" wrapText="1"/>
    </xf>
    <xf numFmtId="177" fontId="48" fillId="0" borderId="12" xfId="1" applyNumberFormat="1" applyFont="1" applyFill="1" applyBorder="1" applyAlignment="1">
      <alignment horizontal="center" wrapText="1"/>
    </xf>
    <xf numFmtId="177" fontId="48" fillId="0" borderId="15" xfId="1" applyNumberFormat="1" applyFont="1" applyFill="1" applyBorder="1" applyAlignment="1">
      <alignment horizontal="center" wrapText="1"/>
    </xf>
    <xf numFmtId="177" fontId="48" fillId="0" borderId="0" xfId="1" applyNumberFormat="1" applyFont="1" applyFill="1" applyBorder="1" applyAlignment="1">
      <alignment horizontal="left" vertical="center" wrapText="1"/>
    </xf>
    <xf numFmtId="0" fontId="51" fillId="0" borderId="0" xfId="1" applyNumberFormat="1" applyFont="1" applyAlignment="1">
      <alignment vertical="center" wrapText="1"/>
    </xf>
    <xf numFmtId="43" fontId="111" fillId="2" borderId="0" xfId="1" applyFont="1" applyFill="1" applyAlignment="1">
      <alignment wrapText="1"/>
    </xf>
    <xf numFmtId="177" fontId="51" fillId="0" borderId="53" xfId="1" applyNumberFormat="1" applyFont="1" applyFill="1" applyBorder="1" applyAlignment="1">
      <alignment horizontal="center" vertical="center" wrapText="1"/>
    </xf>
    <xf numFmtId="177" fontId="51" fillId="5" borderId="53" xfId="1" applyNumberFormat="1" applyFont="1" applyFill="1" applyBorder="1" applyAlignment="1">
      <alignment horizontal="center" vertical="center" wrapText="1"/>
    </xf>
    <xf numFmtId="177" fontId="113" fillId="0" borderId="0" xfId="1" applyNumberFormat="1" applyFont="1" applyAlignment="1">
      <alignment horizontal="center" vertical="center" wrapText="1"/>
    </xf>
    <xf numFmtId="9" fontId="111" fillId="0" borderId="0" xfId="60" applyFont="1" applyAlignment="1">
      <alignment wrapText="1"/>
    </xf>
    <xf numFmtId="43" fontId="111" fillId="0" borderId="54" xfId="1" applyFont="1" applyFill="1" applyBorder="1" applyAlignment="1">
      <alignment horizontal="center" vertical="center" wrapText="1"/>
    </xf>
    <xf numFmtId="177" fontId="111" fillId="0" borderId="54" xfId="57" applyNumberFormat="1" applyFont="1" applyFill="1" applyBorder="1" applyAlignment="1">
      <alignment horizontal="center" vertical="center" wrapText="1"/>
    </xf>
    <xf numFmtId="49" fontId="48" fillId="0" borderId="54" xfId="8" applyNumberFormat="1" applyFont="1" applyBorder="1" applyAlignment="1">
      <alignment horizontal="center" vertical="center" wrapText="1"/>
    </xf>
    <xf numFmtId="177" fontId="111" fillId="0" borderId="54" xfId="1" applyNumberFormat="1" applyFont="1" applyFill="1" applyBorder="1" applyAlignment="1">
      <alignment horizontal="center" vertical="center" wrapText="1"/>
    </xf>
    <xf numFmtId="177" fontId="111" fillId="0" borderId="54" xfId="1" applyNumberFormat="1" applyFont="1" applyBorder="1" applyAlignment="1">
      <alignment horizontal="center" vertical="center" wrapText="1"/>
    </xf>
    <xf numFmtId="43" fontId="111" fillId="0" borderId="12" xfId="1" applyFont="1" applyFill="1" applyBorder="1" applyAlignment="1">
      <alignment horizontal="center" vertical="center" wrapText="1"/>
    </xf>
    <xf numFmtId="49" fontId="48" fillId="0" borderId="12" xfId="8" applyNumberFormat="1" applyFont="1" applyBorder="1" applyAlignment="1">
      <alignment horizontal="center" vertical="center" wrapText="1"/>
    </xf>
    <xf numFmtId="177" fontId="111" fillId="0" borderId="12" xfId="1" applyNumberFormat="1" applyFont="1" applyFill="1" applyBorder="1" applyAlignment="1">
      <alignment horizontal="center" vertical="center" wrapText="1"/>
    </xf>
    <xf numFmtId="177" fontId="111" fillId="0" borderId="12" xfId="1" applyNumberFormat="1" applyFont="1" applyBorder="1" applyAlignment="1">
      <alignment horizontal="center" vertical="center" wrapText="1"/>
    </xf>
    <xf numFmtId="177" fontId="111" fillId="0" borderId="12" xfId="57" applyNumberFormat="1" applyFont="1" applyFill="1" applyBorder="1" applyAlignment="1">
      <alignment horizontal="center" vertical="center" wrapText="1"/>
    </xf>
    <xf numFmtId="43" fontId="111" fillId="0" borderId="15" xfId="1" applyFont="1" applyFill="1" applyBorder="1" applyAlignment="1">
      <alignment horizontal="center" vertical="center" wrapText="1"/>
    </xf>
    <xf numFmtId="49" fontId="48" fillId="0" borderId="15" xfId="8" applyNumberFormat="1" applyFont="1" applyBorder="1" applyAlignment="1">
      <alignment horizontal="center" vertical="center" wrapText="1"/>
    </xf>
    <xf numFmtId="177" fontId="111" fillId="0" borderId="15" xfId="1" applyNumberFormat="1" applyFont="1" applyFill="1" applyBorder="1" applyAlignment="1">
      <alignment horizontal="center" vertical="center" wrapText="1"/>
    </xf>
    <xf numFmtId="0" fontId="48" fillId="0" borderId="11" xfId="1" applyNumberFormat="1" applyFont="1" applyBorder="1" applyAlignment="1">
      <alignment horizontal="left" wrapText="1"/>
    </xf>
    <xf numFmtId="49" fontId="48" fillId="0" borderId="12" xfId="6" applyNumberFormat="1" applyFont="1" applyBorder="1" applyAlignment="1">
      <alignment horizontal="center" vertical="center" wrapText="1"/>
    </xf>
    <xf numFmtId="43" fontId="111" fillId="0" borderId="0" xfId="1" applyFont="1" applyAlignment="1">
      <alignment wrapText="1"/>
    </xf>
    <xf numFmtId="177" fontId="116" fillId="0" borderId="12" xfId="1" applyNumberFormat="1" applyFont="1" applyBorder="1" applyAlignment="1">
      <alignment wrapText="1"/>
    </xf>
    <xf numFmtId="0" fontId="111" fillId="0" borderId="0" xfId="8" applyFont="1" applyAlignment="1">
      <alignment horizontal="right" vertical="center" wrapText="1"/>
    </xf>
    <xf numFmtId="9" fontId="111" fillId="0" borderId="0" xfId="30" applyFont="1" applyAlignment="1">
      <alignment wrapText="1"/>
    </xf>
    <xf numFmtId="0" fontId="48" fillId="0" borderId="12" xfId="1" applyNumberFormat="1" applyFont="1" applyBorder="1" applyAlignment="1">
      <alignment horizontal="left" wrapText="1"/>
    </xf>
    <xf numFmtId="177" fontId="111" fillId="0" borderId="11" xfId="1" applyNumberFormat="1" applyFont="1" applyBorder="1" applyAlignment="1">
      <alignment wrapText="1"/>
    </xf>
    <xf numFmtId="177" fontId="48" fillId="0" borderId="16" xfId="1" applyNumberFormat="1" applyFont="1" applyBorder="1" applyAlignment="1">
      <alignment wrapText="1"/>
    </xf>
    <xf numFmtId="43" fontId="48" fillId="0" borderId="13" xfId="1" applyFont="1" applyFill="1" applyBorder="1" applyAlignment="1">
      <alignment horizontal="center" vertical="center" wrapText="1"/>
    </xf>
    <xf numFmtId="0" fontId="48" fillId="0" borderId="13" xfId="1" applyNumberFormat="1" applyFont="1" applyBorder="1" applyAlignment="1">
      <alignment horizontal="left" wrapText="1"/>
    </xf>
    <xf numFmtId="49" fontId="48" fillId="0" borderId="13" xfId="6" applyNumberFormat="1" applyFont="1" applyBorder="1" applyAlignment="1">
      <alignment horizontal="center" vertical="center" wrapText="1"/>
    </xf>
    <xf numFmtId="177" fontId="48" fillId="0" borderId="13" xfId="1" applyNumberFormat="1" applyFont="1" applyFill="1" applyBorder="1" applyAlignment="1">
      <alignment horizontal="center" vertical="center" wrapText="1"/>
    </xf>
    <xf numFmtId="49" fontId="48" fillId="0" borderId="54" xfId="6" applyNumberFormat="1" applyFont="1" applyBorder="1" applyAlignment="1">
      <alignment horizontal="center" vertical="center" wrapText="1"/>
    </xf>
    <xf numFmtId="177" fontId="48" fillId="0" borderId="0" xfId="1" applyNumberFormat="1" applyFont="1" applyAlignment="1">
      <alignment wrapText="1"/>
    </xf>
    <xf numFmtId="0" fontId="48" fillId="0" borderId="0" xfId="8" applyFont="1" applyAlignment="1">
      <alignment wrapText="1"/>
    </xf>
    <xf numFmtId="177" fontId="111" fillId="0" borderId="9" xfId="1" applyNumberFormat="1" applyFont="1" applyBorder="1" applyAlignment="1">
      <alignment horizontal="center" vertical="center" wrapText="1"/>
    </xf>
    <xf numFmtId="177" fontId="111" fillId="0" borderId="14" xfId="1" applyNumberFormat="1" applyFont="1" applyBorder="1" applyAlignment="1">
      <alignment horizontal="center" vertical="center" wrapText="1"/>
    </xf>
    <xf numFmtId="43" fontId="48" fillId="0" borderId="12" xfId="43" applyFont="1" applyFill="1" applyBorder="1" applyAlignment="1">
      <alignment horizontal="center" vertical="center" wrapText="1"/>
    </xf>
    <xf numFmtId="43" fontId="111" fillId="0" borderId="0" xfId="43" applyFont="1" applyFill="1" applyAlignment="1">
      <alignment wrapText="1"/>
    </xf>
    <xf numFmtId="43" fontId="48" fillId="0" borderId="15" xfId="43" applyFont="1" applyFill="1" applyBorder="1" applyAlignment="1">
      <alignment horizontal="center" vertical="center" wrapText="1"/>
    </xf>
    <xf numFmtId="0" fontId="48" fillId="13" borderId="12" xfId="1" applyNumberFormat="1" applyFont="1" applyFill="1" applyBorder="1" applyAlignment="1">
      <alignment vertical="top" wrapText="1"/>
    </xf>
    <xf numFmtId="49" fontId="48" fillId="0" borderId="15" xfId="6" applyNumberFormat="1" applyFont="1" applyBorder="1" applyAlignment="1">
      <alignment horizontal="center" vertical="center" wrapText="1"/>
    </xf>
    <xf numFmtId="0" fontId="48" fillId="0" borderId="54" xfId="8" applyFont="1" applyBorder="1" applyAlignment="1">
      <alignment horizontal="center" vertical="center" wrapText="1"/>
    </xf>
    <xf numFmtId="9" fontId="111" fillId="0" borderId="0" xfId="60" applyFont="1" applyBorder="1" applyAlignment="1">
      <alignment wrapText="1"/>
    </xf>
    <xf numFmtId="177" fontId="111" fillId="0" borderId="0" xfId="8" applyNumberFormat="1" applyFont="1" applyAlignment="1">
      <alignment wrapText="1"/>
    </xf>
    <xf numFmtId="43" fontId="111" fillId="0" borderId="9" xfId="1" applyFont="1" applyFill="1" applyBorder="1" applyAlignment="1">
      <alignment horizontal="center" vertical="center" wrapText="1"/>
    </xf>
    <xf numFmtId="0" fontId="48" fillId="0" borderId="9" xfId="8" applyFont="1" applyBorder="1" applyAlignment="1">
      <alignment horizontal="center" vertical="center" wrapText="1"/>
    </xf>
    <xf numFmtId="0" fontId="48" fillId="0" borderId="12" xfId="8" applyFont="1" applyBorder="1" applyAlignment="1">
      <alignment horizontal="center" vertical="center" wrapText="1"/>
    </xf>
    <xf numFmtId="177" fontId="111" fillId="0" borderId="12" xfId="1" applyNumberFormat="1" applyFont="1" applyBorder="1" applyAlignment="1">
      <alignment wrapText="1"/>
    </xf>
    <xf numFmtId="177" fontId="48" fillId="0" borderId="12" xfId="1" applyNumberFormat="1" applyFont="1" applyBorder="1" applyAlignment="1">
      <alignment wrapText="1"/>
    </xf>
    <xf numFmtId="0" fontId="111" fillId="0" borderId="54" xfId="8" applyFont="1" applyBorder="1" applyAlignment="1">
      <alignment horizontal="center" vertical="center" wrapText="1"/>
    </xf>
    <xf numFmtId="0" fontId="111" fillId="0" borderId="12" xfId="8" applyFont="1" applyBorder="1" applyAlignment="1">
      <alignment horizontal="center" vertical="center" wrapText="1"/>
    </xf>
    <xf numFmtId="177" fontId="113" fillId="0" borderId="2" xfId="1" applyNumberFormat="1" applyFont="1" applyBorder="1" applyAlignment="1">
      <alignment horizontal="center" vertical="center" wrapText="1"/>
    </xf>
    <xf numFmtId="0" fontId="48" fillId="0" borderId="15" xfId="8" applyFont="1" applyBorder="1" applyAlignment="1">
      <alignment horizontal="center" vertical="center" wrapText="1"/>
    </xf>
    <xf numFmtId="0" fontId="111" fillId="0" borderId="15" xfId="8" applyFont="1" applyBorder="1" applyAlignment="1">
      <alignment horizontal="center" vertical="center" wrapText="1"/>
    </xf>
    <xf numFmtId="177" fontId="111" fillId="0" borderId="15" xfId="1" applyNumberFormat="1" applyFont="1" applyBorder="1" applyAlignment="1">
      <alignment horizontal="center" vertical="center" wrapText="1"/>
    </xf>
    <xf numFmtId="0" fontId="48" fillId="0" borderId="54" xfId="1" applyNumberFormat="1" applyFont="1" applyBorder="1" applyAlignment="1">
      <alignment wrapText="1"/>
    </xf>
    <xf numFmtId="0" fontId="48" fillId="0" borderId="54" xfId="0" applyFont="1" applyBorder="1" applyAlignment="1">
      <alignment horizontal="center" vertical="center" wrapText="1"/>
    </xf>
    <xf numFmtId="177" fontId="118" fillId="0" borderId="54" xfId="1" applyNumberFormat="1" applyFont="1" applyBorder="1" applyAlignment="1">
      <alignment wrapText="1"/>
    </xf>
    <xf numFmtId="0" fontId="48" fillId="0" borderId="12" xfId="1" applyNumberFormat="1" applyFont="1" applyBorder="1" applyAlignment="1">
      <alignment wrapText="1"/>
    </xf>
    <xf numFmtId="0" fontId="48" fillId="0" borderId="12" xfId="0" applyFont="1" applyBorder="1" applyAlignment="1">
      <alignment horizontal="center" vertical="center" wrapText="1"/>
    </xf>
    <xf numFmtId="177" fontId="118" fillId="0" borderId="12" xfId="1" applyNumberFormat="1" applyFont="1" applyBorder="1" applyAlignment="1">
      <alignment wrapText="1"/>
    </xf>
    <xf numFmtId="43" fontId="48" fillId="0" borderId="54" xfId="1" applyFont="1" applyFill="1" applyBorder="1" applyAlignment="1">
      <alignment vertical="center" wrapText="1"/>
    </xf>
    <xf numFmtId="0" fontId="48" fillId="0" borderId="54" xfId="99" applyFont="1" applyBorder="1" applyAlignment="1">
      <alignment horizontal="center" vertical="center" wrapText="1"/>
    </xf>
    <xf numFmtId="177" fontId="48" fillId="0" borderId="54" xfId="1" applyNumberFormat="1" applyFont="1" applyBorder="1" applyAlignment="1">
      <alignment horizontal="center" vertical="center" wrapText="1"/>
    </xf>
    <xf numFmtId="177" fontId="116" fillId="0" borderId="12" xfId="1" applyNumberFormat="1" applyFont="1" applyFill="1" applyBorder="1" applyAlignment="1">
      <alignment wrapText="1"/>
    </xf>
    <xf numFmtId="0" fontId="48" fillId="0" borderId="12" xfId="99" applyFont="1" applyBorder="1" applyAlignment="1">
      <alignment horizontal="center" vertical="center" wrapText="1"/>
    </xf>
    <xf numFmtId="177" fontId="48" fillId="0" borderId="12" xfId="1" applyNumberFormat="1" applyFont="1" applyBorder="1" applyAlignment="1">
      <alignment horizontal="center" vertical="center" wrapText="1"/>
    </xf>
    <xf numFmtId="177" fontId="115" fillId="0" borderId="12" xfId="1" applyNumberFormat="1" applyFont="1" applyFill="1" applyBorder="1" applyAlignment="1">
      <alignment wrapText="1"/>
    </xf>
    <xf numFmtId="177" fontId="120" fillId="2" borderId="12" xfId="1" applyNumberFormat="1" applyFont="1" applyFill="1" applyBorder="1" applyAlignment="1">
      <alignment wrapText="1"/>
    </xf>
    <xf numFmtId="177" fontId="48" fillId="0" borderId="12" xfId="1" applyNumberFormat="1" applyFont="1" applyFill="1" applyBorder="1" applyAlignment="1">
      <alignment wrapText="1"/>
    </xf>
    <xf numFmtId="0" fontId="48" fillId="0" borderId="15" xfId="99" applyFont="1" applyBorder="1" applyAlignment="1">
      <alignment horizontal="center" vertical="center" wrapText="1"/>
    </xf>
    <xf numFmtId="177" fontId="48" fillId="0" borderId="15" xfId="1" applyNumberFormat="1" applyFont="1" applyBorder="1" applyAlignment="1">
      <alignment horizontal="center" vertical="center" wrapText="1"/>
    </xf>
    <xf numFmtId="177" fontId="48" fillId="0" borderId="15" xfId="1" applyNumberFormat="1" applyFont="1" applyFill="1" applyBorder="1" applyAlignment="1">
      <alignment wrapText="1"/>
    </xf>
    <xf numFmtId="177" fontId="111" fillId="0" borderId="59" xfId="1" applyNumberFormat="1" applyFont="1" applyBorder="1" applyAlignment="1">
      <alignment wrapText="1"/>
    </xf>
    <xf numFmtId="177" fontId="111" fillId="0" borderId="59" xfId="1" applyNumberFormat="1" applyFont="1" applyBorder="1" applyAlignment="1">
      <alignment horizontal="center" vertical="center" wrapText="1"/>
    </xf>
    <xf numFmtId="0" fontId="111" fillId="0" borderId="61" xfId="8" applyFont="1" applyBorder="1" applyAlignment="1">
      <alignment wrapText="1"/>
    </xf>
    <xf numFmtId="43" fontId="111" fillId="0" borderId="37" xfId="1" applyFont="1" applyFill="1" applyBorder="1" applyAlignment="1">
      <alignment horizontal="center" vertical="center" wrapText="1"/>
    </xf>
    <xf numFmtId="43" fontId="48" fillId="0" borderId="35" xfId="1" applyFont="1" applyFill="1" applyBorder="1" applyAlignment="1">
      <alignment horizontal="center" vertical="center" wrapText="1"/>
    </xf>
    <xf numFmtId="43" fontId="111" fillId="0" borderId="0" xfId="8" applyNumberFormat="1" applyFont="1" applyAlignment="1">
      <alignment wrapText="1"/>
    </xf>
    <xf numFmtId="0" fontId="111" fillId="0" borderId="54" xfId="1" applyNumberFormat="1" applyFont="1" applyBorder="1" applyAlignment="1">
      <alignment wrapText="1"/>
    </xf>
    <xf numFmtId="0" fontId="111" fillId="0" borderId="12" xfId="1" applyNumberFormat="1" applyFont="1" applyBorder="1" applyAlignment="1">
      <alignment wrapText="1"/>
    </xf>
    <xf numFmtId="0" fontId="111" fillId="0" borderId="15" xfId="1" applyNumberFormat="1" applyFont="1" applyBorder="1" applyAlignment="1">
      <alignment wrapText="1"/>
    </xf>
    <xf numFmtId="165" fontId="111" fillId="0" borderId="0" xfId="8" applyNumberFormat="1" applyFont="1" applyAlignment="1">
      <alignment wrapText="1"/>
    </xf>
    <xf numFmtId="2" fontId="111" fillId="0" borderId="12" xfId="1" applyNumberFormat="1" applyFont="1" applyFill="1" applyBorder="1" applyAlignment="1">
      <alignment horizontal="center" vertical="center" wrapText="1"/>
    </xf>
    <xf numFmtId="0" fontId="111" fillId="0" borderId="9" xfId="8" applyFont="1" applyBorder="1" applyAlignment="1">
      <alignment horizontal="center" vertical="center" wrapText="1"/>
    </xf>
    <xf numFmtId="177" fontId="111" fillId="0" borderId="9" xfId="1" applyNumberFormat="1" applyFont="1" applyFill="1" applyBorder="1" applyAlignment="1">
      <alignment horizontal="center" vertical="center" wrapText="1"/>
    </xf>
    <xf numFmtId="43" fontId="48" fillId="0" borderId="53" xfId="1" applyFont="1" applyFill="1" applyBorder="1" applyAlignment="1">
      <alignment horizontal="center" vertical="center" wrapText="1"/>
    </xf>
    <xf numFmtId="49" fontId="48" fillId="0" borderId="53" xfId="6" applyNumberFormat="1" applyFont="1" applyBorder="1" applyAlignment="1">
      <alignment horizontal="center" vertical="center" wrapText="1"/>
    </xf>
    <xf numFmtId="177" fontId="48" fillId="0" borderId="53" xfId="1" applyNumberFormat="1" applyFont="1" applyFill="1" applyBorder="1" applyAlignment="1">
      <alignment horizontal="center" vertical="center" wrapText="1"/>
    </xf>
    <xf numFmtId="177" fontId="48" fillId="0" borderId="54" xfId="1" applyNumberFormat="1" applyFont="1" applyBorder="1" applyAlignment="1">
      <alignment wrapText="1"/>
    </xf>
    <xf numFmtId="0" fontId="48" fillId="0" borderId="54" xfId="1" applyNumberFormat="1" applyFont="1" applyFill="1" applyBorder="1" applyAlignment="1">
      <alignment horizontal="left" vertical="center" wrapText="1"/>
    </xf>
    <xf numFmtId="0" fontId="48" fillId="0" borderId="9" xfId="1" applyNumberFormat="1" applyFont="1" applyFill="1" applyBorder="1" applyAlignment="1">
      <alignment horizontal="left" vertical="center" wrapText="1"/>
    </xf>
    <xf numFmtId="49" fontId="48" fillId="0" borderId="9" xfId="8" applyNumberFormat="1" applyFont="1" applyBorder="1" applyAlignment="1">
      <alignment horizontal="center" vertical="center" wrapText="1"/>
    </xf>
    <xf numFmtId="177" fontId="48" fillId="0" borderId="9" xfId="1" applyNumberFormat="1" applyFont="1" applyBorder="1" applyAlignment="1">
      <alignment wrapText="1"/>
    </xf>
    <xf numFmtId="43" fontId="111" fillId="0" borderId="12" xfId="43" applyFont="1" applyFill="1" applyBorder="1" applyAlignment="1">
      <alignment horizontal="center" vertical="center" wrapText="1"/>
    </xf>
    <xf numFmtId="177" fontId="113" fillId="0" borderId="0" xfId="1" applyNumberFormat="1" applyFont="1" applyFill="1" applyAlignment="1">
      <alignment horizontal="center" vertical="center" wrapText="1"/>
    </xf>
    <xf numFmtId="43" fontId="111" fillId="0" borderId="0" xfId="43" applyFont="1" applyAlignment="1">
      <alignment wrapText="1"/>
    </xf>
    <xf numFmtId="0" fontId="48" fillId="0" borderId="15" xfId="1" applyNumberFormat="1" applyFont="1" applyBorder="1" applyAlignment="1">
      <alignment horizontal="left" vertical="center" wrapText="1"/>
    </xf>
    <xf numFmtId="43" fontId="111" fillId="0" borderId="15" xfId="43" applyFont="1" applyFill="1" applyBorder="1" applyAlignment="1">
      <alignment horizontal="center" vertical="center" wrapText="1"/>
    </xf>
    <xf numFmtId="177" fontId="111" fillId="0" borderId="49" xfId="1" applyNumberFormat="1" applyFont="1" applyBorder="1" applyAlignment="1">
      <alignment horizontal="center" vertical="center" wrapText="1"/>
    </xf>
    <xf numFmtId="0" fontId="111" fillId="0" borderId="35" xfId="8" applyFont="1" applyBorder="1" applyAlignment="1">
      <alignment horizontal="center" vertical="center" wrapText="1"/>
    </xf>
    <xf numFmtId="177" fontId="111" fillId="0" borderId="35" xfId="1" applyNumberFormat="1" applyFont="1" applyFill="1" applyBorder="1" applyAlignment="1">
      <alignment horizontal="center" vertical="center" wrapText="1"/>
    </xf>
    <xf numFmtId="177" fontId="113" fillId="0" borderId="35" xfId="1" applyNumberFormat="1" applyFont="1" applyBorder="1" applyAlignment="1">
      <alignment horizontal="center" vertical="center" wrapText="1"/>
    </xf>
    <xf numFmtId="43" fontId="113" fillId="0" borderId="0" xfId="1" applyFont="1" applyAlignment="1">
      <alignment wrapText="1"/>
    </xf>
    <xf numFmtId="0" fontId="113" fillId="0" borderId="59" xfId="1" applyNumberFormat="1" applyFont="1" applyBorder="1" applyAlignment="1">
      <alignment wrapText="1"/>
    </xf>
    <xf numFmtId="0" fontId="111" fillId="0" borderId="59" xfId="8" applyFont="1" applyBorder="1" applyAlignment="1">
      <alignment horizontal="center" vertical="center" wrapText="1"/>
    </xf>
    <xf numFmtId="177" fontId="48" fillId="0" borderId="59" xfId="1" applyNumberFormat="1" applyFont="1" applyBorder="1" applyAlignment="1">
      <alignment horizontal="center" vertical="center" wrapText="1"/>
    </xf>
    <xf numFmtId="177" fontId="48" fillId="0" borderId="59" xfId="1" applyNumberFormat="1" applyFont="1" applyBorder="1" applyAlignment="1">
      <alignment wrapText="1"/>
    </xf>
    <xf numFmtId="177" fontId="112" fillId="0" borderId="59" xfId="1" applyNumberFormat="1" applyFont="1" applyFill="1" applyBorder="1" applyAlignment="1">
      <alignment wrapText="1"/>
    </xf>
    <xf numFmtId="177" fontId="121" fillId="3" borderId="59" xfId="1" applyNumberFormat="1" applyFont="1" applyFill="1" applyBorder="1" applyAlignment="1">
      <alignment horizontal="right" wrapText="1"/>
    </xf>
    <xf numFmtId="177" fontId="121" fillId="3" borderId="59" xfId="1" applyNumberFormat="1" applyFont="1" applyFill="1" applyBorder="1" applyAlignment="1">
      <alignment wrapText="1"/>
    </xf>
    <xf numFmtId="177" fontId="113" fillId="0" borderId="59" xfId="1" applyNumberFormat="1" applyFont="1" applyBorder="1" applyAlignment="1">
      <alignment wrapText="1"/>
    </xf>
    <xf numFmtId="177" fontId="121" fillId="3" borderId="59" xfId="1" applyNumberFormat="1" applyFont="1" applyFill="1" applyBorder="1" applyAlignment="1">
      <alignment horizontal="center" vertical="center" wrapText="1"/>
    </xf>
    <xf numFmtId="177" fontId="113" fillId="0" borderId="61" xfId="1" applyNumberFormat="1" applyFont="1" applyBorder="1" applyAlignment="1">
      <alignment horizontal="center" vertical="center" wrapText="1"/>
    </xf>
    <xf numFmtId="0" fontId="113" fillId="0" borderId="0" xfId="1" applyNumberFormat="1" applyFont="1" applyBorder="1" applyAlignment="1">
      <alignment wrapText="1"/>
    </xf>
    <xf numFmtId="177" fontId="111" fillId="0" borderId="0" xfId="1" applyNumberFormat="1" applyFont="1" applyBorder="1" applyAlignment="1">
      <alignment wrapText="1"/>
    </xf>
    <xf numFmtId="177" fontId="48" fillId="0" borderId="0" xfId="1" applyNumberFormat="1" applyFont="1" applyBorder="1" applyAlignment="1">
      <alignment wrapText="1"/>
    </xf>
    <xf numFmtId="177" fontId="112" fillId="0" borderId="0" xfId="1" applyNumberFormat="1" applyFont="1" applyFill="1" applyBorder="1" applyAlignment="1">
      <alignment wrapText="1"/>
    </xf>
    <xf numFmtId="177" fontId="111" fillId="0" borderId="0" xfId="1" applyNumberFormat="1" applyFont="1" applyFill="1" applyBorder="1" applyAlignment="1">
      <alignment wrapText="1"/>
    </xf>
    <xf numFmtId="177" fontId="121" fillId="0" borderId="0" xfId="1" applyNumberFormat="1" applyFont="1" applyFill="1" applyBorder="1" applyAlignment="1">
      <alignment horizontal="right" wrapText="1"/>
    </xf>
    <xf numFmtId="177" fontId="121" fillId="0" borderId="0" xfId="1" applyNumberFormat="1" applyFont="1" applyFill="1" applyBorder="1" applyAlignment="1">
      <alignment wrapText="1"/>
    </xf>
    <xf numFmtId="177" fontId="113" fillId="0" borderId="0" xfId="1" applyNumberFormat="1" applyFont="1" applyFill="1" applyBorder="1" applyAlignment="1">
      <alignment wrapText="1"/>
    </xf>
    <xf numFmtId="177" fontId="121" fillId="0" borderId="0" xfId="1" applyNumberFormat="1" applyFont="1" applyFill="1" applyBorder="1" applyAlignment="1">
      <alignment horizontal="center" vertical="center" wrapText="1"/>
    </xf>
    <xf numFmtId="177" fontId="113" fillId="0" borderId="86" xfId="1" applyNumberFormat="1" applyFont="1" applyFill="1" applyBorder="1" applyAlignment="1">
      <alignment horizontal="center" vertical="center" wrapText="1"/>
    </xf>
    <xf numFmtId="0" fontId="113" fillId="0" borderId="59" xfId="1" applyNumberFormat="1" applyFont="1" applyFill="1" applyBorder="1" applyAlignment="1">
      <alignment wrapText="1"/>
    </xf>
    <xf numFmtId="177" fontId="111" fillId="0" borderId="59" xfId="1" applyNumberFormat="1" applyFont="1" applyFill="1" applyBorder="1" applyAlignment="1">
      <alignment wrapText="1"/>
    </xf>
    <xf numFmtId="177" fontId="48" fillId="0" borderId="59" xfId="1" applyNumberFormat="1" applyFont="1" applyFill="1" applyBorder="1" applyAlignment="1">
      <alignment wrapText="1"/>
    </xf>
    <xf numFmtId="177" fontId="121" fillId="0" borderId="59" xfId="1" applyNumberFormat="1" applyFont="1" applyFill="1" applyBorder="1" applyAlignment="1">
      <alignment horizontal="right" wrapText="1"/>
    </xf>
    <xf numFmtId="177" fontId="121" fillId="0" borderId="59" xfId="1" applyNumberFormat="1" applyFont="1" applyFill="1" applyBorder="1" applyAlignment="1">
      <alignment wrapText="1"/>
    </xf>
    <xf numFmtId="177" fontId="113" fillId="0" borderId="59" xfId="1" applyNumberFormat="1" applyFont="1" applyFill="1" applyBorder="1" applyAlignment="1">
      <alignment wrapText="1"/>
    </xf>
    <xf numFmtId="177" fontId="121" fillId="0" borderId="59" xfId="1" applyNumberFormat="1" applyFont="1" applyFill="1" applyBorder="1" applyAlignment="1">
      <alignment horizontal="center" vertical="center" wrapText="1"/>
    </xf>
    <xf numFmtId="177" fontId="111" fillId="0" borderId="54" xfId="1" applyNumberFormat="1" applyFont="1" applyBorder="1" applyAlignment="1">
      <alignment wrapText="1"/>
    </xf>
    <xf numFmtId="177" fontId="113" fillId="0" borderId="0" xfId="1" applyNumberFormat="1" applyFont="1" applyBorder="1" applyAlignment="1">
      <alignment horizontal="center" vertical="center" wrapText="1"/>
    </xf>
    <xf numFmtId="0" fontId="48" fillId="0" borderId="12" xfId="1" applyNumberFormat="1" applyFont="1" applyFill="1" applyBorder="1" applyAlignment="1">
      <alignment horizontal="left" vertical="center" wrapText="1"/>
    </xf>
    <xf numFmtId="43" fontId="48" fillId="0" borderId="12" xfId="1" applyFont="1" applyBorder="1" applyAlignment="1">
      <alignment horizontal="center" vertical="center" wrapText="1"/>
    </xf>
    <xf numFmtId="43" fontId="48" fillId="0" borderId="15" xfId="1" applyFont="1" applyBorder="1" applyAlignment="1">
      <alignment horizontal="center" vertical="center" wrapText="1"/>
    </xf>
    <xf numFmtId="177" fontId="111" fillId="0" borderId="15" xfId="1" applyNumberFormat="1" applyFont="1" applyBorder="1" applyAlignment="1">
      <alignment wrapText="1"/>
    </xf>
    <xf numFmtId="182" fontId="111" fillId="0" borderId="0" xfId="30" applyNumberFormat="1" applyFont="1" applyAlignment="1">
      <alignment wrapText="1"/>
    </xf>
    <xf numFmtId="0" fontId="111" fillId="0" borderId="59" xfId="8" applyFont="1" applyBorder="1" applyAlignment="1">
      <alignment wrapText="1"/>
    </xf>
    <xf numFmtId="177" fontId="51" fillId="0" borderId="59" xfId="1" applyNumberFormat="1" applyFont="1" applyBorder="1" applyAlignment="1">
      <alignment horizontal="center" vertical="center" wrapText="1"/>
    </xf>
    <xf numFmtId="180" fontId="111" fillId="0" borderId="0" xfId="1" applyNumberFormat="1" applyFont="1" applyAlignment="1">
      <alignment wrapText="1"/>
    </xf>
    <xf numFmtId="177" fontId="48" fillId="0" borderId="0" xfId="1" applyNumberFormat="1" applyFont="1" applyFill="1" applyBorder="1" applyAlignment="1">
      <alignment wrapText="1"/>
    </xf>
    <xf numFmtId="43" fontId="121" fillId="0" borderId="0" xfId="1" applyFont="1" applyFill="1" applyBorder="1" applyAlignment="1">
      <alignment horizontal="center" vertical="center" wrapText="1"/>
    </xf>
    <xf numFmtId="177" fontId="113" fillId="0" borderId="0" xfId="1" applyNumberFormat="1" applyFont="1" applyFill="1" applyBorder="1" applyAlignment="1">
      <alignment horizontal="center" vertical="center" wrapText="1"/>
    </xf>
    <xf numFmtId="43" fontId="48" fillId="0" borderId="0" xfId="1" applyFont="1" applyFill="1" applyBorder="1" applyAlignment="1">
      <alignment horizontal="center" vertical="center" wrapText="1"/>
    </xf>
    <xf numFmtId="177" fontId="111" fillId="0" borderId="0" xfId="1" applyNumberFormat="1" applyFont="1" applyFill="1" applyBorder="1" applyAlignment="1">
      <alignment horizontal="center" vertical="center" wrapText="1"/>
    </xf>
    <xf numFmtId="43" fontId="111" fillId="0" borderId="0" xfId="1" applyFont="1" applyFill="1" applyBorder="1" applyAlignment="1">
      <alignment horizontal="center" vertical="center" wrapText="1"/>
    </xf>
    <xf numFmtId="0" fontId="111" fillId="0" borderId="0" xfId="1" applyNumberFormat="1" applyFont="1" applyBorder="1" applyAlignment="1">
      <alignment wrapText="1"/>
    </xf>
    <xf numFmtId="177" fontId="116" fillId="0" borderId="54" xfId="1" applyNumberFormat="1" applyFont="1" applyBorder="1" applyAlignment="1">
      <alignment wrapText="1"/>
    </xf>
    <xf numFmtId="177" fontId="116" fillId="0" borderId="15" xfId="1" applyNumberFormat="1" applyFont="1" applyBorder="1" applyAlignment="1">
      <alignment wrapText="1"/>
    </xf>
    <xf numFmtId="43" fontId="51" fillId="0" borderId="0" xfId="1" applyFont="1" applyBorder="1" applyAlignment="1">
      <alignment vertical="center"/>
    </xf>
    <xf numFmtId="43" fontId="51" fillId="0" borderId="53" xfId="1" applyFont="1" applyFill="1" applyBorder="1" applyAlignment="1">
      <alignment horizontal="center" vertical="center"/>
    </xf>
    <xf numFmtId="43" fontId="51" fillId="0" borderId="61" xfId="1" applyFont="1" applyFill="1" applyBorder="1" applyAlignment="1">
      <alignment horizontal="center" vertical="center"/>
    </xf>
    <xf numFmtId="43" fontId="111" fillId="0" borderId="0" xfId="1" applyFont="1" applyAlignment="1">
      <alignment horizontal="center" vertical="center"/>
    </xf>
    <xf numFmtId="43" fontId="48" fillId="0" borderId="9" xfId="43" applyFont="1" applyFill="1" applyBorder="1" applyAlignment="1">
      <alignment horizontal="center"/>
    </xf>
    <xf numFmtId="43" fontId="48" fillId="0" borderId="9" xfId="43" applyFont="1" applyFill="1" applyBorder="1" applyAlignment="1">
      <alignment horizontal="center" vertical="center"/>
    </xf>
    <xf numFmtId="43" fontId="111" fillId="0" borderId="12" xfId="1" applyFont="1" applyBorder="1" applyAlignment="1">
      <alignment horizontal="center"/>
    </xf>
    <xf numFmtId="43" fontId="111" fillId="0" borderId="12" xfId="1" applyFont="1" applyBorder="1" applyAlignment="1">
      <alignment horizontal="center" vertical="center"/>
    </xf>
    <xf numFmtId="43" fontId="111" fillId="0" borderId="15" xfId="1" applyFont="1" applyBorder="1" applyAlignment="1">
      <alignment horizontal="center"/>
    </xf>
    <xf numFmtId="43" fontId="111" fillId="0" borderId="15" xfId="1" applyFont="1" applyBorder="1" applyAlignment="1">
      <alignment horizontal="center" vertical="center"/>
    </xf>
    <xf numFmtId="43" fontId="48" fillId="0" borderId="54" xfId="43" applyFont="1" applyFill="1" applyBorder="1" applyAlignment="1">
      <alignment horizontal="center"/>
    </xf>
    <xf numFmtId="43" fontId="48" fillId="0" borderId="54" xfId="43" applyFont="1" applyFill="1" applyBorder="1" applyAlignment="1">
      <alignment horizontal="left" vertical="center"/>
    </xf>
    <xf numFmtId="43" fontId="48" fillId="0" borderId="12" xfId="43" applyFont="1" applyFill="1" applyBorder="1" applyAlignment="1">
      <alignment horizontal="center"/>
    </xf>
    <xf numFmtId="43" fontId="48" fillId="0" borderId="15" xfId="43" applyFont="1" applyFill="1" applyBorder="1" applyAlignment="1">
      <alignment horizontal="center"/>
    </xf>
    <xf numFmtId="43" fontId="48" fillId="0" borderId="54" xfId="43" applyFont="1" applyFill="1" applyBorder="1" applyAlignment="1">
      <alignment horizontal="center" vertical="center"/>
    </xf>
    <xf numFmtId="43" fontId="48" fillId="0" borderId="13" xfId="43" applyFont="1" applyFill="1" applyBorder="1" applyAlignment="1">
      <alignment horizontal="center"/>
    </xf>
    <xf numFmtId="43" fontId="48" fillId="0" borderId="13" xfId="43" applyFont="1" applyFill="1" applyBorder="1" applyAlignment="1">
      <alignment horizontal="center" vertical="center"/>
    </xf>
    <xf numFmtId="43" fontId="111" fillId="0" borderId="59" xfId="1" applyFont="1" applyBorder="1" applyAlignment="1">
      <alignment horizontal="center" vertical="center"/>
    </xf>
    <xf numFmtId="43" fontId="111" fillId="0" borderId="59" xfId="1" applyFont="1" applyBorder="1" applyAlignment="1">
      <alignment horizontal="center"/>
    </xf>
    <xf numFmtId="43" fontId="48" fillId="0" borderId="12" xfId="1" applyFont="1" applyFill="1" applyBorder="1" applyAlignment="1">
      <alignment horizontal="center"/>
    </xf>
    <xf numFmtId="43" fontId="48" fillId="0" borderId="9" xfId="1" applyFont="1" applyFill="1" applyBorder="1" applyAlignment="1">
      <alignment horizontal="center"/>
    </xf>
    <xf numFmtId="43" fontId="48" fillId="0" borderId="3" xfId="1" applyFont="1" applyFill="1" applyBorder="1" applyAlignment="1">
      <alignment horizontal="center"/>
    </xf>
    <xf numFmtId="43" fontId="48" fillId="0" borderId="3" xfId="1" applyFont="1" applyFill="1" applyBorder="1" applyAlignment="1">
      <alignment horizontal="center" vertical="center"/>
    </xf>
    <xf numFmtId="43" fontId="48" fillId="0" borderId="54" xfId="1" applyFont="1" applyFill="1" applyBorder="1" applyAlignment="1">
      <alignment horizontal="center"/>
    </xf>
    <xf numFmtId="43" fontId="48" fillId="0" borderId="54" xfId="1" applyFont="1" applyFill="1" applyBorder="1" applyAlignment="1">
      <alignment horizontal="left" vertical="center"/>
    </xf>
    <xf numFmtId="43" fontId="48" fillId="0" borderId="13" xfId="1" applyFont="1" applyFill="1" applyBorder="1" applyAlignment="1">
      <alignment horizontal="center"/>
    </xf>
    <xf numFmtId="43" fontId="48" fillId="0" borderId="15" xfId="1" applyFont="1" applyFill="1" applyBorder="1" applyAlignment="1">
      <alignment horizontal="center"/>
    </xf>
    <xf numFmtId="43" fontId="111" fillId="0" borderId="13" xfId="1" applyFont="1" applyBorder="1" applyAlignment="1">
      <alignment horizontal="center"/>
    </xf>
    <xf numFmtId="43" fontId="111" fillId="0" borderId="13" xfId="1" applyFont="1" applyBorder="1" applyAlignment="1">
      <alignment horizontal="center" vertical="center"/>
    </xf>
    <xf numFmtId="43" fontId="113" fillId="0" borderId="55" xfId="1" applyFont="1" applyBorder="1" applyAlignment="1">
      <alignment horizontal="left" vertical="center"/>
    </xf>
    <xf numFmtId="43" fontId="113" fillId="0" borderId="59" xfId="1" applyFont="1" applyBorder="1" applyAlignment="1">
      <alignment horizontal="left" vertical="center"/>
    </xf>
    <xf numFmtId="43" fontId="113" fillId="0" borderId="59" xfId="1" applyFont="1" applyBorder="1" applyAlignment="1">
      <alignment horizontal="center" vertical="center"/>
    </xf>
    <xf numFmtId="43" fontId="48" fillId="0" borderId="59" xfId="1" applyFont="1" applyBorder="1" applyAlignment="1">
      <alignment horizontal="center" vertical="center"/>
    </xf>
    <xf numFmtId="43" fontId="111" fillId="0" borderId="54" xfId="1" applyFont="1" applyBorder="1" applyAlignment="1">
      <alignment horizontal="center"/>
    </xf>
    <xf numFmtId="43" fontId="111" fillId="0" borderId="54" xfId="1" applyFont="1" applyBorder="1" applyAlignment="1">
      <alignment horizontal="left" vertical="center"/>
    </xf>
    <xf numFmtId="43" fontId="111" fillId="0" borderId="54" xfId="1" applyFont="1" applyBorder="1" applyAlignment="1">
      <alignment horizontal="center" vertical="center"/>
    </xf>
    <xf numFmtId="43" fontId="111" fillId="0" borderId="59" xfId="57" applyFont="1" applyBorder="1" applyAlignment="1">
      <alignment horizontal="center" vertical="center"/>
    </xf>
    <xf numFmtId="43" fontId="48" fillId="0" borderId="59" xfId="57" applyFont="1" applyBorder="1" applyAlignment="1">
      <alignment horizontal="center" vertical="center"/>
    </xf>
    <xf numFmtId="43" fontId="111" fillId="0" borderId="54" xfId="57" applyFont="1" applyBorder="1" applyAlignment="1">
      <alignment horizontal="center"/>
    </xf>
    <xf numFmtId="43" fontId="111" fillId="0" borderId="54" xfId="57" applyFont="1" applyBorder="1" applyAlignment="1">
      <alignment horizontal="left" vertical="center"/>
    </xf>
    <xf numFmtId="43" fontId="111" fillId="0" borderId="9" xfId="57" applyFont="1" applyBorder="1" applyAlignment="1">
      <alignment horizontal="center"/>
    </xf>
    <xf numFmtId="43" fontId="140" fillId="0" borderId="9" xfId="57" applyFont="1" applyBorder="1" applyAlignment="1">
      <alignment horizontal="left" vertical="center"/>
    </xf>
    <xf numFmtId="43" fontId="111" fillId="0" borderId="12" xfId="57" applyFont="1" applyBorder="1" applyAlignment="1">
      <alignment horizontal="center"/>
    </xf>
    <xf numFmtId="43" fontId="111" fillId="0" borderId="12" xfId="57" applyFont="1" applyBorder="1" applyAlignment="1">
      <alignment horizontal="center" vertical="center"/>
    </xf>
    <xf numFmtId="43" fontId="135" fillId="0" borderId="12" xfId="57" applyFont="1" applyBorder="1" applyAlignment="1">
      <alignment horizontal="center" vertical="center"/>
    </xf>
    <xf numFmtId="43" fontId="111" fillId="0" borderId="13" xfId="57" applyFont="1" applyBorder="1" applyAlignment="1">
      <alignment horizontal="center"/>
    </xf>
    <xf numFmtId="43" fontId="111" fillId="0" borderId="13" xfId="57" applyFont="1" applyBorder="1" applyAlignment="1">
      <alignment horizontal="center" vertical="center"/>
    </xf>
    <xf numFmtId="43" fontId="135" fillId="0" borderId="13" xfId="57" applyFont="1" applyBorder="1" applyAlignment="1">
      <alignment horizontal="center" vertical="center"/>
    </xf>
    <xf numFmtId="43" fontId="111" fillId="0" borderId="54" xfId="57" applyFont="1" applyBorder="1" applyAlignment="1">
      <alignment horizontal="center" vertical="center"/>
    </xf>
    <xf numFmtId="43" fontId="135" fillId="0" borderId="15" xfId="57" applyFont="1" applyBorder="1" applyAlignment="1">
      <alignment horizontal="center" vertical="center"/>
    </xf>
    <xf numFmtId="43" fontId="111" fillId="0" borderId="54" xfId="1" applyFont="1" applyBorder="1" applyAlignment="1">
      <alignment horizontal="left"/>
    </xf>
    <xf numFmtId="43" fontId="111" fillId="0" borderId="0" xfId="1" applyFont="1" applyBorder="1" applyAlignment="1">
      <alignment horizontal="center"/>
    </xf>
    <xf numFmtId="43" fontId="111" fillId="0" borderId="0" xfId="1" applyFont="1" applyBorder="1" applyAlignment="1">
      <alignment horizontal="center" vertical="center"/>
    </xf>
    <xf numFmtId="43" fontId="48" fillId="0" borderId="0" xfId="1" applyFont="1" applyBorder="1" applyAlignment="1">
      <alignment horizontal="center" vertical="center"/>
    </xf>
    <xf numFmtId="43" fontId="48" fillId="0" borderId="0" xfId="1" applyFont="1" applyBorder="1" applyAlignment="1">
      <alignment vertical="center"/>
    </xf>
    <xf numFmtId="43" fontId="48" fillId="0" borderId="0" xfId="1" applyFont="1" applyFill="1" applyBorder="1" applyAlignment="1">
      <alignment horizontal="center" vertical="center"/>
    </xf>
    <xf numFmtId="43" fontId="122" fillId="0" borderId="0" xfId="1" applyFont="1" applyAlignment="1">
      <alignment vertical="center"/>
    </xf>
    <xf numFmtId="43" fontId="123" fillId="0" borderId="0" xfId="1" applyFont="1" applyAlignment="1">
      <alignment vertical="center"/>
    </xf>
    <xf numFmtId="43" fontId="48" fillId="0" borderId="0" xfId="1" applyFont="1" applyAlignment="1">
      <alignment vertical="center"/>
    </xf>
    <xf numFmtId="43" fontId="124" fillId="0" borderId="0" xfId="1" applyFont="1" applyAlignment="1">
      <alignment vertical="center"/>
    </xf>
    <xf numFmtId="43" fontId="125" fillId="0" borderId="0" xfId="1" applyFont="1" applyAlignment="1">
      <alignment vertical="center"/>
    </xf>
    <xf numFmtId="43" fontId="126" fillId="0" borderId="0" xfId="1" applyFont="1" applyFill="1" applyBorder="1" applyAlignment="1">
      <alignment horizontal="right" vertical="center"/>
    </xf>
    <xf numFmtId="43" fontId="127" fillId="0" borderId="0" xfId="1" applyFont="1" applyFill="1" applyBorder="1" applyAlignment="1">
      <alignment horizontal="right" vertical="center"/>
    </xf>
    <xf numFmtId="43" fontId="128" fillId="0" borderId="0" xfId="1" applyFont="1" applyBorder="1" applyAlignment="1"/>
    <xf numFmtId="43" fontId="129" fillId="0" borderId="0" xfId="1" applyFont="1" applyBorder="1" applyAlignment="1"/>
    <xf numFmtId="43" fontId="130" fillId="0" borderId="0" xfId="1" applyFont="1" applyBorder="1" applyAlignment="1"/>
    <xf numFmtId="43" fontId="131" fillId="0" borderId="0" xfId="1" applyFont="1" applyBorder="1" applyAlignment="1"/>
    <xf numFmtId="43" fontId="132" fillId="0" borderId="38" xfId="1" applyFont="1" applyBorder="1" applyAlignment="1"/>
    <xf numFmtId="43" fontId="48" fillId="0" borderId="35" xfId="1" applyFont="1" applyFill="1" applyBorder="1" applyAlignment="1">
      <alignment horizontal="center" vertical="center"/>
    </xf>
    <xf numFmtId="43" fontId="122" fillId="0" borderId="35" xfId="1" applyFont="1" applyFill="1" applyBorder="1" applyAlignment="1">
      <alignment horizontal="right" vertical="center"/>
    </xf>
    <xf numFmtId="43" fontId="123" fillId="0" borderId="35" xfId="1" applyFont="1" applyFill="1" applyBorder="1" applyAlignment="1">
      <alignment horizontal="right" vertical="center"/>
    </xf>
    <xf numFmtId="43" fontId="51" fillId="0" borderId="35" xfId="1" applyFont="1" applyBorder="1" applyAlignment="1">
      <alignment horizontal="center"/>
    </xf>
    <xf numFmtId="43" fontId="51" fillId="0" borderId="35" xfId="1" applyFont="1" applyBorder="1" applyAlignment="1"/>
    <xf numFmtId="43" fontId="51" fillId="0" borderId="73" xfId="1" applyFont="1" applyBorder="1" applyAlignment="1"/>
    <xf numFmtId="43" fontId="51" fillId="0" borderId="55" xfId="1" applyFont="1" applyFill="1" applyBorder="1" applyAlignment="1">
      <alignment horizontal="center" vertical="center"/>
    </xf>
    <xf numFmtId="43" fontId="51" fillId="0" borderId="59" xfId="1" applyFont="1" applyFill="1" applyBorder="1" applyAlignment="1">
      <alignment horizontal="center" vertical="center"/>
    </xf>
    <xf numFmtId="43" fontId="51" fillId="4" borderId="53" xfId="1" applyFont="1" applyFill="1" applyBorder="1" applyAlignment="1">
      <alignment horizontal="center" vertical="center"/>
    </xf>
    <xf numFmtId="43" fontId="111" fillId="0" borderId="0" xfId="1" applyFont="1" applyBorder="1" applyAlignment="1"/>
    <xf numFmtId="43" fontId="111" fillId="0" borderId="0" xfId="1" applyFont="1" applyAlignment="1"/>
    <xf numFmtId="43" fontId="51" fillId="0" borderId="55" xfId="1" applyFont="1" applyFill="1" applyBorder="1" applyAlignment="1">
      <alignment horizontal="left" vertical="center"/>
    </xf>
    <xf numFmtId="43" fontId="48" fillId="0" borderId="59" xfId="1" applyFont="1" applyFill="1" applyBorder="1" applyAlignment="1">
      <alignment horizontal="center" vertical="center"/>
    </xf>
    <xf numFmtId="43" fontId="122" fillId="0" borderId="59" xfId="1" applyFont="1" applyBorder="1" applyAlignment="1"/>
    <xf numFmtId="43" fontId="123" fillId="0" borderId="59" xfId="1" applyFont="1" applyBorder="1" applyAlignment="1"/>
    <xf numFmtId="43" fontId="111" fillId="0" borderId="59" xfId="1" applyFont="1" applyBorder="1" applyAlignment="1"/>
    <xf numFmtId="43" fontId="124" fillId="0" borderId="59" xfId="1" applyFont="1" applyBorder="1" applyAlignment="1"/>
    <xf numFmtId="43" fontId="125" fillId="0" borderId="59" xfId="1" applyFont="1" applyBorder="1" applyAlignment="1"/>
    <xf numFmtId="43" fontId="122" fillId="0" borderId="54" xfId="1" applyFont="1" applyBorder="1" applyAlignment="1"/>
    <xf numFmtId="43" fontId="123" fillId="0" borderId="54" xfId="1" applyFont="1" applyBorder="1" applyAlignment="1"/>
    <xf numFmtId="43" fontId="51" fillId="16" borderId="54" xfId="43" applyFont="1" applyFill="1" applyBorder="1" applyAlignment="1">
      <alignment horizontal="center" vertical="center"/>
    </xf>
    <xf numFmtId="43" fontId="120" fillId="0" borderId="54" xfId="43" applyFont="1" applyFill="1" applyBorder="1" applyAlignment="1">
      <alignment horizontal="center" vertical="center"/>
    </xf>
    <xf numFmtId="43" fontId="124" fillId="0" borderId="71" xfId="43" applyFont="1" applyFill="1" applyBorder="1" applyAlignment="1">
      <alignment horizontal="center" vertical="center"/>
    </xf>
    <xf numFmtId="43" fontId="125" fillId="0" borderId="23" xfId="43" applyFont="1" applyFill="1" applyBorder="1" applyAlignment="1">
      <alignment horizontal="center" vertical="center"/>
    </xf>
    <xf numFmtId="43" fontId="122" fillId="0" borderId="23" xfId="43" applyFont="1" applyFill="1" applyBorder="1" applyAlignment="1">
      <alignment horizontal="center" vertical="center"/>
    </xf>
    <xf numFmtId="43" fontId="123" fillId="0" borderId="24" xfId="43" applyFont="1" applyFill="1" applyBorder="1" applyAlignment="1">
      <alignment horizontal="center" vertical="center"/>
    </xf>
    <xf numFmtId="43" fontId="111" fillId="0" borderId="54" xfId="43" applyFont="1" applyFill="1" applyBorder="1" applyAlignment="1"/>
    <xf numFmtId="43" fontId="113" fillId="0" borderId="2" xfId="43" applyFont="1" applyFill="1" applyBorder="1" applyAlignment="1"/>
    <xf numFmtId="43" fontId="113" fillId="0" borderId="0" xfId="43" applyFont="1" applyFill="1" applyBorder="1" applyAlignment="1"/>
    <xf numFmtId="43" fontId="48" fillId="0" borderId="12" xfId="1" applyFont="1" applyFill="1" applyBorder="1" applyAlignment="1">
      <alignment horizontal="left" vertical="center"/>
    </xf>
    <xf numFmtId="173" fontId="134" fillId="0" borderId="12" xfId="43" applyNumberFormat="1" applyFont="1" applyFill="1" applyBorder="1" applyAlignment="1">
      <alignment horizontal="left" vertical="top"/>
    </xf>
    <xf numFmtId="43" fontId="134" fillId="0" borderId="12" xfId="1" applyFont="1" applyFill="1" applyBorder="1" applyAlignment="1">
      <alignment horizontal="center" vertical="center"/>
    </xf>
    <xf numFmtId="43" fontId="122" fillId="0" borderId="12" xfId="1" applyFont="1" applyBorder="1" applyAlignment="1"/>
    <xf numFmtId="43" fontId="123" fillId="0" borderId="12" xfId="1" applyFont="1" applyBorder="1" applyAlignment="1"/>
    <xf numFmtId="43" fontId="51" fillId="16" borderId="12" xfId="43" applyFont="1" applyFill="1" applyBorder="1" applyAlignment="1">
      <alignment horizontal="center" vertical="center"/>
    </xf>
    <xf numFmtId="43" fontId="135" fillId="0" borderId="12" xfId="43" applyFont="1" applyFill="1" applyBorder="1" applyAlignment="1">
      <alignment horizontal="center" vertical="center"/>
    </xf>
    <xf numFmtId="43" fontId="120" fillId="0" borderId="12" xfId="43" applyFont="1" applyFill="1" applyBorder="1" applyAlignment="1">
      <alignment horizontal="center" vertical="center"/>
    </xf>
    <xf numFmtId="43" fontId="124" fillId="0" borderId="20" xfId="43" applyFont="1" applyFill="1" applyBorder="1" applyAlignment="1">
      <alignment horizontal="center" vertical="center"/>
    </xf>
    <xf numFmtId="43" fontId="125" fillId="0" borderId="21" xfId="43" applyFont="1" applyFill="1" applyBorder="1" applyAlignment="1">
      <alignment horizontal="center" vertical="center"/>
    </xf>
    <xf numFmtId="43" fontId="122" fillId="0" borderId="21" xfId="43" applyFont="1" applyFill="1" applyBorder="1" applyAlignment="1">
      <alignment horizontal="center" vertical="center"/>
    </xf>
    <xf numFmtId="43" fontId="123" fillId="0" borderId="22" xfId="43" applyFont="1" applyFill="1" applyBorder="1" applyAlignment="1">
      <alignment horizontal="center" vertical="center"/>
    </xf>
    <xf numFmtId="43" fontId="135" fillId="0" borderId="12" xfId="43" applyFont="1" applyFill="1" applyBorder="1" applyAlignment="1"/>
    <xf numFmtId="43" fontId="51" fillId="0" borderId="12" xfId="1" applyFont="1" applyFill="1" applyBorder="1" applyAlignment="1">
      <alignment horizontal="left" vertical="center"/>
    </xf>
    <xf numFmtId="43" fontId="51" fillId="0" borderId="12" xfId="1" applyFont="1" applyFill="1" applyBorder="1" applyAlignment="1">
      <alignment horizontal="center" vertical="center"/>
    </xf>
    <xf numFmtId="43" fontId="135" fillId="16" borderId="12" xfId="43" applyFont="1" applyFill="1" applyBorder="1" applyAlignment="1">
      <alignment horizontal="center" vertical="center"/>
    </xf>
    <xf numFmtId="43" fontId="48" fillId="16" borderId="12" xfId="43" applyFont="1" applyFill="1" applyBorder="1" applyAlignment="1">
      <alignment horizontal="center" vertical="center"/>
    </xf>
    <xf numFmtId="43" fontId="113" fillId="0" borderId="2" xfId="1" applyFont="1" applyBorder="1" applyAlignment="1"/>
    <xf numFmtId="43" fontId="113" fillId="0" borderId="0" xfId="1" applyFont="1" applyBorder="1" applyAlignment="1"/>
    <xf numFmtId="43" fontId="51" fillId="0" borderId="15" xfId="1" applyFont="1" applyFill="1" applyBorder="1" applyAlignment="1">
      <alignment horizontal="left" vertical="center"/>
    </xf>
    <xf numFmtId="43" fontId="51" fillId="0" borderId="15" xfId="1" applyFont="1" applyFill="1" applyBorder="1" applyAlignment="1">
      <alignment horizontal="center" vertical="center"/>
    </xf>
    <xf numFmtId="173" fontId="134" fillId="0" borderId="15" xfId="43" applyNumberFormat="1" applyFont="1" applyFill="1" applyBorder="1" applyAlignment="1">
      <alignment horizontal="left" vertical="top"/>
    </xf>
    <xf numFmtId="43" fontId="134" fillId="0" borderId="15" xfId="1" applyFont="1" applyFill="1" applyBorder="1" applyAlignment="1">
      <alignment horizontal="center" vertical="center"/>
    </xf>
    <xf numFmtId="43" fontId="122" fillId="0" borderId="15" xfId="1" applyFont="1" applyBorder="1" applyAlignment="1"/>
    <xf numFmtId="43" fontId="123" fillId="0" borderId="15" xfId="1" applyFont="1" applyBorder="1" applyAlignment="1"/>
    <xf numFmtId="43" fontId="135" fillId="16" borderId="15" xfId="43" applyFont="1" applyFill="1" applyBorder="1" applyAlignment="1">
      <alignment horizontal="center" vertical="center"/>
    </xf>
    <xf numFmtId="43" fontId="135" fillId="0" borderId="15" xfId="43" applyFont="1" applyFill="1" applyBorder="1" applyAlignment="1">
      <alignment horizontal="center" vertical="center"/>
    </xf>
    <xf numFmtId="43" fontId="111" fillId="0" borderId="15" xfId="1" applyFont="1" applyBorder="1" applyAlignment="1"/>
    <xf numFmtId="43" fontId="124" fillId="0" borderId="25" xfId="1" applyFont="1" applyBorder="1" applyAlignment="1"/>
    <xf numFmtId="43" fontId="125" fillId="0" borderId="26" xfId="1" applyFont="1" applyBorder="1" applyAlignment="1"/>
    <xf numFmtId="43" fontId="122" fillId="0" borderId="26" xfId="1" applyFont="1" applyBorder="1" applyAlignment="1"/>
    <xf numFmtId="43" fontId="123" fillId="0" borderId="27" xfId="1" applyFont="1" applyBorder="1" applyAlignment="1"/>
    <xf numFmtId="43" fontId="48" fillId="16" borderId="15" xfId="43" applyFont="1" applyFill="1" applyBorder="1" applyAlignment="1">
      <alignment horizontal="center" vertical="center"/>
    </xf>
    <xf numFmtId="43" fontId="135" fillId="0" borderId="15" xfId="43" applyFont="1" applyFill="1" applyBorder="1" applyAlignment="1"/>
    <xf numFmtId="43" fontId="134" fillId="0" borderId="12" xfId="1" applyFont="1" applyFill="1" applyBorder="1" applyAlignment="1">
      <alignment horizontal="left" vertical="center"/>
    </xf>
    <xf numFmtId="43" fontId="136" fillId="0" borderId="12" xfId="1" applyFont="1" applyBorder="1" applyAlignment="1"/>
    <xf numFmtId="43" fontId="48" fillId="0" borderId="15" xfId="1" applyFont="1" applyFill="1" applyBorder="1" applyAlignment="1">
      <alignment horizontal="left" vertical="center"/>
    </xf>
    <xf numFmtId="43" fontId="134" fillId="0" borderId="15" xfId="1" applyFont="1" applyFill="1" applyBorder="1" applyAlignment="1">
      <alignment horizontal="left" vertical="center"/>
    </xf>
    <xf numFmtId="43" fontId="51" fillId="16" borderId="15" xfId="43" applyFont="1" applyFill="1" applyBorder="1" applyAlignment="1">
      <alignment horizontal="center" vertical="center"/>
    </xf>
    <xf numFmtId="43" fontId="120" fillId="0" borderId="15" xfId="43" applyFont="1" applyFill="1" applyBorder="1" applyAlignment="1">
      <alignment horizontal="center" vertical="center"/>
    </xf>
    <xf numFmtId="43" fontId="124" fillId="0" borderId="25" xfId="43" applyFont="1" applyFill="1" applyBorder="1" applyAlignment="1">
      <alignment horizontal="center" vertical="center"/>
    </xf>
    <xf numFmtId="43" fontId="125" fillId="0" borderId="26" xfId="43" applyFont="1" applyFill="1" applyBorder="1" applyAlignment="1">
      <alignment horizontal="center" vertical="center"/>
    </xf>
    <xf numFmtId="43" fontId="122" fillId="0" borderId="26" xfId="43" applyFont="1" applyFill="1" applyBorder="1" applyAlignment="1">
      <alignment horizontal="center" vertical="center"/>
    </xf>
    <xf numFmtId="43" fontId="123" fillId="0" borderId="27" xfId="43" applyFont="1" applyFill="1" applyBorder="1" applyAlignment="1">
      <alignment horizontal="center" vertical="center"/>
    </xf>
    <xf numFmtId="43" fontId="113" fillId="0" borderId="0" xfId="1" applyFont="1" applyAlignment="1"/>
    <xf numFmtId="43" fontId="48" fillId="0" borderId="13" xfId="1" applyFont="1" applyFill="1" applyBorder="1" applyAlignment="1">
      <alignment horizontal="left" vertical="center"/>
    </xf>
    <xf numFmtId="43" fontId="134" fillId="0" borderId="13" xfId="1" applyFont="1" applyFill="1" applyBorder="1" applyAlignment="1">
      <alignment horizontal="left" vertical="center"/>
    </xf>
    <xf numFmtId="43" fontId="134" fillId="0" borderId="13" xfId="1" applyFont="1" applyFill="1" applyBorder="1" applyAlignment="1">
      <alignment horizontal="center" vertical="center"/>
    </xf>
    <xf numFmtId="43" fontId="122" fillId="0" borderId="13" xfId="1" applyFont="1" applyBorder="1" applyAlignment="1"/>
    <xf numFmtId="43" fontId="123" fillId="0" borderId="13" xfId="1" applyFont="1" applyBorder="1" applyAlignment="1"/>
    <xf numFmtId="43" fontId="51" fillId="16" borderId="13" xfId="43" applyFont="1" applyFill="1" applyBorder="1" applyAlignment="1">
      <alignment horizontal="center" vertical="center"/>
    </xf>
    <xf numFmtId="43" fontId="135" fillId="0" borderId="13" xfId="43" applyFont="1" applyFill="1" applyBorder="1" applyAlignment="1">
      <alignment horizontal="center" vertical="center"/>
    </xf>
    <xf numFmtId="43" fontId="120" fillId="0" borderId="13" xfId="43" applyFont="1" applyFill="1" applyBorder="1" applyAlignment="1">
      <alignment horizontal="center" vertical="center"/>
    </xf>
    <xf numFmtId="43" fontId="124" fillId="0" borderId="43" xfId="43" applyFont="1" applyFill="1" applyBorder="1" applyAlignment="1">
      <alignment horizontal="center" vertical="center"/>
    </xf>
    <xf numFmtId="43" fontId="125" fillId="0" borderId="44" xfId="43" applyFont="1" applyFill="1" applyBorder="1" applyAlignment="1">
      <alignment horizontal="center" vertical="center"/>
    </xf>
    <xf numFmtId="43" fontId="122" fillId="0" borderId="44" xfId="43" applyFont="1" applyFill="1" applyBorder="1" applyAlignment="1">
      <alignment horizontal="center" vertical="center"/>
    </xf>
    <xf numFmtId="43" fontId="123" fillId="0" borderId="46" xfId="43" applyFont="1" applyFill="1" applyBorder="1" applyAlignment="1">
      <alignment horizontal="center" vertical="center"/>
    </xf>
    <xf numFmtId="43" fontId="135" fillId="0" borderId="54" xfId="43" applyFont="1" applyFill="1" applyBorder="1" applyAlignment="1"/>
    <xf numFmtId="43" fontId="51" fillId="0" borderId="59" xfId="1" applyFont="1" applyFill="1" applyBorder="1" applyAlignment="1">
      <alignment horizontal="left" vertical="center"/>
    </xf>
    <xf numFmtId="43" fontId="134" fillId="0" borderId="59" xfId="1" applyFont="1" applyFill="1" applyBorder="1" applyAlignment="1">
      <alignment horizontal="center" vertical="center"/>
    </xf>
    <xf numFmtId="43" fontId="122" fillId="0" borderId="59" xfId="1" applyFont="1" applyFill="1" applyBorder="1" applyAlignment="1"/>
    <xf numFmtId="43" fontId="123" fillId="0" borderId="59" xfId="1" applyFont="1" applyFill="1" applyBorder="1" applyAlignment="1"/>
    <xf numFmtId="43" fontId="51" fillId="0" borderId="59" xfId="43" applyFont="1" applyFill="1" applyBorder="1" applyAlignment="1">
      <alignment horizontal="center" vertical="center"/>
    </xf>
    <xf numFmtId="43" fontId="48" fillId="0" borderId="59" xfId="43" applyFont="1" applyFill="1" applyBorder="1" applyAlignment="1">
      <alignment horizontal="center" vertical="center"/>
    </xf>
    <xf numFmtId="43" fontId="120" fillId="0" borderId="59" xfId="43" applyFont="1" applyFill="1" applyBorder="1" applyAlignment="1">
      <alignment horizontal="center" vertical="center"/>
    </xf>
    <xf numFmtId="43" fontId="124" fillId="0" borderId="59" xfId="43" applyFont="1" applyFill="1" applyBorder="1" applyAlignment="1">
      <alignment horizontal="center" vertical="center"/>
    </xf>
    <xf numFmtId="43" fontId="125" fillId="0" borderId="59" xfId="43" applyFont="1" applyFill="1" applyBorder="1" applyAlignment="1">
      <alignment horizontal="center" vertical="center"/>
    </xf>
    <xf numFmtId="43" fontId="122" fillId="0" borderId="59" xfId="43" applyFont="1" applyFill="1" applyBorder="1" applyAlignment="1">
      <alignment horizontal="center" vertical="center"/>
    </xf>
    <xf numFmtId="43" fontId="123" fillId="0" borderId="59" xfId="43" applyFont="1" applyFill="1" applyBorder="1" applyAlignment="1">
      <alignment horizontal="center" vertical="center"/>
    </xf>
    <xf numFmtId="43" fontId="111" fillId="0" borderId="59" xfId="43" applyFont="1" applyFill="1" applyBorder="1" applyAlignment="1"/>
    <xf numFmtId="43" fontId="111" fillId="0" borderId="61" xfId="43" applyFont="1" applyFill="1" applyBorder="1" applyAlignment="1"/>
    <xf numFmtId="43" fontId="124" fillId="0" borderId="72" xfId="43" applyFont="1" applyFill="1" applyBorder="1" applyAlignment="1">
      <alignment horizontal="center" vertical="center"/>
    </xf>
    <xf numFmtId="43" fontId="123" fillId="0" borderId="41" xfId="43" applyFont="1" applyFill="1" applyBorder="1" applyAlignment="1">
      <alignment horizontal="center" vertical="center"/>
    </xf>
    <xf numFmtId="43" fontId="124" fillId="0" borderId="74" xfId="43" applyFont="1" applyFill="1" applyBorder="1" applyAlignment="1">
      <alignment horizontal="center" vertical="center"/>
    </xf>
    <xf numFmtId="43" fontId="125" fillId="0" borderId="29" xfId="43" applyFont="1" applyFill="1" applyBorder="1" applyAlignment="1">
      <alignment horizontal="center" vertical="center"/>
    </xf>
    <xf numFmtId="43" fontId="122" fillId="0" borderId="29" xfId="43" applyFont="1" applyFill="1" applyBorder="1" applyAlignment="1">
      <alignment horizontal="center" vertical="center"/>
    </xf>
    <xf numFmtId="43" fontId="123" fillId="0" borderId="48" xfId="43" applyFont="1" applyFill="1" applyBorder="1" applyAlignment="1">
      <alignment horizontal="center" vertical="center"/>
    </xf>
    <xf numFmtId="43" fontId="51" fillId="16" borderId="9" xfId="43" applyFont="1" applyFill="1" applyBorder="1" applyAlignment="1">
      <alignment horizontal="center" vertical="center"/>
    </xf>
    <xf numFmtId="43" fontId="124" fillId="0" borderId="50" xfId="43" applyFont="1" applyFill="1" applyBorder="1" applyAlignment="1">
      <alignment horizontal="center" vertical="center"/>
    </xf>
    <xf numFmtId="43" fontId="123" fillId="0" borderId="42" xfId="43" applyFont="1" applyFill="1" applyBorder="1" applyAlignment="1">
      <alignment horizontal="center" vertical="center"/>
    </xf>
    <xf numFmtId="43" fontId="48" fillId="0" borderId="9" xfId="43" applyFont="1" applyFill="1" applyBorder="1" applyAlignment="1">
      <alignment vertical="top"/>
    </xf>
    <xf numFmtId="43" fontId="122" fillId="0" borderId="9" xfId="43" applyFont="1" applyFill="1" applyBorder="1" applyAlignment="1">
      <alignment horizontal="center" vertical="center"/>
    </xf>
    <xf numFmtId="43" fontId="137" fillId="0" borderId="9" xfId="43" applyFont="1" applyFill="1" applyBorder="1" applyAlignment="1">
      <alignment horizontal="center" vertical="center"/>
    </xf>
    <xf numFmtId="43" fontId="120" fillId="0" borderId="9" xfId="43" applyFont="1" applyFill="1" applyBorder="1" applyAlignment="1">
      <alignment horizontal="center" vertical="center"/>
    </xf>
    <xf numFmtId="43" fontId="124" fillId="0" borderId="28" xfId="43" applyFont="1" applyFill="1" applyBorder="1" applyAlignment="1">
      <alignment horizontal="center" vertical="center"/>
    </xf>
    <xf numFmtId="43" fontId="123" fillId="0" borderId="30" xfId="43" applyFont="1" applyFill="1" applyBorder="1" applyAlignment="1">
      <alignment horizontal="center" vertical="center"/>
    </xf>
    <xf numFmtId="43" fontId="111" fillId="0" borderId="9" xfId="43" applyFont="1" applyFill="1" applyBorder="1" applyAlignment="1"/>
    <xf numFmtId="43" fontId="111" fillId="0" borderId="10" xfId="43" applyFont="1" applyFill="1" applyBorder="1" applyAlignment="1"/>
    <xf numFmtId="173" fontId="135" fillId="0" borderId="9" xfId="43" applyNumberFormat="1" applyFont="1" applyFill="1" applyBorder="1" applyAlignment="1">
      <alignment horizontal="left" vertical="top"/>
    </xf>
    <xf numFmtId="43" fontId="135" fillId="0" borderId="9" xfId="1" applyFont="1" applyFill="1" applyBorder="1" applyAlignment="1">
      <alignment horizontal="center" vertical="center"/>
    </xf>
    <xf numFmtId="43" fontId="136" fillId="0" borderId="9" xfId="43" applyFont="1" applyFill="1" applyBorder="1" applyAlignment="1">
      <alignment horizontal="center" vertical="center"/>
    </xf>
    <xf numFmtId="43" fontId="138" fillId="0" borderId="9" xfId="43" applyFont="1" applyFill="1" applyBorder="1" applyAlignment="1">
      <alignment horizontal="center" vertical="center"/>
    </xf>
    <xf numFmtId="43" fontId="135" fillId="16" borderId="9" xfId="43" applyFont="1" applyFill="1" applyBorder="1" applyAlignment="1">
      <alignment horizontal="center" vertical="center"/>
    </xf>
    <xf numFmtId="43" fontId="135" fillId="0" borderId="9" xfId="43" applyFont="1" applyFill="1" applyBorder="1" applyAlignment="1">
      <alignment horizontal="center" vertical="center"/>
    </xf>
    <xf numFmtId="43" fontId="48" fillId="16" borderId="9" xfId="43" applyFont="1" applyFill="1" applyBorder="1" applyAlignment="1">
      <alignment horizontal="center" vertical="center"/>
    </xf>
    <xf numFmtId="43" fontId="135" fillId="0" borderId="9" xfId="43" applyFont="1" applyFill="1" applyBorder="1" applyAlignment="1"/>
    <xf numFmtId="43" fontId="135" fillId="0" borderId="10" xfId="43" applyFont="1" applyFill="1" applyBorder="1" applyAlignment="1"/>
    <xf numFmtId="43" fontId="122" fillId="0" borderId="54" xfId="1" applyFont="1" applyFill="1" applyBorder="1" applyAlignment="1"/>
    <xf numFmtId="43" fontId="123" fillId="0" borderId="54" xfId="1" applyFont="1" applyFill="1" applyBorder="1" applyAlignment="1"/>
    <xf numFmtId="173" fontId="135" fillId="0" borderId="12" xfId="43" applyNumberFormat="1" applyFont="1" applyFill="1" applyBorder="1" applyAlignment="1">
      <alignment horizontal="left" vertical="top"/>
    </xf>
    <xf numFmtId="43" fontId="135" fillId="0" borderId="12" xfId="1" applyFont="1" applyFill="1" applyBorder="1" applyAlignment="1">
      <alignment horizontal="center" vertical="center"/>
    </xf>
    <xf numFmtId="43" fontId="122" fillId="0" borderId="12" xfId="1" applyFont="1" applyFill="1" applyBorder="1" applyAlignment="1"/>
    <xf numFmtId="43" fontId="123" fillId="0" borderId="12" xfId="1" applyFont="1" applyFill="1" applyBorder="1" applyAlignment="1"/>
    <xf numFmtId="43" fontId="111" fillId="0" borderId="12" xfId="1" applyFont="1" applyBorder="1" applyAlignment="1"/>
    <xf numFmtId="43" fontId="124" fillId="0" borderId="20" xfId="1" applyFont="1" applyBorder="1" applyAlignment="1"/>
    <xf numFmtId="43" fontId="125" fillId="0" borderId="21" xfId="1" applyFont="1" applyBorder="1" applyAlignment="1"/>
    <xf numFmtId="43" fontId="122" fillId="0" borderId="21" xfId="1" applyFont="1" applyBorder="1" applyAlignment="1"/>
    <xf numFmtId="43" fontId="123" fillId="0" borderId="22" xfId="1" applyFont="1" applyBorder="1" applyAlignment="1"/>
    <xf numFmtId="173" fontId="135" fillId="0" borderId="15" xfId="43" applyNumberFormat="1" applyFont="1" applyFill="1" applyBorder="1" applyAlignment="1">
      <alignment horizontal="left" vertical="top"/>
    </xf>
    <xf numFmtId="43" fontId="135" fillId="0" borderId="15" xfId="1" applyFont="1" applyFill="1" applyBorder="1" applyAlignment="1">
      <alignment horizontal="center" vertical="center"/>
    </xf>
    <xf numFmtId="43" fontId="111" fillId="0" borderId="54" xfId="1" applyFont="1" applyBorder="1" applyAlignment="1"/>
    <xf numFmtId="43" fontId="124" fillId="0" borderId="71" xfId="1" applyFont="1" applyBorder="1" applyAlignment="1"/>
    <xf numFmtId="43" fontId="125" fillId="0" borderId="23" xfId="1" applyFont="1" applyBorder="1" applyAlignment="1"/>
    <xf numFmtId="43" fontId="122" fillId="0" borderId="23" xfId="1" applyFont="1" applyBorder="1" applyAlignment="1"/>
    <xf numFmtId="43" fontId="123" fillId="0" borderId="24" xfId="1" applyFont="1" applyBorder="1" applyAlignment="1"/>
    <xf numFmtId="43" fontId="136" fillId="0" borderId="59" xfId="43" applyFont="1" applyFill="1" applyBorder="1" applyAlignment="1">
      <alignment horizontal="center" vertical="center"/>
    </xf>
    <xf numFmtId="43" fontId="138" fillId="0" borderId="59" xfId="43" applyFont="1" applyFill="1" applyBorder="1" applyAlignment="1">
      <alignment horizontal="center" vertical="center"/>
    </xf>
    <xf numFmtId="43" fontId="135" fillId="0" borderId="59" xfId="43" applyFont="1" applyFill="1" applyBorder="1" applyAlignment="1">
      <alignment horizontal="center" vertical="center"/>
    </xf>
    <xf numFmtId="43" fontId="135" fillId="0" borderId="59" xfId="43" applyFont="1" applyFill="1" applyBorder="1" applyAlignment="1"/>
    <xf numFmtId="43" fontId="135" fillId="0" borderId="61" xfId="43" applyFont="1" applyFill="1" applyBorder="1" applyAlignment="1"/>
    <xf numFmtId="43" fontId="136" fillId="0" borderId="54" xfId="43" applyFont="1" applyFill="1" applyBorder="1" applyAlignment="1">
      <alignment horizontal="center" vertical="center"/>
    </xf>
    <xf numFmtId="43" fontId="138" fillId="0" borderId="54" xfId="43" applyFont="1" applyFill="1" applyBorder="1" applyAlignment="1">
      <alignment horizontal="center" vertical="center"/>
    </xf>
    <xf numFmtId="43" fontId="136" fillId="0" borderId="12" xfId="43" applyFont="1" applyFill="1" applyBorder="1" applyAlignment="1">
      <alignment horizontal="center" vertical="center"/>
    </xf>
    <xf numFmtId="43" fontId="138" fillId="0" borderId="12" xfId="43" applyFont="1" applyFill="1" applyBorder="1" applyAlignment="1">
      <alignment horizontal="center" vertical="center"/>
    </xf>
    <xf numFmtId="43" fontId="136" fillId="0" borderId="15" xfId="43" applyFont="1" applyFill="1" applyBorder="1" applyAlignment="1">
      <alignment horizontal="center" vertical="center"/>
    </xf>
    <xf numFmtId="43" fontId="138" fillId="0" borderId="15" xfId="43" applyFont="1" applyFill="1" applyBorder="1" applyAlignment="1">
      <alignment horizontal="center" vertical="center"/>
    </xf>
    <xf numFmtId="43" fontId="51" fillId="0" borderId="37" xfId="1" applyFont="1" applyFill="1" applyBorder="1" applyAlignment="1">
      <alignment horizontal="left" vertical="center"/>
    </xf>
    <xf numFmtId="43" fontId="48" fillId="0" borderId="88" xfId="1" applyFont="1" applyFill="1" applyBorder="1" applyAlignment="1">
      <alignment horizontal="center" vertical="center"/>
    </xf>
    <xf numFmtId="43" fontId="136" fillId="0" borderId="88" xfId="43" applyFont="1" applyFill="1" applyBorder="1" applyAlignment="1">
      <alignment horizontal="center" vertical="center"/>
    </xf>
    <xf numFmtId="43" fontId="138" fillId="0" borderId="88" xfId="43" applyFont="1" applyFill="1" applyBorder="1" applyAlignment="1">
      <alignment horizontal="center" vertical="center"/>
    </xf>
    <xf numFmtId="43" fontId="135" fillId="0" borderId="88" xfId="43" applyFont="1" applyFill="1" applyBorder="1" applyAlignment="1">
      <alignment horizontal="center" vertical="center"/>
    </xf>
    <xf numFmtId="43" fontId="135" fillId="0" borderId="0" xfId="43" applyFont="1" applyFill="1" applyBorder="1" applyAlignment="1">
      <alignment horizontal="center" vertical="center"/>
    </xf>
    <xf numFmtId="43" fontId="120" fillId="0" borderId="88" xfId="43" applyFont="1" applyFill="1" applyBorder="1" applyAlignment="1">
      <alignment horizontal="center" vertical="center"/>
    </xf>
    <xf numFmtId="43" fontId="124" fillId="0" borderId="88" xfId="43" applyFont="1" applyFill="1" applyBorder="1" applyAlignment="1">
      <alignment horizontal="center" vertical="center"/>
    </xf>
    <xf numFmtId="43" fontId="125" fillId="0" borderId="88" xfId="43" applyFont="1" applyFill="1" applyBorder="1" applyAlignment="1">
      <alignment horizontal="center" vertical="center"/>
    </xf>
    <xf numFmtId="43" fontId="122" fillId="0" borderId="88" xfId="43" applyFont="1" applyFill="1" applyBorder="1" applyAlignment="1">
      <alignment horizontal="center" vertical="center"/>
    </xf>
    <xf numFmtId="43" fontId="123" fillId="0" borderId="88" xfId="43" applyFont="1" applyFill="1" applyBorder="1" applyAlignment="1">
      <alignment horizontal="center" vertical="center"/>
    </xf>
    <xf numFmtId="43" fontId="48" fillId="0" borderId="88" xfId="43" applyFont="1" applyFill="1" applyBorder="1" applyAlignment="1">
      <alignment horizontal="center" vertical="center"/>
    </xf>
    <xf numFmtId="43" fontId="135" fillId="0" borderId="88" xfId="43" applyFont="1" applyFill="1" applyBorder="1" applyAlignment="1"/>
    <xf numFmtId="43" fontId="135" fillId="0" borderId="89" xfId="43" applyFont="1" applyFill="1" applyBorder="1" applyAlignment="1"/>
    <xf numFmtId="43" fontId="111" fillId="0" borderId="61" xfId="1" applyFont="1" applyBorder="1" applyAlignment="1"/>
    <xf numFmtId="43" fontId="48" fillId="0" borderId="56" xfId="1" applyFont="1" applyFill="1" applyBorder="1" applyAlignment="1">
      <alignment horizontal="left" vertical="center"/>
    </xf>
    <xf numFmtId="43" fontId="48" fillId="0" borderId="56" xfId="1" applyFont="1" applyFill="1" applyBorder="1" applyAlignment="1">
      <alignment horizontal="center" vertical="center"/>
    </xf>
    <xf numFmtId="43" fontId="122" fillId="0" borderId="54" xfId="43" applyFont="1" applyFill="1" applyBorder="1" applyAlignment="1">
      <alignment horizontal="center" vertical="center"/>
    </xf>
    <xf numFmtId="43" fontId="123" fillId="0" borderId="54" xfId="43" applyFont="1" applyFill="1" applyBorder="1" applyAlignment="1">
      <alignment horizontal="center" vertical="center"/>
    </xf>
    <xf numFmtId="43" fontId="48" fillId="0" borderId="12" xfId="43" applyFont="1" applyFill="1" applyBorder="1" applyAlignment="1">
      <alignment vertical="top"/>
    </xf>
    <xf numFmtId="43" fontId="122" fillId="0" borderId="12" xfId="43" applyFont="1" applyFill="1" applyBorder="1" applyAlignment="1">
      <alignment horizontal="center" vertical="center"/>
    </xf>
    <xf numFmtId="43" fontId="123" fillId="0" borderId="12" xfId="1" applyFont="1" applyFill="1" applyBorder="1" applyAlignment="1">
      <alignment horizontal="center" vertical="center"/>
    </xf>
    <xf numFmtId="43" fontId="111" fillId="0" borderId="2" xfId="1" applyFont="1" applyBorder="1" applyAlignment="1"/>
    <xf numFmtId="43" fontId="48" fillId="0" borderId="11" xfId="43" applyFont="1" applyFill="1" applyBorder="1" applyAlignment="1">
      <alignment vertical="top"/>
    </xf>
    <xf numFmtId="43" fontId="48" fillId="0" borderId="11" xfId="43" applyFont="1" applyFill="1" applyBorder="1" applyAlignment="1">
      <alignment horizontal="center" vertical="center"/>
    </xf>
    <xf numFmtId="43" fontId="135" fillId="0" borderId="11" xfId="1" applyFont="1" applyFill="1" applyBorder="1" applyAlignment="1">
      <alignment horizontal="center" vertical="center"/>
    </xf>
    <xf numFmtId="173" fontId="135" fillId="0" borderId="11" xfId="43" applyNumberFormat="1" applyFont="1" applyFill="1" applyBorder="1" applyAlignment="1">
      <alignment horizontal="left" vertical="top"/>
    </xf>
    <xf numFmtId="43" fontId="48" fillId="0" borderId="17" xfId="43" applyFont="1" applyFill="1" applyBorder="1" applyAlignment="1">
      <alignment vertical="top"/>
    </xf>
    <xf numFmtId="43" fontId="48" fillId="0" borderId="17" xfId="43" applyFont="1" applyFill="1" applyBorder="1" applyAlignment="1">
      <alignment horizontal="center" vertical="center"/>
    </xf>
    <xf numFmtId="173" fontId="135" fillId="0" borderId="17" xfId="43" applyNumberFormat="1" applyFont="1" applyFill="1" applyBorder="1" applyAlignment="1">
      <alignment horizontal="left" vertical="top"/>
    </xf>
    <xf numFmtId="43" fontId="135" fillId="0" borderId="17" xfId="1" applyFont="1" applyFill="1" applyBorder="1" applyAlignment="1">
      <alignment horizontal="center" vertical="center"/>
    </xf>
    <xf numFmtId="43" fontId="122" fillId="0" borderId="15" xfId="43" applyFont="1" applyFill="1" applyBorder="1" applyAlignment="1">
      <alignment horizontal="center" vertical="center"/>
    </xf>
    <xf numFmtId="43" fontId="123" fillId="0" borderId="15" xfId="1" applyFont="1" applyFill="1" applyBorder="1" applyAlignment="1">
      <alignment horizontal="center" vertical="center"/>
    </xf>
    <xf numFmtId="43" fontId="48" fillId="0" borderId="15" xfId="43" applyFont="1" applyFill="1" applyBorder="1" applyAlignment="1">
      <alignment vertical="top"/>
    </xf>
    <xf numFmtId="43" fontId="48" fillId="0" borderId="10" xfId="1" applyFont="1" applyFill="1" applyBorder="1" applyAlignment="1">
      <alignment horizontal="left" vertical="center"/>
    </xf>
    <xf numFmtId="43" fontId="48" fillId="0" borderId="10" xfId="1" applyFont="1" applyFill="1" applyBorder="1" applyAlignment="1">
      <alignment horizontal="center" vertical="center"/>
    </xf>
    <xf numFmtId="43" fontId="123" fillId="0" borderId="9" xfId="43" applyFont="1" applyFill="1" applyBorder="1" applyAlignment="1">
      <alignment horizontal="center" vertical="center"/>
    </xf>
    <xf numFmtId="173" fontId="135" fillId="0" borderId="13" xfId="43" applyNumberFormat="1" applyFont="1" applyFill="1" applyBorder="1" applyAlignment="1">
      <alignment horizontal="left" vertical="top"/>
    </xf>
    <xf numFmtId="43" fontId="135" fillId="0" borderId="13" xfId="1" applyFont="1" applyFill="1" applyBorder="1" applyAlignment="1">
      <alignment horizontal="center" vertical="center"/>
    </xf>
    <xf numFmtId="43" fontId="122" fillId="0" borderId="13" xfId="43" applyFont="1" applyFill="1" applyBorder="1" applyAlignment="1">
      <alignment horizontal="center" vertical="center"/>
    </xf>
    <xf numFmtId="43" fontId="123" fillId="0" borderId="13" xfId="1" applyFont="1" applyFill="1" applyBorder="1" applyAlignment="1">
      <alignment horizontal="center" vertical="center"/>
    </xf>
    <xf numFmtId="43" fontId="48" fillId="16" borderId="13" xfId="43" applyFont="1" applyFill="1" applyBorder="1" applyAlignment="1">
      <alignment horizontal="center" vertical="center"/>
    </xf>
    <xf numFmtId="43" fontId="135" fillId="0" borderId="13" xfId="43" applyFont="1" applyFill="1" applyBorder="1" applyAlignment="1"/>
    <xf numFmtId="43" fontId="51" fillId="0" borderId="85" xfId="1" applyFont="1" applyFill="1" applyBorder="1" applyAlignment="1">
      <alignment horizontal="left" vertical="center"/>
    </xf>
    <xf numFmtId="43" fontId="122" fillId="0" borderId="62" xfId="1" applyFont="1" applyFill="1" applyBorder="1" applyAlignment="1"/>
    <xf numFmtId="43" fontId="123" fillId="0" borderId="62" xfId="1" applyFont="1" applyFill="1" applyBorder="1" applyAlignment="1"/>
    <xf numFmtId="43" fontId="51" fillId="0" borderId="62" xfId="43" applyFont="1" applyFill="1" applyBorder="1" applyAlignment="1">
      <alignment horizontal="center" vertical="center"/>
    </xf>
    <xf numFmtId="43" fontId="48" fillId="0" borderId="62" xfId="43" applyFont="1" applyFill="1" applyBorder="1" applyAlignment="1">
      <alignment horizontal="center" vertical="center"/>
    </xf>
    <xf numFmtId="43" fontId="120" fillId="0" borderId="62" xfId="43" applyFont="1" applyFill="1" applyBorder="1" applyAlignment="1">
      <alignment horizontal="center" vertical="center"/>
    </xf>
    <xf numFmtId="43" fontId="124" fillId="0" borderId="62" xfId="43" applyFont="1" applyFill="1" applyBorder="1" applyAlignment="1">
      <alignment horizontal="center" vertical="center"/>
    </xf>
    <xf numFmtId="43" fontId="125" fillId="0" borderId="62" xfId="43" applyFont="1" applyFill="1" applyBorder="1" applyAlignment="1">
      <alignment horizontal="center" vertical="center"/>
    </xf>
    <xf numFmtId="43" fontId="122" fillId="0" borderId="62" xfId="43" applyFont="1" applyFill="1" applyBorder="1" applyAlignment="1">
      <alignment horizontal="center" vertical="center"/>
    </xf>
    <xf numFmtId="43" fontId="123" fillId="0" borderId="62" xfId="43" applyFont="1" applyFill="1" applyBorder="1" applyAlignment="1">
      <alignment horizontal="center" vertical="center"/>
    </xf>
    <xf numFmtId="43" fontId="111" fillId="0" borderId="62" xfId="43" applyFont="1" applyFill="1" applyBorder="1" applyAlignment="1"/>
    <xf numFmtId="43" fontId="111" fillId="0" borderId="86" xfId="43" applyFont="1" applyFill="1" applyBorder="1" applyAlignment="1"/>
    <xf numFmtId="43" fontId="135" fillId="0" borderId="36" xfId="43" applyFont="1" applyFill="1" applyBorder="1" applyAlignment="1"/>
    <xf numFmtId="43" fontId="111" fillId="0" borderId="0" xfId="43" applyFont="1" applyFill="1" applyAlignment="1"/>
    <xf numFmtId="43" fontId="139" fillId="16" borderId="12" xfId="43" applyFont="1" applyFill="1" applyBorder="1" applyAlignment="1">
      <alignment horizontal="center" vertical="center"/>
    </xf>
    <xf numFmtId="43" fontId="111" fillId="0" borderId="0" xfId="43" applyFont="1" applyFill="1" applyBorder="1" applyAlignment="1"/>
    <xf numFmtId="43" fontId="139" fillId="16" borderId="15" xfId="43" applyFont="1" applyFill="1" applyBorder="1" applyAlignment="1">
      <alignment horizontal="center" vertical="center"/>
    </xf>
    <xf numFmtId="43" fontId="137" fillId="0" borderId="54" xfId="43" applyFont="1" applyFill="1" applyBorder="1" applyAlignment="1">
      <alignment horizontal="center" vertical="center"/>
    </xf>
    <xf numFmtId="43" fontId="136" fillId="0" borderId="13" xfId="43" applyFont="1" applyFill="1" applyBorder="1" applyAlignment="1">
      <alignment horizontal="center" vertical="center"/>
    </xf>
    <xf numFmtId="43" fontId="138" fillId="0" borderId="13" xfId="43" applyFont="1" applyFill="1" applyBorder="1" applyAlignment="1">
      <alignment horizontal="center" vertical="center"/>
    </xf>
    <xf numFmtId="43" fontId="139" fillId="16" borderId="13" xfId="43" applyFont="1" applyFill="1" applyBorder="1" applyAlignment="1">
      <alignment horizontal="center" vertical="center"/>
    </xf>
    <xf numFmtId="43" fontId="113" fillId="0" borderId="55" xfId="1" applyFont="1" applyBorder="1" applyAlignment="1"/>
    <xf numFmtId="43" fontId="113" fillId="0" borderId="59" xfId="1" applyFont="1" applyBorder="1" applyAlignment="1"/>
    <xf numFmtId="43" fontId="48" fillId="0" borderId="54" xfId="1" applyFont="1" applyFill="1" applyBorder="1" applyAlignment="1">
      <alignment vertical="top"/>
    </xf>
    <xf numFmtId="43" fontId="48" fillId="0" borderId="54" xfId="1" applyFont="1" applyFill="1" applyBorder="1" applyAlignment="1">
      <alignment horizontal="center" vertical="top"/>
    </xf>
    <xf numFmtId="43" fontId="122" fillId="0" borderId="54" xfId="1" applyFont="1" applyFill="1" applyBorder="1" applyAlignment="1">
      <alignment horizontal="center" vertical="center"/>
    </xf>
    <xf numFmtId="43" fontId="137" fillId="0" borderId="54" xfId="1" applyFont="1" applyFill="1" applyBorder="1" applyAlignment="1">
      <alignment horizontal="center" vertical="center"/>
    </xf>
    <xf numFmtId="43" fontId="120" fillId="0" borderId="54" xfId="1" applyFont="1" applyFill="1" applyBorder="1" applyAlignment="1">
      <alignment horizontal="center" vertical="center"/>
    </xf>
    <xf numFmtId="43" fontId="124" fillId="0" borderId="71" xfId="1" applyFont="1" applyFill="1" applyBorder="1" applyAlignment="1">
      <alignment horizontal="center" vertical="center"/>
    </xf>
    <xf numFmtId="43" fontId="125" fillId="0" borderId="23" xfId="1" applyFont="1" applyFill="1" applyBorder="1" applyAlignment="1">
      <alignment horizontal="center" vertical="center"/>
    </xf>
    <xf numFmtId="43" fontId="122" fillId="0" borderId="23" xfId="1" applyFont="1" applyFill="1" applyBorder="1" applyAlignment="1">
      <alignment horizontal="center" vertical="center"/>
    </xf>
    <xf numFmtId="43" fontId="123" fillId="0" borderId="24" xfId="1" applyFont="1" applyFill="1" applyBorder="1" applyAlignment="1">
      <alignment horizontal="center" vertical="center"/>
    </xf>
    <xf numFmtId="43" fontId="111" fillId="0" borderId="54" xfId="1" applyFont="1" applyFill="1" applyBorder="1" applyAlignment="1"/>
    <xf numFmtId="43" fontId="136" fillId="0" borderId="12" xfId="1" applyFont="1" applyFill="1" applyBorder="1" applyAlignment="1">
      <alignment horizontal="center" vertical="center"/>
    </xf>
    <xf numFmtId="43" fontId="135" fillId="16" borderId="12" xfId="1" applyFont="1" applyFill="1" applyBorder="1" applyAlignment="1">
      <alignment horizontal="center" vertical="center"/>
    </xf>
    <xf numFmtId="43" fontId="120" fillId="0" borderId="12" xfId="1" applyFont="1" applyFill="1" applyBorder="1" applyAlignment="1">
      <alignment horizontal="center" vertical="center"/>
    </xf>
    <xf numFmtId="43" fontId="124" fillId="0" borderId="20" xfId="1" applyFont="1" applyFill="1" applyBorder="1" applyAlignment="1">
      <alignment horizontal="center" vertical="center"/>
    </xf>
    <xf numFmtId="43" fontId="125" fillId="0" borderId="21" xfId="1" applyFont="1" applyFill="1" applyBorder="1" applyAlignment="1">
      <alignment horizontal="center" vertical="center"/>
    </xf>
    <xf numFmtId="43" fontId="122" fillId="0" borderId="21" xfId="1" applyFont="1" applyFill="1" applyBorder="1" applyAlignment="1">
      <alignment horizontal="center" vertical="center"/>
    </xf>
    <xf numFmtId="43" fontId="123" fillId="0" borderId="22" xfId="1" applyFont="1" applyFill="1" applyBorder="1" applyAlignment="1">
      <alignment horizontal="center" vertical="center"/>
    </xf>
    <xf numFmtId="43" fontId="48" fillId="16" borderId="12" xfId="1" applyFont="1" applyFill="1" applyBorder="1" applyAlignment="1">
      <alignment horizontal="center" vertical="center"/>
    </xf>
    <xf numFmtId="43" fontId="138" fillId="0" borderId="12" xfId="1" applyFont="1" applyFill="1" applyBorder="1" applyAlignment="1">
      <alignment horizontal="center" vertical="center"/>
    </xf>
    <xf numFmtId="43" fontId="120" fillId="0" borderId="3" xfId="43" applyFont="1" applyFill="1" applyBorder="1" applyAlignment="1">
      <alignment horizontal="center" vertical="center"/>
    </xf>
    <xf numFmtId="43" fontId="48" fillId="16" borderId="3" xfId="43" applyFont="1" applyFill="1" applyBorder="1" applyAlignment="1">
      <alignment horizontal="center" vertical="center"/>
    </xf>
    <xf numFmtId="43" fontId="48" fillId="0" borderId="12" xfId="1" applyFont="1" applyFill="1" applyBorder="1" applyAlignment="1">
      <alignment vertical="top"/>
    </xf>
    <xf numFmtId="43" fontId="136" fillId="0" borderId="15" xfId="1" applyFont="1" applyFill="1" applyBorder="1" applyAlignment="1">
      <alignment horizontal="center" vertical="center"/>
    </xf>
    <xf numFmtId="43" fontId="138" fillId="0" borderId="15" xfId="1" applyFont="1" applyFill="1" applyBorder="1" applyAlignment="1">
      <alignment horizontal="center" vertical="center"/>
    </xf>
    <xf numFmtId="43" fontId="135" fillId="16" borderId="15" xfId="1" applyFont="1" applyFill="1" applyBorder="1" applyAlignment="1">
      <alignment horizontal="center" vertical="center"/>
    </xf>
    <xf numFmtId="43" fontId="48" fillId="0" borderId="9" xfId="1" applyFont="1" applyFill="1" applyBorder="1" applyAlignment="1">
      <alignment vertical="top"/>
    </xf>
    <xf numFmtId="43" fontId="122" fillId="0" borderId="9" xfId="1" applyFont="1" applyFill="1" applyBorder="1" applyAlignment="1">
      <alignment horizontal="center" vertical="center"/>
    </xf>
    <xf numFmtId="43" fontId="137" fillId="0" borderId="9" xfId="1" applyFont="1" applyFill="1" applyBorder="1" applyAlignment="1">
      <alignment horizontal="center" vertical="center"/>
    </xf>
    <xf numFmtId="43" fontId="120" fillId="0" borderId="9" xfId="1" applyFont="1" applyFill="1" applyBorder="1" applyAlignment="1">
      <alignment horizontal="center" vertical="center"/>
    </xf>
    <xf numFmtId="43" fontId="111" fillId="0" borderId="9" xfId="1" applyFont="1" applyFill="1" applyBorder="1" applyAlignment="1"/>
    <xf numFmtId="43" fontId="135" fillId="0" borderId="9" xfId="1" applyFont="1" applyFill="1" applyBorder="1" applyAlignment="1">
      <alignment vertical="top"/>
    </xf>
    <xf numFmtId="43" fontId="136" fillId="0" borderId="9" xfId="1" applyFont="1" applyFill="1" applyBorder="1" applyAlignment="1">
      <alignment horizontal="center" vertical="center"/>
    </xf>
    <xf numFmtId="43" fontId="123" fillId="0" borderId="0" xfId="1" applyFont="1" applyAlignment="1"/>
    <xf numFmtId="43" fontId="135" fillId="16" borderId="9" xfId="1" applyFont="1" applyFill="1" applyBorder="1" applyAlignment="1">
      <alignment horizontal="center" vertical="center"/>
    </xf>
    <xf numFmtId="43" fontId="48" fillId="16" borderId="9" xfId="1" applyFont="1" applyFill="1" applyBorder="1" applyAlignment="1">
      <alignment horizontal="center" vertical="center"/>
    </xf>
    <xf numFmtId="43" fontId="135" fillId="0" borderId="9" xfId="1" applyFont="1" applyFill="1" applyBorder="1" applyAlignment="1"/>
    <xf numFmtId="43" fontId="138" fillId="0" borderId="9" xfId="1" applyFont="1" applyFill="1" applyBorder="1" applyAlignment="1">
      <alignment horizontal="center" vertical="center"/>
    </xf>
    <xf numFmtId="173" fontId="135" fillId="0" borderId="3" xfId="1" applyNumberFormat="1" applyFont="1" applyFill="1" applyBorder="1" applyAlignment="1">
      <alignment horizontal="left" vertical="top"/>
    </xf>
    <xf numFmtId="43" fontId="135" fillId="0" borderId="3" xfId="1" applyFont="1" applyFill="1" applyBorder="1" applyAlignment="1">
      <alignment horizontal="center" vertical="center"/>
    </xf>
    <xf numFmtId="43" fontId="136" fillId="0" borderId="3" xfId="1" applyFont="1" applyFill="1" applyBorder="1" applyAlignment="1">
      <alignment horizontal="center" vertical="center"/>
    </xf>
    <xf numFmtId="43" fontId="138" fillId="0" borderId="3" xfId="1" applyFont="1" applyFill="1" applyBorder="1" applyAlignment="1">
      <alignment horizontal="center" vertical="center"/>
    </xf>
    <xf numFmtId="43" fontId="135" fillId="16" borderId="3" xfId="1" applyFont="1" applyFill="1" applyBorder="1" applyAlignment="1">
      <alignment horizontal="center" vertical="center"/>
    </xf>
    <xf numFmtId="43" fontId="120" fillId="0" borderId="3" xfId="1" applyFont="1" applyFill="1" applyBorder="1" applyAlignment="1">
      <alignment horizontal="center" vertical="center"/>
    </xf>
    <xf numFmtId="43" fontId="124" fillId="0" borderId="43" xfId="1" applyFont="1" applyFill="1" applyBorder="1" applyAlignment="1">
      <alignment horizontal="center" vertical="center"/>
    </xf>
    <xf numFmtId="43" fontId="125" fillId="0" borderId="44" xfId="1" applyFont="1" applyFill="1" applyBorder="1" applyAlignment="1">
      <alignment horizontal="center" vertical="center"/>
    </xf>
    <xf numFmtId="43" fontId="122" fillId="0" borderId="44" xfId="1" applyFont="1" applyFill="1" applyBorder="1" applyAlignment="1">
      <alignment horizontal="center" vertical="center"/>
    </xf>
    <xf numFmtId="43" fontId="123" fillId="0" borderId="46" xfId="1" applyFont="1" applyFill="1" applyBorder="1" applyAlignment="1">
      <alignment horizontal="center" vertical="center"/>
    </xf>
    <xf numFmtId="43" fontId="48" fillId="16" borderId="3" xfId="1" applyFont="1" applyFill="1" applyBorder="1" applyAlignment="1">
      <alignment horizontal="center" vertical="center"/>
    </xf>
    <xf numFmtId="43" fontId="135" fillId="0" borderId="3" xfId="1" applyFont="1" applyFill="1" applyBorder="1" applyAlignment="1"/>
    <xf numFmtId="43" fontId="136" fillId="0" borderId="54" xfId="1" applyFont="1" applyFill="1" applyBorder="1" applyAlignment="1">
      <alignment horizontal="center" vertical="center"/>
    </xf>
    <xf numFmtId="43" fontId="138" fillId="0" borderId="54" xfId="1" applyFont="1" applyFill="1" applyBorder="1" applyAlignment="1">
      <alignment horizontal="center" vertical="center"/>
    </xf>
    <xf numFmtId="173" fontId="135" fillId="0" borderId="13" xfId="1" applyNumberFormat="1" applyFont="1" applyFill="1" applyBorder="1" applyAlignment="1">
      <alignment horizontal="left" vertical="top"/>
    </xf>
    <xf numFmtId="43" fontId="136" fillId="0" borderId="13" xfId="1" applyFont="1" applyFill="1" applyBorder="1" applyAlignment="1">
      <alignment horizontal="center" vertical="center"/>
    </xf>
    <xf numFmtId="43" fontId="138" fillId="0" borderId="13" xfId="1" applyFont="1" applyFill="1" applyBorder="1" applyAlignment="1">
      <alignment horizontal="center" vertical="center"/>
    </xf>
    <xf numFmtId="43" fontId="135" fillId="16" borderId="13" xfId="1" applyFont="1" applyFill="1" applyBorder="1" applyAlignment="1">
      <alignment horizontal="center" vertical="center"/>
    </xf>
    <xf numFmtId="43" fontId="120" fillId="0" borderId="13" xfId="1" applyFont="1" applyFill="1" applyBorder="1" applyAlignment="1">
      <alignment horizontal="center" vertical="center"/>
    </xf>
    <xf numFmtId="43" fontId="48" fillId="16" borderId="13" xfId="1" applyFont="1" applyFill="1" applyBorder="1" applyAlignment="1">
      <alignment horizontal="center" vertical="center"/>
    </xf>
    <xf numFmtId="43" fontId="135" fillId="0" borderId="13" xfId="1" applyFont="1" applyFill="1" applyBorder="1" applyAlignment="1"/>
    <xf numFmtId="173" fontId="135" fillId="0" borderId="15" xfId="1" applyNumberFormat="1" applyFont="1" applyFill="1" applyBorder="1" applyAlignment="1">
      <alignment horizontal="left" vertical="top"/>
    </xf>
    <xf numFmtId="43" fontId="120" fillId="0" borderId="15" xfId="1" applyFont="1" applyFill="1" applyBorder="1" applyAlignment="1">
      <alignment horizontal="center" vertical="center"/>
    </xf>
    <xf numFmtId="43" fontId="124" fillId="0" borderId="25" xfId="1" applyFont="1" applyFill="1" applyBorder="1" applyAlignment="1">
      <alignment horizontal="center" vertical="center"/>
    </xf>
    <xf numFmtId="43" fontId="125" fillId="0" borderId="26" xfId="1" applyFont="1" applyFill="1" applyBorder="1" applyAlignment="1">
      <alignment horizontal="center" vertical="center"/>
    </xf>
    <xf numFmtId="43" fontId="122" fillId="0" borderId="26" xfId="1" applyFont="1" applyFill="1" applyBorder="1" applyAlignment="1">
      <alignment horizontal="center" vertical="center"/>
    </xf>
    <xf numFmtId="43" fontId="123" fillId="0" borderId="27" xfId="1" applyFont="1" applyFill="1" applyBorder="1" applyAlignment="1">
      <alignment horizontal="center" vertical="center"/>
    </xf>
    <xf numFmtId="43" fontId="48" fillId="16" borderId="15" xfId="1" applyFont="1" applyFill="1" applyBorder="1" applyAlignment="1">
      <alignment horizontal="center" vertical="center"/>
    </xf>
    <xf numFmtId="43" fontId="135" fillId="0" borderId="15" xfId="1" applyFont="1" applyFill="1" applyBorder="1" applyAlignment="1"/>
    <xf numFmtId="43" fontId="135" fillId="0" borderId="12" xfId="1" applyFont="1" applyFill="1" applyBorder="1" applyAlignment="1">
      <alignment vertical="top"/>
    </xf>
    <xf numFmtId="43" fontId="135" fillId="0" borderId="13" xfId="1" applyFont="1" applyFill="1" applyBorder="1" applyAlignment="1">
      <alignment vertical="top"/>
    </xf>
    <xf numFmtId="43" fontId="111" fillId="0" borderId="13" xfId="1" applyFont="1" applyBorder="1" applyAlignment="1"/>
    <xf numFmtId="43" fontId="124" fillId="0" borderId="43" xfId="1" applyFont="1" applyBorder="1" applyAlignment="1"/>
    <xf numFmtId="43" fontId="125" fillId="0" borderId="44" xfId="1" applyFont="1" applyBorder="1" applyAlignment="1"/>
    <xf numFmtId="43" fontId="122" fillId="0" borderId="44" xfId="1" applyFont="1" applyBorder="1" applyAlignment="1"/>
    <xf numFmtId="43" fontId="123" fillId="0" borderId="46" xfId="1" applyFont="1" applyBorder="1" applyAlignment="1"/>
    <xf numFmtId="43" fontId="135" fillId="0" borderId="15" xfId="1" applyFont="1" applyFill="1" applyBorder="1" applyAlignment="1">
      <alignment vertical="top"/>
    </xf>
    <xf numFmtId="173" fontId="135" fillId="0" borderId="12" xfId="1" applyNumberFormat="1" applyFont="1" applyFill="1" applyBorder="1" applyAlignment="1">
      <alignment horizontal="left" vertical="top"/>
    </xf>
    <xf numFmtId="43" fontId="120" fillId="0" borderId="12" xfId="1" applyFont="1" applyBorder="1" applyAlignment="1"/>
    <xf numFmtId="43" fontId="120" fillId="0" borderId="15" xfId="1" applyFont="1" applyBorder="1" applyAlignment="1"/>
    <xf numFmtId="43" fontId="124" fillId="0" borderId="72" xfId="1" applyFont="1" applyBorder="1" applyAlignment="1"/>
    <xf numFmtId="43" fontId="123" fillId="0" borderId="41" xfId="1" applyFont="1" applyBorder="1" applyAlignment="1"/>
    <xf numFmtId="43" fontId="124" fillId="0" borderId="50" xfId="1" applyFont="1" applyBorder="1" applyAlignment="1"/>
    <xf numFmtId="43" fontId="123" fillId="0" borderId="42" xfId="1" applyFont="1" applyBorder="1" applyAlignment="1"/>
    <xf numFmtId="43" fontId="120" fillId="0" borderId="13" xfId="1" applyFont="1" applyBorder="1" applyAlignment="1"/>
    <xf numFmtId="43" fontId="113" fillId="0" borderId="55" xfId="57" applyFont="1" applyFill="1" applyBorder="1" applyAlignment="1"/>
    <xf numFmtId="43" fontId="113" fillId="0" borderId="59" xfId="57" applyFont="1" applyFill="1" applyBorder="1" applyAlignment="1"/>
    <xf numFmtId="43" fontId="122" fillId="0" borderId="59" xfId="57" applyFont="1" applyBorder="1" applyAlignment="1"/>
    <xf numFmtId="43" fontId="123" fillId="0" borderId="59" xfId="57" applyFont="1" applyBorder="1" applyAlignment="1"/>
    <xf numFmtId="43" fontId="111" fillId="0" borderId="59" xfId="57" applyFont="1" applyBorder="1" applyAlignment="1"/>
    <xf numFmtId="43" fontId="124" fillId="0" borderId="59" xfId="57" applyFont="1" applyBorder="1" applyAlignment="1"/>
    <xf numFmtId="43" fontId="125" fillId="0" borderId="59" xfId="57" applyFont="1" applyBorder="1" applyAlignment="1"/>
    <xf numFmtId="43" fontId="111" fillId="0" borderId="61" xfId="57" applyFont="1" applyBorder="1" applyAlignment="1"/>
    <xf numFmtId="43" fontId="122" fillId="0" borderId="54" xfId="57" applyFont="1" applyBorder="1" applyAlignment="1"/>
    <xf numFmtId="43" fontId="123" fillId="0" borderId="54" xfId="57" applyFont="1" applyBorder="1" applyAlignment="1"/>
    <xf numFmtId="43" fontId="111" fillId="0" borderId="54" xfId="57" applyFont="1" applyBorder="1" applyAlignment="1"/>
    <xf numFmtId="43" fontId="124" fillId="0" borderId="71" xfId="57" applyFont="1" applyBorder="1" applyAlignment="1"/>
    <xf numFmtId="43" fontId="125" fillId="0" borderId="23" xfId="57" applyFont="1" applyBorder="1" applyAlignment="1"/>
    <xf numFmtId="43" fontId="122" fillId="0" borderId="23" xfId="57" applyFont="1" applyBorder="1" applyAlignment="1"/>
    <xf numFmtId="43" fontId="123" fillId="0" borderId="24" xfId="57" applyFont="1" applyBorder="1" applyAlignment="1"/>
    <xf numFmtId="43" fontId="111" fillId="0" borderId="54" xfId="57" applyFont="1" applyFill="1" applyBorder="1" applyAlignment="1"/>
    <xf numFmtId="43" fontId="111" fillId="0" borderId="0" xfId="57" applyFont="1" applyBorder="1" applyAlignment="1"/>
    <xf numFmtId="43" fontId="122" fillId="0" borderId="9" xfId="57" applyFont="1" applyBorder="1" applyAlignment="1"/>
    <xf numFmtId="43" fontId="123" fillId="0" borderId="9" xfId="57" applyFont="1" applyBorder="1" applyAlignment="1"/>
    <xf numFmtId="43" fontId="111" fillId="0" borderId="9" xfId="57" applyFont="1" applyBorder="1" applyAlignment="1"/>
    <xf numFmtId="43" fontId="124" fillId="0" borderId="28" xfId="57" applyFont="1" applyBorder="1" applyAlignment="1"/>
    <xf numFmtId="43" fontId="125" fillId="0" borderId="29" xfId="57" applyFont="1" applyBorder="1" applyAlignment="1"/>
    <xf numFmtId="43" fontId="122" fillId="0" borderId="29" xfId="57" applyFont="1" applyBorder="1" applyAlignment="1"/>
    <xf numFmtId="43" fontId="123" fillId="0" borderId="30" xfId="57" applyFont="1" applyBorder="1" applyAlignment="1"/>
    <xf numFmtId="43" fontId="111" fillId="0" borderId="9" xfId="57" applyFont="1" applyFill="1" applyBorder="1" applyAlignment="1"/>
    <xf numFmtId="43" fontId="135" fillId="0" borderId="12" xfId="57" applyFont="1" applyBorder="1" applyAlignment="1"/>
    <xf numFmtId="43" fontId="123" fillId="0" borderId="12" xfId="57" applyFont="1" applyBorder="1" applyAlignment="1"/>
    <xf numFmtId="43" fontId="135" fillId="16" borderId="12" xfId="57" applyFont="1" applyFill="1" applyBorder="1" applyAlignment="1">
      <alignment horizontal="center" vertical="center"/>
    </xf>
    <xf numFmtId="43" fontId="135" fillId="0" borderId="12" xfId="57" applyFont="1" applyFill="1" applyBorder="1" applyAlignment="1">
      <alignment horizontal="center" vertical="center"/>
    </xf>
    <xf numFmtId="43" fontId="111" fillId="0" borderId="12" xfId="57" applyFont="1" applyBorder="1" applyAlignment="1"/>
    <xf numFmtId="43" fontId="124" fillId="0" borderId="20" xfId="57" applyFont="1" applyBorder="1" applyAlignment="1"/>
    <xf numFmtId="43" fontId="125" fillId="0" borderId="21" xfId="57" applyFont="1" applyBorder="1" applyAlignment="1"/>
    <xf numFmtId="43" fontId="122" fillId="0" borderId="21" xfId="57" applyFont="1" applyBorder="1" applyAlignment="1"/>
    <xf numFmtId="43" fontId="123" fillId="0" borderId="22" xfId="57" applyFont="1" applyBorder="1" applyAlignment="1"/>
    <xf numFmtId="43" fontId="48" fillId="16" borderId="12" xfId="57" applyFont="1" applyFill="1" applyBorder="1" applyAlignment="1">
      <alignment horizontal="center" vertical="center"/>
    </xf>
    <xf numFmtId="43" fontId="122" fillId="0" borderId="12" xfId="57" applyFont="1" applyBorder="1" applyAlignment="1"/>
    <xf numFmtId="43" fontId="141" fillId="0" borderId="12" xfId="57" applyFont="1" applyBorder="1" applyAlignment="1"/>
    <xf numFmtId="43" fontId="141" fillId="0" borderId="13" xfId="57" applyFont="1" applyBorder="1" applyAlignment="1"/>
    <xf numFmtId="43" fontId="122" fillId="0" borderId="13" xfId="57" applyFont="1" applyBorder="1" applyAlignment="1"/>
    <xf numFmtId="43" fontId="123" fillId="0" borderId="13" xfId="57" applyFont="1" applyBorder="1" applyAlignment="1"/>
    <xf numFmtId="43" fontId="135" fillId="16" borderId="13" xfId="57" applyFont="1" applyFill="1" applyBorder="1" applyAlignment="1">
      <alignment horizontal="center" vertical="center"/>
    </xf>
    <xf numFmtId="43" fontId="135" fillId="0" borderId="13" xfId="57" applyFont="1" applyFill="1" applyBorder="1" applyAlignment="1">
      <alignment horizontal="center" vertical="center"/>
    </xf>
    <xf numFmtId="43" fontId="111" fillId="0" borderId="13" xfId="57" applyFont="1" applyBorder="1" applyAlignment="1"/>
    <xf numFmtId="43" fontId="124" fillId="0" borderId="43" xfId="57" applyFont="1" applyBorder="1" applyAlignment="1"/>
    <xf numFmtId="43" fontId="125" fillId="0" borderId="44" xfId="57" applyFont="1" applyBorder="1" applyAlignment="1"/>
    <xf numFmtId="43" fontId="122" fillId="0" borderId="44" xfId="57" applyFont="1" applyBorder="1" applyAlignment="1"/>
    <xf numFmtId="43" fontId="123" fillId="0" borderId="46" xfId="57" applyFont="1" applyBorder="1" applyAlignment="1"/>
    <xf numFmtId="43" fontId="48" fillId="16" borderId="13" xfId="57" applyFont="1" applyFill="1" applyBorder="1" applyAlignment="1">
      <alignment horizontal="center" vertical="center"/>
    </xf>
    <xf numFmtId="43" fontId="122" fillId="2" borderId="12" xfId="1" applyFont="1" applyFill="1" applyBorder="1" applyAlignment="1"/>
    <xf numFmtId="43" fontId="135" fillId="0" borderId="15" xfId="57" applyFont="1" applyBorder="1" applyAlignment="1"/>
    <xf numFmtId="43" fontId="135" fillId="16" borderId="15" xfId="57" applyFont="1" applyFill="1" applyBorder="1" applyAlignment="1">
      <alignment horizontal="center" vertical="center"/>
    </xf>
    <xf numFmtId="43" fontId="135" fillId="0" borderId="15" xfId="57" applyFont="1" applyFill="1" applyBorder="1" applyAlignment="1">
      <alignment horizontal="center" vertical="center"/>
    </xf>
    <xf numFmtId="43" fontId="48" fillId="16" borderId="15" xfId="57" applyFont="1" applyFill="1" applyBorder="1" applyAlignment="1">
      <alignment horizontal="center" vertical="center"/>
    </xf>
    <xf numFmtId="43" fontId="111" fillId="0" borderId="16" xfId="1" applyFont="1" applyBorder="1" applyAlignment="1"/>
    <xf numFmtId="43" fontId="120" fillId="2" borderId="12" xfId="1" applyFont="1" applyFill="1" applyBorder="1" applyAlignment="1"/>
    <xf numFmtId="43" fontId="122" fillId="0" borderId="0" xfId="1" applyFont="1" applyAlignment="1"/>
    <xf numFmtId="43" fontId="124" fillId="0" borderId="0" xfId="1" applyFont="1" applyAlignment="1"/>
    <xf numFmtId="43" fontId="125" fillId="0" borderId="0" xfId="1" applyFont="1" applyAlignment="1"/>
    <xf numFmtId="177" fontId="51" fillId="0" borderId="55" xfId="1" applyNumberFormat="1" applyFont="1" applyBorder="1" applyAlignment="1">
      <alignment horizontal="center" wrapText="1"/>
    </xf>
    <xf numFmtId="177" fontId="51" fillId="0" borderId="59" xfId="1" applyNumberFormat="1" applyFont="1" applyBorder="1" applyAlignment="1">
      <alignment horizontal="center" wrapText="1"/>
    </xf>
    <xf numFmtId="177" fontId="51" fillId="0" borderId="61" xfId="1" applyNumberFormat="1" applyFont="1" applyBorder="1" applyAlignment="1">
      <alignment horizontal="center" wrapText="1"/>
    </xf>
    <xf numFmtId="43" fontId="51" fillId="4" borderId="85" xfId="1" applyFont="1" applyFill="1" applyBorder="1" applyAlignment="1">
      <alignment horizontal="center" vertical="center"/>
    </xf>
    <xf numFmtId="43" fontId="51" fillId="4" borderId="86" xfId="1" applyFont="1" applyFill="1" applyBorder="1" applyAlignment="1">
      <alignment horizontal="center" vertical="center"/>
    </xf>
    <xf numFmtId="43" fontId="48" fillId="0" borderId="53" xfId="1" applyFont="1" applyFill="1" applyBorder="1" applyAlignment="1">
      <alignment horizontal="center" vertical="center"/>
    </xf>
    <xf numFmtId="43" fontId="51" fillId="0" borderId="53" xfId="1" applyFont="1" applyBorder="1" applyAlignment="1">
      <alignment horizontal="center"/>
    </xf>
    <xf numFmtId="43" fontId="74" fillId="0" borderId="53" xfId="1" applyFont="1" applyBorder="1" applyAlignment="1"/>
    <xf numFmtId="43" fontId="74" fillId="0" borderId="53" xfId="1" applyFont="1" applyFill="1" applyBorder="1" applyAlignment="1">
      <alignment horizontal="center" vertical="center"/>
    </xf>
    <xf numFmtId="43" fontId="133" fillId="0" borderId="55" xfId="1" applyFont="1" applyBorder="1" applyAlignment="1">
      <alignment horizontal="center"/>
    </xf>
    <xf numFmtId="43" fontId="133" fillId="0" borderId="59" xfId="1" applyFont="1" applyBorder="1" applyAlignment="1">
      <alignment horizontal="center"/>
    </xf>
    <xf numFmtId="43" fontId="133" fillId="0" borderId="61" xfId="1" applyFont="1" applyBorder="1" applyAlignment="1">
      <alignment horizontal="center"/>
    </xf>
    <xf numFmtId="177" fontId="47" fillId="0" borderId="55" xfId="1" applyNumberFormat="1" applyFont="1" applyFill="1" applyBorder="1" applyAlignment="1">
      <alignment horizontal="center" vertical="center"/>
    </xf>
    <xf numFmtId="177" fontId="47" fillId="0" borderId="59" xfId="1" applyNumberFormat="1" applyFont="1" applyFill="1" applyBorder="1" applyAlignment="1">
      <alignment horizontal="center" vertical="center"/>
    </xf>
    <xf numFmtId="177" fontId="47" fillId="0" borderId="61" xfId="1" applyNumberFormat="1" applyFont="1" applyFill="1" applyBorder="1" applyAlignment="1">
      <alignment horizontal="center" vertical="center"/>
    </xf>
    <xf numFmtId="165" fontId="56" fillId="19" borderId="56" xfId="133" applyFont="1" applyFill="1" applyBorder="1" applyAlignment="1">
      <alignment horizontal="center" vertical="center"/>
    </xf>
    <xf numFmtId="165" fontId="56" fillId="19" borderId="17" xfId="133" applyFont="1" applyFill="1" applyBorder="1" applyAlignment="1">
      <alignment horizontal="center" vertical="center"/>
    </xf>
    <xf numFmtId="169" fontId="47" fillId="0" borderId="85" xfId="133" applyNumberFormat="1" applyFont="1" applyFill="1" applyBorder="1" applyAlignment="1">
      <alignment horizontal="center" vertical="center"/>
    </xf>
    <xf numFmtId="169" fontId="47" fillId="0" borderId="62" xfId="133" applyNumberFormat="1" applyFont="1" applyFill="1" applyBorder="1" applyAlignment="1">
      <alignment horizontal="center" vertical="center"/>
    </xf>
    <xf numFmtId="169" fontId="47" fillId="0" borderId="86" xfId="133" applyNumberFormat="1" applyFont="1" applyFill="1" applyBorder="1" applyAlignment="1">
      <alignment horizontal="center" vertical="center"/>
    </xf>
    <xf numFmtId="169" fontId="47" fillId="0" borderId="37" xfId="133" applyNumberFormat="1" applyFont="1" applyFill="1" applyBorder="1" applyAlignment="1">
      <alignment horizontal="center" vertical="center"/>
    </xf>
    <xf numFmtId="169" fontId="47" fillId="0" borderId="88" xfId="133" applyNumberFormat="1" applyFont="1" applyFill="1" applyBorder="1" applyAlignment="1">
      <alignment horizontal="center" vertical="center"/>
    </xf>
    <xf numFmtId="169" fontId="47" fillId="0" borderId="89" xfId="133" applyNumberFormat="1" applyFont="1" applyFill="1" applyBorder="1" applyAlignment="1">
      <alignment horizontal="center" vertical="center"/>
    </xf>
    <xf numFmtId="165" fontId="56" fillId="19" borderId="99" xfId="133" applyFont="1" applyFill="1" applyBorder="1" applyAlignment="1">
      <alignment horizontal="center" vertical="center"/>
    </xf>
    <xf numFmtId="165" fontId="56" fillId="19" borderId="3" xfId="133" applyFont="1" applyFill="1" applyBorder="1" applyAlignment="1">
      <alignment horizontal="center" vertical="center"/>
    </xf>
    <xf numFmtId="165" fontId="56" fillId="19" borderId="75" xfId="133" applyFont="1" applyFill="1" applyBorder="1" applyAlignment="1">
      <alignment horizontal="center" vertical="center"/>
    </xf>
    <xf numFmtId="165" fontId="56" fillId="19" borderId="36" xfId="133" applyFont="1" applyFill="1" applyBorder="1" applyAlignment="1">
      <alignment horizontal="center" vertical="center"/>
    </xf>
    <xf numFmtId="165" fontId="56" fillId="19" borderId="86" xfId="133" applyFont="1" applyFill="1" applyBorder="1" applyAlignment="1">
      <alignment horizontal="center" vertical="center"/>
    </xf>
    <xf numFmtId="165" fontId="56" fillId="19" borderId="38" xfId="133" applyFont="1" applyFill="1" applyBorder="1" applyAlignment="1">
      <alignment horizontal="center" vertical="center"/>
    </xf>
    <xf numFmtId="165" fontId="47" fillId="0" borderId="0" xfId="133" applyFont="1" applyFill="1" applyBorder="1" applyAlignment="1">
      <alignment horizontal="center" vertical="center"/>
    </xf>
    <xf numFmtId="177" fontId="47" fillId="0" borderId="85" xfId="1" applyNumberFormat="1" applyFont="1" applyFill="1" applyBorder="1" applyAlignment="1">
      <alignment horizontal="center" vertical="center"/>
    </xf>
    <xf numFmtId="177" fontId="47" fillId="0" borderId="62" xfId="1" applyNumberFormat="1" applyFont="1" applyFill="1" applyBorder="1" applyAlignment="1">
      <alignment horizontal="center" vertical="center"/>
    </xf>
    <xf numFmtId="177" fontId="47" fillId="0" borderId="86" xfId="1" applyNumberFormat="1" applyFont="1" applyFill="1" applyBorder="1" applyAlignment="1">
      <alignment horizontal="center" vertical="center"/>
    </xf>
    <xf numFmtId="177" fontId="47" fillId="0" borderId="37" xfId="1" applyNumberFormat="1" applyFont="1" applyFill="1" applyBorder="1" applyAlignment="1">
      <alignment horizontal="center" vertical="center"/>
    </xf>
    <xf numFmtId="177" fontId="47" fillId="0" borderId="88" xfId="1" applyNumberFormat="1" applyFont="1" applyFill="1" applyBorder="1" applyAlignment="1">
      <alignment horizontal="center" vertical="center"/>
    </xf>
    <xf numFmtId="177" fontId="47" fillId="0" borderId="89" xfId="1" applyNumberFormat="1" applyFont="1" applyFill="1" applyBorder="1" applyAlignment="1">
      <alignment horizontal="center" vertical="center"/>
    </xf>
    <xf numFmtId="165" fontId="91" fillId="0" borderId="0" xfId="133" applyFont="1" applyFill="1" applyBorder="1" applyAlignment="1">
      <alignment horizontal="center" vertical="center"/>
    </xf>
    <xf numFmtId="169" fontId="47" fillId="0" borderId="63" xfId="133" applyNumberFormat="1" applyFont="1" applyFill="1" applyBorder="1" applyAlignment="1">
      <alignment horizontal="center" vertical="center"/>
    </xf>
    <xf numFmtId="169" fontId="47" fillId="0" borderId="64" xfId="133" applyNumberFormat="1" applyFont="1" applyFill="1" applyBorder="1" applyAlignment="1">
      <alignment horizontal="center" vertical="center"/>
    </xf>
    <xf numFmtId="169" fontId="47" fillId="0" borderId="4" xfId="133" applyNumberFormat="1" applyFont="1" applyFill="1" applyBorder="1" applyAlignment="1">
      <alignment horizontal="center" vertical="center"/>
    </xf>
    <xf numFmtId="169" fontId="47" fillId="0" borderId="0" xfId="133" applyNumberFormat="1" applyFont="1" applyFill="1" applyBorder="1" applyAlignment="1">
      <alignment horizontal="center" vertical="center"/>
    </xf>
    <xf numFmtId="169" fontId="47" fillId="0" borderId="6" xfId="133" applyNumberFormat="1" applyFont="1" applyFill="1" applyBorder="1" applyAlignment="1">
      <alignment horizontal="center" vertical="center"/>
    </xf>
    <xf numFmtId="177" fontId="56" fillId="0" borderId="37" xfId="1" applyNumberFormat="1" applyFont="1" applyBorder="1" applyAlignment="1">
      <alignment horizontal="center" vertical="center"/>
    </xf>
    <xf numFmtId="177" fontId="56" fillId="0" borderId="88" xfId="1" applyNumberFormat="1" applyFont="1" applyBorder="1" applyAlignment="1">
      <alignment horizontal="center" vertical="center"/>
    </xf>
    <xf numFmtId="177" fontId="47" fillId="0" borderId="53" xfId="1" applyNumberFormat="1" applyFont="1" applyFill="1" applyBorder="1" applyAlignment="1">
      <alignment horizontal="center" vertical="center"/>
    </xf>
    <xf numFmtId="0" fontId="70" fillId="0" borderId="59" xfId="36" applyFont="1" applyBorder="1" applyAlignment="1">
      <alignment horizontal="center" vertical="center" wrapText="1"/>
    </xf>
    <xf numFmtId="43" fontId="47" fillId="0" borderId="62" xfId="35" applyFont="1" applyBorder="1" applyAlignment="1">
      <alignment horizontal="center"/>
    </xf>
  </cellXfs>
  <cellStyles count="135">
    <cellStyle name="Comma" xfId="1" builtinId="3"/>
    <cellStyle name="Euro" xfId="34" xr:uid="{00000000-0005-0000-0000-000001000000}"/>
    <cellStyle name="Excel Built-in Comma [0]" xfId="64" xr:uid="{00000000-0005-0000-0000-000002000000}"/>
    <cellStyle name="Good" xfId="11" builtinId="26"/>
    <cellStyle name="Hyperlink" xfId="128" builtinId="8"/>
    <cellStyle name="Millares 10" xfId="43" xr:uid="{00000000-0005-0000-0000-000005000000}"/>
    <cellStyle name="Millares 10 2" xfId="103" xr:uid="{E5C698FE-2B84-4DCC-A6B6-ECDA79CE9F4C}"/>
    <cellStyle name="Millares 11" xfId="28" xr:uid="{00000000-0005-0000-0000-000006000000}"/>
    <cellStyle name="Millares 11 2" xfId="50" xr:uid="{00000000-0005-0000-0000-000007000000}"/>
    <cellStyle name="Millares 12" xfId="63" xr:uid="{00000000-0005-0000-0000-000008000000}"/>
    <cellStyle name="Millares 12 2" xfId="57" xr:uid="{00000000-0005-0000-0000-000009000000}"/>
    <cellStyle name="Millares 13" xfId="66" xr:uid="{00000000-0005-0000-0000-00000A000000}"/>
    <cellStyle name="Millares 14" xfId="16" xr:uid="{00000000-0005-0000-0000-00000B000000}"/>
    <cellStyle name="Millares 14 2" xfId="21" xr:uid="{00000000-0005-0000-0000-00000C000000}"/>
    <cellStyle name="Millares 14 2 2" xfId="42" xr:uid="{00000000-0005-0000-0000-00000D000000}"/>
    <cellStyle name="Millares 15" xfId="68" xr:uid="{00000000-0005-0000-0000-00000E000000}"/>
    <cellStyle name="Millares 16" xfId="73" xr:uid="{00000000-0005-0000-0000-00000F000000}"/>
    <cellStyle name="Millares 17" xfId="54" xr:uid="{00000000-0005-0000-0000-000010000000}"/>
    <cellStyle name="Millares 18" xfId="23" xr:uid="{00000000-0005-0000-0000-000011000000}"/>
    <cellStyle name="Millares 19" xfId="74" xr:uid="{00000000-0005-0000-0000-000012000000}"/>
    <cellStyle name="Millares 2" xfId="3" xr:uid="{00000000-0005-0000-0000-000013000000}"/>
    <cellStyle name="Millares 2 2" xfId="47" xr:uid="{00000000-0005-0000-0000-000014000000}"/>
    <cellStyle name="Millares 2 3" xfId="80" xr:uid="{00000000-0005-0000-0000-000015000000}"/>
    <cellStyle name="Millares 2 4" xfId="5" xr:uid="{00000000-0005-0000-0000-000016000000}"/>
    <cellStyle name="Millares 2 5" xfId="123" xr:uid="{13979146-C849-4773-B246-7505D0E23784}"/>
    <cellStyle name="Millares 20" xfId="14" xr:uid="{00000000-0005-0000-0000-000017000000}"/>
    <cellStyle name="Millares 21" xfId="77" xr:uid="{00000000-0005-0000-0000-000018000000}"/>
    <cellStyle name="Millares 22" xfId="87" xr:uid="{00000000-0005-0000-0000-000019000000}"/>
    <cellStyle name="Millares 23" xfId="88" xr:uid="{00000000-0005-0000-0000-00001A000000}"/>
    <cellStyle name="Millares 23 2" xfId="112" xr:uid="{B56D480C-2DED-46DE-B174-9F30A7B29992}"/>
    <cellStyle name="Millares 23 2 2" xfId="122" xr:uid="{65EA6826-ECA2-446E-AF82-6B1164B7EFF4}"/>
    <cellStyle name="Millares 23 2 3" xfId="129" xr:uid="{871CDAF4-89B3-4733-8DAC-4F3BB4F3D56B}"/>
    <cellStyle name="Millares 24" xfId="92" xr:uid="{00000000-0005-0000-0000-00001B000000}"/>
    <cellStyle name="Millares 25" xfId="94" xr:uid="{00000000-0005-0000-0000-00001C000000}"/>
    <cellStyle name="Millares 26" xfId="106" xr:uid="{7D75E608-F5B8-4761-BDB1-8558659491AC}"/>
    <cellStyle name="Millares 26 2" xfId="114" xr:uid="{162B1448-2B2B-4329-880E-6089E74F803F}"/>
    <cellStyle name="Millares 26 3" xfId="116" xr:uid="{2D743C02-BC7B-4D57-85AA-AC8CD12FCEC3}"/>
    <cellStyle name="Millares 26 4" xfId="133" xr:uid="{F425C2A0-17C7-4E17-9D79-97C7C2514122}"/>
    <cellStyle name="Millares 27" xfId="109" xr:uid="{BFCB44A0-1566-4570-92FF-3962E27A1002}"/>
    <cellStyle name="Millares 28" xfId="119" xr:uid="{D6ADCD09-C01B-4024-BFE3-EB18DD7F50DA}"/>
    <cellStyle name="Millares 29" xfId="121" xr:uid="{33329ADB-31CA-4FD4-923D-06832478427B}"/>
    <cellStyle name="Millares 3" xfId="7" xr:uid="{00000000-0005-0000-0000-00001D000000}"/>
    <cellStyle name="Millares 3 2" xfId="95" xr:uid="{00000000-0005-0000-0000-00001E000000}"/>
    <cellStyle name="Millares 3 3" xfId="96" xr:uid="{00000000-0005-0000-0000-00001F000000}"/>
    <cellStyle name="Millares 3 5" xfId="4" xr:uid="{00000000-0005-0000-0000-000020000000}"/>
    <cellStyle name="Millares 3 5 2" xfId="9" xr:uid="{00000000-0005-0000-0000-000021000000}"/>
    <cellStyle name="Millares 3 5 2 2" xfId="51" xr:uid="{00000000-0005-0000-0000-000022000000}"/>
    <cellStyle name="Millares 3 5 2 3" xfId="97" xr:uid="{00000000-0005-0000-0000-000023000000}"/>
    <cellStyle name="Millares 3 5 3" xfId="22" xr:uid="{00000000-0005-0000-0000-000024000000}"/>
    <cellStyle name="Millares 3 5 4" xfId="26" xr:uid="{00000000-0005-0000-0000-000025000000}"/>
    <cellStyle name="Millares 3 5 4 2" xfId="48" xr:uid="{00000000-0005-0000-0000-000026000000}"/>
    <cellStyle name="Millares 30" xfId="124" xr:uid="{8751487E-83E6-4A6D-A0FD-86A8409683A8}"/>
    <cellStyle name="Millares 31" xfId="126" xr:uid="{1FDFA573-2006-4C5B-9127-0820E633A136}"/>
    <cellStyle name="Millares 32" xfId="131" xr:uid="{A3EEF76E-ECC5-479B-9FA8-9295149859E3}"/>
    <cellStyle name="Millares 32 2" xfId="132" xr:uid="{12207403-90D8-4507-BFAE-FD10BD460D63}"/>
    <cellStyle name="Millares 4" xfId="13" xr:uid="{00000000-0005-0000-0000-000027000000}"/>
    <cellStyle name="Millares 4 2" xfId="98" xr:uid="{00000000-0005-0000-0000-000028000000}"/>
    <cellStyle name="Millares 4 3" xfId="72" xr:uid="{00000000-0005-0000-0000-000029000000}"/>
    <cellStyle name="Millares 5" xfId="20" xr:uid="{00000000-0005-0000-0000-00002A000000}"/>
    <cellStyle name="Millares 5 2" xfId="44" xr:uid="{00000000-0005-0000-0000-00002B000000}"/>
    <cellStyle name="Millares 5 3" xfId="52" xr:uid="{00000000-0005-0000-0000-00002C000000}"/>
    <cellStyle name="Millares 6" xfId="24" xr:uid="{00000000-0005-0000-0000-00002D000000}"/>
    <cellStyle name="Millares 6 2" xfId="46" xr:uid="{00000000-0005-0000-0000-00002E000000}"/>
    <cellStyle name="Millares 6 3" xfId="61" xr:uid="{00000000-0005-0000-0000-00002F000000}"/>
    <cellStyle name="Millares 7" xfId="32" xr:uid="{00000000-0005-0000-0000-000030000000}"/>
    <cellStyle name="Millares 8" xfId="35" xr:uid="{00000000-0005-0000-0000-000031000000}"/>
    <cellStyle name="Millares 9" xfId="39" xr:uid="{00000000-0005-0000-0000-000032000000}"/>
    <cellStyle name="Millares 9 2" xfId="79" xr:uid="{00000000-0005-0000-0000-000033000000}"/>
    <cellStyle name="Millares 9 3" xfId="82" xr:uid="{00000000-0005-0000-0000-000034000000}"/>
    <cellStyle name="Millares 9 3 2" xfId="89" xr:uid="{00000000-0005-0000-0000-000035000000}"/>
    <cellStyle name="Moneda 2" xfId="19" xr:uid="{00000000-0005-0000-0000-000037000000}"/>
    <cellStyle name="Moneda 2 3" xfId="65" xr:uid="{00000000-0005-0000-0000-000038000000}"/>
    <cellStyle name="Moneda 3" xfId="45" xr:uid="{00000000-0005-0000-0000-000039000000}"/>
    <cellStyle name="Moneda 3 2" xfId="105" xr:uid="{5E235BF7-1E3A-4ADE-B3EE-4A0748086F13}"/>
    <cellStyle name="Moneda 4" xfId="70" xr:uid="{00000000-0005-0000-0000-00003A000000}"/>
    <cellStyle name="Moneda 5" xfId="59" xr:uid="{00000000-0005-0000-0000-00003B000000}"/>
    <cellStyle name="Moneda 6" xfId="85" xr:uid="{00000000-0005-0000-0000-00003C000000}"/>
    <cellStyle name="Normal" xfId="0" builtinId="0"/>
    <cellStyle name="Normal 10" xfId="53" xr:uid="{00000000-0005-0000-0000-00003E000000}"/>
    <cellStyle name="Normal 10 2" xfId="104" xr:uid="{3C07F71E-9294-49B3-A02B-DB340F4A0F55}"/>
    <cellStyle name="Normal 11" xfId="62" xr:uid="{00000000-0005-0000-0000-00003F000000}"/>
    <cellStyle name="Normal 12" xfId="6" xr:uid="{00000000-0005-0000-0000-000040000000}"/>
    <cellStyle name="Normal 13" xfId="67" xr:uid="{00000000-0005-0000-0000-000041000000}"/>
    <cellStyle name="Normal 14" xfId="69" xr:uid="{00000000-0005-0000-0000-000042000000}"/>
    <cellStyle name="Normal 15" xfId="76" xr:uid="{00000000-0005-0000-0000-000043000000}"/>
    <cellStyle name="Normal 16" xfId="81" xr:uid="{00000000-0005-0000-0000-000044000000}"/>
    <cellStyle name="Normal 17" xfId="86" xr:uid="{00000000-0005-0000-0000-000045000000}"/>
    <cellStyle name="Normal 18" xfId="18" xr:uid="{00000000-0005-0000-0000-000046000000}"/>
    <cellStyle name="Normal 19" xfId="91" xr:uid="{00000000-0005-0000-0000-000047000000}"/>
    <cellStyle name="Normal 2" xfId="8" xr:uid="{00000000-0005-0000-0000-000048000000}"/>
    <cellStyle name="Normal 2 2" xfId="2" xr:uid="{00000000-0005-0000-0000-000049000000}"/>
    <cellStyle name="Normal 2 3" xfId="36" xr:uid="{00000000-0005-0000-0000-00004A000000}"/>
    <cellStyle name="Normal 2 4" xfId="75" xr:uid="{00000000-0005-0000-0000-00004B000000}"/>
    <cellStyle name="Normal 2 5" xfId="99" xr:uid="{00000000-0005-0000-0000-00004C000000}"/>
    <cellStyle name="Normal 2 6" xfId="113" xr:uid="{DCED6DF7-595B-4164-B97A-EF6C78C0DE8E}"/>
    <cellStyle name="Normal 20" xfId="31" xr:uid="{00000000-0005-0000-0000-00004D000000}"/>
    <cellStyle name="Normal 21" xfId="93" xr:uid="{00000000-0005-0000-0000-00004E000000}"/>
    <cellStyle name="Normal 22" xfId="100" xr:uid="{00000000-0005-0000-0000-00004F000000}"/>
    <cellStyle name="Normal 23" xfId="101" xr:uid="{00000000-0005-0000-0000-000050000000}"/>
    <cellStyle name="Normal 24" xfId="102" xr:uid="{00000000-0005-0000-0000-000051000000}"/>
    <cellStyle name="Normal 25" xfId="107" xr:uid="{41976CED-5EB8-4C63-9817-D2AFFFAC7CF7}"/>
    <cellStyle name="Normal 25 2" xfId="115" xr:uid="{7E9445B8-AF1C-4601-8B4F-D509BF705A6D}"/>
    <cellStyle name="Normal 25 3" xfId="117" xr:uid="{720270B3-0AE9-4C29-9101-FB9923337FDD}"/>
    <cellStyle name="Normal 25 4" xfId="134" xr:uid="{B27ABDAF-0596-4A68-868F-2070012443FB}"/>
    <cellStyle name="Normal 26" xfId="108" xr:uid="{098590AB-3AED-4208-91DC-4521A83E1CB9}"/>
    <cellStyle name="Normal 27" xfId="110" xr:uid="{CEDD172B-C9EA-474C-AC79-739E8829C6AC}"/>
    <cellStyle name="Normal 28" xfId="118" xr:uid="{7227B9E6-52A4-4172-B736-55256D97AF6B}"/>
    <cellStyle name="Normal 29" xfId="120" xr:uid="{480D4456-E241-4A06-8475-7B365DA713F2}"/>
    <cellStyle name="Normal 3" xfId="12" xr:uid="{00000000-0005-0000-0000-000052000000}"/>
    <cellStyle name="Normal 3 3" xfId="25" xr:uid="{00000000-0005-0000-0000-000053000000}"/>
    <cellStyle name="Normal 3 3 2" xfId="56" xr:uid="{00000000-0005-0000-0000-000054000000}"/>
    <cellStyle name="Normal 30" xfId="125" xr:uid="{BCF36CF0-77D0-4D6D-97C4-A69105AF3AF6}"/>
    <cellStyle name="Normal 31" xfId="127" xr:uid="{F16A7135-75E0-4A14-8039-F7DE9508F217}"/>
    <cellStyle name="Normal 32" xfId="130" xr:uid="{A97967CA-131C-4236-9250-48403EACA8F8}"/>
    <cellStyle name="Normal 4" xfId="17" xr:uid="{00000000-0005-0000-0000-000055000000}"/>
    <cellStyle name="Normal 4 2" xfId="41" xr:uid="{00000000-0005-0000-0000-000056000000}"/>
    <cellStyle name="Normal 4 3" xfId="71" xr:uid="{00000000-0005-0000-0000-000057000000}"/>
    <cellStyle name="Normal 5" xfId="27" xr:uid="{00000000-0005-0000-0000-000058000000}"/>
    <cellStyle name="Normal 5 2" xfId="38" xr:uid="{00000000-0005-0000-0000-000059000000}"/>
    <cellStyle name="Normal 5 2 2" xfId="49" xr:uid="{00000000-0005-0000-0000-00005A000000}"/>
    <cellStyle name="Normal 6" xfId="29" xr:uid="{00000000-0005-0000-0000-00005B000000}"/>
    <cellStyle name="Normal 7" xfId="33" xr:uid="{00000000-0005-0000-0000-00005C000000}"/>
    <cellStyle name="Normal 8" xfId="37" xr:uid="{00000000-0005-0000-0000-00005D000000}"/>
    <cellStyle name="Normal 9" xfId="40" xr:uid="{00000000-0005-0000-0000-00005E000000}"/>
    <cellStyle name="Normal 9 2" xfId="78" xr:uid="{00000000-0005-0000-0000-00005F000000}"/>
    <cellStyle name="Normal 9 3" xfId="83" xr:uid="{00000000-0005-0000-0000-000060000000}"/>
    <cellStyle name="Normal 9 3 2" xfId="90" xr:uid="{00000000-0005-0000-0000-000061000000}"/>
    <cellStyle name="Percent" xfId="30" builtinId="5"/>
    <cellStyle name="Porcentaje 2" xfId="10" xr:uid="{00000000-0005-0000-0000-000063000000}"/>
    <cellStyle name="Porcentaje 2 2" xfId="58" xr:uid="{00000000-0005-0000-0000-000064000000}"/>
    <cellStyle name="Porcentaje 3" xfId="15" xr:uid="{00000000-0005-0000-0000-000065000000}"/>
    <cellStyle name="Porcentaje 4" xfId="55" xr:uid="{00000000-0005-0000-0000-000066000000}"/>
    <cellStyle name="Porcentaje 5" xfId="60" xr:uid="{00000000-0005-0000-0000-000067000000}"/>
    <cellStyle name="Porcentaje 6" xfId="84" xr:uid="{00000000-0005-0000-0000-000068000000}"/>
    <cellStyle name="Porcentaje 7" xfId="111" xr:uid="{95808023-F18D-4536-91B0-10BA510D6154}"/>
  </cellStyles>
  <dxfs count="49">
    <dxf>
      <numFmt numFmtId="184" formatCode="\-"/>
      <fill>
        <patternFill>
          <bgColor theme="0"/>
        </patternFill>
      </fill>
    </dxf>
    <dxf>
      <numFmt numFmtId="184" formatCode="\-"/>
      <fill>
        <patternFill>
          <bgColor theme="0"/>
        </patternFill>
      </fill>
    </dxf>
    <dxf>
      <font>
        <color auto="1"/>
      </font>
      <fill>
        <patternFill>
          <bgColor rgb="FFFFFF99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</xdr:colOff>
      <xdr:row>0</xdr:row>
      <xdr:rowOff>131445</xdr:rowOff>
    </xdr:from>
    <xdr:to>
      <xdr:col>1</xdr:col>
      <xdr:colOff>2377440</xdr:colOff>
      <xdr:row>3</xdr:row>
      <xdr:rowOff>91440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D6E38ADF-1E1D-4AE1-8109-7405FB611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0540" y="135255"/>
          <a:ext cx="2314575" cy="4610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</xdr:colOff>
      <xdr:row>0</xdr:row>
      <xdr:rowOff>131445</xdr:rowOff>
    </xdr:from>
    <xdr:to>
      <xdr:col>4</xdr:col>
      <xdr:colOff>78740</xdr:colOff>
      <xdr:row>4</xdr:row>
      <xdr:rowOff>21590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4350" y="131445"/>
          <a:ext cx="2320290" cy="4705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0</xdr:row>
      <xdr:rowOff>133350</xdr:rowOff>
    </xdr:from>
    <xdr:to>
      <xdr:col>5</xdr:col>
      <xdr:colOff>173260</xdr:colOff>
      <xdr:row>3</xdr:row>
      <xdr:rowOff>152400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1075" y="133350"/>
          <a:ext cx="2514505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</xdr:colOff>
      <xdr:row>0</xdr:row>
      <xdr:rowOff>83820</xdr:rowOff>
    </xdr:from>
    <xdr:to>
      <xdr:col>1</xdr:col>
      <xdr:colOff>2473642</xdr:colOff>
      <xdr:row>2</xdr:row>
      <xdr:rowOff>169571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7665" y="83820"/>
          <a:ext cx="2448877" cy="4553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229983</xdr:colOff>
      <xdr:row>0</xdr:row>
      <xdr:rowOff>0</xdr:rowOff>
    </xdr:from>
    <xdr:to>
      <xdr:col>2</xdr:col>
      <xdr:colOff>1601932</xdr:colOff>
      <xdr:row>3</xdr:row>
      <xdr:rowOff>58557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CAC5F85E-2273-4F21-B78D-4F3CD02AE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9983" y="0"/>
          <a:ext cx="2367744" cy="5301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104775</xdr:rowOff>
    </xdr:from>
    <xdr:to>
      <xdr:col>2</xdr:col>
      <xdr:colOff>792480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4775"/>
          <a:ext cx="2495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ías Castarataro" id="{F6F9EF7D-5FE4-47A2-9826-4EBA5E05C3EF}" userId="S::matias.castarataro@arquinering.com::f13938ae-405c-413a-8a11-5bb41d9db49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5" dT="2024-04-09T01:07:31.07" personId="{F6F9EF7D-5FE4-47A2-9826-4EBA5E05C3EF}" id="{401E1044-8B59-4674-949A-7DE66ECD1B7E}">
    <text>Estimo a la mitad de la pared a realizar de nuevo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19" dT="2024-08-21T17:55:21.52" personId="{F6F9EF7D-5FE4-47A2-9826-4EBA5E05C3EF}" id="{5C912E93-383F-41E9-A8CE-7C7DD4F44698}">
    <text xml:space="preserve">Divido x 1,5 ya que reutilizo dicho material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articulo.mercadolibre.com.ar/MLA-636550993-lampara-led-6w-gu10-lcalida-sicazocalo-x12u-electro-oeste-_JM" TargetMode="External"/><Relationship Id="rId3" Type="http://schemas.openxmlformats.org/officeDocument/2006/relationships/hyperlink" Target="https://www.herrajes-veiga.com.ar/kallay-4000-cerradura-seguridad-puerta-exterior/p/MLA22736477?pdp_filters=seller_id:231944987" TargetMode="External"/><Relationship Id="rId7" Type="http://schemas.openxmlformats.org/officeDocument/2006/relationships/hyperlink" Target="https://articulo.mercadolibre.com.ar/MLA-1447829534-aplique-luz-para-frente-exterior-unidireccional-negro-gu10-_JM" TargetMode="External"/><Relationship Id="rId12" Type="http://schemas.openxmlformats.org/officeDocument/2006/relationships/printerSettings" Target="../printerSettings/printerSettings8.bin"/><Relationship Id="rId2" Type="http://schemas.openxmlformats.org/officeDocument/2006/relationships/hyperlink" Target="https://www.herrajes-veiga.com.ar/MLA-861440888-manija-currao-latina-2-doble-sanatorio-reforzada-pack-4-_JM" TargetMode="External"/><Relationship Id="rId1" Type="http://schemas.openxmlformats.org/officeDocument/2006/relationships/hyperlink" Target="https://www.herrajes-veiga.com.ar/MLA-670573108-manijon-y-manija-tropea-currao-aceroo-con-cromo-puerta-_JM" TargetMode="External"/><Relationship Id="rId6" Type="http://schemas.openxmlformats.org/officeDocument/2006/relationships/hyperlink" Target="https://www.mercadolibre.com.ar/plafon-led-18w-candil-circular-aplicar-negro-luz-calida-3000k/p/MLA21805046" TargetMode="External"/><Relationship Id="rId11" Type="http://schemas.openxmlformats.org/officeDocument/2006/relationships/hyperlink" Target="https://www.climatecnica.com/forzador-de-aire-galaxia-serie-fs.72.477.html?srsltid=AfmBOoryxth9SwwxLj2AQttxVSWHrXEIwj3NaKPSBTM43SyGmw8M9lI3" TargetMode="External"/><Relationship Id="rId5" Type="http://schemas.openxmlformats.org/officeDocument/2006/relationships/hyperlink" Target="https://articulo.mercadolibre.com.ar/MLA-607550702-portero-electrico-commax-30-pulsadores-29-porteros-completo-_JM?matt_tool=92724942&amp;matt_word=&amp;matt_source=google&amp;matt_campaign_id=14508409196&amp;matt_ad_group_id=162589498932&amp;matt_match_type=&amp;matt_network=g&amp;matt_device=c&amp;matt_creative=686475006469&amp;matt_keyword=&amp;matt_ad_position=&amp;matt_ad_type=pla&amp;matt_merchant_id=114368600&amp;matt_product_id=MLA607550702&amp;matt_product_partition_id=2267523913386&amp;matt_target_id=aud-1930507555360:pla-2267523913386&amp;cq_src=google_ads&amp;cq_cmp=14508409196&amp;cq_net=g&amp;cq_plt=gp&amp;cq_med=pla&amp;gad_source=1&amp;gclid=CjwKCAjwlbu2BhA3EiwA3yXyuxNaDfL96VON04gJCW-Mi7QeiJutyXHL5bPpa9p757nRPuboEpaTWBoCI90QAvD_BwE" TargetMode="External"/><Relationship Id="rId10" Type="http://schemas.openxmlformats.org/officeDocument/2006/relationships/hyperlink" Target="https://surefsuministros.mercadoshops.com.ar/MLA-1315412695-rejilla-de-ventilacion-60x25-fija-retorno-extraccion-_JM?gad_source=1&amp;gclid=CjwKCAjwuMC2BhA7EiwAmJKRrBsF7v-jNZTqJpTBzXJ5xCG9oqcQTWkgAttZaEZuAUMNY4ZB49ecMBoCDdgQAvD_BwE" TargetMode="External"/><Relationship Id="rId4" Type="http://schemas.openxmlformats.org/officeDocument/2006/relationships/hyperlink" Target="https://www.easy.com.ar/numero-4-acero-inoxidable-2mm-1338306/p" TargetMode="External"/><Relationship Id="rId9" Type="http://schemas.openxmlformats.org/officeDocument/2006/relationships/hyperlink" Target="https://herrafecom.mercadoshops.com.ar/MLA-827793984-manijon-cuadrado-puerta-doble-apolo-simil-forum-inox-600-d10-_J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BBF3-9953-48CA-925B-A62938E84695}">
  <dimension ref="A1:W228"/>
  <sheetViews>
    <sheetView workbookViewId="0"/>
  </sheetViews>
  <sheetFormatPr defaultColWidth="11.54296875" defaultRowHeight="12.75" customHeight="1" outlineLevelRow="1"/>
  <cols>
    <col min="1" max="1" width="6.54296875" style="570" bestFit="1" customWidth="1"/>
    <col min="2" max="2" width="96.54296875" style="638" bestFit="1" customWidth="1"/>
    <col min="3" max="3" width="5.26953125" style="583" bestFit="1" customWidth="1"/>
    <col min="4" max="4" width="7.54296875" style="557" bestFit="1" customWidth="1"/>
    <col min="5" max="5" width="12" style="543" bestFit="1" customWidth="1"/>
    <col min="6" max="6" width="13.54296875" style="543" bestFit="1" customWidth="1"/>
    <col min="7" max="7" width="13.7265625" style="546" bestFit="1" customWidth="1"/>
    <col min="8" max="8" width="5.26953125" style="10" bestFit="1" customWidth="1"/>
    <col min="9" max="16384" width="11.54296875" style="10"/>
  </cols>
  <sheetData>
    <row r="1" spans="1:8" ht="12.75" customHeight="1">
      <c r="F1" s="321" t="s">
        <v>30</v>
      </c>
      <c r="G1" s="321" t="s">
        <v>1</v>
      </c>
    </row>
    <row r="2" spans="1:8" ht="13">
      <c r="F2" s="544">
        <f>+GGBB!G4</f>
        <v>1005</v>
      </c>
      <c r="G2" s="544">
        <f>+GGBB!H4</f>
        <v>1170</v>
      </c>
    </row>
    <row r="3" spans="1:8" s="5" customFormat="1" ht="13">
      <c r="A3" s="193"/>
      <c r="B3" s="780"/>
      <c r="C3" s="6"/>
      <c r="D3" s="290"/>
      <c r="E3" s="290"/>
      <c r="F3" s="290"/>
      <c r="G3" s="540"/>
    </row>
    <row r="4" spans="1:8" s="5" customFormat="1" ht="13">
      <c r="A4" s="193"/>
      <c r="B4" s="780"/>
      <c r="C4" s="6"/>
      <c r="D4" s="290"/>
      <c r="E4" s="290"/>
      <c r="F4" s="91">
        <v>45590</v>
      </c>
      <c r="G4" s="540"/>
    </row>
    <row r="5" spans="1:8" s="5" customFormat="1" ht="13">
      <c r="A5" s="193"/>
      <c r="B5" s="781" t="s">
        <v>1735</v>
      </c>
      <c r="C5" s="6"/>
      <c r="D5" s="290"/>
      <c r="E5" s="284"/>
      <c r="F5" s="284"/>
      <c r="G5" s="540"/>
    </row>
    <row r="6" spans="1:8" s="5" customFormat="1" ht="13">
      <c r="A6" s="193"/>
      <c r="B6" s="781" t="s">
        <v>39</v>
      </c>
      <c r="C6" s="128"/>
      <c r="D6" s="287"/>
      <c r="E6" s="545"/>
      <c r="F6" s="545"/>
      <c r="G6" s="540"/>
    </row>
    <row r="7" spans="1:8" ht="13">
      <c r="A7" s="212" t="s">
        <v>40</v>
      </c>
      <c r="B7" s="782" t="s">
        <v>41</v>
      </c>
      <c r="C7" s="264" t="s">
        <v>42</v>
      </c>
      <c r="D7" s="285" t="s">
        <v>43</v>
      </c>
      <c r="E7" s="717" t="s">
        <v>50</v>
      </c>
      <c r="F7" s="717" t="s">
        <v>13</v>
      </c>
    </row>
    <row r="8" spans="1:8" ht="13">
      <c r="A8" s="571">
        <v>1</v>
      </c>
      <c r="B8" s="783" t="s">
        <v>52</v>
      </c>
      <c r="C8" s="265"/>
      <c r="D8" s="266"/>
      <c r="E8" s="266"/>
      <c r="F8" s="266"/>
      <c r="G8" s="325">
        <f>SUM(F9:F18)</f>
        <v>24784163</v>
      </c>
      <c r="H8" s="92">
        <f>+G8/$G$218</f>
        <v>1.8338604808686189E-2</v>
      </c>
    </row>
    <row r="9" spans="1:8" ht="13" outlineLevel="1">
      <c r="A9" s="217">
        <v>1.01</v>
      </c>
      <c r="B9" s="784" t="s">
        <v>53</v>
      </c>
      <c r="C9" s="213" t="s">
        <v>54</v>
      </c>
      <c r="D9" s="505">
        <v>0</v>
      </c>
      <c r="E9" s="538">
        <v>0</v>
      </c>
      <c r="F9" s="538">
        <f t="shared" ref="F9:F18" si="0">+E9*D9</f>
        <v>0</v>
      </c>
      <c r="H9" s="92"/>
    </row>
    <row r="10" spans="1:8" ht="13" outlineLevel="1">
      <c r="A10" s="11">
        <v>1.02</v>
      </c>
      <c r="B10" s="785" t="s">
        <v>55</v>
      </c>
      <c r="C10" s="7" t="s">
        <v>56</v>
      </c>
      <c r="D10" s="506">
        <v>3</v>
      </c>
      <c r="E10" s="541">
        <v>379588</v>
      </c>
      <c r="F10" s="541">
        <f t="shared" si="0"/>
        <v>1138764</v>
      </c>
      <c r="H10" s="92"/>
    </row>
    <row r="11" spans="1:8" ht="13" outlineLevel="1">
      <c r="A11" s="11">
        <v>1.03</v>
      </c>
      <c r="B11" s="785" t="s">
        <v>57</v>
      </c>
      <c r="C11" s="132" t="s">
        <v>54</v>
      </c>
      <c r="D11" s="133">
        <v>0</v>
      </c>
      <c r="E11" s="541">
        <v>0</v>
      </c>
      <c r="F11" s="541">
        <f t="shared" si="0"/>
        <v>0</v>
      </c>
      <c r="H11" s="92"/>
    </row>
    <row r="12" spans="1:8" ht="13" outlineLevel="1">
      <c r="A12" s="11">
        <v>1.04</v>
      </c>
      <c r="B12" s="785" t="s">
        <v>58</v>
      </c>
      <c r="C12" s="7" t="s">
        <v>59</v>
      </c>
      <c r="D12" s="506">
        <v>11</v>
      </c>
      <c r="E12" s="541">
        <v>141220</v>
      </c>
      <c r="F12" s="541">
        <f t="shared" si="0"/>
        <v>1553420</v>
      </c>
      <c r="H12" s="92"/>
    </row>
    <row r="13" spans="1:8" ht="13" outlineLevel="1">
      <c r="A13" s="11">
        <v>1.05</v>
      </c>
      <c r="B13" s="785" t="s">
        <v>1765</v>
      </c>
      <c r="C13" s="7" t="s">
        <v>54</v>
      </c>
      <c r="D13" s="506">
        <v>1</v>
      </c>
      <c r="E13" s="541">
        <v>7548771</v>
      </c>
      <c r="F13" s="541">
        <f t="shared" si="0"/>
        <v>7548771</v>
      </c>
      <c r="H13" s="92"/>
    </row>
    <row r="14" spans="1:8" ht="13" outlineLevel="1">
      <c r="A14" s="11">
        <v>1.06</v>
      </c>
      <c r="B14" s="785" t="s">
        <v>60</v>
      </c>
      <c r="C14" s="7" t="s">
        <v>61</v>
      </c>
      <c r="D14" s="506">
        <v>3</v>
      </c>
      <c r="E14" s="541">
        <v>392028</v>
      </c>
      <c r="F14" s="541">
        <f t="shared" si="0"/>
        <v>1176084</v>
      </c>
      <c r="H14" s="92"/>
    </row>
    <row r="15" spans="1:8" ht="13" outlineLevel="1">
      <c r="A15" s="11">
        <v>1.07</v>
      </c>
      <c r="B15" s="785" t="s">
        <v>62</v>
      </c>
      <c r="C15" s="7" t="s">
        <v>54</v>
      </c>
      <c r="D15" s="506">
        <v>1</v>
      </c>
      <c r="E15" s="541">
        <v>1731320</v>
      </c>
      <c r="F15" s="541">
        <f t="shared" si="0"/>
        <v>1731320</v>
      </c>
      <c r="H15" s="92"/>
    </row>
    <row r="16" spans="1:8" ht="13" outlineLevel="1">
      <c r="A16" s="11">
        <v>1.08</v>
      </c>
      <c r="B16" s="785" t="s">
        <v>63</v>
      </c>
      <c r="C16" s="7" t="s">
        <v>54</v>
      </c>
      <c r="D16" s="506">
        <v>1</v>
      </c>
      <c r="E16" s="541">
        <v>1405632</v>
      </c>
      <c r="F16" s="541">
        <f t="shared" si="0"/>
        <v>1405632</v>
      </c>
      <c r="H16" s="92"/>
    </row>
    <row r="17" spans="1:8" ht="13" outlineLevel="1">
      <c r="A17" s="11">
        <v>1.0900000000000001</v>
      </c>
      <c r="B17" s="785" t="s">
        <v>64</v>
      </c>
      <c r="C17" s="7" t="s">
        <v>54</v>
      </c>
      <c r="D17" s="506">
        <v>1</v>
      </c>
      <c r="E17" s="541">
        <v>426487</v>
      </c>
      <c r="F17" s="541">
        <f t="shared" si="0"/>
        <v>426487</v>
      </c>
      <c r="H17" s="92"/>
    </row>
    <row r="18" spans="1:8" ht="13" outlineLevel="1">
      <c r="A18" s="406">
        <v>1.1000000000000001</v>
      </c>
      <c r="B18" s="786" t="s">
        <v>1751</v>
      </c>
      <c r="C18" s="130" t="s">
        <v>54</v>
      </c>
      <c r="D18" s="507">
        <v>1</v>
      </c>
      <c r="E18" s="541">
        <v>9803685</v>
      </c>
      <c r="F18" s="541">
        <f t="shared" si="0"/>
        <v>9803685</v>
      </c>
      <c r="H18" s="92"/>
    </row>
    <row r="19" spans="1:8" ht="13">
      <c r="A19" s="571">
        <v>2</v>
      </c>
      <c r="B19" s="783" t="s">
        <v>65</v>
      </c>
      <c r="C19" s="265"/>
      <c r="D19" s="266"/>
      <c r="E19" s="266"/>
      <c r="F19" s="266"/>
      <c r="G19" s="325">
        <f>SUM(F20:F22)</f>
        <v>42017464</v>
      </c>
      <c r="H19" s="92">
        <f>+G19/$G$218</f>
        <v>3.1090082298086838E-2</v>
      </c>
    </row>
    <row r="20" spans="1:8" ht="13" outlineLevel="1">
      <c r="A20" s="11">
        <v>2.0099999999999998</v>
      </c>
      <c r="B20" s="787" t="s">
        <v>1756</v>
      </c>
      <c r="C20" s="582" t="s">
        <v>66</v>
      </c>
      <c r="D20" s="561">
        <v>1266</v>
      </c>
      <c r="E20" s="541">
        <v>33090</v>
      </c>
      <c r="F20" s="541">
        <f>+E20*D20</f>
        <v>41891940</v>
      </c>
      <c r="H20" s="92"/>
    </row>
    <row r="21" spans="1:8" ht="13" outlineLevel="1">
      <c r="A21" s="11">
        <v>2.02</v>
      </c>
      <c r="B21" s="788" t="s">
        <v>67</v>
      </c>
      <c r="C21" s="7" t="s">
        <v>54</v>
      </c>
      <c r="D21" s="561">
        <v>0</v>
      </c>
      <c r="E21" s="541">
        <v>0</v>
      </c>
      <c r="F21" s="541">
        <f>+E21*D21</f>
        <v>0</v>
      </c>
      <c r="H21" s="92"/>
    </row>
    <row r="22" spans="1:8" ht="13" outlineLevel="1">
      <c r="A22" s="11">
        <v>2.0299999999999998</v>
      </c>
      <c r="B22" s="787" t="s">
        <v>1811</v>
      </c>
      <c r="C22" s="582" t="s">
        <v>66</v>
      </c>
      <c r="D22" s="561">
        <v>2</v>
      </c>
      <c r="E22" s="541">
        <v>62762</v>
      </c>
      <c r="F22" s="541">
        <f>+E22*D22</f>
        <v>125524</v>
      </c>
      <c r="H22" s="92"/>
    </row>
    <row r="23" spans="1:8" ht="13">
      <c r="A23" s="571">
        <v>3</v>
      </c>
      <c r="B23" s="783" t="s">
        <v>68</v>
      </c>
      <c r="C23" s="265"/>
      <c r="D23" s="266"/>
      <c r="E23" s="266"/>
      <c r="F23" s="266"/>
      <c r="G23" s="325">
        <f>SUM(F24:F42)</f>
        <v>477142865</v>
      </c>
      <c r="H23" s="92">
        <f>+G23/$G$218</f>
        <v>0.35305345750507311</v>
      </c>
    </row>
    <row r="24" spans="1:8" ht="12.75" customHeight="1">
      <c r="A24" s="219">
        <v>26.01</v>
      </c>
      <c r="B24" s="963" t="s">
        <v>2335</v>
      </c>
      <c r="C24" s="213" t="s">
        <v>257</v>
      </c>
      <c r="D24" s="505">
        <v>71835</v>
      </c>
      <c r="E24" s="548">
        <v>1676</v>
      </c>
      <c r="F24" s="538">
        <f t="shared" ref="F24:F42" si="1">+E24*D24</f>
        <v>120395460</v>
      </c>
      <c r="G24" s="581"/>
      <c r="H24" s="92"/>
    </row>
    <row r="25" spans="1:8" ht="12.75" customHeight="1">
      <c r="A25" s="8">
        <v>26.02</v>
      </c>
      <c r="B25" s="1467" t="s">
        <v>2435</v>
      </c>
      <c r="C25" s="7" t="s">
        <v>66</v>
      </c>
      <c r="D25" s="506">
        <v>641</v>
      </c>
      <c r="E25" s="548">
        <v>161742</v>
      </c>
      <c r="F25" s="541">
        <f t="shared" si="1"/>
        <v>103676622</v>
      </c>
      <c r="G25" s="581"/>
      <c r="H25" s="92"/>
    </row>
    <row r="26" spans="1:8" ht="13" outlineLevel="1">
      <c r="A26" s="11">
        <v>3.01</v>
      </c>
      <c r="B26" s="790" t="s">
        <v>69</v>
      </c>
      <c r="C26" s="132" t="s">
        <v>66</v>
      </c>
      <c r="D26" s="133">
        <v>35</v>
      </c>
      <c r="E26" s="541">
        <v>314478</v>
      </c>
      <c r="F26" s="541">
        <f t="shared" si="1"/>
        <v>11006730</v>
      </c>
      <c r="H26" s="92"/>
    </row>
    <row r="27" spans="1:8" ht="13" outlineLevel="1">
      <c r="A27" s="11">
        <v>3.02</v>
      </c>
      <c r="B27" s="790" t="s">
        <v>1813</v>
      </c>
      <c r="C27" s="132" t="s">
        <v>66</v>
      </c>
      <c r="D27" s="133">
        <v>40</v>
      </c>
      <c r="E27" s="541">
        <v>482909</v>
      </c>
      <c r="F27" s="541">
        <f t="shared" si="1"/>
        <v>19316360</v>
      </c>
      <c r="H27" s="92"/>
    </row>
    <row r="28" spans="1:8" ht="13" outlineLevel="1">
      <c r="A28" s="11">
        <v>3.03</v>
      </c>
      <c r="B28" s="790" t="s">
        <v>1814</v>
      </c>
      <c r="C28" s="132" t="s">
        <v>66</v>
      </c>
      <c r="D28" s="133">
        <v>28</v>
      </c>
      <c r="E28" s="541">
        <v>394283</v>
      </c>
      <c r="F28" s="541">
        <f t="shared" si="1"/>
        <v>11039924</v>
      </c>
      <c r="H28" s="92"/>
    </row>
    <row r="29" spans="1:8" ht="13" outlineLevel="1">
      <c r="A29" s="11">
        <v>3.04</v>
      </c>
      <c r="B29" s="790" t="s">
        <v>1815</v>
      </c>
      <c r="C29" s="132" t="s">
        <v>66</v>
      </c>
      <c r="D29" s="133">
        <v>179</v>
      </c>
      <c r="E29" s="541">
        <v>193197</v>
      </c>
      <c r="F29" s="541">
        <f t="shared" si="1"/>
        <v>34582263</v>
      </c>
      <c r="H29" s="92"/>
    </row>
    <row r="30" spans="1:8" ht="13" outlineLevel="1">
      <c r="A30" s="11">
        <v>3.05</v>
      </c>
      <c r="B30" s="790" t="s">
        <v>1816</v>
      </c>
      <c r="C30" s="132" t="s">
        <v>66</v>
      </c>
      <c r="D30" s="133">
        <v>10</v>
      </c>
      <c r="E30" s="541">
        <v>416850</v>
      </c>
      <c r="F30" s="541">
        <f t="shared" si="1"/>
        <v>4168500</v>
      </c>
      <c r="H30" s="92"/>
    </row>
    <row r="31" spans="1:8" ht="13" outlineLevel="1">
      <c r="A31" s="11">
        <v>3.06</v>
      </c>
      <c r="B31" s="785" t="s">
        <v>70</v>
      </c>
      <c r="C31" s="582" t="s">
        <v>66</v>
      </c>
      <c r="D31" s="506">
        <v>177</v>
      </c>
      <c r="E31" s="541">
        <v>285821</v>
      </c>
      <c r="F31" s="541">
        <f t="shared" si="1"/>
        <v>50590317</v>
      </c>
      <c r="H31" s="92"/>
    </row>
    <row r="32" spans="1:8" ht="13" outlineLevel="1">
      <c r="A32" s="11">
        <v>3.07</v>
      </c>
      <c r="B32" s="785" t="s">
        <v>71</v>
      </c>
      <c r="C32" s="582" t="s">
        <v>66</v>
      </c>
      <c r="D32" s="506">
        <v>65</v>
      </c>
      <c r="E32" s="541">
        <v>710813</v>
      </c>
      <c r="F32" s="541">
        <f t="shared" si="1"/>
        <v>46202845</v>
      </c>
      <c r="H32" s="92"/>
    </row>
    <row r="33" spans="1:8" ht="13" outlineLevel="1">
      <c r="A33" s="11">
        <v>3.08</v>
      </c>
      <c r="B33" s="785" t="s">
        <v>1762</v>
      </c>
      <c r="C33" s="582" t="s">
        <v>66</v>
      </c>
      <c r="D33" s="506">
        <v>12</v>
      </c>
      <c r="E33" s="541">
        <v>826182</v>
      </c>
      <c r="F33" s="541">
        <f t="shared" si="1"/>
        <v>9914184</v>
      </c>
      <c r="H33" s="92"/>
    </row>
    <row r="34" spans="1:8" ht="13" outlineLevel="1">
      <c r="A34" s="11">
        <v>3.09</v>
      </c>
      <c r="B34" s="785" t="s">
        <v>72</v>
      </c>
      <c r="C34" s="582" t="s">
        <v>66</v>
      </c>
      <c r="D34" s="506">
        <v>28</v>
      </c>
      <c r="E34" s="541">
        <v>482909</v>
      </c>
      <c r="F34" s="541">
        <f t="shared" si="1"/>
        <v>13521452</v>
      </c>
      <c r="H34" s="92"/>
    </row>
    <row r="35" spans="1:8" ht="13" outlineLevel="1">
      <c r="A35" s="11">
        <v>3.1</v>
      </c>
      <c r="B35" s="785" t="s">
        <v>73</v>
      </c>
      <c r="C35" s="582" t="s">
        <v>66</v>
      </c>
      <c r="D35" s="506">
        <v>54</v>
      </c>
      <c r="E35" s="541">
        <v>426874</v>
      </c>
      <c r="F35" s="541">
        <f t="shared" si="1"/>
        <v>23051196</v>
      </c>
      <c r="H35" s="92"/>
    </row>
    <row r="36" spans="1:8" ht="13" outlineLevel="1">
      <c r="A36" s="11">
        <v>3.11</v>
      </c>
      <c r="B36" s="785" t="s">
        <v>74</v>
      </c>
      <c r="C36" s="582" t="s">
        <v>66</v>
      </c>
      <c r="D36" s="506">
        <v>11</v>
      </c>
      <c r="E36" s="541">
        <v>448250</v>
      </c>
      <c r="F36" s="541">
        <f t="shared" si="1"/>
        <v>4930750</v>
      </c>
      <c r="H36" s="92"/>
    </row>
    <row r="37" spans="1:8" ht="13" outlineLevel="1">
      <c r="A37" s="11">
        <v>3.12</v>
      </c>
      <c r="B37" s="785" t="s">
        <v>1817</v>
      </c>
      <c r="C37" s="582" t="s">
        <v>66</v>
      </c>
      <c r="D37" s="506">
        <v>3</v>
      </c>
      <c r="E37" s="541">
        <v>482909</v>
      </c>
      <c r="F37" s="541">
        <f t="shared" si="1"/>
        <v>1448727</v>
      </c>
      <c r="H37" s="92"/>
    </row>
    <row r="38" spans="1:8" ht="13" outlineLevel="1">
      <c r="A38" s="11">
        <v>3.13</v>
      </c>
      <c r="B38" s="785" t="s">
        <v>2005</v>
      </c>
      <c r="C38" s="582" t="s">
        <v>59</v>
      </c>
      <c r="D38" s="506">
        <v>240</v>
      </c>
      <c r="E38" s="541">
        <v>31137</v>
      </c>
      <c r="F38" s="541">
        <f t="shared" si="1"/>
        <v>7472880</v>
      </c>
      <c r="H38" s="92"/>
    </row>
    <row r="39" spans="1:8" ht="13" outlineLevel="1">
      <c r="A39" s="11">
        <v>3.14</v>
      </c>
      <c r="B39" s="791" t="s">
        <v>75</v>
      </c>
      <c r="C39" s="582" t="s">
        <v>54</v>
      </c>
      <c r="D39" s="561">
        <v>1</v>
      </c>
      <c r="E39" s="541">
        <v>11089161</v>
      </c>
      <c r="F39" s="541">
        <f t="shared" si="1"/>
        <v>11089161</v>
      </c>
      <c r="H39" s="92"/>
    </row>
    <row r="40" spans="1:8" ht="13" outlineLevel="1">
      <c r="A40" s="11">
        <v>3.15</v>
      </c>
      <c r="B40" s="791" t="s">
        <v>76</v>
      </c>
      <c r="C40" s="582" t="s">
        <v>77</v>
      </c>
      <c r="D40" s="561">
        <v>14</v>
      </c>
      <c r="E40" s="541">
        <v>155217</v>
      </c>
      <c r="F40" s="541">
        <f t="shared" si="1"/>
        <v>2173038</v>
      </c>
      <c r="H40" s="92"/>
    </row>
    <row r="41" spans="1:8" ht="13" outlineLevel="1">
      <c r="A41" s="11">
        <v>3.16</v>
      </c>
      <c r="B41" s="900" t="s">
        <v>1826</v>
      </c>
      <c r="C41" s="901" t="s">
        <v>54</v>
      </c>
      <c r="D41" s="902">
        <v>4</v>
      </c>
      <c r="E41" s="541">
        <v>69129</v>
      </c>
      <c r="F41" s="541">
        <f t="shared" si="1"/>
        <v>276516</v>
      </c>
      <c r="H41" s="92"/>
    </row>
    <row r="42" spans="1:8" ht="13" outlineLevel="1">
      <c r="A42" s="11">
        <v>3.17</v>
      </c>
      <c r="B42" s="786" t="s">
        <v>2179</v>
      </c>
      <c r="C42" s="130" t="s">
        <v>4</v>
      </c>
      <c r="D42" s="562">
        <v>93</v>
      </c>
      <c r="E42" s="541">
        <v>24580</v>
      </c>
      <c r="F42" s="541">
        <f t="shared" si="1"/>
        <v>2285940</v>
      </c>
      <c r="H42" s="92"/>
    </row>
    <row r="43" spans="1:8" ht="13">
      <c r="A43" s="571">
        <v>4</v>
      </c>
      <c r="B43" s="783" t="s">
        <v>78</v>
      </c>
      <c r="C43" s="265"/>
      <c r="D43" s="266"/>
      <c r="E43" s="266"/>
      <c r="F43" s="266"/>
      <c r="G43" s="325">
        <f>SUM(F44:F51)</f>
        <v>54302889.68</v>
      </c>
      <c r="H43" s="92">
        <f>+G43/$G$218</f>
        <v>4.0180466607292874E-2</v>
      </c>
    </row>
    <row r="44" spans="1:8" s="25" customFormat="1" ht="13" outlineLevel="1">
      <c r="A44" s="217">
        <v>4.01</v>
      </c>
      <c r="B44" s="784" t="s">
        <v>2160</v>
      </c>
      <c r="C44" s="584" t="s">
        <v>4</v>
      </c>
      <c r="D44" s="563">
        <v>819</v>
      </c>
      <c r="E44" s="538">
        <v>18993</v>
      </c>
      <c r="F44" s="538">
        <f t="shared" ref="F44:F51" si="2">+E44*D44</f>
        <v>15555267</v>
      </c>
      <c r="G44" s="547"/>
      <c r="H44" s="92"/>
    </row>
    <row r="45" spans="1:8" s="25" customFormat="1" ht="13" outlineLevel="1">
      <c r="A45" s="11">
        <v>4.0199999999999996</v>
      </c>
      <c r="B45" s="792" t="s">
        <v>2161</v>
      </c>
      <c r="C45" s="582" t="s">
        <v>4</v>
      </c>
      <c r="D45" s="561">
        <v>612</v>
      </c>
      <c r="E45" s="542">
        <v>25172</v>
      </c>
      <c r="F45" s="541">
        <f t="shared" si="2"/>
        <v>15405264</v>
      </c>
      <c r="G45" s="547"/>
      <c r="H45" s="92"/>
    </row>
    <row r="46" spans="1:8" s="25" customFormat="1" ht="13" outlineLevel="1">
      <c r="A46" s="11">
        <v>4.03</v>
      </c>
      <c r="B46" s="785" t="s">
        <v>2163</v>
      </c>
      <c r="C46" s="582" t="s">
        <v>4</v>
      </c>
      <c r="D46" s="561">
        <v>636</v>
      </c>
      <c r="E46" s="542">
        <v>21109</v>
      </c>
      <c r="F46" s="541">
        <f t="shared" si="2"/>
        <v>13425324</v>
      </c>
      <c r="G46" s="547"/>
      <c r="H46" s="92"/>
    </row>
    <row r="47" spans="1:8" s="25" customFormat="1" ht="13" outlineLevel="1">
      <c r="A47" s="11">
        <v>4.04</v>
      </c>
      <c r="B47" s="785" t="s">
        <v>2164</v>
      </c>
      <c r="C47" s="582" t="s">
        <v>4</v>
      </c>
      <c r="D47" s="561">
        <v>195</v>
      </c>
      <c r="E47" s="542">
        <v>15092</v>
      </c>
      <c r="F47" s="541">
        <f t="shared" si="2"/>
        <v>2942940</v>
      </c>
      <c r="G47" s="547"/>
      <c r="H47" s="92"/>
    </row>
    <row r="48" spans="1:8" s="25" customFormat="1" ht="13" outlineLevel="1">
      <c r="A48" s="11">
        <v>4.05</v>
      </c>
      <c r="B48" s="785" t="s">
        <v>2323</v>
      </c>
      <c r="C48" s="582" t="s">
        <v>4</v>
      </c>
      <c r="D48" s="561">
        <v>30.053999999999998</v>
      </c>
      <c r="E48" s="542">
        <v>67420</v>
      </c>
      <c r="F48" s="541">
        <f t="shared" si="2"/>
        <v>2026240.68</v>
      </c>
      <c r="G48" s="547"/>
      <c r="H48" s="92"/>
    </row>
    <row r="49" spans="1:8" s="25" customFormat="1" ht="13" outlineLevel="1">
      <c r="A49" s="11">
        <v>4.0599999999999996</v>
      </c>
      <c r="B49" s="785" t="s">
        <v>2003</v>
      </c>
      <c r="C49" s="582" t="s">
        <v>4</v>
      </c>
      <c r="D49" s="561">
        <v>24</v>
      </c>
      <c r="E49" s="542">
        <v>54908</v>
      </c>
      <c r="F49" s="541">
        <f t="shared" si="2"/>
        <v>1317792</v>
      </c>
      <c r="G49" s="547"/>
      <c r="H49" s="92"/>
    </row>
    <row r="50" spans="1:8" s="25" customFormat="1" ht="13" outlineLevel="1">
      <c r="A50" s="11">
        <v>4.07</v>
      </c>
      <c r="B50" s="785" t="s">
        <v>2162</v>
      </c>
      <c r="C50" s="582" t="s">
        <v>59</v>
      </c>
      <c r="D50" s="561">
        <v>81</v>
      </c>
      <c r="E50" s="542">
        <v>30989</v>
      </c>
      <c r="F50" s="541">
        <f t="shared" si="2"/>
        <v>2510109</v>
      </c>
      <c r="G50" s="547"/>
      <c r="H50" s="92"/>
    </row>
    <row r="51" spans="1:8" s="25" customFormat="1" ht="13" outlineLevel="1">
      <c r="A51" s="11">
        <v>4.08</v>
      </c>
      <c r="B51" s="785" t="s">
        <v>2004</v>
      </c>
      <c r="C51" s="582" t="s">
        <v>54</v>
      </c>
      <c r="D51" s="561">
        <v>1</v>
      </c>
      <c r="E51" s="542">
        <v>1119953</v>
      </c>
      <c r="F51" s="541">
        <f t="shared" si="2"/>
        <v>1119953</v>
      </c>
      <c r="G51" s="547"/>
      <c r="H51" s="92"/>
    </row>
    <row r="52" spans="1:8" ht="13">
      <c r="A52" s="571">
        <v>5</v>
      </c>
      <c r="B52" s="783" t="s">
        <v>80</v>
      </c>
      <c r="C52" s="265"/>
      <c r="D52" s="266"/>
      <c r="E52" s="266"/>
      <c r="F52" s="266"/>
      <c r="G52" s="325">
        <f>SUM(F53:F59)</f>
        <v>35966419</v>
      </c>
      <c r="H52" s="92">
        <f>+G52/$G$218</f>
        <v>2.6612718146851368E-2</v>
      </c>
    </row>
    <row r="53" spans="1:8" s="25" customFormat="1" ht="13" outlineLevel="1">
      <c r="A53" s="11">
        <v>5.01</v>
      </c>
      <c r="B53" s="785" t="s">
        <v>81</v>
      </c>
      <c r="C53" s="582" t="s">
        <v>4</v>
      </c>
      <c r="D53" s="561">
        <v>139.05000000000001</v>
      </c>
      <c r="E53" s="548">
        <v>21800</v>
      </c>
      <c r="F53" s="542">
        <f t="shared" ref="F53:F59" si="3">+E53*D53</f>
        <v>3031290.0000000005</v>
      </c>
      <c r="G53" s="547"/>
      <c r="H53" s="92"/>
    </row>
    <row r="54" spans="1:8" s="25" customFormat="1" ht="13" outlineLevel="1">
      <c r="A54" s="11">
        <v>5.0199999999999996</v>
      </c>
      <c r="B54" s="785" t="s">
        <v>82</v>
      </c>
      <c r="C54" s="582" t="s">
        <v>4</v>
      </c>
      <c r="D54" s="561">
        <v>300</v>
      </c>
      <c r="E54" s="548">
        <v>5376</v>
      </c>
      <c r="F54" s="541">
        <f t="shared" si="3"/>
        <v>1612800</v>
      </c>
      <c r="G54" s="547"/>
      <c r="H54" s="92"/>
    </row>
    <row r="55" spans="1:8" s="25" customFormat="1" ht="13" outlineLevel="1">
      <c r="A55" s="11">
        <v>5.03</v>
      </c>
      <c r="B55" s="785" t="s">
        <v>2165</v>
      </c>
      <c r="C55" s="582" t="s">
        <v>4</v>
      </c>
      <c r="D55" s="561">
        <v>48</v>
      </c>
      <c r="E55" s="548">
        <v>5376</v>
      </c>
      <c r="F55" s="541">
        <f t="shared" si="3"/>
        <v>258048</v>
      </c>
      <c r="G55" s="547"/>
      <c r="H55" s="92"/>
    </row>
    <row r="56" spans="1:8" s="25" customFormat="1" ht="13" outlineLevel="1">
      <c r="A56" s="11">
        <v>5.04</v>
      </c>
      <c r="B56" s="785" t="s">
        <v>83</v>
      </c>
      <c r="C56" s="582" t="s">
        <v>4</v>
      </c>
      <c r="D56" s="561">
        <v>262</v>
      </c>
      <c r="E56" s="548">
        <v>4403</v>
      </c>
      <c r="F56" s="541">
        <f t="shared" si="3"/>
        <v>1153586</v>
      </c>
      <c r="G56" s="547"/>
      <c r="H56" s="92"/>
    </row>
    <row r="57" spans="1:8" s="25" customFormat="1" ht="13" outlineLevel="1">
      <c r="A57" s="11">
        <v>5.05</v>
      </c>
      <c r="B57" s="785" t="s">
        <v>84</v>
      </c>
      <c r="C57" s="582" t="s">
        <v>4</v>
      </c>
      <c r="D57" s="561">
        <v>510</v>
      </c>
      <c r="E57" s="548">
        <v>3578</v>
      </c>
      <c r="F57" s="541">
        <f t="shared" si="3"/>
        <v>1824780</v>
      </c>
      <c r="G57" s="547"/>
      <c r="H57" s="92"/>
    </row>
    <row r="58" spans="1:8" s="45" customFormat="1" ht="13" outlineLevel="1">
      <c r="A58" s="11">
        <v>5.0599999999999996</v>
      </c>
      <c r="B58" s="785" t="s">
        <v>85</v>
      </c>
      <c r="C58" s="345" t="s">
        <v>4</v>
      </c>
      <c r="D58" s="561">
        <v>510</v>
      </c>
      <c r="E58" s="548">
        <v>21800</v>
      </c>
      <c r="F58" s="541">
        <f t="shared" si="3"/>
        <v>11118000</v>
      </c>
      <c r="G58" s="326"/>
      <c r="H58" s="92"/>
    </row>
    <row r="59" spans="1:8" s="45" customFormat="1" ht="13" outlineLevel="1">
      <c r="A59" s="11">
        <v>5.07</v>
      </c>
      <c r="B59" s="785" t="s">
        <v>1848</v>
      </c>
      <c r="C59" s="345" t="s">
        <v>54</v>
      </c>
      <c r="D59" s="561">
        <v>1</v>
      </c>
      <c r="E59" s="548">
        <v>16967915</v>
      </c>
      <c r="F59" s="541">
        <f t="shared" si="3"/>
        <v>16967915</v>
      </c>
      <c r="G59" s="320"/>
      <c r="H59" s="92"/>
    </row>
    <row r="60" spans="1:8" ht="13">
      <c r="A60" s="571">
        <v>6</v>
      </c>
      <c r="B60" s="783" t="s">
        <v>86</v>
      </c>
      <c r="C60" s="265"/>
      <c r="D60" s="266"/>
      <c r="E60" s="266"/>
      <c r="F60" s="266"/>
      <c r="G60" s="325">
        <f>SUM(F61:F61)</f>
        <v>2433900</v>
      </c>
      <c r="H60" s="92">
        <f>+G60/$G$218</f>
        <v>1.8009214288923663E-3</v>
      </c>
    </row>
    <row r="61" spans="1:8" s="45" customFormat="1" ht="13" outlineLevel="1">
      <c r="A61" s="141">
        <v>6.02</v>
      </c>
      <c r="B61" s="786" t="s">
        <v>87</v>
      </c>
      <c r="C61" s="346" t="s">
        <v>59</v>
      </c>
      <c r="D61" s="507">
        <v>60</v>
      </c>
      <c r="E61" s="541">
        <v>40565</v>
      </c>
      <c r="F61" s="541">
        <f>+E61*D61</f>
        <v>2433900</v>
      </c>
      <c r="G61" s="326"/>
      <c r="H61" s="92"/>
    </row>
    <row r="62" spans="1:8" ht="13">
      <c r="A62" s="571">
        <v>7</v>
      </c>
      <c r="B62" s="783" t="s">
        <v>88</v>
      </c>
      <c r="C62" s="265"/>
      <c r="D62" s="266"/>
      <c r="E62" s="266"/>
      <c r="F62" s="266"/>
      <c r="G62" s="325">
        <f>SUM(F63:F70)</f>
        <v>136390555.29860002</v>
      </c>
      <c r="H62" s="92">
        <f>+G62/$G$218</f>
        <v>0.10091978870774396</v>
      </c>
    </row>
    <row r="63" spans="1:8" s="25" customFormat="1" ht="13" outlineLevel="1">
      <c r="A63" s="217">
        <v>7.01</v>
      </c>
      <c r="B63" s="795" t="s">
        <v>2428</v>
      </c>
      <c r="C63" s="584" t="s">
        <v>4</v>
      </c>
      <c r="D63" s="563">
        <v>678.25199999999995</v>
      </c>
      <c r="E63" s="538">
        <v>16571</v>
      </c>
      <c r="F63" s="538">
        <f t="shared" ref="F63:F70" si="4">+E63*D63</f>
        <v>11239313.891999999</v>
      </c>
      <c r="G63" s="718"/>
      <c r="H63" s="92"/>
    </row>
    <row r="64" spans="1:8" s="25" customFormat="1" ht="13" outlineLevel="1">
      <c r="A64" s="11">
        <v>7.02</v>
      </c>
      <c r="B64" s="796" t="s">
        <v>2429</v>
      </c>
      <c r="C64" s="582" t="s">
        <v>4</v>
      </c>
      <c r="D64" s="561">
        <v>876.08119999999985</v>
      </c>
      <c r="E64" s="541">
        <v>22183</v>
      </c>
      <c r="F64" s="541">
        <f t="shared" si="4"/>
        <v>19434109.259599999</v>
      </c>
      <c r="G64" s="326"/>
      <c r="H64" s="92"/>
    </row>
    <row r="65" spans="1:8" s="25" customFormat="1" ht="13" outlineLevel="1">
      <c r="A65" s="8">
        <v>7.03</v>
      </c>
      <c r="B65" s="796" t="s">
        <v>1026</v>
      </c>
      <c r="C65" s="582" t="s">
        <v>59</v>
      </c>
      <c r="D65" s="561">
        <v>182</v>
      </c>
      <c r="E65" s="541">
        <v>10806</v>
      </c>
      <c r="F65" s="541">
        <f t="shared" si="4"/>
        <v>1966692</v>
      </c>
      <c r="G65" s="326"/>
      <c r="H65" s="92"/>
    </row>
    <row r="66" spans="1:8" s="25" customFormat="1" ht="13" outlineLevel="1">
      <c r="A66" s="8">
        <v>7.04</v>
      </c>
      <c r="B66" s="785" t="s">
        <v>89</v>
      </c>
      <c r="C66" s="582" t="s">
        <v>4</v>
      </c>
      <c r="D66" s="561">
        <v>995.85109999999997</v>
      </c>
      <c r="E66" s="541">
        <v>26530</v>
      </c>
      <c r="F66" s="541">
        <f t="shared" si="4"/>
        <v>26419929.682999998</v>
      </c>
      <c r="G66" s="326"/>
      <c r="H66" s="92"/>
    </row>
    <row r="67" spans="1:8" s="25" customFormat="1" ht="13" outlineLevel="1">
      <c r="A67" s="8">
        <v>7.05</v>
      </c>
      <c r="B67" s="785" t="s">
        <v>90</v>
      </c>
      <c r="C67" s="582" t="s">
        <v>4</v>
      </c>
      <c r="D67" s="561">
        <v>2514.8970000000013</v>
      </c>
      <c r="E67" s="541">
        <v>22566</v>
      </c>
      <c r="F67" s="541">
        <f t="shared" si="4"/>
        <v>56751165.702000029</v>
      </c>
      <c r="G67" s="326"/>
      <c r="H67" s="92"/>
    </row>
    <row r="68" spans="1:8" s="25" customFormat="1" ht="13" outlineLevel="1">
      <c r="A68" s="8">
        <v>7.06</v>
      </c>
      <c r="B68" s="797" t="s">
        <v>91</v>
      </c>
      <c r="C68" s="582" t="s">
        <v>59</v>
      </c>
      <c r="D68" s="561">
        <v>509.9</v>
      </c>
      <c r="E68" s="541">
        <v>12771</v>
      </c>
      <c r="F68" s="541">
        <f t="shared" si="4"/>
        <v>6511932.8999999994</v>
      </c>
      <c r="G68" s="326"/>
      <c r="H68" s="92"/>
    </row>
    <row r="69" spans="1:8" s="25" customFormat="1" ht="13" outlineLevel="1">
      <c r="A69" s="8">
        <v>7.07</v>
      </c>
      <c r="B69" s="797" t="s">
        <v>92</v>
      </c>
      <c r="C69" s="582" t="s">
        <v>77</v>
      </c>
      <c r="D69" s="561">
        <v>198</v>
      </c>
      <c r="E69" s="541">
        <v>14947</v>
      </c>
      <c r="F69" s="541">
        <f t="shared" si="4"/>
        <v>2959506</v>
      </c>
      <c r="G69" s="326"/>
      <c r="H69" s="92"/>
    </row>
    <row r="70" spans="1:8" s="25" customFormat="1" ht="13" outlineLevel="1">
      <c r="A70" s="107">
        <v>7.08</v>
      </c>
      <c r="B70" s="786" t="s">
        <v>93</v>
      </c>
      <c r="C70" s="586" t="s">
        <v>4</v>
      </c>
      <c r="D70" s="562">
        <v>670.322</v>
      </c>
      <c r="E70" s="541">
        <v>16571</v>
      </c>
      <c r="F70" s="541">
        <f t="shared" si="4"/>
        <v>11107905.862</v>
      </c>
      <c r="G70" s="326"/>
      <c r="H70" s="92"/>
    </row>
    <row r="71" spans="1:8" ht="13">
      <c r="A71" s="571">
        <v>8</v>
      </c>
      <c r="B71" s="783" t="s">
        <v>94</v>
      </c>
      <c r="C71" s="265"/>
      <c r="D71" s="266"/>
      <c r="E71" s="266"/>
      <c r="F71" s="266"/>
      <c r="G71" s="325">
        <f>SUM(F72:F79)</f>
        <v>44788107</v>
      </c>
      <c r="H71" s="92">
        <f>+G71/$G$218</f>
        <v>3.3140170777691845E-2</v>
      </c>
    </row>
    <row r="72" spans="1:8" s="25" customFormat="1" ht="13" outlineLevel="1">
      <c r="A72" s="217">
        <v>8.01</v>
      </c>
      <c r="B72" s="784" t="s">
        <v>2178</v>
      </c>
      <c r="C72" s="584" t="s">
        <v>4</v>
      </c>
      <c r="D72" s="563">
        <v>104</v>
      </c>
      <c r="E72" s="542">
        <v>31920</v>
      </c>
      <c r="F72" s="542">
        <f t="shared" ref="F72:F79" si="5">+E72*D72</f>
        <v>3319680</v>
      </c>
      <c r="G72" s="547"/>
      <c r="H72" s="92"/>
    </row>
    <row r="73" spans="1:8" s="25" customFormat="1" ht="13" outlineLevel="1">
      <c r="A73" s="11">
        <v>8.02</v>
      </c>
      <c r="B73" s="793" t="s">
        <v>2175</v>
      </c>
      <c r="C73" s="582" t="s">
        <v>4</v>
      </c>
      <c r="D73" s="561">
        <v>48</v>
      </c>
      <c r="E73" s="542">
        <v>37268</v>
      </c>
      <c r="F73" s="542">
        <f t="shared" si="5"/>
        <v>1788864</v>
      </c>
      <c r="G73" s="547"/>
      <c r="H73" s="92"/>
    </row>
    <row r="74" spans="1:8" s="25" customFormat="1" ht="13" outlineLevel="1">
      <c r="A74" s="11">
        <v>8.0299999999999994</v>
      </c>
      <c r="B74" s="785" t="s">
        <v>2177</v>
      </c>
      <c r="C74" s="582" t="s">
        <v>4</v>
      </c>
      <c r="D74" s="561">
        <v>235</v>
      </c>
      <c r="E74" s="541">
        <v>32410</v>
      </c>
      <c r="F74" s="541">
        <f t="shared" si="5"/>
        <v>7616350</v>
      </c>
      <c r="G74" s="547"/>
      <c r="H74" s="92"/>
    </row>
    <row r="75" spans="1:8" s="25" customFormat="1" ht="13" outlineLevel="1">
      <c r="A75" s="11">
        <v>8.0399999999999991</v>
      </c>
      <c r="B75" s="785" t="s">
        <v>95</v>
      </c>
      <c r="C75" s="582" t="s">
        <v>4</v>
      </c>
      <c r="D75" s="561">
        <v>878</v>
      </c>
      <c r="E75" s="541">
        <v>19006</v>
      </c>
      <c r="F75" s="541">
        <f t="shared" si="5"/>
        <v>16687268</v>
      </c>
      <c r="G75" s="547"/>
      <c r="H75" s="92"/>
    </row>
    <row r="76" spans="1:8" s="25" customFormat="1" ht="13" outlineLevel="1">
      <c r="A76" s="11">
        <v>8.0500000000000007</v>
      </c>
      <c r="B76" s="785" t="s">
        <v>96</v>
      </c>
      <c r="C76" s="582" t="s">
        <v>4</v>
      </c>
      <c r="D76" s="561">
        <v>564</v>
      </c>
      <c r="E76" s="541">
        <v>12439</v>
      </c>
      <c r="F76" s="541">
        <f t="shared" si="5"/>
        <v>7015596</v>
      </c>
      <c r="G76" s="547"/>
      <c r="H76" s="92"/>
    </row>
    <row r="77" spans="1:8" s="25" customFormat="1" ht="13" outlineLevel="1">
      <c r="A77" s="11">
        <v>8.06</v>
      </c>
      <c r="B77" s="785" t="s">
        <v>2176</v>
      </c>
      <c r="C77" s="582" t="s">
        <v>4</v>
      </c>
      <c r="D77" s="561">
        <v>438</v>
      </c>
      <c r="E77" s="541">
        <v>12439</v>
      </c>
      <c r="F77" s="541">
        <f t="shared" si="5"/>
        <v>5448282</v>
      </c>
      <c r="G77" s="547"/>
      <c r="H77" s="92"/>
    </row>
    <row r="78" spans="1:8" s="25" customFormat="1" ht="13" outlineLevel="1">
      <c r="A78" s="11">
        <v>8.07</v>
      </c>
      <c r="B78" s="785" t="s">
        <v>97</v>
      </c>
      <c r="C78" s="582" t="s">
        <v>54</v>
      </c>
      <c r="D78" s="561">
        <v>1</v>
      </c>
      <c r="E78" s="541">
        <v>2426924</v>
      </c>
      <c r="F78" s="541">
        <f t="shared" si="5"/>
        <v>2426924</v>
      </c>
      <c r="G78" s="547"/>
      <c r="H78" s="92"/>
    </row>
    <row r="79" spans="1:8" s="25" customFormat="1" ht="13" outlineLevel="1">
      <c r="A79" s="11">
        <v>8.08</v>
      </c>
      <c r="B79" s="786" t="s">
        <v>79</v>
      </c>
      <c r="C79" s="586" t="s">
        <v>54</v>
      </c>
      <c r="D79" s="562">
        <v>1</v>
      </c>
      <c r="E79" s="541">
        <v>485143</v>
      </c>
      <c r="F79" s="541">
        <f t="shared" si="5"/>
        <v>485143</v>
      </c>
      <c r="G79" s="547"/>
      <c r="H79" s="92"/>
    </row>
    <row r="80" spans="1:8" ht="13">
      <c r="A80" s="571">
        <v>9</v>
      </c>
      <c r="B80" s="783" t="s">
        <v>98</v>
      </c>
      <c r="C80" s="265"/>
      <c r="D80" s="266"/>
      <c r="E80" s="266"/>
      <c r="F80" s="266"/>
      <c r="G80" s="325">
        <f>SUM(F81:F84)</f>
        <v>5769056.5999999996</v>
      </c>
      <c r="H80" s="92">
        <f>+G80/$G$218</f>
        <v>4.2687118022239762E-3</v>
      </c>
    </row>
    <row r="81" spans="1:8" ht="13" outlineLevel="1">
      <c r="A81" s="217">
        <v>9.01</v>
      </c>
      <c r="B81" s="784" t="s">
        <v>1474</v>
      </c>
      <c r="C81" s="587" t="s">
        <v>54</v>
      </c>
      <c r="D81" s="563">
        <v>1</v>
      </c>
      <c r="E81" s="538">
        <v>2024643</v>
      </c>
      <c r="F81" s="538">
        <f>+E81*D81</f>
        <v>2024643</v>
      </c>
      <c r="G81" s="326"/>
      <c r="H81" s="93"/>
    </row>
    <row r="82" spans="1:8" ht="13" outlineLevel="1">
      <c r="A82" s="567">
        <v>9.02</v>
      </c>
      <c r="B82" s="798" t="s">
        <v>99</v>
      </c>
      <c r="C82" s="716" t="s">
        <v>59</v>
      </c>
      <c r="D82" s="564">
        <v>122</v>
      </c>
      <c r="E82" s="541">
        <v>18814</v>
      </c>
      <c r="F82" s="541">
        <f>+E82*D82</f>
        <v>2295308</v>
      </c>
      <c r="G82" s="320"/>
      <c r="H82" s="93"/>
    </row>
    <row r="83" spans="1:8" ht="13" outlineLevel="1">
      <c r="A83" s="11">
        <v>9.0299999999999994</v>
      </c>
      <c r="B83" s="785" t="s">
        <v>1473</v>
      </c>
      <c r="C83" s="585" t="s">
        <v>59</v>
      </c>
      <c r="D83" s="561">
        <v>155</v>
      </c>
      <c r="E83" s="541">
        <v>5376</v>
      </c>
      <c r="F83" s="541">
        <f>+E83*D83</f>
        <v>833280</v>
      </c>
      <c r="G83" s="320"/>
      <c r="H83" s="93"/>
    </row>
    <row r="84" spans="1:8" ht="13" outlineLevel="1">
      <c r="A84" s="202">
        <v>9.0399999999999991</v>
      </c>
      <c r="B84" s="838" t="s">
        <v>1662</v>
      </c>
      <c r="C84" s="139" t="s">
        <v>59</v>
      </c>
      <c r="D84" s="140">
        <v>31.200000000000003</v>
      </c>
      <c r="E84" s="133">
        <v>19738</v>
      </c>
      <c r="F84" s="133">
        <f>+E84*D84</f>
        <v>615825.60000000009</v>
      </c>
      <c r="G84" s="320"/>
      <c r="H84" s="93"/>
    </row>
    <row r="85" spans="1:8" ht="13">
      <c r="A85" s="571">
        <v>10</v>
      </c>
      <c r="B85" s="783" t="s">
        <v>100</v>
      </c>
      <c r="C85" s="265"/>
      <c r="D85" s="266"/>
      <c r="E85" s="266"/>
      <c r="F85" s="266"/>
      <c r="G85" s="325">
        <f>SUM(F86:F89)</f>
        <v>4669278</v>
      </c>
      <c r="H85" s="92">
        <f>+G85/$G$218</f>
        <v>3.4549500010911255E-3</v>
      </c>
    </row>
    <row r="86" spans="1:8" ht="13" outlineLevel="1">
      <c r="A86" s="217">
        <v>10.01</v>
      </c>
      <c r="B86" s="784" t="s">
        <v>2375</v>
      </c>
      <c r="C86" s="589" t="s">
        <v>54</v>
      </c>
      <c r="D86" s="505">
        <v>0</v>
      </c>
      <c r="E86" s="541">
        <v>0</v>
      </c>
      <c r="F86" s="541">
        <f>+E86*D86</f>
        <v>0</v>
      </c>
      <c r="H86" s="92"/>
    </row>
    <row r="87" spans="1:8" ht="13" outlineLevel="1">
      <c r="A87" s="11">
        <v>10.02</v>
      </c>
      <c r="B87" s="785" t="s">
        <v>2374</v>
      </c>
      <c r="C87" s="467" t="s">
        <v>54</v>
      </c>
      <c r="D87" s="506">
        <v>1</v>
      </c>
      <c r="E87" s="541">
        <v>2199545</v>
      </c>
      <c r="F87" s="541">
        <f>+E87*D87</f>
        <v>2199545</v>
      </c>
      <c r="G87" s="549"/>
      <c r="H87" s="92"/>
    </row>
    <row r="88" spans="1:8" ht="13" outlineLevel="1">
      <c r="A88" s="11">
        <v>10.029999999999999</v>
      </c>
      <c r="B88" s="785" t="s">
        <v>2373</v>
      </c>
      <c r="C88" s="467" t="s">
        <v>56</v>
      </c>
      <c r="D88" s="506">
        <v>0</v>
      </c>
      <c r="E88" s="541">
        <v>0</v>
      </c>
      <c r="F88" s="541">
        <f>+E88*D88</f>
        <v>0</v>
      </c>
      <c r="H88" s="92"/>
    </row>
    <row r="89" spans="1:8" s="25" customFormat="1" ht="13" outlineLevel="1">
      <c r="A89" s="11">
        <v>10.039999999999999</v>
      </c>
      <c r="B89" s="785" t="s">
        <v>1509</v>
      </c>
      <c r="C89" s="582" t="s">
        <v>77</v>
      </c>
      <c r="D89" s="561">
        <v>7</v>
      </c>
      <c r="E89" s="541">
        <v>352819</v>
      </c>
      <c r="F89" s="541">
        <f>+E89*D89</f>
        <v>2469733</v>
      </c>
      <c r="G89" s="547"/>
      <c r="H89" s="92"/>
    </row>
    <row r="90" spans="1:8" ht="13">
      <c r="A90" s="571">
        <v>11</v>
      </c>
      <c r="B90" s="783" t="s">
        <v>101</v>
      </c>
      <c r="C90" s="265"/>
      <c r="D90" s="266"/>
      <c r="E90" s="266"/>
      <c r="F90" s="266"/>
      <c r="G90" s="325">
        <f>SUM(F91:F97)</f>
        <v>48040802</v>
      </c>
      <c r="H90" s="92">
        <f>+G90/$G$218</f>
        <v>3.5546945142764796E-2</v>
      </c>
    </row>
    <row r="91" spans="1:8" ht="13" outlineLevel="1">
      <c r="A91" s="217">
        <v>11.01</v>
      </c>
      <c r="B91" s="784" t="s">
        <v>2296</v>
      </c>
      <c r="C91" s="587" t="s">
        <v>4</v>
      </c>
      <c r="D91" s="563">
        <v>30</v>
      </c>
      <c r="E91" s="541">
        <v>21948</v>
      </c>
      <c r="F91" s="541">
        <f t="shared" ref="F91:F97" si="6">+E91*D91</f>
        <v>658440</v>
      </c>
      <c r="G91" s="326"/>
      <c r="H91" s="93"/>
    </row>
    <row r="92" spans="1:8" ht="13" outlineLevel="1">
      <c r="A92" s="11">
        <v>11.02</v>
      </c>
      <c r="B92" s="785" t="s">
        <v>2297</v>
      </c>
      <c r="C92" s="585" t="s">
        <v>4</v>
      </c>
      <c r="D92" s="561">
        <v>185</v>
      </c>
      <c r="E92" s="541">
        <v>21948</v>
      </c>
      <c r="F92" s="541">
        <f t="shared" si="6"/>
        <v>4060380</v>
      </c>
      <c r="G92" s="320"/>
      <c r="H92" s="93"/>
    </row>
    <row r="93" spans="1:8" ht="13" outlineLevel="1">
      <c r="A93" s="11">
        <v>11.03</v>
      </c>
      <c r="B93" s="785" t="s">
        <v>2298</v>
      </c>
      <c r="C93" s="585" t="s">
        <v>4</v>
      </c>
      <c r="D93" s="561">
        <v>942</v>
      </c>
      <c r="E93" s="541">
        <v>21948</v>
      </c>
      <c r="F93" s="541">
        <f t="shared" si="6"/>
        <v>20675016</v>
      </c>
      <c r="G93" s="320"/>
      <c r="H93" s="93"/>
    </row>
    <row r="94" spans="1:8" ht="13" outlineLevel="1">
      <c r="A94" s="11">
        <v>11.04</v>
      </c>
      <c r="B94" s="785" t="s">
        <v>2299</v>
      </c>
      <c r="C94" s="585" t="s">
        <v>4</v>
      </c>
      <c r="D94" s="561">
        <v>110</v>
      </c>
      <c r="E94" s="541">
        <v>25799</v>
      </c>
      <c r="F94" s="541">
        <f t="shared" si="6"/>
        <v>2837890</v>
      </c>
      <c r="G94" s="320"/>
      <c r="H94" s="93"/>
    </row>
    <row r="95" spans="1:8" s="25" customFormat="1" ht="13" outlineLevel="1">
      <c r="A95" s="11">
        <v>11.05</v>
      </c>
      <c r="B95" s="785" t="s">
        <v>102</v>
      </c>
      <c r="C95" s="582" t="s">
        <v>4</v>
      </c>
      <c r="D95" s="561">
        <v>128</v>
      </c>
      <c r="E95" s="541">
        <v>16080</v>
      </c>
      <c r="F95" s="541">
        <f t="shared" si="6"/>
        <v>2058240</v>
      </c>
      <c r="G95" s="547"/>
      <c r="H95" s="92"/>
    </row>
    <row r="96" spans="1:8" ht="13" outlineLevel="1">
      <c r="A96" s="11">
        <v>11.06</v>
      </c>
      <c r="B96" s="785" t="s">
        <v>103</v>
      </c>
      <c r="C96" s="585" t="s">
        <v>4</v>
      </c>
      <c r="D96" s="561">
        <v>48</v>
      </c>
      <c r="E96" s="541">
        <v>21948</v>
      </c>
      <c r="F96" s="541">
        <f t="shared" si="6"/>
        <v>1053504</v>
      </c>
      <c r="G96" s="326"/>
      <c r="H96" s="93"/>
    </row>
    <row r="97" spans="1:8" ht="13" outlineLevel="1">
      <c r="A97" s="11">
        <v>11.07</v>
      </c>
      <c r="B97" s="786" t="s">
        <v>2310</v>
      </c>
      <c r="C97" s="588" t="s">
        <v>4</v>
      </c>
      <c r="D97" s="562">
        <v>226</v>
      </c>
      <c r="E97" s="541">
        <v>73882</v>
      </c>
      <c r="F97" s="541">
        <f t="shared" si="6"/>
        <v>16697332</v>
      </c>
      <c r="G97" s="320"/>
      <c r="H97" s="93"/>
    </row>
    <row r="98" spans="1:8" ht="13">
      <c r="A98" s="571">
        <v>12</v>
      </c>
      <c r="B98" s="783" t="s">
        <v>104</v>
      </c>
      <c r="C98" s="265"/>
      <c r="D98" s="266"/>
      <c r="E98" s="266"/>
      <c r="F98" s="266"/>
      <c r="G98" s="325">
        <f>SUM(F99:F103)</f>
        <v>11022518</v>
      </c>
      <c r="H98" s="92">
        <f>+G98/$G$218</f>
        <v>8.1559180190442608E-3</v>
      </c>
    </row>
    <row r="99" spans="1:8" ht="13" outlineLevel="1">
      <c r="A99" s="217">
        <f>+A98+0.01</f>
        <v>12.01</v>
      </c>
      <c r="B99" s="784" t="s">
        <v>105</v>
      </c>
      <c r="C99" s="587" t="s">
        <v>59</v>
      </c>
      <c r="D99" s="563">
        <v>779</v>
      </c>
      <c r="E99" s="541">
        <v>7422</v>
      </c>
      <c r="F99" s="541">
        <f>+E99*D99</f>
        <v>5781738</v>
      </c>
      <c r="H99" s="92"/>
    </row>
    <row r="100" spans="1:8" ht="13" outlineLevel="1">
      <c r="A100" s="567">
        <v>12.02</v>
      </c>
      <c r="B100" s="785" t="s">
        <v>1473</v>
      </c>
      <c r="C100" s="716" t="s">
        <v>59</v>
      </c>
      <c r="D100" s="564">
        <v>155</v>
      </c>
      <c r="E100" s="541">
        <v>5376</v>
      </c>
      <c r="F100" s="541">
        <f>+E100*D100</f>
        <v>833280</v>
      </c>
      <c r="H100" s="92"/>
    </row>
    <row r="101" spans="1:8" ht="13" outlineLevel="1">
      <c r="A101" s="567">
        <v>12.03</v>
      </c>
      <c r="B101" s="798" t="s">
        <v>106</v>
      </c>
      <c r="C101" s="716" t="s">
        <v>59</v>
      </c>
      <c r="D101" s="564">
        <v>37</v>
      </c>
      <c r="E101" s="541">
        <v>7052</v>
      </c>
      <c r="F101" s="541">
        <f>+E101*D101</f>
        <v>260924</v>
      </c>
      <c r="H101" s="92"/>
    </row>
    <row r="102" spans="1:8" ht="13" outlineLevel="1">
      <c r="A102" s="567">
        <v>12.04</v>
      </c>
      <c r="B102" s="798" t="s">
        <v>107</v>
      </c>
      <c r="C102" s="716" t="s">
        <v>59</v>
      </c>
      <c r="D102" s="564">
        <v>433</v>
      </c>
      <c r="E102" s="541">
        <v>7052</v>
      </c>
      <c r="F102" s="541">
        <f>+E102*D102</f>
        <v>3053516</v>
      </c>
      <c r="H102" s="92"/>
    </row>
    <row r="103" spans="1:8" ht="13" outlineLevel="1">
      <c r="A103" s="11">
        <v>12.05</v>
      </c>
      <c r="B103" s="799" t="s">
        <v>108</v>
      </c>
      <c r="C103" s="585" t="s">
        <v>59</v>
      </c>
      <c r="D103" s="561">
        <v>155</v>
      </c>
      <c r="E103" s="541">
        <v>7052</v>
      </c>
      <c r="F103" s="541">
        <f>+E103*D103</f>
        <v>1093060</v>
      </c>
      <c r="H103" s="92"/>
    </row>
    <row r="104" spans="1:8" ht="13">
      <c r="A104" s="571">
        <v>13</v>
      </c>
      <c r="B104" s="783" t="s">
        <v>109</v>
      </c>
      <c r="C104" s="265"/>
      <c r="D104" s="266"/>
      <c r="E104" s="266"/>
      <c r="F104" s="266"/>
      <c r="G104" s="325">
        <f>SUM(F105:F108)</f>
        <v>19433086.480999999</v>
      </c>
      <c r="H104" s="92">
        <f>+G104/$G$218</f>
        <v>1.4379170004170855E-2</v>
      </c>
    </row>
    <row r="105" spans="1:8" ht="13" outlineLevel="1">
      <c r="A105" s="141">
        <v>13.01</v>
      </c>
      <c r="B105" s="793" t="s">
        <v>2312</v>
      </c>
      <c r="C105" s="467" t="s">
        <v>4</v>
      </c>
      <c r="D105" s="506">
        <v>511</v>
      </c>
      <c r="E105" s="541">
        <v>25799</v>
      </c>
      <c r="F105" s="541">
        <f>+E105*D105</f>
        <v>13183289</v>
      </c>
      <c r="H105" s="92"/>
    </row>
    <row r="106" spans="1:8" ht="13" outlineLevel="1">
      <c r="A106" s="141">
        <v>13.02</v>
      </c>
      <c r="B106" s="793" t="s">
        <v>2356</v>
      </c>
      <c r="C106" s="467" t="s">
        <v>4</v>
      </c>
      <c r="D106" s="506">
        <v>40</v>
      </c>
      <c r="E106" s="541">
        <v>25799</v>
      </c>
      <c r="F106" s="541">
        <f>+E106*D106</f>
        <v>1031960</v>
      </c>
      <c r="H106" s="92"/>
    </row>
    <row r="107" spans="1:8" ht="13" outlineLevel="1">
      <c r="A107" s="141">
        <v>13.03</v>
      </c>
      <c r="B107" s="785" t="s">
        <v>2324</v>
      </c>
      <c r="C107" s="585" t="s">
        <v>4</v>
      </c>
      <c r="D107" s="561">
        <v>147.60100000000003</v>
      </c>
      <c r="E107" s="541">
        <v>29881</v>
      </c>
      <c r="F107" s="541">
        <f>+E107*D107</f>
        <v>4410465.4810000006</v>
      </c>
      <c r="G107" s="320"/>
      <c r="H107" s="93"/>
    </row>
    <row r="108" spans="1:8" ht="13" outlineLevel="1">
      <c r="A108" s="202">
        <v>13.04</v>
      </c>
      <c r="B108" s="786" t="s">
        <v>110</v>
      </c>
      <c r="C108" s="590" t="s">
        <v>77</v>
      </c>
      <c r="D108" s="507">
        <v>41</v>
      </c>
      <c r="E108" s="539">
        <v>19692</v>
      </c>
      <c r="F108" s="539">
        <f>+E108*D108</f>
        <v>807372</v>
      </c>
      <c r="H108" s="92"/>
    </row>
    <row r="109" spans="1:8" s="25" customFormat="1" ht="13">
      <c r="A109" s="571">
        <v>14</v>
      </c>
      <c r="B109" s="783" t="s">
        <v>111</v>
      </c>
      <c r="C109" s="265"/>
      <c r="D109" s="266"/>
      <c r="E109" s="266"/>
      <c r="F109" s="266"/>
      <c r="G109" s="325">
        <f>SUM(F110:F116)</f>
        <v>50296168.959899999</v>
      </c>
      <c r="H109" s="92">
        <f>+G109/$G$218</f>
        <v>3.7215764193711733E-2</v>
      </c>
    </row>
    <row r="110" spans="1:8" ht="13" outlineLevel="1">
      <c r="A110" s="217">
        <f>+A109+0.01</f>
        <v>14.01</v>
      </c>
      <c r="B110" s="784" t="s">
        <v>112</v>
      </c>
      <c r="C110" s="589" t="s">
        <v>4</v>
      </c>
      <c r="D110" s="505">
        <v>334.91519999999997</v>
      </c>
      <c r="E110" s="541">
        <v>29270</v>
      </c>
      <c r="F110" s="541">
        <f t="shared" ref="F110:F116" si="7">+E110*D110</f>
        <v>9802967.9039999992</v>
      </c>
      <c r="H110" s="92"/>
    </row>
    <row r="111" spans="1:8" ht="13" outlineLevel="1">
      <c r="A111" s="11">
        <f t="shared" ref="A111" si="8">+A110+0.01</f>
        <v>14.02</v>
      </c>
      <c r="B111" s="785" t="s">
        <v>113</v>
      </c>
      <c r="C111" s="467" t="s">
        <v>4</v>
      </c>
      <c r="D111" s="506">
        <v>280.3913</v>
      </c>
      <c r="E111" s="541">
        <v>33967</v>
      </c>
      <c r="F111" s="541">
        <f t="shared" si="7"/>
        <v>9524051.2871000003</v>
      </c>
      <c r="H111" s="92"/>
    </row>
    <row r="112" spans="1:8" ht="13" outlineLevel="1">
      <c r="A112" s="11">
        <v>14.03</v>
      </c>
      <c r="B112" s="785" t="s">
        <v>2321</v>
      </c>
      <c r="C112" s="467" t="s">
        <v>59</v>
      </c>
      <c r="D112" s="506">
        <v>60.8</v>
      </c>
      <c r="E112" s="541">
        <v>29270</v>
      </c>
      <c r="F112" s="541">
        <f t="shared" si="7"/>
        <v>1779616</v>
      </c>
      <c r="H112" s="92"/>
    </row>
    <row r="113" spans="1:8" ht="13" outlineLevel="1">
      <c r="A113" s="11">
        <v>14.04</v>
      </c>
      <c r="B113" s="785" t="s">
        <v>114</v>
      </c>
      <c r="C113" s="467" t="s">
        <v>59</v>
      </c>
      <c r="D113" s="506">
        <v>1058.3799999999997</v>
      </c>
      <c r="E113" s="541">
        <v>7873</v>
      </c>
      <c r="F113" s="541">
        <f t="shared" si="7"/>
        <v>8332625.7399999974</v>
      </c>
      <c r="H113" s="92"/>
    </row>
    <row r="114" spans="1:8" s="25" customFormat="1" ht="13" outlineLevel="1">
      <c r="A114" s="11">
        <v>14.05</v>
      </c>
      <c r="B114" s="785" t="s">
        <v>115</v>
      </c>
      <c r="C114" s="467" t="s">
        <v>4</v>
      </c>
      <c r="D114" s="506">
        <v>504.12220000000002</v>
      </c>
      <c r="E114" s="541">
        <v>23364</v>
      </c>
      <c r="F114" s="541">
        <f t="shared" si="7"/>
        <v>11778311.080800001</v>
      </c>
      <c r="G114" s="547"/>
      <c r="H114" s="92"/>
    </row>
    <row r="115" spans="1:8" s="25" customFormat="1" ht="13" outlineLevel="1">
      <c r="A115" s="11">
        <v>14.06</v>
      </c>
      <c r="B115" s="785" t="s">
        <v>116</v>
      </c>
      <c r="C115" s="467" t="s">
        <v>59</v>
      </c>
      <c r="D115" s="506">
        <v>555.99</v>
      </c>
      <c r="E115" s="541">
        <v>12771</v>
      </c>
      <c r="F115" s="541">
        <f t="shared" si="7"/>
        <v>7100548.29</v>
      </c>
      <c r="G115" s="547"/>
      <c r="H115" s="92"/>
    </row>
    <row r="116" spans="1:8" ht="13" outlineLevel="1">
      <c r="A116" s="11">
        <v>14.07</v>
      </c>
      <c r="B116" s="786" t="s">
        <v>117</v>
      </c>
      <c r="C116" s="590" t="s">
        <v>4</v>
      </c>
      <c r="D116" s="507">
        <v>429.07780000000002</v>
      </c>
      <c r="E116" s="541">
        <v>4610</v>
      </c>
      <c r="F116" s="541">
        <f t="shared" si="7"/>
        <v>1978048.6580000001</v>
      </c>
      <c r="H116" s="92"/>
    </row>
    <row r="117" spans="1:8" ht="13">
      <c r="A117" s="571">
        <v>15</v>
      </c>
      <c r="B117" s="783" t="s">
        <v>118</v>
      </c>
      <c r="C117" s="265"/>
      <c r="D117" s="266"/>
      <c r="E117" s="266"/>
      <c r="F117" s="266"/>
      <c r="G117" s="322">
        <f>SUM(F118:F126)</f>
        <v>0</v>
      </c>
      <c r="H117" s="92">
        <f>+G117/$G$218</f>
        <v>0</v>
      </c>
    </row>
    <row r="118" spans="1:8" ht="13" outlineLevel="1">
      <c r="A118" s="11">
        <v>15.01</v>
      </c>
      <c r="B118" s="785" t="s">
        <v>119</v>
      </c>
      <c r="C118" s="585" t="s">
        <v>4</v>
      </c>
      <c r="D118" s="561">
        <v>2670</v>
      </c>
      <c r="E118" s="541">
        <v>0</v>
      </c>
      <c r="F118" s="541">
        <f t="shared" ref="F118:F126" si="9">+E118*D118</f>
        <v>0</v>
      </c>
      <c r="H118" s="92"/>
    </row>
    <row r="119" spans="1:8" ht="13" outlineLevel="1">
      <c r="A119" s="11">
        <v>15.02</v>
      </c>
      <c r="B119" s="785" t="s">
        <v>1476</v>
      </c>
      <c r="C119" s="585" t="s">
        <v>4</v>
      </c>
      <c r="D119" s="561">
        <v>961</v>
      </c>
      <c r="E119" s="541">
        <v>0</v>
      </c>
      <c r="F119" s="541">
        <f t="shared" si="9"/>
        <v>0</v>
      </c>
      <c r="H119" s="92"/>
    </row>
    <row r="120" spans="1:8" ht="13" outlineLevel="1">
      <c r="A120" s="11">
        <v>15.03</v>
      </c>
      <c r="B120" s="785" t="s">
        <v>120</v>
      </c>
      <c r="C120" s="585" t="s">
        <v>4</v>
      </c>
      <c r="D120" s="561">
        <v>518</v>
      </c>
      <c r="E120" s="541">
        <v>0</v>
      </c>
      <c r="F120" s="541">
        <f t="shared" si="9"/>
        <v>0</v>
      </c>
      <c r="H120" s="92"/>
    </row>
    <row r="121" spans="1:8" ht="13" outlineLevel="1">
      <c r="A121" s="11">
        <v>15.04</v>
      </c>
      <c r="B121" s="785" t="s">
        <v>121</v>
      </c>
      <c r="C121" s="585" t="s">
        <v>4</v>
      </c>
      <c r="D121" s="561">
        <v>612</v>
      </c>
      <c r="E121" s="541">
        <v>0</v>
      </c>
      <c r="F121" s="541">
        <f t="shared" si="9"/>
        <v>0</v>
      </c>
      <c r="H121" s="92"/>
    </row>
    <row r="122" spans="1:8" ht="13" outlineLevel="1">
      <c r="A122" s="11">
        <v>15.05</v>
      </c>
      <c r="B122" s="785" t="s">
        <v>1477</v>
      </c>
      <c r="C122" s="585" t="s">
        <v>4</v>
      </c>
      <c r="D122" s="561">
        <v>422</v>
      </c>
      <c r="E122" s="541">
        <v>0</v>
      </c>
      <c r="F122" s="541">
        <f t="shared" si="9"/>
        <v>0</v>
      </c>
      <c r="H122" s="92"/>
    </row>
    <row r="123" spans="1:8" ht="13" outlineLevel="1">
      <c r="A123" s="11">
        <v>15.07</v>
      </c>
      <c r="B123" s="785" t="s">
        <v>1524</v>
      </c>
      <c r="C123" s="585" t="s">
        <v>4</v>
      </c>
      <c r="D123" s="561">
        <v>678.25199999999995</v>
      </c>
      <c r="E123" s="541">
        <v>0</v>
      </c>
      <c r="F123" s="541">
        <f t="shared" si="9"/>
        <v>0</v>
      </c>
      <c r="H123" s="92"/>
    </row>
    <row r="124" spans="1:8" ht="13" outlineLevel="1">
      <c r="A124" s="11">
        <v>15.08</v>
      </c>
      <c r="B124" s="785" t="s">
        <v>2372</v>
      </c>
      <c r="C124" s="585" t="s">
        <v>4</v>
      </c>
      <c r="D124" s="561">
        <v>728.48019999999985</v>
      </c>
      <c r="E124" s="541">
        <v>0</v>
      </c>
      <c r="F124" s="541">
        <f t="shared" si="9"/>
        <v>0</v>
      </c>
      <c r="H124" s="92"/>
    </row>
    <row r="125" spans="1:8" ht="13" outlineLevel="1">
      <c r="A125" s="11">
        <v>15.09</v>
      </c>
      <c r="B125" s="785" t="s">
        <v>1484</v>
      </c>
      <c r="C125" s="585" t="s">
        <v>56</v>
      </c>
      <c r="D125" s="561">
        <v>76</v>
      </c>
      <c r="E125" s="541">
        <v>0</v>
      </c>
      <c r="F125" s="541">
        <f t="shared" si="9"/>
        <v>0</v>
      </c>
      <c r="H125" s="92"/>
    </row>
    <row r="126" spans="1:8" ht="13" outlineLevel="1">
      <c r="A126" s="11">
        <v>15.1</v>
      </c>
      <c r="B126" s="800" t="s">
        <v>122</v>
      </c>
      <c r="C126" s="588" t="s">
        <v>54</v>
      </c>
      <c r="D126" s="562">
        <v>1</v>
      </c>
      <c r="E126" s="541">
        <v>0</v>
      </c>
      <c r="F126" s="541">
        <f t="shared" si="9"/>
        <v>0</v>
      </c>
      <c r="H126" s="92"/>
    </row>
    <row r="127" spans="1:8" ht="13">
      <c r="A127" s="571">
        <v>16</v>
      </c>
      <c r="B127" s="801" t="s">
        <v>123</v>
      </c>
      <c r="C127" s="265"/>
      <c r="D127" s="266"/>
      <c r="E127" s="266"/>
      <c r="F127" s="266"/>
      <c r="G127" s="325">
        <f>SUM(F128:F128)</f>
        <v>0</v>
      </c>
      <c r="H127" s="92">
        <f>+G127/$G$218</f>
        <v>0</v>
      </c>
    </row>
    <row r="128" spans="1:8" s="25" customFormat="1" ht="13" hidden="1" outlineLevel="1">
      <c r="A128" s="217"/>
      <c r="B128" s="784"/>
      <c r="C128" s="584"/>
      <c r="D128" s="563"/>
      <c r="E128" s="548">
        <v>0</v>
      </c>
      <c r="F128" s="542">
        <f>+E128*D128</f>
        <v>0</v>
      </c>
      <c r="G128" s="326"/>
      <c r="H128" s="93"/>
    </row>
    <row r="129" spans="1:8" s="25" customFormat="1" ht="13" collapsed="1">
      <c r="A129" s="571">
        <v>17</v>
      </c>
      <c r="B129" s="783" t="s">
        <v>124</v>
      </c>
      <c r="C129" s="265"/>
      <c r="D129" s="266"/>
      <c r="E129" s="266"/>
      <c r="F129" s="266"/>
      <c r="G129" s="325">
        <f>SUM(F130:F133)</f>
        <v>7258243</v>
      </c>
      <c r="H129" s="92">
        <f>+G129/$G$218</f>
        <v>5.370609045074989E-3</v>
      </c>
    </row>
    <row r="130" spans="1:8" s="25" customFormat="1" ht="13" outlineLevel="1">
      <c r="A130" s="217">
        <f>+A129+0.01</f>
        <v>17.010000000000002</v>
      </c>
      <c r="B130" s="802" t="s">
        <v>125</v>
      </c>
      <c r="C130" s="462" t="s">
        <v>77</v>
      </c>
      <c r="D130" s="563">
        <v>47</v>
      </c>
      <c r="E130" s="538">
        <v>64232</v>
      </c>
      <c r="F130" s="538">
        <f>+E130*D130</f>
        <v>3018904</v>
      </c>
      <c r="G130" s="547"/>
      <c r="H130" s="92"/>
    </row>
    <row r="131" spans="1:8" s="25" customFormat="1" ht="13" outlineLevel="1">
      <c r="A131" s="11">
        <v>17.02</v>
      </c>
      <c r="B131" s="803" t="s">
        <v>2293</v>
      </c>
      <c r="C131" s="131" t="s">
        <v>77</v>
      </c>
      <c r="D131" s="561">
        <v>23</v>
      </c>
      <c r="E131" s="541">
        <v>64232</v>
      </c>
      <c r="F131" s="541">
        <f>+E131*D131</f>
        <v>1477336</v>
      </c>
      <c r="G131" s="547"/>
      <c r="H131" s="92"/>
    </row>
    <row r="132" spans="1:8" s="25" customFormat="1" ht="13" outlineLevel="1">
      <c r="A132" s="11">
        <v>17.03</v>
      </c>
      <c r="B132" s="803" t="s">
        <v>126</v>
      </c>
      <c r="C132" s="131" t="s">
        <v>77</v>
      </c>
      <c r="D132" s="561">
        <v>51</v>
      </c>
      <c r="E132" s="541">
        <v>41296</v>
      </c>
      <c r="F132" s="541">
        <f>+E132*D132</f>
        <v>2106096</v>
      </c>
      <c r="G132" s="547"/>
      <c r="H132" s="92"/>
    </row>
    <row r="133" spans="1:8" s="25" customFormat="1" ht="13" outlineLevel="1">
      <c r="A133" s="107">
        <v>17.04</v>
      </c>
      <c r="B133" s="786" t="s">
        <v>127</v>
      </c>
      <c r="C133" s="586" t="s">
        <v>77</v>
      </c>
      <c r="D133" s="562">
        <v>7</v>
      </c>
      <c r="E133" s="539">
        <v>93701</v>
      </c>
      <c r="F133" s="539">
        <f>+E133*D133</f>
        <v>655907</v>
      </c>
      <c r="G133" s="547"/>
      <c r="H133" s="92"/>
    </row>
    <row r="134" spans="1:8" ht="13">
      <c r="A134" s="571">
        <v>18</v>
      </c>
      <c r="B134" s="783" t="s">
        <v>128</v>
      </c>
      <c r="C134" s="265"/>
      <c r="D134" s="266"/>
      <c r="E134" s="266"/>
      <c r="F134" s="266"/>
      <c r="G134" s="325">
        <f>SUM(F135:F164)</f>
        <v>99277732</v>
      </c>
      <c r="H134" s="92">
        <f>+G134/$G$218</f>
        <v>7.3458808895449035E-2</v>
      </c>
    </row>
    <row r="135" spans="1:8" ht="13" outlineLevel="1">
      <c r="A135" s="463">
        <f>+A134+0.01</f>
        <v>18.010000000000002</v>
      </c>
      <c r="B135" s="804" t="s">
        <v>129</v>
      </c>
      <c r="C135" s="216" t="s">
        <v>77</v>
      </c>
      <c r="D135" s="508">
        <v>392</v>
      </c>
      <c r="E135" s="538">
        <v>59948</v>
      </c>
      <c r="F135" s="538">
        <f t="shared" ref="F135:F164" si="10">+E135*D135</f>
        <v>23499616</v>
      </c>
      <c r="H135" s="92"/>
    </row>
    <row r="136" spans="1:8" ht="13" outlineLevel="1">
      <c r="A136" s="464">
        <v>18.02</v>
      </c>
      <c r="B136" s="805" t="s">
        <v>2243</v>
      </c>
      <c r="C136" s="194" t="s">
        <v>77</v>
      </c>
      <c r="D136" s="509">
        <v>19</v>
      </c>
      <c r="E136" s="541">
        <v>59948</v>
      </c>
      <c r="F136" s="541">
        <f t="shared" si="10"/>
        <v>1139012</v>
      </c>
      <c r="H136" s="92"/>
    </row>
    <row r="137" spans="1:8" ht="13" outlineLevel="1">
      <c r="A137" s="464">
        <v>18.03</v>
      </c>
      <c r="B137" s="805" t="s">
        <v>130</v>
      </c>
      <c r="C137" s="194" t="s">
        <v>77</v>
      </c>
      <c r="D137" s="509">
        <v>349</v>
      </c>
      <c r="E137" s="541">
        <v>57445</v>
      </c>
      <c r="F137" s="541">
        <f t="shared" si="10"/>
        <v>20048305</v>
      </c>
      <c r="H137" s="92"/>
    </row>
    <row r="138" spans="1:8" ht="13" outlineLevel="1">
      <c r="A138" s="465">
        <v>18.04</v>
      </c>
      <c r="B138" s="805" t="s">
        <v>131</v>
      </c>
      <c r="C138" s="194" t="s">
        <v>77</v>
      </c>
      <c r="D138" s="509">
        <v>35</v>
      </c>
      <c r="E138" s="541">
        <v>64480</v>
      </c>
      <c r="F138" s="541">
        <f t="shared" si="10"/>
        <v>2256800</v>
      </c>
      <c r="H138" s="92"/>
    </row>
    <row r="139" spans="1:8" ht="13" outlineLevel="1">
      <c r="A139" s="464">
        <v>18.05</v>
      </c>
      <c r="B139" s="805" t="s">
        <v>133</v>
      </c>
      <c r="C139" s="194" t="s">
        <v>77</v>
      </c>
      <c r="D139" s="509">
        <v>16</v>
      </c>
      <c r="E139" s="541">
        <v>57445</v>
      </c>
      <c r="F139" s="541">
        <f t="shared" si="10"/>
        <v>919120</v>
      </c>
      <c r="H139" s="92"/>
    </row>
    <row r="140" spans="1:8" ht="13" outlineLevel="1">
      <c r="A140" s="465">
        <v>18.059999999999999</v>
      </c>
      <c r="B140" s="805" t="s">
        <v>2245</v>
      </c>
      <c r="C140" s="194" t="s">
        <v>77</v>
      </c>
      <c r="D140" s="509">
        <v>16</v>
      </c>
      <c r="E140" s="541">
        <v>57445</v>
      </c>
      <c r="F140" s="541">
        <f t="shared" si="10"/>
        <v>919120</v>
      </c>
      <c r="H140" s="92"/>
    </row>
    <row r="141" spans="1:8" ht="13" outlineLevel="1">
      <c r="A141" s="464">
        <v>18.07</v>
      </c>
      <c r="B141" s="805" t="s">
        <v>132</v>
      </c>
      <c r="C141" s="194" t="s">
        <v>77</v>
      </c>
      <c r="D141" s="509">
        <v>46</v>
      </c>
      <c r="E141" s="541">
        <v>43213</v>
      </c>
      <c r="F141" s="541">
        <f t="shared" si="10"/>
        <v>1987798</v>
      </c>
      <c r="H141" s="92"/>
    </row>
    <row r="142" spans="1:8" ht="13" outlineLevel="1">
      <c r="A142" s="465">
        <v>18.079999999999998</v>
      </c>
      <c r="B142" s="805" t="s">
        <v>134</v>
      </c>
      <c r="C142" s="194" t="s">
        <v>77</v>
      </c>
      <c r="D142" s="509">
        <v>17</v>
      </c>
      <c r="E142" s="541">
        <v>43213</v>
      </c>
      <c r="F142" s="541">
        <f t="shared" si="10"/>
        <v>734621</v>
      </c>
      <c r="H142" s="92"/>
    </row>
    <row r="143" spans="1:8" ht="13" outlineLevel="1">
      <c r="A143" s="464">
        <v>18.09</v>
      </c>
      <c r="B143" s="805" t="s">
        <v>2221</v>
      </c>
      <c r="C143" s="194" t="s">
        <v>77</v>
      </c>
      <c r="D143" s="509">
        <v>11</v>
      </c>
      <c r="E143" s="541">
        <v>43213</v>
      </c>
      <c r="F143" s="541">
        <f t="shared" si="10"/>
        <v>475343</v>
      </c>
      <c r="H143" s="92"/>
    </row>
    <row r="144" spans="1:8" ht="13" outlineLevel="1">
      <c r="A144" s="465">
        <v>18.100000000000001</v>
      </c>
      <c r="B144" s="805" t="s">
        <v>135</v>
      </c>
      <c r="C144" s="194" t="s">
        <v>77</v>
      </c>
      <c r="D144" s="509">
        <v>1</v>
      </c>
      <c r="E144" s="541">
        <v>2365100</v>
      </c>
      <c r="F144" s="541">
        <f t="shared" si="10"/>
        <v>2365100</v>
      </c>
      <c r="H144" s="92"/>
    </row>
    <row r="145" spans="1:23" ht="13" outlineLevel="1">
      <c r="A145" s="464">
        <v>18.11</v>
      </c>
      <c r="B145" s="805" t="s">
        <v>136</v>
      </c>
      <c r="C145" s="194" t="s">
        <v>77</v>
      </c>
      <c r="D145" s="509">
        <v>1</v>
      </c>
      <c r="E145" s="541">
        <v>1112140</v>
      </c>
      <c r="F145" s="541">
        <f t="shared" si="10"/>
        <v>1112140</v>
      </c>
      <c r="H145" s="92"/>
    </row>
    <row r="146" spans="1:23" ht="13" outlineLevel="1">
      <c r="A146" s="465">
        <v>18.12</v>
      </c>
      <c r="B146" s="805" t="s">
        <v>2242</v>
      </c>
      <c r="C146" s="194" t="s">
        <v>77</v>
      </c>
      <c r="D146" s="509">
        <v>1</v>
      </c>
      <c r="E146" s="541">
        <v>669004</v>
      </c>
      <c r="F146" s="541">
        <f t="shared" si="10"/>
        <v>669004</v>
      </c>
      <c r="H146" s="92"/>
    </row>
    <row r="147" spans="1:23" s="137" customFormat="1" ht="13" outlineLevel="1">
      <c r="A147" s="464">
        <v>18.13</v>
      </c>
      <c r="B147" s="805" t="s">
        <v>137</v>
      </c>
      <c r="C147" s="194" t="s">
        <v>77</v>
      </c>
      <c r="D147" s="509">
        <v>1</v>
      </c>
      <c r="E147" s="541">
        <v>970259</v>
      </c>
      <c r="F147" s="541">
        <f t="shared" si="10"/>
        <v>970259</v>
      </c>
      <c r="G147" s="546"/>
      <c r="H147" s="92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spans="1:23" s="137" customFormat="1" ht="13" outlineLevel="1">
      <c r="A148" s="465">
        <v>18.14</v>
      </c>
      <c r="B148" s="805" t="s">
        <v>2222</v>
      </c>
      <c r="C148" s="194" t="s">
        <v>77</v>
      </c>
      <c r="D148" s="509">
        <v>1</v>
      </c>
      <c r="E148" s="541">
        <v>507898</v>
      </c>
      <c r="F148" s="541">
        <f t="shared" si="10"/>
        <v>507898</v>
      </c>
      <c r="G148" s="546"/>
      <c r="H148" s="92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spans="1:23" s="137" customFormat="1" ht="13" outlineLevel="1">
      <c r="A149" s="464">
        <v>18.149999999999999</v>
      </c>
      <c r="B149" s="805" t="s">
        <v>2220</v>
      </c>
      <c r="C149" s="194" t="s">
        <v>77</v>
      </c>
      <c r="D149" s="509">
        <v>7</v>
      </c>
      <c r="E149" s="541">
        <v>507898</v>
      </c>
      <c r="F149" s="541">
        <f t="shared" si="10"/>
        <v>3555286</v>
      </c>
      <c r="G149" s="546"/>
      <c r="H149" s="92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pans="1:23" s="137" customFormat="1" ht="13" outlineLevel="1">
      <c r="A150" s="465">
        <v>18.16</v>
      </c>
      <c r="B150" s="805" t="s">
        <v>2244</v>
      </c>
      <c r="C150" s="194" t="s">
        <v>77</v>
      </c>
      <c r="D150" s="509">
        <v>9</v>
      </c>
      <c r="E150" s="541">
        <v>595498</v>
      </c>
      <c r="F150" s="541">
        <f t="shared" si="10"/>
        <v>5359482</v>
      </c>
      <c r="G150" s="546"/>
      <c r="H150" s="92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spans="1:23" s="137" customFormat="1" ht="13" outlineLevel="1">
      <c r="A151" s="464">
        <v>18.170000000000002</v>
      </c>
      <c r="B151" s="805" t="s">
        <v>138</v>
      </c>
      <c r="C151" s="194" t="s">
        <v>54</v>
      </c>
      <c r="D151" s="509">
        <v>1</v>
      </c>
      <c r="E151" s="541">
        <v>9502264</v>
      </c>
      <c r="F151" s="541">
        <f t="shared" si="10"/>
        <v>9502264</v>
      </c>
      <c r="G151" s="546"/>
      <c r="H151" s="92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pans="1:23" s="137" customFormat="1" ht="13" outlineLevel="1">
      <c r="A152" s="465">
        <v>18.18</v>
      </c>
      <c r="B152" s="805" t="s">
        <v>139</v>
      </c>
      <c r="C152" s="194" t="s">
        <v>54</v>
      </c>
      <c r="D152" s="509">
        <v>1</v>
      </c>
      <c r="E152" s="541">
        <v>1878534</v>
      </c>
      <c r="F152" s="541">
        <f t="shared" si="10"/>
        <v>1878534</v>
      </c>
      <c r="G152" s="546"/>
      <c r="H152" s="92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spans="1:23" s="137" customFormat="1" ht="13" outlineLevel="1">
      <c r="A153" s="464">
        <v>18.190000000000001</v>
      </c>
      <c r="B153" s="805" t="s">
        <v>140</v>
      </c>
      <c r="C153" s="194" t="s">
        <v>54</v>
      </c>
      <c r="D153" s="509">
        <v>1</v>
      </c>
      <c r="E153" s="541">
        <v>1878534</v>
      </c>
      <c r="F153" s="541">
        <f t="shared" si="10"/>
        <v>1878534</v>
      </c>
      <c r="G153" s="546"/>
      <c r="H153" s="92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23" s="137" customFormat="1" ht="13" outlineLevel="1">
      <c r="A154" s="465">
        <v>18.2</v>
      </c>
      <c r="B154" s="805" t="s">
        <v>1544</v>
      </c>
      <c r="C154" s="194" t="s">
        <v>77</v>
      </c>
      <c r="D154" s="509">
        <v>33</v>
      </c>
      <c r="E154" s="541">
        <v>14235</v>
      </c>
      <c r="F154" s="541">
        <f t="shared" si="10"/>
        <v>469755</v>
      </c>
      <c r="G154" s="546"/>
      <c r="H154" s="92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spans="1:23" s="137" customFormat="1" ht="13" outlineLevel="1">
      <c r="A155" s="464">
        <v>18.21</v>
      </c>
      <c r="B155" s="805" t="s">
        <v>1541</v>
      </c>
      <c r="C155" s="194" t="s">
        <v>77</v>
      </c>
      <c r="D155" s="509">
        <v>150</v>
      </c>
      <c r="E155" s="541">
        <v>9276</v>
      </c>
      <c r="F155" s="541">
        <f t="shared" si="10"/>
        <v>1391400</v>
      </c>
      <c r="G155" s="546"/>
      <c r="H155" s="92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pans="1:23" s="137" customFormat="1" ht="13" outlineLevel="1">
      <c r="A156" s="465">
        <v>18.22</v>
      </c>
      <c r="B156" s="805" t="s">
        <v>1546</v>
      </c>
      <c r="C156" s="194" t="s">
        <v>77</v>
      </c>
      <c r="D156" s="509">
        <v>16</v>
      </c>
      <c r="E156" s="541">
        <v>9276</v>
      </c>
      <c r="F156" s="541">
        <f t="shared" si="10"/>
        <v>148416</v>
      </c>
      <c r="G156" s="546"/>
      <c r="H156" s="92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spans="1:23" s="137" customFormat="1" ht="13" outlineLevel="1">
      <c r="A157" s="464">
        <v>18.23</v>
      </c>
      <c r="B157" s="805" t="s">
        <v>1543</v>
      </c>
      <c r="C157" s="194" t="s">
        <v>77</v>
      </c>
      <c r="D157" s="509">
        <v>349</v>
      </c>
      <c r="E157" s="541">
        <v>9276</v>
      </c>
      <c r="F157" s="541">
        <f t="shared" si="10"/>
        <v>3237324</v>
      </c>
      <c r="G157" s="546"/>
      <c r="H157" s="92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pans="1:23" s="137" customFormat="1" ht="13" outlineLevel="1">
      <c r="A158" s="465">
        <v>18.239999999999998</v>
      </c>
      <c r="B158" s="805" t="s">
        <v>141</v>
      </c>
      <c r="C158" s="194" t="s">
        <v>77</v>
      </c>
      <c r="D158" s="509">
        <v>27</v>
      </c>
      <c r="E158" s="541">
        <v>22326</v>
      </c>
      <c r="F158" s="541">
        <f t="shared" si="10"/>
        <v>602802</v>
      </c>
      <c r="G158" s="546"/>
      <c r="H158" s="92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pans="1:23" s="137" customFormat="1" ht="13" outlineLevel="1">
      <c r="A159" s="464">
        <v>18.25</v>
      </c>
      <c r="B159" s="805" t="s">
        <v>1542</v>
      </c>
      <c r="C159" s="194" t="s">
        <v>77</v>
      </c>
      <c r="D159" s="509">
        <v>16</v>
      </c>
      <c r="E159" s="541">
        <v>14235</v>
      </c>
      <c r="F159" s="541">
        <f t="shared" si="10"/>
        <v>227760</v>
      </c>
      <c r="G159" s="546"/>
      <c r="H159" s="92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pans="1:23" s="137" customFormat="1" ht="26" outlineLevel="1">
      <c r="A160" s="465">
        <v>18.260000000000002</v>
      </c>
      <c r="B160" s="805" t="s">
        <v>2246</v>
      </c>
      <c r="C160" s="194" t="s">
        <v>77</v>
      </c>
      <c r="D160" s="509">
        <v>137</v>
      </c>
      <c r="E160" s="541">
        <v>14235</v>
      </c>
      <c r="F160" s="541">
        <f t="shared" si="10"/>
        <v>1950195</v>
      </c>
      <c r="G160" s="546"/>
      <c r="H160" s="92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spans="1:23" s="137" customFormat="1" ht="13" outlineLevel="1">
      <c r="A161" s="464">
        <v>18.27</v>
      </c>
      <c r="B161" s="805" t="s">
        <v>2247</v>
      </c>
      <c r="C161" s="194" t="s">
        <v>77</v>
      </c>
      <c r="D161" s="509">
        <v>1</v>
      </c>
      <c r="E161" s="541">
        <v>14235</v>
      </c>
      <c r="F161" s="541">
        <f t="shared" si="10"/>
        <v>14235</v>
      </c>
      <c r="G161" s="546"/>
      <c r="H161" s="92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pans="1:23" s="137" customFormat="1" ht="13" outlineLevel="1">
      <c r="A162" s="465">
        <v>18.28</v>
      </c>
      <c r="B162" s="805" t="s">
        <v>1545</v>
      </c>
      <c r="C162" s="194" t="s">
        <v>54</v>
      </c>
      <c r="D162" s="509">
        <v>1</v>
      </c>
      <c r="E162" s="541">
        <v>9332982</v>
      </c>
      <c r="F162" s="541">
        <f t="shared" si="10"/>
        <v>9332982</v>
      </c>
      <c r="G162" s="546"/>
      <c r="H162" s="92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 ht="13" outlineLevel="1">
      <c r="A163" s="464">
        <v>18.29</v>
      </c>
      <c r="B163" s="805" t="s">
        <v>142</v>
      </c>
      <c r="C163" s="194" t="s">
        <v>54</v>
      </c>
      <c r="D163" s="509">
        <v>1</v>
      </c>
      <c r="E163" s="541">
        <v>1998778</v>
      </c>
      <c r="F163" s="541">
        <f t="shared" si="10"/>
        <v>1998778</v>
      </c>
      <c r="H163" s="92"/>
    </row>
    <row r="164" spans="1:23" ht="13" outlineLevel="1">
      <c r="A164" s="464">
        <v>18.3</v>
      </c>
      <c r="B164" s="1179" t="s">
        <v>2223</v>
      </c>
      <c r="C164" s="195" t="s">
        <v>54</v>
      </c>
      <c r="D164" s="566">
        <v>1</v>
      </c>
      <c r="E164" s="541">
        <v>125849</v>
      </c>
      <c r="F164" s="541">
        <f t="shared" si="10"/>
        <v>125849</v>
      </c>
      <c r="H164" s="92"/>
    </row>
    <row r="165" spans="1:23" ht="13">
      <c r="A165" s="571">
        <v>19</v>
      </c>
      <c r="B165" s="783" t="s">
        <v>143</v>
      </c>
      <c r="C165" s="265"/>
      <c r="D165" s="266"/>
      <c r="E165" s="559"/>
      <c r="F165" s="559"/>
      <c r="G165" s="560"/>
    </row>
    <row r="166" spans="1:23" ht="13" outlineLevel="1">
      <c r="A166" s="571"/>
      <c r="B166" s="783" t="s">
        <v>144</v>
      </c>
      <c r="C166" s="265"/>
      <c r="D166" s="266"/>
      <c r="E166" s="266"/>
      <c r="F166" s="266"/>
      <c r="G166" s="325">
        <f>SUM(F167:F170)</f>
        <v>21161055</v>
      </c>
      <c r="H166" s="92">
        <f>+G166/$G$218</f>
        <v>1.5657749869538579E-2</v>
      </c>
    </row>
    <row r="167" spans="1:23" ht="13" outlineLevel="1">
      <c r="A167" s="217">
        <v>19.010000000000002</v>
      </c>
      <c r="B167" s="789" t="s">
        <v>2210</v>
      </c>
      <c r="C167" s="214" t="s">
        <v>54</v>
      </c>
      <c r="D167" s="215">
        <v>1</v>
      </c>
      <c r="E167" s="542">
        <v>7236758</v>
      </c>
      <c r="F167" s="542">
        <f>+E167*D167</f>
        <v>7236758</v>
      </c>
      <c r="H167" s="92"/>
    </row>
    <row r="168" spans="1:23" ht="13" outlineLevel="1">
      <c r="A168" s="11">
        <v>19.02</v>
      </c>
      <c r="B168" s="790" t="s">
        <v>2213</v>
      </c>
      <c r="C168" s="132" t="s">
        <v>54</v>
      </c>
      <c r="D168" s="133">
        <v>1</v>
      </c>
      <c r="E168" s="542">
        <v>1001516</v>
      </c>
      <c r="F168" s="542">
        <f>+E168*D168</f>
        <v>1001516</v>
      </c>
      <c r="H168" s="92"/>
    </row>
    <row r="169" spans="1:23" ht="13" outlineLevel="1">
      <c r="A169" s="11">
        <v>19.03</v>
      </c>
      <c r="B169" s="790" t="s">
        <v>145</v>
      </c>
      <c r="C169" s="132" t="s">
        <v>54</v>
      </c>
      <c r="D169" s="133">
        <v>1</v>
      </c>
      <c r="E169" s="541">
        <v>8787491</v>
      </c>
      <c r="F169" s="541">
        <f>+E169*D169</f>
        <v>8787491</v>
      </c>
      <c r="H169" s="92"/>
    </row>
    <row r="170" spans="1:23" ht="13" outlineLevel="1">
      <c r="A170" s="406">
        <v>19.04</v>
      </c>
      <c r="B170" s="806" t="s">
        <v>1723</v>
      </c>
      <c r="C170" s="139" t="s">
        <v>54</v>
      </c>
      <c r="D170" s="140">
        <v>1</v>
      </c>
      <c r="E170" s="541">
        <v>4135290</v>
      </c>
      <c r="F170" s="541">
        <f>+E170*D170</f>
        <v>4135290</v>
      </c>
      <c r="H170" s="92"/>
    </row>
    <row r="171" spans="1:23" ht="13" outlineLevel="1">
      <c r="A171" s="572"/>
      <c r="B171" s="807" t="s">
        <v>146</v>
      </c>
      <c r="C171" s="128"/>
      <c r="D171" s="287"/>
      <c r="E171" s="266"/>
      <c r="F171" s="266"/>
      <c r="G171" s="325">
        <f>SUM(F172:F174)</f>
        <v>6551951</v>
      </c>
      <c r="H171" s="92">
        <f>+G171/$G$218</f>
        <v>4.8480007218672776E-3</v>
      </c>
    </row>
    <row r="172" spans="1:23" ht="13" outlineLevel="1">
      <c r="A172" s="217">
        <v>19.05</v>
      </c>
      <c r="B172" s="789" t="s">
        <v>2214</v>
      </c>
      <c r="C172" s="214" t="s">
        <v>54</v>
      </c>
      <c r="D172" s="215">
        <v>1</v>
      </c>
      <c r="E172" s="541">
        <v>2675380</v>
      </c>
      <c r="F172" s="541">
        <f>+E172*D172</f>
        <v>2675380</v>
      </c>
      <c r="H172" s="92"/>
    </row>
    <row r="173" spans="1:23" ht="13" outlineLevel="1">
      <c r="A173" s="11">
        <v>19.059999999999999</v>
      </c>
      <c r="B173" s="790" t="s">
        <v>2211</v>
      </c>
      <c r="C173" s="132" t="s">
        <v>54</v>
      </c>
      <c r="D173" s="133">
        <v>1</v>
      </c>
      <c r="E173" s="541">
        <v>3057577</v>
      </c>
      <c r="F173" s="541">
        <f>+E173*D173</f>
        <v>3057577</v>
      </c>
      <c r="H173" s="92"/>
    </row>
    <row r="174" spans="1:23" ht="13" outlineLevel="1">
      <c r="A174" s="406">
        <v>19.07</v>
      </c>
      <c r="B174" s="806" t="s">
        <v>2212</v>
      </c>
      <c r="C174" s="139" t="s">
        <v>54</v>
      </c>
      <c r="D174" s="140">
        <v>1</v>
      </c>
      <c r="E174" s="541">
        <v>818994</v>
      </c>
      <c r="F174" s="541">
        <f>+E174*D174</f>
        <v>818994</v>
      </c>
      <c r="H174" s="92"/>
    </row>
    <row r="175" spans="1:23" ht="13" outlineLevel="1">
      <c r="A175" s="571"/>
      <c r="B175" s="783" t="s">
        <v>147</v>
      </c>
      <c r="C175" s="265"/>
      <c r="D175" s="266"/>
      <c r="E175" s="266"/>
      <c r="F175" s="266"/>
      <c r="G175" s="325">
        <f>SUM(F176:F180)</f>
        <v>37004103</v>
      </c>
      <c r="H175" s="92">
        <f>+G175/$G$218</f>
        <v>2.7380534142586094E-2</v>
      </c>
    </row>
    <row r="176" spans="1:23" ht="13" outlineLevel="1">
      <c r="A176" s="219">
        <v>19.079999999999998</v>
      </c>
      <c r="B176" s="808" t="s">
        <v>2216</v>
      </c>
      <c r="C176" s="214" t="s">
        <v>54</v>
      </c>
      <c r="D176" s="215">
        <v>1</v>
      </c>
      <c r="E176" s="538">
        <v>3750416</v>
      </c>
      <c r="F176" s="538">
        <f>+E176*D176</f>
        <v>3750416</v>
      </c>
      <c r="H176" s="92"/>
    </row>
    <row r="177" spans="1:8" ht="13" outlineLevel="1">
      <c r="A177" s="8">
        <v>19.09</v>
      </c>
      <c r="B177" s="809" t="s">
        <v>148</v>
      </c>
      <c r="C177" s="132" t="s">
        <v>54</v>
      </c>
      <c r="D177" s="133">
        <v>1</v>
      </c>
      <c r="E177" s="541">
        <v>7500832</v>
      </c>
      <c r="F177" s="541">
        <f>+E177*D177</f>
        <v>7500832</v>
      </c>
      <c r="H177" s="92"/>
    </row>
    <row r="178" spans="1:8" ht="13" outlineLevel="1">
      <c r="A178" s="8">
        <v>19.100000000000001</v>
      </c>
      <c r="B178" s="846" t="s">
        <v>2215</v>
      </c>
      <c r="C178" s="132" t="s">
        <v>54</v>
      </c>
      <c r="D178" s="133">
        <v>1</v>
      </c>
      <c r="E178" s="541">
        <v>1750194</v>
      </c>
      <c r="F178" s="541">
        <f>+E178*D178</f>
        <v>1750194</v>
      </c>
      <c r="H178" s="92"/>
    </row>
    <row r="179" spans="1:8" ht="13" outlineLevel="1">
      <c r="A179" s="8">
        <v>19.11</v>
      </c>
      <c r="B179" s="809" t="s">
        <v>1722</v>
      </c>
      <c r="C179" s="132" t="s">
        <v>54</v>
      </c>
      <c r="D179" s="133">
        <v>1</v>
      </c>
      <c r="E179" s="541">
        <v>14001552</v>
      </c>
      <c r="F179" s="541">
        <f>+E179*D179</f>
        <v>14001552</v>
      </c>
      <c r="H179" s="92"/>
    </row>
    <row r="180" spans="1:8" ht="13" outlineLevel="1">
      <c r="A180" s="8">
        <v>19.12</v>
      </c>
      <c r="B180" s="810" t="s">
        <v>149</v>
      </c>
      <c r="C180" s="139" t="s">
        <v>54</v>
      </c>
      <c r="D180" s="140">
        <v>1</v>
      </c>
      <c r="E180" s="539">
        <v>10001109</v>
      </c>
      <c r="F180" s="539">
        <f>+E180*D180</f>
        <v>10001109</v>
      </c>
      <c r="H180" s="92"/>
    </row>
    <row r="181" spans="1:8" ht="13" outlineLevel="1">
      <c r="A181" s="571"/>
      <c r="B181" s="783" t="s">
        <v>150</v>
      </c>
      <c r="C181" s="265"/>
      <c r="D181" s="266"/>
      <c r="E181" s="266"/>
      <c r="F181" s="266"/>
      <c r="G181" s="325">
        <f>SUM(F182)</f>
        <v>2047485</v>
      </c>
      <c r="H181" s="92">
        <f>+G181/$G$218</f>
        <v>1.5150004568123942E-3</v>
      </c>
    </row>
    <row r="182" spans="1:8" ht="13" outlineLevel="1">
      <c r="A182" s="11">
        <v>19.13</v>
      </c>
      <c r="B182" s="790" t="s">
        <v>151</v>
      </c>
      <c r="C182" s="132" t="s">
        <v>54</v>
      </c>
      <c r="D182" s="133">
        <v>1</v>
      </c>
      <c r="E182" s="541">
        <v>2047485</v>
      </c>
      <c r="F182" s="541">
        <f>+E182*D182</f>
        <v>2047485</v>
      </c>
      <c r="H182" s="92"/>
    </row>
    <row r="183" spans="1:8" ht="13" outlineLevel="1">
      <c r="A183" s="571"/>
      <c r="B183" s="783" t="s">
        <v>2248</v>
      </c>
      <c r="C183" s="265"/>
      <c r="D183" s="266"/>
      <c r="E183" s="266"/>
      <c r="F183" s="266"/>
      <c r="G183" s="325">
        <f>SUM(F184:F186)</f>
        <v>27031313</v>
      </c>
      <c r="H183" s="92">
        <f>+G183/$G$218</f>
        <v>2.0001343864906856E-2</v>
      </c>
    </row>
    <row r="184" spans="1:8" ht="13" outlineLevel="1">
      <c r="A184" s="217">
        <v>19.14</v>
      </c>
      <c r="B184" s="789" t="s">
        <v>2250</v>
      </c>
      <c r="C184" s="214" t="s">
        <v>54</v>
      </c>
      <c r="D184" s="215">
        <v>1</v>
      </c>
      <c r="E184" s="541">
        <v>15888634</v>
      </c>
      <c r="F184" s="541">
        <f>+E184*D184</f>
        <v>15888634</v>
      </c>
      <c r="H184" s="92"/>
    </row>
    <row r="185" spans="1:8" ht="13" outlineLevel="1">
      <c r="A185" s="11">
        <v>19.149999999999999</v>
      </c>
      <c r="B185" s="790" t="s">
        <v>2260</v>
      </c>
      <c r="C185" s="132" t="s">
        <v>54</v>
      </c>
      <c r="D185" s="133">
        <v>1</v>
      </c>
      <c r="E185" s="541">
        <v>6190377</v>
      </c>
      <c r="F185" s="541">
        <f>+E185*D185</f>
        <v>6190377</v>
      </c>
      <c r="H185" s="92"/>
    </row>
    <row r="186" spans="1:8" ht="13" outlineLevel="1">
      <c r="A186" s="406">
        <v>19.16</v>
      </c>
      <c r="B186" s="806" t="s">
        <v>2251</v>
      </c>
      <c r="C186" s="139" t="s">
        <v>54</v>
      </c>
      <c r="D186" s="140">
        <v>1</v>
      </c>
      <c r="E186" s="541">
        <v>4952302</v>
      </c>
      <c r="F186" s="541">
        <f>+E186*D186</f>
        <v>4952302</v>
      </c>
      <c r="H186" s="92"/>
    </row>
    <row r="187" spans="1:8" ht="13" outlineLevel="1">
      <c r="A187" s="571"/>
      <c r="B187" s="783" t="s">
        <v>152</v>
      </c>
      <c r="C187" s="265"/>
      <c r="D187" s="266"/>
      <c r="E187" s="266"/>
      <c r="F187" s="266"/>
      <c r="G187" s="325">
        <f>SUM(F188)</f>
        <v>5206701</v>
      </c>
      <c r="H187" s="92">
        <f>+G187/$G$218</f>
        <v>3.8526066825815817E-3</v>
      </c>
    </row>
    <row r="188" spans="1:8" ht="13" outlineLevel="1">
      <c r="A188" s="11">
        <v>19.170000000000002</v>
      </c>
      <c r="B188" s="805" t="s">
        <v>153</v>
      </c>
      <c r="C188" s="132" t="s">
        <v>54</v>
      </c>
      <c r="D188" s="133">
        <v>1</v>
      </c>
      <c r="E188" s="541">
        <v>5206701</v>
      </c>
      <c r="F188" s="541">
        <f>+E188*D188</f>
        <v>5206701</v>
      </c>
      <c r="H188" s="92"/>
    </row>
    <row r="189" spans="1:8" ht="13" outlineLevel="1">
      <c r="A189" s="571"/>
      <c r="B189" s="783" t="s">
        <v>154</v>
      </c>
      <c r="C189" s="265"/>
      <c r="D189" s="266"/>
      <c r="E189" s="266"/>
      <c r="F189" s="266"/>
      <c r="G189" s="325">
        <f>SUM(F190:F191)</f>
        <v>20260948</v>
      </c>
      <c r="H189" s="92">
        <f>+G189/$G$218</f>
        <v>1.4991731551367734E-2</v>
      </c>
    </row>
    <row r="190" spans="1:8" ht="13" outlineLevel="1">
      <c r="A190" s="1169">
        <v>19.18</v>
      </c>
      <c r="B190" s="809" t="s">
        <v>155</v>
      </c>
      <c r="C190" s="132" t="s">
        <v>54</v>
      </c>
      <c r="D190" s="133">
        <v>1</v>
      </c>
      <c r="E190" s="541">
        <v>16584566</v>
      </c>
      <c r="F190" s="541">
        <f>+E190*D190</f>
        <v>16584566</v>
      </c>
      <c r="H190" s="92"/>
    </row>
    <row r="191" spans="1:8" ht="13" outlineLevel="1">
      <c r="A191" s="1170">
        <v>19.190000000000001</v>
      </c>
      <c r="B191" s="810" t="s">
        <v>2219</v>
      </c>
      <c r="C191" s="139" t="s">
        <v>54</v>
      </c>
      <c r="D191" s="140">
        <v>1</v>
      </c>
      <c r="E191" s="541">
        <v>3676382</v>
      </c>
      <c r="F191" s="541">
        <f>+E191*D191</f>
        <v>3676382</v>
      </c>
      <c r="H191" s="92"/>
    </row>
    <row r="192" spans="1:8" ht="13">
      <c r="A192" s="571">
        <v>20</v>
      </c>
      <c r="B192" s="783" t="s">
        <v>156</v>
      </c>
      <c r="C192" s="265"/>
      <c r="D192" s="266"/>
      <c r="E192" s="266"/>
      <c r="F192" s="266"/>
      <c r="G192" s="325">
        <f>SUM(F193:F194)</f>
        <v>35197776</v>
      </c>
      <c r="H192" s="92">
        <f>+G192/$G$218</f>
        <v>2.6043974299582329E-2</v>
      </c>
    </row>
    <row r="193" spans="1:8" ht="13" outlineLevel="1">
      <c r="A193" s="567">
        <v>20.010000000000002</v>
      </c>
      <c r="B193" s="798" t="s">
        <v>2249</v>
      </c>
      <c r="C193" s="568" t="s">
        <v>77</v>
      </c>
      <c r="D193" s="569">
        <v>36</v>
      </c>
      <c r="E193" s="542">
        <v>740165</v>
      </c>
      <c r="F193" s="542">
        <f>+E193*D193</f>
        <v>26645940</v>
      </c>
      <c r="H193" s="92"/>
    </row>
    <row r="194" spans="1:8" ht="13" outlineLevel="1">
      <c r="A194" s="11">
        <v>20.02</v>
      </c>
      <c r="B194" s="785" t="s">
        <v>157</v>
      </c>
      <c r="C194" s="467" t="s">
        <v>77</v>
      </c>
      <c r="D194" s="506">
        <v>36</v>
      </c>
      <c r="E194" s="541">
        <v>237551</v>
      </c>
      <c r="F194" s="541">
        <f>+E194*D194</f>
        <v>8551836</v>
      </c>
      <c r="H194" s="92"/>
    </row>
    <row r="195" spans="1:8" ht="13">
      <c r="A195" s="571">
        <v>21</v>
      </c>
      <c r="B195" s="783" t="s">
        <v>158</v>
      </c>
      <c r="C195" s="265"/>
      <c r="D195" s="266"/>
      <c r="E195" s="266"/>
      <c r="F195" s="266"/>
      <c r="G195" s="325">
        <f>SUM(F196)</f>
        <v>0</v>
      </c>
      <c r="H195" s="92">
        <f>+G195/$G$218</f>
        <v>0</v>
      </c>
    </row>
    <row r="196" spans="1:8" s="25" customFormat="1" ht="13" outlineLevel="1">
      <c r="A196" s="573">
        <v>21.01</v>
      </c>
      <c r="B196" s="811" t="s">
        <v>159</v>
      </c>
      <c r="C196" s="591" t="s">
        <v>54</v>
      </c>
      <c r="D196" s="565">
        <v>0</v>
      </c>
      <c r="E196" s="548">
        <v>0</v>
      </c>
      <c r="F196" s="541">
        <f>+E196*D196</f>
        <v>0</v>
      </c>
      <c r="G196" s="547"/>
      <c r="H196" s="92"/>
    </row>
    <row r="197" spans="1:8" s="25" customFormat="1" ht="13">
      <c r="A197" s="571">
        <v>22</v>
      </c>
      <c r="B197" s="783" t="s">
        <v>160</v>
      </c>
      <c r="C197" s="265"/>
      <c r="D197" s="266"/>
      <c r="E197" s="266"/>
      <c r="F197" s="266"/>
      <c r="G197" s="325">
        <f>SUM(F198:F199)</f>
        <v>2671152</v>
      </c>
      <c r="H197" s="92">
        <f>+G197/$G$218</f>
        <v>1.9764718668099355E-3</v>
      </c>
    </row>
    <row r="198" spans="1:8" ht="13" outlineLevel="1">
      <c r="A198" s="220">
        <v>22.01</v>
      </c>
      <c r="B198" s="804" t="s">
        <v>161</v>
      </c>
      <c r="C198" s="216" t="s">
        <v>77</v>
      </c>
      <c r="D198" s="133">
        <v>16</v>
      </c>
      <c r="E198" s="548">
        <v>80944</v>
      </c>
      <c r="F198" s="542">
        <f>+E198*D198</f>
        <v>1295104</v>
      </c>
      <c r="H198" s="92"/>
    </row>
    <row r="199" spans="1:8" ht="13" outlineLevel="1">
      <c r="A199" s="141">
        <v>22.02</v>
      </c>
      <c r="B199" s="805" t="s">
        <v>162</v>
      </c>
      <c r="C199" s="194" t="s">
        <v>77</v>
      </c>
      <c r="D199" s="561">
        <v>17</v>
      </c>
      <c r="E199" s="548">
        <v>80944</v>
      </c>
      <c r="F199" s="542">
        <f>+E199*D199</f>
        <v>1376048</v>
      </c>
      <c r="H199" s="92"/>
    </row>
    <row r="200" spans="1:8" ht="13">
      <c r="A200" s="571">
        <v>23</v>
      </c>
      <c r="B200" s="783" t="s">
        <v>163</v>
      </c>
      <c r="C200" s="265"/>
      <c r="D200" s="266"/>
      <c r="E200" s="266"/>
      <c r="F200" s="266"/>
      <c r="G200" s="325">
        <f>SUM(F201:F203)</f>
        <v>4668180</v>
      </c>
      <c r="H200" s="92">
        <f>+G200/$G$218</f>
        <v>3.4541375553337303E-3</v>
      </c>
    </row>
    <row r="201" spans="1:8" s="25" customFormat="1" ht="13" outlineLevel="1">
      <c r="A201" s="219">
        <v>23.01</v>
      </c>
      <c r="B201" s="784" t="s">
        <v>1599</v>
      </c>
      <c r="C201" s="584" t="s">
        <v>54</v>
      </c>
      <c r="D201" s="563">
        <v>7</v>
      </c>
      <c r="E201" s="538">
        <v>446402</v>
      </c>
      <c r="F201" s="538">
        <f>+E201*D201</f>
        <v>3124814</v>
      </c>
      <c r="G201" s="547"/>
      <c r="H201" s="92"/>
    </row>
    <row r="202" spans="1:8" s="25" customFormat="1" ht="13" outlineLevel="1">
      <c r="A202" s="8">
        <v>23.02</v>
      </c>
      <c r="B202" s="785" t="s">
        <v>2376</v>
      </c>
      <c r="C202" s="582" t="s">
        <v>54</v>
      </c>
      <c r="D202" s="561">
        <v>1</v>
      </c>
      <c r="E202" s="541">
        <v>672060</v>
      </c>
      <c r="F202" s="541">
        <f>+E202*D202</f>
        <v>672060</v>
      </c>
      <c r="G202" s="547"/>
      <c r="H202" s="92"/>
    </row>
    <row r="203" spans="1:8" ht="13" outlineLevel="1">
      <c r="A203" s="107">
        <v>23.03</v>
      </c>
      <c r="B203" s="786" t="s">
        <v>1512</v>
      </c>
      <c r="C203" s="586" t="s">
        <v>54</v>
      </c>
      <c r="D203" s="562">
        <v>1</v>
      </c>
      <c r="E203" s="539">
        <v>871306</v>
      </c>
      <c r="F203" s="539">
        <f>+E203*D203</f>
        <v>871306</v>
      </c>
      <c r="H203" s="92"/>
    </row>
    <row r="204" spans="1:8" ht="13">
      <c r="A204" s="571">
        <v>24</v>
      </c>
      <c r="B204" s="783" t="s">
        <v>164</v>
      </c>
      <c r="C204" s="265"/>
      <c r="D204" s="266"/>
      <c r="E204" s="266"/>
      <c r="F204" s="266"/>
      <c r="G204" s="325">
        <f>SUM(F205:F214)</f>
        <v>50445256</v>
      </c>
      <c r="H204" s="92">
        <f>+G204/$G$218</f>
        <v>3.7326078522684256E-2</v>
      </c>
    </row>
    <row r="205" spans="1:8" ht="13" outlineLevel="1">
      <c r="A205" s="217">
        <v>24.01</v>
      </c>
      <c r="B205" s="963" t="s">
        <v>165</v>
      </c>
      <c r="C205" s="213" t="s">
        <v>61</v>
      </c>
      <c r="D205" s="505">
        <v>14</v>
      </c>
      <c r="E205" s="541">
        <v>753138</v>
      </c>
      <c r="F205" s="541">
        <f t="shared" ref="F205:F214" si="11">+E205*D205</f>
        <v>10543932</v>
      </c>
    </row>
    <row r="206" spans="1:8" ht="13" outlineLevel="1">
      <c r="A206" s="567">
        <v>24.02</v>
      </c>
      <c r="B206" s="962" t="s">
        <v>2007</v>
      </c>
      <c r="C206" s="961" t="s">
        <v>61</v>
      </c>
      <c r="D206" s="569">
        <v>4</v>
      </c>
      <c r="E206" s="541">
        <v>1944871</v>
      </c>
      <c r="F206" s="541">
        <f t="shared" si="11"/>
        <v>7779484</v>
      </c>
    </row>
    <row r="207" spans="1:8" ht="13" outlineLevel="1">
      <c r="A207" s="11">
        <v>24.03</v>
      </c>
      <c r="B207" s="812" t="s">
        <v>166</v>
      </c>
      <c r="C207" s="7" t="s">
        <v>61</v>
      </c>
      <c r="D207" s="506">
        <v>14</v>
      </c>
      <c r="E207" s="541">
        <v>188533</v>
      </c>
      <c r="F207" s="541">
        <f t="shared" si="11"/>
        <v>2639462</v>
      </c>
    </row>
    <row r="208" spans="1:8" ht="13" outlineLevel="1">
      <c r="A208" s="567">
        <v>24.04</v>
      </c>
      <c r="B208" s="812" t="s">
        <v>167</v>
      </c>
      <c r="C208" s="7" t="s">
        <v>54</v>
      </c>
      <c r="D208" s="506">
        <v>1</v>
      </c>
      <c r="E208" s="541">
        <v>4606562</v>
      </c>
      <c r="F208" s="541">
        <f t="shared" si="11"/>
        <v>4606562</v>
      </c>
    </row>
    <row r="209" spans="1:8" s="45" customFormat="1" ht="13" outlineLevel="1">
      <c r="A209" s="11">
        <v>24.05</v>
      </c>
      <c r="B209" s="812" t="s">
        <v>168</v>
      </c>
      <c r="C209" s="592" t="s">
        <v>61</v>
      </c>
      <c r="D209" s="506">
        <v>14</v>
      </c>
      <c r="E209" s="541">
        <v>696152</v>
      </c>
      <c r="F209" s="541">
        <f t="shared" si="11"/>
        <v>9746128</v>
      </c>
      <c r="G209" s="550"/>
      <c r="H209" s="92"/>
    </row>
    <row r="210" spans="1:8" s="45" customFormat="1" ht="13" outlineLevel="1">
      <c r="A210" s="567">
        <v>24.06</v>
      </c>
      <c r="B210" s="812" t="s">
        <v>169</v>
      </c>
      <c r="C210" s="592" t="s">
        <v>61</v>
      </c>
      <c r="D210" s="506">
        <v>14</v>
      </c>
      <c r="E210" s="541">
        <v>452333</v>
      </c>
      <c r="F210" s="541">
        <f t="shared" si="11"/>
        <v>6332662</v>
      </c>
      <c r="G210" s="550"/>
      <c r="H210" s="92"/>
    </row>
    <row r="211" spans="1:8" s="45" customFormat="1" ht="13" outlineLevel="1">
      <c r="A211" s="11">
        <v>24.07</v>
      </c>
      <c r="B211" s="812" t="s">
        <v>170</v>
      </c>
      <c r="C211" s="592" t="s">
        <v>54</v>
      </c>
      <c r="D211" s="506">
        <v>0</v>
      </c>
      <c r="E211" s="541">
        <v>0</v>
      </c>
      <c r="F211" s="541">
        <f t="shared" si="11"/>
        <v>0</v>
      </c>
      <c r="G211" s="550"/>
      <c r="H211" s="92"/>
    </row>
    <row r="212" spans="1:8" s="45" customFormat="1" ht="13" outlineLevel="1">
      <c r="A212" s="567">
        <v>24.08</v>
      </c>
      <c r="B212" s="812" t="s">
        <v>171</v>
      </c>
      <c r="C212" s="592" t="s">
        <v>61</v>
      </c>
      <c r="D212" s="506">
        <v>14</v>
      </c>
      <c r="E212" s="541">
        <v>314221</v>
      </c>
      <c r="F212" s="541">
        <f t="shared" si="11"/>
        <v>4399094</v>
      </c>
      <c r="G212" s="550"/>
      <c r="H212" s="92"/>
    </row>
    <row r="213" spans="1:8" s="30" customFormat="1" ht="13" outlineLevel="1">
      <c r="A213" s="11">
        <v>24.09</v>
      </c>
      <c r="B213" s="812" t="s">
        <v>172</v>
      </c>
      <c r="C213" s="592" t="s">
        <v>61</v>
      </c>
      <c r="D213" s="506">
        <v>4</v>
      </c>
      <c r="E213" s="506">
        <v>0</v>
      </c>
      <c r="F213" s="506">
        <f t="shared" si="11"/>
        <v>0</v>
      </c>
      <c r="G213" s="550"/>
      <c r="H213" s="92"/>
    </row>
    <row r="214" spans="1:8" s="30" customFormat="1" ht="13" outlineLevel="1">
      <c r="A214" s="567">
        <v>24.1</v>
      </c>
      <c r="B214" s="813" t="s">
        <v>173</v>
      </c>
      <c r="C214" s="593" t="s">
        <v>61</v>
      </c>
      <c r="D214" s="507">
        <v>14</v>
      </c>
      <c r="E214" s="539">
        <v>314138</v>
      </c>
      <c r="F214" s="539">
        <f t="shared" si="11"/>
        <v>4397932</v>
      </c>
      <c r="G214" s="550"/>
      <c r="H214" s="92"/>
    </row>
    <row r="215" spans="1:8" ht="13">
      <c r="A215" s="571">
        <v>25</v>
      </c>
      <c r="B215" s="783" t="s">
        <v>174</v>
      </c>
      <c r="C215" s="265"/>
      <c r="D215" s="266"/>
      <c r="E215" s="266"/>
      <c r="F215" s="266"/>
      <c r="G215" s="325">
        <f>SUM(F216:F217)</f>
        <v>75635672</v>
      </c>
      <c r="H215" s="92">
        <f>+G215/$G$218</f>
        <v>5.5965283082079924E-2</v>
      </c>
    </row>
    <row r="216" spans="1:8" s="25" customFormat="1" ht="13" outlineLevel="1">
      <c r="A216" s="217">
        <v>25.01</v>
      </c>
      <c r="B216" s="784" t="s">
        <v>1519</v>
      </c>
      <c r="C216" s="584" t="s">
        <v>61</v>
      </c>
      <c r="D216" s="563">
        <v>14</v>
      </c>
      <c r="E216" s="548">
        <v>4774106</v>
      </c>
      <c r="F216" s="542">
        <f>+E216*D216</f>
        <v>66837484</v>
      </c>
      <c r="G216" s="718"/>
    </row>
    <row r="217" spans="1:8" s="25" customFormat="1" ht="13" outlineLevel="1">
      <c r="A217" s="406">
        <v>25.02</v>
      </c>
      <c r="B217" s="786" t="s">
        <v>175</v>
      </c>
      <c r="C217" s="586" t="s">
        <v>61</v>
      </c>
      <c r="D217" s="562">
        <v>14</v>
      </c>
      <c r="E217" s="548">
        <v>628442</v>
      </c>
      <c r="F217" s="541">
        <f>+E217*D217</f>
        <v>8798188</v>
      </c>
      <c r="G217" s="326"/>
    </row>
    <row r="218" spans="1:8" s="45" customFormat="1" ht="13">
      <c r="A218" s="1476"/>
      <c r="B218" s="1475" t="s">
        <v>2444</v>
      </c>
      <c r="C218" s="265"/>
      <c r="D218" s="1477"/>
      <c r="E218" s="266"/>
      <c r="F218" s="322">
        <f>SUM(F8:F217)</f>
        <v>1351474840.0194998</v>
      </c>
      <c r="G218" s="325">
        <f>SUM(G8:G217)</f>
        <v>1351474840.0195</v>
      </c>
      <c r="H218" s="92">
        <f>+G218/$G$218</f>
        <v>1</v>
      </c>
    </row>
    <row r="219" spans="1:8" s="45" customFormat="1" ht="13">
      <c r="A219" s="1478"/>
      <c r="B219" s="1474" t="s">
        <v>2443</v>
      </c>
      <c r="C219" s="1466"/>
      <c r="D219" s="1479"/>
      <c r="E219" s="551"/>
      <c r="F219" s="551"/>
      <c r="G219" s="551"/>
      <c r="H219" s="92"/>
    </row>
    <row r="220" spans="1:8" ht="12.75" customHeight="1">
      <c r="A220" s="1329"/>
      <c r="B220" s="1330"/>
      <c r="D220" s="1331"/>
      <c r="E220" s="595"/>
      <c r="F220" s="596"/>
      <c r="G220" s="596"/>
      <c r="H220" s="92"/>
    </row>
    <row r="221" spans="1:8" ht="12.75" customHeight="1">
      <c r="A221" s="212">
        <v>26</v>
      </c>
      <c r="B221" s="1341" t="s">
        <v>2433</v>
      </c>
      <c r="C221" s="594"/>
      <c r="D221" s="1340"/>
      <c r="E221" s="597"/>
      <c r="F221" s="1342"/>
      <c r="G221" s="325"/>
      <c r="H221" s="92"/>
    </row>
    <row r="222" spans="1:8" ht="12.75" customHeight="1">
      <c r="A222" s="8">
        <v>26.03</v>
      </c>
      <c r="B222" s="809" t="s">
        <v>2436</v>
      </c>
      <c r="C222" s="467" t="s">
        <v>54</v>
      </c>
      <c r="D222" s="409">
        <v>1</v>
      </c>
      <c r="E222" s="548">
        <v>0</v>
      </c>
      <c r="F222" s="541">
        <f>+E222*D222</f>
        <v>0</v>
      </c>
      <c r="G222" s="581"/>
      <c r="H222" s="92"/>
    </row>
    <row r="223" spans="1:8" ht="12.75" customHeight="1">
      <c r="A223" s="8">
        <v>26.04</v>
      </c>
      <c r="B223" s="809" t="s">
        <v>2437</v>
      </c>
      <c r="C223" s="467" t="s">
        <v>77</v>
      </c>
      <c r="D223" s="409">
        <v>6</v>
      </c>
      <c r="E223" s="548">
        <v>0</v>
      </c>
      <c r="F223" s="541">
        <f>+E223*D223</f>
        <v>0</v>
      </c>
      <c r="G223" s="581"/>
      <c r="H223" s="92"/>
    </row>
    <row r="224" spans="1:8" ht="12.75" customHeight="1">
      <c r="A224" s="8">
        <v>26.05</v>
      </c>
      <c r="B224" s="809" t="s">
        <v>2438</v>
      </c>
      <c r="C224" s="467" t="s">
        <v>77</v>
      </c>
      <c r="D224" s="409">
        <v>2</v>
      </c>
      <c r="E224" s="548">
        <v>0</v>
      </c>
      <c r="F224" s="541">
        <f>+E224*D224</f>
        <v>0</v>
      </c>
      <c r="G224" s="581"/>
      <c r="H224" s="92"/>
    </row>
    <row r="225" spans="1:8" ht="12.75" customHeight="1">
      <c r="A225" s="8">
        <v>26.06</v>
      </c>
      <c r="B225" s="809" t="s">
        <v>2439</v>
      </c>
      <c r="C225" s="467" t="s">
        <v>77</v>
      </c>
      <c r="D225" s="409">
        <v>5</v>
      </c>
      <c r="E225" s="548">
        <v>0</v>
      </c>
      <c r="F225" s="541">
        <f>+E225*D225</f>
        <v>0</v>
      </c>
      <c r="G225" s="581"/>
      <c r="H225" s="92"/>
    </row>
    <row r="226" spans="1:8" ht="12.75" customHeight="1">
      <c r="A226" s="8">
        <v>26.07</v>
      </c>
      <c r="B226" s="809" t="s">
        <v>2440</v>
      </c>
      <c r="C226" s="467" t="s">
        <v>77</v>
      </c>
      <c r="D226" s="409">
        <v>1</v>
      </c>
      <c r="E226" s="548">
        <v>0</v>
      </c>
      <c r="F226" s="541">
        <f>+E226*D226</f>
        <v>0</v>
      </c>
      <c r="G226" s="581"/>
      <c r="H226" s="92"/>
    </row>
    <row r="227" spans="1:8" ht="13">
      <c r="A227" s="1343"/>
      <c r="B227" s="1344"/>
      <c r="C227" s="6"/>
      <c r="D227" s="290"/>
      <c r="E227" s="290"/>
      <c r="F227" s="320"/>
      <c r="G227" s="320"/>
    </row>
    <row r="228" spans="1:8" ht="12.75" customHeight="1">
      <c r="A228" s="1468"/>
      <c r="B228" s="1469"/>
    </row>
  </sheetData>
  <conditionalFormatting sqref="C3:C11 C58:C69 C80:C86 C90:C94 C98:C104 C107 C165:C195 C197 C204:C215 C227">
    <cfRule type="cellIs" dxfId="48" priority="4" operator="equal">
      <formula>"x"</formula>
    </cfRule>
  </conditionalFormatting>
  <conditionalFormatting sqref="C19:C30">
    <cfRule type="cellIs" dxfId="47" priority="2" operator="equal">
      <formula>"x"</formula>
    </cfRule>
  </conditionalFormatting>
  <conditionalFormatting sqref="C43">
    <cfRule type="cellIs" dxfId="46" priority="5" operator="equal">
      <formula>"x"</formula>
    </cfRule>
  </conditionalFormatting>
  <conditionalFormatting sqref="C52">
    <cfRule type="cellIs" dxfId="45" priority="6" operator="equal">
      <formula>"x"</formula>
    </cfRule>
  </conditionalFormatting>
  <conditionalFormatting sqref="C71:C72">
    <cfRule type="cellIs" dxfId="44" priority="7" operator="equal">
      <formula>"x"</formula>
    </cfRule>
  </conditionalFormatting>
  <conditionalFormatting sqref="C109">
    <cfRule type="cellIs" dxfId="43" priority="8" operator="equal">
      <formula>"x"</formula>
    </cfRule>
  </conditionalFormatting>
  <conditionalFormatting sqref="C117">
    <cfRule type="cellIs" dxfId="42" priority="9" operator="equal">
      <formula>"x"</formula>
    </cfRule>
  </conditionalFormatting>
  <conditionalFormatting sqref="C127">
    <cfRule type="cellIs" dxfId="41" priority="10" operator="equal">
      <formula>"x"</formula>
    </cfRule>
  </conditionalFormatting>
  <conditionalFormatting sqref="C129">
    <cfRule type="cellIs" dxfId="40" priority="11" operator="equal">
      <formula>"x"</formula>
    </cfRule>
  </conditionalFormatting>
  <conditionalFormatting sqref="C134">
    <cfRule type="cellIs" dxfId="39" priority="12" operator="equal">
      <formula>"x"</formula>
    </cfRule>
  </conditionalFormatting>
  <conditionalFormatting sqref="C200">
    <cfRule type="cellIs" dxfId="38" priority="14" operator="equal">
      <formula>"x"</formula>
    </cfRule>
  </conditionalFormatting>
  <conditionalFormatting sqref="C218:C219">
    <cfRule type="cellIs" dxfId="37" priority="1" operator="equal">
      <formula>"x"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42" max="22" man="1"/>
    <brk id="133" max="2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31"/>
  <sheetViews>
    <sheetView workbookViewId="0"/>
  </sheetViews>
  <sheetFormatPr defaultColWidth="11.453125" defaultRowHeight="13"/>
  <cols>
    <col min="1" max="1" width="4.26953125" style="94" customWidth="1"/>
    <col min="2" max="2" width="33.1796875" style="94" bestFit="1" customWidth="1"/>
    <col min="3" max="3" width="9" style="94" bestFit="1" customWidth="1"/>
    <col min="4" max="4" width="13" style="94" customWidth="1"/>
    <col min="5" max="5" width="9.26953125" style="94" bestFit="1" customWidth="1"/>
    <col min="6" max="6" width="21.7265625" style="94" bestFit="1" customWidth="1"/>
    <col min="7" max="7" width="26.54296875" style="94" bestFit="1" customWidth="1"/>
    <col min="8" max="8" width="10.54296875" style="94" bestFit="1" customWidth="1"/>
    <col min="9" max="9" width="15.7265625" style="94" bestFit="1" customWidth="1"/>
    <col min="10" max="10" width="3.81640625" style="340" bestFit="1" customWidth="1"/>
    <col min="11" max="12" width="14.453125" style="94" bestFit="1" customWidth="1"/>
    <col min="13" max="16384" width="11.453125" style="94"/>
  </cols>
  <sheetData>
    <row r="1" spans="2:8" ht="31.5" customHeight="1"/>
    <row r="2" spans="2:8">
      <c r="C2" s="300" t="s">
        <v>0</v>
      </c>
      <c r="F2" s="299" t="s">
        <v>1</v>
      </c>
    </row>
    <row r="3" spans="2:8">
      <c r="B3" s="204" t="s">
        <v>2</v>
      </c>
      <c r="C3" s="205"/>
      <c r="F3" s="208">
        <f>+GGBB!H4</f>
        <v>1170</v>
      </c>
    </row>
    <row r="4" spans="2:8">
      <c r="D4" s="94" t="s">
        <v>3</v>
      </c>
    </row>
    <row r="5" spans="2:8">
      <c r="C5" s="206" t="s">
        <v>4</v>
      </c>
      <c r="D5" s="95">
        <v>1</v>
      </c>
      <c r="E5" s="206" t="s">
        <v>5</v>
      </c>
    </row>
    <row r="6" spans="2:8">
      <c r="B6" s="204" t="s">
        <v>6</v>
      </c>
      <c r="C6" s="204">
        <f>+F18</f>
        <v>1618.5</v>
      </c>
      <c r="D6" s="96">
        <f>+C3*D5</f>
        <v>0</v>
      </c>
      <c r="E6" s="634">
        <f>+F30</f>
        <v>972.38076923076915</v>
      </c>
      <c r="F6" s="334">
        <f>+E6*F3*C6</f>
        <v>1841343981.75</v>
      </c>
      <c r="G6" s="94" t="s">
        <v>7</v>
      </c>
    </row>
    <row r="7" spans="2:8">
      <c r="B7" s="98"/>
      <c r="C7" s="98"/>
      <c r="D7" s="96"/>
      <c r="E7" s="121"/>
      <c r="F7" s="122"/>
    </row>
    <row r="8" spans="2:8">
      <c r="B8" s="115" t="s">
        <v>8</v>
      </c>
      <c r="C8" s="115">
        <v>344</v>
      </c>
      <c r="D8" s="503" t="s">
        <v>4</v>
      </c>
      <c r="E8" s="857">
        <v>0.75</v>
      </c>
      <c r="F8" s="858" t="s">
        <v>1739</v>
      </c>
    </row>
    <row r="9" spans="2:8">
      <c r="B9" s="115" t="s">
        <v>9</v>
      </c>
      <c r="C9" s="115">
        <v>284</v>
      </c>
      <c r="D9" s="503" t="s">
        <v>4</v>
      </c>
      <c r="E9" s="859">
        <v>0.25</v>
      </c>
      <c r="F9" s="859" t="s">
        <v>1740</v>
      </c>
    </row>
    <row r="10" spans="2:8">
      <c r="B10" s="115"/>
      <c r="C10" s="115"/>
      <c r="D10" s="115"/>
      <c r="E10" s="859">
        <v>0.5</v>
      </c>
      <c r="F10" s="859" t="s">
        <v>1742</v>
      </c>
    </row>
    <row r="11" spans="2:8">
      <c r="B11" s="207" t="s">
        <v>10</v>
      </c>
      <c r="C11" s="207" t="s">
        <v>11</v>
      </c>
      <c r="D11" s="207" t="s">
        <v>12</v>
      </c>
      <c r="E11" s="208" t="s">
        <v>1741</v>
      </c>
      <c r="F11" s="208" t="s">
        <v>13</v>
      </c>
    </row>
    <row r="12" spans="2:8">
      <c r="B12" s="855" t="s">
        <v>1739</v>
      </c>
      <c r="C12" s="854">
        <v>0</v>
      </c>
      <c r="D12" s="854">
        <v>344</v>
      </c>
      <c r="E12" s="856">
        <f>+D12*$E$8</f>
        <v>258</v>
      </c>
      <c r="F12" s="12">
        <f t="shared" ref="F12:F17" si="0">+C12+E12</f>
        <v>258</v>
      </c>
    </row>
    <row r="13" spans="2:8">
      <c r="B13" s="339" t="s">
        <v>14</v>
      </c>
      <c r="C13" s="12">
        <v>214</v>
      </c>
      <c r="D13" s="12">
        <v>130</v>
      </c>
      <c r="E13" s="12">
        <f>+D13*$E$9</f>
        <v>32.5</v>
      </c>
      <c r="F13" s="12">
        <f t="shared" si="0"/>
        <v>246.5</v>
      </c>
    </row>
    <row r="14" spans="2:8">
      <c r="B14" s="339" t="s">
        <v>1743</v>
      </c>
      <c r="C14" s="398">
        <v>251</v>
      </c>
      <c r="D14" s="398">
        <v>30</v>
      </c>
      <c r="E14" s="398">
        <f t="shared" ref="E14:E16" si="1">+D14*$E$10</f>
        <v>15</v>
      </c>
      <c r="F14" s="398">
        <f t="shared" si="0"/>
        <v>266</v>
      </c>
      <c r="G14" s="94">
        <v>2</v>
      </c>
      <c r="H14" s="94" t="s">
        <v>15</v>
      </c>
    </row>
    <row r="15" spans="2:8">
      <c r="B15" s="339" t="s">
        <v>1744</v>
      </c>
      <c r="C15" s="398">
        <f>+C14*G14</f>
        <v>502</v>
      </c>
      <c r="D15" s="398">
        <f>+D14*G14</f>
        <v>60</v>
      </c>
      <c r="E15" s="398">
        <f t="shared" ref="E15" si="2">+D15*$E$10</f>
        <v>30</v>
      </c>
      <c r="F15" s="398">
        <f t="shared" ref="F15" si="3">+C15+E15</f>
        <v>532</v>
      </c>
    </row>
    <row r="16" spans="2:8">
      <c r="B16" s="339" t="s">
        <v>1745</v>
      </c>
      <c r="C16" s="398">
        <v>234</v>
      </c>
      <c r="D16" s="398">
        <v>47</v>
      </c>
      <c r="E16" s="398">
        <f t="shared" si="1"/>
        <v>23.5</v>
      </c>
      <c r="F16" s="398">
        <f t="shared" si="0"/>
        <v>257.5</v>
      </c>
    </row>
    <row r="17" spans="2:12">
      <c r="B17" s="339" t="s">
        <v>16</v>
      </c>
      <c r="C17" s="12"/>
      <c r="D17" s="12">
        <v>234</v>
      </c>
      <c r="E17" s="12">
        <f>+D17*$E$9</f>
        <v>58.5</v>
      </c>
      <c r="F17" s="12">
        <f t="shared" si="0"/>
        <v>58.5</v>
      </c>
    </row>
    <row r="18" spans="2:12">
      <c r="B18" s="210"/>
      <c r="C18" s="335">
        <f>SUM(C12:C17)</f>
        <v>1201</v>
      </c>
      <c r="D18" s="335">
        <f>SUM(D12:D17)</f>
        <v>845</v>
      </c>
      <c r="E18" s="335">
        <f>SUM(E12:E17)</f>
        <v>417.5</v>
      </c>
      <c r="F18" s="336">
        <f>SUM(F12:F17)</f>
        <v>1618.5</v>
      </c>
    </row>
    <row r="19" spans="2:12">
      <c r="F19" s="99"/>
      <c r="H19" s="100" t="s">
        <v>17</v>
      </c>
    </row>
    <row r="20" spans="2:12">
      <c r="B20" s="327" t="s">
        <v>18</v>
      </c>
      <c r="C20" s="262"/>
      <c r="D20" s="262"/>
      <c r="E20" s="262">
        <v>0.7</v>
      </c>
      <c r="F20" s="263">
        <f>+'01'!W216</f>
        <v>1127402758.0195</v>
      </c>
      <c r="G20" s="101">
        <f>+F20/F3</f>
        <v>963592.1008713675</v>
      </c>
      <c r="H20" s="101">
        <f>+G20/C6</f>
        <v>595.36119917909639</v>
      </c>
    </row>
    <row r="21" spans="2:12">
      <c r="B21" s="327" t="s">
        <v>19</v>
      </c>
      <c r="C21" s="262"/>
      <c r="D21" s="262"/>
      <c r="E21" s="330">
        <f>1-E20</f>
        <v>0.30000000000000004</v>
      </c>
      <c r="F21" s="328">
        <f>+G21*F20</f>
        <v>483172610.57978582</v>
      </c>
      <c r="G21" s="94">
        <f>+E21/E20</f>
        <v>0.42857142857142866</v>
      </c>
    </row>
    <row r="22" spans="2:12">
      <c r="B22" s="103"/>
      <c r="C22" s="98"/>
      <c r="D22" s="98"/>
      <c r="E22" s="98"/>
      <c r="F22" s="329">
        <f>+F21+F20</f>
        <v>1610575368.5992858</v>
      </c>
    </row>
    <row r="23" spans="2:12">
      <c r="B23" s="97" t="s">
        <v>20</v>
      </c>
    </row>
    <row r="24" spans="2:12">
      <c r="B24" s="338">
        <v>45588</v>
      </c>
      <c r="C24" s="337" t="s">
        <v>21</v>
      </c>
      <c r="J24" s="340" t="s">
        <v>22</v>
      </c>
      <c r="L24" s="94">
        <f>1+0.12+0.15</f>
        <v>1.27</v>
      </c>
    </row>
    <row r="25" spans="2:12">
      <c r="I25" s="94" t="s">
        <v>23</v>
      </c>
      <c r="J25" s="340">
        <v>0.09</v>
      </c>
      <c r="K25" s="94">
        <f>+J25*F6</f>
        <v>165720958.35749999</v>
      </c>
      <c r="L25" s="94">
        <f>+$L$24*K25</f>
        <v>210465617.114025</v>
      </c>
    </row>
    <row r="26" spans="2:12">
      <c r="B26" s="94" t="s">
        <v>24</v>
      </c>
      <c r="C26" s="206" t="s">
        <v>4</v>
      </c>
      <c r="D26" s="208" t="s">
        <v>25</v>
      </c>
      <c r="H26" s="98"/>
      <c r="I26" s="94" t="s">
        <v>26</v>
      </c>
      <c r="J26" s="340">
        <v>0.08</v>
      </c>
      <c r="K26" s="94">
        <f>+J26*F6</f>
        <v>147307518.53999999</v>
      </c>
      <c r="L26" s="94">
        <f>+$L$24*K26</f>
        <v>187080548.5458</v>
      </c>
    </row>
    <row r="27" spans="2:12">
      <c r="B27" s="204" t="s">
        <v>2</v>
      </c>
      <c r="C27" s="204">
        <f>+C6</f>
        <v>1618.5</v>
      </c>
      <c r="D27" s="208">
        <v>1625265</v>
      </c>
      <c r="F27" s="331">
        <f>+D27*C27</f>
        <v>2630491402.5</v>
      </c>
      <c r="G27" s="94" t="s">
        <v>7</v>
      </c>
    </row>
    <row r="28" spans="2:12">
      <c r="B28" s="98"/>
      <c r="C28" s="98"/>
      <c r="D28" s="337" t="s">
        <v>17</v>
      </c>
      <c r="E28" s="98"/>
      <c r="F28" s="332">
        <f>+F27/F3</f>
        <v>2248283.25</v>
      </c>
      <c r="G28" s="98" t="s">
        <v>0</v>
      </c>
      <c r="L28" s="340"/>
    </row>
    <row r="29" spans="2:12">
      <c r="B29" s="102"/>
      <c r="D29" s="337">
        <f>+D27/F3</f>
        <v>1389.1153846153845</v>
      </c>
      <c r="F29" s="333">
        <f>+F28/C27</f>
        <v>1389.1153846153845</v>
      </c>
      <c r="G29" s="94" t="s">
        <v>17</v>
      </c>
    </row>
    <row r="30" spans="2:12">
      <c r="E30" s="120"/>
      <c r="F30" s="103">
        <f>+F29*E20</f>
        <v>972.38076923076915</v>
      </c>
      <c r="G30" s="94" t="s">
        <v>27</v>
      </c>
    </row>
    <row r="31" spans="2:12">
      <c r="E31" s="120"/>
      <c r="F31" s="120"/>
    </row>
  </sheetData>
  <phoneticPr fontId="7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54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I13" sqref="I13"/>
    </sheetView>
  </sheetViews>
  <sheetFormatPr defaultColWidth="11.54296875" defaultRowHeight="12.75" customHeight="1" outlineLevelRow="1" outlineLevelCol="2"/>
  <cols>
    <col min="1" max="1" width="5.1796875" style="1643" bestFit="1" customWidth="1"/>
    <col min="2" max="2" width="2.7265625" style="1643" customWidth="1" outlineLevel="1"/>
    <col min="3" max="3" width="28.90625" style="1644" customWidth="1"/>
    <col min="4" max="4" width="4" style="1645" bestFit="1" customWidth="1"/>
    <col min="5" max="5" width="5.54296875" style="1494" bestFit="1" customWidth="1"/>
    <col min="6" max="6" width="8.453125" style="1648" customWidth="1" outlineLevel="2"/>
    <col min="7" max="7" width="7.90625" style="1648" customWidth="1" outlineLevel="2"/>
    <col min="8" max="8" width="8.54296875" style="1648" customWidth="1" outlineLevel="2"/>
    <col min="9" max="10" width="7.90625" style="1692" customWidth="1" outlineLevel="2"/>
    <col min="11" max="11" width="7.90625" style="1648" customWidth="1" outlineLevel="2"/>
    <col min="12" max="12" width="7.90625" style="1650" customWidth="1" outlineLevel="2"/>
    <col min="13" max="13" width="8.90625" style="1648" customWidth="1" outlineLevel="1"/>
    <col min="14" max="14" width="8.6328125" style="1648" customWidth="1" outlineLevel="1"/>
    <col min="15" max="15" width="7.90625" style="1648" customWidth="1" outlineLevel="1"/>
    <col min="16" max="16" width="9.6328125" style="1648" bestFit="1" customWidth="1" outlineLevel="1"/>
    <col min="17" max="17" width="8.6328125" style="1648" customWidth="1" outlineLevel="1"/>
    <col min="18" max="18" width="7.90625" style="1648" customWidth="1" outlineLevel="1"/>
    <col min="19" max="19" width="8.54296875" style="1648" customWidth="1" outlineLevel="1"/>
    <col min="20" max="20" width="9.6328125" style="1652" bestFit="1" customWidth="1" outlineLevel="1"/>
    <col min="21" max="22" width="7.90625" style="1653" customWidth="1"/>
    <col min="23" max="23" width="9.90625" style="1663" bestFit="1" customWidth="1"/>
    <col min="24" max="24" width="3.81640625" style="1654" bestFit="1" customWidth="1"/>
    <col min="25" max="25" width="11.7265625" style="1648" bestFit="1" customWidth="1"/>
    <col min="26" max="26" width="12.08984375" style="1654" bestFit="1" customWidth="1"/>
    <col min="27" max="27" width="10.6328125" style="1654" bestFit="1" customWidth="1"/>
    <col min="28" max="28" width="9.90625" style="1648" bestFit="1" customWidth="1"/>
    <col min="29" max="29" width="6.26953125" style="1654" bestFit="1" customWidth="1"/>
    <col min="30" max="30" width="9.90625" style="1654" bestFit="1" customWidth="1"/>
    <col min="31" max="31" width="5" style="1654" bestFit="1" customWidth="1"/>
    <col min="32" max="32" width="7.36328125" style="1654" bestFit="1" customWidth="1"/>
    <col min="33" max="33" width="5" style="1654" bestFit="1" customWidth="1"/>
    <col min="34" max="34" width="3.08984375" style="1654" bestFit="1" customWidth="1"/>
    <col min="35" max="16384" width="11.54296875" style="1654"/>
  </cols>
  <sheetData>
    <row r="1" spans="1:28" ht="12.75" customHeight="1">
      <c r="F1" s="1646" t="s">
        <v>28</v>
      </c>
      <c r="G1" s="1647" t="s">
        <v>29</v>
      </c>
      <c r="I1" s="1649"/>
      <c r="J1" s="1649"/>
      <c r="N1" s="1651"/>
      <c r="O1" s="1651"/>
      <c r="P1" s="1487"/>
      <c r="Q1" s="1651"/>
      <c r="R1" s="1651"/>
      <c r="V1" s="1488" t="s">
        <v>30</v>
      </c>
      <c r="W1" s="1488" t="s">
        <v>1</v>
      </c>
    </row>
    <row r="2" spans="1:28" ht="10.5">
      <c r="F2" s="1655" t="s">
        <v>31</v>
      </c>
      <c r="G2" s="1647" t="s">
        <v>32</v>
      </c>
      <c r="I2" s="1649"/>
      <c r="J2" s="1649"/>
      <c r="N2" s="1651"/>
      <c r="O2" s="1651"/>
      <c r="P2" s="1487"/>
      <c r="Q2" s="1651"/>
      <c r="R2" s="1651"/>
      <c r="V2" s="1489">
        <f>+GGBB!G4</f>
        <v>1005</v>
      </c>
      <c r="W2" s="1489">
        <f>+GGBB!H4</f>
        <v>1170</v>
      </c>
    </row>
    <row r="3" spans="1:28" s="1499" customFormat="1" ht="21">
      <c r="A3" s="1490"/>
      <c r="B3" s="1490"/>
      <c r="C3" s="1491"/>
      <c r="D3" s="1492"/>
      <c r="E3" s="1493"/>
      <c r="F3" s="1656" t="s">
        <v>33</v>
      </c>
      <c r="G3" s="1647" t="s">
        <v>34</v>
      </c>
      <c r="H3" s="1494"/>
      <c r="I3" s="1494"/>
      <c r="J3" s="1494"/>
      <c r="K3" s="1494"/>
      <c r="L3" s="1495"/>
      <c r="M3" s="1494"/>
      <c r="N3" s="1493"/>
      <c r="O3" s="1493"/>
      <c r="P3" s="1493"/>
      <c r="Q3" s="1496"/>
      <c r="R3" s="1496"/>
      <c r="S3" s="1494"/>
      <c r="T3" s="1497"/>
      <c r="U3" s="1493"/>
      <c r="V3" s="1493"/>
      <c r="W3" s="1498"/>
      <c r="Y3" s="1500"/>
      <c r="AB3" s="1500"/>
    </row>
    <row r="4" spans="1:28" s="1499" customFormat="1" ht="31.5">
      <c r="A4" s="1490"/>
      <c r="B4" s="1490"/>
      <c r="C4" s="1491"/>
      <c r="D4" s="1492"/>
      <c r="E4" s="1493"/>
      <c r="F4" s="1657" t="s">
        <v>35</v>
      </c>
      <c r="G4" s="1658" t="s">
        <v>36</v>
      </c>
      <c r="H4" s="1494"/>
      <c r="I4" s="1494"/>
      <c r="J4" s="1494"/>
      <c r="K4" s="1494"/>
      <c r="L4" s="1495"/>
      <c r="M4" s="1494"/>
      <c r="N4" s="1494"/>
      <c r="O4" s="1494"/>
      <c r="P4" s="1493"/>
      <c r="Q4" s="1500"/>
      <c r="R4" s="1500"/>
      <c r="S4" s="1494"/>
      <c r="T4" s="1501">
        <v>1</v>
      </c>
      <c r="U4" s="1493"/>
      <c r="V4" s="1502">
        <v>45590</v>
      </c>
      <c r="W4" s="1498"/>
      <c r="Y4" s="1500"/>
      <c r="AB4" s="1500"/>
    </row>
    <row r="5" spans="1:28" s="1499" customFormat="1" ht="10.5">
      <c r="A5" s="1490"/>
      <c r="B5" s="1490"/>
      <c r="C5" s="1659" t="s">
        <v>1735</v>
      </c>
      <c r="D5" s="1492"/>
      <c r="E5" s="1493"/>
      <c r="F5" s="2239" t="s">
        <v>37</v>
      </c>
      <c r="G5" s="2240"/>
      <c r="H5" s="2241"/>
      <c r="I5" s="2239" t="s">
        <v>38</v>
      </c>
      <c r="J5" s="2240"/>
      <c r="K5" s="2241"/>
      <c r="L5" s="1506"/>
      <c r="M5" s="1494"/>
      <c r="N5" s="2239" t="s">
        <v>37</v>
      </c>
      <c r="O5" s="2241"/>
      <c r="P5" s="2239" t="s">
        <v>38</v>
      </c>
      <c r="Q5" s="2241"/>
      <c r="R5" s="1507"/>
      <c r="S5" s="1494"/>
      <c r="T5" s="1660">
        <f>+GGBB!F66</f>
        <v>1.2568825695365058</v>
      </c>
      <c r="U5" s="1494"/>
      <c r="V5" s="1494"/>
      <c r="W5" s="1498"/>
      <c r="Y5" s="1500"/>
      <c r="AB5" s="1500"/>
    </row>
    <row r="6" spans="1:28" s="1499" customFormat="1" ht="10.5">
      <c r="A6" s="1490"/>
      <c r="B6" s="1490"/>
      <c r="C6" s="1659" t="s">
        <v>39</v>
      </c>
      <c r="D6" s="1508"/>
      <c r="E6" s="1509"/>
      <c r="F6" s="1503"/>
      <c r="G6" s="1504"/>
      <c r="H6" s="1505"/>
      <c r="I6" s="1503"/>
      <c r="J6" s="1504"/>
      <c r="K6" s="1505"/>
      <c r="L6" s="1506"/>
      <c r="M6" s="1494"/>
      <c r="N6" s="1503"/>
      <c r="O6" s="1504"/>
      <c r="P6" s="1503"/>
      <c r="Q6" s="1505"/>
      <c r="R6" s="1507"/>
      <c r="S6" s="1507"/>
      <c r="T6" s="1510">
        <v>1.1000000000000001</v>
      </c>
      <c r="U6" s="1511"/>
      <c r="V6" s="1511"/>
      <c r="W6" s="1498"/>
      <c r="Y6" s="1500"/>
      <c r="AB6" s="1500"/>
    </row>
    <row r="7" spans="1:28" ht="10.5">
      <c r="A7" s="1512" t="s">
        <v>40</v>
      </c>
      <c r="B7" s="1513"/>
      <c r="C7" s="1514" t="s">
        <v>41</v>
      </c>
      <c r="D7" s="1515" t="s">
        <v>42</v>
      </c>
      <c r="E7" s="1661" t="s">
        <v>43</v>
      </c>
      <c r="F7" s="1522" t="s">
        <v>44</v>
      </c>
      <c r="G7" s="1661" t="s">
        <v>45</v>
      </c>
      <c r="H7" s="1516" t="s">
        <v>46</v>
      </c>
      <c r="I7" s="1661" t="s">
        <v>44</v>
      </c>
      <c r="J7" s="1661" t="s">
        <v>47</v>
      </c>
      <c r="K7" s="1516" t="s">
        <v>46</v>
      </c>
      <c r="L7" s="1661" t="s">
        <v>48</v>
      </c>
      <c r="M7" s="1516" t="s">
        <v>49</v>
      </c>
      <c r="N7" s="1661" t="s">
        <v>44</v>
      </c>
      <c r="O7" s="1661" t="s">
        <v>45</v>
      </c>
      <c r="P7" s="1661" t="s">
        <v>44</v>
      </c>
      <c r="Q7" s="1661" t="s">
        <v>47</v>
      </c>
      <c r="R7" s="1661" t="s">
        <v>48</v>
      </c>
      <c r="S7" s="1662" t="s">
        <v>46</v>
      </c>
      <c r="T7" s="1528" t="s">
        <v>13</v>
      </c>
      <c r="U7" s="1528" t="s">
        <v>50</v>
      </c>
      <c r="V7" s="1528" t="s">
        <v>13</v>
      </c>
    </row>
    <row r="8" spans="1:28" ht="10.5">
      <c r="A8" s="1512">
        <v>1</v>
      </c>
      <c r="B8" s="1513" t="s">
        <v>51</v>
      </c>
      <c r="C8" s="1517" t="s">
        <v>52</v>
      </c>
      <c r="D8" s="1518"/>
      <c r="E8" s="1519"/>
      <c r="F8" s="1519"/>
      <c r="G8" s="1519"/>
      <c r="H8" s="1519"/>
      <c r="I8" s="1519"/>
      <c r="J8" s="1519"/>
      <c r="K8" s="1519"/>
      <c r="L8" s="1519"/>
      <c r="M8" s="1520"/>
      <c r="N8" s="1519"/>
      <c r="O8" s="1519"/>
      <c r="P8" s="1519"/>
      <c r="Q8" s="1519"/>
      <c r="R8" s="1519"/>
      <c r="S8" s="1519"/>
      <c r="T8" s="1521">
        <f>SUM(S9:S18)</f>
        <v>19718746.954284195</v>
      </c>
      <c r="U8" s="1519"/>
      <c r="V8" s="1519"/>
      <c r="W8" s="1522">
        <f>SUM(V9:V18)</f>
        <v>24784163</v>
      </c>
      <c r="X8" s="1664">
        <f>+W8/$W$216</f>
        <v>2.198341526460176E-2</v>
      </c>
      <c r="Y8" s="1648">
        <f>+W8</f>
        <v>24784163</v>
      </c>
    </row>
    <row r="9" spans="1:28" ht="10.5" outlineLevel="1">
      <c r="A9" s="1665">
        <v>1.01</v>
      </c>
      <c r="B9" s="1666" t="s">
        <v>28</v>
      </c>
      <c r="C9" s="1523" t="s">
        <v>2507</v>
      </c>
      <c r="D9" s="1667" t="s">
        <v>54</v>
      </c>
      <c r="E9" s="1668">
        <v>0</v>
      </c>
      <c r="F9" s="1524"/>
      <c r="G9" s="1524"/>
      <c r="H9" s="1525">
        <f>F9+G9</f>
        <v>0</v>
      </c>
      <c r="I9" s="1524"/>
      <c r="J9" s="1524"/>
      <c r="K9" s="1525">
        <f>I9+J9</f>
        <v>0</v>
      </c>
      <c r="L9" s="1524"/>
      <c r="M9" s="1525">
        <f>H9+K9+L9</f>
        <v>0</v>
      </c>
      <c r="N9" s="1526">
        <f>F9*E9</f>
        <v>0</v>
      </c>
      <c r="O9" s="1526">
        <f>G9*E9</f>
        <v>0</v>
      </c>
      <c r="P9" s="1526">
        <f>I9*E9</f>
        <v>0</v>
      </c>
      <c r="Q9" s="1526">
        <f>J9*E9</f>
        <v>0</v>
      </c>
      <c r="R9" s="1526">
        <f>+L9*E9</f>
        <v>0</v>
      </c>
      <c r="S9" s="1527">
        <f>SUM(N9:R9)</f>
        <v>0</v>
      </c>
      <c r="T9" s="1528"/>
      <c r="U9" s="1669">
        <f t="shared" ref="U9:U17" si="0">+ROUNDUP(M9*$T$5,0)</f>
        <v>0</v>
      </c>
      <c r="V9" s="1669">
        <f t="shared" ref="V9:V17" si="1">+U9*E9</f>
        <v>0</v>
      </c>
      <c r="X9" s="1664"/>
    </row>
    <row r="10" spans="1:28" ht="10.5" outlineLevel="1">
      <c r="A10" s="1670">
        <v>1.02</v>
      </c>
      <c r="B10" s="1529" t="s">
        <v>28</v>
      </c>
      <c r="C10" s="1530" t="s">
        <v>55</v>
      </c>
      <c r="D10" s="1671" t="s">
        <v>56</v>
      </c>
      <c r="E10" s="1672">
        <v>3</v>
      </c>
      <c r="F10" s="1531">
        <f>+Tareas!H8</f>
        <v>0</v>
      </c>
      <c r="G10" s="1531">
        <f>+Tareas!I8</f>
        <v>41666.666666666664</v>
      </c>
      <c r="H10" s="1532">
        <f>F10+G10</f>
        <v>41666.666666666664</v>
      </c>
      <c r="I10" s="1531">
        <f>+Tareas!Q8</f>
        <v>172653.20827272726</v>
      </c>
      <c r="J10" s="1531">
        <f>+Tareas!R8</f>
        <v>83223.728710953277</v>
      </c>
      <c r="K10" s="1532">
        <f>I10+J10</f>
        <v>255876.93698368053</v>
      </c>
      <c r="L10" s="1531">
        <f>+(H10+K10)*0.015</f>
        <v>4463.1540547552077</v>
      </c>
      <c r="M10" s="1532">
        <f>H10+K10+L10</f>
        <v>302006.75770510244</v>
      </c>
      <c r="N10" s="1533">
        <f t="shared" ref="N10" si="2">F10*E10</f>
        <v>0</v>
      </c>
      <c r="O10" s="1533">
        <f>G10*E10</f>
        <v>125000</v>
      </c>
      <c r="P10" s="1533">
        <f t="shared" ref="P10" si="3">I10*E10</f>
        <v>517959.62481818179</v>
      </c>
      <c r="Q10" s="1533">
        <f t="shared" ref="Q10" si="4">J10*E10</f>
        <v>249671.18613285985</v>
      </c>
      <c r="R10" s="1533">
        <f t="shared" ref="R10" si="5">+L10*E10</f>
        <v>13389.462164265624</v>
      </c>
      <c r="S10" s="1534">
        <f t="shared" ref="S10" si="6">SUM(N10:R10)</f>
        <v>906020.27311530733</v>
      </c>
      <c r="T10" s="1535"/>
      <c r="U10" s="1673">
        <f t="shared" si="0"/>
        <v>379588</v>
      </c>
      <c r="V10" s="1673">
        <f t="shared" si="1"/>
        <v>1138764</v>
      </c>
      <c r="X10" s="1664"/>
    </row>
    <row r="11" spans="1:28" ht="10.5" outlineLevel="1">
      <c r="A11" s="1670">
        <v>1.03</v>
      </c>
      <c r="B11" s="1674" t="s">
        <v>28</v>
      </c>
      <c r="C11" s="1530" t="s">
        <v>2508</v>
      </c>
      <c r="D11" s="1536" t="s">
        <v>54</v>
      </c>
      <c r="E11" s="1537">
        <v>0</v>
      </c>
      <c r="F11" s="1537"/>
      <c r="G11" s="1537"/>
      <c r="H11" s="1532">
        <f t="shared" ref="H11:H18" si="7">F11+G11</f>
        <v>0</v>
      </c>
      <c r="I11" s="1537"/>
      <c r="J11" s="1537"/>
      <c r="K11" s="1532">
        <f t="shared" ref="K11" si="8">I11+J11</f>
        <v>0</v>
      </c>
      <c r="L11" s="1537"/>
      <c r="M11" s="1532">
        <f t="shared" ref="M11" si="9">H11+K11+L11</f>
        <v>0</v>
      </c>
      <c r="N11" s="1533">
        <f>F11*E11</f>
        <v>0</v>
      </c>
      <c r="O11" s="1533">
        <f>G11*E11</f>
        <v>0</v>
      </c>
      <c r="P11" s="1533">
        <f t="shared" ref="P11:P136" si="10">I11*E11</f>
        <v>0</v>
      </c>
      <c r="Q11" s="1533">
        <f t="shared" ref="Q11:Q136" si="11">J11*E11</f>
        <v>0</v>
      </c>
      <c r="R11" s="1533">
        <f t="shared" ref="R11:R136" si="12">+L11*E11</f>
        <v>0</v>
      </c>
      <c r="S11" s="1534">
        <f t="shared" ref="S11:S136" si="13">SUM(N11:R11)</f>
        <v>0</v>
      </c>
      <c r="T11" s="1535"/>
      <c r="U11" s="1673">
        <f t="shared" si="0"/>
        <v>0</v>
      </c>
      <c r="V11" s="1673">
        <f t="shared" si="1"/>
        <v>0</v>
      </c>
      <c r="X11" s="1664"/>
    </row>
    <row r="12" spans="1:28" ht="21" outlineLevel="1">
      <c r="A12" s="1670">
        <v>1.04</v>
      </c>
      <c r="B12" s="1674" t="s">
        <v>28</v>
      </c>
      <c r="C12" s="1530" t="s">
        <v>2509</v>
      </c>
      <c r="D12" s="1671" t="s">
        <v>59</v>
      </c>
      <c r="E12" s="1672">
        <v>11</v>
      </c>
      <c r="F12" s="1531">
        <f>+Tareas!H12</f>
        <v>79773.18271975957</v>
      </c>
      <c r="G12" s="1531">
        <f>+Tareas!I12</f>
        <v>0</v>
      </c>
      <c r="H12" s="1532">
        <f t="shared" si="7"/>
        <v>79773.18271975957</v>
      </c>
      <c r="I12" s="1531">
        <f>+Tareas!Q12</f>
        <v>0</v>
      </c>
      <c r="J12" s="1531">
        <f>+Tareas!R12</f>
        <v>30923.374054493801</v>
      </c>
      <c r="K12" s="1532">
        <f t="shared" ref="K12:K15" si="14">I12+J12</f>
        <v>30923.374054493801</v>
      </c>
      <c r="L12" s="1531">
        <f>+(H12+K12)*0.015</f>
        <v>1660.4483516138005</v>
      </c>
      <c r="M12" s="1532">
        <f t="shared" ref="M12" si="15">H12+K12+L12</f>
        <v>112357.00512586717</v>
      </c>
      <c r="N12" s="1533">
        <f>F12*E12</f>
        <v>877505.00991735526</v>
      </c>
      <c r="O12" s="1533">
        <f>G12*E12</f>
        <v>0</v>
      </c>
      <c r="P12" s="1533">
        <f t="shared" si="10"/>
        <v>0</v>
      </c>
      <c r="Q12" s="1533">
        <f t="shared" si="11"/>
        <v>340157.11459943181</v>
      </c>
      <c r="R12" s="1533">
        <f t="shared" si="12"/>
        <v>18264.931867751806</v>
      </c>
      <c r="S12" s="1534">
        <f t="shared" si="13"/>
        <v>1235927.0563845388</v>
      </c>
      <c r="T12" s="1535"/>
      <c r="U12" s="1673">
        <f t="shared" si="0"/>
        <v>141220</v>
      </c>
      <c r="V12" s="1673">
        <f t="shared" si="1"/>
        <v>1553420</v>
      </c>
      <c r="X12" s="1664"/>
    </row>
    <row r="13" spans="1:28" ht="10.5" outlineLevel="1">
      <c r="A13" s="1670">
        <v>1.05</v>
      </c>
      <c r="B13" s="1674" t="s">
        <v>28</v>
      </c>
      <c r="C13" s="1530" t="s">
        <v>1765</v>
      </c>
      <c r="D13" s="1671" t="s">
        <v>54</v>
      </c>
      <c r="E13" s="1672">
        <v>1</v>
      </c>
      <c r="F13" s="1538">
        <f>+Tareas!H22</f>
        <v>2300856.6973553719</v>
      </c>
      <c r="G13" s="1538">
        <f>+Tareas!I22</f>
        <v>100000</v>
      </c>
      <c r="H13" s="1532">
        <f t="shared" si="7"/>
        <v>2400856.6973553719</v>
      </c>
      <c r="I13" s="1531">
        <f>+Tareas!Q22</f>
        <v>500000</v>
      </c>
      <c r="J13" s="1531">
        <f>+Tareas!R22</f>
        <v>3016332.5020954548</v>
      </c>
      <c r="K13" s="1532">
        <f t="shared" si="14"/>
        <v>3516332.5020954548</v>
      </c>
      <c r="L13" s="1531">
        <f>+(H13+K13)*0.015</f>
        <v>88757.837991762397</v>
      </c>
      <c r="M13" s="1532">
        <f t="shared" ref="M13" si="16">H13+K13+L13</f>
        <v>6005947.0374425882</v>
      </c>
      <c r="N13" s="1533">
        <f t="shared" ref="N13" si="17">F13*E13</f>
        <v>2300856.6973553719</v>
      </c>
      <c r="O13" s="1533">
        <f t="shared" ref="O13" si="18">G13*E13</f>
        <v>100000</v>
      </c>
      <c r="P13" s="1533">
        <f t="shared" ref="P13" si="19">I13*E13</f>
        <v>500000</v>
      </c>
      <c r="Q13" s="1533">
        <f t="shared" ref="Q13" si="20">J13*E13</f>
        <v>3016332.5020954548</v>
      </c>
      <c r="R13" s="1533">
        <f t="shared" ref="R13" si="21">+L13*E13</f>
        <v>88757.837991762397</v>
      </c>
      <c r="S13" s="1534">
        <f t="shared" ref="S13" si="22">SUM(N13:R13)</f>
        <v>6005947.0374425882</v>
      </c>
      <c r="T13" s="1535"/>
      <c r="U13" s="1673">
        <f t="shared" si="0"/>
        <v>7548771</v>
      </c>
      <c r="V13" s="1673">
        <f t="shared" si="1"/>
        <v>7548771</v>
      </c>
      <c r="X13" s="1664"/>
    </row>
    <row r="14" spans="1:28" ht="10.5" outlineLevel="1">
      <c r="A14" s="1670">
        <v>1.06</v>
      </c>
      <c r="B14" s="1674" t="s">
        <v>28</v>
      </c>
      <c r="C14" s="1530" t="s">
        <v>60</v>
      </c>
      <c r="D14" s="1671" t="s">
        <v>61</v>
      </c>
      <c r="E14" s="1672">
        <v>3</v>
      </c>
      <c r="F14" s="1538"/>
      <c r="G14" s="1538"/>
      <c r="H14" s="1532">
        <f t="shared" si="7"/>
        <v>0</v>
      </c>
      <c r="I14" s="1539">
        <f>+Cotizaciones!D46*4</f>
        <v>295488.55943097093</v>
      </c>
      <c r="J14" s="1539">
        <f>+(Cotizaciones!D47*2*2)/'01'!E14</f>
        <v>16416.031079498385</v>
      </c>
      <c r="K14" s="1532">
        <f t="shared" si="14"/>
        <v>311904.59051046934</v>
      </c>
      <c r="L14" s="1537"/>
      <c r="M14" s="1532">
        <f t="shared" ref="M14:M15" si="23">H14+K14+L14</f>
        <v>311904.59051046934</v>
      </c>
      <c r="N14" s="1533">
        <f t="shared" ref="N14:N15" si="24">F14*E14</f>
        <v>0</v>
      </c>
      <c r="O14" s="1533">
        <f t="shared" ref="O14:O15" si="25">G14*E14</f>
        <v>0</v>
      </c>
      <c r="P14" s="1533">
        <f t="shared" ref="P14:P15" si="26">I14*E14</f>
        <v>886465.67829291278</v>
      </c>
      <c r="Q14" s="1533">
        <f t="shared" ref="Q14:Q15" si="27">J14*E14</f>
        <v>49248.093238495159</v>
      </c>
      <c r="R14" s="1533">
        <f t="shared" ref="R14:R15" si="28">+L14*E14</f>
        <v>0</v>
      </c>
      <c r="S14" s="1534">
        <f t="shared" ref="S14:S15" si="29">SUM(N14:R14)</f>
        <v>935713.77153140795</v>
      </c>
      <c r="T14" s="1535"/>
      <c r="U14" s="1673">
        <f t="shared" si="0"/>
        <v>392028</v>
      </c>
      <c r="V14" s="1673">
        <f t="shared" si="1"/>
        <v>1176084</v>
      </c>
      <c r="X14" s="1664"/>
    </row>
    <row r="15" spans="1:28" ht="10.5" outlineLevel="1">
      <c r="A15" s="1670">
        <v>1.07</v>
      </c>
      <c r="B15" s="1529" t="s">
        <v>28</v>
      </c>
      <c r="C15" s="1530" t="s">
        <v>62</v>
      </c>
      <c r="D15" s="1671" t="s">
        <v>54</v>
      </c>
      <c r="E15" s="1672">
        <v>1</v>
      </c>
      <c r="F15" s="1538">
        <f>+Tareas!H44</f>
        <v>795578.51239669416</v>
      </c>
      <c r="G15" s="1538">
        <f>+Tareas!I44</f>
        <v>50000</v>
      </c>
      <c r="H15" s="1532">
        <f t="shared" si="7"/>
        <v>845578.51239669416</v>
      </c>
      <c r="I15" s="1531">
        <f>+Tareas!Q44</f>
        <v>0</v>
      </c>
      <c r="J15" s="1531">
        <f>+Tareas!R44</f>
        <v>511535.56413257582</v>
      </c>
      <c r="K15" s="1532">
        <f t="shared" si="14"/>
        <v>511535.56413257582</v>
      </c>
      <c r="L15" s="1531">
        <f>+(H15+K15)*0.015</f>
        <v>20356.711147939051</v>
      </c>
      <c r="M15" s="1532">
        <f t="shared" si="23"/>
        <v>1377470.7876772091</v>
      </c>
      <c r="N15" s="1533">
        <f t="shared" si="24"/>
        <v>795578.51239669416</v>
      </c>
      <c r="O15" s="1533">
        <f t="shared" si="25"/>
        <v>50000</v>
      </c>
      <c r="P15" s="1533">
        <f t="shared" si="26"/>
        <v>0</v>
      </c>
      <c r="Q15" s="1533">
        <f t="shared" si="27"/>
        <v>511535.56413257582</v>
      </c>
      <c r="R15" s="1533">
        <f t="shared" si="28"/>
        <v>20356.711147939051</v>
      </c>
      <c r="S15" s="1534">
        <f t="shared" si="29"/>
        <v>1377470.7876772091</v>
      </c>
      <c r="T15" s="1535"/>
      <c r="U15" s="1673">
        <f t="shared" si="0"/>
        <v>1731320</v>
      </c>
      <c r="V15" s="1673">
        <f t="shared" si="1"/>
        <v>1731320</v>
      </c>
      <c r="X15" s="1664"/>
    </row>
    <row r="16" spans="1:28" ht="10.5" outlineLevel="1">
      <c r="A16" s="1670">
        <v>1.08</v>
      </c>
      <c r="B16" s="1529" t="s">
        <v>28</v>
      </c>
      <c r="C16" s="1530" t="s">
        <v>63</v>
      </c>
      <c r="D16" s="1671" t="s">
        <v>54</v>
      </c>
      <c r="E16" s="1672">
        <v>1</v>
      </c>
      <c r="F16" s="1538">
        <f>+Tareas!H51</f>
        <v>680400</v>
      </c>
      <c r="G16" s="1538">
        <f>+Tareas!I51</f>
        <v>0</v>
      </c>
      <c r="H16" s="1532">
        <f t="shared" si="7"/>
        <v>680400</v>
      </c>
      <c r="I16" s="1531">
        <f>+Tareas!Q51</f>
        <v>0</v>
      </c>
      <c r="J16" s="1531">
        <f>+Tareas!R51</f>
        <v>421419.88959943189</v>
      </c>
      <c r="K16" s="1532">
        <f t="shared" ref="K16" si="30">I16+J16</f>
        <v>421419.88959943189</v>
      </c>
      <c r="L16" s="1531">
        <f>+(H16+K16)*0.015</f>
        <v>16527.298343991475</v>
      </c>
      <c r="M16" s="1532">
        <f t="shared" ref="M16" si="31">H16+K16+L16</f>
        <v>1118347.1879434232</v>
      </c>
      <c r="N16" s="1533">
        <f t="shared" ref="N16" si="32">F16*E16</f>
        <v>680400</v>
      </c>
      <c r="O16" s="1533">
        <f t="shared" ref="O16" si="33">G16*E16</f>
        <v>0</v>
      </c>
      <c r="P16" s="1533">
        <f t="shared" ref="P16" si="34">I16*E16</f>
        <v>0</v>
      </c>
      <c r="Q16" s="1533">
        <f t="shared" ref="Q16" si="35">J16*E16</f>
        <v>421419.88959943189</v>
      </c>
      <c r="R16" s="1533">
        <f t="shared" ref="R16" si="36">+L16*E16</f>
        <v>16527.298343991475</v>
      </c>
      <c r="S16" s="1534">
        <f t="shared" ref="S16" si="37">SUM(N16:R16)</f>
        <v>1118347.1879434232</v>
      </c>
      <c r="T16" s="1535"/>
      <c r="U16" s="1673">
        <f t="shared" si="0"/>
        <v>1405632</v>
      </c>
      <c r="V16" s="1673">
        <f t="shared" si="1"/>
        <v>1405632</v>
      </c>
      <c r="X16" s="1664"/>
    </row>
    <row r="17" spans="1:30" ht="21" outlineLevel="1">
      <c r="A17" s="1670">
        <v>1.0900000000000001</v>
      </c>
      <c r="B17" s="1529" t="s">
        <v>28</v>
      </c>
      <c r="C17" s="1530" t="s">
        <v>64</v>
      </c>
      <c r="D17" s="1671" t="s">
        <v>54</v>
      </c>
      <c r="E17" s="1672">
        <v>1</v>
      </c>
      <c r="F17" s="1538">
        <f>+Tareas!H61</f>
        <v>0</v>
      </c>
      <c r="G17" s="1538">
        <f>+Tareas!I61</f>
        <v>0</v>
      </c>
      <c r="H17" s="1532">
        <f t="shared" si="7"/>
        <v>0</v>
      </c>
      <c r="I17" s="1531">
        <f>+Tareas!Q61</f>
        <v>339320.84018972021</v>
      </c>
      <c r="J17" s="1531">
        <f>+Tareas!R61</f>
        <v>0</v>
      </c>
      <c r="K17" s="1532">
        <f t="shared" ref="K17:K18" si="38">I17+J17</f>
        <v>339320.84018972021</v>
      </c>
      <c r="L17" s="1537"/>
      <c r="M17" s="1532">
        <f t="shared" ref="M17" si="39">H17+K17+L17</f>
        <v>339320.84018972021</v>
      </c>
      <c r="N17" s="1533">
        <f t="shared" ref="N17" si="40">F17*E17</f>
        <v>0</v>
      </c>
      <c r="O17" s="1533">
        <f>G17*E17</f>
        <v>0</v>
      </c>
      <c r="P17" s="1533">
        <f t="shared" ref="P17" si="41">I17*E17</f>
        <v>339320.84018972021</v>
      </c>
      <c r="Q17" s="1533">
        <f t="shared" ref="Q17" si="42">J17*E17</f>
        <v>0</v>
      </c>
      <c r="R17" s="1533">
        <f t="shared" ref="R17" si="43">+L17*E17</f>
        <v>0</v>
      </c>
      <c r="S17" s="1534">
        <f t="shared" ref="S17" si="44">SUM(N17:R17)</f>
        <v>339320.84018972021</v>
      </c>
      <c r="T17" s="1535"/>
      <c r="U17" s="1673">
        <f t="shared" si="0"/>
        <v>426487</v>
      </c>
      <c r="V17" s="1673">
        <f t="shared" si="1"/>
        <v>426487</v>
      </c>
      <c r="X17" s="1664"/>
    </row>
    <row r="18" spans="1:30" ht="10.5" outlineLevel="1">
      <c r="A18" s="1675">
        <v>1.1000000000000001</v>
      </c>
      <c r="B18" s="1573" t="s">
        <v>28</v>
      </c>
      <c r="C18" s="1542" t="s">
        <v>1751</v>
      </c>
      <c r="D18" s="1676" t="s">
        <v>54</v>
      </c>
      <c r="E18" s="1677">
        <v>1</v>
      </c>
      <c r="F18" s="1543"/>
      <c r="G18" s="1543"/>
      <c r="H18" s="1544">
        <f t="shared" si="7"/>
        <v>0</v>
      </c>
      <c r="I18" s="1545">
        <f>+SUBCONTRATOS!D67</f>
        <v>7800000</v>
      </c>
      <c r="J18" s="1546"/>
      <c r="K18" s="1544">
        <f t="shared" si="38"/>
        <v>7800000</v>
      </c>
      <c r="L18" s="1547"/>
      <c r="M18" s="1544">
        <f t="shared" ref="M18" si="45">H18+K18+L18</f>
        <v>7800000</v>
      </c>
      <c r="N18" s="1548">
        <f t="shared" ref="N18" si="46">F18*E18</f>
        <v>0</v>
      </c>
      <c r="O18" s="1548">
        <f>G18*E18</f>
        <v>0</v>
      </c>
      <c r="P18" s="1548">
        <f t="shared" ref="P18" si="47">I18*E18</f>
        <v>7800000</v>
      </c>
      <c r="Q18" s="1548">
        <f t="shared" ref="Q18" si="48">J18*E18</f>
        <v>0</v>
      </c>
      <c r="R18" s="1548">
        <f t="shared" ref="R18" si="49">+L18*E18</f>
        <v>0</v>
      </c>
      <c r="S18" s="1549">
        <f t="shared" ref="S18" si="50">SUM(N18:R18)</f>
        <v>7800000</v>
      </c>
      <c r="T18" s="1535"/>
      <c r="U18" s="1673">
        <f t="shared" ref="U18" si="51">+ROUNDUP(M18*$T$5,0)</f>
        <v>9803685</v>
      </c>
      <c r="V18" s="1673">
        <f t="shared" ref="V18" si="52">+U18*E18</f>
        <v>9803685</v>
      </c>
      <c r="X18" s="1664"/>
    </row>
    <row r="19" spans="1:30" ht="21">
      <c r="A19" s="1512">
        <v>2</v>
      </c>
      <c r="B19" s="1513"/>
      <c r="C19" s="1517" t="s">
        <v>65</v>
      </c>
      <c r="D19" s="1518"/>
      <c r="E19" s="1519"/>
      <c r="F19" s="1519"/>
      <c r="G19" s="1519"/>
      <c r="H19" s="1519"/>
      <c r="I19" s="1519"/>
      <c r="J19" s="1519"/>
      <c r="K19" s="1519"/>
      <c r="L19" s="1519"/>
      <c r="M19" s="1520"/>
      <c r="N19" s="1519"/>
      <c r="O19" s="1519"/>
      <c r="P19" s="1519"/>
      <c r="Q19" s="1519"/>
      <c r="R19" s="1519"/>
      <c r="S19" s="1519"/>
      <c r="T19" s="1521">
        <f>SUM(S20:S22)</f>
        <v>33429552.129877307</v>
      </c>
      <c r="U19" s="1519"/>
      <c r="V19" s="1519"/>
      <c r="W19" s="1522">
        <f>SUM(V20:V22)</f>
        <v>42017464</v>
      </c>
      <c r="X19" s="1664">
        <f>+W19/$W$216</f>
        <v>3.7269257770676176E-2</v>
      </c>
      <c r="Y19" s="1648">
        <f>+W19</f>
        <v>42017464</v>
      </c>
    </row>
    <row r="20" spans="1:30" ht="21" outlineLevel="1">
      <c r="A20" s="1670">
        <v>2.0099999999999998</v>
      </c>
      <c r="B20" s="1674" t="s">
        <v>28</v>
      </c>
      <c r="C20" s="1678" t="s">
        <v>1756</v>
      </c>
      <c r="D20" s="1679" t="s">
        <v>66</v>
      </c>
      <c r="E20" s="1537">
        <f>+'H°A° '!H69</f>
        <v>1266</v>
      </c>
      <c r="F20" s="1531">
        <f>+Tareas!H66</f>
        <v>0</v>
      </c>
      <c r="G20" s="1531">
        <f>+Tareas!I66</f>
        <v>0</v>
      </c>
      <c r="H20" s="1532">
        <f t="shared" ref="H20:H22" si="53">F20+G20</f>
        <v>0</v>
      </c>
      <c r="I20" s="1531">
        <f>+Tareas!Q66</f>
        <v>18399.999999999996</v>
      </c>
      <c r="J20" s="1531">
        <f>+Tareas!R66</f>
        <v>7809.6200401747619</v>
      </c>
      <c r="K20" s="1532">
        <f t="shared" ref="K20:K22" si="54">I20+J20</f>
        <v>26209.620040174759</v>
      </c>
      <c r="L20" s="1531">
        <f>+J20*0.015</f>
        <v>117.14430060262143</v>
      </c>
      <c r="M20" s="1532">
        <f t="shared" ref="M20:M22" si="55">H20+K20+L20</f>
        <v>26326.764340777379</v>
      </c>
      <c r="N20" s="1533">
        <f t="shared" ref="N20:N22" si="56">F20*E20</f>
        <v>0</v>
      </c>
      <c r="O20" s="1533">
        <f t="shared" ref="O20:O22" si="57">G20*E20</f>
        <v>0</v>
      </c>
      <c r="P20" s="1533">
        <f t="shared" ref="P20:P22" si="58">I20*E20</f>
        <v>23294399.999999996</v>
      </c>
      <c r="Q20" s="1533">
        <f t="shared" ref="Q20:Q22" si="59">J20*E20</f>
        <v>9886978.9708612487</v>
      </c>
      <c r="R20" s="1533">
        <f t="shared" ref="R20:R22" si="60">+L20*E20</f>
        <v>148304.68456291873</v>
      </c>
      <c r="S20" s="1534">
        <f t="shared" ref="S20:S22" si="61">SUM(N20:R20)</f>
        <v>33329683.655424163</v>
      </c>
      <c r="T20" s="1535"/>
      <c r="U20" s="1673">
        <f t="shared" ref="U20:U22" si="62">+ROUNDUP(M20*$T$5,0)</f>
        <v>33090</v>
      </c>
      <c r="V20" s="1673">
        <f t="shared" ref="V20:V22" si="63">+U20*E20</f>
        <v>41891940</v>
      </c>
      <c r="X20" s="1664"/>
    </row>
    <row r="21" spans="1:30" ht="21" outlineLevel="1">
      <c r="A21" s="1670">
        <v>2.02</v>
      </c>
      <c r="B21" s="1529" t="s">
        <v>28</v>
      </c>
      <c r="C21" s="1550" t="s">
        <v>2510</v>
      </c>
      <c r="D21" s="1671" t="s">
        <v>54</v>
      </c>
      <c r="E21" s="1537">
        <v>0</v>
      </c>
      <c r="F21" s="1537"/>
      <c r="G21" s="1537"/>
      <c r="H21" s="1532">
        <f>F21+G21</f>
        <v>0</v>
      </c>
      <c r="I21" s="1537"/>
      <c r="J21" s="1537"/>
      <c r="K21" s="1532">
        <f t="shared" ref="K21" si="64">I21+J21</f>
        <v>0</v>
      </c>
      <c r="L21" s="1551"/>
      <c r="M21" s="1532">
        <f t="shared" ref="M21" si="65">H21+K21+L21</f>
        <v>0</v>
      </c>
      <c r="N21" s="1533">
        <f t="shared" ref="N21" si="66">F21*E21</f>
        <v>0</v>
      </c>
      <c r="O21" s="1533">
        <f t="shared" ref="O21" si="67">G21*E21</f>
        <v>0</v>
      </c>
      <c r="P21" s="1533">
        <f t="shared" ref="P21" si="68">I21*E21</f>
        <v>0</v>
      </c>
      <c r="Q21" s="1533">
        <f t="shared" ref="Q21" si="69">J21*E21</f>
        <v>0</v>
      </c>
      <c r="R21" s="1533">
        <f t="shared" ref="R21" si="70">+L21*E21</f>
        <v>0</v>
      </c>
      <c r="S21" s="1534">
        <f t="shared" ref="S21" si="71">SUM(N21:R21)</f>
        <v>0</v>
      </c>
      <c r="T21" s="1535"/>
      <c r="U21" s="1673">
        <f>+ROUNDUP(M21*$T$5,0)</f>
        <v>0</v>
      </c>
      <c r="V21" s="1673">
        <f>+U21*E21</f>
        <v>0</v>
      </c>
      <c r="X21" s="1664"/>
    </row>
    <row r="22" spans="1:30" ht="21" outlineLevel="1">
      <c r="A22" s="1670">
        <v>2.0299999999999998</v>
      </c>
      <c r="B22" s="1674" t="s">
        <v>28</v>
      </c>
      <c r="C22" s="1678" t="s">
        <v>1811</v>
      </c>
      <c r="D22" s="1679" t="s">
        <v>66</v>
      </c>
      <c r="E22" s="1537">
        <f>+'H°A° '!H87</f>
        <v>2</v>
      </c>
      <c r="F22" s="1531"/>
      <c r="G22" s="1531"/>
      <c r="H22" s="1532">
        <f t="shared" si="53"/>
        <v>0</v>
      </c>
      <c r="I22" s="1539"/>
      <c r="J22" s="1539">
        <f>+'P.MO 09.24'!B7</f>
        <v>49934.237226571968</v>
      </c>
      <c r="K22" s="1532">
        <f t="shared" si="54"/>
        <v>49934.237226571968</v>
      </c>
      <c r="L22" s="1531"/>
      <c r="M22" s="1532">
        <f t="shared" si="55"/>
        <v>49934.237226571968</v>
      </c>
      <c r="N22" s="1533">
        <f t="shared" si="56"/>
        <v>0</v>
      </c>
      <c r="O22" s="1533">
        <f t="shared" si="57"/>
        <v>0</v>
      </c>
      <c r="P22" s="1533">
        <f t="shared" si="58"/>
        <v>0</v>
      </c>
      <c r="Q22" s="1533">
        <f t="shared" si="59"/>
        <v>99868.474453143936</v>
      </c>
      <c r="R22" s="1533">
        <f t="shared" si="60"/>
        <v>0</v>
      </c>
      <c r="S22" s="1534">
        <f t="shared" si="61"/>
        <v>99868.474453143936</v>
      </c>
      <c r="T22" s="1535"/>
      <c r="U22" s="1673">
        <f t="shared" si="62"/>
        <v>62762</v>
      </c>
      <c r="V22" s="1673">
        <f t="shared" si="63"/>
        <v>125524</v>
      </c>
      <c r="X22" s="1664"/>
      <c r="AB22" s="1645" t="s">
        <v>66</v>
      </c>
      <c r="AC22" s="1648"/>
    </row>
    <row r="23" spans="1:30" ht="10.5">
      <c r="A23" s="1512">
        <v>3</v>
      </c>
      <c r="B23" s="1513"/>
      <c r="C23" s="1517" t="s">
        <v>68</v>
      </c>
      <c r="D23" s="1518"/>
      <c r="E23" s="1519"/>
      <c r="F23" s="1519"/>
      <c r="G23" s="1519"/>
      <c r="H23" s="1519"/>
      <c r="I23" s="1519"/>
      <c r="J23" s="1519"/>
      <c r="K23" s="1519"/>
      <c r="L23" s="1519"/>
      <c r="M23" s="1520"/>
      <c r="N23" s="1552"/>
      <c r="O23" s="1519"/>
      <c r="P23" s="1519"/>
      <c r="Q23" s="1519"/>
      <c r="R23" s="1519"/>
      <c r="S23" s="1519"/>
      <c r="T23" s="1521">
        <f>SUM(S24:S40)</f>
        <v>201347587.51471001</v>
      </c>
      <c r="U23" s="1519"/>
      <c r="V23" s="1519"/>
      <c r="W23" s="1522">
        <f>SUM(V24:V40)</f>
        <v>253070783</v>
      </c>
      <c r="X23" s="1664">
        <f>+W23/$W$216</f>
        <v>0.2244723823849496</v>
      </c>
      <c r="Y23" s="1648">
        <f>+W23</f>
        <v>253070783</v>
      </c>
      <c r="AA23" s="1680">
        <f>+SUM(P24:Q39)+Q20</f>
        <v>158593535.06041524</v>
      </c>
      <c r="AB23" s="1654"/>
      <c r="AC23" s="1648"/>
    </row>
    <row r="24" spans="1:30" ht="10.5" outlineLevel="1">
      <c r="A24" s="1670">
        <v>3.01</v>
      </c>
      <c r="B24" s="1674" t="s">
        <v>28</v>
      </c>
      <c r="C24" s="1553" t="s">
        <v>69</v>
      </c>
      <c r="D24" s="1536" t="s">
        <v>66</v>
      </c>
      <c r="E24" s="1537">
        <f>+'H°A° '!E93</f>
        <v>35</v>
      </c>
      <c r="F24" s="1539">
        <f>+Cotizaciones!D23+Cotizaciones!D27</f>
        <v>120430</v>
      </c>
      <c r="G24" s="1681">
        <f>+Cotizaciones!D26*5/'01'!E24</f>
        <v>76142.857142857145</v>
      </c>
      <c r="H24" s="1532">
        <f t="shared" ref="H24:H40" si="72">F24+G24</f>
        <v>196572.85714285716</v>
      </c>
      <c r="I24" s="1539"/>
      <c r="J24" s="1539">
        <f>+'P.MO 09.24'!B7</f>
        <v>49934.237226571968</v>
      </c>
      <c r="K24" s="1532">
        <f t="shared" ref="K24:K40" si="73">I24+J24</f>
        <v>49934.237226571968</v>
      </c>
      <c r="L24" s="1531">
        <f t="shared" ref="L24:L35" si="74">+(H24+K24)*0.015</f>
        <v>3697.6064155414369</v>
      </c>
      <c r="M24" s="1532">
        <f t="shared" ref="M24:M25" si="75">H24+K24+L24</f>
        <v>250204.70078497057</v>
      </c>
      <c r="N24" s="1533">
        <f t="shared" ref="N24:N25" si="76">F24*E24</f>
        <v>4215050</v>
      </c>
      <c r="O24" s="1533">
        <f t="shared" ref="O24:O25" si="77">G24*E24</f>
        <v>2665000</v>
      </c>
      <c r="P24" s="1533">
        <f t="shared" ref="P24:P25" si="78">I24*E24</f>
        <v>0</v>
      </c>
      <c r="Q24" s="1533">
        <f t="shared" ref="Q24:Q25" si="79">J24*E24</f>
        <v>1747698.3029300189</v>
      </c>
      <c r="R24" s="1533">
        <f t="shared" ref="R24:R25" si="80">+L24*E24</f>
        <v>129416.22454395029</v>
      </c>
      <c r="S24" s="1534">
        <f t="shared" ref="S24:S25" si="81">SUM(N24:R24)</f>
        <v>8757164.5274739694</v>
      </c>
      <c r="T24" s="1535"/>
      <c r="U24" s="1673">
        <f t="shared" ref="U24:U25" si="82">+ROUNDUP(M24*$T$5,0)</f>
        <v>314478</v>
      </c>
      <c r="V24" s="1673">
        <f t="shared" ref="V24:V25" si="83">+U24*E24</f>
        <v>11006730</v>
      </c>
      <c r="X24" s="1664"/>
      <c r="Z24" s="1682" t="s">
        <v>2358</v>
      </c>
      <c r="AA24" s="1680">
        <f>+AA23/Z25</f>
        <v>105729023.37361015</v>
      </c>
      <c r="AB24" s="1654">
        <v>607</v>
      </c>
      <c r="AC24" s="1648">
        <f>+AA24/AB24</f>
        <v>174182.90506360817</v>
      </c>
      <c r="AD24" s="1683">
        <f>+AC24/AC26</f>
        <v>0.76640478227987596</v>
      </c>
    </row>
    <row r="25" spans="1:30" ht="21" outlineLevel="1">
      <c r="A25" s="1670">
        <v>3.02</v>
      </c>
      <c r="B25" s="1674" t="s">
        <v>28</v>
      </c>
      <c r="C25" s="1553" t="s">
        <v>1813</v>
      </c>
      <c r="D25" s="1536" t="s">
        <v>66</v>
      </c>
      <c r="E25" s="1537">
        <f>+'H°A° '!M5</f>
        <v>40</v>
      </c>
      <c r="F25" s="1539">
        <f>+'H°A° '!F47</f>
        <v>70843.445714285714</v>
      </c>
      <c r="G25" s="1681"/>
      <c r="H25" s="1532">
        <f t="shared" si="72"/>
        <v>70843.445714285714</v>
      </c>
      <c r="I25" s="1539">
        <f>+'MO HA AING'!D72</f>
        <v>307690.19241546135</v>
      </c>
      <c r="J25" s="1539"/>
      <c r="K25" s="1532">
        <f t="shared" si="73"/>
        <v>307690.19241546135</v>
      </c>
      <c r="L25" s="1531">
        <f t="shared" si="74"/>
        <v>5678.0045719462059</v>
      </c>
      <c r="M25" s="1532">
        <f t="shared" si="75"/>
        <v>384211.64270169329</v>
      </c>
      <c r="N25" s="1533">
        <f t="shared" si="76"/>
        <v>2833737.8285714285</v>
      </c>
      <c r="O25" s="1533">
        <f t="shared" si="77"/>
        <v>0</v>
      </c>
      <c r="P25" s="1533">
        <f t="shared" si="78"/>
        <v>12307607.696618455</v>
      </c>
      <c r="Q25" s="1533">
        <f t="shared" si="79"/>
        <v>0</v>
      </c>
      <c r="R25" s="1533">
        <f t="shared" si="80"/>
        <v>227120.18287784824</v>
      </c>
      <c r="S25" s="1534">
        <f t="shared" si="81"/>
        <v>15368465.708067732</v>
      </c>
      <c r="T25" s="1535"/>
      <c r="U25" s="1673">
        <f t="shared" si="82"/>
        <v>482909</v>
      </c>
      <c r="V25" s="1673">
        <f t="shared" si="83"/>
        <v>19316360</v>
      </c>
      <c r="X25" s="1664"/>
      <c r="Z25" s="1682">
        <v>1.5</v>
      </c>
      <c r="AB25" s="1654"/>
      <c r="AC25" s="1648"/>
    </row>
    <row r="26" spans="1:30" ht="21" outlineLevel="1">
      <c r="A26" s="1670">
        <v>3.03</v>
      </c>
      <c r="B26" s="1674" t="s">
        <v>28</v>
      </c>
      <c r="C26" s="1553" t="s">
        <v>1814</v>
      </c>
      <c r="D26" s="1536" t="s">
        <v>66</v>
      </c>
      <c r="E26" s="1537">
        <f>+'H°A° '!M7</f>
        <v>28</v>
      </c>
      <c r="F26" s="1539">
        <f>+'H°A° '!F46</f>
        <v>55068.821745306559</v>
      </c>
      <c r="G26" s="1681"/>
      <c r="H26" s="1532">
        <f t="shared" ref="H26" si="84">F26+G26</f>
        <v>55068.821745306559</v>
      </c>
      <c r="I26" s="1539">
        <f>+'MO HA AING'!C6</f>
        <v>253994.14283025966</v>
      </c>
      <c r="J26" s="1539"/>
      <c r="K26" s="1532">
        <f t="shared" ref="K26" si="85">I26+J26</f>
        <v>253994.14283025966</v>
      </c>
      <c r="L26" s="1531">
        <f t="shared" si="74"/>
        <v>4635.9444686334937</v>
      </c>
      <c r="M26" s="1532">
        <f t="shared" ref="M26" si="86">H26+K26+L26</f>
        <v>313698.90904419974</v>
      </c>
      <c r="N26" s="1533">
        <f t="shared" ref="N26" si="87">F26*E26</f>
        <v>1541927.0088685837</v>
      </c>
      <c r="O26" s="1533">
        <f t="shared" ref="O26" si="88">G26*E26</f>
        <v>0</v>
      </c>
      <c r="P26" s="1533">
        <f t="shared" ref="P26" si="89">I26*E26</f>
        <v>7111835.9992472706</v>
      </c>
      <c r="Q26" s="1533">
        <f t="shared" ref="Q26" si="90">J26*E26</f>
        <v>0</v>
      </c>
      <c r="R26" s="1533">
        <f t="shared" ref="R26" si="91">+L26*E26</f>
        <v>129806.44512173782</v>
      </c>
      <c r="S26" s="1534">
        <f t="shared" ref="S26" si="92">SUM(N26:R26)</f>
        <v>8783569.4532375913</v>
      </c>
      <c r="T26" s="1535"/>
      <c r="U26" s="1673">
        <f t="shared" ref="U26" si="93">+ROUNDUP(M26*$T$5,0)</f>
        <v>394283</v>
      </c>
      <c r="V26" s="1673">
        <f t="shared" ref="V26" si="94">+U26*E26</f>
        <v>11039924</v>
      </c>
      <c r="X26" s="1664"/>
      <c r="Z26" s="1682" t="s">
        <v>2357</v>
      </c>
      <c r="AA26" s="1680">
        <v>75000000</v>
      </c>
      <c r="AB26" s="1654">
        <v>330</v>
      </c>
      <c r="AC26" s="1648">
        <f>+AA26/AB26</f>
        <v>227272.72727272726</v>
      </c>
    </row>
    <row r="27" spans="1:30" ht="10.5" outlineLevel="1">
      <c r="A27" s="1670">
        <v>3.04</v>
      </c>
      <c r="B27" s="1674" t="s">
        <v>28</v>
      </c>
      <c r="C27" s="1553" t="s">
        <v>1815</v>
      </c>
      <c r="D27" s="1536" t="s">
        <v>66</v>
      </c>
      <c r="E27" s="1537">
        <f>+'H°A° '!M6</f>
        <v>179</v>
      </c>
      <c r="F27" s="1539">
        <f>+'H°A° '!F50</f>
        <v>2471.4097794822628</v>
      </c>
      <c r="G27" s="1681"/>
      <c r="H27" s="1532">
        <f t="shared" si="72"/>
        <v>2471.4097794822628</v>
      </c>
      <c r="I27" s="1554">
        <f>+'MO HA AING'!C5*0.85</f>
        <v>148967.56476994729</v>
      </c>
      <c r="J27" s="1539"/>
      <c r="K27" s="1532">
        <f t="shared" si="73"/>
        <v>148967.56476994729</v>
      </c>
      <c r="L27" s="1531">
        <f t="shared" si="74"/>
        <v>2271.584618241443</v>
      </c>
      <c r="M27" s="1532">
        <f t="shared" ref="M27:M34" si="95">H27+K27+L27</f>
        <v>153710.55916767099</v>
      </c>
      <c r="N27" s="1533">
        <f t="shared" ref="N27:N34" si="96">F27*E27</f>
        <v>442382.35052732506</v>
      </c>
      <c r="O27" s="1533">
        <f t="shared" ref="O27:O34" si="97">G27*E27</f>
        <v>0</v>
      </c>
      <c r="P27" s="1533">
        <f t="shared" ref="P27:P34" si="98">I27*E27</f>
        <v>26665194.093820564</v>
      </c>
      <c r="Q27" s="1533">
        <f t="shared" ref="Q27:Q34" si="99">J27*E27</f>
        <v>0</v>
      </c>
      <c r="R27" s="1533">
        <f t="shared" ref="R27:R34" si="100">+L27*E27</f>
        <v>406613.64666521829</v>
      </c>
      <c r="S27" s="1534">
        <f t="shared" ref="S27:S34" si="101">SUM(N27:R27)</f>
        <v>27514190.091013107</v>
      </c>
      <c r="T27" s="1535"/>
      <c r="U27" s="1673">
        <f t="shared" ref="U27:U34" si="102">+ROUNDUP(M27*$T$5,0)</f>
        <v>193197</v>
      </c>
      <c r="V27" s="1673">
        <f t="shared" ref="V27:V34" si="103">+U27*E27</f>
        <v>34582263</v>
      </c>
      <c r="X27" s="1664"/>
    </row>
    <row r="28" spans="1:30" ht="10.5" outlineLevel="1">
      <c r="A28" s="1670">
        <v>3.05</v>
      </c>
      <c r="B28" s="1674" t="s">
        <v>28</v>
      </c>
      <c r="C28" s="1553" t="s">
        <v>1816</v>
      </c>
      <c r="D28" s="1536" t="s">
        <v>66</v>
      </c>
      <c r="E28" s="1537">
        <f>+'H°A° '!M4</f>
        <v>10</v>
      </c>
      <c r="F28" s="1539">
        <f>+'H°A° '!F52</f>
        <v>40150.005369127517</v>
      </c>
      <c r="G28" s="1681"/>
      <c r="H28" s="1532">
        <f t="shared" si="72"/>
        <v>40150.005369127517</v>
      </c>
      <c r="I28" s="1539">
        <f>+'MO HA AING'!D123</f>
        <v>191068.28444151493</v>
      </c>
      <c r="J28" s="1554">
        <f>+I28*0.5</f>
        <v>95534.142220757465</v>
      </c>
      <c r="K28" s="1532">
        <f t="shared" si="73"/>
        <v>286602.42666227242</v>
      </c>
      <c r="L28" s="1531">
        <f t="shared" si="74"/>
        <v>4901.2864804709989</v>
      </c>
      <c r="M28" s="1532">
        <f t="shared" si="95"/>
        <v>331653.71851187095</v>
      </c>
      <c r="N28" s="1533">
        <f t="shared" si="96"/>
        <v>401500.05369127518</v>
      </c>
      <c r="O28" s="1533">
        <f t="shared" si="97"/>
        <v>0</v>
      </c>
      <c r="P28" s="1533">
        <f t="shared" si="98"/>
        <v>1910682.8444151492</v>
      </c>
      <c r="Q28" s="1533">
        <f t="shared" si="99"/>
        <v>955341.42220757459</v>
      </c>
      <c r="R28" s="1533">
        <f t="shared" si="100"/>
        <v>49012.864804709985</v>
      </c>
      <c r="S28" s="1534">
        <f t="shared" si="101"/>
        <v>3316537.1851187083</v>
      </c>
      <c r="T28" s="1535"/>
      <c r="U28" s="1673">
        <f t="shared" si="102"/>
        <v>416850</v>
      </c>
      <c r="V28" s="1673">
        <f t="shared" si="103"/>
        <v>4168500</v>
      </c>
      <c r="X28" s="1664"/>
    </row>
    <row r="29" spans="1:30" ht="10.5" outlineLevel="1">
      <c r="A29" s="1670">
        <v>3.06</v>
      </c>
      <c r="B29" s="1529" t="s">
        <v>28</v>
      </c>
      <c r="C29" s="1530" t="s">
        <v>70</v>
      </c>
      <c r="D29" s="1679" t="s">
        <v>66</v>
      </c>
      <c r="E29" s="1672">
        <f>+'H°A° '!M8</f>
        <v>177</v>
      </c>
      <c r="F29" s="1539">
        <f>+'H°A° '!F51</f>
        <v>32975.501438159154</v>
      </c>
      <c r="G29" s="1539"/>
      <c r="H29" s="1532">
        <f t="shared" si="72"/>
        <v>32975.501438159154</v>
      </c>
      <c r="I29" s="1539">
        <f>+'MO HA AING'!D123</f>
        <v>191068.28444151493</v>
      </c>
      <c r="J29" s="1539"/>
      <c r="K29" s="1532">
        <f t="shared" si="73"/>
        <v>191068.28444151493</v>
      </c>
      <c r="L29" s="1531">
        <f t="shared" si="74"/>
        <v>3360.6567881951109</v>
      </c>
      <c r="M29" s="1532">
        <f t="shared" si="95"/>
        <v>227404.44266786918</v>
      </c>
      <c r="N29" s="1533">
        <f t="shared" si="96"/>
        <v>5836663.7545541702</v>
      </c>
      <c r="O29" s="1533">
        <f t="shared" si="97"/>
        <v>0</v>
      </c>
      <c r="P29" s="1533">
        <f t="shared" si="98"/>
        <v>33819086.346148141</v>
      </c>
      <c r="Q29" s="1533">
        <f t="shared" si="99"/>
        <v>0</v>
      </c>
      <c r="R29" s="1533">
        <f t="shared" si="100"/>
        <v>594836.25151053467</v>
      </c>
      <c r="S29" s="1534">
        <f t="shared" si="101"/>
        <v>40250586.352212846</v>
      </c>
      <c r="T29" s="1535"/>
      <c r="U29" s="1673">
        <f t="shared" si="102"/>
        <v>285821</v>
      </c>
      <c r="V29" s="1673">
        <f t="shared" si="103"/>
        <v>50590317</v>
      </c>
      <c r="X29" s="1664"/>
    </row>
    <row r="30" spans="1:30" ht="10.5" outlineLevel="1">
      <c r="A30" s="1670">
        <v>3.07</v>
      </c>
      <c r="B30" s="1529" t="s">
        <v>28</v>
      </c>
      <c r="C30" s="1530" t="s">
        <v>71</v>
      </c>
      <c r="D30" s="1679" t="s">
        <v>66</v>
      </c>
      <c r="E30" s="1672">
        <f>+'H°A° '!M9</f>
        <v>65</v>
      </c>
      <c r="F30" s="1539">
        <f>+'H°A° '!F53</f>
        <v>94228.958133589011</v>
      </c>
      <c r="G30" s="1539"/>
      <c r="H30" s="1532">
        <f t="shared" si="72"/>
        <v>94228.958133589011</v>
      </c>
      <c r="I30" s="1539">
        <f>+'MO HA AING'!D99</f>
        <v>462949.29028534138</v>
      </c>
      <c r="J30" s="1539"/>
      <c r="K30" s="1532">
        <f t="shared" si="73"/>
        <v>462949.29028534138</v>
      </c>
      <c r="L30" s="1531">
        <f t="shared" si="74"/>
        <v>8357.6737262839561</v>
      </c>
      <c r="M30" s="1532">
        <f t="shared" si="95"/>
        <v>565535.9221452144</v>
      </c>
      <c r="N30" s="1533">
        <f t="shared" si="96"/>
        <v>6124882.2786832862</v>
      </c>
      <c r="O30" s="1533">
        <f t="shared" si="97"/>
        <v>0</v>
      </c>
      <c r="P30" s="1533">
        <f t="shared" si="98"/>
        <v>30091703.86854719</v>
      </c>
      <c r="Q30" s="1533">
        <f t="shared" si="99"/>
        <v>0</v>
      </c>
      <c r="R30" s="1533">
        <f t="shared" si="100"/>
        <v>543248.79220845713</v>
      </c>
      <c r="S30" s="1534">
        <f t="shared" si="101"/>
        <v>36759834.939438932</v>
      </c>
      <c r="T30" s="1535"/>
      <c r="U30" s="1673">
        <f t="shared" si="102"/>
        <v>710813</v>
      </c>
      <c r="V30" s="1673">
        <f t="shared" si="103"/>
        <v>46202845</v>
      </c>
      <c r="X30" s="1664"/>
    </row>
    <row r="31" spans="1:30" ht="10.5" outlineLevel="1">
      <c r="A31" s="1670">
        <v>3.08</v>
      </c>
      <c r="B31" s="1529" t="s">
        <v>28</v>
      </c>
      <c r="C31" s="1530" t="s">
        <v>1762</v>
      </c>
      <c r="D31" s="1679" t="s">
        <v>66</v>
      </c>
      <c r="E31" s="1672">
        <f>+'H°A° '!M13</f>
        <v>12</v>
      </c>
      <c r="F31" s="1539">
        <f>+'H°A° '!F54</f>
        <v>92072.316554809833</v>
      </c>
      <c r="G31" s="1539"/>
      <c r="H31" s="1532">
        <f t="shared" si="72"/>
        <v>92072.316554809833</v>
      </c>
      <c r="I31" s="1539">
        <f>+'MO HA AING'!D99</f>
        <v>462949.29028534138</v>
      </c>
      <c r="J31" s="1554">
        <f>+I31*0.2</f>
        <v>92589.858057068283</v>
      </c>
      <c r="K31" s="1532">
        <f t="shared" si="73"/>
        <v>555539.14834240964</v>
      </c>
      <c r="L31" s="1531">
        <f t="shared" si="74"/>
        <v>9714.1719734582912</v>
      </c>
      <c r="M31" s="1532">
        <f t="shared" si="95"/>
        <v>657325.6368706777</v>
      </c>
      <c r="N31" s="1533">
        <f t="shared" si="96"/>
        <v>1104867.7986577181</v>
      </c>
      <c r="O31" s="1533">
        <f t="shared" si="97"/>
        <v>0</v>
      </c>
      <c r="P31" s="1533">
        <f t="shared" si="98"/>
        <v>5555391.4834240964</v>
      </c>
      <c r="Q31" s="1533">
        <f t="shared" si="99"/>
        <v>1111078.2966848193</v>
      </c>
      <c r="R31" s="1533">
        <f t="shared" si="100"/>
        <v>116570.06368149949</v>
      </c>
      <c r="S31" s="1534">
        <f t="shared" si="101"/>
        <v>7887907.6424481329</v>
      </c>
      <c r="T31" s="1535"/>
      <c r="U31" s="1673">
        <f t="shared" si="102"/>
        <v>826182</v>
      </c>
      <c r="V31" s="1673">
        <f t="shared" si="103"/>
        <v>9914184</v>
      </c>
      <c r="X31" s="1664"/>
    </row>
    <row r="32" spans="1:30" ht="10.5" outlineLevel="1">
      <c r="A32" s="1670">
        <v>3.09</v>
      </c>
      <c r="B32" s="1529" t="s">
        <v>28</v>
      </c>
      <c r="C32" s="1530" t="s">
        <v>72</v>
      </c>
      <c r="D32" s="1679" t="s">
        <v>66</v>
      </c>
      <c r="E32" s="1672">
        <f>+'H°A° '!M10</f>
        <v>28</v>
      </c>
      <c r="F32" s="1539">
        <f>+'H°A° '!F55</f>
        <v>70843.445714285714</v>
      </c>
      <c r="G32" s="1539"/>
      <c r="H32" s="1532">
        <f t="shared" si="72"/>
        <v>70843.445714285714</v>
      </c>
      <c r="I32" s="1539">
        <f>+'MO HA AING'!D72</f>
        <v>307690.19241546135</v>
      </c>
      <c r="J32" s="1539"/>
      <c r="K32" s="1532">
        <f t="shared" si="73"/>
        <v>307690.19241546135</v>
      </c>
      <c r="L32" s="1531">
        <f t="shared" si="74"/>
        <v>5678.0045719462059</v>
      </c>
      <c r="M32" s="1532">
        <f t="shared" si="95"/>
        <v>384211.64270169329</v>
      </c>
      <c r="N32" s="1533">
        <f t="shared" si="96"/>
        <v>1983616.48</v>
      </c>
      <c r="O32" s="1533">
        <f t="shared" si="97"/>
        <v>0</v>
      </c>
      <c r="P32" s="1533">
        <f t="shared" si="98"/>
        <v>8615325.3876329176</v>
      </c>
      <c r="Q32" s="1533">
        <f t="shared" si="99"/>
        <v>0</v>
      </c>
      <c r="R32" s="1533">
        <f t="shared" si="100"/>
        <v>158984.12801449376</v>
      </c>
      <c r="S32" s="1534">
        <f t="shared" si="101"/>
        <v>10757925.995647412</v>
      </c>
      <c r="T32" s="1535"/>
      <c r="U32" s="1673">
        <f t="shared" si="102"/>
        <v>482909</v>
      </c>
      <c r="V32" s="1673">
        <f t="shared" si="103"/>
        <v>13521452</v>
      </c>
      <c r="X32" s="1664"/>
    </row>
    <row r="33" spans="1:28" ht="10.5" outlineLevel="1">
      <c r="A33" s="1670">
        <v>3.1</v>
      </c>
      <c r="B33" s="1529" t="s">
        <v>28</v>
      </c>
      <c r="C33" s="1530" t="s">
        <v>73</v>
      </c>
      <c r="D33" s="1679" t="s">
        <v>66</v>
      </c>
      <c r="E33" s="1672">
        <f>+'H°A° '!M11</f>
        <v>54</v>
      </c>
      <c r="F33" s="1539">
        <f>+'H°A° '!F57</f>
        <v>60951.378715244486</v>
      </c>
      <c r="G33" s="1539"/>
      <c r="H33" s="1532">
        <f t="shared" si="72"/>
        <v>60951.378715244486</v>
      </c>
      <c r="I33" s="1539">
        <f>+'MO HA AING'!D47</f>
        <v>273658.44999334484</v>
      </c>
      <c r="J33" s="1539"/>
      <c r="K33" s="1532">
        <f t="shared" si="73"/>
        <v>273658.44999334484</v>
      </c>
      <c r="L33" s="1531">
        <f t="shared" si="74"/>
        <v>5019.1474306288392</v>
      </c>
      <c r="M33" s="1532">
        <f t="shared" si="95"/>
        <v>339628.97613921814</v>
      </c>
      <c r="N33" s="1533">
        <f t="shared" si="96"/>
        <v>3291374.4506232021</v>
      </c>
      <c r="O33" s="1533">
        <f t="shared" si="97"/>
        <v>0</v>
      </c>
      <c r="P33" s="1533">
        <f t="shared" si="98"/>
        <v>14777556.299640622</v>
      </c>
      <c r="Q33" s="1533">
        <f t="shared" si="99"/>
        <v>0</v>
      </c>
      <c r="R33" s="1533">
        <f t="shared" si="100"/>
        <v>271033.9612539573</v>
      </c>
      <c r="S33" s="1534">
        <f t="shared" si="101"/>
        <v>18339964.711517781</v>
      </c>
      <c r="T33" s="1535"/>
      <c r="U33" s="1673">
        <f t="shared" si="102"/>
        <v>426874</v>
      </c>
      <c r="V33" s="1673">
        <f t="shared" si="103"/>
        <v>23051196</v>
      </c>
      <c r="X33" s="1664"/>
    </row>
    <row r="34" spans="1:28" ht="10.5" outlineLevel="1">
      <c r="A34" s="1670">
        <v>3.11</v>
      </c>
      <c r="B34" s="1529" t="s">
        <v>28</v>
      </c>
      <c r="C34" s="1530" t="s">
        <v>74</v>
      </c>
      <c r="D34" s="1679" t="s">
        <v>66</v>
      </c>
      <c r="E34" s="1672">
        <f>+'H°A° '!M12</f>
        <v>11</v>
      </c>
      <c r="F34" s="1539">
        <f>+'H°A° '!F60</f>
        <v>68185.041030872468</v>
      </c>
      <c r="G34" s="1539"/>
      <c r="H34" s="1532">
        <f t="shared" si="72"/>
        <v>68185.041030872468</v>
      </c>
      <c r="I34" s="1539">
        <f>+'MO HA AING'!D148</f>
        <v>283180.31554461533</v>
      </c>
      <c r="J34" s="1539"/>
      <c r="K34" s="1532">
        <f t="shared" si="73"/>
        <v>283180.31554461533</v>
      </c>
      <c r="L34" s="1531">
        <f t="shared" si="74"/>
        <v>5270.4803486323162</v>
      </c>
      <c r="M34" s="1532">
        <f t="shared" si="95"/>
        <v>356635.83692412009</v>
      </c>
      <c r="N34" s="1533">
        <f t="shared" si="96"/>
        <v>750035.45133959712</v>
      </c>
      <c r="O34" s="1533">
        <f t="shared" si="97"/>
        <v>0</v>
      </c>
      <c r="P34" s="1533">
        <f t="shared" si="98"/>
        <v>3114983.4709907686</v>
      </c>
      <c r="Q34" s="1533">
        <f t="shared" si="99"/>
        <v>0</v>
      </c>
      <c r="R34" s="1533">
        <f t="shared" si="100"/>
        <v>57975.28383495548</v>
      </c>
      <c r="S34" s="1534">
        <f t="shared" si="101"/>
        <v>3922994.2061653212</v>
      </c>
      <c r="T34" s="1535"/>
      <c r="U34" s="1673">
        <f t="shared" si="102"/>
        <v>448250</v>
      </c>
      <c r="V34" s="1673">
        <f t="shared" si="103"/>
        <v>4930750</v>
      </c>
      <c r="X34" s="1664"/>
    </row>
    <row r="35" spans="1:28" ht="21" outlineLevel="1">
      <c r="A35" s="1670">
        <v>3.12</v>
      </c>
      <c r="B35" s="1529" t="s">
        <v>28</v>
      </c>
      <c r="C35" s="1530" t="s">
        <v>1817</v>
      </c>
      <c r="D35" s="1679" t="s">
        <v>66</v>
      </c>
      <c r="E35" s="1672">
        <f>+'H°A° '!M14</f>
        <v>3</v>
      </c>
      <c r="F35" s="1539">
        <f>+'H°A° '!F55</f>
        <v>70843.445714285714</v>
      </c>
      <c r="G35" s="1539"/>
      <c r="H35" s="1532">
        <f t="shared" si="72"/>
        <v>70843.445714285714</v>
      </c>
      <c r="I35" s="1539">
        <f>+'MO HA AING'!D72</f>
        <v>307690.19241546135</v>
      </c>
      <c r="J35" s="1539"/>
      <c r="K35" s="1532">
        <f t="shared" si="73"/>
        <v>307690.19241546135</v>
      </c>
      <c r="L35" s="1531">
        <f t="shared" si="74"/>
        <v>5678.0045719462059</v>
      </c>
      <c r="M35" s="1532">
        <f t="shared" ref="M35" si="104">H35+K35+L35</f>
        <v>384211.64270169329</v>
      </c>
      <c r="N35" s="1533">
        <f t="shared" ref="N35" si="105">F35*E35</f>
        <v>212530.33714285714</v>
      </c>
      <c r="O35" s="1533">
        <f t="shared" ref="O35" si="106">G35*E35</f>
        <v>0</v>
      </c>
      <c r="P35" s="1533">
        <f t="shared" ref="P35" si="107">I35*E35</f>
        <v>923070.577246384</v>
      </c>
      <c r="Q35" s="1533">
        <f t="shared" ref="Q35" si="108">J35*E35</f>
        <v>0</v>
      </c>
      <c r="R35" s="1533">
        <f t="shared" ref="R35" si="109">+L35*E35</f>
        <v>17034.013715838617</v>
      </c>
      <c r="S35" s="1534">
        <f t="shared" ref="S35" si="110">SUM(N35:R35)</f>
        <v>1152634.9281050796</v>
      </c>
      <c r="T35" s="1535"/>
      <c r="U35" s="1673">
        <f t="shared" ref="U35" si="111">+ROUNDUP(M35*$T$5,0)</f>
        <v>482909</v>
      </c>
      <c r="V35" s="1673">
        <f t="shared" ref="V35" si="112">+U35*E35</f>
        <v>1448727</v>
      </c>
      <c r="X35" s="1664"/>
    </row>
    <row r="36" spans="1:28" ht="21" outlineLevel="1">
      <c r="A36" s="1670">
        <v>3.13</v>
      </c>
      <c r="B36" s="1529" t="s">
        <v>28</v>
      </c>
      <c r="C36" s="1530" t="s">
        <v>2511</v>
      </c>
      <c r="D36" s="1679" t="s">
        <v>59</v>
      </c>
      <c r="E36" s="1672">
        <v>240</v>
      </c>
      <c r="F36" s="1539">
        <f>+Cotizaciones!I498</f>
        <v>24772.727272727276</v>
      </c>
      <c r="G36" s="1539"/>
      <c r="H36" s="1532">
        <f t="shared" si="72"/>
        <v>24772.727272727276</v>
      </c>
      <c r="I36" s="1539"/>
      <c r="J36" s="1539"/>
      <c r="K36" s="1532">
        <f t="shared" si="73"/>
        <v>0</v>
      </c>
      <c r="L36" s="1531"/>
      <c r="M36" s="1532">
        <f t="shared" ref="M36:M40" si="113">H36+K36+L36</f>
        <v>24772.727272727276</v>
      </c>
      <c r="N36" s="1533">
        <f t="shared" ref="N36:N40" si="114">F36*E36</f>
        <v>5945454.5454545459</v>
      </c>
      <c r="O36" s="1533">
        <f t="shared" ref="O36:O40" si="115">G36*E36</f>
        <v>0</v>
      </c>
      <c r="P36" s="1533">
        <f t="shared" ref="P36:P40" si="116">I36*E36</f>
        <v>0</v>
      </c>
      <c r="Q36" s="1533">
        <f t="shared" ref="Q36:Q40" si="117">J36*E36</f>
        <v>0</v>
      </c>
      <c r="R36" s="1533">
        <f t="shared" ref="R36:R40" si="118">+L36*E36</f>
        <v>0</v>
      </c>
      <c r="S36" s="1534">
        <f t="shared" ref="S36:S40" si="119">SUM(N36:R36)</f>
        <v>5945454.5454545459</v>
      </c>
      <c r="T36" s="1535"/>
      <c r="U36" s="1673">
        <f t="shared" ref="U36:U40" si="120">+ROUNDUP(M36*$T$5,0)</f>
        <v>31137</v>
      </c>
      <c r="V36" s="1673">
        <f t="shared" ref="V36:V40" si="121">+U36*E36</f>
        <v>7472880</v>
      </c>
      <c r="X36" s="1664"/>
    </row>
    <row r="37" spans="1:28" ht="10.5" outlineLevel="1">
      <c r="A37" s="1670">
        <v>3.14</v>
      </c>
      <c r="B37" s="1529" t="s">
        <v>28</v>
      </c>
      <c r="C37" s="1684" t="s">
        <v>75</v>
      </c>
      <c r="D37" s="1679" t="s">
        <v>54</v>
      </c>
      <c r="E37" s="1537">
        <v>1</v>
      </c>
      <c r="F37" s="1685"/>
      <c r="G37" s="1539"/>
      <c r="H37" s="1532">
        <f t="shared" si="72"/>
        <v>0</v>
      </c>
      <c r="I37" s="1686"/>
      <c r="J37" s="1539"/>
      <c r="K37" s="1532">
        <f t="shared" si="73"/>
        <v>0</v>
      </c>
      <c r="L37" s="1539">
        <f>+'ENCOFRADO '!G148</f>
        <v>8822750</v>
      </c>
      <c r="M37" s="1532">
        <f t="shared" si="113"/>
        <v>8822750</v>
      </c>
      <c r="N37" s="1533">
        <f t="shared" si="114"/>
        <v>0</v>
      </c>
      <c r="O37" s="1533">
        <f t="shared" si="115"/>
        <v>0</v>
      </c>
      <c r="P37" s="1533">
        <f t="shared" si="116"/>
        <v>0</v>
      </c>
      <c r="Q37" s="1533">
        <f t="shared" si="117"/>
        <v>0</v>
      </c>
      <c r="R37" s="1533">
        <f t="shared" si="118"/>
        <v>8822750</v>
      </c>
      <c r="S37" s="1534">
        <f t="shared" si="119"/>
        <v>8822750</v>
      </c>
      <c r="T37" s="1535"/>
      <c r="U37" s="1673">
        <f t="shared" si="120"/>
        <v>11089161</v>
      </c>
      <c r="V37" s="1673">
        <f t="shared" si="121"/>
        <v>11089161</v>
      </c>
      <c r="X37" s="1664"/>
    </row>
    <row r="38" spans="1:28" ht="21" outlineLevel="1">
      <c r="A38" s="1670">
        <v>3.15</v>
      </c>
      <c r="B38" s="1529" t="s">
        <v>28</v>
      </c>
      <c r="C38" s="1684" t="s">
        <v>76</v>
      </c>
      <c r="D38" s="1679" t="s">
        <v>77</v>
      </c>
      <c r="E38" s="1537">
        <f>+'H°A° '!P34</f>
        <v>14</v>
      </c>
      <c r="F38" s="1539">
        <f>+'H°A° '!T40</f>
        <v>123492.85714285714</v>
      </c>
      <c r="G38" s="1537"/>
      <c r="H38" s="1532">
        <f t="shared" si="72"/>
        <v>123492.85714285714</v>
      </c>
      <c r="I38" s="1686"/>
      <c r="J38" s="1537"/>
      <c r="K38" s="1532">
        <f t="shared" si="73"/>
        <v>0</v>
      </c>
      <c r="L38" s="1531"/>
      <c r="M38" s="1532">
        <f t="shared" si="113"/>
        <v>123492.85714285714</v>
      </c>
      <c r="N38" s="1533">
        <f t="shared" si="114"/>
        <v>1728900</v>
      </c>
      <c r="O38" s="1533">
        <f t="shared" si="115"/>
        <v>0</v>
      </c>
      <c r="P38" s="1533">
        <f t="shared" si="116"/>
        <v>0</v>
      </c>
      <c r="Q38" s="1533">
        <f t="shared" si="117"/>
        <v>0</v>
      </c>
      <c r="R38" s="1533">
        <f t="shared" si="118"/>
        <v>0</v>
      </c>
      <c r="S38" s="1534">
        <f t="shared" si="119"/>
        <v>1728900</v>
      </c>
      <c r="T38" s="1535"/>
      <c r="U38" s="1673">
        <f t="shared" si="120"/>
        <v>155217</v>
      </c>
      <c r="V38" s="1673">
        <f t="shared" si="121"/>
        <v>2173038</v>
      </c>
      <c r="X38" s="1664"/>
    </row>
    <row r="39" spans="1:28" ht="21" outlineLevel="1">
      <c r="A39" s="1670">
        <v>3.16</v>
      </c>
      <c r="B39" s="1687" t="s">
        <v>28</v>
      </c>
      <c r="C39" s="1688" t="s">
        <v>1826</v>
      </c>
      <c r="D39" s="1689" t="s">
        <v>54</v>
      </c>
      <c r="E39" s="1690">
        <f>+GGBB!R12</f>
        <v>4</v>
      </c>
      <c r="F39" s="1539">
        <v>55000</v>
      </c>
      <c r="G39" s="1537"/>
      <c r="H39" s="1532">
        <f t="shared" si="72"/>
        <v>55000</v>
      </c>
      <c r="I39" s="1686"/>
      <c r="J39" s="1537"/>
      <c r="K39" s="1532">
        <f t="shared" si="73"/>
        <v>0</v>
      </c>
      <c r="L39" s="1531"/>
      <c r="M39" s="1532">
        <f t="shared" si="113"/>
        <v>55000</v>
      </c>
      <c r="N39" s="1533">
        <f t="shared" si="114"/>
        <v>220000</v>
      </c>
      <c r="O39" s="1533">
        <f t="shared" si="115"/>
        <v>0</v>
      </c>
      <c r="P39" s="1533">
        <f t="shared" si="116"/>
        <v>0</v>
      </c>
      <c r="Q39" s="1533">
        <f t="shared" si="117"/>
        <v>0</v>
      </c>
      <c r="R39" s="1533">
        <f t="shared" si="118"/>
        <v>0</v>
      </c>
      <c r="S39" s="1534">
        <f t="shared" si="119"/>
        <v>220000</v>
      </c>
      <c r="T39" s="1535"/>
      <c r="U39" s="1673">
        <f t="shared" si="120"/>
        <v>69129</v>
      </c>
      <c r="V39" s="1673">
        <f t="shared" si="121"/>
        <v>276516</v>
      </c>
      <c r="X39" s="1664"/>
    </row>
    <row r="40" spans="1:28" ht="31.5" outlineLevel="1">
      <c r="A40" s="1670">
        <v>3.17</v>
      </c>
      <c r="B40" s="1573" t="s">
        <v>28</v>
      </c>
      <c r="C40" s="1542" t="s">
        <v>2512</v>
      </c>
      <c r="D40" s="1676" t="s">
        <v>4</v>
      </c>
      <c r="E40" s="1547">
        <f>+Computo!F53</f>
        <v>93</v>
      </c>
      <c r="F40" s="1546">
        <f>+Tareas!H70</f>
        <v>3440.8602150537636</v>
      </c>
      <c r="G40" s="1546">
        <f>+Tareas!I70</f>
        <v>1612.9032258064517</v>
      </c>
      <c r="H40" s="1544">
        <f t="shared" si="72"/>
        <v>5053.7634408602153</v>
      </c>
      <c r="I40" s="1546">
        <f>+Tareas!Q70</f>
        <v>0</v>
      </c>
      <c r="J40" s="1546">
        <f>+Tareas!R70</f>
        <v>14213.22346320137</v>
      </c>
      <c r="K40" s="1544">
        <f t="shared" si="73"/>
        <v>14213.22346320137</v>
      </c>
      <c r="L40" s="1546">
        <f>+(H40+K40)*0.015</f>
        <v>289.00480356092379</v>
      </c>
      <c r="M40" s="1532">
        <f t="shared" si="113"/>
        <v>19555.99170762251</v>
      </c>
      <c r="N40" s="1533">
        <f t="shared" si="114"/>
        <v>320000</v>
      </c>
      <c r="O40" s="1533">
        <f t="shared" si="115"/>
        <v>150000</v>
      </c>
      <c r="P40" s="1533">
        <f t="shared" si="116"/>
        <v>0</v>
      </c>
      <c r="Q40" s="1533">
        <f t="shared" si="117"/>
        <v>1321829.7820777274</v>
      </c>
      <c r="R40" s="1533">
        <f t="shared" si="118"/>
        <v>26877.446731165914</v>
      </c>
      <c r="S40" s="1534">
        <f t="shared" si="119"/>
        <v>1818707.2288088934</v>
      </c>
      <c r="T40" s="1535"/>
      <c r="U40" s="1673">
        <f t="shared" si="120"/>
        <v>24580</v>
      </c>
      <c r="V40" s="1673">
        <f t="shared" si="121"/>
        <v>2285940</v>
      </c>
      <c r="X40" s="1664"/>
    </row>
    <row r="41" spans="1:28" ht="10.5">
      <c r="A41" s="1512">
        <v>4</v>
      </c>
      <c r="B41" s="1513"/>
      <c r="C41" s="1517" t="s">
        <v>78</v>
      </c>
      <c r="D41" s="1518"/>
      <c r="E41" s="1519"/>
      <c r="F41" s="1519"/>
      <c r="G41" s="1519"/>
      <c r="H41" s="1519"/>
      <c r="I41" s="1519"/>
      <c r="J41" s="1519"/>
      <c r="K41" s="1519"/>
      <c r="L41" s="1519"/>
      <c r="M41" s="1520"/>
      <c r="N41" s="1519"/>
      <c r="O41" s="1519"/>
      <c r="P41" s="1519"/>
      <c r="Q41" s="1519"/>
      <c r="R41" s="1519"/>
      <c r="S41" s="1519"/>
      <c r="T41" s="1521">
        <f>SUM(S42:S49)</f>
        <v>43203971.232858703</v>
      </c>
      <c r="U41" s="1519"/>
      <c r="V41" s="1519"/>
      <c r="W41" s="1522">
        <f>SUM(V42:V49)</f>
        <v>54302889.68</v>
      </c>
      <c r="X41" s="1664">
        <f>+W41/$W$216</f>
        <v>4.8166362281562521E-2</v>
      </c>
      <c r="Y41" s="1648">
        <f>+W41</f>
        <v>54302889.68</v>
      </c>
    </row>
    <row r="42" spans="1:28" s="1693" customFormat="1" ht="21" outlineLevel="1">
      <c r="A42" s="1665">
        <v>4.01</v>
      </c>
      <c r="B42" s="1583" t="s">
        <v>28</v>
      </c>
      <c r="C42" s="1523" t="s">
        <v>2160</v>
      </c>
      <c r="D42" s="1691" t="s">
        <v>4</v>
      </c>
      <c r="E42" s="1524">
        <f>+Mampostería!L3</f>
        <v>819</v>
      </c>
      <c r="F42" s="1557"/>
      <c r="G42" s="1557">
        <f>+'APU 09.24'!E13</f>
        <v>6545.2009385010006</v>
      </c>
      <c r="H42" s="1525">
        <f t="shared" ref="H42:H47" si="122">F42+G42</f>
        <v>6545.2009385010006</v>
      </c>
      <c r="I42" s="1558"/>
      <c r="J42" s="1557">
        <f>+'APU 09.24'!H13</f>
        <v>8336.4856968762633</v>
      </c>
      <c r="K42" s="1525">
        <f t="shared" ref="K42" si="123">I42+J42</f>
        <v>8336.4856968762633</v>
      </c>
      <c r="L42" s="1557">
        <f>+'APU 09.24'!K13</f>
        <v>229.16796425864814</v>
      </c>
      <c r="M42" s="1525">
        <f>H42+K42+L42</f>
        <v>15110.854599635912</v>
      </c>
      <c r="N42" s="1526">
        <f t="shared" ref="N42:N61" si="124">F42*E42</f>
        <v>0</v>
      </c>
      <c r="O42" s="1526">
        <f t="shared" ref="O42" si="125">G42*E42</f>
        <v>5360519.5686323196</v>
      </c>
      <c r="P42" s="1526">
        <f t="shared" ref="P42:P61" si="126">I42*E42</f>
        <v>0</v>
      </c>
      <c r="Q42" s="1526">
        <f t="shared" ref="Q42:Q61" si="127">J42*E42</f>
        <v>6827581.7857416598</v>
      </c>
      <c r="R42" s="1526">
        <f t="shared" ref="R42:R61" si="128">+L42*E42</f>
        <v>187688.56272783282</v>
      </c>
      <c r="S42" s="1527">
        <f t="shared" ref="S42:S61" si="129">SUM(N42:R42)</f>
        <v>12375789.917101813</v>
      </c>
      <c r="T42" s="1487"/>
      <c r="U42" s="1669">
        <f t="shared" ref="U42:U45" si="130">+ROUNDUP(M42*$T$5,0)</f>
        <v>18993</v>
      </c>
      <c r="V42" s="1669">
        <f t="shared" ref="V42:V45" si="131">+U42*E42</f>
        <v>15555267</v>
      </c>
      <c r="W42" s="1498"/>
      <c r="X42" s="1664"/>
      <c r="Y42" s="1692"/>
      <c r="AB42" s="1692"/>
    </row>
    <row r="43" spans="1:28" s="1693" customFormat="1" ht="31.5" outlineLevel="1">
      <c r="A43" s="1670">
        <v>4.0199999999999996</v>
      </c>
      <c r="B43" s="1529" t="s">
        <v>28</v>
      </c>
      <c r="C43" s="1559" t="s">
        <v>2161</v>
      </c>
      <c r="D43" s="1679" t="s">
        <v>4</v>
      </c>
      <c r="E43" s="1537">
        <f>+Mampostería!M3</f>
        <v>612</v>
      </c>
      <c r="F43" s="1560"/>
      <c r="G43" s="1560">
        <f>+'APU 09.24'!E17</f>
        <v>11461.565498830503</v>
      </c>
      <c r="H43" s="1532">
        <f t="shared" si="122"/>
        <v>11461.565498830503</v>
      </c>
      <c r="I43" s="1561"/>
      <c r="J43" s="1560">
        <f>+'APU 09.24'!H17</f>
        <v>8336.4856968762633</v>
      </c>
      <c r="K43" s="1532">
        <f>I43+J43</f>
        <v>8336.4856968762633</v>
      </c>
      <c r="L43" s="1560">
        <f>+'APU 09.24'!K17</f>
        <v>229.16796425864814</v>
      </c>
      <c r="M43" s="1532">
        <f>H43+K43+L43</f>
        <v>20027.219159965414</v>
      </c>
      <c r="N43" s="1533">
        <f>F43*E43</f>
        <v>0</v>
      </c>
      <c r="O43" s="1533">
        <f>G43*E43</f>
        <v>7014478.0852842676</v>
      </c>
      <c r="P43" s="1533">
        <f>I43*E43</f>
        <v>0</v>
      </c>
      <c r="Q43" s="1533">
        <f>J43*E43</f>
        <v>5101929.2464882731</v>
      </c>
      <c r="R43" s="1533">
        <f>+L43*E43</f>
        <v>140250.79412629266</v>
      </c>
      <c r="S43" s="1534">
        <f>SUM(N43:R43)</f>
        <v>12256658.125898832</v>
      </c>
      <c r="T43" s="1487"/>
      <c r="U43" s="1694">
        <f>+ROUNDUP(M43*$T$5,0)</f>
        <v>25172</v>
      </c>
      <c r="V43" s="1673">
        <f>+U43*E43</f>
        <v>15405264</v>
      </c>
      <c r="W43" s="1498"/>
      <c r="X43" s="1664"/>
      <c r="Y43" s="1692"/>
      <c r="AB43" s="1692"/>
    </row>
    <row r="44" spans="1:28" s="1693" customFormat="1" ht="21" outlineLevel="1">
      <c r="A44" s="1670">
        <v>4.03</v>
      </c>
      <c r="B44" s="1529" t="s">
        <v>28</v>
      </c>
      <c r="C44" s="1530" t="s">
        <v>2163</v>
      </c>
      <c r="D44" s="1679" t="s">
        <v>4</v>
      </c>
      <c r="E44" s="1537">
        <f>+Mampostería!N3</f>
        <v>636</v>
      </c>
      <c r="F44" s="1560"/>
      <c r="G44" s="1560">
        <f>+'APU 09.24'!E14</f>
        <v>8229.0499349999991</v>
      </c>
      <c r="H44" s="1532">
        <f t="shared" si="122"/>
        <v>8229.0499349999991</v>
      </c>
      <c r="I44" s="1561"/>
      <c r="J44" s="1560">
        <f>+'APU 09.24'!H14</f>
        <v>8336.4856968762633</v>
      </c>
      <c r="K44" s="1532">
        <f>I44+J44</f>
        <v>8336.4856968762633</v>
      </c>
      <c r="L44" s="1560">
        <f>+'APU 09.24'!K14</f>
        <v>229.16796425864814</v>
      </c>
      <c r="M44" s="1532">
        <f>H44+K44+L44</f>
        <v>16794.703596134914</v>
      </c>
      <c r="N44" s="1533">
        <f>F44*E44</f>
        <v>0</v>
      </c>
      <c r="O44" s="1533">
        <f>G44*E44</f>
        <v>5233675.7586599998</v>
      </c>
      <c r="P44" s="1533">
        <f>I44*E44</f>
        <v>0</v>
      </c>
      <c r="Q44" s="1533">
        <f>J44*E44</f>
        <v>5302004.9032133035</v>
      </c>
      <c r="R44" s="1533">
        <f>+L44*E44</f>
        <v>145750.82526850022</v>
      </c>
      <c r="S44" s="1534">
        <f>SUM(N44:R44)</f>
        <v>10681431.487141803</v>
      </c>
      <c r="T44" s="1487"/>
      <c r="U44" s="1694">
        <f t="shared" si="130"/>
        <v>21109</v>
      </c>
      <c r="V44" s="1673">
        <f t="shared" si="131"/>
        <v>13425324</v>
      </c>
      <c r="W44" s="1498"/>
      <c r="X44" s="1664"/>
      <c r="Y44" s="1692"/>
      <c r="AB44" s="1692"/>
    </row>
    <row r="45" spans="1:28" s="1693" customFormat="1" ht="31.5" outlineLevel="1">
      <c r="A45" s="1670">
        <v>4.04</v>
      </c>
      <c r="B45" s="1529" t="s">
        <v>28</v>
      </c>
      <c r="C45" s="1530" t="s">
        <v>2513</v>
      </c>
      <c r="D45" s="1679" t="s">
        <v>4</v>
      </c>
      <c r="E45" s="1537">
        <f>+Mampostería!P3</f>
        <v>195</v>
      </c>
      <c r="F45" s="1561"/>
      <c r="G45" s="1562">
        <f>+'APU 09.24'!E12/2</f>
        <v>5807.1589693347496</v>
      </c>
      <c r="H45" s="1532">
        <f t="shared" si="122"/>
        <v>5807.1589693347496</v>
      </c>
      <c r="I45" s="1560"/>
      <c r="J45" s="1562">
        <f>+'APU 09.24'!H12/3</f>
        <v>5954.6326406259022</v>
      </c>
      <c r="K45" s="1532">
        <f>I45+J45</f>
        <v>5954.6326406259022</v>
      </c>
      <c r="L45" s="1562">
        <f>+'APU 09.24'!K12/2</f>
        <v>245.5371045628373</v>
      </c>
      <c r="M45" s="1532">
        <f t="shared" ref="M45" si="132">H45+K45+L45</f>
        <v>12007.32871452349</v>
      </c>
      <c r="N45" s="1533">
        <f t="shared" ref="N45" si="133">F45*E45</f>
        <v>0</v>
      </c>
      <c r="O45" s="1533">
        <f t="shared" ref="O45" si="134">G45*E45</f>
        <v>1132395.9990202761</v>
      </c>
      <c r="P45" s="1533">
        <f t="shared" ref="P45" si="135">I45*E45</f>
        <v>0</v>
      </c>
      <c r="Q45" s="1533">
        <f t="shared" ref="Q45" si="136">J45*E45</f>
        <v>1161153.3649220509</v>
      </c>
      <c r="R45" s="1533">
        <f t="shared" ref="R45" si="137">+L45*E45</f>
        <v>47879.735389753274</v>
      </c>
      <c r="S45" s="1534">
        <f t="shared" ref="S45" si="138">SUM(N45:R45)</f>
        <v>2341429.0993320802</v>
      </c>
      <c r="T45" s="1487"/>
      <c r="U45" s="1694">
        <f t="shared" si="130"/>
        <v>15092</v>
      </c>
      <c r="V45" s="1673">
        <f t="shared" si="131"/>
        <v>2942940</v>
      </c>
      <c r="W45" s="1498"/>
      <c r="X45" s="1664"/>
      <c r="Y45" s="1692"/>
      <c r="AB45" s="1692"/>
    </row>
    <row r="46" spans="1:28" s="1693" customFormat="1" ht="21" outlineLevel="1">
      <c r="A46" s="1670">
        <v>4.05</v>
      </c>
      <c r="B46" s="1529" t="s">
        <v>31</v>
      </c>
      <c r="C46" s="1530" t="s">
        <v>2323</v>
      </c>
      <c r="D46" s="1679" t="s">
        <v>4</v>
      </c>
      <c r="E46" s="1537">
        <f>+Computo!H185</f>
        <v>30.053999999999998</v>
      </c>
      <c r="F46" s="1562">
        <f>+G46*0.5</f>
        <v>5807.1589693347496</v>
      </c>
      <c r="G46" s="1560">
        <f>+'APU 09.24'!E12</f>
        <v>11614.317938669499</v>
      </c>
      <c r="H46" s="1532">
        <f t="shared" si="122"/>
        <v>17421.47690800425</v>
      </c>
      <c r="I46" s="1562">
        <f>+J46</f>
        <v>17863.897921877706</v>
      </c>
      <c r="J46" s="1560">
        <f>+'APU 09.24'!H12</f>
        <v>17863.897921877706</v>
      </c>
      <c r="K46" s="1532">
        <f>I46+J46</f>
        <v>35727.795843755412</v>
      </c>
      <c r="L46" s="1560">
        <f>+'APU 09.24'!K12</f>
        <v>491.0742091256746</v>
      </c>
      <c r="M46" s="1532">
        <f t="shared" ref="M46" si="139">H46+K46+L46</f>
        <v>53640.346960885341</v>
      </c>
      <c r="N46" s="1533">
        <f t="shared" ref="N46" si="140">F46*E46</f>
        <v>174528.35566438656</v>
      </c>
      <c r="O46" s="1533">
        <f t="shared" ref="O46" si="141">G46*E46</f>
        <v>349056.71132877312</v>
      </c>
      <c r="P46" s="1533">
        <f t="shared" ref="P46" si="142">I46*E46</f>
        <v>536881.58814411249</v>
      </c>
      <c r="Q46" s="1533">
        <f t="shared" ref="Q46" si="143">J46*E46</f>
        <v>536881.58814411249</v>
      </c>
      <c r="R46" s="1533">
        <f t="shared" ref="R46" si="144">+L46*E46</f>
        <v>14758.744281063024</v>
      </c>
      <c r="S46" s="1534">
        <f t="shared" ref="S46" si="145">SUM(N46:R46)</f>
        <v>1612106.9875624476</v>
      </c>
      <c r="T46" s="1487"/>
      <c r="U46" s="1694">
        <f t="shared" ref="U46" si="146">+ROUNDUP(M46*$T$5,0)</f>
        <v>67420</v>
      </c>
      <c r="V46" s="1673">
        <f t="shared" ref="V46" si="147">+U46*E46</f>
        <v>2026240.68</v>
      </c>
      <c r="W46" s="1498"/>
      <c r="X46" s="1664"/>
      <c r="Y46" s="1692"/>
      <c r="AB46" s="1692"/>
    </row>
    <row r="47" spans="1:28" s="1693" customFormat="1" ht="10.5" outlineLevel="1">
      <c r="A47" s="1670">
        <v>4.0599999999999996</v>
      </c>
      <c r="B47" s="1529" t="s">
        <v>31</v>
      </c>
      <c r="C47" s="1530" t="s">
        <v>2003</v>
      </c>
      <c r="D47" s="1679" t="s">
        <v>4</v>
      </c>
      <c r="E47" s="1537">
        <f>+Mampostería!O3</f>
        <v>24</v>
      </c>
      <c r="F47" s="1562">
        <f>+G47</f>
        <v>14352.049965449041</v>
      </c>
      <c r="G47" s="1560">
        <f>+'APU 09.24'!E62</f>
        <v>14352.049965449041</v>
      </c>
      <c r="H47" s="1532">
        <f t="shared" si="122"/>
        <v>28704.099930898083</v>
      </c>
      <c r="I47" s="1562">
        <f>+J47*0.5</f>
        <v>4894.0750498478674</v>
      </c>
      <c r="J47" s="1560">
        <f>+'APU 09.24'!H62</f>
        <v>9788.1500996957348</v>
      </c>
      <c r="K47" s="1532">
        <f>I47+J47</f>
        <v>14682.225149543603</v>
      </c>
      <c r="L47" s="1560">
        <f>+'APU 09.24'!K62</f>
        <v>298.91473598954104</v>
      </c>
      <c r="M47" s="1532">
        <f t="shared" ref="M47" si="148">H47+K47+L47</f>
        <v>43685.239816431233</v>
      </c>
      <c r="N47" s="1533">
        <f t="shared" ref="N47" si="149">F47*E47</f>
        <v>344449.19917077699</v>
      </c>
      <c r="O47" s="1533">
        <f t="shared" ref="O47" si="150">G47*E47</f>
        <v>344449.19917077699</v>
      </c>
      <c r="P47" s="1533">
        <f t="shared" ref="P47" si="151">I47*E47</f>
        <v>117457.80119634882</v>
      </c>
      <c r="Q47" s="1533">
        <f t="shared" ref="Q47" si="152">J47*E47</f>
        <v>234915.60239269765</v>
      </c>
      <c r="R47" s="1533">
        <f t="shared" ref="R47" si="153">+L47*E47</f>
        <v>7173.9536637489855</v>
      </c>
      <c r="S47" s="1534">
        <f t="shared" ref="S47" si="154">SUM(N47:R47)</f>
        <v>1048445.7555943496</v>
      </c>
      <c r="T47" s="1487"/>
      <c r="U47" s="1694">
        <f t="shared" ref="U47" si="155">+ROUNDUP(M47*$T$5,0)</f>
        <v>54908</v>
      </c>
      <c r="V47" s="1673">
        <f t="shared" ref="V47" si="156">+U47*E47</f>
        <v>1317792</v>
      </c>
      <c r="W47" s="1498"/>
      <c r="X47" s="1664"/>
      <c r="Y47" s="1692"/>
      <c r="AB47" s="1692"/>
    </row>
    <row r="48" spans="1:28" s="1693" customFormat="1" ht="10.5" outlineLevel="1">
      <c r="A48" s="1670">
        <v>4.07</v>
      </c>
      <c r="B48" s="1529" t="s">
        <v>31</v>
      </c>
      <c r="C48" s="1530" t="s">
        <v>2162</v>
      </c>
      <c r="D48" s="1679" t="s">
        <v>59</v>
      </c>
      <c r="E48" s="1537">
        <f>9*9</f>
        <v>81</v>
      </c>
      <c r="F48" s="1531">
        <f>+Tareas!H75</f>
        <v>17364.127814814812</v>
      </c>
      <c r="G48" s="1531">
        <f>+Tareas!I75</f>
        <v>0</v>
      </c>
      <c r="H48" s="1532">
        <f t="shared" ref="H48" si="157">F48+G48</f>
        <v>17364.127814814812</v>
      </c>
      <c r="I48" s="1531">
        <f>+Tareas!Q75</f>
        <v>0</v>
      </c>
      <c r="J48" s="1531">
        <f>+Tareas!R75</f>
        <v>6926.4989701940704</v>
      </c>
      <c r="K48" s="1532">
        <f t="shared" ref="K48" si="158">I48+J48</f>
        <v>6926.4989701940704</v>
      </c>
      <c r="L48" s="1531">
        <f>+(H48+K48)*0.015</f>
        <v>364.35940177513328</v>
      </c>
      <c r="M48" s="1532">
        <f t="shared" ref="M48" si="159">H48+K48+L48</f>
        <v>24654.986186784019</v>
      </c>
      <c r="N48" s="1533">
        <f t="shared" ref="N48" si="160">F48*E48</f>
        <v>1406494.3529999999</v>
      </c>
      <c r="O48" s="1533">
        <f t="shared" ref="O48" si="161">G48*E48</f>
        <v>0</v>
      </c>
      <c r="P48" s="1533">
        <f t="shared" ref="P48" si="162">I48*E48</f>
        <v>0</v>
      </c>
      <c r="Q48" s="1533">
        <f t="shared" ref="Q48" si="163">J48*E48</f>
        <v>561046.41658571968</v>
      </c>
      <c r="R48" s="1533">
        <f t="shared" ref="R48" si="164">+L48*E48</f>
        <v>29513.111543785795</v>
      </c>
      <c r="S48" s="1534">
        <f t="shared" ref="S48" si="165">SUM(N48:R48)</f>
        <v>1997053.8811295053</v>
      </c>
      <c r="T48" s="1487"/>
      <c r="U48" s="1694">
        <f t="shared" ref="U48" si="166">+ROUNDUP(M48*$T$5,0)</f>
        <v>30989</v>
      </c>
      <c r="V48" s="1673">
        <f t="shared" ref="V48" si="167">+U48*E48</f>
        <v>2510109</v>
      </c>
      <c r="W48" s="1498"/>
      <c r="X48" s="1664"/>
      <c r="Y48" s="1692"/>
      <c r="AB48" s="1692"/>
    </row>
    <row r="49" spans="1:28" s="1693" customFormat="1" ht="10.5" outlineLevel="1">
      <c r="A49" s="1670">
        <v>4.08</v>
      </c>
      <c r="B49" s="1529" t="s">
        <v>31</v>
      </c>
      <c r="C49" s="1530" t="s">
        <v>2004</v>
      </c>
      <c r="D49" s="1679" t="s">
        <v>54</v>
      </c>
      <c r="E49" s="1537">
        <v>1</v>
      </c>
      <c r="F49" s="1531">
        <f>+Tareas!H81</f>
        <v>451217.9481498308</v>
      </c>
      <c r="G49" s="1531">
        <f>+Tareas!I81</f>
        <v>0</v>
      </c>
      <c r="H49" s="1532">
        <f t="shared" ref="H49" si="168">F49+G49</f>
        <v>451217.9481498308</v>
      </c>
      <c r="I49" s="1531">
        <f>+Tareas!Q81</f>
        <v>0</v>
      </c>
      <c r="J49" s="1531">
        <f>+Tareas!R81</f>
        <v>426669.71598600381</v>
      </c>
      <c r="K49" s="1532">
        <f t="shared" ref="K49" si="169">I49+J49</f>
        <v>426669.71598600381</v>
      </c>
      <c r="L49" s="1546">
        <f>+(H49+K49)*0.015</f>
        <v>13168.314962037519</v>
      </c>
      <c r="M49" s="1532">
        <f t="shared" ref="M49" si="170">H49+K49+L49</f>
        <v>891055.97909787216</v>
      </c>
      <c r="N49" s="1533">
        <f t="shared" ref="N49" si="171">F49*E49</f>
        <v>451217.9481498308</v>
      </c>
      <c r="O49" s="1533">
        <f t="shared" ref="O49" si="172">G49*E49</f>
        <v>0</v>
      </c>
      <c r="P49" s="1533">
        <f t="shared" ref="P49" si="173">I49*E49</f>
        <v>0</v>
      </c>
      <c r="Q49" s="1533">
        <f t="shared" ref="Q49" si="174">J49*E49</f>
        <v>426669.71598600381</v>
      </c>
      <c r="R49" s="1533">
        <f t="shared" ref="R49" si="175">+L49*E49</f>
        <v>13168.314962037519</v>
      </c>
      <c r="S49" s="1534">
        <f t="shared" ref="S49" si="176">SUM(N49:R49)</f>
        <v>891055.97909787216</v>
      </c>
      <c r="T49" s="1487"/>
      <c r="U49" s="1694">
        <f t="shared" ref="U49" si="177">+ROUNDUP(M49*$T$5,0)</f>
        <v>1119953</v>
      </c>
      <c r="V49" s="1673">
        <f t="shared" ref="V49" si="178">+U49*E49</f>
        <v>1119953</v>
      </c>
      <c r="W49" s="1498"/>
      <c r="X49" s="1664"/>
      <c r="Y49" s="1692"/>
      <c r="AB49" s="1692"/>
    </row>
    <row r="50" spans="1:28" ht="10.5">
      <c r="A50" s="1512">
        <v>5</v>
      </c>
      <c r="B50" s="1513"/>
      <c r="C50" s="1517" t="s">
        <v>80</v>
      </c>
      <c r="D50" s="1518"/>
      <c r="E50" s="1519"/>
      <c r="F50" s="1519"/>
      <c r="G50" s="1519"/>
      <c r="H50" s="1519"/>
      <c r="I50" s="1519"/>
      <c r="J50" s="1519"/>
      <c r="K50" s="1519"/>
      <c r="L50" s="1519"/>
      <c r="M50" s="1519"/>
      <c r="N50" s="1519"/>
      <c r="O50" s="1519"/>
      <c r="P50" s="1519"/>
      <c r="Q50" s="1519"/>
      <c r="R50" s="1519"/>
      <c r="S50" s="1519"/>
      <c r="T50" s="1521">
        <f>SUM(S51:S57)</f>
        <v>28614596.531481914</v>
      </c>
      <c r="U50" s="1519"/>
      <c r="V50" s="1519"/>
      <c r="W50" s="1522">
        <f>SUM(V51:V57)</f>
        <v>35966419</v>
      </c>
      <c r="X50" s="1664">
        <f>+W50/$W$216</f>
        <v>3.1902014381428284E-2</v>
      </c>
      <c r="Y50" s="1648">
        <f>+W50</f>
        <v>35966419</v>
      </c>
    </row>
    <row r="51" spans="1:28" s="1693" customFormat="1" ht="31.5" outlineLevel="1">
      <c r="A51" s="1670">
        <v>5.01</v>
      </c>
      <c r="B51" s="1529" t="s">
        <v>28</v>
      </c>
      <c r="C51" s="1530" t="s">
        <v>2514</v>
      </c>
      <c r="D51" s="1679" t="s">
        <v>4</v>
      </c>
      <c r="E51" s="1537">
        <f>+Locales!AA147</f>
        <v>139.05000000000001</v>
      </c>
      <c r="F51" s="1531"/>
      <c r="G51" s="1560">
        <f>+'APU 09.24'!E50</f>
        <v>9809.5604040679573</v>
      </c>
      <c r="H51" s="1532">
        <f>F51+G51</f>
        <v>9809.5604040679573</v>
      </c>
      <c r="I51" s="1562">
        <f>+J51*0.5</f>
        <v>2500.9457090628789</v>
      </c>
      <c r="J51" s="1560">
        <f>+'APU 09.24'!H50</f>
        <v>5001.8914181257578</v>
      </c>
      <c r="K51" s="1532">
        <f t="shared" ref="K51:K57" si="179">I51+J51</f>
        <v>7502.8371271886372</v>
      </c>
      <c r="L51" s="1560">
        <f>+'APU 09.24'!K50</f>
        <v>31.337344543287259</v>
      </c>
      <c r="M51" s="1532">
        <f>H51+K51+L51</f>
        <v>17343.734875799884</v>
      </c>
      <c r="N51" s="1533">
        <f t="shared" si="124"/>
        <v>0</v>
      </c>
      <c r="O51" s="1533">
        <f>G51*E51</f>
        <v>1364019.3741856497</v>
      </c>
      <c r="P51" s="1533">
        <f t="shared" si="126"/>
        <v>347756.50084519334</v>
      </c>
      <c r="Q51" s="1533">
        <f t="shared" si="127"/>
        <v>695513.00169038668</v>
      </c>
      <c r="R51" s="1533">
        <f t="shared" si="128"/>
        <v>4357.4577587440936</v>
      </c>
      <c r="S51" s="1534">
        <f t="shared" si="129"/>
        <v>2411646.3344799741</v>
      </c>
      <c r="T51" s="1535"/>
      <c r="U51" s="1695">
        <f>+ROUNDUP(M51*$T$5,0)</f>
        <v>21800</v>
      </c>
      <c r="V51" s="1694">
        <f t="shared" ref="V51:V57" si="180">+U51*E51</f>
        <v>3031290.0000000005</v>
      </c>
      <c r="W51" s="1498"/>
      <c r="X51" s="1664"/>
      <c r="Y51" s="1692"/>
      <c r="AB51" s="1692"/>
    </row>
    <row r="52" spans="1:28" s="1693" customFormat="1" ht="21" outlineLevel="1">
      <c r="A52" s="1670">
        <v>5.0199999999999996</v>
      </c>
      <c r="B52" s="1529" t="s">
        <v>28</v>
      </c>
      <c r="C52" s="1530" t="s">
        <v>2515</v>
      </c>
      <c r="D52" s="1679" t="s">
        <v>4</v>
      </c>
      <c r="E52" s="1537">
        <v>300</v>
      </c>
      <c r="F52" s="1561"/>
      <c r="G52" s="1560">
        <f>+'APU 09.24'!E21</f>
        <v>758.10738300000003</v>
      </c>
      <c r="H52" s="1532">
        <f>F52+G52</f>
        <v>758.10738300000003</v>
      </c>
      <c r="I52" s="1561"/>
      <c r="J52" s="1560">
        <f>+'APU 09.24'!H21</f>
        <v>3395.9551113285988</v>
      </c>
      <c r="K52" s="1532">
        <f t="shared" si="179"/>
        <v>3395.9551113285988</v>
      </c>
      <c r="L52" s="1560">
        <f>+'APU 09.24'!K21</f>
        <v>122.76855228141865</v>
      </c>
      <c r="M52" s="1532">
        <f>H52+K52+L52</f>
        <v>4276.8310466100174</v>
      </c>
      <c r="N52" s="1533">
        <f>F52*E52</f>
        <v>0</v>
      </c>
      <c r="O52" s="1533">
        <f>G52*E52</f>
        <v>227432.21490000002</v>
      </c>
      <c r="P52" s="1533">
        <f>I52*E52</f>
        <v>0</v>
      </c>
      <c r="Q52" s="1533">
        <f>J52*E52</f>
        <v>1018786.5333985797</v>
      </c>
      <c r="R52" s="1533">
        <f>+L52*E52</f>
        <v>36830.565684425594</v>
      </c>
      <c r="S52" s="1534">
        <f>SUM(N52:R52)</f>
        <v>1283049.3139830055</v>
      </c>
      <c r="T52" s="1535"/>
      <c r="U52" s="1695">
        <f t="shared" ref="U52:U57" si="181">+ROUNDUP(M52*$T$5,0)</f>
        <v>5376</v>
      </c>
      <c r="V52" s="1673">
        <f t="shared" si="180"/>
        <v>1612800</v>
      </c>
      <c r="W52" s="1498"/>
      <c r="X52" s="1664"/>
      <c r="Y52" s="1692"/>
      <c r="AB52" s="1692"/>
    </row>
    <row r="53" spans="1:28" s="1693" customFormat="1" ht="10.5" outlineLevel="1">
      <c r="A53" s="1670">
        <v>5.03</v>
      </c>
      <c r="B53" s="1529" t="s">
        <v>28</v>
      </c>
      <c r="C53" s="1530" t="s">
        <v>2516</v>
      </c>
      <c r="D53" s="1679" t="s">
        <v>4</v>
      </c>
      <c r="E53" s="1537">
        <f>+Locales!AB144</f>
        <v>48</v>
      </c>
      <c r="F53" s="1561"/>
      <c r="G53" s="1560">
        <f>+'APU 09.24'!E21</f>
        <v>758.10738300000003</v>
      </c>
      <c r="H53" s="1532">
        <f>F53+G53</f>
        <v>758.10738300000003</v>
      </c>
      <c r="I53" s="1561"/>
      <c r="J53" s="1560">
        <f>+'APU 09.24'!H21</f>
        <v>3395.9551113285988</v>
      </c>
      <c r="K53" s="1532">
        <f t="shared" si="179"/>
        <v>3395.9551113285988</v>
      </c>
      <c r="L53" s="1560">
        <f>+'APU 09.24'!K21</f>
        <v>122.76855228141865</v>
      </c>
      <c r="M53" s="1532">
        <f>H53+K53+L53</f>
        <v>4276.8310466100174</v>
      </c>
      <c r="N53" s="1533">
        <f>F53*E53</f>
        <v>0</v>
      </c>
      <c r="O53" s="1533">
        <f>G53*E53</f>
        <v>36389.154384000001</v>
      </c>
      <c r="P53" s="1533">
        <f>I53*E53</f>
        <v>0</v>
      </c>
      <c r="Q53" s="1533">
        <f>J53*E53</f>
        <v>163005.84534377273</v>
      </c>
      <c r="R53" s="1533">
        <f>+L53*E53</f>
        <v>5892.8905095080954</v>
      </c>
      <c r="S53" s="1534">
        <f>SUM(N53:R53)</f>
        <v>205287.89023728081</v>
      </c>
      <c r="T53" s="1535"/>
      <c r="U53" s="1695">
        <f t="shared" ref="U53" si="182">+ROUNDUP(M53*$T$5,0)</f>
        <v>5376</v>
      </c>
      <c r="V53" s="1673">
        <f t="shared" ref="V53" si="183">+U53*E53</f>
        <v>258048</v>
      </c>
      <c r="W53" s="1498"/>
      <c r="X53" s="1664"/>
      <c r="Y53" s="1692"/>
      <c r="AB53" s="1692"/>
    </row>
    <row r="54" spans="1:28" s="1693" customFormat="1" ht="10.5" outlineLevel="1">
      <c r="A54" s="1670">
        <v>5.04</v>
      </c>
      <c r="B54" s="1529" t="s">
        <v>28</v>
      </c>
      <c r="C54" s="1530" t="s">
        <v>83</v>
      </c>
      <c r="D54" s="1679" t="s">
        <v>4</v>
      </c>
      <c r="E54" s="1537">
        <f>+Locales!AC144</f>
        <v>262</v>
      </c>
      <c r="F54" s="1561"/>
      <c r="G54" s="1539">
        <f>+Cotizaciones!D49</f>
        <v>3502.8</v>
      </c>
      <c r="H54" s="1532">
        <f t="shared" ref="H54" si="184">F54+G54</f>
        <v>3502.8</v>
      </c>
      <c r="I54" s="1561"/>
      <c r="J54" s="1561"/>
      <c r="K54" s="1532">
        <f t="shared" si="179"/>
        <v>0</v>
      </c>
      <c r="L54" s="1561"/>
      <c r="M54" s="1532">
        <f t="shared" ref="M54:M55" si="185">H54+K54+L54</f>
        <v>3502.8</v>
      </c>
      <c r="N54" s="1533">
        <f t="shared" ref="N54:N55" si="186">F54*E54</f>
        <v>0</v>
      </c>
      <c r="O54" s="1533">
        <f t="shared" ref="O54:O55" si="187">G54*E54</f>
        <v>917733.60000000009</v>
      </c>
      <c r="P54" s="1533">
        <f t="shared" ref="P54:P55" si="188">I54*E54</f>
        <v>0</v>
      </c>
      <c r="Q54" s="1533">
        <f t="shared" ref="Q54:Q55" si="189">J54*E54</f>
        <v>0</v>
      </c>
      <c r="R54" s="1533">
        <f t="shared" ref="R54:R55" si="190">+L54*E54</f>
        <v>0</v>
      </c>
      <c r="S54" s="1534">
        <f t="shared" ref="S54" si="191">SUM(N54:R54)</f>
        <v>917733.60000000009</v>
      </c>
      <c r="T54" s="1535"/>
      <c r="U54" s="1695">
        <f t="shared" si="181"/>
        <v>4403</v>
      </c>
      <c r="V54" s="1673">
        <f t="shared" si="180"/>
        <v>1153586</v>
      </c>
      <c r="W54" s="1498"/>
      <c r="X54" s="1664"/>
      <c r="Y54" s="1692"/>
      <c r="AB54" s="1692"/>
    </row>
    <row r="55" spans="1:28" s="1693" customFormat="1" ht="10.5" outlineLevel="1">
      <c r="A55" s="1670">
        <v>5.05</v>
      </c>
      <c r="B55" s="1529" t="s">
        <v>28</v>
      </c>
      <c r="C55" s="1530" t="s">
        <v>84</v>
      </c>
      <c r="D55" s="1679" t="s">
        <v>4</v>
      </c>
      <c r="E55" s="1537">
        <f>+Locales!AD147</f>
        <v>510</v>
      </c>
      <c r="F55" s="1561"/>
      <c r="G55" s="1560">
        <f>+'APU 09.24'!E56</f>
        <v>1273.3407295555555</v>
      </c>
      <c r="H55" s="1532">
        <f t="shared" ref="H55" si="192">F55+G55</f>
        <v>1273.3407295555555</v>
      </c>
      <c r="I55" s="1561"/>
      <c r="J55" s="1560">
        <f>+'APU 09.24'!H56</f>
        <v>1563.0910681642993</v>
      </c>
      <c r="K55" s="1532">
        <f t="shared" si="179"/>
        <v>1563.0910681642993</v>
      </c>
      <c r="L55" s="1560">
        <f>+'APU 09.24'!K56</f>
        <v>9.7929201697772683</v>
      </c>
      <c r="M55" s="1532">
        <f t="shared" si="185"/>
        <v>2846.2247178896318</v>
      </c>
      <c r="N55" s="1533">
        <f t="shared" si="186"/>
        <v>0</v>
      </c>
      <c r="O55" s="1533">
        <f t="shared" si="187"/>
        <v>649403.77207333327</v>
      </c>
      <c r="P55" s="1533">
        <f t="shared" si="188"/>
        <v>0</v>
      </c>
      <c r="Q55" s="1533">
        <f t="shared" si="189"/>
        <v>797176.44476379268</v>
      </c>
      <c r="R55" s="1533">
        <f t="shared" si="190"/>
        <v>4994.3892865864073</v>
      </c>
      <c r="S55" s="1534">
        <f t="shared" ref="S55" si="193">SUM(N55:R55)</f>
        <v>1451574.6061237121</v>
      </c>
      <c r="T55" s="1535"/>
      <c r="U55" s="1695">
        <f t="shared" si="181"/>
        <v>3578</v>
      </c>
      <c r="V55" s="1673">
        <f t="shared" si="180"/>
        <v>1824780</v>
      </c>
      <c r="W55" s="1498"/>
      <c r="X55" s="1664"/>
      <c r="Y55" s="1692"/>
      <c r="AB55" s="1692"/>
    </row>
    <row r="56" spans="1:28" s="1697" customFormat="1" ht="21" outlineLevel="1">
      <c r="A56" s="1670">
        <v>5.0599999999999996</v>
      </c>
      <c r="B56" s="1529" t="s">
        <v>28</v>
      </c>
      <c r="C56" s="1530" t="s">
        <v>2517</v>
      </c>
      <c r="D56" s="1696" t="s">
        <v>4</v>
      </c>
      <c r="E56" s="1537">
        <f>+Locales!AD147</f>
        <v>510</v>
      </c>
      <c r="F56" s="1531"/>
      <c r="G56" s="1560">
        <f>+'APU 09.24'!E50</f>
        <v>9809.5604040679573</v>
      </c>
      <c r="H56" s="1532">
        <f t="shared" ref="H56" si="194">F56+G56</f>
        <v>9809.5604040679573</v>
      </c>
      <c r="I56" s="1562">
        <f>+J56*0.5</f>
        <v>2500.9457090628789</v>
      </c>
      <c r="J56" s="1560">
        <f>+'APU 09.24'!H50</f>
        <v>5001.8914181257578</v>
      </c>
      <c r="K56" s="1532">
        <f t="shared" si="179"/>
        <v>7502.8371271886372</v>
      </c>
      <c r="L56" s="1560">
        <f>+'APU 09.24'!K50</f>
        <v>31.337344543287259</v>
      </c>
      <c r="M56" s="1532">
        <f t="shared" ref="M56" si="195">H56+K56+L56</f>
        <v>17343.734875799884</v>
      </c>
      <c r="N56" s="1533">
        <f t="shared" ref="N56" si="196">F56*E56</f>
        <v>0</v>
      </c>
      <c r="O56" s="1533">
        <f t="shared" ref="O56" si="197">G56*E56</f>
        <v>5002875.8060746584</v>
      </c>
      <c r="P56" s="1533">
        <f t="shared" ref="P56" si="198">I56*E56</f>
        <v>1275482.3116220683</v>
      </c>
      <c r="Q56" s="1533">
        <f t="shared" ref="Q56" si="199">J56*E56</f>
        <v>2550964.6232441366</v>
      </c>
      <c r="R56" s="1533">
        <f t="shared" ref="R56" si="200">+L56*E56</f>
        <v>15982.045717076502</v>
      </c>
      <c r="S56" s="1534">
        <f t="shared" ref="S56" si="201">SUM(N56:R56)</f>
        <v>8845304.7866579406</v>
      </c>
      <c r="T56" s="1535"/>
      <c r="U56" s="1695">
        <f t="shared" si="181"/>
        <v>21800</v>
      </c>
      <c r="V56" s="1673">
        <f t="shared" si="180"/>
        <v>11118000</v>
      </c>
      <c r="W56" s="1564"/>
      <c r="X56" s="1664"/>
      <c r="Y56" s="1651"/>
      <c r="AB56" s="1651"/>
    </row>
    <row r="57" spans="1:28" s="1697" customFormat="1" ht="10.5" outlineLevel="1">
      <c r="A57" s="1670">
        <v>5.07</v>
      </c>
      <c r="B57" s="1529" t="s">
        <v>28</v>
      </c>
      <c r="C57" s="1530" t="s">
        <v>1848</v>
      </c>
      <c r="D57" s="1696" t="s">
        <v>54</v>
      </c>
      <c r="E57" s="1537">
        <v>1</v>
      </c>
      <c r="F57" s="1565"/>
      <c r="G57" s="1565"/>
      <c r="H57" s="1532">
        <f>F57+G57</f>
        <v>0</v>
      </c>
      <c r="I57" s="1566">
        <v>13500000</v>
      </c>
      <c r="J57" s="1565"/>
      <c r="K57" s="1532">
        <f t="shared" si="179"/>
        <v>13500000</v>
      </c>
      <c r="L57" s="1567"/>
      <c r="M57" s="1532">
        <f>H57+K57+L57</f>
        <v>13500000</v>
      </c>
      <c r="N57" s="1533">
        <f>F57*E57</f>
        <v>0</v>
      </c>
      <c r="O57" s="1533">
        <f t="shared" ref="O57" si="202">G57*E57</f>
        <v>0</v>
      </c>
      <c r="P57" s="1533">
        <f t="shared" ref="P57" si="203">I57*E57</f>
        <v>13500000</v>
      </c>
      <c r="Q57" s="1533">
        <f t="shared" ref="Q57" si="204">J57*E57</f>
        <v>0</v>
      </c>
      <c r="R57" s="1533">
        <f t="shared" ref="R57" si="205">+L57*E57</f>
        <v>0</v>
      </c>
      <c r="S57" s="1534">
        <f>SUM(N57:R57)</f>
        <v>13500000</v>
      </c>
      <c r="T57" s="1535"/>
      <c r="U57" s="1695">
        <f t="shared" si="181"/>
        <v>16967915</v>
      </c>
      <c r="V57" s="1673">
        <f t="shared" si="180"/>
        <v>16967915</v>
      </c>
      <c r="W57" s="1487"/>
      <c r="X57" s="1664"/>
      <c r="Y57" s="1651"/>
      <c r="AB57" s="1651"/>
    </row>
    <row r="58" spans="1:28" ht="10.5">
      <c r="A58" s="1512">
        <v>6</v>
      </c>
      <c r="B58" s="1513"/>
      <c r="C58" s="1517" t="s">
        <v>86</v>
      </c>
      <c r="D58" s="1518"/>
      <c r="E58" s="1519"/>
      <c r="F58" s="1519"/>
      <c r="G58" s="1519"/>
      <c r="H58" s="1519"/>
      <c r="I58" s="1519"/>
      <c r="J58" s="1519"/>
      <c r="K58" s="1519"/>
      <c r="L58" s="1519"/>
      <c r="M58" s="1520"/>
      <c r="N58" s="1519"/>
      <c r="O58" s="1519"/>
      <c r="P58" s="1519"/>
      <c r="Q58" s="1519"/>
      <c r="R58" s="1519"/>
      <c r="S58" s="1519"/>
      <c r="T58" s="1521">
        <f>SUM(S59:S59)</f>
        <v>1936418.4263133551</v>
      </c>
      <c r="U58" s="1519"/>
      <c r="V58" s="1519"/>
      <c r="W58" s="1522">
        <f>SUM(V59:V59)</f>
        <v>2433900</v>
      </c>
      <c r="X58" s="1664">
        <f>+W58/$W$216</f>
        <v>2.1588558150022748E-3</v>
      </c>
      <c r="Y58" s="1648">
        <f>+W58</f>
        <v>2433900</v>
      </c>
    </row>
    <row r="59" spans="1:28" s="1697" customFormat="1" ht="10.5" outlineLevel="1">
      <c r="A59" s="1529">
        <v>6.02</v>
      </c>
      <c r="B59" s="1529" t="s">
        <v>28</v>
      </c>
      <c r="C59" s="1542" t="s">
        <v>87</v>
      </c>
      <c r="D59" s="1698" t="s">
        <v>59</v>
      </c>
      <c r="E59" s="1677">
        <v>60</v>
      </c>
      <c r="F59" s="1543">
        <f>+Tareas!H95</f>
        <v>13939.39393939394</v>
      </c>
      <c r="G59" s="1543">
        <f>+Tareas!I95</f>
        <v>0</v>
      </c>
      <c r="H59" s="1544">
        <f>F59+G59</f>
        <v>13939.39393939394</v>
      </c>
      <c r="I59" s="1543">
        <f>+Tareas!Q95</f>
        <v>0</v>
      </c>
      <c r="J59" s="1543">
        <f>+Tareas!R95</f>
        <v>4329.9039997714654</v>
      </c>
      <c r="K59" s="1544">
        <f t="shared" ref="K59" si="206">I59+J59</f>
        <v>4329.9039997714654</v>
      </c>
      <c r="L59" s="1569">
        <f>+H59+K59*(0.015)</f>
        <v>14004.342499390512</v>
      </c>
      <c r="M59" s="1544">
        <f t="shared" ref="M59" si="207">H59+K59+L59</f>
        <v>32273.640438555914</v>
      </c>
      <c r="N59" s="1548">
        <f>F59*E59</f>
        <v>836363.63636363635</v>
      </c>
      <c r="O59" s="1548">
        <f>G59*E59</f>
        <v>0</v>
      </c>
      <c r="P59" s="1548">
        <f>I59*E59</f>
        <v>0</v>
      </c>
      <c r="Q59" s="1548">
        <f>J59*E59</f>
        <v>259794.23998628792</v>
      </c>
      <c r="R59" s="1548">
        <f>+L59*E59</f>
        <v>840260.54996343073</v>
      </c>
      <c r="S59" s="1549">
        <f>SUM(N59:R59)</f>
        <v>1936418.4263133551</v>
      </c>
      <c r="T59" s="1535"/>
      <c r="U59" s="1673">
        <f>+ROUNDUP(M59*$T$5,0)</f>
        <v>40565</v>
      </c>
      <c r="V59" s="1673">
        <f>+U59*E59</f>
        <v>2433900</v>
      </c>
      <c r="W59" s="1564"/>
      <c r="X59" s="1664"/>
      <c r="Y59" s="1651"/>
      <c r="AB59" s="1651"/>
    </row>
    <row r="60" spans="1:28" ht="10.5">
      <c r="A60" s="1512">
        <v>7</v>
      </c>
      <c r="B60" s="1513"/>
      <c r="C60" s="1517" t="s">
        <v>88</v>
      </c>
      <c r="D60" s="1518"/>
      <c r="E60" s="1519"/>
      <c r="F60" s="1519"/>
      <c r="G60" s="1519"/>
      <c r="H60" s="1519"/>
      <c r="I60" s="1519"/>
      <c r="J60" s="1519"/>
      <c r="K60" s="1519"/>
      <c r="L60" s="1519"/>
      <c r="M60" s="1520"/>
      <c r="N60" s="1519"/>
      <c r="O60" s="1519"/>
      <c r="P60" s="1519"/>
      <c r="Q60" s="1519"/>
      <c r="R60" s="1519"/>
      <c r="S60" s="1519"/>
      <c r="T60" s="1521">
        <f>SUM(S61:S68)</f>
        <v>108511185.97251408</v>
      </c>
      <c r="U60" s="1519"/>
      <c r="V60" s="1519"/>
      <c r="W60" s="1522">
        <f>SUM(V61:V68)</f>
        <v>136390555.29860002</v>
      </c>
      <c r="X60" s="1664">
        <f>+W60/$W$216</f>
        <v>0.12097766687940012</v>
      </c>
      <c r="Y60" s="1648">
        <f>+W60</f>
        <v>136390555.29860002</v>
      </c>
    </row>
    <row r="61" spans="1:28" s="1693" customFormat="1" ht="21" outlineLevel="1">
      <c r="A61" s="1665">
        <v>7.01</v>
      </c>
      <c r="B61" s="1583" t="s">
        <v>35</v>
      </c>
      <c r="C61" s="1570" t="s">
        <v>2428</v>
      </c>
      <c r="D61" s="1691" t="s">
        <v>4</v>
      </c>
      <c r="E61" s="1524">
        <f>+Computo!J260</f>
        <v>678.25199999999995</v>
      </c>
      <c r="F61" s="1557"/>
      <c r="G61" s="1557">
        <f>+'APU 09.24'!E23</f>
        <v>3747.8693230000003</v>
      </c>
      <c r="H61" s="1525">
        <f>F61+G61</f>
        <v>3747.8693230000003</v>
      </c>
      <c r="I61" s="1524"/>
      <c r="J61" s="1557">
        <f>+'APU 09.24'!H23</f>
        <v>9136.8339619578401</v>
      </c>
      <c r="K61" s="1525">
        <f>I61+J61</f>
        <v>9136.8339619578401</v>
      </c>
      <c r="L61" s="1557">
        <f>+'APU 09.24'!K23</f>
        <v>298.91473598954104</v>
      </c>
      <c r="M61" s="1525">
        <f>H61+K61+L61</f>
        <v>13183.618020947382</v>
      </c>
      <c r="N61" s="1526">
        <f t="shared" si="124"/>
        <v>0</v>
      </c>
      <c r="O61" s="1526">
        <f>G61*E61</f>
        <v>2541999.8640633961</v>
      </c>
      <c r="P61" s="1526">
        <f t="shared" si="126"/>
        <v>0</v>
      </c>
      <c r="Q61" s="1526">
        <f t="shared" si="127"/>
        <v>6197075.9083658289</v>
      </c>
      <c r="R61" s="1526">
        <f t="shared" si="128"/>
        <v>202739.51751437818</v>
      </c>
      <c r="S61" s="1527">
        <f t="shared" si="129"/>
        <v>8941815.2899436019</v>
      </c>
      <c r="T61" s="1535"/>
      <c r="U61" s="1669">
        <f t="shared" ref="U61:U68" si="208">+ROUNDUP(M61*$T$5,0)</f>
        <v>16571</v>
      </c>
      <c r="V61" s="1669">
        <f t="shared" ref="V61:V68" si="209">+U61*E61</f>
        <v>11239313.891999999</v>
      </c>
      <c r="W61" s="1571"/>
      <c r="X61" s="1664"/>
      <c r="Y61" s="1692"/>
      <c r="AB61" s="1692"/>
    </row>
    <row r="62" spans="1:28" s="1693" customFormat="1" ht="21" outlineLevel="1">
      <c r="A62" s="1670">
        <v>7.02</v>
      </c>
      <c r="B62" s="1529" t="s">
        <v>35</v>
      </c>
      <c r="C62" s="1699" t="s">
        <v>2518</v>
      </c>
      <c r="D62" s="1679" t="s">
        <v>4</v>
      </c>
      <c r="E62" s="1537">
        <f>+Computo!H233</f>
        <v>876.08119999999985</v>
      </c>
      <c r="F62" s="1560"/>
      <c r="G62" s="1560">
        <f>+'APU 09.24'!E24</f>
        <v>3747.8693230000003</v>
      </c>
      <c r="H62" s="1532">
        <f>F62+G62</f>
        <v>3747.8693230000003</v>
      </c>
      <c r="I62" s="1531"/>
      <c r="J62" s="1560">
        <f>+'APU 09.24'!H24</f>
        <v>13134.198820314396</v>
      </c>
      <c r="K62" s="1532">
        <f>I62+J62</f>
        <v>13134.198820314396</v>
      </c>
      <c r="L62" s="1560">
        <f>+'APU 09.24'!K24</f>
        <v>766.41029483988711</v>
      </c>
      <c r="M62" s="1532">
        <f>H62+K62+L62</f>
        <v>17648.478438154281</v>
      </c>
      <c r="N62" s="1533">
        <f t="shared" ref="N62:N68" si="210">F62*E62</f>
        <v>0</v>
      </c>
      <c r="O62" s="1533">
        <f t="shared" ref="O62:O68" si="211">G62*E62</f>
        <v>3283437.8539370275</v>
      </c>
      <c r="P62" s="1533">
        <f t="shared" ref="P62:P68" si="212">I62*E62</f>
        <v>0</v>
      </c>
      <c r="Q62" s="1533">
        <f t="shared" ref="Q62:Q68" si="213">J62*E62</f>
        <v>11506624.663539618</v>
      </c>
      <c r="R62" s="1533">
        <f t="shared" ref="R62:R68" si="214">+L62*E62</f>
        <v>671437.65079568198</v>
      </c>
      <c r="S62" s="1534">
        <f t="shared" ref="S62:S68" si="215">SUM(N62:R62)</f>
        <v>15461500.168272328</v>
      </c>
      <c r="T62" s="1535"/>
      <c r="U62" s="1673">
        <f t="shared" si="208"/>
        <v>22183</v>
      </c>
      <c r="V62" s="1673">
        <f t="shared" si="209"/>
        <v>19434109.259599999</v>
      </c>
      <c r="W62" s="1564"/>
      <c r="X62" s="1664"/>
      <c r="Y62" s="1692"/>
      <c r="AB62" s="1692"/>
    </row>
    <row r="63" spans="1:28" s="1693" customFormat="1" ht="10.5" outlineLevel="1">
      <c r="A63" s="1529">
        <v>7.03</v>
      </c>
      <c r="B63" s="1529"/>
      <c r="C63" s="1699" t="s">
        <v>1026</v>
      </c>
      <c r="D63" s="1679" t="s">
        <v>59</v>
      </c>
      <c r="E63" s="1537">
        <f>+Computo!F264</f>
        <v>182</v>
      </c>
      <c r="F63" s="1560"/>
      <c r="G63" s="1560"/>
      <c r="H63" s="1532">
        <f t="shared" ref="H63:H65" si="216">F63+G63</f>
        <v>0</v>
      </c>
      <c r="I63" s="1531"/>
      <c r="J63" s="1539">
        <f>+SUBCONTRATOS!D32</f>
        <v>8597.4065149288563</v>
      </c>
      <c r="K63" s="1532">
        <f t="shared" ref="K63:K65" si="217">I63+J63</f>
        <v>8597.4065149288563</v>
      </c>
      <c r="L63" s="1560"/>
      <c r="M63" s="1532">
        <f t="shared" ref="M63:M65" si="218">H63+K63+L63</f>
        <v>8597.4065149288563</v>
      </c>
      <c r="N63" s="1533">
        <f t="shared" ref="N63:N65" si="219">F63*E63</f>
        <v>0</v>
      </c>
      <c r="O63" s="1533">
        <f t="shared" ref="O63:O65" si="220">G63*E63</f>
        <v>0</v>
      </c>
      <c r="P63" s="1533">
        <f t="shared" ref="P63:P65" si="221">I63*E63</f>
        <v>0</v>
      </c>
      <c r="Q63" s="1533">
        <f t="shared" ref="Q63:Q65" si="222">J63*E63</f>
        <v>1564727.9857170519</v>
      </c>
      <c r="R63" s="1533">
        <f t="shared" ref="R63:R65" si="223">+L63*E63</f>
        <v>0</v>
      </c>
      <c r="S63" s="1534">
        <f t="shared" ref="S63:S65" si="224">SUM(N63:R63)</f>
        <v>1564727.9857170519</v>
      </c>
      <c r="T63" s="1535"/>
      <c r="U63" s="1673">
        <f t="shared" ref="U63:U65" si="225">+ROUNDUP(M63*$T$5,0)</f>
        <v>10806</v>
      </c>
      <c r="V63" s="1673">
        <f t="shared" ref="V63:V65" si="226">+U63*E63</f>
        <v>1966692</v>
      </c>
      <c r="W63" s="1564"/>
      <c r="X63" s="1664"/>
      <c r="Y63" s="1692"/>
      <c r="AB63" s="1692"/>
    </row>
    <row r="64" spans="1:28" s="1693" customFormat="1" ht="10.5" outlineLevel="1">
      <c r="A64" s="1529">
        <v>7.04</v>
      </c>
      <c r="B64" s="1529" t="s">
        <v>35</v>
      </c>
      <c r="C64" s="1530" t="s">
        <v>89</v>
      </c>
      <c r="D64" s="1679" t="s">
        <v>4</v>
      </c>
      <c r="E64" s="1537">
        <f>+Locales!Y144</f>
        <v>995.85109999999997</v>
      </c>
      <c r="F64" s="1560"/>
      <c r="G64" s="1560">
        <f>+'APU 09.24'!E22</f>
        <v>2606.0755930000005</v>
      </c>
      <c r="H64" s="1532">
        <f t="shared" si="216"/>
        <v>2606.0755930000005</v>
      </c>
      <c r="I64" s="1537"/>
      <c r="J64" s="1560">
        <f>+'APU 09.24'!H22</f>
        <v>17928.383737307293</v>
      </c>
      <c r="K64" s="1532">
        <f t="shared" si="217"/>
        <v>17928.383737307293</v>
      </c>
      <c r="L64" s="1560">
        <f>+'APU 09.24'!K22</f>
        <v>572.91991064662034</v>
      </c>
      <c r="M64" s="1532">
        <f t="shared" si="218"/>
        <v>21107.379240953916</v>
      </c>
      <c r="N64" s="1533">
        <f t="shared" si="219"/>
        <v>0</v>
      </c>
      <c r="O64" s="1533">
        <f t="shared" si="220"/>
        <v>2595263.2459722026</v>
      </c>
      <c r="P64" s="1533">
        <f t="shared" si="221"/>
        <v>0</v>
      </c>
      <c r="Q64" s="1533">
        <f t="shared" si="222"/>
        <v>17854000.666019578</v>
      </c>
      <c r="R64" s="1533">
        <f t="shared" si="223"/>
        <v>570542.9232293386</v>
      </c>
      <c r="S64" s="1534">
        <f t="shared" si="224"/>
        <v>21019806.835221119</v>
      </c>
      <c r="T64" s="1535"/>
      <c r="U64" s="1673">
        <f t="shared" si="225"/>
        <v>26530</v>
      </c>
      <c r="V64" s="1673">
        <f t="shared" si="226"/>
        <v>26419929.682999998</v>
      </c>
      <c r="W64" s="1564"/>
      <c r="X64" s="1664"/>
      <c r="Y64" s="1692"/>
      <c r="AB64" s="1692"/>
    </row>
    <row r="65" spans="1:28" s="1693" customFormat="1" ht="10.5" outlineLevel="1">
      <c r="A65" s="1529">
        <v>7.05</v>
      </c>
      <c r="B65" s="1529" t="s">
        <v>35</v>
      </c>
      <c r="C65" s="1530" t="s">
        <v>90</v>
      </c>
      <c r="D65" s="1679" t="s">
        <v>4</v>
      </c>
      <c r="E65" s="1537">
        <f>+Locales!U144</f>
        <v>2514.8970000000013</v>
      </c>
      <c r="F65" s="1531">
        <f>+Tareas!H101</f>
        <v>0</v>
      </c>
      <c r="G65" s="1531">
        <f>+Tareas!I101</f>
        <v>5135.3398886713831</v>
      </c>
      <c r="H65" s="1532">
        <f t="shared" si="216"/>
        <v>5135.3398886713831</v>
      </c>
      <c r="I65" s="1531">
        <f>+Tareas!Q101</f>
        <v>12817.951531348474</v>
      </c>
      <c r="J65" s="1531">
        <f>+Tareas!R101</f>
        <v>0</v>
      </c>
      <c r="K65" s="1532">
        <f t="shared" si="217"/>
        <v>12817.951531348474</v>
      </c>
      <c r="L65" s="1561"/>
      <c r="M65" s="1532">
        <f t="shared" si="218"/>
        <v>17953.291420019857</v>
      </c>
      <c r="N65" s="1533">
        <f t="shared" si="219"/>
        <v>0</v>
      </c>
      <c r="O65" s="1533">
        <f t="shared" si="220"/>
        <v>12914850.880000003</v>
      </c>
      <c r="P65" s="1533">
        <f t="shared" si="221"/>
        <v>32235827.852333698</v>
      </c>
      <c r="Q65" s="1533">
        <f t="shared" si="222"/>
        <v>0</v>
      </c>
      <c r="R65" s="1533">
        <f t="shared" si="223"/>
        <v>0</v>
      </c>
      <c r="S65" s="1534">
        <f t="shared" si="224"/>
        <v>45150678.732333705</v>
      </c>
      <c r="T65" s="1535"/>
      <c r="U65" s="1673">
        <f t="shared" si="225"/>
        <v>22566</v>
      </c>
      <c r="V65" s="1673">
        <f t="shared" si="226"/>
        <v>56751165.702000029</v>
      </c>
      <c r="W65" s="1564"/>
      <c r="X65" s="1664"/>
      <c r="Y65" s="1692"/>
      <c r="AB65" s="1692"/>
    </row>
    <row r="66" spans="1:28" s="1693" customFormat="1" ht="10.5" outlineLevel="1">
      <c r="A66" s="1529">
        <v>7.06</v>
      </c>
      <c r="B66" s="1529" t="s">
        <v>35</v>
      </c>
      <c r="C66" s="1572" t="s">
        <v>91</v>
      </c>
      <c r="D66" s="1679" t="s">
        <v>59</v>
      </c>
      <c r="E66" s="1537">
        <f>+Locales!V144</f>
        <v>509.9</v>
      </c>
      <c r="F66" s="1531">
        <f>+Tareas!H106</f>
        <v>0</v>
      </c>
      <c r="G66" s="1531">
        <f>+Tareas!I106</f>
        <v>0</v>
      </c>
      <c r="H66" s="1532">
        <f t="shared" ref="H66:H68" si="227">F66+G66</f>
        <v>0</v>
      </c>
      <c r="I66" s="1531">
        <f>+Tareas!Q106</f>
        <v>10160.57133582501</v>
      </c>
      <c r="J66" s="1531">
        <f>+Tareas!R106</f>
        <v>0</v>
      </c>
      <c r="K66" s="1532">
        <f t="shared" ref="K66:K68" si="228">I66+J66</f>
        <v>10160.57133582501</v>
      </c>
      <c r="L66" s="1561"/>
      <c r="M66" s="1532">
        <f t="shared" ref="M66:M67" si="229">H66+K66+L66</f>
        <v>10160.57133582501</v>
      </c>
      <c r="N66" s="1533">
        <f t="shared" si="210"/>
        <v>0</v>
      </c>
      <c r="O66" s="1533">
        <f t="shared" si="211"/>
        <v>0</v>
      </c>
      <c r="P66" s="1533">
        <f t="shared" si="212"/>
        <v>5180875.3241371727</v>
      </c>
      <c r="Q66" s="1533">
        <f t="shared" si="213"/>
        <v>0</v>
      </c>
      <c r="R66" s="1533">
        <f t="shared" si="214"/>
        <v>0</v>
      </c>
      <c r="S66" s="1534">
        <f t="shared" si="215"/>
        <v>5180875.3241371727</v>
      </c>
      <c r="T66" s="1535"/>
      <c r="U66" s="1673">
        <f t="shared" si="208"/>
        <v>12771</v>
      </c>
      <c r="V66" s="1673">
        <f t="shared" si="209"/>
        <v>6511932.8999999994</v>
      </c>
      <c r="W66" s="1564"/>
      <c r="X66" s="1664"/>
      <c r="Y66" s="1692"/>
      <c r="AB66" s="1692"/>
    </row>
    <row r="67" spans="1:28" s="1693" customFormat="1" ht="10.5" outlineLevel="1">
      <c r="A67" s="1529">
        <v>7.07</v>
      </c>
      <c r="B67" s="1529" t="s">
        <v>35</v>
      </c>
      <c r="C67" s="1572" t="s">
        <v>92</v>
      </c>
      <c r="D67" s="1679" t="s">
        <v>77</v>
      </c>
      <c r="E67" s="1537">
        <f>+Locales!W144</f>
        <v>198</v>
      </c>
      <c r="F67" s="1531">
        <f>+Tareas!H108</f>
        <v>0</v>
      </c>
      <c r="G67" s="1531">
        <f>+Tareas!I108</f>
        <v>1217.7454545454545</v>
      </c>
      <c r="H67" s="1532">
        <f t="shared" si="227"/>
        <v>1217.7454545454545</v>
      </c>
      <c r="I67" s="1531">
        <f>+Tareas!Q108</f>
        <v>10673.73150430102</v>
      </c>
      <c r="J67" s="1531">
        <f>+Tareas!R108</f>
        <v>0</v>
      </c>
      <c r="K67" s="1532">
        <f t="shared" si="228"/>
        <v>10673.73150430102</v>
      </c>
      <c r="L67" s="1561"/>
      <c r="M67" s="1532">
        <f t="shared" si="229"/>
        <v>11891.476958846475</v>
      </c>
      <c r="N67" s="1533">
        <f t="shared" si="210"/>
        <v>0</v>
      </c>
      <c r="O67" s="1533">
        <f t="shared" si="211"/>
        <v>241113.60000000001</v>
      </c>
      <c r="P67" s="1533">
        <f t="shared" si="212"/>
        <v>2113398.8378516021</v>
      </c>
      <c r="Q67" s="1533">
        <f t="shared" si="213"/>
        <v>0</v>
      </c>
      <c r="R67" s="1533">
        <f t="shared" si="214"/>
        <v>0</v>
      </c>
      <c r="S67" s="1534">
        <f t="shared" si="215"/>
        <v>2354512.4378516022</v>
      </c>
      <c r="T67" s="1535"/>
      <c r="U67" s="1673">
        <f t="shared" si="208"/>
        <v>14947</v>
      </c>
      <c r="V67" s="1673">
        <f t="shared" si="209"/>
        <v>2959506</v>
      </c>
      <c r="W67" s="1564"/>
      <c r="X67" s="1664"/>
      <c r="Y67" s="1692"/>
      <c r="AB67" s="1692"/>
    </row>
    <row r="68" spans="1:28" s="1693" customFormat="1" ht="21" outlineLevel="1">
      <c r="A68" s="1573">
        <v>7.08</v>
      </c>
      <c r="B68" s="1573" t="s">
        <v>35</v>
      </c>
      <c r="C68" s="1542" t="s">
        <v>93</v>
      </c>
      <c r="D68" s="1700" t="s">
        <v>4</v>
      </c>
      <c r="E68" s="1547">
        <f>+Locales!X144</f>
        <v>670.322</v>
      </c>
      <c r="F68" s="1574"/>
      <c r="G68" s="1569">
        <f>+'APU 09.24'!E23</f>
        <v>3747.8693230000003</v>
      </c>
      <c r="H68" s="1544">
        <f t="shared" si="227"/>
        <v>3747.8693230000003</v>
      </c>
      <c r="I68" s="1547"/>
      <c r="J68" s="1569">
        <f>+'APU 09.24'!H23</f>
        <v>9136.8339619578401</v>
      </c>
      <c r="K68" s="1544">
        <f t="shared" si="228"/>
        <v>9136.8339619578401</v>
      </c>
      <c r="L68" s="1569">
        <f>+'APU 09.24'!K23</f>
        <v>298.91473598954104</v>
      </c>
      <c r="M68" s="1544">
        <f t="shared" ref="M68" si="230">H68+K68+L68</f>
        <v>13183.618020947382</v>
      </c>
      <c r="N68" s="1548">
        <f t="shared" si="210"/>
        <v>0</v>
      </c>
      <c r="O68" s="1548">
        <f t="shared" si="211"/>
        <v>2512279.260332006</v>
      </c>
      <c r="P68" s="1548">
        <f t="shared" si="212"/>
        <v>0</v>
      </c>
      <c r="Q68" s="1548">
        <f t="shared" si="213"/>
        <v>6124620.8150475034</v>
      </c>
      <c r="R68" s="1548">
        <f t="shared" si="214"/>
        <v>200369.12365798114</v>
      </c>
      <c r="S68" s="1549">
        <f t="shared" si="215"/>
        <v>8837269.1990374904</v>
      </c>
      <c r="T68" s="1535"/>
      <c r="U68" s="1673">
        <f t="shared" si="208"/>
        <v>16571</v>
      </c>
      <c r="V68" s="1673">
        <f t="shared" si="209"/>
        <v>11107905.862</v>
      </c>
      <c r="W68" s="1564"/>
      <c r="X68" s="1664"/>
      <c r="Y68" s="1692"/>
      <c r="AB68" s="1692"/>
    </row>
    <row r="69" spans="1:28" ht="10.5">
      <c r="A69" s="1512">
        <v>8</v>
      </c>
      <c r="B69" s="1513"/>
      <c r="C69" s="1517" t="s">
        <v>94</v>
      </c>
      <c r="D69" s="1518"/>
      <c r="E69" s="1519"/>
      <c r="F69" s="1519"/>
      <c r="G69" s="1519"/>
      <c r="H69" s="1519"/>
      <c r="I69" s="1519"/>
      <c r="J69" s="1519"/>
      <c r="K69" s="1519"/>
      <c r="L69" s="1519"/>
      <c r="M69" s="1520"/>
      <c r="N69" s="1519"/>
      <c r="O69" s="1519"/>
      <c r="P69" s="1519"/>
      <c r="Q69" s="1519"/>
      <c r="R69" s="1519"/>
      <c r="S69" s="1519"/>
      <c r="T69" s="1521">
        <f>SUM(S70:S77)</f>
        <v>35633227.224129379</v>
      </c>
      <c r="U69" s="1519"/>
      <c r="V69" s="1519"/>
      <c r="W69" s="1522">
        <f>SUM(V70:V77)</f>
        <v>44788107</v>
      </c>
      <c r="X69" s="1664">
        <f>+W69/$W$216</f>
        <v>3.9726802760957344E-2</v>
      </c>
      <c r="Y69" s="1648">
        <f>+W69</f>
        <v>44788107</v>
      </c>
    </row>
    <row r="70" spans="1:28" s="1693" customFormat="1" ht="10.5" outlineLevel="1">
      <c r="A70" s="1665">
        <v>8.01</v>
      </c>
      <c r="B70" s="1583" t="s">
        <v>28</v>
      </c>
      <c r="C70" s="1523" t="s">
        <v>2178</v>
      </c>
      <c r="D70" s="1691" t="s">
        <v>4</v>
      </c>
      <c r="E70" s="1524">
        <f>+Locales!Q144</f>
        <v>104</v>
      </c>
      <c r="F70" s="1575"/>
      <c r="G70" s="1557">
        <f>+'APU 09.24'!E25*0.15</f>
        <v>9763.5190306500008</v>
      </c>
      <c r="H70" s="1525">
        <f t="shared" ref="H70:H77" si="231">F70+G70</f>
        <v>9763.5190306500008</v>
      </c>
      <c r="I70" s="1575"/>
      <c r="J70" s="1557">
        <f>+'APU 09.24'!H25*0.2</f>
        <v>15181.289056642992</v>
      </c>
      <c r="K70" s="1525">
        <f t="shared" ref="K70:K76" si="232">I70+J70</f>
        <v>15181.289056642992</v>
      </c>
      <c r="L70" s="1557">
        <f>+'APU 09.24'!K25*0.2</f>
        <v>451.34429264543519</v>
      </c>
      <c r="M70" s="1525">
        <f t="shared" ref="M70:M73" si="233">H70+K70+L70</f>
        <v>25396.152379938427</v>
      </c>
      <c r="N70" s="1526">
        <f t="shared" ref="N70:N73" si="234">F70*E70</f>
        <v>0</v>
      </c>
      <c r="O70" s="1526">
        <f t="shared" ref="O70:O73" si="235">G70*E70</f>
        <v>1015405.9791876001</v>
      </c>
      <c r="P70" s="1526">
        <f t="shared" ref="P70:P73" si="236">I70*E70</f>
        <v>0</v>
      </c>
      <c r="Q70" s="1526">
        <f t="shared" ref="Q70:Q73" si="237">J70*E70</f>
        <v>1578854.0618908713</v>
      </c>
      <c r="R70" s="1526">
        <f t="shared" ref="R70:R73" si="238">+L70*E70</f>
        <v>46939.806435125261</v>
      </c>
      <c r="S70" s="1527">
        <f t="shared" ref="S70:S73" si="239">SUM(N70:R70)</f>
        <v>2641199.847513597</v>
      </c>
      <c r="T70" s="1576"/>
      <c r="U70" s="1694">
        <f t="shared" ref="U70" si="240">+ROUNDUP(M70*$T$5,0)</f>
        <v>31920</v>
      </c>
      <c r="V70" s="1694">
        <f t="shared" ref="V70" si="241">+U70*E70</f>
        <v>3319680</v>
      </c>
      <c r="W70" s="1498"/>
      <c r="X70" s="1664"/>
      <c r="Y70" s="1692"/>
      <c r="AB70" s="1692"/>
    </row>
    <row r="71" spans="1:28" s="1693" customFormat="1" ht="21" outlineLevel="1">
      <c r="A71" s="1670">
        <v>8.02</v>
      </c>
      <c r="B71" s="1529" t="s">
        <v>28</v>
      </c>
      <c r="C71" s="1530" t="s">
        <v>2175</v>
      </c>
      <c r="D71" s="1679" t="s">
        <v>4</v>
      </c>
      <c r="E71" s="1537">
        <f>+Locales!P144</f>
        <v>48</v>
      </c>
      <c r="F71" s="1577">
        <v>500</v>
      </c>
      <c r="G71" s="1560">
        <f>+'APU 09.24'!E25*0.2</f>
        <v>13018.025374200002</v>
      </c>
      <c r="H71" s="1532">
        <f t="shared" si="231"/>
        <v>13518.025374200002</v>
      </c>
      <c r="I71" s="1578">
        <f>+F71</f>
        <v>500</v>
      </c>
      <c r="J71" s="1560">
        <f>+'APU 09.24'!H25*0.2</f>
        <v>15181.289056642992</v>
      </c>
      <c r="K71" s="1532">
        <f t="shared" si="232"/>
        <v>15681.289056642992</v>
      </c>
      <c r="L71" s="1560">
        <f>+'APU 09.24'!K25*0.2</f>
        <v>451.34429264543519</v>
      </c>
      <c r="M71" s="1532">
        <f t="shared" si="233"/>
        <v>29650.658723488428</v>
      </c>
      <c r="N71" s="1533">
        <f t="shared" si="234"/>
        <v>24000</v>
      </c>
      <c r="O71" s="1533">
        <f t="shared" si="235"/>
        <v>624865.21796160005</v>
      </c>
      <c r="P71" s="1533">
        <f t="shared" si="236"/>
        <v>24000</v>
      </c>
      <c r="Q71" s="1533">
        <f t="shared" si="237"/>
        <v>728701.87471886363</v>
      </c>
      <c r="R71" s="1533">
        <f t="shared" si="238"/>
        <v>21664.526046980889</v>
      </c>
      <c r="S71" s="1534">
        <f t="shared" si="239"/>
        <v>1423231.6187274444</v>
      </c>
      <c r="T71" s="1576"/>
      <c r="U71" s="1694">
        <f t="shared" ref="U71:U74" si="242">+ROUNDUP(M71*$T$5,0)</f>
        <v>37268</v>
      </c>
      <c r="V71" s="1694">
        <f t="shared" ref="V71:V74" si="243">+U71*E71</f>
        <v>1788864</v>
      </c>
      <c r="W71" s="1498"/>
      <c r="X71" s="1664"/>
      <c r="Y71" s="1692"/>
      <c r="AB71" s="1692"/>
    </row>
    <row r="72" spans="1:28" s="1693" customFormat="1" ht="21" outlineLevel="1">
      <c r="A72" s="1670">
        <v>8.0299999999999994</v>
      </c>
      <c r="B72" s="1529" t="s">
        <v>28</v>
      </c>
      <c r="C72" s="1530" t="s">
        <v>2177</v>
      </c>
      <c r="D72" s="1679" t="s">
        <v>4</v>
      </c>
      <c r="E72" s="1537">
        <f>+Locales!O144</f>
        <v>235</v>
      </c>
      <c r="F72" s="1531"/>
      <c r="G72" s="1560">
        <f>+'APU 09.24'!E25*0.18</f>
        <v>11716.222836780002</v>
      </c>
      <c r="H72" s="1532">
        <f t="shared" si="231"/>
        <v>11716.222836780002</v>
      </c>
      <c r="I72" s="1531"/>
      <c r="J72" s="1560">
        <f>+'APU 09.24'!H25*0.18</f>
        <v>13663.160150978691</v>
      </c>
      <c r="K72" s="1532">
        <f>I72+J72</f>
        <v>13663.160150978691</v>
      </c>
      <c r="L72" s="1560">
        <f>+'APU 09.24'!K25*0.18</f>
        <v>406.20986338089159</v>
      </c>
      <c r="M72" s="1532">
        <f t="shared" si="233"/>
        <v>25785.592851139583</v>
      </c>
      <c r="N72" s="1533">
        <f t="shared" si="234"/>
        <v>0</v>
      </c>
      <c r="O72" s="1533">
        <f t="shared" si="235"/>
        <v>2753312.3666433003</v>
      </c>
      <c r="P72" s="1533">
        <f t="shared" si="236"/>
        <v>0</v>
      </c>
      <c r="Q72" s="1533">
        <f t="shared" si="237"/>
        <v>3210842.6354799923</v>
      </c>
      <c r="R72" s="1533">
        <f t="shared" si="238"/>
        <v>95459.317894509528</v>
      </c>
      <c r="S72" s="1534">
        <f t="shared" si="239"/>
        <v>6059614.3200178016</v>
      </c>
      <c r="T72" s="1576"/>
      <c r="U72" s="1673">
        <f>+ROUNDUP(M72*$T$5,0)</f>
        <v>32410</v>
      </c>
      <c r="V72" s="1673">
        <f>+U72*E72</f>
        <v>7616350</v>
      </c>
      <c r="W72" s="1498"/>
      <c r="X72" s="1664"/>
      <c r="Y72" s="1692"/>
      <c r="AB72" s="1692"/>
    </row>
    <row r="73" spans="1:28" s="1693" customFormat="1" ht="10.5" outlineLevel="1">
      <c r="A73" s="1670">
        <v>8.0399999999999991</v>
      </c>
      <c r="B73" s="1529" t="s">
        <v>28</v>
      </c>
      <c r="C73" s="1530" t="s">
        <v>95</v>
      </c>
      <c r="D73" s="1679" t="s">
        <v>4</v>
      </c>
      <c r="E73" s="1537">
        <f>+Locales!N144</f>
        <v>878</v>
      </c>
      <c r="F73" s="1531"/>
      <c r="G73" s="1560">
        <f>+'APU 09.24'!E27</f>
        <v>6431.816156095043</v>
      </c>
      <c r="H73" s="1532">
        <f t="shared" si="231"/>
        <v>6431.816156095043</v>
      </c>
      <c r="I73" s="1531"/>
      <c r="J73" s="1560">
        <f>+'APU 09.24'!H27</f>
        <v>8572.2516609388531</v>
      </c>
      <c r="K73" s="1532">
        <f t="shared" si="232"/>
        <v>8572.2516609388531</v>
      </c>
      <c r="L73" s="1560">
        <f>+'APU 09.24'!K27</f>
        <v>116.9025805965067</v>
      </c>
      <c r="M73" s="1532">
        <f t="shared" si="233"/>
        <v>15120.970397630403</v>
      </c>
      <c r="N73" s="1533">
        <f t="shared" si="234"/>
        <v>0</v>
      </c>
      <c r="O73" s="1533">
        <f t="shared" si="235"/>
        <v>5647134.5850514481</v>
      </c>
      <c r="P73" s="1533">
        <f t="shared" si="236"/>
        <v>0</v>
      </c>
      <c r="Q73" s="1533">
        <f t="shared" si="237"/>
        <v>7526436.958304313</v>
      </c>
      <c r="R73" s="1533">
        <f t="shared" si="238"/>
        <v>102640.46576373288</v>
      </c>
      <c r="S73" s="1534">
        <f t="shared" si="239"/>
        <v>13276212.009119494</v>
      </c>
      <c r="T73" s="1576"/>
      <c r="U73" s="1673">
        <f t="shared" si="242"/>
        <v>19006</v>
      </c>
      <c r="V73" s="1673">
        <f t="shared" si="243"/>
        <v>16687268</v>
      </c>
      <c r="W73" s="1498"/>
      <c r="X73" s="1664"/>
      <c r="Y73" s="1692"/>
      <c r="AB73" s="1692"/>
    </row>
    <row r="74" spans="1:28" s="1693" customFormat="1" ht="21" outlineLevel="1">
      <c r="A74" s="1670">
        <v>8.0500000000000007</v>
      </c>
      <c r="B74" s="1529" t="s">
        <v>28</v>
      </c>
      <c r="C74" s="1530" t="s">
        <v>96</v>
      </c>
      <c r="D74" s="1679" t="s">
        <v>4</v>
      </c>
      <c r="E74" s="1537">
        <f>+Locales!R144</f>
        <v>564</v>
      </c>
      <c r="F74" s="1531"/>
      <c r="G74" s="1560">
        <f>+'APU 09.24'!E26</f>
        <v>3180.0905400000011</v>
      </c>
      <c r="H74" s="1532">
        <f t="shared" si="231"/>
        <v>3180.0905400000011</v>
      </c>
      <c r="I74" s="1560"/>
      <c r="J74" s="1560">
        <f>+'APU 09.24'!H26</f>
        <v>6505.5636652352905</v>
      </c>
      <c r="K74" s="1532">
        <f t="shared" si="232"/>
        <v>6505.5636652352905</v>
      </c>
      <c r="L74" s="1560">
        <f>+'APU 09.24'!K26</f>
        <v>210.62733656786975</v>
      </c>
      <c r="M74" s="1532">
        <f t="shared" ref="M74" si="244">H74+K74+L74</f>
        <v>9896.2815418031623</v>
      </c>
      <c r="N74" s="1533">
        <f t="shared" ref="N74" si="245">F74*E74</f>
        <v>0</v>
      </c>
      <c r="O74" s="1533">
        <f t="shared" ref="O74" si="246">G74*E74</f>
        <v>1793571.0645600006</v>
      </c>
      <c r="P74" s="1533">
        <f t="shared" ref="P74" si="247">I74*E74</f>
        <v>0</v>
      </c>
      <c r="Q74" s="1533">
        <f t="shared" ref="Q74" si="248">J74*E74</f>
        <v>3669137.9071927038</v>
      </c>
      <c r="R74" s="1533">
        <f t="shared" ref="R74" si="249">+L74*E74</f>
        <v>118793.81782427854</v>
      </c>
      <c r="S74" s="1534">
        <f t="shared" ref="S74" si="250">SUM(N74:R74)</f>
        <v>5581502.7895769831</v>
      </c>
      <c r="T74" s="1576"/>
      <c r="U74" s="1673">
        <f t="shared" si="242"/>
        <v>12439</v>
      </c>
      <c r="V74" s="1673">
        <f t="shared" si="243"/>
        <v>7015596</v>
      </c>
      <c r="W74" s="1498"/>
      <c r="X74" s="1664"/>
      <c r="Y74" s="1692"/>
      <c r="AB74" s="1692"/>
    </row>
    <row r="75" spans="1:28" s="1693" customFormat="1" ht="10.5" outlineLevel="1">
      <c r="A75" s="1670">
        <v>8.06</v>
      </c>
      <c r="B75" s="1529" t="s">
        <v>28</v>
      </c>
      <c r="C75" s="1530" t="s">
        <v>2176</v>
      </c>
      <c r="D75" s="1679" t="s">
        <v>4</v>
      </c>
      <c r="E75" s="1537">
        <f>+Locales!S144</f>
        <v>438</v>
      </c>
      <c r="F75" s="1531"/>
      <c r="G75" s="1560">
        <f>+'APU 09.24'!E26</f>
        <v>3180.0905400000011</v>
      </c>
      <c r="H75" s="1532">
        <f t="shared" si="231"/>
        <v>3180.0905400000011</v>
      </c>
      <c r="I75" s="1560"/>
      <c r="J75" s="1560">
        <f>+'APU 09.24'!H26</f>
        <v>6505.5636652352905</v>
      </c>
      <c r="K75" s="1532">
        <f t="shared" si="232"/>
        <v>6505.5636652352905</v>
      </c>
      <c r="L75" s="1560">
        <f>+'APU 09.24'!K26</f>
        <v>210.62733656786975</v>
      </c>
      <c r="M75" s="1532">
        <f t="shared" ref="M75:M77" si="251">H75+K75+L75</f>
        <v>9896.2815418031623</v>
      </c>
      <c r="N75" s="1533">
        <f t="shared" ref="N75:N77" si="252">F75*E75</f>
        <v>0</v>
      </c>
      <c r="O75" s="1533">
        <f t="shared" ref="O75:O77" si="253">G75*E75</f>
        <v>1392879.6565200004</v>
      </c>
      <c r="P75" s="1533">
        <f t="shared" ref="P75:P77" si="254">I75*E75</f>
        <v>0</v>
      </c>
      <c r="Q75" s="1533">
        <f t="shared" ref="Q75:Q77" si="255">J75*E75</f>
        <v>2849436.8853730573</v>
      </c>
      <c r="R75" s="1533">
        <f t="shared" ref="R75:R77" si="256">+L75*E75</f>
        <v>92254.773416726952</v>
      </c>
      <c r="S75" s="1534">
        <f t="shared" ref="S75:S77" si="257">SUM(N75:R75)</f>
        <v>4334571.3153097844</v>
      </c>
      <c r="T75" s="1576"/>
      <c r="U75" s="1673">
        <f t="shared" ref="U75:U77" si="258">+ROUNDUP(M75*$T$5,0)</f>
        <v>12439</v>
      </c>
      <c r="V75" s="1673">
        <f t="shared" ref="V75:V77" si="259">+U75*E75</f>
        <v>5448282</v>
      </c>
      <c r="W75" s="1498"/>
      <c r="X75" s="1664"/>
      <c r="Y75" s="1692"/>
      <c r="AB75" s="1692"/>
    </row>
    <row r="76" spans="1:28" s="1693" customFormat="1" ht="10.5" outlineLevel="1">
      <c r="A76" s="1670">
        <v>8.07</v>
      </c>
      <c r="B76" s="1529" t="s">
        <v>35</v>
      </c>
      <c r="C76" s="1530" t="s">
        <v>97</v>
      </c>
      <c r="D76" s="1679" t="s">
        <v>54</v>
      </c>
      <c r="E76" s="1537">
        <v>1</v>
      </c>
      <c r="F76" s="1531">
        <f>+Tareas!H111</f>
        <v>1076227.6597</v>
      </c>
      <c r="G76" s="1531">
        <f>+Tareas!I111</f>
        <v>0</v>
      </c>
      <c r="H76" s="1532">
        <f t="shared" si="231"/>
        <v>1076227.6597</v>
      </c>
      <c r="I76" s="1531">
        <f>+Tareas!Q111</f>
        <v>0</v>
      </c>
      <c r="J76" s="1531">
        <f>+Tareas!R111</f>
        <v>826143.61379857967</v>
      </c>
      <c r="K76" s="1532">
        <f t="shared" si="232"/>
        <v>826143.61379857967</v>
      </c>
      <c r="L76" s="1531">
        <f>+(H76+K76)*0.015</f>
        <v>28535.569102478694</v>
      </c>
      <c r="M76" s="1532">
        <f t="shared" si="251"/>
        <v>1930906.8426010583</v>
      </c>
      <c r="N76" s="1533">
        <f t="shared" si="252"/>
        <v>1076227.6597</v>
      </c>
      <c r="O76" s="1533">
        <f t="shared" si="253"/>
        <v>0</v>
      </c>
      <c r="P76" s="1533">
        <f t="shared" si="254"/>
        <v>0</v>
      </c>
      <c r="Q76" s="1533">
        <f t="shared" si="255"/>
        <v>826143.61379857967</v>
      </c>
      <c r="R76" s="1533">
        <f t="shared" si="256"/>
        <v>28535.569102478694</v>
      </c>
      <c r="S76" s="1534">
        <f t="shared" si="257"/>
        <v>1930906.8426010583</v>
      </c>
      <c r="T76" s="1576"/>
      <c r="U76" s="1673">
        <f t="shared" si="258"/>
        <v>2426924</v>
      </c>
      <c r="V76" s="1673">
        <f t="shared" si="259"/>
        <v>2426924</v>
      </c>
      <c r="W76" s="1498"/>
      <c r="X76" s="1664"/>
      <c r="Y76" s="1692"/>
      <c r="AB76" s="1692"/>
    </row>
    <row r="77" spans="1:28" s="1693" customFormat="1" ht="10.5" outlineLevel="1">
      <c r="A77" s="1670">
        <v>8.08</v>
      </c>
      <c r="B77" s="1529" t="s">
        <v>35</v>
      </c>
      <c r="C77" s="1542" t="s">
        <v>79</v>
      </c>
      <c r="D77" s="1700" t="s">
        <v>54</v>
      </c>
      <c r="E77" s="1547">
        <v>1</v>
      </c>
      <c r="F77" s="1546">
        <f>+Tareas!H116</f>
        <v>215055.49523360003</v>
      </c>
      <c r="G77" s="1546">
        <f>+Tareas!I116</f>
        <v>0</v>
      </c>
      <c r="H77" s="1544">
        <f t="shared" si="231"/>
        <v>215055.49523360003</v>
      </c>
      <c r="I77" s="1546">
        <f>+Tareas!Q116</f>
        <v>0</v>
      </c>
      <c r="J77" s="1546">
        <f>+Tareas!R116</f>
        <v>165228.72275971592</v>
      </c>
      <c r="K77" s="1544">
        <f>I77+J77</f>
        <v>165228.72275971592</v>
      </c>
      <c r="L77" s="1531">
        <f>+(H77+K77)*0.015</f>
        <v>5704.2632698997386</v>
      </c>
      <c r="M77" s="1544">
        <f t="shared" si="251"/>
        <v>385988.48126321571</v>
      </c>
      <c r="N77" s="1548">
        <f t="shared" si="252"/>
        <v>215055.49523360003</v>
      </c>
      <c r="O77" s="1548">
        <f t="shared" si="253"/>
        <v>0</v>
      </c>
      <c r="P77" s="1548">
        <f t="shared" si="254"/>
        <v>0</v>
      </c>
      <c r="Q77" s="1548">
        <f t="shared" si="255"/>
        <v>165228.72275971592</v>
      </c>
      <c r="R77" s="1548">
        <f t="shared" si="256"/>
        <v>5704.2632698997386</v>
      </c>
      <c r="S77" s="1549">
        <f t="shared" si="257"/>
        <v>385988.48126321571</v>
      </c>
      <c r="T77" s="1487"/>
      <c r="U77" s="1673">
        <f t="shared" si="258"/>
        <v>485143</v>
      </c>
      <c r="V77" s="1673">
        <f t="shared" si="259"/>
        <v>485143</v>
      </c>
      <c r="W77" s="1498"/>
      <c r="X77" s="1664"/>
      <c r="Y77" s="1692"/>
      <c r="AB77" s="1692"/>
    </row>
    <row r="78" spans="1:28" ht="10.5">
      <c r="A78" s="1512">
        <v>9</v>
      </c>
      <c r="B78" s="1513"/>
      <c r="C78" s="1517" t="s">
        <v>98</v>
      </c>
      <c r="D78" s="1518"/>
      <c r="E78" s="1519"/>
      <c r="F78" s="1519"/>
      <c r="G78" s="1519"/>
      <c r="H78" s="1519"/>
      <c r="I78" s="1519"/>
      <c r="J78" s="1519"/>
      <c r="K78" s="1519"/>
      <c r="L78" s="1519"/>
      <c r="M78" s="1520"/>
      <c r="N78" s="1519"/>
      <c r="O78" s="1519"/>
      <c r="P78" s="1519"/>
      <c r="Q78" s="1519"/>
      <c r="R78" s="1519"/>
      <c r="S78" s="1519"/>
      <c r="T78" s="1521">
        <f>SUM(S79:S82)</f>
        <v>4659674.0929475352</v>
      </c>
      <c r="U78" s="1519"/>
      <c r="V78" s="1519"/>
      <c r="W78" s="1522">
        <f>SUM(V79:V82)</f>
        <v>5769056.5999999996</v>
      </c>
      <c r="X78" s="1664">
        <f>+W78/$W$216</f>
        <v>5.1171212408016977E-3</v>
      </c>
      <c r="Y78" s="1648">
        <f>+W78</f>
        <v>5769056.5999999996</v>
      </c>
    </row>
    <row r="79" spans="1:28" ht="10.5" outlineLevel="1">
      <c r="A79" s="1665">
        <v>9.01</v>
      </c>
      <c r="B79" s="1583" t="s">
        <v>35</v>
      </c>
      <c r="C79" s="1523" t="s">
        <v>1474</v>
      </c>
      <c r="D79" s="1701" t="s">
        <v>54</v>
      </c>
      <c r="E79" s="1524">
        <v>1</v>
      </c>
      <c r="F79" s="1575">
        <f>+Tareas!H122</f>
        <v>0</v>
      </c>
      <c r="G79" s="1575">
        <f>+Tareas!I122</f>
        <v>203505.44198054407</v>
      </c>
      <c r="H79" s="1525">
        <f>F79+G79</f>
        <v>203505.44198054407</v>
      </c>
      <c r="I79" s="1575">
        <f>+Tareas!Q122</f>
        <v>0</v>
      </c>
      <c r="J79" s="1575">
        <f>+Tareas!R122</f>
        <v>1383533.8263977272</v>
      </c>
      <c r="K79" s="1525">
        <f t="shared" ref="K79:K81" si="260">I79+J79</f>
        <v>1383533.8263977272</v>
      </c>
      <c r="L79" s="1575">
        <f>+(H79+K79)*0.015</f>
        <v>23805.589025674068</v>
      </c>
      <c r="M79" s="1525">
        <f>H79+K79+L79</f>
        <v>1610844.8574039454</v>
      </c>
      <c r="N79" s="1526">
        <f>F79*E79</f>
        <v>0</v>
      </c>
      <c r="O79" s="1526">
        <f>G79*E79</f>
        <v>203505.44198054407</v>
      </c>
      <c r="P79" s="1526">
        <f>I79*E79</f>
        <v>0</v>
      </c>
      <c r="Q79" s="1526">
        <f>J79*E79</f>
        <v>1383533.8263977272</v>
      </c>
      <c r="R79" s="1526">
        <f>+L79*E79</f>
        <v>23805.589025674068</v>
      </c>
      <c r="S79" s="1527">
        <f>SUM(N79:R79)</f>
        <v>1610844.8574039454</v>
      </c>
      <c r="T79" s="1535"/>
      <c r="U79" s="1669">
        <f>+ROUNDUP(M79*$T$5,0)</f>
        <v>2024643</v>
      </c>
      <c r="V79" s="1669">
        <f>+U79*E79</f>
        <v>2024643</v>
      </c>
      <c r="W79" s="1564"/>
      <c r="X79" s="1702"/>
      <c r="Z79" s="1703"/>
      <c r="AA79" s="1703"/>
    </row>
    <row r="80" spans="1:28" ht="21" outlineLevel="1">
      <c r="A80" s="1704">
        <v>9.02</v>
      </c>
      <c r="B80" s="1608" t="s">
        <v>35</v>
      </c>
      <c r="C80" s="1580" t="s">
        <v>99</v>
      </c>
      <c r="D80" s="1705" t="s">
        <v>59</v>
      </c>
      <c r="E80" s="1621">
        <f>+Computo!H128</f>
        <v>122</v>
      </c>
      <c r="F80" s="1531">
        <f>+Tareas!H125</f>
        <v>2447.0972090502642</v>
      </c>
      <c r="G80" s="1531">
        <f>+Tareas!I125</f>
        <v>0</v>
      </c>
      <c r="H80" s="1532">
        <f>F80+G80</f>
        <v>2447.0972090502642</v>
      </c>
      <c r="I80" s="1531">
        <f>+Tareas!Q125</f>
        <v>0</v>
      </c>
      <c r="J80" s="1531">
        <f>+Tareas!R125</f>
        <v>12299.732995391207</v>
      </c>
      <c r="K80" s="1532">
        <f t="shared" si="260"/>
        <v>12299.732995391207</v>
      </c>
      <c r="L80" s="1531">
        <f>+(H80+K80)*0.015</f>
        <v>221.20245306662204</v>
      </c>
      <c r="M80" s="1532">
        <f>H80+K80+L80</f>
        <v>14968.032657508093</v>
      </c>
      <c r="N80" s="1533">
        <f>F80*E80</f>
        <v>298545.85950413224</v>
      </c>
      <c r="O80" s="1533">
        <f t="shared" ref="O80" si="261">G80*E80</f>
        <v>0</v>
      </c>
      <c r="P80" s="1533">
        <f t="shared" ref="P80" si="262">I80*E80</f>
        <v>0</v>
      </c>
      <c r="Q80" s="1533">
        <f t="shared" ref="Q80" si="263">J80*E80</f>
        <v>1500567.4254377272</v>
      </c>
      <c r="R80" s="1533">
        <f t="shared" ref="R80" si="264">+L80*E80</f>
        <v>26986.699274127888</v>
      </c>
      <c r="S80" s="1534">
        <f>SUM(N80:R80)</f>
        <v>1826099.9842159874</v>
      </c>
      <c r="T80" s="1487"/>
      <c r="U80" s="1673">
        <f>+ROUNDUP(M80*$T$5,0)</f>
        <v>18814</v>
      </c>
      <c r="V80" s="1673">
        <f>+U80*E80</f>
        <v>2295308</v>
      </c>
      <c r="W80" s="1487"/>
      <c r="X80" s="1702"/>
      <c r="Z80" s="1703"/>
      <c r="AA80" s="1703"/>
    </row>
    <row r="81" spans="1:28" ht="10.5" outlineLevel="1">
      <c r="A81" s="1670">
        <v>9.0299999999999994</v>
      </c>
      <c r="B81" s="1529" t="s">
        <v>35</v>
      </c>
      <c r="C81" s="1530" t="s">
        <v>1473</v>
      </c>
      <c r="D81" s="1706" t="s">
        <v>59</v>
      </c>
      <c r="E81" s="1537">
        <f>+Locales!BT144</f>
        <v>155</v>
      </c>
      <c r="F81" s="1707"/>
      <c r="G81" s="1560">
        <f>+'APU 09.24'!E21</f>
        <v>758.10738300000003</v>
      </c>
      <c r="H81" s="1532">
        <f t="shared" ref="H81:H82" si="265">F81+G81</f>
        <v>758.10738300000003</v>
      </c>
      <c r="I81" s="1708"/>
      <c r="J81" s="1560">
        <f>+'APU 09.24'!H21</f>
        <v>3395.9551113285988</v>
      </c>
      <c r="K81" s="1532">
        <f t="shared" si="260"/>
        <v>3395.9551113285988</v>
      </c>
      <c r="L81" s="1560">
        <f>+'APU 09.24'!K21</f>
        <v>122.76855228141865</v>
      </c>
      <c r="M81" s="1532">
        <f t="shared" ref="M81:M82" si="266">H81+K81+L81</f>
        <v>4276.8310466100174</v>
      </c>
      <c r="N81" s="1533">
        <f t="shared" ref="N81:N82" si="267">F81*E81</f>
        <v>0</v>
      </c>
      <c r="O81" s="1533">
        <f t="shared" ref="O81:O82" si="268">G81*E81</f>
        <v>117506.644365</v>
      </c>
      <c r="P81" s="1533">
        <f t="shared" ref="P81:P82" si="269">I81*E81</f>
        <v>0</v>
      </c>
      <c r="Q81" s="1533">
        <f t="shared" ref="Q81:Q82" si="270">J81*E81</f>
        <v>526373.04225593281</v>
      </c>
      <c r="R81" s="1533">
        <f t="shared" ref="R81:R82" si="271">+L81*E81</f>
        <v>19029.12560361989</v>
      </c>
      <c r="S81" s="1534">
        <f t="shared" ref="S81:S82" si="272">SUM(N81:R81)</f>
        <v>662908.81222455262</v>
      </c>
      <c r="T81" s="1487"/>
      <c r="U81" s="1673">
        <f>+ROUNDUP(M81*$T$5,0)</f>
        <v>5376</v>
      </c>
      <c r="V81" s="1673">
        <f>+U81*E81</f>
        <v>833280</v>
      </c>
      <c r="W81" s="1487"/>
      <c r="X81" s="1702"/>
    </row>
    <row r="82" spans="1:28" ht="21" outlineLevel="1">
      <c r="A82" s="1573">
        <v>9.0399999999999991</v>
      </c>
      <c r="B82" s="1573" t="s">
        <v>35</v>
      </c>
      <c r="C82" s="1581" t="s">
        <v>1662</v>
      </c>
      <c r="D82" s="1582" t="s">
        <v>59</v>
      </c>
      <c r="E82" s="1547">
        <f>+Computo!E131</f>
        <v>31.200000000000003</v>
      </c>
      <c r="F82" s="1546">
        <f>+Tareas!H130</f>
        <v>7086.2110616656082</v>
      </c>
      <c r="G82" s="1546">
        <f>+Tareas!I130</f>
        <v>0</v>
      </c>
      <c r="H82" s="1544">
        <f t="shared" si="265"/>
        <v>7086.2110616656082</v>
      </c>
      <c r="I82" s="1546">
        <f>+Tareas!Q130</f>
        <v>0</v>
      </c>
      <c r="J82" s="1546">
        <f>+Tareas!R130</f>
        <v>10591.584792289481</v>
      </c>
      <c r="K82" s="1544">
        <f t="shared" ref="K82" si="273">I82+J82</f>
        <v>10591.584792289481</v>
      </c>
      <c r="L82" s="1531">
        <f>+(H82+K82)*0.015</f>
        <v>265.16693780932633</v>
      </c>
      <c r="M82" s="1544">
        <f t="shared" si="266"/>
        <v>17942.962791764414</v>
      </c>
      <c r="N82" s="1533">
        <f t="shared" si="267"/>
        <v>221089.78512396698</v>
      </c>
      <c r="O82" s="1533">
        <f t="shared" si="268"/>
        <v>0</v>
      </c>
      <c r="P82" s="1533">
        <f t="shared" si="269"/>
        <v>0</v>
      </c>
      <c r="Q82" s="1533">
        <f t="shared" si="270"/>
        <v>330457.44551943184</v>
      </c>
      <c r="R82" s="1533">
        <f t="shared" si="271"/>
        <v>8273.2084596509831</v>
      </c>
      <c r="S82" s="1534">
        <f t="shared" si="272"/>
        <v>559820.43910304981</v>
      </c>
      <c r="T82" s="1487"/>
      <c r="U82" s="1537">
        <f t="shared" ref="U82" si="274">+ROUNDUP(M82*$T$6,0)</f>
        <v>19738</v>
      </c>
      <c r="V82" s="1537">
        <f t="shared" ref="V82" si="275">+U82*E82</f>
        <v>615825.60000000009</v>
      </c>
      <c r="W82" s="1487"/>
      <c r="X82" s="1702"/>
    </row>
    <row r="83" spans="1:28" ht="10.5">
      <c r="A83" s="1512">
        <v>10</v>
      </c>
      <c r="B83" s="1513"/>
      <c r="C83" s="1517" t="s">
        <v>100</v>
      </c>
      <c r="D83" s="1518"/>
      <c r="E83" s="1519"/>
      <c r="F83" s="1519"/>
      <c r="G83" s="1519"/>
      <c r="H83" s="1519"/>
      <c r="I83" s="1519"/>
      <c r="J83" s="1519"/>
      <c r="K83" s="1519"/>
      <c r="L83" s="1519"/>
      <c r="M83" s="1520"/>
      <c r="N83" s="1519"/>
      <c r="O83" s="1519"/>
      <c r="P83" s="1519"/>
      <c r="Q83" s="1519"/>
      <c r="R83" s="1519"/>
      <c r="S83" s="1519"/>
      <c r="T83" s="1521">
        <f>SUM(S84:S87)</f>
        <v>3714963.4922108371</v>
      </c>
      <c r="U83" s="1519"/>
      <c r="V83" s="1519"/>
      <c r="W83" s="1522">
        <f>SUM(V84:V87)</f>
        <v>4669278</v>
      </c>
      <c r="X83" s="1664">
        <f>+W83/$W$216</f>
        <v>4.1416237159136327E-3</v>
      </c>
      <c r="Y83" s="1648">
        <f>+W83</f>
        <v>4669278</v>
      </c>
    </row>
    <row r="84" spans="1:28" ht="21" outlineLevel="1">
      <c r="A84" s="1665">
        <v>10.01</v>
      </c>
      <c r="B84" s="1583" t="s">
        <v>35</v>
      </c>
      <c r="C84" s="1523" t="s">
        <v>2519</v>
      </c>
      <c r="D84" s="1709" t="s">
        <v>54</v>
      </c>
      <c r="E84" s="1668">
        <v>0</v>
      </c>
      <c r="F84" s="1584"/>
      <c r="G84" s="1584"/>
      <c r="H84" s="1525">
        <f>F84+G84</f>
        <v>0</v>
      </c>
      <c r="I84" s="1584"/>
      <c r="J84" s="1584"/>
      <c r="K84" s="1525">
        <f>I84+J84</f>
        <v>0</v>
      </c>
      <c r="L84" s="1585"/>
      <c r="M84" s="1525">
        <f t="shared" ref="M84" si="276">H84+K84+L84</f>
        <v>0</v>
      </c>
      <c r="N84" s="1526">
        <f t="shared" ref="N84" si="277">F84*E84</f>
        <v>0</v>
      </c>
      <c r="O84" s="1526">
        <f t="shared" ref="O84" si="278">G84*E84</f>
        <v>0</v>
      </c>
      <c r="P84" s="1526">
        <f t="shared" ref="P84" si="279">I84*E84</f>
        <v>0</v>
      </c>
      <c r="Q84" s="1526">
        <f t="shared" ref="Q84" si="280">J84*E84</f>
        <v>0</v>
      </c>
      <c r="R84" s="1526">
        <f t="shared" ref="R84" si="281">+L84*E84</f>
        <v>0</v>
      </c>
      <c r="S84" s="1527">
        <f t="shared" ref="S84" si="282">SUM(N84:R84)</f>
        <v>0</v>
      </c>
      <c r="T84" s="1535"/>
      <c r="U84" s="1673">
        <f>+ROUNDUP(M84*$T$5,0)</f>
        <v>0</v>
      </c>
      <c r="V84" s="1673">
        <f>+U84*E84</f>
        <v>0</v>
      </c>
      <c r="X84" s="1664"/>
    </row>
    <row r="85" spans="1:28" ht="10.5" outlineLevel="1">
      <c r="A85" s="1670">
        <v>10.02</v>
      </c>
      <c r="B85" s="1529" t="s">
        <v>35</v>
      </c>
      <c r="C85" s="1530" t="s">
        <v>2520</v>
      </c>
      <c r="D85" s="1710" t="s">
        <v>54</v>
      </c>
      <c r="E85" s="1672">
        <v>1</v>
      </c>
      <c r="F85" s="1578">
        <v>700000</v>
      </c>
      <c r="G85" s="1539"/>
      <c r="H85" s="1532">
        <f t="shared" ref="H85:H86" si="283">F85+G85</f>
        <v>700000</v>
      </c>
      <c r="I85" s="1578">
        <f>+F85*1.5</f>
        <v>1050000</v>
      </c>
      <c r="J85" s="1539"/>
      <c r="K85" s="1532">
        <f t="shared" ref="K85:K86" si="284">I85+J85</f>
        <v>1050000</v>
      </c>
      <c r="L85" s="1551"/>
      <c r="M85" s="1532">
        <f t="shared" ref="M85" si="285">H85+K85+L85</f>
        <v>1750000</v>
      </c>
      <c r="N85" s="1533">
        <f t="shared" ref="N85" si="286">F85*E85</f>
        <v>700000</v>
      </c>
      <c r="O85" s="1533">
        <f t="shared" ref="O85" si="287">G85*E85</f>
        <v>0</v>
      </c>
      <c r="P85" s="1533">
        <f t="shared" ref="P85" si="288">I85*E85</f>
        <v>1050000</v>
      </c>
      <c r="Q85" s="1533">
        <f t="shared" ref="Q85" si="289">J85*E85</f>
        <v>0</v>
      </c>
      <c r="R85" s="1533">
        <f t="shared" ref="R85" si="290">+L85*E85</f>
        <v>0</v>
      </c>
      <c r="S85" s="1534">
        <f t="shared" ref="S85" si="291">SUM(N85:R85)</f>
        <v>1750000</v>
      </c>
      <c r="T85" s="1535"/>
      <c r="U85" s="1673">
        <f>+ROUNDUP(M85*$T$5,0)</f>
        <v>2199545</v>
      </c>
      <c r="V85" s="1673">
        <f>+U85*E85</f>
        <v>2199545</v>
      </c>
      <c r="W85" s="1711"/>
      <c r="X85" s="1664"/>
    </row>
    <row r="86" spans="1:28" ht="21" outlineLevel="1">
      <c r="A86" s="1670">
        <v>10.029999999999999</v>
      </c>
      <c r="B86" s="1529" t="s">
        <v>35</v>
      </c>
      <c r="C86" s="1530" t="s">
        <v>2521</v>
      </c>
      <c r="D86" s="1710" t="s">
        <v>56</v>
      </c>
      <c r="E86" s="1672">
        <v>0</v>
      </c>
      <c r="F86" s="1539"/>
      <c r="G86" s="1539"/>
      <c r="H86" s="1532">
        <f t="shared" si="283"/>
        <v>0</v>
      </c>
      <c r="I86" s="1539"/>
      <c r="J86" s="1539"/>
      <c r="K86" s="1532">
        <f t="shared" si="284"/>
        <v>0</v>
      </c>
      <c r="L86" s="1551"/>
      <c r="M86" s="1532">
        <f t="shared" ref="M86" si="292">H86+K86+L86</f>
        <v>0</v>
      </c>
      <c r="N86" s="1533">
        <f t="shared" ref="N86" si="293">F86*E86</f>
        <v>0</v>
      </c>
      <c r="O86" s="1533">
        <f t="shared" ref="O86:O87" si="294">G86*E86</f>
        <v>0</v>
      </c>
      <c r="P86" s="1533">
        <f t="shared" ref="P86" si="295">I86*E86</f>
        <v>0</v>
      </c>
      <c r="Q86" s="1533">
        <f t="shared" ref="Q86:Q87" si="296">J86*E86</f>
        <v>0</v>
      </c>
      <c r="R86" s="1533">
        <f t="shared" ref="R86:R87" si="297">+L86*E86</f>
        <v>0</v>
      </c>
      <c r="S86" s="1534">
        <f t="shared" ref="S86" si="298">SUM(N86:R86)</f>
        <v>0</v>
      </c>
      <c r="T86" s="1535"/>
      <c r="U86" s="1673">
        <f>+ROUNDUP(M86*$T$5,0)</f>
        <v>0</v>
      </c>
      <c r="V86" s="1673">
        <f>+U86*E86</f>
        <v>0</v>
      </c>
      <c r="X86" s="1664"/>
    </row>
    <row r="87" spans="1:28" s="1693" customFormat="1" ht="10.5" outlineLevel="1">
      <c r="A87" s="1670">
        <v>10.039999999999999</v>
      </c>
      <c r="B87" s="1529" t="s">
        <v>35</v>
      </c>
      <c r="C87" s="1530" t="s">
        <v>1509</v>
      </c>
      <c r="D87" s="1679" t="s">
        <v>77</v>
      </c>
      <c r="E87" s="1537">
        <v>7</v>
      </c>
      <c r="F87" s="1586">
        <f>+COVE!L32</f>
        <v>225038.87603305787</v>
      </c>
      <c r="G87" s="1586"/>
      <c r="H87" s="1532">
        <f>F87+G87</f>
        <v>225038.87603305787</v>
      </c>
      <c r="I87" s="1539">
        <f>+COVE!T32</f>
        <v>55670.194282775978</v>
      </c>
      <c r="J87" s="1586"/>
      <c r="K87" s="1532">
        <f>I87+J87</f>
        <v>55670.194282775978</v>
      </c>
      <c r="L87" s="1551"/>
      <c r="M87" s="1532">
        <f>H87+K87+L87</f>
        <v>280709.07031583384</v>
      </c>
      <c r="N87" s="1533">
        <f>F87*E87</f>
        <v>1575272.132231405</v>
      </c>
      <c r="O87" s="1533">
        <f t="shared" si="294"/>
        <v>0</v>
      </c>
      <c r="P87" s="1533">
        <f>I87*E87</f>
        <v>389691.35997943184</v>
      </c>
      <c r="Q87" s="1533">
        <f t="shared" si="296"/>
        <v>0</v>
      </c>
      <c r="R87" s="1533">
        <f t="shared" si="297"/>
        <v>0</v>
      </c>
      <c r="S87" s="1534">
        <f>SUM(N87:R87)</f>
        <v>1964963.4922108368</v>
      </c>
      <c r="T87" s="1535"/>
      <c r="U87" s="1673">
        <f>+ROUNDUP(M87*$T$5,0)</f>
        <v>352819</v>
      </c>
      <c r="V87" s="1673">
        <f>+U87*E87</f>
        <v>2469733</v>
      </c>
      <c r="W87" s="1498"/>
      <c r="X87" s="1664"/>
      <c r="Y87" s="1692"/>
      <c r="AB87" s="1692"/>
    </row>
    <row r="88" spans="1:28" ht="21">
      <c r="A88" s="1512">
        <v>11</v>
      </c>
      <c r="B88" s="1513"/>
      <c r="C88" s="1517" t="s">
        <v>101</v>
      </c>
      <c r="D88" s="1518"/>
      <c r="E88" s="1519"/>
      <c r="F88" s="1519"/>
      <c r="G88" s="1519"/>
      <c r="H88" s="1519"/>
      <c r="I88" s="1519"/>
      <c r="J88" s="1519"/>
      <c r="K88" s="1519"/>
      <c r="L88" s="1519"/>
      <c r="M88" s="1520"/>
      <c r="N88" s="1519"/>
      <c r="O88" s="1519"/>
      <c r="P88" s="1519"/>
      <c r="Q88" s="1519"/>
      <c r="R88" s="1519"/>
      <c r="S88" s="1519"/>
      <c r="T88" s="1521">
        <f>SUM(S89:S95)</f>
        <v>38221919.229422204</v>
      </c>
      <c r="U88" s="1519"/>
      <c r="V88" s="1519"/>
      <c r="W88" s="1522">
        <f>SUM(V89:V95)</f>
        <v>48040802</v>
      </c>
      <c r="X88" s="1664">
        <f>+W88/$W$216</f>
        <v>4.2611925204434409E-2</v>
      </c>
      <c r="Y88" s="1648">
        <f>+W88</f>
        <v>48040802</v>
      </c>
    </row>
    <row r="89" spans="1:28" ht="21" outlineLevel="1">
      <c r="A89" s="1665">
        <v>11.01</v>
      </c>
      <c r="B89" s="1583" t="s">
        <v>28</v>
      </c>
      <c r="C89" s="1523" t="s">
        <v>2522</v>
      </c>
      <c r="D89" s="1701" t="s">
        <v>4</v>
      </c>
      <c r="E89" s="1524">
        <f>+Locales!BJ144</f>
        <v>30</v>
      </c>
      <c r="F89" s="1575"/>
      <c r="G89" s="1557">
        <f>+'APU 09.24'!E36</f>
        <v>7250.1086533719017</v>
      </c>
      <c r="H89" s="1525">
        <f>F89+G89</f>
        <v>7250.1086533719017</v>
      </c>
      <c r="I89" s="1575"/>
      <c r="J89" s="1557">
        <f>+'APU 09.24'!H36</f>
        <v>9992.0861533187654</v>
      </c>
      <c r="K89" s="1525">
        <f>I89+J89</f>
        <v>9992.0861533187654</v>
      </c>
      <c r="L89" s="1557">
        <f>+'APU 09.24'!K36</f>
        <v>219.89812852357096</v>
      </c>
      <c r="M89" s="1525">
        <f t="shared" ref="M89:M90" si="299">H89+K89+L89</f>
        <v>17462.092935214238</v>
      </c>
      <c r="N89" s="1526">
        <f t="shared" ref="N89:N90" si="300">F89*E89</f>
        <v>0</v>
      </c>
      <c r="O89" s="1526">
        <f t="shared" ref="O89:O90" si="301">G89*E89</f>
        <v>217503.25960115704</v>
      </c>
      <c r="P89" s="1526">
        <f t="shared" ref="P89:P90" si="302">I89*E89</f>
        <v>0</v>
      </c>
      <c r="Q89" s="1526">
        <f t="shared" ref="Q89:Q90" si="303">J89*E89</f>
        <v>299762.58459956298</v>
      </c>
      <c r="R89" s="1526">
        <f t="shared" ref="R89:R90" si="304">+L89*E89</f>
        <v>6596.9438557071289</v>
      </c>
      <c r="S89" s="1527">
        <f t="shared" ref="S89:S90" si="305">SUM(N89:R89)</f>
        <v>523862.78805642715</v>
      </c>
      <c r="T89" s="1576"/>
      <c r="U89" s="1673">
        <f t="shared" ref="U89" si="306">+ROUNDUP(M89*$T$5,0)</f>
        <v>21948</v>
      </c>
      <c r="V89" s="1673">
        <f t="shared" ref="V89" si="307">+U89*E89</f>
        <v>658440</v>
      </c>
      <c r="W89" s="1564"/>
      <c r="X89" s="1702"/>
    </row>
    <row r="90" spans="1:28" ht="31.5" outlineLevel="1">
      <c r="A90" s="1670">
        <v>11.02</v>
      </c>
      <c r="B90" s="1529" t="s">
        <v>28</v>
      </c>
      <c r="C90" s="1530" t="s">
        <v>2523</v>
      </c>
      <c r="D90" s="1706" t="s">
        <v>4</v>
      </c>
      <c r="E90" s="1537">
        <f>+Locales!BM144</f>
        <v>185</v>
      </c>
      <c r="F90" s="1531"/>
      <c r="G90" s="1560">
        <f>+'APU 09.24'!E36</f>
        <v>7250.1086533719017</v>
      </c>
      <c r="H90" s="1532">
        <f>F90+G90</f>
        <v>7250.1086533719017</v>
      </c>
      <c r="I90" s="1531"/>
      <c r="J90" s="1560">
        <f>+'APU 09.24'!H36</f>
        <v>9992.0861533187654</v>
      </c>
      <c r="K90" s="1532">
        <f>I90+J90</f>
        <v>9992.0861533187654</v>
      </c>
      <c r="L90" s="1560">
        <f>+'APU 09.24'!K36</f>
        <v>219.89812852357096</v>
      </c>
      <c r="M90" s="1532">
        <f t="shared" si="299"/>
        <v>17462.092935214238</v>
      </c>
      <c r="N90" s="1533">
        <f t="shared" si="300"/>
        <v>0</v>
      </c>
      <c r="O90" s="1533">
        <f t="shared" si="301"/>
        <v>1341270.1008738019</v>
      </c>
      <c r="P90" s="1533">
        <f t="shared" si="302"/>
        <v>0</v>
      </c>
      <c r="Q90" s="1533">
        <f t="shared" si="303"/>
        <v>1848535.9383639717</v>
      </c>
      <c r="R90" s="1533">
        <f t="shared" si="304"/>
        <v>40681.153776860629</v>
      </c>
      <c r="S90" s="1534">
        <f t="shared" si="305"/>
        <v>3230487.1930146343</v>
      </c>
      <c r="T90" s="1487"/>
      <c r="U90" s="1673">
        <f t="shared" ref="U90" si="308">+ROUNDUP(M90*$T$5,0)</f>
        <v>21948</v>
      </c>
      <c r="V90" s="1673">
        <f t="shared" ref="V90" si="309">+U90*E90</f>
        <v>4060380</v>
      </c>
      <c r="W90" s="1487"/>
      <c r="X90" s="1702"/>
    </row>
    <row r="91" spans="1:28" ht="21" outlineLevel="1">
      <c r="A91" s="1670">
        <v>11.03</v>
      </c>
      <c r="B91" s="1529" t="s">
        <v>28</v>
      </c>
      <c r="C91" s="1530" t="s">
        <v>2524</v>
      </c>
      <c r="D91" s="1706" t="s">
        <v>4</v>
      </c>
      <c r="E91" s="1537">
        <f>+Locales!BK144</f>
        <v>942</v>
      </c>
      <c r="F91" s="1531"/>
      <c r="G91" s="1560">
        <f>+'APU 09.24'!E36</f>
        <v>7250.1086533719017</v>
      </c>
      <c r="H91" s="1532">
        <f t="shared" ref="H91:H93" si="310">F91+G91</f>
        <v>7250.1086533719017</v>
      </c>
      <c r="I91" s="1531"/>
      <c r="J91" s="1560">
        <f>+'APU 09.24'!H36</f>
        <v>9992.0861533187654</v>
      </c>
      <c r="K91" s="1532">
        <f t="shared" ref="K91:K93" si="311">I91+J91</f>
        <v>9992.0861533187654</v>
      </c>
      <c r="L91" s="1560">
        <f>+'APU 09.24'!K36</f>
        <v>219.89812852357096</v>
      </c>
      <c r="M91" s="1532">
        <f t="shared" ref="M91:M94" si="312">H91+K91+L91</f>
        <v>17462.092935214238</v>
      </c>
      <c r="N91" s="1533">
        <f t="shared" ref="N91:N94" si="313">F91*E91</f>
        <v>0</v>
      </c>
      <c r="O91" s="1533">
        <f t="shared" ref="O91:O94" si="314">G91*E91</f>
        <v>6829602.3514763312</v>
      </c>
      <c r="P91" s="1533">
        <f t="shared" ref="P91:P94" si="315">I91*E91</f>
        <v>0</v>
      </c>
      <c r="Q91" s="1533">
        <f t="shared" ref="Q91:Q94" si="316">J91*E91</f>
        <v>9412545.156426277</v>
      </c>
      <c r="R91" s="1533">
        <f t="shared" ref="R91:R94" si="317">+L91*E91</f>
        <v>207144.03706920386</v>
      </c>
      <c r="S91" s="1534">
        <f t="shared" ref="S91:S94" si="318">SUM(N91:R91)</f>
        <v>16449291.544971811</v>
      </c>
      <c r="T91" s="1487"/>
      <c r="U91" s="1673">
        <f t="shared" ref="U91:U94" si="319">+ROUNDUP(M91*$T$5,0)</f>
        <v>21948</v>
      </c>
      <c r="V91" s="1673">
        <f t="shared" ref="V91:V94" si="320">+U91*E91</f>
        <v>20675016</v>
      </c>
      <c r="W91" s="1487"/>
      <c r="X91" s="1702"/>
    </row>
    <row r="92" spans="1:28" ht="21" outlineLevel="1">
      <c r="A92" s="1670">
        <v>11.04</v>
      </c>
      <c r="B92" s="1529" t="s">
        <v>28</v>
      </c>
      <c r="C92" s="1530" t="s">
        <v>2525</v>
      </c>
      <c r="D92" s="1706" t="s">
        <v>4</v>
      </c>
      <c r="E92" s="1537">
        <f>+Locales!BL144</f>
        <v>110</v>
      </c>
      <c r="F92" s="1531"/>
      <c r="G92" s="1560">
        <f>+'APU 09.24'!E37</f>
        <v>7250.1086533719017</v>
      </c>
      <c r="H92" s="1532">
        <f t="shared" si="310"/>
        <v>7250.1086533719017</v>
      </c>
      <c r="I92" s="1531"/>
      <c r="J92" s="1560">
        <f>+'APU 09.24'!H37</f>
        <v>12989.711999314395</v>
      </c>
      <c r="K92" s="1532">
        <f t="shared" si="311"/>
        <v>12989.711999314395</v>
      </c>
      <c r="L92" s="1560">
        <f>+'APU 09.24'!K37</f>
        <v>285.86756708064229</v>
      </c>
      <c r="M92" s="1532">
        <f t="shared" si="312"/>
        <v>20525.688219766937</v>
      </c>
      <c r="N92" s="1533">
        <f t="shared" si="313"/>
        <v>0</v>
      </c>
      <c r="O92" s="1533">
        <f t="shared" si="314"/>
        <v>797511.95187090919</v>
      </c>
      <c r="P92" s="1533">
        <f t="shared" si="315"/>
        <v>0</v>
      </c>
      <c r="Q92" s="1533">
        <f t="shared" si="316"/>
        <v>1428868.3199245834</v>
      </c>
      <c r="R92" s="1533">
        <f t="shared" si="317"/>
        <v>31445.432378870653</v>
      </c>
      <c r="S92" s="1534">
        <f t="shared" si="318"/>
        <v>2257825.7041743631</v>
      </c>
      <c r="T92" s="1487"/>
      <c r="U92" s="1673">
        <f t="shared" si="319"/>
        <v>25799</v>
      </c>
      <c r="V92" s="1673">
        <f t="shared" si="320"/>
        <v>2837890</v>
      </c>
      <c r="W92" s="1487"/>
      <c r="X92" s="1702"/>
    </row>
    <row r="93" spans="1:28" s="1693" customFormat="1" ht="21" outlineLevel="1">
      <c r="A93" s="1670">
        <v>11.05</v>
      </c>
      <c r="B93" s="1529" t="s">
        <v>28</v>
      </c>
      <c r="C93" s="1530" t="s">
        <v>102</v>
      </c>
      <c r="D93" s="1679" t="s">
        <v>4</v>
      </c>
      <c r="E93" s="1537">
        <f>+Locales!BN144</f>
        <v>128</v>
      </c>
      <c r="F93" s="1531"/>
      <c r="G93" s="1560">
        <f>+'APU 09.24'!E29</f>
        <v>3816.1086480000013</v>
      </c>
      <c r="H93" s="1532">
        <f t="shared" si="310"/>
        <v>3816.1086480000013</v>
      </c>
      <c r="I93" s="1531"/>
      <c r="J93" s="1560">
        <f>+'APU 09.24'!H29</f>
        <v>8702.6232034659097</v>
      </c>
      <c r="K93" s="1532">
        <f t="shared" si="311"/>
        <v>8702.6232034659097</v>
      </c>
      <c r="L93" s="1560">
        <f>+'APU 09.24'!K29</f>
        <v>274.73130856678659</v>
      </c>
      <c r="M93" s="1532">
        <f t="shared" si="312"/>
        <v>12793.463160032697</v>
      </c>
      <c r="N93" s="1533">
        <f t="shared" si="313"/>
        <v>0</v>
      </c>
      <c r="O93" s="1533">
        <f t="shared" si="314"/>
        <v>488461.90694400016</v>
      </c>
      <c r="P93" s="1533">
        <f t="shared" si="315"/>
        <v>0</v>
      </c>
      <c r="Q93" s="1533">
        <f t="shared" si="316"/>
        <v>1113935.7700436364</v>
      </c>
      <c r="R93" s="1533">
        <f t="shared" si="317"/>
        <v>35165.607496548684</v>
      </c>
      <c r="S93" s="1534">
        <f t="shared" si="318"/>
        <v>1637563.2844841853</v>
      </c>
      <c r="T93" s="1487"/>
      <c r="U93" s="1673">
        <f t="shared" si="319"/>
        <v>16080</v>
      </c>
      <c r="V93" s="1673">
        <f t="shared" si="320"/>
        <v>2058240</v>
      </c>
      <c r="W93" s="1498"/>
      <c r="X93" s="1664"/>
      <c r="Y93" s="1692"/>
      <c r="AB93" s="1692"/>
    </row>
    <row r="94" spans="1:28" ht="21" outlineLevel="1">
      <c r="A94" s="1670">
        <v>11.06</v>
      </c>
      <c r="B94" s="1529" t="s">
        <v>28</v>
      </c>
      <c r="C94" s="1530" t="s">
        <v>2526</v>
      </c>
      <c r="D94" s="1706" t="s">
        <v>4</v>
      </c>
      <c r="E94" s="1537">
        <f>+Locales!BP144</f>
        <v>48</v>
      </c>
      <c r="F94" s="1531"/>
      <c r="G94" s="1560">
        <f>+'APU 09.24'!E36</f>
        <v>7250.1086533719017</v>
      </c>
      <c r="H94" s="1532">
        <f t="shared" ref="H94" si="321">F94+G94</f>
        <v>7250.1086533719017</v>
      </c>
      <c r="I94" s="1531"/>
      <c r="J94" s="1560">
        <f>+'APU 09.24'!H36</f>
        <v>9992.0861533187654</v>
      </c>
      <c r="K94" s="1532">
        <f t="shared" ref="K94:K95" si="322">I94+J94</f>
        <v>9992.0861533187654</v>
      </c>
      <c r="L94" s="1560">
        <f>+'APU 09.24'!K36</f>
        <v>219.89812852357096</v>
      </c>
      <c r="M94" s="1532">
        <f t="shared" si="312"/>
        <v>17462.092935214238</v>
      </c>
      <c r="N94" s="1533">
        <f t="shared" si="313"/>
        <v>0</v>
      </c>
      <c r="O94" s="1533">
        <f t="shared" si="314"/>
        <v>348005.21536185127</v>
      </c>
      <c r="P94" s="1533">
        <f t="shared" si="315"/>
        <v>0</v>
      </c>
      <c r="Q94" s="1533">
        <f t="shared" si="316"/>
        <v>479620.13535930077</v>
      </c>
      <c r="R94" s="1533">
        <f t="shared" si="317"/>
        <v>10555.110169131407</v>
      </c>
      <c r="S94" s="1534">
        <f t="shared" si="318"/>
        <v>838180.46089028346</v>
      </c>
      <c r="T94" s="1487"/>
      <c r="U94" s="1673">
        <f t="shared" si="319"/>
        <v>21948</v>
      </c>
      <c r="V94" s="1673">
        <f t="shared" si="320"/>
        <v>1053504</v>
      </c>
      <c r="W94" s="1564"/>
      <c r="X94" s="1702"/>
    </row>
    <row r="95" spans="1:28" ht="21" outlineLevel="1">
      <c r="A95" s="1670">
        <v>11.07</v>
      </c>
      <c r="B95" s="1573" t="s">
        <v>31</v>
      </c>
      <c r="C95" s="1542" t="s">
        <v>2310</v>
      </c>
      <c r="D95" s="1712" t="s">
        <v>4</v>
      </c>
      <c r="E95" s="1547">
        <f>+Locales!BI144</f>
        <v>226</v>
      </c>
      <c r="F95" s="1546">
        <f>+Tareas!H135</f>
        <v>44376.421876106186</v>
      </c>
      <c r="G95" s="1546">
        <f>+Tareas!I135</f>
        <v>0</v>
      </c>
      <c r="H95" s="1544">
        <f>F95+G95</f>
        <v>44376.421876106186</v>
      </c>
      <c r="I95" s="1546">
        <f>+Tareas!Q135</f>
        <v>1659.2920353982302</v>
      </c>
      <c r="J95" s="1546">
        <f>+Tareas!R135</f>
        <v>11877.483062341447</v>
      </c>
      <c r="K95" s="1544">
        <f t="shared" si="322"/>
        <v>13536.775097739677</v>
      </c>
      <c r="L95" s="1546">
        <f>(H95+K95)*0.015</f>
        <v>868.69795460768796</v>
      </c>
      <c r="M95" s="1544">
        <f>H95+K95+L95</f>
        <v>58781.894928453556</v>
      </c>
      <c r="N95" s="1548">
        <f>F95*E95</f>
        <v>10029071.343999999</v>
      </c>
      <c r="O95" s="1548">
        <f>G95*E95</f>
        <v>0</v>
      </c>
      <c r="P95" s="1548">
        <f>I95*E95</f>
        <v>375000</v>
      </c>
      <c r="Q95" s="1548">
        <f t="shared" ref="Q95" si="323">J95*E95</f>
        <v>2684311.1720891669</v>
      </c>
      <c r="R95" s="1548">
        <f>+L95*E95</f>
        <v>196325.73774133748</v>
      </c>
      <c r="S95" s="1549">
        <f>SUM(N95:R95)</f>
        <v>13284708.253830504</v>
      </c>
      <c r="T95" s="1576"/>
      <c r="U95" s="1673">
        <f t="shared" ref="U95" si="324">+ROUNDUP(M95*$T$5,0)</f>
        <v>73882</v>
      </c>
      <c r="V95" s="1673">
        <f t="shared" ref="V95" si="325">+U95*E95</f>
        <v>16697332</v>
      </c>
      <c r="W95" s="1487"/>
      <c r="X95" s="1702"/>
    </row>
    <row r="96" spans="1:28" ht="21">
      <c r="A96" s="1512">
        <v>12</v>
      </c>
      <c r="B96" s="1513"/>
      <c r="C96" s="1517" t="s">
        <v>104</v>
      </c>
      <c r="D96" s="1518"/>
      <c r="E96" s="1519"/>
      <c r="F96" s="1519"/>
      <c r="G96" s="1519"/>
      <c r="H96" s="1519"/>
      <c r="I96" s="1519"/>
      <c r="J96" s="1519"/>
      <c r="K96" s="1519"/>
      <c r="L96" s="1519"/>
      <c r="M96" s="1520"/>
      <c r="N96" s="1519"/>
      <c r="O96" s="1519"/>
      <c r="P96" s="1519"/>
      <c r="Q96" s="1519"/>
      <c r="R96" s="1519"/>
      <c r="S96" s="1519"/>
      <c r="T96" s="1521">
        <f>SUM(S97:S101)</f>
        <v>8769049.6313986629</v>
      </c>
      <c r="U96" s="1519"/>
      <c r="V96" s="1519"/>
      <c r="W96" s="1522">
        <f>SUM(V97:V101)</f>
        <v>11022518</v>
      </c>
      <c r="X96" s="1664">
        <f>+W96/$W$216</f>
        <v>9.7769123958532569E-3</v>
      </c>
      <c r="Y96" s="1648">
        <f>+W96</f>
        <v>11022518</v>
      </c>
    </row>
    <row r="97" spans="1:28" ht="21" outlineLevel="1">
      <c r="A97" s="1665">
        <f>+A96+0.01</f>
        <v>12.01</v>
      </c>
      <c r="B97" s="1583" t="s">
        <v>31</v>
      </c>
      <c r="C97" s="1523" t="s">
        <v>105</v>
      </c>
      <c r="D97" s="1701" t="s">
        <v>59</v>
      </c>
      <c r="E97" s="1524">
        <f>+Locales!BQ144</f>
        <v>779</v>
      </c>
      <c r="F97" s="1575">
        <f>+Tareas!H148</f>
        <v>3132.231404958678</v>
      </c>
      <c r="G97" s="1575">
        <f>+Tareas!I148</f>
        <v>0</v>
      </c>
      <c r="H97" s="1525">
        <f>F97+G97</f>
        <v>3132.231404958678</v>
      </c>
      <c r="I97" s="1575">
        <f>+Tareas!Q148</f>
        <v>0</v>
      </c>
      <c r="J97" s="1575">
        <f>+Tareas!R148</f>
        <v>2684.888248793714</v>
      </c>
      <c r="K97" s="1525">
        <f>I97+J97</f>
        <v>2684.888248793714</v>
      </c>
      <c r="L97" s="1575">
        <f>(H97+K97)*0.015</f>
        <v>87.256794806285882</v>
      </c>
      <c r="M97" s="1525">
        <f>H97+K97+L97</f>
        <v>5904.376448558678</v>
      </c>
      <c r="N97" s="1526">
        <f>F97*E97</f>
        <v>2440008.26446281</v>
      </c>
      <c r="O97" s="1526">
        <f>G97*E97</f>
        <v>0</v>
      </c>
      <c r="P97" s="1526">
        <f>I97*E97</f>
        <v>0</v>
      </c>
      <c r="Q97" s="1526">
        <f>J97*E97</f>
        <v>2091527.9458103031</v>
      </c>
      <c r="R97" s="1526">
        <f>+L97*E97</f>
        <v>67973.043154096697</v>
      </c>
      <c r="S97" s="1527">
        <f>SUM(N97:R97)</f>
        <v>4599509.2534272093</v>
      </c>
      <c r="T97" s="1535"/>
      <c r="U97" s="1673">
        <f>+ROUNDUP(M97*$T$5,0)</f>
        <v>7422</v>
      </c>
      <c r="V97" s="1673">
        <f>+U97*E97</f>
        <v>5781738</v>
      </c>
      <c r="X97" s="1664"/>
    </row>
    <row r="98" spans="1:28" ht="10.5" outlineLevel="1">
      <c r="A98" s="1704">
        <v>12.02</v>
      </c>
      <c r="B98" s="1608" t="s">
        <v>28</v>
      </c>
      <c r="C98" s="1530" t="s">
        <v>1473</v>
      </c>
      <c r="D98" s="1705" t="s">
        <v>59</v>
      </c>
      <c r="E98" s="1621">
        <f>+Locales!BT144</f>
        <v>155</v>
      </c>
      <c r="F98" s="1587"/>
      <c r="G98" s="1560">
        <f>+'APU 09.24'!E21</f>
        <v>758.10738300000003</v>
      </c>
      <c r="H98" s="1532">
        <f>F98+G98</f>
        <v>758.10738300000003</v>
      </c>
      <c r="I98" s="1587"/>
      <c r="J98" s="1560">
        <f>+'APU 09.24'!H21</f>
        <v>3395.9551113285988</v>
      </c>
      <c r="K98" s="1532">
        <f>I98+J98</f>
        <v>3395.9551113285988</v>
      </c>
      <c r="L98" s="1560">
        <f>+'APU 09.24'!K21</f>
        <v>122.76855228141865</v>
      </c>
      <c r="M98" s="1532">
        <f>H98+K98+L98</f>
        <v>4276.8310466100174</v>
      </c>
      <c r="N98" s="1533">
        <f>F98*E98</f>
        <v>0</v>
      </c>
      <c r="O98" s="1533">
        <f>G98*E98</f>
        <v>117506.644365</v>
      </c>
      <c r="P98" s="1533">
        <f>I98*E98</f>
        <v>0</v>
      </c>
      <c r="Q98" s="1533">
        <f>J98*E98</f>
        <v>526373.04225593281</v>
      </c>
      <c r="R98" s="1533">
        <f>+L98*E98</f>
        <v>19029.12560361989</v>
      </c>
      <c r="S98" s="1534">
        <f>SUM(N98:R98)</f>
        <v>662908.81222455262</v>
      </c>
      <c r="T98" s="1535"/>
      <c r="U98" s="1673">
        <f>+ROUNDUP(M98*$T$5,0)</f>
        <v>5376</v>
      </c>
      <c r="V98" s="1673">
        <f>+U98*E98</f>
        <v>833280</v>
      </c>
      <c r="X98" s="1664"/>
    </row>
    <row r="99" spans="1:28" ht="21" outlineLevel="1">
      <c r="A99" s="1704">
        <v>12.03</v>
      </c>
      <c r="B99" s="1608" t="s">
        <v>28</v>
      </c>
      <c r="C99" s="1580" t="s">
        <v>2527</v>
      </c>
      <c r="D99" s="1705" t="s">
        <v>59</v>
      </c>
      <c r="E99" s="1621">
        <f>+Locales!BR144</f>
        <v>37</v>
      </c>
      <c r="F99" s="1587"/>
      <c r="G99" s="1560">
        <f>+'APU 09.24'!E38</f>
        <v>1185.4173163966941</v>
      </c>
      <c r="H99" s="1532">
        <f>F99+G99</f>
        <v>1185.4173163966941</v>
      </c>
      <c r="I99" s="1587"/>
      <c r="J99" s="1560">
        <f>+'APU 09.24'!H38</f>
        <v>4329.9039997714654</v>
      </c>
      <c r="K99" s="1532">
        <f>I99+J99</f>
        <v>4329.9039997714654</v>
      </c>
      <c r="L99" s="1560">
        <f>+'APU 09.24'!K38</f>
        <v>95.289189026880749</v>
      </c>
      <c r="M99" s="1532">
        <f>H99+K99+L99</f>
        <v>5610.6105051950408</v>
      </c>
      <c r="N99" s="1533">
        <f>F99*E99</f>
        <v>0</v>
      </c>
      <c r="O99" s="1533">
        <f>G99*E99</f>
        <v>43860.440706677684</v>
      </c>
      <c r="P99" s="1533">
        <f>I99*E99</f>
        <v>0</v>
      </c>
      <c r="Q99" s="1533">
        <f>J99*E99</f>
        <v>160206.44799154421</v>
      </c>
      <c r="R99" s="1533">
        <f>+L99*E99</f>
        <v>3525.6999939945877</v>
      </c>
      <c r="S99" s="1534">
        <f>SUM(N99:R99)</f>
        <v>207592.58869221646</v>
      </c>
      <c r="T99" s="1535"/>
      <c r="U99" s="1673">
        <f>+ROUNDUP(M99*$T$5,0)</f>
        <v>7052</v>
      </c>
      <c r="V99" s="1673">
        <f>+U99*E99</f>
        <v>260924</v>
      </c>
      <c r="X99" s="1664"/>
    </row>
    <row r="100" spans="1:28" ht="21" outlineLevel="1">
      <c r="A100" s="1704">
        <v>12.04</v>
      </c>
      <c r="B100" s="1608" t="s">
        <v>28</v>
      </c>
      <c r="C100" s="1580" t="s">
        <v>2528</v>
      </c>
      <c r="D100" s="1705" t="s">
        <v>59</v>
      </c>
      <c r="E100" s="1621">
        <f>+Locales!BS144</f>
        <v>433</v>
      </c>
      <c r="F100" s="1587"/>
      <c r="G100" s="1560">
        <f>+'APU 09.24'!E38</f>
        <v>1185.4173163966941</v>
      </c>
      <c r="H100" s="1532">
        <f>F100+G100</f>
        <v>1185.4173163966941</v>
      </c>
      <c r="I100" s="1587"/>
      <c r="J100" s="1560">
        <f>+'APU 09.24'!H38</f>
        <v>4329.9039997714654</v>
      </c>
      <c r="K100" s="1532">
        <f>I100+J100</f>
        <v>4329.9039997714654</v>
      </c>
      <c r="L100" s="1560">
        <f>+'APU 09.24'!K38</f>
        <v>95.289189026880749</v>
      </c>
      <c r="M100" s="1532">
        <f>H100+K100+L100</f>
        <v>5610.6105051950408</v>
      </c>
      <c r="N100" s="1533">
        <f>F100*E100</f>
        <v>0</v>
      </c>
      <c r="O100" s="1533">
        <f>G100*E100</f>
        <v>513285.69799976854</v>
      </c>
      <c r="P100" s="1533">
        <f>I100*E100</f>
        <v>0</v>
      </c>
      <c r="Q100" s="1533">
        <f>J100*E100</f>
        <v>1874848.4319010444</v>
      </c>
      <c r="R100" s="1533">
        <f>+L100*E100</f>
        <v>41260.218848639364</v>
      </c>
      <c r="S100" s="1534">
        <f>SUM(N100:R100)</f>
        <v>2429394.3487494523</v>
      </c>
      <c r="T100" s="1535"/>
      <c r="U100" s="1673">
        <f>+ROUNDUP(M100*$T$5,0)</f>
        <v>7052</v>
      </c>
      <c r="V100" s="1673">
        <f>+U100*E100</f>
        <v>3053516</v>
      </c>
      <c r="X100" s="1664"/>
    </row>
    <row r="101" spans="1:28" ht="31.5" outlineLevel="1">
      <c r="A101" s="1670">
        <v>12.05</v>
      </c>
      <c r="B101" s="1529" t="s">
        <v>28</v>
      </c>
      <c r="C101" s="1580" t="s">
        <v>2529</v>
      </c>
      <c r="D101" s="1706" t="s">
        <v>59</v>
      </c>
      <c r="E101" s="1537">
        <f>+Locales!BT144</f>
        <v>155</v>
      </c>
      <c r="F101" s="1531"/>
      <c r="G101" s="1560">
        <f>+'APU 09.24'!E38</f>
        <v>1185.4173163966941</v>
      </c>
      <c r="H101" s="1532">
        <f>F101+G101</f>
        <v>1185.4173163966941</v>
      </c>
      <c r="I101" s="1531"/>
      <c r="J101" s="1560">
        <f>+'APU 09.24'!H38</f>
        <v>4329.9039997714654</v>
      </c>
      <c r="K101" s="1532">
        <f>I101+J101</f>
        <v>4329.9039997714654</v>
      </c>
      <c r="L101" s="1560">
        <f>+'APU 09.24'!K38</f>
        <v>95.289189026880749</v>
      </c>
      <c r="M101" s="1532">
        <f>H101+K101+L101</f>
        <v>5610.6105051950408</v>
      </c>
      <c r="N101" s="1533">
        <f>F101*E101</f>
        <v>0</v>
      </c>
      <c r="O101" s="1533">
        <f>G101*E101</f>
        <v>183739.68404148758</v>
      </c>
      <c r="P101" s="1533">
        <f>I101*E101</f>
        <v>0</v>
      </c>
      <c r="Q101" s="1533">
        <f>J101*E101</f>
        <v>671135.11996457714</v>
      </c>
      <c r="R101" s="1533">
        <f>+L101*E101</f>
        <v>14769.824299166516</v>
      </c>
      <c r="S101" s="1534">
        <f>SUM(N101:R101)</f>
        <v>869644.62830523134</v>
      </c>
      <c r="T101" s="1535"/>
      <c r="U101" s="1673">
        <f>+ROUNDUP(M101*$T$5,0)</f>
        <v>7052</v>
      </c>
      <c r="V101" s="1673">
        <f>+U101*E101</f>
        <v>1093060</v>
      </c>
      <c r="X101" s="1664"/>
    </row>
    <row r="102" spans="1:28" ht="21">
      <c r="A102" s="1512">
        <v>13</v>
      </c>
      <c r="B102" s="1513"/>
      <c r="C102" s="1517" t="s">
        <v>109</v>
      </c>
      <c r="D102" s="1518"/>
      <c r="E102" s="1519"/>
      <c r="F102" s="1519"/>
      <c r="G102" s="1519"/>
      <c r="H102" s="1519"/>
      <c r="I102" s="1519"/>
      <c r="J102" s="1519"/>
      <c r="K102" s="1519"/>
      <c r="L102" s="1519"/>
      <c r="M102" s="1520"/>
      <c r="N102" s="1519"/>
      <c r="O102" s="1519"/>
      <c r="P102" s="1519"/>
      <c r="Q102" s="1519"/>
      <c r="R102" s="1519"/>
      <c r="S102" s="1519"/>
      <c r="T102" s="1521">
        <f>SUM(S103:S106)</f>
        <v>15460934.564319279</v>
      </c>
      <c r="U102" s="1519"/>
      <c r="V102" s="1519"/>
      <c r="W102" s="1522">
        <f>SUM(V103:V106)</f>
        <v>19433086.480999999</v>
      </c>
      <c r="X102" s="1664">
        <f>+W102/$W$216</f>
        <v>1.7237040039832754E-2</v>
      </c>
      <c r="Y102" s="1648">
        <f>+W102</f>
        <v>19433086.480999999</v>
      </c>
    </row>
    <row r="103" spans="1:28" ht="21" outlineLevel="1">
      <c r="A103" s="1529">
        <v>13.01</v>
      </c>
      <c r="B103" s="1529" t="s">
        <v>28</v>
      </c>
      <c r="C103" s="1530" t="s">
        <v>2530</v>
      </c>
      <c r="D103" s="1710" t="s">
        <v>4</v>
      </c>
      <c r="E103" s="1672">
        <f>+Locales!BW144</f>
        <v>511</v>
      </c>
      <c r="F103" s="1560"/>
      <c r="G103" s="1560">
        <f>+'APU 09.24'!E37</f>
        <v>7250.1086533719017</v>
      </c>
      <c r="H103" s="1532">
        <f>F103+G103</f>
        <v>7250.1086533719017</v>
      </c>
      <c r="I103" s="1560"/>
      <c r="J103" s="1560">
        <f>+'APU 09.24'!H37</f>
        <v>12989.711999314395</v>
      </c>
      <c r="K103" s="1532">
        <f>I103+J103</f>
        <v>12989.711999314395</v>
      </c>
      <c r="L103" s="1560">
        <f>+'APU 09.24'!K37</f>
        <v>285.86756708064229</v>
      </c>
      <c r="M103" s="1532">
        <f>H103+K103+L103</f>
        <v>20525.688219766937</v>
      </c>
      <c r="N103" s="1533">
        <f>F103*E103</f>
        <v>0</v>
      </c>
      <c r="O103" s="1533">
        <f>G103*E103</f>
        <v>3704805.521873042</v>
      </c>
      <c r="P103" s="1533">
        <f>I103*E103</f>
        <v>0</v>
      </c>
      <c r="Q103" s="1533">
        <f>J103*E103</f>
        <v>6637742.8316496555</v>
      </c>
      <c r="R103" s="1533">
        <f>+L103*E103</f>
        <v>146078.3267782082</v>
      </c>
      <c r="S103" s="1534">
        <f>SUM(N103:R103)</f>
        <v>10488626.680300906</v>
      </c>
      <c r="T103" s="1487"/>
      <c r="U103" s="1673">
        <f>+ROUNDUP(M103*$T$5,0)</f>
        <v>25799</v>
      </c>
      <c r="V103" s="1673">
        <f>+U103*E103</f>
        <v>13183289</v>
      </c>
      <c r="X103" s="1664"/>
    </row>
    <row r="104" spans="1:28" ht="21" outlineLevel="1">
      <c r="A104" s="1529">
        <v>13.02</v>
      </c>
      <c r="B104" s="1529"/>
      <c r="C104" s="1530" t="s">
        <v>2531</v>
      </c>
      <c r="D104" s="1710" t="s">
        <v>4</v>
      </c>
      <c r="E104" s="1672">
        <f>+Locales!BV144</f>
        <v>40</v>
      </c>
      <c r="F104" s="1560"/>
      <c r="G104" s="1560">
        <f>+'APU 09.24'!E37</f>
        <v>7250.1086533719017</v>
      </c>
      <c r="H104" s="1532">
        <f>F104+G104</f>
        <v>7250.1086533719017</v>
      </c>
      <c r="I104" s="1560"/>
      <c r="J104" s="1560">
        <f>+'APU 09.24'!H37</f>
        <v>12989.711999314395</v>
      </c>
      <c r="K104" s="1532">
        <f>I104+J104</f>
        <v>12989.711999314395</v>
      </c>
      <c r="L104" s="1560">
        <f>+'APU 09.24'!K37</f>
        <v>285.86756708064229</v>
      </c>
      <c r="M104" s="1532">
        <f>H104+K104+L104</f>
        <v>20525.688219766937</v>
      </c>
      <c r="N104" s="1533">
        <f>F104*E104</f>
        <v>0</v>
      </c>
      <c r="O104" s="1533">
        <f>G104*E104</f>
        <v>290004.34613487608</v>
      </c>
      <c r="P104" s="1533">
        <f>I104*E104</f>
        <v>0</v>
      </c>
      <c r="Q104" s="1533">
        <f>J104*E104</f>
        <v>519588.47997257579</v>
      </c>
      <c r="R104" s="1533">
        <f>+L104*E104</f>
        <v>11434.702683225692</v>
      </c>
      <c r="S104" s="1534">
        <f>SUM(N104:R104)</f>
        <v>821027.52879067766</v>
      </c>
      <c r="T104" s="1487"/>
      <c r="U104" s="1673">
        <f>+ROUNDUP(M104*$T$5,0)</f>
        <v>25799</v>
      </c>
      <c r="V104" s="1673">
        <f>+U104*E104</f>
        <v>1031960</v>
      </c>
      <c r="X104" s="1664"/>
    </row>
    <row r="105" spans="1:28" ht="21" outlineLevel="1">
      <c r="A105" s="1529">
        <v>13.03</v>
      </c>
      <c r="B105" s="1529" t="s">
        <v>28</v>
      </c>
      <c r="C105" s="1530" t="s">
        <v>2532</v>
      </c>
      <c r="D105" s="1706" t="s">
        <v>4</v>
      </c>
      <c r="E105" s="1537">
        <f>+Computo!H169</f>
        <v>147.60100000000003</v>
      </c>
      <c r="F105" s="1531"/>
      <c r="G105" s="1560">
        <f>+'APU 09.24'!E36</f>
        <v>7250.1086533719017</v>
      </c>
      <c r="H105" s="1532">
        <f>F105+G105</f>
        <v>7250.1086533719017</v>
      </c>
      <c r="I105" s="1562">
        <f>+J105*0.25</f>
        <v>3247.4279998285988</v>
      </c>
      <c r="J105" s="1560">
        <f>+'APU 09.24'!H37</f>
        <v>12989.711999314395</v>
      </c>
      <c r="K105" s="1532">
        <f>I105+J105</f>
        <v>16237.139999142993</v>
      </c>
      <c r="L105" s="1560">
        <f>+'APU 09.24'!K37</f>
        <v>285.86756708064229</v>
      </c>
      <c r="M105" s="1532">
        <f>H105+K105+L105</f>
        <v>23773.116219595537</v>
      </c>
      <c r="N105" s="1533">
        <f>F105*E105</f>
        <v>0</v>
      </c>
      <c r="O105" s="1533">
        <f>G105*E105</f>
        <v>1070123.2873463463</v>
      </c>
      <c r="P105" s="1533">
        <f>I105*E105</f>
        <v>479323.62020270107</v>
      </c>
      <c r="Q105" s="1533">
        <f>J105*E105</f>
        <v>1917294.4808108043</v>
      </c>
      <c r="R105" s="1533">
        <f>+L105*E105</f>
        <v>42194.338768669892</v>
      </c>
      <c r="S105" s="1534">
        <f>SUM(N105:R105)</f>
        <v>3508935.7271285215</v>
      </c>
      <c r="T105" s="1487"/>
      <c r="U105" s="1673">
        <f>+ROUNDUP(M105*$T$5,0)</f>
        <v>29881</v>
      </c>
      <c r="V105" s="1673">
        <f>+U105*E105</f>
        <v>4410465.4810000006</v>
      </c>
      <c r="W105" s="1487"/>
      <c r="X105" s="1702"/>
    </row>
    <row r="106" spans="1:28" ht="21" outlineLevel="1">
      <c r="A106" s="1573">
        <v>13.04</v>
      </c>
      <c r="B106" s="1573" t="s">
        <v>28</v>
      </c>
      <c r="C106" s="1542" t="s">
        <v>110</v>
      </c>
      <c r="D106" s="1713" t="s">
        <v>77</v>
      </c>
      <c r="E106" s="1677">
        <f>+Computo!E149</f>
        <v>41</v>
      </c>
      <c r="F106" s="1547"/>
      <c r="G106" s="1539">
        <f>+Cotizaciones!D68</f>
        <v>15666.94214876033</v>
      </c>
      <c r="H106" s="1544">
        <f>F106+G106</f>
        <v>15666.94214876033</v>
      </c>
      <c r="I106" s="1547"/>
      <c r="J106" s="1569"/>
      <c r="K106" s="1544">
        <f>I106+J106</f>
        <v>0</v>
      </c>
      <c r="L106" s="1569"/>
      <c r="M106" s="1544">
        <f>H106+K106+L106</f>
        <v>15666.94214876033</v>
      </c>
      <c r="N106" s="1548">
        <f>F106*E106</f>
        <v>0</v>
      </c>
      <c r="O106" s="1548">
        <f>G106*E106</f>
        <v>642344.62809917354</v>
      </c>
      <c r="P106" s="1548">
        <f>I106*E106</f>
        <v>0</v>
      </c>
      <c r="Q106" s="1548">
        <f>J106*E106</f>
        <v>0</v>
      </c>
      <c r="R106" s="1548">
        <f>+L106*E106</f>
        <v>0</v>
      </c>
      <c r="S106" s="1549">
        <f>SUM(N106:R106)</f>
        <v>642344.62809917354</v>
      </c>
      <c r="T106" s="1487"/>
      <c r="U106" s="1714">
        <f>+ROUNDUP(M106*$T$5,0)</f>
        <v>19692</v>
      </c>
      <c r="V106" s="1714">
        <f>+U106*E106</f>
        <v>807372</v>
      </c>
      <c r="X106" s="1664"/>
    </row>
    <row r="107" spans="1:28" s="1693" customFormat="1" ht="10.5">
      <c r="A107" s="1512">
        <v>14</v>
      </c>
      <c r="B107" s="1513"/>
      <c r="C107" s="1517" t="s">
        <v>111</v>
      </c>
      <c r="D107" s="1518"/>
      <c r="E107" s="1519"/>
      <c r="F107" s="1519"/>
      <c r="G107" s="1519"/>
      <c r="H107" s="1519"/>
      <c r="I107" s="1519"/>
      <c r="J107" s="1519"/>
      <c r="K107" s="1519"/>
      <c r="L107" s="1519"/>
      <c r="M107" s="1520"/>
      <c r="N107" s="1519"/>
      <c r="O107" s="1519"/>
      <c r="P107" s="1519"/>
      <c r="Q107" s="1519"/>
      <c r="R107" s="1519"/>
      <c r="S107" s="1519"/>
      <c r="T107" s="1521">
        <f>SUM(S108:S114)</f>
        <v>40015552.389827222</v>
      </c>
      <c r="U107" s="1519"/>
      <c r="V107" s="1519"/>
      <c r="W107" s="1522">
        <f>SUM(V108:V114)</f>
        <v>50296168.959899999</v>
      </c>
      <c r="X107" s="1664">
        <f>+W107/$W$216</f>
        <v>4.4612423202028441E-2</v>
      </c>
      <c r="Y107" s="1648">
        <f>+W107</f>
        <v>50296168.959899999</v>
      </c>
      <c r="AB107" s="1692"/>
    </row>
    <row r="108" spans="1:28" ht="10.5" outlineLevel="1">
      <c r="A108" s="1665">
        <f>+A107+0.01</f>
        <v>14.01</v>
      </c>
      <c r="B108" s="1583" t="s">
        <v>28</v>
      </c>
      <c r="C108" s="1523" t="s">
        <v>112</v>
      </c>
      <c r="D108" s="1709" t="s">
        <v>4</v>
      </c>
      <c r="E108" s="1668">
        <f>+Locales!AF144</f>
        <v>334.91519999999997</v>
      </c>
      <c r="F108" s="1557">
        <f>+'APU 09.24'!E40</f>
        <v>9357.531771197835</v>
      </c>
      <c r="G108" s="1557"/>
      <c r="H108" s="1525">
        <f>F108+G108</f>
        <v>9357.531771197835</v>
      </c>
      <c r="I108" s="1557">
        <f>+'APU 09.24'!H40</f>
        <v>13673.38105190989</v>
      </c>
      <c r="J108" s="1557"/>
      <c r="K108" s="1525">
        <f>I108+J108</f>
        <v>13673.38105190989</v>
      </c>
      <c r="L108" s="1557">
        <f>+'APU 09.24'!K40</f>
        <v>256.8223600688724</v>
      </c>
      <c r="M108" s="1525">
        <f>H108+K108+L108</f>
        <v>23287.735183176599</v>
      </c>
      <c r="N108" s="1526">
        <f t="shared" ref="N108:N113" si="326">F108*E108</f>
        <v>3133979.6246570768</v>
      </c>
      <c r="O108" s="1526">
        <f t="shared" ref="O108:O113" si="327">G108*E108</f>
        <v>0</v>
      </c>
      <c r="P108" s="1526">
        <f t="shared" ref="P108:P113" si="328">I108*E108</f>
        <v>4579423.1496766107</v>
      </c>
      <c r="Q108" s="1526">
        <f t="shared" ref="Q108:Q113" si="329">J108*E108</f>
        <v>0</v>
      </c>
      <c r="R108" s="1526">
        <f t="shared" ref="R108:R113" si="330">+L108*E108</f>
        <v>86013.712086938409</v>
      </c>
      <c r="S108" s="1527">
        <f t="shared" ref="S108:S124" si="331">SUM(N108:R108)</f>
        <v>7799416.4864206258</v>
      </c>
      <c r="T108" s="1535"/>
      <c r="U108" s="1673">
        <f t="shared" ref="U108:U114" si="332">+ROUNDUP(M108*$T$5,0)</f>
        <v>29270</v>
      </c>
      <c r="V108" s="1673">
        <f t="shared" ref="V108:V114" si="333">+U108*E108</f>
        <v>9802967.9039999992</v>
      </c>
      <c r="X108" s="1664"/>
    </row>
    <row r="109" spans="1:28" ht="10.5" outlineLevel="1">
      <c r="A109" s="1670">
        <f t="shared" ref="A109" si="334">+A108+0.01</f>
        <v>14.02</v>
      </c>
      <c r="B109" s="1529" t="s">
        <v>28</v>
      </c>
      <c r="C109" s="1530" t="s">
        <v>113</v>
      </c>
      <c r="D109" s="1710" t="s">
        <v>4</v>
      </c>
      <c r="E109" s="1672">
        <f>+Locales!AG144</f>
        <v>280.3913</v>
      </c>
      <c r="F109" s="1560">
        <f>+'APU 09.24'!E41</f>
        <v>13094.309718890145</v>
      </c>
      <c r="G109" s="1560"/>
      <c r="H109" s="1532">
        <f t="shared" ref="H109:H113" si="335">F109+G109</f>
        <v>13094.309718890145</v>
      </c>
      <c r="I109" s="1560">
        <f>+'APU 09.24'!H41</f>
        <v>13673.38105190989</v>
      </c>
      <c r="J109" s="1560"/>
      <c r="K109" s="1532">
        <f t="shared" ref="K109" si="336">I109+J109</f>
        <v>13673.38105190989</v>
      </c>
      <c r="L109" s="1560">
        <f>+'APU 09.24'!K41</f>
        <v>256.8223600688724</v>
      </c>
      <c r="M109" s="1532">
        <f t="shared" ref="M109" si="337">H109+K109+L109</f>
        <v>27024.513130868909</v>
      </c>
      <c r="N109" s="1533">
        <f>F109*E109</f>
        <v>3671530.5246822424</v>
      </c>
      <c r="O109" s="1533">
        <f>G109*E109</f>
        <v>0</v>
      </c>
      <c r="P109" s="1533">
        <f>I109*E109</f>
        <v>3833897.0885403813</v>
      </c>
      <c r="Q109" s="1533">
        <f>J109*E109</f>
        <v>0</v>
      </c>
      <c r="R109" s="1533">
        <f>+L109*E109</f>
        <v>72010.755408779223</v>
      </c>
      <c r="S109" s="1534">
        <f t="shared" ref="S109" si="338">SUM(N109:R109)</f>
        <v>7577438.368631402</v>
      </c>
      <c r="T109" s="1535"/>
      <c r="U109" s="1673">
        <f t="shared" si="332"/>
        <v>33967</v>
      </c>
      <c r="V109" s="1673">
        <f t="shared" si="333"/>
        <v>9524051.2871000003</v>
      </c>
      <c r="X109" s="1664"/>
    </row>
    <row r="110" spans="1:28" ht="10.5" outlineLevel="1">
      <c r="A110" s="1670">
        <v>14.03</v>
      </c>
      <c r="B110" s="1529" t="s">
        <v>28</v>
      </c>
      <c r="C110" s="1530" t="s">
        <v>2321</v>
      </c>
      <c r="D110" s="1710" t="s">
        <v>59</v>
      </c>
      <c r="E110" s="1672">
        <f>+Locales!AI144</f>
        <v>60.8</v>
      </c>
      <c r="F110" s="1560">
        <f>+'APU 09.24'!E40</f>
        <v>9357.531771197835</v>
      </c>
      <c r="G110" s="1560"/>
      <c r="H110" s="1532">
        <f t="shared" si="335"/>
        <v>9357.531771197835</v>
      </c>
      <c r="I110" s="1560">
        <f>+'APU 09.24'!H40</f>
        <v>13673.38105190989</v>
      </c>
      <c r="J110" s="1560"/>
      <c r="K110" s="1532">
        <f t="shared" ref="K110:K112" si="339">I110+J110</f>
        <v>13673.38105190989</v>
      </c>
      <c r="L110" s="1560">
        <f>+'APU 09.24'!K40</f>
        <v>256.8223600688724</v>
      </c>
      <c r="M110" s="1532">
        <f t="shared" ref="M110:M112" si="340">H110+K110+L110</f>
        <v>23287.735183176599</v>
      </c>
      <c r="N110" s="1533">
        <f>F110*E110</f>
        <v>568937.93168882839</v>
      </c>
      <c r="O110" s="1533">
        <f>G110*E110</f>
        <v>0</v>
      </c>
      <c r="P110" s="1533">
        <f>I110*E110</f>
        <v>831341.56795612129</v>
      </c>
      <c r="Q110" s="1533">
        <f>J110*E110</f>
        <v>0</v>
      </c>
      <c r="R110" s="1533">
        <f>+L110*E110</f>
        <v>15614.799492187442</v>
      </c>
      <c r="S110" s="1534">
        <f t="shared" ref="S110:S114" si="341">SUM(N110:R110)</f>
        <v>1415894.2991371369</v>
      </c>
      <c r="T110" s="1535"/>
      <c r="U110" s="1673">
        <f t="shared" si="332"/>
        <v>29270</v>
      </c>
      <c r="V110" s="1673">
        <f t="shared" si="333"/>
        <v>1779616</v>
      </c>
      <c r="X110" s="1664"/>
    </row>
    <row r="111" spans="1:28" ht="10.5" outlineLevel="1">
      <c r="A111" s="1670">
        <v>14.04</v>
      </c>
      <c r="B111" s="1529" t="s">
        <v>28</v>
      </c>
      <c r="C111" s="1530" t="s">
        <v>114</v>
      </c>
      <c r="D111" s="1710" t="s">
        <v>59</v>
      </c>
      <c r="E111" s="1672">
        <f>+Locales!AH144</f>
        <v>1058.3799999999997</v>
      </c>
      <c r="F111" s="1560">
        <f>+'APU 09.24'!E60</f>
        <v>1093.3011417</v>
      </c>
      <c r="G111" s="1531"/>
      <c r="H111" s="1532">
        <f t="shared" si="335"/>
        <v>1093.3011417</v>
      </c>
      <c r="I111" s="1560">
        <f>+'APU 09.24'!H60</f>
        <v>5007.5365484381318</v>
      </c>
      <c r="J111" s="1531"/>
      <c r="K111" s="1532">
        <f t="shared" si="339"/>
        <v>5007.5365484381318</v>
      </c>
      <c r="L111" s="1560">
        <f>+'APU 09.24'!K60</f>
        <v>162.65416137695254</v>
      </c>
      <c r="M111" s="1532">
        <f t="shared" si="340"/>
        <v>6263.4918515150839</v>
      </c>
      <c r="N111" s="1533">
        <f t="shared" ref="N111:N112" si="342">F111*E111</f>
        <v>1157128.0623524457</v>
      </c>
      <c r="O111" s="1533">
        <f t="shared" ref="O111:O112" si="343">G111*E111</f>
        <v>0</v>
      </c>
      <c r="P111" s="1533">
        <f t="shared" ref="P111:P112" si="344">I111*E111</f>
        <v>5299876.5321359485</v>
      </c>
      <c r="Q111" s="1533">
        <f t="shared" ref="Q111:Q112" si="345">J111*E111</f>
        <v>0</v>
      </c>
      <c r="R111" s="1533">
        <f t="shared" ref="R111:R112" si="346">+L111*E111</f>
        <v>172149.91131813897</v>
      </c>
      <c r="S111" s="1534">
        <f t="shared" si="341"/>
        <v>6629154.5058065336</v>
      </c>
      <c r="T111" s="1535"/>
      <c r="U111" s="1673">
        <f t="shared" si="332"/>
        <v>7873</v>
      </c>
      <c r="V111" s="1673">
        <f t="shared" si="333"/>
        <v>8332625.7399999974</v>
      </c>
      <c r="X111" s="1664"/>
    </row>
    <row r="112" spans="1:28" s="1693" customFormat="1" ht="10.5" outlineLevel="1">
      <c r="A112" s="1670">
        <v>14.05</v>
      </c>
      <c r="B112" s="1529" t="s">
        <v>28</v>
      </c>
      <c r="C112" s="1530" t="s">
        <v>115</v>
      </c>
      <c r="D112" s="1710" t="s">
        <v>4</v>
      </c>
      <c r="E112" s="1672">
        <f>+Locales!AK144</f>
        <v>504.12220000000002</v>
      </c>
      <c r="F112" s="1531">
        <f>+Tareas!H153</f>
        <v>0</v>
      </c>
      <c r="G112" s="1531">
        <f>+Tareas!I153</f>
        <v>5770.2850618361972</v>
      </c>
      <c r="H112" s="1532">
        <f t="shared" si="335"/>
        <v>5770.2850618361972</v>
      </c>
      <c r="I112" s="1531">
        <f>+Tareas!Q153</f>
        <v>12817.951531348474</v>
      </c>
      <c r="J112" s="1531">
        <f>+Tareas!R153</f>
        <v>0</v>
      </c>
      <c r="K112" s="1532">
        <f t="shared" si="339"/>
        <v>12817.951531348474</v>
      </c>
      <c r="L112" s="1531"/>
      <c r="M112" s="1532">
        <f t="shared" si="340"/>
        <v>18588.236593184673</v>
      </c>
      <c r="N112" s="1533">
        <f t="shared" si="342"/>
        <v>0</v>
      </c>
      <c r="O112" s="1533">
        <f t="shared" si="343"/>
        <v>2908928.8</v>
      </c>
      <c r="P112" s="1533">
        <f t="shared" si="344"/>
        <v>6461813.9254767615</v>
      </c>
      <c r="Q112" s="1533">
        <f t="shared" si="345"/>
        <v>0</v>
      </c>
      <c r="R112" s="1533">
        <f t="shared" si="346"/>
        <v>0</v>
      </c>
      <c r="S112" s="1534">
        <f t="shared" si="341"/>
        <v>9370742.7254767604</v>
      </c>
      <c r="T112" s="1535"/>
      <c r="U112" s="1673">
        <f t="shared" si="332"/>
        <v>23364</v>
      </c>
      <c r="V112" s="1673">
        <f t="shared" si="333"/>
        <v>11778311.080800001</v>
      </c>
      <c r="W112" s="1498"/>
      <c r="X112" s="1664"/>
      <c r="Y112" s="1692"/>
      <c r="AB112" s="1692"/>
    </row>
    <row r="113" spans="1:28" s="1693" customFormat="1" ht="10.5" outlineLevel="1">
      <c r="A113" s="1670">
        <v>14.06</v>
      </c>
      <c r="B113" s="1529" t="s">
        <v>28</v>
      </c>
      <c r="C113" s="1530" t="s">
        <v>116</v>
      </c>
      <c r="D113" s="1710" t="s">
        <v>59</v>
      </c>
      <c r="E113" s="1672">
        <f>+Locales!AL144</f>
        <v>555.99</v>
      </c>
      <c r="F113" s="1531"/>
      <c r="G113" s="1537"/>
      <c r="H113" s="1532">
        <f t="shared" si="335"/>
        <v>0</v>
      </c>
      <c r="I113" s="1539">
        <f>+SUBCONTRATOS!D29</f>
        <v>10160.57133582501</v>
      </c>
      <c r="J113" s="1537"/>
      <c r="K113" s="1532">
        <f>I113+J113</f>
        <v>10160.57133582501</v>
      </c>
      <c r="L113" s="1531"/>
      <c r="M113" s="1532">
        <f t="shared" ref="M113" si="347">H113+K113+L113</f>
        <v>10160.57133582501</v>
      </c>
      <c r="N113" s="1533">
        <f t="shared" si="326"/>
        <v>0</v>
      </c>
      <c r="O113" s="1533">
        <f t="shared" si="327"/>
        <v>0</v>
      </c>
      <c r="P113" s="1533">
        <f t="shared" si="328"/>
        <v>5649176.0570053477</v>
      </c>
      <c r="Q113" s="1533">
        <f t="shared" si="329"/>
        <v>0</v>
      </c>
      <c r="R113" s="1533">
        <f t="shared" si="330"/>
        <v>0</v>
      </c>
      <c r="S113" s="1534">
        <f t="shared" si="341"/>
        <v>5649176.0570053477</v>
      </c>
      <c r="T113" s="1535"/>
      <c r="U113" s="1673">
        <f t="shared" si="332"/>
        <v>12771</v>
      </c>
      <c r="V113" s="1673">
        <f t="shared" si="333"/>
        <v>7100548.29</v>
      </c>
      <c r="W113" s="1498"/>
      <c r="X113" s="1664"/>
      <c r="Y113" s="1692"/>
      <c r="AB113" s="1692"/>
    </row>
    <row r="114" spans="1:28" ht="10.5" outlineLevel="1">
      <c r="A114" s="1670">
        <v>14.07</v>
      </c>
      <c r="B114" s="1573" t="s">
        <v>28</v>
      </c>
      <c r="C114" s="1542" t="s">
        <v>117</v>
      </c>
      <c r="D114" s="1713" t="s">
        <v>4</v>
      </c>
      <c r="E114" s="1677">
        <f>+Locales!AN144</f>
        <v>429.07780000000002</v>
      </c>
      <c r="F114" s="1531">
        <f>+Tareas!H157</f>
        <v>349.58695136406493</v>
      </c>
      <c r="G114" s="1531">
        <f>+Tareas!I157</f>
        <v>349.58695136406493</v>
      </c>
      <c r="H114" s="1544">
        <f>F114+G114</f>
        <v>699.17390272812986</v>
      </c>
      <c r="I114" s="1531">
        <f>+Tareas!Q157</f>
        <v>0</v>
      </c>
      <c r="J114" s="1531">
        <f>+Tareas!R157</f>
        <v>2914.3266198611054</v>
      </c>
      <c r="K114" s="1544">
        <f t="shared" ref="K114" si="348">I114+J114</f>
        <v>2914.3266198611054</v>
      </c>
      <c r="L114" s="1531">
        <f>+(H114+K114)*0.015</f>
        <v>54.202507838838528</v>
      </c>
      <c r="M114" s="1532">
        <f t="shared" ref="M114" si="349">H114+K114+L114</f>
        <v>3667.7030304280743</v>
      </c>
      <c r="N114" s="1533">
        <f t="shared" ref="N114" si="350">F114*E114</f>
        <v>150000</v>
      </c>
      <c r="O114" s="1533">
        <f t="shared" ref="O114" si="351">G114*E114</f>
        <v>150000</v>
      </c>
      <c r="P114" s="1533">
        <f t="shared" ref="P114" si="352">I114*E114</f>
        <v>0</v>
      </c>
      <c r="Q114" s="1533">
        <f t="shared" ref="Q114" si="353">J114*E114</f>
        <v>1250472.8545314395</v>
      </c>
      <c r="R114" s="1533">
        <f t="shared" ref="R114" si="354">+L114*E114</f>
        <v>23257.092817971592</v>
      </c>
      <c r="S114" s="1534">
        <f t="shared" si="341"/>
        <v>1573729.947349411</v>
      </c>
      <c r="T114" s="1535"/>
      <c r="U114" s="1673">
        <f t="shared" si="332"/>
        <v>4610</v>
      </c>
      <c r="V114" s="1673">
        <f t="shared" si="333"/>
        <v>1978048.6580000001</v>
      </c>
      <c r="X114" s="1664"/>
    </row>
    <row r="115" spans="1:28" ht="10.5">
      <c r="A115" s="1512">
        <v>15</v>
      </c>
      <c r="B115" s="1513"/>
      <c r="C115" s="1517" t="s">
        <v>118</v>
      </c>
      <c r="D115" s="1518"/>
      <c r="E115" s="1519"/>
      <c r="F115" s="1519"/>
      <c r="G115" s="1519"/>
      <c r="H115" s="1519"/>
      <c r="I115" s="1519"/>
      <c r="J115" s="1519"/>
      <c r="K115" s="1519"/>
      <c r="L115" s="1519"/>
      <c r="M115" s="1520"/>
      <c r="N115" s="1519"/>
      <c r="O115" s="1519"/>
      <c r="P115" s="1519"/>
      <c r="Q115" s="1519"/>
      <c r="R115" s="1519"/>
      <c r="S115" s="1519"/>
      <c r="T115" s="1521">
        <f>SUM(S116:S124)</f>
        <v>0</v>
      </c>
      <c r="U115" s="1519"/>
      <c r="V115" s="1519"/>
      <c r="W115" s="1521">
        <f>SUM(V116:V124)</f>
        <v>0</v>
      </c>
      <c r="X115" s="1664">
        <f>+W115/$W$216</f>
        <v>0</v>
      </c>
    </row>
    <row r="116" spans="1:28" ht="21" outlineLevel="1">
      <c r="A116" s="1670">
        <v>15.01</v>
      </c>
      <c r="B116" s="1529" t="s">
        <v>28</v>
      </c>
      <c r="C116" s="1530" t="s">
        <v>119</v>
      </c>
      <c r="D116" s="1706" t="s">
        <v>4</v>
      </c>
      <c r="E116" s="1537">
        <f>+Locales!BY144</f>
        <v>2670</v>
      </c>
      <c r="F116" s="1560">
        <f>+'APU 09.24'!E80</f>
        <v>2322.5571895000003</v>
      </c>
      <c r="G116" s="1588"/>
      <c r="H116" s="1532">
        <f t="shared" ref="H116:H117" si="355">F116+G116</f>
        <v>2322.5571895000003</v>
      </c>
      <c r="I116" s="1560">
        <f>+'APU 09.24'!H80</f>
        <v>3755.6524113285986</v>
      </c>
      <c r="J116" s="1588"/>
      <c r="K116" s="1532">
        <f t="shared" ref="K116:K117" si="356">I116+J116</f>
        <v>3755.6524113285986</v>
      </c>
      <c r="L116" s="1560">
        <f>+'APU 09.24'!K80</f>
        <v>93.674384885486944</v>
      </c>
      <c r="M116" s="1532"/>
      <c r="N116" s="1533"/>
      <c r="O116" s="1533"/>
      <c r="P116" s="1533"/>
      <c r="Q116" s="1533"/>
      <c r="R116" s="1533"/>
      <c r="S116" s="1534">
        <f t="shared" ref="S116:S117" si="357">SUM(N116:R116)</f>
        <v>0</v>
      </c>
      <c r="T116" s="1535"/>
      <c r="U116" s="1673">
        <f t="shared" ref="U116:U124" si="358">+ROUNDUP(M116*$T$5,0)</f>
        <v>0</v>
      </c>
      <c r="V116" s="1673">
        <f t="shared" ref="V116:V124" si="359">+U116*E116</f>
        <v>0</v>
      </c>
      <c r="X116" s="1664"/>
    </row>
    <row r="117" spans="1:28" ht="21" outlineLevel="1">
      <c r="A117" s="1670">
        <v>15.02</v>
      </c>
      <c r="B117" s="1529" t="s">
        <v>28</v>
      </c>
      <c r="C117" s="1530" t="s">
        <v>1476</v>
      </c>
      <c r="D117" s="1706" t="s">
        <v>4</v>
      </c>
      <c r="E117" s="1537">
        <f>+Locales!BX144</f>
        <v>961</v>
      </c>
      <c r="F117" s="1560">
        <f>+'APU 09.24'!E89</f>
        <v>2180.3602315000003</v>
      </c>
      <c r="G117" s="1588"/>
      <c r="H117" s="1532">
        <f t="shared" si="355"/>
        <v>2180.3602315000003</v>
      </c>
      <c r="I117" s="1560">
        <f>+'APU 09.24'!H89</f>
        <v>3004.5219290628793</v>
      </c>
      <c r="J117" s="1588"/>
      <c r="K117" s="1532">
        <f t="shared" si="356"/>
        <v>3004.5219290628793</v>
      </c>
      <c r="L117" s="1560">
        <f>+'APU 09.24'!K89</f>
        <v>74.939507908389544</v>
      </c>
      <c r="M117" s="1532"/>
      <c r="N117" s="1533"/>
      <c r="O117" s="1533"/>
      <c r="P117" s="1533"/>
      <c r="Q117" s="1533"/>
      <c r="R117" s="1533"/>
      <c r="S117" s="1534">
        <f t="shared" si="357"/>
        <v>0</v>
      </c>
      <c r="T117" s="1535"/>
      <c r="U117" s="1673">
        <f t="shared" si="358"/>
        <v>0</v>
      </c>
      <c r="V117" s="1673">
        <f t="shared" si="359"/>
        <v>0</v>
      </c>
      <c r="X117" s="1664"/>
    </row>
    <row r="118" spans="1:28" ht="21" outlineLevel="1">
      <c r="A118" s="1670">
        <v>15.03</v>
      </c>
      <c r="B118" s="1529" t="s">
        <v>28</v>
      </c>
      <c r="C118" s="1530" t="s">
        <v>120</v>
      </c>
      <c r="D118" s="1706" t="s">
        <v>4</v>
      </c>
      <c r="E118" s="1537">
        <f>+Locales!CB144</f>
        <v>518</v>
      </c>
      <c r="F118" s="1560">
        <f>+'APU 09.24'!E80</f>
        <v>2322.5571895000003</v>
      </c>
      <c r="G118" s="1588"/>
      <c r="H118" s="1532">
        <f t="shared" ref="H118:H119" si="360">F118+G118</f>
        <v>2322.5571895000003</v>
      </c>
      <c r="I118" s="1560">
        <f>+'APU 09.24'!H80</f>
        <v>3755.6524113285986</v>
      </c>
      <c r="J118" s="1588"/>
      <c r="K118" s="1532">
        <f t="shared" ref="K118:K119" si="361">I118+J118</f>
        <v>3755.6524113285986</v>
      </c>
      <c r="L118" s="1560">
        <f>+'APU 09.24'!K80</f>
        <v>93.674384885486944</v>
      </c>
      <c r="M118" s="1532"/>
      <c r="N118" s="1533"/>
      <c r="O118" s="1533"/>
      <c r="P118" s="1533"/>
      <c r="Q118" s="1533"/>
      <c r="R118" s="1533"/>
      <c r="S118" s="1534">
        <f t="shared" ref="S118:S119" si="362">SUM(N118:R118)</f>
        <v>0</v>
      </c>
      <c r="T118" s="1535"/>
      <c r="U118" s="1673">
        <f t="shared" si="358"/>
        <v>0</v>
      </c>
      <c r="V118" s="1673">
        <f t="shared" si="359"/>
        <v>0</v>
      </c>
      <c r="X118" s="1664"/>
    </row>
    <row r="119" spans="1:28" ht="21" outlineLevel="1">
      <c r="A119" s="1670">
        <v>15.04</v>
      </c>
      <c r="B119" s="1529" t="s">
        <v>28</v>
      </c>
      <c r="C119" s="1530" t="s">
        <v>121</v>
      </c>
      <c r="D119" s="1706" t="s">
        <v>4</v>
      </c>
      <c r="E119" s="1537">
        <f>+Locales!CC144</f>
        <v>612</v>
      </c>
      <c r="F119" s="1560">
        <f>+'APU 09.24'!E31</f>
        <v>3131.6140255000005</v>
      </c>
      <c r="G119" s="1588"/>
      <c r="H119" s="1532">
        <f t="shared" si="360"/>
        <v>3131.6140255000005</v>
      </c>
      <c r="I119" s="1560">
        <f>+'APU 09.24'!H31</f>
        <v>7422.6925710367968</v>
      </c>
      <c r="J119" s="1588"/>
      <c r="K119" s="1532">
        <f t="shared" si="361"/>
        <v>7422.6925710367968</v>
      </c>
      <c r="L119" s="1560">
        <f>+'APU 09.24'!K31</f>
        <v>234.75350228517792</v>
      </c>
      <c r="M119" s="1532"/>
      <c r="N119" s="1533"/>
      <c r="O119" s="1533"/>
      <c r="P119" s="1533"/>
      <c r="Q119" s="1533"/>
      <c r="R119" s="1533"/>
      <c r="S119" s="1534">
        <f t="shared" si="362"/>
        <v>0</v>
      </c>
      <c r="T119" s="1535"/>
      <c r="U119" s="1673">
        <f t="shared" si="358"/>
        <v>0</v>
      </c>
      <c r="V119" s="1673">
        <f t="shared" si="359"/>
        <v>0</v>
      </c>
      <c r="X119" s="1664"/>
    </row>
    <row r="120" spans="1:28" ht="10.5" outlineLevel="1">
      <c r="A120" s="1670">
        <v>15.05</v>
      </c>
      <c r="B120" s="1529" t="s">
        <v>28</v>
      </c>
      <c r="C120" s="1530" t="s">
        <v>1477</v>
      </c>
      <c r="D120" s="1706" t="s">
        <v>4</v>
      </c>
      <c r="E120" s="1537">
        <f>+Locales!CA144</f>
        <v>422</v>
      </c>
      <c r="F120" s="1560">
        <f>+'APU 09.24'!E89</f>
        <v>2180.3602315000003</v>
      </c>
      <c r="G120" s="1588"/>
      <c r="H120" s="1532">
        <f t="shared" ref="H120:H122" si="363">F120+G120</f>
        <v>2180.3602315000003</v>
      </c>
      <c r="I120" s="1560">
        <f>+'APU 09.24'!H89</f>
        <v>3004.5219290628793</v>
      </c>
      <c r="J120" s="1588"/>
      <c r="K120" s="1532">
        <f t="shared" ref="K120" si="364">I120+J120</f>
        <v>3004.5219290628793</v>
      </c>
      <c r="L120" s="1560">
        <f>+'APU 09.24'!K89</f>
        <v>74.939507908389544</v>
      </c>
      <c r="M120" s="1532"/>
      <c r="N120" s="1533"/>
      <c r="O120" s="1533"/>
      <c r="P120" s="1533"/>
      <c r="Q120" s="1533"/>
      <c r="R120" s="1533"/>
      <c r="S120" s="1534">
        <f t="shared" ref="S120" si="365">SUM(N120:R120)</f>
        <v>0</v>
      </c>
      <c r="T120" s="1535"/>
      <c r="U120" s="1673">
        <f t="shared" si="358"/>
        <v>0</v>
      </c>
      <c r="V120" s="1673">
        <f t="shared" si="359"/>
        <v>0</v>
      </c>
      <c r="X120" s="1664"/>
    </row>
    <row r="121" spans="1:28" ht="21" outlineLevel="1">
      <c r="A121" s="1670">
        <v>15.07</v>
      </c>
      <c r="B121" s="1529" t="s">
        <v>28</v>
      </c>
      <c r="C121" s="1530" t="s">
        <v>1524</v>
      </c>
      <c r="D121" s="1706" t="s">
        <v>4</v>
      </c>
      <c r="E121" s="1537">
        <f>+Computo!O223</f>
        <v>678.25199999999995</v>
      </c>
      <c r="F121" s="1578">
        <v>7500</v>
      </c>
      <c r="G121" s="1588"/>
      <c r="H121" s="1532">
        <f>F121+G121</f>
        <v>7500</v>
      </c>
      <c r="I121" s="1539">
        <f>+SUBCONTRATOS!D34</f>
        <v>7815.8241044807764</v>
      </c>
      <c r="J121" s="1588"/>
      <c r="K121" s="1532">
        <f>I121+J121</f>
        <v>7815.8241044807764</v>
      </c>
      <c r="L121" s="1560">
        <f>+'APU 09.24'!K35</f>
        <v>176.93378676788083</v>
      </c>
      <c r="M121" s="1532"/>
      <c r="N121" s="1533"/>
      <c r="O121" s="1533"/>
      <c r="P121" s="1533"/>
      <c r="Q121" s="1533"/>
      <c r="R121" s="1533"/>
      <c r="S121" s="1534">
        <f>SUM(N121:R121)</f>
        <v>0</v>
      </c>
      <c r="T121" s="1535"/>
      <c r="U121" s="1673">
        <f t="shared" si="358"/>
        <v>0</v>
      </c>
      <c r="V121" s="1673">
        <f t="shared" si="359"/>
        <v>0</v>
      </c>
      <c r="X121" s="1664"/>
    </row>
    <row r="122" spans="1:28" ht="31.5" outlineLevel="1">
      <c r="A122" s="1670">
        <v>15.08</v>
      </c>
      <c r="B122" s="1529" t="s">
        <v>28</v>
      </c>
      <c r="C122" s="1530" t="s">
        <v>2372</v>
      </c>
      <c r="D122" s="1706" t="s">
        <v>4</v>
      </c>
      <c r="E122" s="1537">
        <f>+Computo!O222</f>
        <v>728.48019999999985</v>
      </c>
      <c r="F122" s="1578">
        <v>7500</v>
      </c>
      <c r="G122" s="1588"/>
      <c r="H122" s="1532">
        <f t="shared" si="363"/>
        <v>7500</v>
      </c>
      <c r="I122" s="1539">
        <f>+SUBCONTRATOS!D35</f>
        <v>10942.153746273088</v>
      </c>
      <c r="J122" s="1588"/>
      <c r="K122" s="1532">
        <f t="shared" ref="K122:K123" si="366">I122+J122</f>
        <v>10942.153746273088</v>
      </c>
      <c r="L122" s="1560">
        <f>+'APU 09.24'!K35</f>
        <v>176.93378676788083</v>
      </c>
      <c r="M122" s="1532"/>
      <c r="N122" s="1533"/>
      <c r="O122" s="1533"/>
      <c r="P122" s="1533"/>
      <c r="Q122" s="1533"/>
      <c r="R122" s="1533"/>
      <c r="S122" s="1534">
        <f t="shared" ref="S122:S123" si="367">SUM(N122:R122)</f>
        <v>0</v>
      </c>
      <c r="T122" s="1535"/>
      <c r="U122" s="1673">
        <f t="shared" si="358"/>
        <v>0</v>
      </c>
      <c r="V122" s="1673">
        <f t="shared" si="359"/>
        <v>0</v>
      </c>
      <c r="X122" s="1664"/>
    </row>
    <row r="123" spans="1:28" ht="21" outlineLevel="1">
      <c r="A123" s="1670">
        <v>15.09</v>
      </c>
      <c r="B123" s="1529" t="s">
        <v>28</v>
      </c>
      <c r="C123" s="1530" t="s">
        <v>1484</v>
      </c>
      <c r="D123" s="1706" t="s">
        <v>56</v>
      </c>
      <c r="E123" s="1537">
        <f>+Computo!C78</f>
        <v>76</v>
      </c>
      <c r="F123" s="1531">
        <f>+Tareas!H166</f>
        <v>13327.501195326317</v>
      </c>
      <c r="G123" s="1531">
        <f>+Tareas!I166</f>
        <v>0</v>
      </c>
      <c r="H123" s="1532">
        <f t="shared" ref="H123:H124" si="368">F123+G123</f>
        <v>13327.501195326317</v>
      </c>
      <c r="I123" s="1531">
        <f>+Tareas!Q166</f>
        <v>44901.004229325525</v>
      </c>
      <c r="J123" s="1531">
        <f>+Tareas!R166</f>
        <v>0</v>
      </c>
      <c r="K123" s="1532">
        <f t="shared" si="366"/>
        <v>44901.004229325525</v>
      </c>
      <c r="L123" s="1531">
        <f>(H123+K123)*0.015</f>
        <v>873.42758136977761</v>
      </c>
      <c r="M123" s="1532"/>
      <c r="N123" s="1533"/>
      <c r="O123" s="1533"/>
      <c r="P123" s="1533"/>
      <c r="Q123" s="1533"/>
      <c r="R123" s="1533"/>
      <c r="S123" s="1534">
        <f t="shared" si="367"/>
        <v>0</v>
      </c>
      <c r="T123" s="1535"/>
      <c r="U123" s="1673">
        <f t="shared" si="358"/>
        <v>0</v>
      </c>
      <c r="V123" s="1673">
        <f t="shared" si="359"/>
        <v>0</v>
      </c>
      <c r="X123" s="1664"/>
    </row>
    <row r="124" spans="1:28" ht="21" outlineLevel="1">
      <c r="A124" s="1670">
        <v>15.1</v>
      </c>
      <c r="B124" s="1573" t="s">
        <v>28</v>
      </c>
      <c r="C124" s="1581" t="s">
        <v>2533</v>
      </c>
      <c r="D124" s="1712" t="s">
        <v>54</v>
      </c>
      <c r="E124" s="1547">
        <v>1</v>
      </c>
      <c r="F124" s="1546">
        <f>+Tareas!H168</f>
        <v>756143.49726719991</v>
      </c>
      <c r="G124" s="1546">
        <f>+Tareas!I168</f>
        <v>0</v>
      </c>
      <c r="H124" s="1544">
        <f t="shared" si="368"/>
        <v>756143.49726719991</v>
      </c>
      <c r="I124" s="1546">
        <f>+Tareas!Q168</f>
        <v>2547484.4737344817</v>
      </c>
      <c r="J124" s="1546">
        <f>+Tareas!R168</f>
        <v>0</v>
      </c>
      <c r="K124" s="1544">
        <f t="shared" ref="K124" si="369">I124+J124</f>
        <v>2547484.4737344817</v>
      </c>
      <c r="L124" s="1531">
        <f>(H124+K124)*0.015</f>
        <v>49554.41956502523</v>
      </c>
      <c r="M124" s="1544"/>
      <c r="N124" s="1548"/>
      <c r="O124" s="1548"/>
      <c r="P124" s="1548"/>
      <c r="Q124" s="1548"/>
      <c r="R124" s="1548"/>
      <c r="S124" s="1549">
        <f t="shared" si="331"/>
        <v>0</v>
      </c>
      <c r="T124" s="1589"/>
      <c r="U124" s="1673">
        <f t="shared" si="358"/>
        <v>0</v>
      </c>
      <c r="V124" s="1673">
        <f t="shared" si="359"/>
        <v>0</v>
      </c>
      <c r="X124" s="1664"/>
    </row>
    <row r="125" spans="1:28" ht="21">
      <c r="A125" s="1512">
        <v>16</v>
      </c>
      <c r="B125" s="1513"/>
      <c r="C125" s="1517" t="s">
        <v>123</v>
      </c>
      <c r="D125" s="1518"/>
      <c r="E125" s="1519"/>
      <c r="F125" s="1519"/>
      <c r="G125" s="1519"/>
      <c r="H125" s="1519"/>
      <c r="I125" s="1519"/>
      <c r="J125" s="1519"/>
      <c r="K125" s="1519"/>
      <c r="L125" s="1519"/>
      <c r="M125" s="1520"/>
      <c r="N125" s="1519"/>
      <c r="O125" s="1519"/>
      <c r="P125" s="1519"/>
      <c r="Q125" s="1519"/>
      <c r="R125" s="1519"/>
      <c r="S125" s="1519"/>
      <c r="T125" s="1521">
        <f>SUM(S126:S126)</f>
        <v>0</v>
      </c>
      <c r="U125" s="1519"/>
      <c r="V125" s="1519"/>
      <c r="W125" s="1522">
        <f>SUM(V126:V126)</f>
        <v>0</v>
      </c>
      <c r="X125" s="1664">
        <f>+W125/$W$216</f>
        <v>0</v>
      </c>
      <c r="Y125" s="1648">
        <f>+W125</f>
        <v>0</v>
      </c>
    </row>
    <row r="126" spans="1:28" s="1693" customFormat="1" ht="10.5" outlineLevel="1">
      <c r="A126" s="1665"/>
      <c r="B126" s="1583"/>
      <c r="C126" s="1523"/>
      <c r="D126" s="1691"/>
      <c r="E126" s="1524"/>
      <c r="F126" s="1575"/>
      <c r="G126" s="1575"/>
      <c r="H126" s="1525">
        <f>F126+G126</f>
        <v>0</v>
      </c>
      <c r="I126" s="1575"/>
      <c r="J126" s="1575"/>
      <c r="K126" s="1525">
        <f t="shared" ref="K126" si="370">I126+J126</f>
        <v>0</v>
      </c>
      <c r="L126" s="1557"/>
      <c r="M126" s="1525">
        <f>H126+K126+L126</f>
        <v>0</v>
      </c>
      <c r="N126" s="1526">
        <f t="shared" ref="N126" si="371">F126*E126</f>
        <v>0</v>
      </c>
      <c r="O126" s="1526">
        <f t="shared" ref="O126" si="372">G126*E126</f>
        <v>0</v>
      </c>
      <c r="P126" s="1526">
        <f t="shared" ref="P126" si="373">I126*E126</f>
        <v>0</v>
      </c>
      <c r="Q126" s="1526">
        <f t="shared" ref="Q126" si="374">J126*E126</f>
        <v>0</v>
      </c>
      <c r="R126" s="1526">
        <f t="shared" ref="R126" si="375">+L126*E126</f>
        <v>0</v>
      </c>
      <c r="S126" s="1527">
        <f t="shared" ref="S126" si="376">SUM(N126:R126)</f>
        <v>0</v>
      </c>
      <c r="T126" s="1535"/>
      <c r="U126" s="1695">
        <f>+ROUNDUP(M126*$T$5,0)</f>
        <v>0</v>
      </c>
      <c r="V126" s="1694">
        <f>+U126*E126</f>
        <v>0</v>
      </c>
      <c r="W126" s="1564"/>
      <c r="X126" s="1702"/>
      <c r="Y126" s="1692"/>
      <c r="AB126" s="1692"/>
    </row>
    <row r="127" spans="1:28" s="1693" customFormat="1" ht="21">
      <c r="A127" s="1512">
        <v>17</v>
      </c>
      <c r="B127" s="1513"/>
      <c r="C127" s="1517" t="s">
        <v>124</v>
      </c>
      <c r="D127" s="1518"/>
      <c r="E127" s="1519"/>
      <c r="F127" s="1519"/>
      <c r="G127" s="1519"/>
      <c r="H127" s="1519"/>
      <c r="I127" s="1519"/>
      <c r="J127" s="1519"/>
      <c r="K127" s="1519"/>
      <c r="L127" s="1519"/>
      <c r="M127" s="1520"/>
      <c r="N127" s="1519"/>
      <c r="O127" s="1519"/>
      <c r="P127" s="1519"/>
      <c r="Q127" s="1519"/>
      <c r="R127" s="1519"/>
      <c r="S127" s="1519"/>
      <c r="T127" s="1521">
        <f>SUM(S128:S131)</f>
        <v>5774751.9174432056</v>
      </c>
      <c r="U127" s="1519"/>
      <c r="V127" s="1519"/>
      <c r="W127" s="1522">
        <f>SUM(V128:V131)</f>
        <v>7258243</v>
      </c>
      <c r="X127" s="1664">
        <f>+W127/$W$216</f>
        <v>6.4380213267798822E-3</v>
      </c>
      <c r="Y127" s="1648">
        <f>+W127</f>
        <v>7258243</v>
      </c>
      <c r="AB127" s="1692"/>
    </row>
    <row r="128" spans="1:28" s="1693" customFormat="1" ht="21" outlineLevel="1">
      <c r="A128" s="1665">
        <f>+A127+0.01</f>
        <v>17.010000000000002</v>
      </c>
      <c r="B128" s="1583" t="s">
        <v>28</v>
      </c>
      <c r="C128" s="1715" t="s">
        <v>2534</v>
      </c>
      <c r="D128" s="1716" t="s">
        <v>77</v>
      </c>
      <c r="E128" s="1524">
        <f>+Locales!AQ144</f>
        <v>47</v>
      </c>
      <c r="F128" s="1557"/>
      <c r="G128" s="1557">
        <f>+'APU 09.24'!E18</f>
        <v>3816.1086480000004</v>
      </c>
      <c r="H128" s="1525">
        <f>F128+G128</f>
        <v>3816.1086480000004</v>
      </c>
      <c r="I128" s="1717"/>
      <c r="J128" s="1557">
        <f>+'APU 09.24'!H18</f>
        <v>46892.732044928976</v>
      </c>
      <c r="K128" s="1525">
        <f>I128+J128</f>
        <v>46892.732044928976</v>
      </c>
      <c r="L128" s="1557">
        <f>+'APU 09.24'!K18</f>
        <v>394.92625606475576</v>
      </c>
      <c r="M128" s="1525">
        <f>H128+K128+L128</f>
        <v>51103.766948993733</v>
      </c>
      <c r="N128" s="1526">
        <f>F128*E128</f>
        <v>0</v>
      </c>
      <c r="O128" s="1526">
        <f>G128*E128</f>
        <v>179357.10645600001</v>
      </c>
      <c r="P128" s="1526">
        <f>I128*E128</f>
        <v>0</v>
      </c>
      <c r="Q128" s="1526">
        <f>J128*E128</f>
        <v>2203958.4061116618</v>
      </c>
      <c r="R128" s="1526">
        <f>+L128*E128</f>
        <v>18561.534035043522</v>
      </c>
      <c r="S128" s="1527">
        <f>SUM(N128:R128)</f>
        <v>2401877.046602705</v>
      </c>
      <c r="T128" s="1564"/>
      <c r="U128" s="1669">
        <f>+ROUNDUP(M128*$T$5,0)</f>
        <v>64232</v>
      </c>
      <c r="V128" s="1669">
        <f>+U128*E128</f>
        <v>3018904</v>
      </c>
      <c r="W128" s="1498"/>
      <c r="X128" s="1664"/>
      <c r="Y128" s="1692"/>
      <c r="AB128" s="1692"/>
    </row>
    <row r="129" spans="1:28" s="1693" customFormat="1" ht="21" outlineLevel="1">
      <c r="A129" s="1670">
        <v>17.02</v>
      </c>
      <c r="B129" s="1529" t="s">
        <v>28</v>
      </c>
      <c r="C129" s="1718" t="s">
        <v>2535</v>
      </c>
      <c r="D129" s="1719" t="s">
        <v>77</v>
      </c>
      <c r="E129" s="1537">
        <f>+Locales!AS147</f>
        <v>23</v>
      </c>
      <c r="F129" s="1560"/>
      <c r="G129" s="1560">
        <f>+'APU 09.24'!E18</f>
        <v>3816.1086480000004</v>
      </c>
      <c r="H129" s="1532">
        <f>F129+G129</f>
        <v>3816.1086480000004</v>
      </c>
      <c r="I129" s="1720"/>
      <c r="J129" s="1560">
        <f>+'APU 09.24'!H18</f>
        <v>46892.732044928976</v>
      </c>
      <c r="K129" s="1532">
        <f>I129+J129</f>
        <v>46892.732044928976</v>
      </c>
      <c r="L129" s="1560">
        <f>+'APU 09.24'!K18</f>
        <v>394.92625606475576</v>
      </c>
      <c r="M129" s="1532">
        <f>H129+K129+L129</f>
        <v>51103.766948993733</v>
      </c>
      <c r="N129" s="1533">
        <f>F129*E129</f>
        <v>0</v>
      </c>
      <c r="O129" s="1533">
        <f>G129*E129</f>
        <v>87770.498904000007</v>
      </c>
      <c r="P129" s="1533">
        <f>I129*E129</f>
        <v>0</v>
      </c>
      <c r="Q129" s="1533">
        <f>J129*E129</f>
        <v>1078532.8370333666</v>
      </c>
      <c r="R129" s="1533">
        <f>+L129*E129</f>
        <v>9083.3038894893834</v>
      </c>
      <c r="S129" s="1534">
        <f>SUM(N129:R129)</f>
        <v>1175386.6398268561</v>
      </c>
      <c r="T129" s="1564"/>
      <c r="U129" s="1673">
        <f>+ROUNDUP(M129*$T$5,0)</f>
        <v>64232</v>
      </c>
      <c r="V129" s="1673">
        <f>+U129*E129</f>
        <v>1477336</v>
      </c>
      <c r="W129" s="1498"/>
      <c r="X129" s="1664"/>
      <c r="Y129" s="1692"/>
      <c r="AB129" s="1692"/>
    </row>
    <row r="130" spans="1:28" s="1693" customFormat="1" ht="21" outlineLevel="1">
      <c r="A130" s="1670">
        <v>17.03</v>
      </c>
      <c r="B130" s="1529" t="s">
        <v>28</v>
      </c>
      <c r="C130" s="1718" t="s">
        <v>2536</v>
      </c>
      <c r="D130" s="1719" t="s">
        <v>77</v>
      </c>
      <c r="E130" s="1537">
        <f>+Locales!BG146</f>
        <v>51</v>
      </c>
      <c r="F130" s="1560"/>
      <c r="G130" s="1560">
        <f>+'APU 09.24'!E19</f>
        <v>1396.3488462000003</v>
      </c>
      <c r="H130" s="1532">
        <f>F130+G130</f>
        <v>1396.3488462000003</v>
      </c>
      <c r="I130" s="1560"/>
      <c r="J130" s="1560">
        <f>+'APU 09.24'!H19</f>
        <v>31261.821363285984</v>
      </c>
      <c r="K130" s="1532">
        <f t="shared" ref="K130:K131" si="377">I130+J130</f>
        <v>31261.821363285984</v>
      </c>
      <c r="L130" s="1560">
        <f>+'APU 09.24'!K19</f>
        <v>197.46312803237788</v>
      </c>
      <c r="M130" s="1532">
        <f>H130+K130+L130</f>
        <v>32855.63333751836</v>
      </c>
      <c r="N130" s="1533">
        <f>F130*E130</f>
        <v>0</v>
      </c>
      <c r="O130" s="1533">
        <f>G130*E130</f>
        <v>71213.791156200008</v>
      </c>
      <c r="P130" s="1533">
        <f>I130*E130</f>
        <v>0</v>
      </c>
      <c r="Q130" s="1533">
        <f>J130*E130</f>
        <v>1594352.8895275851</v>
      </c>
      <c r="R130" s="1533">
        <f>+L130*E130</f>
        <v>10070.619529651272</v>
      </c>
      <c r="S130" s="1534">
        <f>SUM(N130:R130)</f>
        <v>1675637.3002134364</v>
      </c>
      <c r="T130" s="1564"/>
      <c r="U130" s="1673">
        <f>+ROUNDUP(M130*$T$5,0)</f>
        <v>41296</v>
      </c>
      <c r="V130" s="1673">
        <f>+U130*E130</f>
        <v>2106096</v>
      </c>
      <c r="W130" s="1498"/>
      <c r="X130" s="1664"/>
      <c r="Y130" s="1692"/>
      <c r="AB130" s="1692"/>
    </row>
    <row r="131" spans="1:28" s="1693" customFormat="1" ht="21" outlineLevel="1">
      <c r="A131" s="1573">
        <v>17.04</v>
      </c>
      <c r="B131" s="1573" t="s">
        <v>28</v>
      </c>
      <c r="C131" s="1542" t="s">
        <v>2537</v>
      </c>
      <c r="D131" s="1700" t="s">
        <v>77</v>
      </c>
      <c r="E131" s="1547">
        <f>+Locales!AU144</f>
        <v>7</v>
      </c>
      <c r="F131" s="1569"/>
      <c r="G131" s="1569">
        <f>+G128</f>
        <v>3816.1086480000004</v>
      </c>
      <c r="H131" s="1544">
        <f>F131+G131</f>
        <v>3816.1086480000004</v>
      </c>
      <c r="I131" s="1590">
        <f>+J131*0.5</f>
        <v>23446.366022464488</v>
      </c>
      <c r="J131" s="1569">
        <f>+J128</f>
        <v>46892.732044928976</v>
      </c>
      <c r="K131" s="1544">
        <f t="shared" si="377"/>
        <v>70339.098067393468</v>
      </c>
      <c r="L131" s="1569">
        <f>+L128</f>
        <v>394.92625606475576</v>
      </c>
      <c r="M131" s="1544">
        <f>H131+K131+L131</f>
        <v>74550.132971458224</v>
      </c>
      <c r="N131" s="1548">
        <f>F131*E131</f>
        <v>0</v>
      </c>
      <c r="O131" s="1548">
        <f>G131*E131</f>
        <v>26712.760536000002</v>
      </c>
      <c r="P131" s="1548">
        <f>I131*E131</f>
        <v>164124.56215725141</v>
      </c>
      <c r="Q131" s="1548">
        <f>J131*E131</f>
        <v>328249.12431450281</v>
      </c>
      <c r="R131" s="1548">
        <f>+L131*E131</f>
        <v>2764.4837924532903</v>
      </c>
      <c r="S131" s="1549">
        <f>SUM(N131:R131)</f>
        <v>521850.93080020754</v>
      </c>
      <c r="T131" s="1564"/>
      <c r="U131" s="1714">
        <f>+ROUNDUP(M131*$T$5,0)</f>
        <v>93701</v>
      </c>
      <c r="V131" s="1714">
        <f>+U131*E131</f>
        <v>655907</v>
      </c>
      <c r="W131" s="1498"/>
      <c r="X131" s="1664"/>
      <c r="Y131" s="1692"/>
      <c r="AB131" s="1692"/>
    </row>
    <row r="132" spans="1:28" ht="10.5">
      <c r="A132" s="1512">
        <v>18</v>
      </c>
      <c r="B132" s="1513"/>
      <c r="C132" s="1517" t="s">
        <v>128</v>
      </c>
      <c r="D132" s="1518"/>
      <c r="E132" s="1519"/>
      <c r="F132" s="1519"/>
      <c r="G132" s="1519"/>
      <c r="H132" s="1519"/>
      <c r="I132" s="1519"/>
      <c r="J132" s="1519"/>
      <c r="K132" s="1519"/>
      <c r="L132" s="1519"/>
      <c r="M132" s="1520"/>
      <c r="N132" s="1519"/>
      <c r="O132" s="1519"/>
      <c r="P132" s="1519"/>
      <c r="Q132" s="1519"/>
      <c r="R132" s="1519"/>
      <c r="S132" s="1519"/>
      <c r="T132" s="1521">
        <f>SUM(S133:S162)</f>
        <v>78986713.271521568</v>
      </c>
      <c r="U132" s="1519"/>
      <c r="V132" s="1519"/>
      <c r="W132" s="1522">
        <f>SUM(V133:V162)</f>
        <v>99277732</v>
      </c>
      <c r="X132" s="1664">
        <f>+W132/$W$216</f>
        <v>8.8058798236754762E-2</v>
      </c>
      <c r="Y132" s="1648">
        <f>+W132</f>
        <v>99277732</v>
      </c>
    </row>
    <row r="133" spans="1:28" ht="10.5" outlineLevel="1">
      <c r="A133" s="1721">
        <f>+A132+0.01</f>
        <v>18.010000000000002</v>
      </c>
      <c r="B133" s="1583" t="s">
        <v>28</v>
      </c>
      <c r="C133" s="1591" t="s">
        <v>129</v>
      </c>
      <c r="D133" s="1722" t="s">
        <v>77</v>
      </c>
      <c r="E133" s="1723">
        <f>+Locales!CJ144</f>
        <v>392</v>
      </c>
      <c r="F133" s="1557">
        <f>+'APU 09.24'!E63</f>
        <v>13184.711802349999</v>
      </c>
      <c r="G133" s="1592"/>
      <c r="H133" s="1525">
        <f>F133+G133</f>
        <v>13184.711802349999</v>
      </c>
      <c r="I133" s="1724">
        <f>+SUBCONTRATOS!$D$43</f>
        <v>32886.699999999997</v>
      </c>
      <c r="J133" s="1592"/>
      <c r="K133" s="1525">
        <f>I133+J133</f>
        <v>32886.699999999997</v>
      </c>
      <c r="L133" s="1557">
        <f>+'APU 09.24'!K63</f>
        <v>1623.6466772663525</v>
      </c>
      <c r="M133" s="1525">
        <f>H133+K133+L133</f>
        <v>47695.058479616353</v>
      </c>
      <c r="N133" s="1526">
        <f t="shared" ref="N133:N136" si="378">F133*E133</f>
        <v>5168407.0265211994</v>
      </c>
      <c r="O133" s="1526">
        <f t="shared" ref="O133:O136" si="379">G133*E133</f>
        <v>0</v>
      </c>
      <c r="P133" s="1526">
        <f t="shared" si="10"/>
        <v>12891586.399999999</v>
      </c>
      <c r="Q133" s="1526">
        <f t="shared" si="11"/>
        <v>0</v>
      </c>
      <c r="R133" s="1526">
        <f t="shared" si="12"/>
        <v>636469.49748841021</v>
      </c>
      <c r="S133" s="1527">
        <f t="shared" si="13"/>
        <v>18696462.924009606</v>
      </c>
      <c r="T133" s="1528"/>
      <c r="U133" s="1669">
        <f t="shared" ref="U133:U139" si="380">+ROUNDUP(M133*$T$5,0)</f>
        <v>59948</v>
      </c>
      <c r="V133" s="1669">
        <f t="shared" ref="V133:V139" si="381">+U133*E133</f>
        <v>23499616</v>
      </c>
      <c r="X133" s="1664"/>
    </row>
    <row r="134" spans="1:28" ht="21" outlineLevel="1">
      <c r="A134" s="1595">
        <v>18.02</v>
      </c>
      <c r="B134" s="1529" t="s">
        <v>28</v>
      </c>
      <c r="C134" s="1593" t="s">
        <v>2243</v>
      </c>
      <c r="D134" s="1725" t="s">
        <v>77</v>
      </c>
      <c r="E134" s="1726">
        <f>+Locales!CK144</f>
        <v>19</v>
      </c>
      <c r="F134" s="1560">
        <f>+'APU 09.24'!E63</f>
        <v>13184.711802349999</v>
      </c>
      <c r="G134" s="1594"/>
      <c r="H134" s="1532">
        <f t="shared" ref="H134:H162" si="382">F134+G134</f>
        <v>13184.711802349999</v>
      </c>
      <c r="I134" s="1724">
        <f>+SUBCONTRATOS!$D$43</f>
        <v>32886.699999999997</v>
      </c>
      <c r="J134" s="1594"/>
      <c r="K134" s="1532">
        <f t="shared" ref="K134:K162" si="383">I134+J134</f>
        <v>32886.699999999997</v>
      </c>
      <c r="L134" s="1560">
        <f>+'APU 09.24'!K63</f>
        <v>1623.6466772663525</v>
      </c>
      <c r="M134" s="1532">
        <f t="shared" ref="M134" si="384">H134+K134+L134</f>
        <v>47695.058479616353</v>
      </c>
      <c r="N134" s="1533">
        <f t="shared" ref="N134" si="385">F134*E134</f>
        <v>250509.52424464998</v>
      </c>
      <c r="O134" s="1533">
        <f t="shared" ref="O134" si="386">G134*E134</f>
        <v>0</v>
      </c>
      <c r="P134" s="1533">
        <f t="shared" ref="P134" si="387">I134*E134</f>
        <v>624847.29999999993</v>
      </c>
      <c r="Q134" s="1533">
        <f t="shared" ref="Q134" si="388">J134*E134</f>
        <v>0</v>
      </c>
      <c r="R134" s="1533">
        <f t="shared" ref="R134" si="389">+L134*E134</f>
        <v>30849.286868060699</v>
      </c>
      <c r="S134" s="1534">
        <f t="shared" ref="S134" si="390">SUM(N134:R134)</f>
        <v>906206.11111271055</v>
      </c>
      <c r="T134" s="1535"/>
      <c r="U134" s="1673">
        <f t="shared" ref="U134" si="391">+ROUNDUP(M134*$T$5,0)</f>
        <v>59948</v>
      </c>
      <c r="V134" s="1673">
        <f t="shared" ref="V134" si="392">+U134*E134</f>
        <v>1139012</v>
      </c>
      <c r="X134" s="1664"/>
    </row>
    <row r="135" spans="1:28" ht="10.5" outlineLevel="1">
      <c r="A135" s="1595">
        <v>18.03</v>
      </c>
      <c r="B135" s="1529" t="s">
        <v>28</v>
      </c>
      <c r="C135" s="1593" t="s">
        <v>130</v>
      </c>
      <c r="D135" s="1725" t="s">
        <v>77</v>
      </c>
      <c r="E135" s="1726">
        <f>+Locales!CO146</f>
        <v>349</v>
      </c>
      <c r="F135" s="1560">
        <f>+'APU 09.24'!E64</f>
        <v>11193.920501279999</v>
      </c>
      <c r="G135" s="1594"/>
      <c r="H135" s="1532">
        <f t="shared" si="382"/>
        <v>11193.920501279999</v>
      </c>
      <c r="I135" s="1724">
        <f>+SUBCONTRATOS!$D$43</f>
        <v>32886.699999999997</v>
      </c>
      <c r="J135" s="1594"/>
      <c r="K135" s="1532">
        <f t="shared" si="383"/>
        <v>32886.699999999997</v>
      </c>
      <c r="L135" s="1560">
        <f>+'APU 09.24'!K64</f>
        <v>1623.6466772663525</v>
      </c>
      <c r="M135" s="1532">
        <f t="shared" ref="M135:M136" si="393">H135+K135+L135</f>
        <v>45704.267178546354</v>
      </c>
      <c r="N135" s="1533">
        <f t="shared" si="378"/>
        <v>3906678.2549467199</v>
      </c>
      <c r="O135" s="1533">
        <f t="shared" si="379"/>
        <v>0</v>
      </c>
      <c r="P135" s="1533">
        <f t="shared" si="10"/>
        <v>11477458.299999999</v>
      </c>
      <c r="Q135" s="1533">
        <f t="shared" si="11"/>
        <v>0</v>
      </c>
      <c r="R135" s="1533">
        <f t="shared" si="12"/>
        <v>566652.69036595698</v>
      </c>
      <c r="S135" s="1534">
        <f t="shared" si="13"/>
        <v>15950789.245312676</v>
      </c>
      <c r="T135" s="1535"/>
      <c r="U135" s="1673">
        <f t="shared" si="380"/>
        <v>57445</v>
      </c>
      <c r="V135" s="1673">
        <f t="shared" si="381"/>
        <v>20048305</v>
      </c>
      <c r="X135" s="1664"/>
    </row>
    <row r="136" spans="1:28" ht="21" outlineLevel="1">
      <c r="A136" s="1595">
        <v>18.04</v>
      </c>
      <c r="B136" s="1529" t="s">
        <v>28</v>
      </c>
      <c r="C136" s="1593" t="s">
        <v>131</v>
      </c>
      <c r="D136" s="1725" t="s">
        <v>77</v>
      </c>
      <c r="E136" s="1726">
        <f>+Locales!CP144</f>
        <v>35</v>
      </c>
      <c r="F136" s="1560">
        <f>+'APU 09.24'!E64</f>
        <v>11193.920501279999</v>
      </c>
      <c r="G136" s="1562">
        <f>+F136*0.5</f>
        <v>5596.9602506399997</v>
      </c>
      <c r="H136" s="1532">
        <f t="shared" si="382"/>
        <v>16790.880751919998</v>
      </c>
      <c r="I136" s="1724">
        <f>+SUBCONTRATOS!$D$43</f>
        <v>32886.699999999997</v>
      </c>
      <c r="J136" s="1594"/>
      <c r="K136" s="1532">
        <f t="shared" si="383"/>
        <v>32886.699999999997</v>
      </c>
      <c r="L136" s="1560">
        <f>+'APU 09.24'!K64</f>
        <v>1623.6466772663525</v>
      </c>
      <c r="M136" s="1532">
        <f t="shared" si="393"/>
        <v>51301.22742918635</v>
      </c>
      <c r="N136" s="1533">
        <f t="shared" si="378"/>
        <v>391787.21754479996</v>
      </c>
      <c r="O136" s="1533">
        <f t="shared" si="379"/>
        <v>195893.60877239998</v>
      </c>
      <c r="P136" s="1533">
        <f t="shared" si="10"/>
        <v>1151034.5</v>
      </c>
      <c r="Q136" s="1533">
        <f t="shared" si="11"/>
        <v>0</v>
      </c>
      <c r="R136" s="1533">
        <f t="shared" si="12"/>
        <v>56827.633704322339</v>
      </c>
      <c r="S136" s="1534">
        <f t="shared" si="13"/>
        <v>1795542.9600215224</v>
      </c>
      <c r="T136" s="1535"/>
      <c r="U136" s="1673">
        <f t="shared" si="380"/>
        <v>64480</v>
      </c>
      <c r="V136" s="1673">
        <f t="shared" si="381"/>
        <v>2256800</v>
      </c>
      <c r="X136" s="1664"/>
    </row>
    <row r="137" spans="1:28" ht="10.5" outlineLevel="1">
      <c r="A137" s="1595">
        <v>18.05</v>
      </c>
      <c r="B137" s="1529" t="s">
        <v>28</v>
      </c>
      <c r="C137" s="1593" t="s">
        <v>133</v>
      </c>
      <c r="D137" s="1725" t="s">
        <v>77</v>
      </c>
      <c r="E137" s="1726">
        <f>+Locales!CM144</f>
        <v>16</v>
      </c>
      <c r="F137" s="1560">
        <f>+'APU 09.24'!E64</f>
        <v>11193.920501279999</v>
      </c>
      <c r="G137" s="1594"/>
      <c r="H137" s="1532">
        <f>F137+G137</f>
        <v>11193.920501279999</v>
      </c>
      <c r="I137" s="1724">
        <f>+SUBCONTRATOS!$D$43</f>
        <v>32886.699999999997</v>
      </c>
      <c r="J137" s="1594"/>
      <c r="K137" s="1532">
        <f>I137+J137</f>
        <v>32886.699999999997</v>
      </c>
      <c r="L137" s="1560">
        <f>+'APU 09.24'!K64</f>
        <v>1623.6466772663525</v>
      </c>
      <c r="M137" s="1532">
        <f>H137+K137+L137</f>
        <v>45704.267178546354</v>
      </c>
      <c r="N137" s="1533">
        <f>F137*E137</f>
        <v>179102.72802047999</v>
      </c>
      <c r="O137" s="1533">
        <f>G137*E137</f>
        <v>0</v>
      </c>
      <c r="P137" s="1533">
        <f>I137*E137</f>
        <v>526187.19999999995</v>
      </c>
      <c r="Q137" s="1533">
        <f>J137*E137</f>
        <v>0</v>
      </c>
      <c r="R137" s="1533">
        <f>+L137*E137</f>
        <v>25978.34683626164</v>
      </c>
      <c r="S137" s="1534">
        <f>SUM(N137:R137)</f>
        <v>731268.27485674166</v>
      </c>
      <c r="T137" s="1535"/>
      <c r="U137" s="1673">
        <f>+ROUNDUP(M137*$T$5,0)</f>
        <v>57445</v>
      </c>
      <c r="V137" s="1673">
        <f>+U137*E137</f>
        <v>919120</v>
      </c>
      <c r="X137" s="1664"/>
    </row>
    <row r="138" spans="1:28" ht="21" outlineLevel="1">
      <c r="A138" s="1595">
        <v>18.059999999999999</v>
      </c>
      <c r="B138" s="1529" t="s">
        <v>28</v>
      </c>
      <c r="C138" s="1593" t="s">
        <v>2538</v>
      </c>
      <c r="D138" s="1725" t="s">
        <v>77</v>
      </c>
      <c r="E138" s="1726">
        <f>+Locales!CQ144</f>
        <v>16</v>
      </c>
      <c r="F138" s="1560">
        <f>+'APU 09.24'!E64</f>
        <v>11193.920501279999</v>
      </c>
      <c r="G138" s="1594"/>
      <c r="H138" s="1532">
        <f>F138+G138</f>
        <v>11193.920501279999</v>
      </c>
      <c r="I138" s="1724">
        <f>+SUBCONTRATOS!$D$43</f>
        <v>32886.699999999997</v>
      </c>
      <c r="J138" s="1594"/>
      <c r="K138" s="1532">
        <f>I138+J138</f>
        <v>32886.699999999997</v>
      </c>
      <c r="L138" s="1560">
        <f>+'APU 09.24'!K64</f>
        <v>1623.6466772663525</v>
      </c>
      <c r="M138" s="1532">
        <f t="shared" ref="M138" si="394">H138+K138+L138</f>
        <v>45704.267178546354</v>
      </c>
      <c r="N138" s="1533">
        <f t="shared" ref="N138" si="395">F138*E138</f>
        <v>179102.72802047999</v>
      </c>
      <c r="O138" s="1533">
        <f t="shared" ref="O138" si="396">G138*E138</f>
        <v>0</v>
      </c>
      <c r="P138" s="1533">
        <f t="shared" ref="P138" si="397">I138*E138</f>
        <v>526187.19999999995</v>
      </c>
      <c r="Q138" s="1533">
        <f t="shared" ref="Q138" si="398">J138*E138</f>
        <v>0</v>
      </c>
      <c r="R138" s="1533">
        <f t="shared" ref="R138" si="399">+L138*E138</f>
        <v>25978.34683626164</v>
      </c>
      <c r="S138" s="1534">
        <f t="shared" ref="S138" si="400">SUM(N138:R138)</f>
        <v>731268.27485674166</v>
      </c>
      <c r="T138" s="1535"/>
      <c r="U138" s="1673">
        <f t="shared" ref="U138" si="401">+ROUNDUP(M138*$T$5,0)</f>
        <v>57445</v>
      </c>
      <c r="V138" s="1673">
        <f t="shared" ref="V138" si="402">+U138*E138</f>
        <v>919120</v>
      </c>
      <c r="X138" s="1664"/>
    </row>
    <row r="139" spans="1:28" ht="10.5" outlineLevel="1">
      <c r="A139" s="1595">
        <v>18.07</v>
      </c>
      <c r="B139" s="1529" t="s">
        <v>28</v>
      </c>
      <c r="C139" s="1593" t="s">
        <v>132</v>
      </c>
      <c r="D139" s="1725" t="s">
        <v>77</v>
      </c>
      <c r="E139" s="1726">
        <f>+Locales!CR144</f>
        <v>46</v>
      </c>
      <c r="F139" s="1562">
        <f>+'APU 09.24'!E63*0.75</f>
        <v>9888.5338517624987</v>
      </c>
      <c r="G139" s="1594"/>
      <c r="H139" s="1532">
        <f t="shared" si="382"/>
        <v>9888.5338517624987</v>
      </c>
      <c r="I139" s="1724">
        <f>+SUBCONTRATOS!$D$41</f>
        <v>22868.3</v>
      </c>
      <c r="J139" s="1594"/>
      <c r="K139" s="1532">
        <f t="shared" si="383"/>
        <v>22868.3</v>
      </c>
      <c r="L139" s="1560">
        <f>+'APU 09.24'!K63</f>
        <v>1623.6466772663525</v>
      </c>
      <c r="M139" s="1532">
        <f>H139+K139+L139</f>
        <v>34380.48052902885</v>
      </c>
      <c r="N139" s="1533">
        <f>F139*E139</f>
        <v>454872.55718107492</v>
      </c>
      <c r="O139" s="1533">
        <f>G139*E139</f>
        <v>0</v>
      </c>
      <c r="P139" s="1533">
        <f>I139*E139</f>
        <v>1051941.8</v>
      </c>
      <c r="Q139" s="1533">
        <f>J139*E139</f>
        <v>0</v>
      </c>
      <c r="R139" s="1533">
        <f>+L139*E139</f>
        <v>74687.747154252211</v>
      </c>
      <c r="S139" s="1534">
        <f>SUM(N139:R139)</f>
        <v>1581502.1043353272</v>
      </c>
      <c r="T139" s="1535"/>
      <c r="U139" s="1673">
        <f t="shared" si="380"/>
        <v>43213</v>
      </c>
      <c r="V139" s="1673">
        <f t="shared" si="381"/>
        <v>1987798</v>
      </c>
      <c r="X139" s="1664"/>
    </row>
    <row r="140" spans="1:28" ht="10.5" outlineLevel="1">
      <c r="A140" s="1595">
        <v>18.079999999999998</v>
      </c>
      <c r="B140" s="1529" t="s">
        <v>28</v>
      </c>
      <c r="C140" s="1593" t="s">
        <v>134</v>
      </c>
      <c r="D140" s="1725" t="s">
        <v>77</v>
      </c>
      <c r="E140" s="1726">
        <f>+Locales!CS144</f>
        <v>17</v>
      </c>
      <c r="F140" s="1562">
        <f>+'APU 09.24'!E63*0.75</f>
        <v>9888.5338517624987</v>
      </c>
      <c r="G140" s="1594"/>
      <c r="H140" s="1532">
        <f t="shared" si="382"/>
        <v>9888.5338517624987</v>
      </c>
      <c r="I140" s="1724">
        <f>+SUBCONTRATOS!$D$41</f>
        <v>22868.3</v>
      </c>
      <c r="J140" s="1594"/>
      <c r="K140" s="1532">
        <f t="shared" si="383"/>
        <v>22868.3</v>
      </c>
      <c r="L140" s="1560">
        <f>+'APU 09.24'!K63</f>
        <v>1623.6466772663525</v>
      </c>
      <c r="M140" s="1532">
        <f t="shared" ref="M140:M162" si="403">H140+K140+L140</f>
        <v>34380.48052902885</v>
      </c>
      <c r="N140" s="1533">
        <f t="shared" ref="N140:N162" si="404">F140*E140</f>
        <v>168105.07547996248</v>
      </c>
      <c r="O140" s="1533">
        <f t="shared" ref="O140:O162" si="405">G140*E140</f>
        <v>0</v>
      </c>
      <c r="P140" s="1533">
        <f t="shared" ref="P140:P162" si="406">I140*E140</f>
        <v>388761.1</v>
      </c>
      <c r="Q140" s="1533">
        <f t="shared" ref="Q140:Q162" si="407">J140*E140</f>
        <v>0</v>
      </c>
      <c r="R140" s="1533">
        <f t="shared" ref="R140:R162" si="408">+L140*E140</f>
        <v>27601.993513527992</v>
      </c>
      <c r="S140" s="1534">
        <f t="shared" ref="S140:S162" si="409">SUM(N140:R140)</f>
        <v>584468.16899349052</v>
      </c>
      <c r="T140" s="1535"/>
      <c r="U140" s="1673">
        <f t="shared" ref="U140:U162" si="410">+ROUNDUP(M140*$T$5,0)</f>
        <v>43213</v>
      </c>
      <c r="V140" s="1673">
        <f t="shared" ref="V140:V162" si="411">+U140*E140</f>
        <v>734621</v>
      </c>
      <c r="X140" s="1664"/>
    </row>
    <row r="141" spans="1:28" ht="10.5" outlineLevel="1">
      <c r="A141" s="1595">
        <v>18.09</v>
      </c>
      <c r="B141" s="1529" t="s">
        <v>28</v>
      </c>
      <c r="C141" s="1593" t="s">
        <v>2221</v>
      </c>
      <c r="D141" s="1725" t="s">
        <v>77</v>
      </c>
      <c r="E141" s="1726">
        <f>+Locales!CT144</f>
        <v>11</v>
      </c>
      <c r="F141" s="1562">
        <f>+'APU 09.24'!E63*0.75</f>
        <v>9888.5338517624987</v>
      </c>
      <c r="G141" s="1594"/>
      <c r="H141" s="1532">
        <f t="shared" si="382"/>
        <v>9888.5338517624987</v>
      </c>
      <c r="I141" s="1724">
        <f>+SUBCONTRATOS!$D$41</f>
        <v>22868.3</v>
      </c>
      <c r="J141" s="1594"/>
      <c r="K141" s="1532">
        <f t="shared" si="383"/>
        <v>22868.3</v>
      </c>
      <c r="L141" s="1560">
        <f>+'APU 09.24'!K63</f>
        <v>1623.6466772663525</v>
      </c>
      <c r="M141" s="1532">
        <f t="shared" ref="M141:M145" si="412">H141+K141+L141</f>
        <v>34380.48052902885</v>
      </c>
      <c r="N141" s="1533">
        <f t="shared" ref="N141:N145" si="413">F141*E141</f>
        <v>108773.87236938748</v>
      </c>
      <c r="O141" s="1533">
        <f t="shared" ref="O141:O145" si="414">G141*E141</f>
        <v>0</v>
      </c>
      <c r="P141" s="1533">
        <f t="shared" ref="P141:P145" si="415">I141*E141</f>
        <v>251551.3</v>
      </c>
      <c r="Q141" s="1533">
        <f t="shared" ref="Q141:Q145" si="416">J141*E141</f>
        <v>0</v>
      </c>
      <c r="R141" s="1533">
        <f t="shared" ref="R141:R145" si="417">+L141*E141</f>
        <v>17860.113449929879</v>
      </c>
      <c r="S141" s="1534">
        <f t="shared" ref="S141:S145" si="418">SUM(N141:R141)</f>
        <v>378185.28581931733</v>
      </c>
      <c r="T141" s="1535"/>
      <c r="U141" s="1673">
        <f t="shared" si="410"/>
        <v>43213</v>
      </c>
      <c r="V141" s="1673">
        <f t="shared" si="411"/>
        <v>475343</v>
      </c>
      <c r="X141" s="1664"/>
    </row>
    <row r="142" spans="1:28" ht="10.5" outlineLevel="1">
      <c r="A142" s="1595">
        <v>18.100000000000001</v>
      </c>
      <c r="B142" s="1529" t="s">
        <v>28</v>
      </c>
      <c r="C142" s="1593" t="s">
        <v>135</v>
      </c>
      <c r="D142" s="1725" t="s">
        <v>77</v>
      </c>
      <c r="E142" s="1726">
        <v>1</v>
      </c>
      <c r="F142" s="1724">
        <f>+ELECT!I5</f>
        <v>1524162.9241119854</v>
      </c>
      <c r="G142" s="1727"/>
      <c r="H142" s="1532">
        <f t="shared" si="382"/>
        <v>1524162.9241119854</v>
      </c>
      <c r="I142" s="1724">
        <f>+SUBCONTRATOS!D51</f>
        <v>329747.40000000002</v>
      </c>
      <c r="J142" s="1727"/>
      <c r="K142" s="1532">
        <f t="shared" si="383"/>
        <v>329747.40000000002</v>
      </c>
      <c r="L142" s="1531">
        <f>(H142+K142)*0.015</f>
        <v>27808.654861679781</v>
      </c>
      <c r="M142" s="1532">
        <f t="shared" si="412"/>
        <v>1881718.9789736653</v>
      </c>
      <c r="N142" s="1533">
        <f t="shared" si="413"/>
        <v>1524162.9241119854</v>
      </c>
      <c r="O142" s="1533">
        <f t="shared" si="414"/>
        <v>0</v>
      </c>
      <c r="P142" s="1533">
        <f t="shared" si="415"/>
        <v>329747.40000000002</v>
      </c>
      <c r="Q142" s="1533">
        <f t="shared" si="416"/>
        <v>0</v>
      </c>
      <c r="R142" s="1533">
        <f t="shared" si="417"/>
        <v>27808.654861679781</v>
      </c>
      <c r="S142" s="1534">
        <f t="shared" si="418"/>
        <v>1881718.9789736653</v>
      </c>
      <c r="T142" s="1535"/>
      <c r="U142" s="1673">
        <f t="shared" si="410"/>
        <v>2365100</v>
      </c>
      <c r="V142" s="1673">
        <f t="shared" si="411"/>
        <v>2365100</v>
      </c>
      <c r="X142" s="1664"/>
    </row>
    <row r="143" spans="1:28" ht="10.5" outlineLevel="1">
      <c r="A143" s="1595">
        <v>18.11</v>
      </c>
      <c r="B143" s="1529" t="s">
        <v>28</v>
      </c>
      <c r="C143" s="1593" t="s">
        <v>136</v>
      </c>
      <c r="D143" s="1725" t="s">
        <v>77</v>
      </c>
      <c r="E143" s="1726">
        <v>1</v>
      </c>
      <c r="F143" s="1724">
        <f>+ELECT!I29</f>
        <v>651921.59563010593</v>
      </c>
      <c r="G143" s="1594"/>
      <c r="H143" s="1532">
        <f t="shared" si="382"/>
        <v>651921.59563010593</v>
      </c>
      <c r="I143" s="1724">
        <f>+SUBCONTRATOS!$D$50</f>
        <v>219841.65</v>
      </c>
      <c r="J143" s="1594"/>
      <c r="K143" s="1532">
        <f t="shared" si="383"/>
        <v>219841.65</v>
      </c>
      <c r="L143" s="1531">
        <f t="shared" ref="L143:L151" si="419">(H143+K143)*0.015</f>
        <v>13076.448684451589</v>
      </c>
      <c r="M143" s="1532">
        <f t="shared" si="412"/>
        <v>884839.69431455759</v>
      </c>
      <c r="N143" s="1533">
        <f t="shared" si="413"/>
        <v>651921.59563010593</v>
      </c>
      <c r="O143" s="1533">
        <f t="shared" si="414"/>
        <v>0</v>
      </c>
      <c r="P143" s="1533">
        <f t="shared" si="415"/>
        <v>219841.65</v>
      </c>
      <c r="Q143" s="1533">
        <f t="shared" si="416"/>
        <v>0</v>
      </c>
      <c r="R143" s="1533">
        <f t="shared" si="417"/>
        <v>13076.448684451589</v>
      </c>
      <c r="S143" s="1534">
        <f t="shared" si="418"/>
        <v>884839.69431455759</v>
      </c>
      <c r="T143" s="1535"/>
      <c r="U143" s="1673">
        <f t="shared" si="410"/>
        <v>1112140</v>
      </c>
      <c r="V143" s="1673">
        <f t="shared" si="411"/>
        <v>1112140</v>
      </c>
      <c r="X143" s="1664"/>
    </row>
    <row r="144" spans="1:28" ht="10.5" outlineLevel="1">
      <c r="A144" s="1595">
        <v>18.12</v>
      </c>
      <c r="B144" s="1529" t="s">
        <v>28</v>
      </c>
      <c r="C144" s="1593" t="s">
        <v>2242</v>
      </c>
      <c r="D144" s="1725" t="s">
        <v>77</v>
      </c>
      <c r="E144" s="1726">
        <v>1</v>
      </c>
      <c r="F144" s="1539">
        <f>+ELECT!I39</f>
        <v>304564.37296813715</v>
      </c>
      <c r="G144" s="1707"/>
      <c r="H144" s="1532">
        <f t="shared" si="382"/>
        <v>304564.37296813715</v>
      </c>
      <c r="I144" s="1724">
        <f>+SUBCONTRATOS!$D$50</f>
        <v>219841.65</v>
      </c>
      <c r="J144" s="1594"/>
      <c r="K144" s="1532">
        <f t="shared" si="383"/>
        <v>219841.65</v>
      </c>
      <c r="L144" s="1531">
        <f t="shared" si="419"/>
        <v>7866.0903445220574</v>
      </c>
      <c r="M144" s="1532">
        <f t="shared" si="412"/>
        <v>532272.1133126592</v>
      </c>
      <c r="N144" s="1533">
        <f t="shared" si="413"/>
        <v>304564.37296813715</v>
      </c>
      <c r="O144" s="1533">
        <f t="shared" si="414"/>
        <v>0</v>
      </c>
      <c r="P144" s="1533">
        <f t="shared" si="415"/>
        <v>219841.65</v>
      </c>
      <c r="Q144" s="1533">
        <f t="shared" si="416"/>
        <v>0</v>
      </c>
      <c r="R144" s="1533">
        <f t="shared" si="417"/>
        <v>7866.0903445220574</v>
      </c>
      <c r="S144" s="1534">
        <f t="shared" si="418"/>
        <v>532272.1133126592</v>
      </c>
      <c r="T144" s="1535"/>
      <c r="U144" s="1673">
        <f t="shared" si="410"/>
        <v>669004</v>
      </c>
      <c r="V144" s="1673">
        <f t="shared" si="411"/>
        <v>669004</v>
      </c>
      <c r="X144" s="1664"/>
    </row>
    <row r="145" spans="1:24" ht="10.5" outlineLevel="1">
      <c r="A145" s="1595">
        <v>18.13</v>
      </c>
      <c r="B145" s="1529" t="s">
        <v>28</v>
      </c>
      <c r="C145" s="1593" t="s">
        <v>137</v>
      </c>
      <c r="D145" s="1725" t="s">
        <v>77</v>
      </c>
      <c r="E145" s="1726">
        <v>1</v>
      </c>
      <c r="F145" s="1539">
        <f>+ELECT!I46</f>
        <v>540706.66411583603</v>
      </c>
      <c r="G145" s="1594"/>
      <c r="H145" s="1532">
        <f t="shared" si="382"/>
        <v>540706.66411583603</v>
      </c>
      <c r="I145" s="1724">
        <f>+SUBCONTRATOS!$D$50</f>
        <v>219841.65</v>
      </c>
      <c r="J145" s="1594"/>
      <c r="K145" s="1532">
        <f t="shared" si="383"/>
        <v>219841.65</v>
      </c>
      <c r="L145" s="1531">
        <f t="shared" si="419"/>
        <v>11408.224711737541</v>
      </c>
      <c r="M145" s="1532">
        <f t="shared" si="412"/>
        <v>771956.53882757365</v>
      </c>
      <c r="N145" s="1533">
        <f t="shared" si="413"/>
        <v>540706.66411583603</v>
      </c>
      <c r="O145" s="1533">
        <f t="shared" si="414"/>
        <v>0</v>
      </c>
      <c r="P145" s="1533">
        <f t="shared" si="415"/>
        <v>219841.65</v>
      </c>
      <c r="Q145" s="1533">
        <f t="shared" si="416"/>
        <v>0</v>
      </c>
      <c r="R145" s="1533">
        <f t="shared" si="417"/>
        <v>11408.224711737541</v>
      </c>
      <c r="S145" s="1534">
        <f t="shared" si="418"/>
        <v>771956.53882757365</v>
      </c>
      <c r="T145" s="1535"/>
      <c r="U145" s="1673">
        <f t="shared" si="410"/>
        <v>970259</v>
      </c>
      <c r="V145" s="1673">
        <f t="shared" si="411"/>
        <v>970259</v>
      </c>
      <c r="X145" s="1664"/>
    </row>
    <row r="146" spans="1:24" ht="10.5" outlineLevel="1">
      <c r="A146" s="1595">
        <v>18.14</v>
      </c>
      <c r="B146" s="1529" t="s">
        <v>28</v>
      </c>
      <c r="C146" s="1593" t="s">
        <v>2222</v>
      </c>
      <c r="D146" s="1725" t="s">
        <v>77</v>
      </c>
      <c r="E146" s="1726">
        <v>1</v>
      </c>
      <c r="F146" s="1724">
        <f>+ELECT!I56</f>
        <v>178279.69798522911</v>
      </c>
      <c r="G146" s="1594"/>
      <c r="H146" s="1532">
        <f t="shared" si="382"/>
        <v>178279.69798522911</v>
      </c>
      <c r="I146" s="1724">
        <f>+SUBCONTRATOS!$D$50</f>
        <v>219841.65</v>
      </c>
      <c r="J146" s="1594"/>
      <c r="K146" s="1532">
        <f t="shared" si="383"/>
        <v>219841.65</v>
      </c>
      <c r="L146" s="1531">
        <f t="shared" si="419"/>
        <v>5971.8202197784367</v>
      </c>
      <c r="M146" s="1532">
        <f t="shared" ref="M146" si="420">H146+K146+L146</f>
        <v>404093.16820500756</v>
      </c>
      <c r="N146" s="1533">
        <f t="shared" ref="N146" si="421">F146*E146</f>
        <v>178279.69798522911</v>
      </c>
      <c r="O146" s="1533">
        <f t="shared" ref="O146" si="422">G146*E146</f>
        <v>0</v>
      </c>
      <c r="P146" s="1533">
        <f t="shared" ref="P146" si="423">I146*E146</f>
        <v>219841.65</v>
      </c>
      <c r="Q146" s="1533">
        <f t="shared" ref="Q146" si="424">J146*E146</f>
        <v>0</v>
      </c>
      <c r="R146" s="1533">
        <f t="shared" ref="R146" si="425">+L146*E146</f>
        <v>5971.8202197784367</v>
      </c>
      <c r="S146" s="1534">
        <f t="shared" ref="S146" si="426">SUM(N146:R146)</f>
        <v>404093.16820500756</v>
      </c>
      <c r="T146" s="1535"/>
      <c r="U146" s="1673">
        <f t="shared" ref="U146" si="427">+ROUNDUP(M146*$T$5,0)</f>
        <v>507898</v>
      </c>
      <c r="V146" s="1673">
        <f t="shared" ref="V146" si="428">+U146*E146</f>
        <v>507898</v>
      </c>
      <c r="X146" s="1664"/>
    </row>
    <row r="147" spans="1:24" ht="10.5" outlineLevel="1">
      <c r="A147" s="1595">
        <v>18.149999999999999</v>
      </c>
      <c r="B147" s="1529" t="s">
        <v>28</v>
      </c>
      <c r="C147" s="1593" t="s">
        <v>2220</v>
      </c>
      <c r="D147" s="1725" t="s">
        <v>77</v>
      </c>
      <c r="E147" s="1726">
        <v>7</v>
      </c>
      <c r="F147" s="1724">
        <f>+ELECT!I56</f>
        <v>178279.69798522911</v>
      </c>
      <c r="G147" s="1594"/>
      <c r="H147" s="1532">
        <f t="shared" ref="H147:H154" si="429">F147+G147</f>
        <v>178279.69798522911</v>
      </c>
      <c r="I147" s="1724">
        <f>+SUBCONTRATOS!$D$50</f>
        <v>219841.65</v>
      </c>
      <c r="J147" s="1594"/>
      <c r="K147" s="1532">
        <f t="shared" si="383"/>
        <v>219841.65</v>
      </c>
      <c r="L147" s="1531">
        <f t="shared" si="419"/>
        <v>5971.8202197784367</v>
      </c>
      <c r="M147" s="1532">
        <f t="shared" ref="M147:M151" si="430">H147+K147+L147</f>
        <v>404093.16820500756</v>
      </c>
      <c r="N147" s="1533">
        <f t="shared" ref="N147:N151" si="431">F147*E147</f>
        <v>1247957.8858966038</v>
      </c>
      <c r="O147" s="1533">
        <f t="shared" ref="O147:O149" si="432">G147*E147</f>
        <v>0</v>
      </c>
      <c r="P147" s="1533">
        <f t="shared" ref="P147:P149" si="433">I147*E147</f>
        <v>1538891.55</v>
      </c>
      <c r="Q147" s="1533">
        <f t="shared" ref="Q147:Q149" si="434">J147*E147</f>
        <v>0</v>
      </c>
      <c r="R147" s="1533">
        <f t="shared" ref="R147:R149" si="435">+L147*E147</f>
        <v>41802.74153844906</v>
      </c>
      <c r="S147" s="1534">
        <f t="shared" ref="S147:S151" si="436">SUM(N147:R147)</f>
        <v>2828652.177435053</v>
      </c>
      <c r="T147" s="1535"/>
      <c r="U147" s="1673">
        <f t="shared" si="410"/>
        <v>507898</v>
      </c>
      <c r="V147" s="1673">
        <f t="shared" si="411"/>
        <v>3555286</v>
      </c>
      <c r="X147" s="1664"/>
    </row>
    <row r="148" spans="1:24" ht="10.5" outlineLevel="1">
      <c r="A148" s="1595">
        <v>18.16</v>
      </c>
      <c r="B148" s="1529" t="s">
        <v>28</v>
      </c>
      <c r="C148" s="1593" t="s">
        <v>2244</v>
      </c>
      <c r="D148" s="1725" t="s">
        <v>77</v>
      </c>
      <c r="E148" s="1726">
        <v>9</v>
      </c>
      <c r="F148" s="1724">
        <f>+ELECT!I64</f>
        <v>246945.70801345402</v>
      </c>
      <c r="G148" s="1594"/>
      <c r="H148" s="1532">
        <f t="shared" si="429"/>
        <v>246945.70801345402</v>
      </c>
      <c r="I148" s="1724">
        <f>+SUBCONTRATOS!$D$50</f>
        <v>219841.65</v>
      </c>
      <c r="J148" s="1594"/>
      <c r="K148" s="1532">
        <f t="shared" ref="K148" si="437">I148+J148</f>
        <v>219841.65</v>
      </c>
      <c r="L148" s="1531">
        <f t="shared" si="419"/>
        <v>7001.8103702018097</v>
      </c>
      <c r="M148" s="1532">
        <f t="shared" si="430"/>
        <v>473789.16838365584</v>
      </c>
      <c r="N148" s="1533">
        <f t="shared" si="431"/>
        <v>2222511.3721210863</v>
      </c>
      <c r="O148" s="1533">
        <f t="shared" ref="O148" si="438">G148*E148</f>
        <v>0</v>
      </c>
      <c r="P148" s="1533">
        <f t="shared" ref="P148" si="439">I148*E148</f>
        <v>1978574.8499999999</v>
      </c>
      <c r="Q148" s="1533">
        <f t="shared" ref="Q148" si="440">J148*E148</f>
        <v>0</v>
      </c>
      <c r="R148" s="1533">
        <f t="shared" ref="R148" si="441">+L148*E148</f>
        <v>63016.29333181629</v>
      </c>
      <c r="S148" s="1534">
        <f t="shared" si="436"/>
        <v>4264102.5154529018</v>
      </c>
      <c r="T148" s="1535"/>
      <c r="U148" s="1673">
        <f t="shared" si="410"/>
        <v>595498</v>
      </c>
      <c r="V148" s="1673">
        <f t="shared" si="411"/>
        <v>5359482</v>
      </c>
      <c r="X148" s="1664"/>
    </row>
    <row r="149" spans="1:24" ht="10.5" outlineLevel="1">
      <c r="A149" s="1595">
        <v>18.170000000000002</v>
      </c>
      <c r="B149" s="1529" t="s">
        <v>28</v>
      </c>
      <c r="C149" s="1593" t="s">
        <v>138</v>
      </c>
      <c r="D149" s="1725" t="s">
        <v>54</v>
      </c>
      <c r="E149" s="1726">
        <v>1</v>
      </c>
      <c r="F149" s="1728">
        <v>5500000</v>
      </c>
      <c r="G149" s="1727"/>
      <c r="H149" s="1532">
        <f t="shared" si="429"/>
        <v>5500000</v>
      </c>
      <c r="I149" s="1727">
        <f>+('P.MO 09.24'!B4+'P.MO 09.24'!B6)*10</f>
        <v>1298971.1999314395</v>
      </c>
      <c r="J149" s="1727">
        <f>+I149*0.5</f>
        <v>649485.59996571974</v>
      </c>
      <c r="K149" s="1532">
        <f t="shared" si="383"/>
        <v>1948456.7998971592</v>
      </c>
      <c r="L149" s="1531">
        <f t="shared" si="419"/>
        <v>111726.85199845739</v>
      </c>
      <c r="M149" s="1532">
        <f t="shared" si="430"/>
        <v>7560183.6518956171</v>
      </c>
      <c r="N149" s="1533">
        <f t="shared" si="431"/>
        <v>5500000</v>
      </c>
      <c r="O149" s="1533">
        <f t="shared" si="432"/>
        <v>0</v>
      </c>
      <c r="P149" s="1533">
        <f t="shared" si="433"/>
        <v>1298971.1999314395</v>
      </c>
      <c r="Q149" s="1533">
        <f t="shared" si="434"/>
        <v>649485.59996571974</v>
      </c>
      <c r="R149" s="1533">
        <f t="shared" si="435"/>
        <v>111726.85199845739</v>
      </c>
      <c r="S149" s="1534">
        <f t="shared" si="436"/>
        <v>7560183.6518956162</v>
      </c>
      <c r="T149" s="1535"/>
      <c r="U149" s="1673">
        <f t="shared" si="410"/>
        <v>9502264</v>
      </c>
      <c r="V149" s="1673">
        <f t="shared" si="411"/>
        <v>9502264</v>
      </c>
      <c r="X149" s="1664"/>
    </row>
    <row r="150" spans="1:24" ht="21" outlineLevel="1">
      <c r="A150" s="1595">
        <v>18.18</v>
      </c>
      <c r="B150" s="1529" t="s">
        <v>28</v>
      </c>
      <c r="C150" s="1593" t="s">
        <v>139</v>
      </c>
      <c r="D150" s="1725" t="s">
        <v>54</v>
      </c>
      <c r="E150" s="1726">
        <v>1</v>
      </c>
      <c r="F150" s="1724">
        <f>+ELECT!I115</f>
        <v>607800.87756291637</v>
      </c>
      <c r="G150" s="1727"/>
      <c r="H150" s="1532">
        <f t="shared" si="429"/>
        <v>607800.87756291637</v>
      </c>
      <c r="I150" s="1727">
        <f>+('P.MO 09.24'!B5+'P.MO 09.24'!B7)*5</f>
        <v>576472.42766571976</v>
      </c>
      <c r="J150" s="1727">
        <f>+I150*0.5</f>
        <v>288236.21383285988</v>
      </c>
      <c r="K150" s="1532">
        <f t="shared" si="383"/>
        <v>864708.64149857964</v>
      </c>
      <c r="L150" s="1531">
        <f t="shared" si="419"/>
        <v>22087.642785922439</v>
      </c>
      <c r="M150" s="1532">
        <f t="shared" si="430"/>
        <v>1494597.1618474184</v>
      </c>
      <c r="N150" s="1533">
        <f t="shared" si="431"/>
        <v>607800.87756291637</v>
      </c>
      <c r="O150" s="1533">
        <f t="shared" si="405"/>
        <v>0</v>
      </c>
      <c r="P150" s="1533">
        <f t="shared" si="406"/>
        <v>576472.42766571976</v>
      </c>
      <c r="Q150" s="1533">
        <f t="shared" si="407"/>
        <v>288236.21383285988</v>
      </c>
      <c r="R150" s="1533">
        <f t="shared" si="408"/>
        <v>22087.642785922439</v>
      </c>
      <c r="S150" s="1534">
        <f t="shared" si="436"/>
        <v>1494597.1618474184</v>
      </c>
      <c r="T150" s="1535"/>
      <c r="U150" s="1673">
        <f t="shared" si="410"/>
        <v>1878534</v>
      </c>
      <c r="V150" s="1673">
        <f t="shared" si="411"/>
        <v>1878534</v>
      </c>
      <c r="X150" s="1664"/>
    </row>
    <row r="151" spans="1:24" ht="21" outlineLevel="1">
      <c r="A151" s="1595">
        <v>18.190000000000001</v>
      </c>
      <c r="B151" s="1529" t="s">
        <v>28</v>
      </c>
      <c r="C151" s="1593" t="s">
        <v>140</v>
      </c>
      <c r="D151" s="1725" t="s">
        <v>54</v>
      </c>
      <c r="E151" s="1726">
        <v>1</v>
      </c>
      <c r="F151" s="1724">
        <f>+ELECT!I115</f>
        <v>607800.87756291637</v>
      </c>
      <c r="G151" s="1727"/>
      <c r="H151" s="1532">
        <f t="shared" si="429"/>
        <v>607800.87756291637</v>
      </c>
      <c r="I151" s="1727">
        <f>+I150</f>
        <v>576472.42766571976</v>
      </c>
      <c r="J151" s="1727">
        <f>+J150</f>
        <v>288236.21383285988</v>
      </c>
      <c r="K151" s="1532">
        <f t="shared" si="383"/>
        <v>864708.64149857964</v>
      </c>
      <c r="L151" s="1531">
        <f t="shared" si="419"/>
        <v>22087.642785922439</v>
      </c>
      <c r="M151" s="1532">
        <f t="shared" si="430"/>
        <v>1494597.1618474184</v>
      </c>
      <c r="N151" s="1533">
        <f t="shared" si="431"/>
        <v>607800.87756291637</v>
      </c>
      <c r="O151" s="1533">
        <f t="shared" si="405"/>
        <v>0</v>
      </c>
      <c r="P151" s="1533">
        <f t="shared" si="406"/>
        <v>576472.42766571976</v>
      </c>
      <c r="Q151" s="1533">
        <f t="shared" si="407"/>
        <v>288236.21383285988</v>
      </c>
      <c r="R151" s="1533">
        <f t="shared" si="408"/>
        <v>22087.642785922439</v>
      </c>
      <c r="S151" s="1534">
        <f t="shared" si="436"/>
        <v>1494597.1618474184</v>
      </c>
      <c r="T151" s="1535"/>
      <c r="U151" s="1673">
        <f t="shared" si="410"/>
        <v>1878534</v>
      </c>
      <c r="V151" s="1673">
        <f t="shared" si="411"/>
        <v>1878534</v>
      </c>
      <c r="X151" s="1664"/>
    </row>
    <row r="152" spans="1:24" ht="21" outlineLevel="1">
      <c r="A152" s="1595">
        <v>18.2</v>
      </c>
      <c r="B152" s="1529" t="s">
        <v>28</v>
      </c>
      <c r="C152" s="1593" t="s">
        <v>2539</v>
      </c>
      <c r="D152" s="1725" t="s">
        <v>77</v>
      </c>
      <c r="E152" s="1726">
        <f>+Locales!CG144</f>
        <v>33</v>
      </c>
      <c r="F152" s="1724"/>
      <c r="G152" s="1594"/>
      <c r="H152" s="1532">
        <f t="shared" si="429"/>
        <v>0</v>
      </c>
      <c r="I152" s="1724">
        <f>+SUBCONTRATOS!D46</f>
        <v>11158</v>
      </c>
      <c r="J152" s="1594"/>
      <c r="K152" s="1532">
        <f t="shared" si="383"/>
        <v>11158</v>
      </c>
      <c r="L152" s="1531">
        <f t="shared" ref="L152:L161" si="442">(H152+K152)*0.015</f>
        <v>167.37</v>
      </c>
      <c r="M152" s="1532">
        <f t="shared" si="403"/>
        <v>11325.37</v>
      </c>
      <c r="N152" s="1533">
        <f t="shared" si="404"/>
        <v>0</v>
      </c>
      <c r="O152" s="1533">
        <f t="shared" si="405"/>
        <v>0</v>
      </c>
      <c r="P152" s="1533">
        <f t="shared" si="406"/>
        <v>368214</v>
      </c>
      <c r="Q152" s="1533">
        <f t="shared" si="407"/>
        <v>0</v>
      </c>
      <c r="R152" s="1533">
        <f t="shared" si="408"/>
        <v>5523.21</v>
      </c>
      <c r="S152" s="1534">
        <f t="shared" si="409"/>
        <v>373737.21</v>
      </c>
      <c r="T152" s="1535"/>
      <c r="U152" s="1673">
        <f t="shared" si="410"/>
        <v>14235</v>
      </c>
      <c r="V152" s="1673">
        <f t="shared" si="411"/>
        <v>469755</v>
      </c>
      <c r="X152" s="1664"/>
    </row>
    <row r="153" spans="1:24" ht="21" outlineLevel="1">
      <c r="A153" s="1595">
        <v>18.21</v>
      </c>
      <c r="B153" s="1529" t="s">
        <v>28</v>
      </c>
      <c r="C153" s="1593" t="s">
        <v>2540</v>
      </c>
      <c r="D153" s="1725" t="s">
        <v>77</v>
      </c>
      <c r="E153" s="1726">
        <f>+Locales!CL144</f>
        <v>150</v>
      </c>
      <c r="F153" s="1727"/>
      <c r="G153" s="1727"/>
      <c r="H153" s="1532">
        <f t="shared" si="429"/>
        <v>0</v>
      </c>
      <c r="I153" s="1724">
        <f>+SUBCONTRATOS!$D$45</f>
        <v>7270.9</v>
      </c>
      <c r="J153" s="1727"/>
      <c r="K153" s="1532">
        <f t="shared" si="383"/>
        <v>7270.9</v>
      </c>
      <c r="L153" s="1531">
        <f t="shared" si="442"/>
        <v>109.06349999999999</v>
      </c>
      <c r="M153" s="1532">
        <f t="shared" si="403"/>
        <v>7379.9634999999998</v>
      </c>
      <c r="N153" s="1533">
        <f t="shared" si="404"/>
        <v>0</v>
      </c>
      <c r="O153" s="1533">
        <f t="shared" si="405"/>
        <v>0</v>
      </c>
      <c r="P153" s="1533">
        <f t="shared" si="406"/>
        <v>1090635</v>
      </c>
      <c r="Q153" s="1533">
        <f t="shared" si="407"/>
        <v>0</v>
      </c>
      <c r="R153" s="1533">
        <f t="shared" si="408"/>
        <v>16359.524999999998</v>
      </c>
      <c r="S153" s="1534">
        <f t="shared" si="409"/>
        <v>1106994.5249999999</v>
      </c>
      <c r="T153" s="1535"/>
      <c r="U153" s="1673">
        <f t="shared" si="410"/>
        <v>9276</v>
      </c>
      <c r="V153" s="1673">
        <f t="shared" si="411"/>
        <v>1391400</v>
      </c>
      <c r="X153" s="1664"/>
    </row>
    <row r="154" spans="1:24" ht="21" outlineLevel="1">
      <c r="A154" s="1595">
        <v>18.22</v>
      </c>
      <c r="B154" s="1529" t="s">
        <v>28</v>
      </c>
      <c r="C154" s="1593" t="s">
        <v>2541</v>
      </c>
      <c r="D154" s="1725" t="s">
        <v>77</v>
      </c>
      <c r="E154" s="1726">
        <f>+Locales!CM144</f>
        <v>16</v>
      </c>
      <c r="F154" s="1727"/>
      <c r="G154" s="1727"/>
      <c r="H154" s="1532">
        <f t="shared" si="429"/>
        <v>0</v>
      </c>
      <c r="I154" s="1724">
        <f>+SUBCONTRATOS!$D$45</f>
        <v>7270.9</v>
      </c>
      <c r="J154" s="1727"/>
      <c r="K154" s="1532">
        <f t="shared" si="383"/>
        <v>7270.9</v>
      </c>
      <c r="L154" s="1531">
        <f t="shared" si="442"/>
        <v>109.06349999999999</v>
      </c>
      <c r="M154" s="1532">
        <f t="shared" si="403"/>
        <v>7379.9634999999998</v>
      </c>
      <c r="N154" s="1533">
        <f t="shared" si="404"/>
        <v>0</v>
      </c>
      <c r="O154" s="1533">
        <f t="shared" si="405"/>
        <v>0</v>
      </c>
      <c r="P154" s="1533">
        <f t="shared" si="406"/>
        <v>116334.39999999999</v>
      </c>
      <c r="Q154" s="1533">
        <f t="shared" si="407"/>
        <v>0</v>
      </c>
      <c r="R154" s="1533">
        <f t="shared" si="408"/>
        <v>1745.0159999999998</v>
      </c>
      <c r="S154" s="1534">
        <f t="shared" si="409"/>
        <v>118079.416</v>
      </c>
      <c r="T154" s="1535"/>
      <c r="U154" s="1673">
        <f t="shared" si="410"/>
        <v>9276</v>
      </c>
      <c r="V154" s="1673">
        <f t="shared" si="411"/>
        <v>148416</v>
      </c>
      <c r="X154" s="1664"/>
    </row>
    <row r="155" spans="1:24" ht="21" outlineLevel="1">
      <c r="A155" s="1595">
        <v>18.23</v>
      </c>
      <c r="B155" s="1529" t="s">
        <v>28</v>
      </c>
      <c r="C155" s="1593" t="s">
        <v>2542</v>
      </c>
      <c r="D155" s="1725" t="s">
        <v>77</v>
      </c>
      <c r="E155" s="1726">
        <f>+Locales!CO146</f>
        <v>349</v>
      </c>
      <c r="F155" s="1727"/>
      <c r="G155" s="1727"/>
      <c r="H155" s="1532">
        <f t="shared" si="382"/>
        <v>0</v>
      </c>
      <c r="I155" s="1724">
        <f>+SUBCONTRATOS!$D$45</f>
        <v>7270.9</v>
      </c>
      <c r="J155" s="1727"/>
      <c r="K155" s="1532">
        <f t="shared" si="383"/>
        <v>7270.9</v>
      </c>
      <c r="L155" s="1531">
        <f t="shared" si="442"/>
        <v>109.06349999999999</v>
      </c>
      <c r="M155" s="1532">
        <f t="shared" si="403"/>
        <v>7379.9634999999998</v>
      </c>
      <c r="N155" s="1533">
        <f t="shared" si="404"/>
        <v>0</v>
      </c>
      <c r="O155" s="1533">
        <f t="shared" si="405"/>
        <v>0</v>
      </c>
      <c r="P155" s="1533">
        <f t="shared" si="406"/>
        <v>2537544.1</v>
      </c>
      <c r="Q155" s="1533">
        <f t="shared" si="407"/>
        <v>0</v>
      </c>
      <c r="R155" s="1533">
        <f t="shared" si="408"/>
        <v>38063.161499999995</v>
      </c>
      <c r="S155" s="1534">
        <f t="shared" si="409"/>
        <v>2575607.2615</v>
      </c>
      <c r="T155" s="1535"/>
      <c r="U155" s="1673">
        <f t="shared" si="410"/>
        <v>9276</v>
      </c>
      <c r="V155" s="1673">
        <f t="shared" si="411"/>
        <v>3237324</v>
      </c>
      <c r="X155" s="1664"/>
    </row>
    <row r="156" spans="1:24" ht="21" outlineLevel="1">
      <c r="A156" s="1595">
        <v>18.239999999999998</v>
      </c>
      <c r="B156" s="1529" t="s">
        <v>28</v>
      </c>
      <c r="C156" s="1593" t="s">
        <v>2543</v>
      </c>
      <c r="D156" s="1725" t="s">
        <v>77</v>
      </c>
      <c r="E156" s="1726">
        <f>+Locales!CH144</f>
        <v>27</v>
      </c>
      <c r="F156" s="1729"/>
      <c r="G156" s="1594"/>
      <c r="H156" s="1532">
        <f t="shared" si="382"/>
        <v>0</v>
      </c>
      <c r="I156" s="1724">
        <f>+SUBCONTRATOS!D49</f>
        <v>17500</v>
      </c>
      <c r="J156" s="1594"/>
      <c r="K156" s="1532">
        <f t="shared" si="383"/>
        <v>17500</v>
      </c>
      <c r="L156" s="1531">
        <f t="shared" si="442"/>
        <v>262.5</v>
      </c>
      <c r="M156" s="1532">
        <f t="shared" si="403"/>
        <v>17762.5</v>
      </c>
      <c r="N156" s="1533">
        <f t="shared" si="404"/>
        <v>0</v>
      </c>
      <c r="O156" s="1533">
        <f t="shared" si="405"/>
        <v>0</v>
      </c>
      <c r="P156" s="1533">
        <f t="shared" si="406"/>
        <v>472500</v>
      </c>
      <c r="Q156" s="1533">
        <f t="shared" si="407"/>
        <v>0</v>
      </c>
      <c r="R156" s="1533">
        <f t="shared" si="408"/>
        <v>7087.5</v>
      </c>
      <c r="S156" s="1534">
        <f t="shared" si="409"/>
        <v>479587.5</v>
      </c>
      <c r="T156" s="1535"/>
      <c r="U156" s="1673">
        <f t="shared" si="410"/>
        <v>22326</v>
      </c>
      <c r="V156" s="1673">
        <f t="shared" si="411"/>
        <v>602802</v>
      </c>
      <c r="X156" s="1664"/>
    </row>
    <row r="157" spans="1:24" ht="21" outlineLevel="1">
      <c r="A157" s="1595">
        <v>18.25</v>
      </c>
      <c r="B157" s="1529" t="s">
        <v>28</v>
      </c>
      <c r="C157" s="1593" t="s">
        <v>2544</v>
      </c>
      <c r="D157" s="1725" t="s">
        <v>77</v>
      </c>
      <c r="E157" s="1726">
        <f>+Locales!CM144</f>
        <v>16</v>
      </c>
      <c r="F157" s="1724"/>
      <c r="G157" s="1594"/>
      <c r="H157" s="1532">
        <f t="shared" si="382"/>
        <v>0</v>
      </c>
      <c r="I157" s="1724">
        <f>+SUBCONTRATOS!D46</f>
        <v>11158</v>
      </c>
      <c r="J157" s="1594"/>
      <c r="K157" s="1532">
        <f t="shared" si="383"/>
        <v>11158</v>
      </c>
      <c r="L157" s="1531">
        <f t="shared" si="442"/>
        <v>167.37</v>
      </c>
      <c r="M157" s="1532">
        <f t="shared" si="403"/>
        <v>11325.37</v>
      </c>
      <c r="N157" s="1533">
        <f t="shared" si="404"/>
        <v>0</v>
      </c>
      <c r="O157" s="1533">
        <f t="shared" si="405"/>
        <v>0</v>
      </c>
      <c r="P157" s="1533">
        <f t="shared" si="406"/>
        <v>178528</v>
      </c>
      <c r="Q157" s="1533">
        <f t="shared" si="407"/>
        <v>0</v>
      </c>
      <c r="R157" s="1533">
        <f t="shared" si="408"/>
        <v>2677.92</v>
      </c>
      <c r="S157" s="1534">
        <f t="shared" si="409"/>
        <v>181205.92</v>
      </c>
      <c r="T157" s="1535"/>
      <c r="U157" s="1673">
        <f t="shared" si="410"/>
        <v>14235</v>
      </c>
      <c r="V157" s="1673">
        <f t="shared" si="411"/>
        <v>227760</v>
      </c>
      <c r="X157" s="1664"/>
    </row>
    <row r="158" spans="1:24" ht="42" outlineLevel="1">
      <c r="A158" s="1595">
        <v>18.260000000000002</v>
      </c>
      <c r="B158" s="1529" t="s">
        <v>28</v>
      </c>
      <c r="C158" s="1593" t="s">
        <v>2545</v>
      </c>
      <c r="D158" s="1725" t="s">
        <v>77</v>
      </c>
      <c r="E158" s="1726">
        <f>+Locales!CI144</f>
        <v>137</v>
      </c>
      <c r="F158" s="1729"/>
      <c r="G158" s="1594"/>
      <c r="H158" s="1532">
        <f t="shared" si="382"/>
        <v>0</v>
      </c>
      <c r="I158" s="1539">
        <f>+SUBCONTRATOS!D46</f>
        <v>11158</v>
      </c>
      <c r="J158" s="1594"/>
      <c r="K158" s="1532">
        <f t="shared" si="383"/>
        <v>11158</v>
      </c>
      <c r="L158" s="1531">
        <f t="shared" si="442"/>
        <v>167.37</v>
      </c>
      <c r="M158" s="1532">
        <f t="shared" si="403"/>
        <v>11325.37</v>
      </c>
      <c r="N158" s="1533">
        <f t="shared" si="404"/>
        <v>0</v>
      </c>
      <c r="O158" s="1533">
        <f t="shared" si="405"/>
        <v>0</v>
      </c>
      <c r="P158" s="1533">
        <f t="shared" si="406"/>
        <v>1528646</v>
      </c>
      <c r="Q158" s="1533">
        <f t="shared" si="407"/>
        <v>0</v>
      </c>
      <c r="R158" s="1533">
        <f t="shared" si="408"/>
        <v>22929.690000000002</v>
      </c>
      <c r="S158" s="1534">
        <f t="shared" si="409"/>
        <v>1551575.69</v>
      </c>
      <c r="T158" s="1535"/>
      <c r="U158" s="1673">
        <f t="shared" si="410"/>
        <v>14235</v>
      </c>
      <c r="V158" s="1673">
        <f t="shared" si="411"/>
        <v>1950195</v>
      </c>
      <c r="X158" s="1664"/>
    </row>
    <row r="159" spans="1:24" ht="21" outlineLevel="1">
      <c r="A159" s="1595">
        <v>18.27</v>
      </c>
      <c r="B159" s="1529" t="s">
        <v>28</v>
      </c>
      <c r="C159" s="1593" t="s">
        <v>2546</v>
      </c>
      <c r="D159" s="1725" t="s">
        <v>77</v>
      </c>
      <c r="E159" s="1726">
        <v>1</v>
      </c>
      <c r="F159" s="1729"/>
      <c r="G159" s="1594"/>
      <c r="H159" s="1532">
        <f t="shared" si="382"/>
        <v>0</v>
      </c>
      <c r="I159" s="1539">
        <f>+SUBCONTRATOS!D46</f>
        <v>11158</v>
      </c>
      <c r="J159" s="1594"/>
      <c r="K159" s="1532">
        <f t="shared" ref="K159:K161" si="443">I159+J159</f>
        <v>11158</v>
      </c>
      <c r="L159" s="1531">
        <f t="shared" si="442"/>
        <v>167.37</v>
      </c>
      <c r="M159" s="1532">
        <f t="shared" ref="M159:M161" si="444">H159+K159+L159</f>
        <v>11325.37</v>
      </c>
      <c r="N159" s="1533">
        <f t="shared" ref="N159:N161" si="445">F159*E159</f>
        <v>0</v>
      </c>
      <c r="O159" s="1533">
        <f t="shared" ref="O159:O161" si="446">G159*E159</f>
        <v>0</v>
      </c>
      <c r="P159" s="1533">
        <f t="shared" ref="P159:P161" si="447">I159*E159</f>
        <v>11158</v>
      </c>
      <c r="Q159" s="1533">
        <f t="shared" ref="Q159:Q161" si="448">J159*E159</f>
        <v>0</v>
      </c>
      <c r="R159" s="1533">
        <f t="shared" ref="R159:R161" si="449">+L159*E159</f>
        <v>167.37</v>
      </c>
      <c r="S159" s="1534">
        <f t="shared" ref="S159:S161" si="450">SUM(N159:R159)</f>
        <v>11325.37</v>
      </c>
      <c r="T159" s="1535"/>
      <c r="U159" s="1673">
        <f t="shared" ref="U159:U161" si="451">+ROUNDUP(M159*$T$5,0)</f>
        <v>14235</v>
      </c>
      <c r="V159" s="1673">
        <f t="shared" ref="V159:V161" si="452">+U159*E159</f>
        <v>14235</v>
      </c>
      <c r="X159" s="1664"/>
    </row>
    <row r="160" spans="1:24" ht="10.5" outlineLevel="1">
      <c r="A160" s="1595">
        <v>18.28</v>
      </c>
      <c r="B160" s="1529" t="s">
        <v>28</v>
      </c>
      <c r="C160" s="1593" t="s">
        <v>1545</v>
      </c>
      <c r="D160" s="1725" t="s">
        <v>54</v>
      </c>
      <c r="E160" s="1726">
        <v>1</v>
      </c>
      <c r="F160" s="1724">
        <f>+ELECT!I80</f>
        <v>5844722.2283497546</v>
      </c>
      <c r="G160" s="1727"/>
      <c r="H160" s="1532">
        <f t="shared" si="382"/>
        <v>5844722.2283497546</v>
      </c>
      <c r="I160" s="1724">
        <f>(SUBCONTRATOS!D54*4)+SUBCONTRATOS!D55+SUBCONTRATOS!D56+SUBCONTRATOS!D57</f>
        <v>1471041.5999999999</v>
      </c>
      <c r="J160" s="1727"/>
      <c r="K160" s="1532">
        <f t="shared" si="443"/>
        <v>1471041.5999999999</v>
      </c>
      <c r="L160" s="1531">
        <f t="shared" si="442"/>
        <v>109736.45742524631</v>
      </c>
      <c r="M160" s="1532">
        <f t="shared" si="444"/>
        <v>7425500.2857750002</v>
      </c>
      <c r="N160" s="1533">
        <f t="shared" si="445"/>
        <v>5844722.2283497546</v>
      </c>
      <c r="O160" s="1533">
        <f t="shared" si="446"/>
        <v>0</v>
      </c>
      <c r="P160" s="1533">
        <f t="shared" si="447"/>
        <v>1471041.5999999999</v>
      </c>
      <c r="Q160" s="1533">
        <f t="shared" si="448"/>
        <v>0</v>
      </c>
      <c r="R160" s="1533">
        <f t="shared" si="449"/>
        <v>109736.45742524631</v>
      </c>
      <c r="S160" s="1534">
        <f t="shared" si="450"/>
        <v>7425500.2857750002</v>
      </c>
      <c r="T160" s="1535"/>
      <c r="U160" s="1673">
        <f t="shared" si="451"/>
        <v>9332982</v>
      </c>
      <c r="V160" s="1673">
        <f t="shared" si="452"/>
        <v>9332982</v>
      </c>
      <c r="X160" s="1664"/>
    </row>
    <row r="161" spans="1:30" ht="10.5" outlineLevel="1">
      <c r="A161" s="1595">
        <v>18.29</v>
      </c>
      <c r="B161" s="1529" t="s">
        <v>28</v>
      </c>
      <c r="C161" s="1593" t="s">
        <v>142</v>
      </c>
      <c r="D161" s="1725" t="s">
        <v>54</v>
      </c>
      <c r="E161" s="1726">
        <v>1</v>
      </c>
      <c r="F161" s="1724">
        <f>+ELECT!I74</f>
        <v>1261512.1510117827</v>
      </c>
      <c r="G161" s="1727"/>
      <c r="H161" s="1532">
        <f t="shared" si="382"/>
        <v>1261512.1510117827</v>
      </c>
      <c r="I161" s="1724">
        <f>+SUBCONTRATOS!D58*5</f>
        <v>305252.49999999994</v>
      </c>
      <c r="J161" s="1531"/>
      <c r="K161" s="1532">
        <f t="shared" si="443"/>
        <v>305252.49999999994</v>
      </c>
      <c r="L161" s="1531">
        <f t="shared" si="442"/>
        <v>23501.469765176738</v>
      </c>
      <c r="M161" s="1532">
        <f t="shared" si="444"/>
        <v>1590266.1207769595</v>
      </c>
      <c r="N161" s="1533">
        <f t="shared" si="445"/>
        <v>1261512.1510117827</v>
      </c>
      <c r="O161" s="1533">
        <f t="shared" si="446"/>
        <v>0</v>
      </c>
      <c r="P161" s="1533">
        <f t="shared" si="447"/>
        <v>305252.49999999994</v>
      </c>
      <c r="Q161" s="1533">
        <f t="shared" si="448"/>
        <v>0</v>
      </c>
      <c r="R161" s="1533">
        <f t="shared" si="449"/>
        <v>23501.469765176738</v>
      </c>
      <c r="S161" s="1534">
        <f t="shared" si="450"/>
        <v>1590266.1207769595</v>
      </c>
      <c r="T161" s="1535"/>
      <c r="U161" s="1673">
        <f t="shared" si="451"/>
        <v>1998778</v>
      </c>
      <c r="V161" s="1673">
        <f t="shared" si="452"/>
        <v>1998778</v>
      </c>
      <c r="X161" s="1664"/>
      <c r="AB161" s="1654">
        <v>4046.5</v>
      </c>
      <c r="AC161" s="1648">
        <v>45200</v>
      </c>
    </row>
    <row r="162" spans="1:30" ht="10.5" outlineLevel="1">
      <c r="A162" s="1595">
        <v>18.3</v>
      </c>
      <c r="B162" s="1573" t="s">
        <v>28</v>
      </c>
      <c r="C162" s="1596" t="s">
        <v>2223</v>
      </c>
      <c r="D162" s="1730" t="s">
        <v>54</v>
      </c>
      <c r="E162" s="1731">
        <v>1</v>
      </c>
      <c r="F162" s="1732"/>
      <c r="G162" s="1597"/>
      <c r="H162" s="1544">
        <f t="shared" si="382"/>
        <v>0</v>
      </c>
      <c r="I162" s="1545">
        <f>+SUBCONTRATOS!D15</f>
        <v>100127.46103958957</v>
      </c>
      <c r="J162" s="1597"/>
      <c r="K162" s="1544">
        <f t="shared" si="383"/>
        <v>100127.46103958957</v>
      </c>
      <c r="L162" s="1531"/>
      <c r="M162" s="1544">
        <f t="shared" si="403"/>
        <v>100127.46103958957</v>
      </c>
      <c r="N162" s="1548">
        <f t="shared" si="404"/>
        <v>0</v>
      </c>
      <c r="O162" s="1548">
        <f t="shared" si="405"/>
        <v>0</v>
      </c>
      <c r="P162" s="1548">
        <f t="shared" si="406"/>
        <v>100127.46103958957</v>
      </c>
      <c r="Q162" s="1548">
        <f t="shared" si="407"/>
        <v>0</v>
      </c>
      <c r="R162" s="1548">
        <f t="shared" si="408"/>
        <v>0</v>
      </c>
      <c r="S162" s="1549">
        <f t="shared" si="409"/>
        <v>100127.46103958957</v>
      </c>
      <c r="T162" s="1589"/>
      <c r="U162" s="1673">
        <f t="shared" si="410"/>
        <v>125849</v>
      </c>
      <c r="V162" s="1673">
        <f t="shared" si="411"/>
        <v>125849</v>
      </c>
      <c r="X162" s="1664"/>
      <c r="AB162" s="1654">
        <v>10483.299999999999</v>
      </c>
      <c r="AC162" s="1648">
        <v>45536</v>
      </c>
    </row>
    <row r="163" spans="1:30" ht="21">
      <c r="A163" s="1512">
        <v>19</v>
      </c>
      <c r="B163" s="1513"/>
      <c r="C163" s="1517" t="s">
        <v>143</v>
      </c>
      <c r="D163" s="1518"/>
      <c r="E163" s="1519"/>
      <c r="F163" s="1519"/>
      <c r="G163" s="1519"/>
      <c r="H163" s="1519"/>
      <c r="I163" s="1519"/>
      <c r="J163" s="1519"/>
      <c r="K163" s="1519"/>
      <c r="L163" s="1519"/>
      <c r="M163" s="1520"/>
      <c r="N163" s="1519"/>
      <c r="O163" s="1519"/>
      <c r="P163" s="1519"/>
      <c r="Q163" s="1519"/>
      <c r="R163" s="1519"/>
      <c r="S163" s="1519"/>
      <c r="T163" s="1733"/>
      <c r="U163" s="1734"/>
      <c r="V163" s="1734"/>
      <c r="W163" s="1735"/>
      <c r="AB163" s="1680">
        <f>+AB162/AB161</f>
        <v>2.5907080192759171</v>
      </c>
      <c r="AC163" s="1648"/>
    </row>
    <row r="164" spans="1:30" ht="10.5" outlineLevel="1">
      <c r="A164" s="1512"/>
      <c r="B164" s="1513"/>
      <c r="C164" s="1517" t="s">
        <v>144</v>
      </c>
      <c r="D164" s="1518"/>
      <c r="E164" s="1519"/>
      <c r="F164" s="1519"/>
      <c r="G164" s="1519"/>
      <c r="H164" s="1598"/>
      <c r="I164" s="1519"/>
      <c r="J164" s="1519"/>
      <c r="K164" s="1519"/>
      <c r="L164" s="1519"/>
      <c r="M164" s="1520"/>
      <c r="N164" s="1519"/>
      <c r="O164" s="1519"/>
      <c r="P164" s="1519"/>
      <c r="Q164" s="1519"/>
      <c r="R164" s="1519"/>
      <c r="S164" s="1519"/>
      <c r="T164" s="1521">
        <f>SUM(S165:S168)</f>
        <v>16836141.910895217</v>
      </c>
      <c r="U164" s="1519"/>
      <c r="V164" s="1519"/>
      <c r="W164" s="1522">
        <f>SUM(V165:V168)</f>
        <v>21161055</v>
      </c>
      <c r="X164" s="1664">
        <f>+W164/$W$216</f>
        <v>1.8769738542394082E-2</v>
      </c>
      <c r="Y164" s="1648">
        <f>+W164</f>
        <v>21161055</v>
      </c>
      <c r="AA164" s="1645" t="s">
        <v>1724</v>
      </c>
      <c r="AB164" s="1645" t="s">
        <v>1725</v>
      </c>
      <c r="AC164" s="1653"/>
      <c r="AD164" s="1645" t="s">
        <v>1726</v>
      </c>
    </row>
    <row r="165" spans="1:30" ht="10.5" outlineLevel="1">
      <c r="A165" s="1665">
        <v>19.010000000000002</v>
      </c>
      <c r="B165" s="1583" t="s">
        <v>31</v>
      </c>
      <c r="C165" s="1599" t="s">
        <v>2210</v>
      </c>
      <c r="D165" s="1600" t="s">
        <v>54</v>
      </c>
      <c r="E165" s="1524">
        <v>1</v>
      </c>
      <c r="F165" s="1584">
        <f>+I165*0.6</f>
        <v>2127230.3546274551</v>
      </c>
      <c r="G165" s="1524"/>
      <c r="H165" s="1525">
        <f>F165+G165</f>
        <v>2127230.3546274551</v>
      </c>
      <c r="I165" s="1584">
        <f>+AD165*0.35</f>
        <v>3545383.9243790922</v>
      </c>
      <c r="J165" s="1524"/>
      <c r="K165" s="1525">
        <f t="shared" ref="K165:K180" si="453">I165+J165</f>
        <v>3545383.9243790922</v>
      </c>
      <c r="L165" s="1575">
        <f>(H165+K165)*0.015</f>
        <v>85089.214185098201</v>
      </c>
      <c r="M165" s="1525">
        <f>H165+K165+L165</f>
        <v>5757703.4931916455</v>
      </c>
      <c r="N165" s="1526">
        <f>F165*E165</f>
        <v>2127230.3546274551</v>
      </c>
      <c r="O165" s="1526">
        <f t="shared" ref="O165:O177" si="454">G165*E165</f>
        <v>0</v>
      </c>
      <c r="P165" s="1526">
        <f t="shared" ref="P165:P177" si="455">I165*E165</f>
        <v>3545383.9243790922</v>
      </c>
      <c r="Q165" s="1526">
        <f t="shared" ref="Q165:Q177" si="456">J165*E165</f>
        <v>0</v>
      </c>
      <c r="R165" s="1526">
        <f t="shared" ref="R165:R177" si="457">+L165*E165</f>
        <v>85089.214185098201</v>
      </c>
      <c r="S165" s="1527">
        <f>SUM(N165:R165)</f>
        <v>5757703.4931916455</v>
      </c>
      <c r="T165" s="1535"/>
      <c r="U165" s="1694">
        <f t="shared" ref="U165:U168" si="458">+ROUNDUP(M165*$T$5,0)</f>
        <v>7236758</v>
      </c>
      <c r="V165" s="1694">
        <f t="shared" ref="V165:V168" si="459">+U165*E165</f>
        <v>7236758</v>
      </c>
      <c r="X165" s="1664"/>
      <c r="Z165" s="1654" t="s">
        <v>1727</v>
      </c>
      <c r="AA165" s="1680">
        <v>4600000</v>
      </c>
      <c r="AB165" s="1680">
        <f>+AA165*$AB$163</f>
        <v>11917256.888669219</v>
      </c>
      <c r="AC165" s="1648">
        <v>0.85</v>
      </c>
      <c r="AD165" s="1680">
        <f>+AB165*AC165</f>
        <v>10129668.355368836</v>
      </c>
    </row>
    <row r="166" spans="1:30" ht="10.5" outlineLevel="1">
      <c r="A166" s="1670">
        <v>19.02</v>
      </c>
      <c r="B166" s="1529" t="s">
        <v>31</v>
      </c>
      <c r="C166" s="1553" t="s">
        <v>2213</v>
      </c>
      <c r="D166" s="1536" t="s">
        <v>54</v>
      </c>
      <c r="E166" s="1537">
        <v>1</v>
      </c>
      <c r="F166" s="1539">
        <f>+I166*0.55</f>
        <v>278565.87977264303</v>
      </c>
      <c r="G166" s="1537"/>
      <c r="H166" s="1532">
        <f>F166+G166</f>
        <v>278565.87977264303</v>
      </c>
      <c r="I166" s="1539">
        <f>+AD165*0.05</f>
        <v>506483.41776844184</v>
      </c>
      <c r="J166" s="1537"/>
      <c r="K166" s="1532">
        <f t="shared" ref="K166" si="460">I166+J166</f>
        <v>506483.41776844184</v>
      </c>
      <c r="L166" s="1531">
        <f>(H166+K166)*0.015</f>
        <v>11775.739463116273</v>
      </c>
      <c r="M166" s="1532">
        <f>H166+K166+L166</f>
        <v>796825.03700420121</v>
      </c>
      <c r="N166" s="1533">
        <f>F166*E166</f>
        <v>278565.87977264303</v>
      </c>
      <c r="O166" s="1533">
        <f t="shared" ref="O166" si="461">G166*E166</f>
        <v>0</v>
      </c>
      <c r="P166" s="1533">
        <f t="shared" ref="P166" si="462">I166*E166</f>
        <v>506483.41776844184</v>
      </c>
      <c r="Q166" s="1533">
        <f t="shared" ref="Q166" si="463">J166*E166</f>
        <v>0</v>
      </c>
      <c r="R166" s="1533">
        <f t="shared" ref="R166" si="464">+L166*E166</f>
        <v>11775.739463116273</v>
      </c>
      <c r="S166" s="1534">
        <f>SUM(N166:R166)</f>
        <v>796825.03700420121</v>
      </c>
      <c r="T166" s="1535"/>
      <c r="U166" s="1694">
        <f t="shared" ref="U166" si="465">+ROUNDUP(M166*$T$5,0)</f>
        <v>1001516</v>
      </c>
      <c r="V166" s="1694">
        <f t="shared" ref="V166" si="466">+U166*E166</f>
        <v>1001516</v>
      </c>
      <c r="X166" s="1664"/>
      <c r="Z166" s="1654" t="s">
        <v>1728</v>
      </c>
      <c r="AA166" s="1680">
        <v>2360000</v>
      </c>
      <c r="AB166" s="1680">
        <f>+AA166*$AB$163</f>
        <v>6114070.9254911644</v>
      </c>
      <c r="AC166" s="1648">
        <v>0.7</v>
      </c>
      <c r="AD166" s="1680">
        <f t="shared" ref="AD166:AD168" si="467">+AB166*AC166</f>
        <v>4279849.6478438145</v>
      </c>
    </row>
    <row r="167" spans="1:30" ht="10.5" outlineLevel="1">
      <c r="A167" s="1670">
        <v>19.03</v>
      </c>
      <c r="B167" s="1529" t="s">
        <v>31</v>
      </c>
      <c r="C167" s="1553" t="s">
        <v>145</v>
      </c>
      <c r="D167" s="1536" t="s">
        <v>54</v>
      </c>
      <c r="E167" s="1537">
        <v>1</v>
      </c>
      <c r="F167" s="1539">
        <f>+I167*0.7</f>
        <v>2836307.1395032741</v>
      </c>
      <c r="G167" s="1537"/>
      <c r="H167" s="1532">
        <f>F167+G167</f>
        <v>2836307.1395032741</v>
      </c>
      <c r="I167" s="1539">
        <f>+AD165*0.4</f>
        <v>4051867.3421475347</v>
      </c>
      <c r="J167" s="1537"/>
      <c r="K167" s="1532">
        <f t="shared" si="453"/>
        <v>4051867.3421475347</v>
      </c>
      <c r="L167" s="1531">
        <f>(H167+K167)*0.015</f>
        <v>103322.61722476213</v>
      </c>
      <c r="M167" s="1532">
        <f>H167+K167+L167</f>
        <v>6991497.098875571</v>
      </c>
      <c r="N167" s="1533">
        <f>F167*E167</f>
        <v>2836307.1395032741</v>
      </c>
      <c r="O167" s="1533">
        <f t="shared" si="454"/>
        <v>0</v>
      </c>
      <c r="P167" s="1533">
        <f t="shared" si="455"/>
        <v>4051867.3421475347</v>
      </c>
      <c r="Q167" s="1533">
        <f t="shared" si="456"/>
        <v>0</v>
      </c>
      <c r="R167" s="1533">
        <f t="shared" si="457"/>
        <v>103322.61722476213</v>
      </c>
      <c r="S167" s="1534">
        <f>SUM(N167:R167)</f>
        <v>6991497.098875571</v>
      </c>
      <c r="T167" s="1535"/>
      <c r="U167" s="1673">
        <f t="shared" si="458"/>
        <v>8787491</v>
      </c>
      <c r="V167" s="1673">
        <f t="shared" si="459"/>
        <v>8787491</v>
      </c>
      <c r="X167" s="1664"/>
      <c r="Z167" s="1654" t="s">
        <v>931</v>
      </c>
      <c r="AA167" s="1680">
        <v>8900000</v>
      </c>
      <c r="AB167" s="1680">
        <f>+AA167*$AB$163</f>
        <v>23057301.371555664</v>
      </c>
      <c r="AC167" s="1648">
        <v>0.85</v>
      </c>
      <c r="AD167" s="1680">
        <f t="shared" si="467"/>
        <v>19598706.165822312</v>
      </c>
    </row>
    <row r="168" spans="1:30" ht="21" outlineLevel="1">
      <c r="A168" s="1675">
        <v>19.04</v>
      </c>
      <c r="B168" s="1573" t="s">
        <v>31</v>
      </c>
      <c r="C168" s="1601" t="s">
        <v>1723</v>
      </c>
      <c r="D168" s="1582" t="s">
        <v>54</v>
      </c>
      <c r="E168" s="1547">
        <v>1</v>
      </c>
      <c r="F168" s="1545">
        <f>+I168*0.6</f>
        <v>1215560.2026442604</v>
      </c>
      <c r="G168" s="1547"/>
      <c r="H168" s="1544">
        <f>F168+G168</f>
        <v>1215560.2026442604</v>
      </c>
      <c r="I168" s="1545">
        <f>+AD165*0.2</f>
        <v>2025933.6710737674</v>
      </c>
      <c r="J168" s="1547"/>
      <c r="K168" s="1544">
        <f t="shared" ref="K168" si="468">I168+J168</f>
        <v>2025933.6710737674</v>
      </c>
      <c r="L168" s="1546">
        <f>(H168+K168)*0.015</f>
        <v>48622.408105770417</v>
      </c>
      <c r="M168" s="1544">
        <f>H168+K168+L168</f>
        <v>3290116.2818237985</v>
      </c>
      <c r="N168" s="1548">
        <f>F168*E168</f>
        <v>1215560.2026442604</v>
      </c>
      <c r="O168" s="1548">
        <f t="shared" si="454"/>
        <v>0</v>
      </c>
      <c r="P168" s="1548">
        <f t="shared" si="455"/>
        <v>2025933.6710737674</v>
      </c>
      <c r="Q168" s="1548">
        <f t="shared" si="456"/>
        <v>0</v>
      </c>
      <c r="R168" s="1548">
        <f t="shared" si="457"/>
        <v>48622.408105770417</v>
      </c>
      <c r="S168" s="1549">
        <f>SUM(N168:R168)</f>
        <v>3290116.2818237985</v>
      </c>
      <c r="T168" s="1535"/>
      <c r="U168" s="1673">
        <f t="shared" si="458"/>
        <v>4135290</v>
      </c>
      <c r="V168" s="1673">
        <f t="shared" si="459"/>
        <v>4135290</v>
      </c>
      <c r="X168" s="1664"/>
      <c r="Z168" s="1654" t="s">
        <v>1729</v>
      </c>
      <c r="AA168" s="1680">
        <v>1200000</v>
      </c>
      <c r="AB168" s="1680">
        <f>+AA168*$AB$163</f>
        <v>3108849.6231311006</v>
      </c>
      <c r="AC168" s="1648">
        <v>0.6</v>
      </c>
      <c r="AD168" s="1680">
        <f t="shared" si="467"/>
        <v>1865309.7738786603</v>
      </c>
    </row>
    <row r="169" spans="1:30" ht="10.5" outlineLevel="1">
      <c r="A169" s="1736"/>
      <c r="B169" s="1737"/>
      <c r="C169" s="1602" t="s">
        <v>146</v>
      </c>
      <c r="D169" s="1508"/>
      <c r="E169" s="1509"/>
      <c r="F169" s="1509"/>
      <c r="G169" s="1509"/>
      <c r="H169" s="1509"/>
      <c r="I169" s="1509"/>
      <c r="J169" s="1509"/>
      <c r="K169" s="1509"/>
      <c r="L169" s="1603"/>
      <c r="M169" s="1509"/>
      <c r="N169" s="1509"/>
      <c r="O169" s="1509"/>
      <c r="P169" s="1509"/>
      <c r="Q169" s="1509"/>
      <c r="R169" s="1509"/>
      <c r="S169" s="1509"/>
      <c r="T169" s="1521">
        <f>SUM(S170:S172)</f>
        <v>5212856.8710737657</v>
      </c>
      <c r="U169" s="1519"/>
      <c r="V169" s="1519"/>
      <c r="W169" s="1522">
        <f>SUM(V170:V172)</f>
        <v>6551951</v>
      </c>
      <c r="X169" s="1664">
        <f>+W169/$W$216</f>
        <v>5.8115442359833883E-3</v>
      </c>
      <c r="Y169" s="1648">
        <f>+W169</f>
        <v>6551951</v>
      </c>
      <c r="AB169" s="1738">
        <f>SUM(AB165:AB168)</f>
        <v>44197478.808847152</v>
      </c>
      <c r="AC169" s="1648"/>
      <c r="AD169" s="1738">
        <f>+SUM(AD165:AD168)</f>
        <v>35873533.942913622</v>
      </c>
    </row>
    <row r="170" spans="1:30" ht="10.5" outlineLevel="1">
      <c r="A170" s="1665">
        <v>19.05</v>
      </c>
      <c r="B170" s="1583" t="s">
        <v>31</v>
      </c>
      <c r="C170" s="1599" t="s">
        <v>2214</v>
      </c>
      <c r="D170" s="1600" t="s">
        <v>54</v>
      </c>
      <c r="E170" s="1524">
        <v>1</v>
      </c>
      <c r="F170" s="1584">
        <f>+I170*0.4</f>
        <v>599178.95069813402</v>
      </c>
      <c r="G170" s="1524"/>
      <c r="H170" s="1525">
        <f>F170+G170</f>
        <v>599178.95069813402</v>
      </c>
      <c r="I170" s="1584">
        <f>+AD166*0.35</f>
        <v>1497947.3767453351</v>
      </c>
      <c r="J170" s="1524"/>
      <c r="K170" s="1525">
        <f t="shared" si="453"/>
        <v>1497947.3767453351</v>
      </c>
      <c r="L170" s="1575">
        <f>(H170+K170)*0.015</f>
        <v>31456.894911652034</v>
      </c>
      <c r="M170" s="1525">
        <f>H170+K170+L170</f>
        <v>2128583.2223551213</v>
      </c>
      <c r="N170" s="1526">
        <f>F170*E170</f>
        <v>599178.95069813402</v>
      </c>
      <c r="O170" s="1526">
        <f t="shared" si="454"/>
        <v>0</v>
      </c>
      <c r="P170" s="1526">
        <f t="shared" si="455"/>
        <v>1497947.3767453351</v>
      </c>
      <c r="Q170" s="1526">
        <f t="shared" si="456"/>
        <v>0</v>
      </c>
      <c r="R170" s="1526">
        <f t="shared" si="457"/>
        <v>31456.894911652034</v>
      </c>
      <c r="S170" s="1527">
        <f>SUM(N170:R170)</f>
        <v>2128583.2223551213</v>
      </c>
      <c r="T170" s="1487"/>
      <c r="U170" s="1673">
        <f>+ROUNDUP(M170*$T$5,0)</f>
        <v>2675380</v>
      </c>
      <c r="V170" s="1673">
        <f>+U170*E170</f>
        <v>2675380</v>
      </c>
      <c r="X170" s="1664"/>
    </row>
    <row r="171" spans="1:30" ht="10.5" outlineLevel="1">
      <c r="A171" s="1670">
        <v>19.059999999999999</v>
      </c>
      <c r="B171" s="1529" t="s">
        <v>31</v>
      </c>
      <c r="C171" s="1553" t="s">
        <v>2211</v>
      </c>
      <c r="D171" s="1536" t="s">
        <v>54</v>
      </c>
      <c r="E171" s="1537">
        <v>1</v>
      </c>
      <c r="F171" s="1539">
        <f>+I171*0.6</f>
        <v>898768.42604720104</v>
      </c>
      <c r="G171" s="1537"/>
      <c r="H171" s="1532">
        <f>F171+G171</f>
        <v>898768.42604720104</v>
      </c>
      <c r="I171" s="1539">
        <f>+AD166*0.35</f>
        <v>1497947.3767453351</v>
      </c>
      <c r="J171" s="1537"/>
      <c r="K171" s="1532">
        <f t="shared" si="453"/>
        <v>1497947.3767453351</v>
      </c>
      <c r="L171" s="1531">
        <f>(H171+K171)*0.015</f>
        <v>35950.737041888038</v>
      </c>
      <c r="M171" s="1532">
        <f>H171+K171+L171</f>
        <v>2432666.5398344239</v>
      </c>
      <c r="N171" s="1533">
        <f>F171*E171</f>
        <v>898768.42604720104</v>
      </c>
      <c r="O171" s="1533">
        <f t="shared" si="454"/>
        <v>0</v>
      </c>
      <c r="P171" s="1533">
        <f t="shared" si="455"/>
        <v>1497947.3767453351</v>
      </c>
      <c r="Q171" s="1533">
        <f t="shared" si="456"/>
        <v>0</v>
      </c>
      <c r="R171" s="1533">
        <f t="shared" si="457"/>
        <v>35950.737041888038</v>
      </c>
      <c r="S171" s="1534">
        <f>SUM(N171:R171)</f>
        <v>2432666.5398344239</v>
      </c>
      <c r="T171" s="1487"/>
      <c r="U171" s="1673">
        <f>+ROUNDUP(M171*$T$5,0)</f>
        <v>3057577</v>
      </c>
      <c r="V171" s="1673">
        <f>+U171*E171</f>
        <v>3057577</v>
      </c>
      <c r="X171" s="1664"/>
    </row>
    <row r="172" spans="1:30" ht="21" outlineLevel="1">
      <c r="A172" s="1675">
        <v>19.07</v>
      </c>
      <c r="B172" s="1529" t="s">
        <v>31</v>
      </c>
      <c r="C172" s="1601" t="s">
        <v>2212</v>
      </c>
      <c r="D172" s="1582" t="s">
        <v>54</v>
      </c>
      <c r="E172" s="1547">
        <v>1</v>
      </c>
      <c r="F172" s="1545">
        <f>+I172*0.5</f>
        <v>213992.48239219072</v>
      </c>
      <c r="G172" s="1547"/>
      <c r="H172" s="1544">
        <f>F172+G172</f>
        <v>213992.48239219072</v>
      </c>
      <c r="I172" s="1545">
        <f>+AD166*0.1</f>
        <v>427984.96478438145</v>
      </c>
      <c r="J172" s="1547"/>
      <c r="K172" s="1544">
        <f t="shared" si="453"/>
        <v>427984.96478438145</v>
      </c>
      <c r="L172" s="1546">
        <f>(H172+K172)*0.015</f>
        <v>9629.6617076485818</v>
      </c>
      <c r="M172" s="1544">
        <f>H172+K172+L172</f>
        <v>651607.10888422071</v>
      </c>
      <c r="N172" s="1548">
        <f>F172*E172</f>
        <v>213992.48239219072</v>
      </c>
      <c r="O172" s="1548">
        <f t="shared" si="454"/>
        <v>0</v>
      </c>
      <c r="P172" s="1548">
        <f t="shared" si="455"/>
        <v>427984.96478438145</v>
      </c>
      <c r="Q172" s="1548">
        <f t="shared" si="456"/>
        <v>0</v>
      </c>
      <c r="R172" s="1548">
        <f t="shared" si="457"/>
        <v>9629.6617076485818</v>
      </c>
      <c r="S172" s="1549">
        <f>SUM(N172:R172)</f>
        <v>651607.10888422071</v>
      </c>
      <c r="T172" s="1487"/>
      <c r="U172" s="1673">
        <f>+ROUNDUP(M172*$T$5,0)</f>
        <v>818994</v>
      </c>
      <c r="V172" s="1673">
        <f>+U172*E172</f>
        <v>818994</v>
      </c>
      <c r="X172" s="1664"/>
    </row>
    <row r="173" spans="1:30" ht="10.5" outlineLevel="1">
      <c r="A173" s="1512"/>
      <c r="B173" s="1513"/>
      <c r="C173" s="1517" t="s">
        <v>147</v>
      </c>
      <c r="D173" s="1518"/>
      <c r="E173" s="1519"/>
      <c r="F173" s="1519"/>
      <c r="G173" s="1519"/>
      <c r="H173" s="1519"/>
      <c r="I173" s="1519"/>
      <c r="J173" s="1519"/>
      <c r="K173" s="1519"/>
      <c r="L173" s="1519"/>
      <c r="M173" s="1520"/>
      <c r="N173" s="1519"/>
      <c r="O173" s="1519"/>
      <c r="P173" s="1519"/>
      <c r="Q173" s="1519"/>
      <c r="R173" s="1519"/>
      <c r="S173" s="1519"/>
      <c r="T173" s="1521">
        <f>SUM(S174:S178)</f>
        <v>29441176.402298279</v>
      </c>
      <c r="U173" s="1519"/>
      <c r="V173" s="1519"/>
      <c r="W173" s="1522">
        <f>SUM(V174:V178)</f>
        <v>37004103</v>
      </c>
      <c r="X173" s="1664">
        <f>+W173/$W$216</f>
        <v>3.2822434340150836E-2</v>
      </c>
      <c r="Y173" s="1648">
        <f>+W173</f>
        <v>37004103</v>
      </c>
    </row>
    <row r="174" spans="1:30" ht="31.5" outlineLevel="1">
      <c r="A174" s="1583">
        <v>19.079999999999998</v>
      </c>
      <c r="B174" s="1583" t="s">
        <v>31</v>
      </c>
      <c r="C174" s="1739" t="s">
        <v>2216</v>
      </c>
      <c r="D174" s="1600" t="s">
        <v>54</v>
      </c>
      <c r="E174" s="1524">
        <v>1</v>
      </c>
      <c r="F174" s="1584">
        <f>+I174*0.5</f>
        <v>979935.30829111568</v>
      </c>
      <c r="G174" s="1524"/>
      <c r="H174" s="1525">
        <f t="shared" ref="H174:H178" si="469">F174+G174</f>
        <v>979935.30829111568</v>
      </c>
      <c r="I174" s="1584">
        <f>+$AD$167*0.1</f>
        <v>1959870.6165822314</v>
      </c>
      <c r="J174" s="1524"/>
      <c r="K174" s="1525">
        <f t="shared" si="453"/>
        <v>1959870.6165822314</v>
      </c>
      <c r="L174" s="1575">
        <f>(H174+K174)*0.015</f>
        <v>44097.088873100205</v>
      </c>
      <c r="M174" s="1525">
        <f t="shared" ref="M174:M178" si="470">H174+K174+L174</f>
        <v>2983903.0137464469</v>
      </c>
      <c r="N174" s="1526">
        <f t="shared" ref="N174:N178" si="471">F174*E174</f>
        <v>979935.30829111568</v>
      </c>
      <c r="O174" s="1526">
        <f t="shared" si="454"/>
        <v>0</v>
      </c>
      <c r="P174" s="1526">
        <f t="shared" si="455"/>
        <v>1959870.6165822314</v>
      </c>
      <c r="Q174" s="1526">
        <f t="shared" si="456"/>
        <v>0</v>
      </c>
      <c r="R174" s="1526">
        <f t="shared" si="457"/>
        <v>44097.088873100205</v>
      </c>
      <c r="S174" s="1527">
        <f t="shared" ref="S174:S178" si="472">SUM(N174:R174)</f>
        <v>2983903.0137464469</v>
      </c>
      <c r="T174" s="1528"/>
      <c r="U174" s="1669">
        <f t="shared" ref="U174:U178" si="473">+ROUNDUP(M174*$T$5,0)</f>
        <v>3750416</v>
      </c>
      <c r="V174" s="1669">
        <f t="shared" ref="V174:V178" si="474">+U174*E174</f>
        <v>3750416</v>
      </c>
      <c r="X174" s="1664"/>
    </row>
    <row r="175" spans="1:30" ht="21" outlineLevel="1">
      <c r="A175" s="1529">
        <v>19.09</v>
      </c>
      <c r="B175" s="1529" t="s">
        <v>31</v>
      </c>
      <c r="C175" s="1740" t="s">
        <v>148</v>
      </c>
      <c r="D175" s="1536" t="s">
        <v>54</v>
      </c>
      <c r="E175" s="1537">
        <v>1</v>
      </c>
      <c r="F175" s="1539">
        <f>+I175*0.5</f>
        <v>1959870.6165822314</v>
      </c>
      <c r="G175" s="1537"/>
      <c r="H175" s="1532">
        <f t="shared" si="469"/>
        <v>1959870.6165822314</v>
      </c>
      <c r="I175" s="1539">
        <f>+$AD$167*0.2</f>
        <v>3919741.2331644627</v>
      </c>
      <c r="J175" s="1537"/>
      <c r="K175" s="1532">
        <f t="shared" si="453"/>
        <v>3919741.2331644627</v>
      </c>
      <c r="L175" s="1531">
        <f>(H175+K175)*0.015</f>
        <v>88194.17774620041</v>
      </c>
      <c r="M175" s="1532">
        <f t="shared" si="470"/>
        <v>5967806.0274928939</v>
      </c>
      <c r="N175" s="1533">
        <f t="shared" si="471"/>
        <v>1959870.6165822314</v>
      </c>
      <c r="O175" s="1533">
        <f t="shared" si="454"/>
        <v>0</v>
      </c>
      <c r="P175" s="1533">
        <f t="shared" si="455"/>
        <v>3919741.2331644627</v>
      </c>
      <c r="Q175" s="1533">
        <f t="shared" si="456"/>
        <v>0</v>
      </c>
      <c r="R175" s="1533">
        <f t="shared" si="457"/>
        <v>88194.17774620041</v>
      </c>
      <c r="S175" s="1534">
        <f t="shared" si="472"/>
        <v>5967806.0274928939</v>
      </c>
      <c r="T175" s="1535"/>
      <c r="U175" s="1673">
        <f t="shared" si="473"/>
        <v>7500832</v>
      </c>
      <c r="V175" s="1673">
        <f t="shared" si="474"/>
        <v>7500832</v>
      </c>
      <c r="X175" s="1664"/>
    </row>
    <row r="176" spans="1:30" ht="31.5" outlineLevel="1">
      <c r="A176" s="1529">
        <v>19.100000000000001</v>
      </c>
      <c r="B176" s="1529" t="s">
        <v>31</v>
      </c>
      <c r="C176" s="1740" t="s">
        <v>2215</v>
      </c>
      <c r="D176" s="1536" t="s">
        <v>54</v>
      </c>
      <c r="E176" s="1537">
        <v>1</v>
      </c>
      <c r="F176" s="1539">
        <f>+I176*0.4</f>
        <v>391974.12331644632</v>
      </c>
      <c r="G176" s="1537"/>
      <c r="H176" s="1532">
        <f t="shared" si="469"/>
        <v>391974.12331644632</v>
      </c>
      <c r="I176" s="1539">
        <f>+$AD$167*0.05</f>
        <v>979935.30829111568</v>
      </c>
      <c r="J176" s="1537"/>
      <c r="K176" s="1532">
        <f t="shared" si="453"/>
        <v>979935.30829111568</v>
      </c>
      <c r="L176" s="1531">
        <f>(H176+K176)*0.015</f>
        <v>20578.641474113432</v>
      </c>
      <c r="M176" s="1532">
        <f t="shared" si="470"/>
        <v>1392488.0730816755</v>
      </c>
      <c r="N176" s="1533">
        <f t="shared" ref="N176" si="475">F176*E176</f>
        <v>391974.12331644632</v>
      </c>
      <c r="O176" s="1533">
        <f t="shared" ref="O176" si="476">G176*E176</f>
        <v>0</v>
      </c>
      <c r="P176" s="1533">
        <f t="shared" ref="P176" si="477">I176*E176</f>
        <v>979935.30829111568</v>
      </c>
      <c r="Q176" s="1533">
        <f t="shared" ref="Q176" si="478">J176*E176</f>
        <v>0</v>
      </c>
      <c r="R176" s="1533">
        <f t="shared" ref="R176" si="479">+L176*E176</f>
        <v>20578.641474113432</v>
      </c>
      <c r="S176" s="1534">
        <f t="shared" ref="S176" si="480">SUM(N176:R176)</f>
        <v>1392488.0730816755</v>
      </c>
      <c r="T176" s="1535"/>
      <c r="U176" s="1673">
        <f t="shared" si="473"/>
        <v>1750194</v>
      </c>
      <c r="V176" s="1673">
        <f t="shared" si="474"/>
        <v>1750194</v>
      </c>
      <c r="X176" s="1664"/>
    </row>
    <row r="177" spans="1:30" ht="10.5" outlineLevel="1">
      <c r="A177" s="1529">
        <v>19.11</v>
      </c>
      <c r="B177" s="1529" t="s">
        <v>31</v>
      </c>
      <c r="C177" s="1740" t="s">
        <v>1722</v>
      </c>
      <c r="D177" s="1536" t="s">
        <v>54</v>
      </c>
      <c r="E177" s="1537">
        <v>1</v>
      </c>
      <c r="F177" s="1539">
        <f>+I177*0.4</f>
        <v>3135792.9865315706</v>
      </c>
      <c r="G177" s="1537"/>
      <c r="H177" s="1532">
        <f t="shared" si="469"/>
        <v>3135792.9865315706</v>
      </c>
      <c r="I177" s="1539">
        <f>+$AD$167*0.4</f>
        <v>7839482.4663289255</v>
      </c>
      <c r="J177" s="1529"/>
      <c r="K177" s="1532">
        <f t="shared" si="453"/>
        <v>7839482.4663289255</v>
      </c>
      <c r="L177" s="1531">
        <f>(H177+K177)*0.015</f>
        <v>164629.13179290746</v>
      </c>
      <c r="M177" s="1532">
        <f t="shared" si="470"/>
        <v>11139904.584653404</v>
      </c>
      <c r="N177" s="1533">
        <f t="shared" ref="N177" si="481">F177*E177</f>
        <v>3135792.9865315706</v>
      </c>
      <c r="O177" s="1533">
        <f t="shared" si="454"/>
        <v>0</v>
      </c>
      <c r="P177" s="1533">
        <f t="shared" si="455"/>
        <v>7839482.4663289255</v>
      </c>
      <c r="Q177" s="1533">
        <f t="shared" si="456"/>
        <v>0</v>
      </c>
      <c r="R177" s="1533">
        <f t="shared" si="457"/>
        <v>164629.13179290746</v>
      </c>
      <c r="S177" s="1534">
        <f t="shared" ref="S177" si="482">SUM(N177:R177)</f>
        <v>11139904.584653404</v>
      </c>
      <c r="T177" s="1535"/>
      <c r="U177" s="1673">
        <f t="shared" si="473"/>
        <v>14001552</v>
      </c>
      <c r="V177" s="1673">
        <f t="shared" si="474"/>
        <v>14001552</v>
      </c>
      <c r="X177" s="1664"/>
    </row>
    <row r="178" spans="1:30" ht="21" outlineLevel="1">
      <c r="A178" s="1529">
        <v>19.12</v>
      </c>
      <c r="B178" s="1573" t="s">
        <v>31</v>
      </c>
      <c r="C178" s="1741" t="s">
        <v>2547</v>
      </c>
      <c r="D178" s="1582" t="s">
        <v>54</v>
      </c>
      <c r="E178" s="1547">
        <v>1</v>
      </c>
      <c r="F178" s="1545">
        <f>+I178*0.6</f>
        <v>2939805.9248733469</v>
      </c>
      <c r="G178" s="1547"/>
      <c r="H178" s="1544">
        <f t="shared" si="469"/>
        <v>2939805.9248733469</v>
      </c>
      <c r="I178" s="1545">
        <f>+$AD$167*0.25</f>
        <v>4899676.5414555781</v>
      </c>
      <c r="J178" s="1547"/>
      <c r="K178" s="1544">
        <f t="shared" ref="K178" si="483">I178+J178</f>
        <v>4899676.5414555781</v>
      </c>
      <c r="L178" s="1546">
        <f>(H178+K178)*0.015</f>
        <v>117592.23699493386</v>
      </c>
      <c r="M178" s="1544">
        <f t="shared" si="470"/>
        <v>7957074.7033238588</v>
      </c>
      <c r="N178" s="1548">
        <f t="shared" si="471"/>
        <v>2939805.9248733469</v>
      </c>
      <c r="O178" s="1548">
        <f t="shared" ref="O178" si="484">G178*E178</f>
        <v>0</v>
      </c>
      <c r="P178" s="1548">
        <f t="shared" ref="P178" si="485">I178*E178</f>
        <v>4899676.5414555781</v>
      </c>
      <c r="Q178" s="1548">
        <f t="shared" ref="Q178" si="486">J178*E178</f>
        <v>0</v>
      </c>
      <c r="R178" s="1548">
        <f t="shared" ref="R178" si="487">+L178*E178</f>
        <v>117592.23699493386</v>
      </c>
      <c r="S178" s="1549">
        <f t="shared" si="472"/>
        <v>7957074.7033238588</v>
      </c>
      <c r="T178" s="1589"/>
      <c r="U178" s="1714">
        <f t="shared" si="473"/>
        <v>10001109</v>
      </c>
      <c r="V178" s="1714">
        <f t="shared" si="474"/>
        <v>10001109</v>
      </c>
      <c r="X178" s="1664"/>
    </row>
    <row r="179" spans="1:30" ht="10.5" outlineLevel="1">
      <c r="A179" s="1512"/>
      <c r="B179" s="1513"/>
      <c r="C179" s="1517" t="s">
        <v>150</v>
      </c>
      <c r="D179" s="1518"/>
      <c r="E179" s="1519"/>
      <c r="F179" s="1519"/>
      <c r="G179" s="1519"/>
      <c r="H179" s="1519"/>
      <c r="I179" s="1519"/>
      <c r="J179" s="1519"/>
      <c r="K179" s="1519"/>
      <c r="L179" s="1519"/>
      <c r="M179" s="1520"/>
      <c r="N179" s="1519"/>
      <c r="O179" s="1519"/>
      <c r="P179" s="1519"/>
      <c r="Q179" s="1519"/>
      <c r="R179" s="1519"/>
      <c r="S179" s="1519"/>
      <c r="T179" s="1521">
        <f>SUM(S180)</f>
        <v>1629017.7722105517</v>
      </c>
      <c r="U179" s="1519"/>
      <c r="V179" s="1519"/>
      <c r="W179" s="1522">
        <f>SUM(V180)</f>
        <v>2047485</v>
      </c>
      <c r="X179" s="1664">
        <f>+W179/$W$216</f>
        <v>1.8161078509305775E-3</v>
      </c>
      <c r="Y179" s="1648">
        <f>+W179</f>
        <v>2047485</v>
      </c>
    </row>
    <row r="180" spans="1:30" ht="10.5" outlineLevel="1">
      <c r="A180" s="1670">
        <v>19.13</v>
      </c>
      <c r="B180" s="1529" t="s">
        <v>31</v>
      </c>
      <c r="C180" s="1553" t="s">
        <v>2548</v>
      </c>
      <c r="D180" s="1536" t="s">
        <v>54</v>
      </c>
      <c r="E180" s="1537">
        <v>1</v>
      </c>
      <c r="F180" s="1539">
        <f>+I180*0.5</f>
        <v>534981.20598047681</v>
      </c>
      <c r="G180" s="1537"/>
      <c r="H180" s="1532">
        <f>F180+G180</f>
        <v>534981.20598047681</v>
      </c>
      <c r="I180" s="1545">
        <f>+AD166*0.25</f>
        <v>1069962.4119609536</v>
      </c>
      <c r="J180" s="1537"/>
      <c r="K180" s="1532">
        <f t="shared" si="453"/>
        <v>1069962.4119609536</v>
      </c>
      <c r="L180" s="1575">
        <f>(H180+K180)*0.015</f>
        <v>24074.154269121453</v>
      </c>
      <c r="M180" s="1532">
        <f>H180+K180+L180</f>
        <v>1629017.7722105517</v>
      </c>
      <c r="N180" s="1533">
        <f>F180*E180</f>
        <v>534981.20598047681</v>
      </c>
      <c r="O180" s="1533">
        <f t="shared" ref="O180" si="488">G180*E180</f>
        <v>0</v>
      </c>
      <c r="P180" s="1533">
        <f t="shared" ref="P180" si="489">I180*E180</f>
        <v>1069962.4119609536</v>
      </c>
      <c r="Q180" s="1533">
        <f t="shared" ref="Q180" si="490">J180*E180</f>
        <v>0</v>
      </c>
      <c r="R180" s="1533">
        <f t="shared" ref="R180" si="491">+L180*E180</f>
        <v>24074.154269121453</v>
      </c>
      <c r="S180" s="1534">
        <f>SUM(N180:R180)</f>
        <v>1629017.7722105517</v>
      </c>
      <c r="T180" s="1535"/>
      <c r="U180" s="1673">
        <f>+ROUNDUP(M180*$T$5,0)</f>
        <v>2047485</v>
      </c>
      <c r="V180" s="1673">
        <f>+U180*E180</f>
        <v>2047485</v>
      </c>
      <c r="X180" s="1664"/>
      <c r="AD180" s="1742"/>
    </row>
    <row r="181" spans="1:30" ht="10.5" outlineLevel="1">
      <c r="A181" s="1512"/>
      <c r="B181" s="1513"/>
      <c r="C181" s="1517" t="s">
        <v>2248</v>
      </c>
      <c r="D181" s="1518"/>
      <c r="E181" s="1519"/>
      <c r="F181" s="1519"/>
      <c r="G181" s="1519"/>
      <c r="H181" s="1519"/>
      <c r="I181" s="1519"/>
      <c r="J181" s="1519"/>
      <c r="K181" s="1519"/>
      <c r="L181" s="1519"/>
      <c r="M181" s="1520"/>
      <c r="N181" s="1519"/>
      <c r="O181" s="1519"/>
      <c r="P181" s="1519"/>
      <c r="Q181" s="1519"/>
      <c r="R181" s="1519"/>
      <c r="S181" s="1519"/>
      <c r="T181" s="1521">
        <f>SUM(S182:S184)</f>
        <v>21506632.015608381</v>
      </c>
      <c r="U181" s="1519"/>
      <c r="V181" s="1519"/>
      <c r="W181" s="1522">
        <f>SUM(V182:V184)</f>
        <v>27031313</v>
      </c>
      <c r="X181" s="1664">
        <f>+W181/$W$216</f>
        <v>2.3976624864290474E-2</v>
      </c>
      <c r="Y181" s="1648">
        <f>+W181</f>
        <v>27031313</v>
      </c>
      <c r="AD181" s="1742"/>
    </row>
    <row r="182" spans="1:30" ht="21" outlineLevel="1">
      <c r="A182" s="1665">
        <v>19.14</v>
      </c>
      <c r="B182" s="1583" t="s">
        <v>31</v>
      </c>
      <c r="C182" s="1599" t="s">
        <v>2250</v>
      </c>
      <c r="D182" s="1600" t="s">
        <v>54</v>
      </c>
      <c r="E182" s="1524">
        <v>1</v>
      </c>
      <c r="F182" s="1584">
        <f>+I182*0.4</f>
        <v>3558424.4300634335</v>
      </c>
      <c r="G182" s="1524"/>
      <c r="H182" s="1525">
        <f>F182+G182</f>
        <v>3558424.4300634335</v>
      </c>
      <c r="I182" s="1584">
        <f>+SUBCONTRATOS!D62</f>
        <v>8896061.075158583</v>
      </c>
      <c r="J182" s="1524"/>
      <c r="K182" s="1525">
        <f t="shared" ref="K182:K184" si="492">I182+J182</f>
        <v>8896061.075158583</v>
      </c>
      <c r="L182" s="1575">
        <f>(H182+K182)*0.015</f>
        <v>186817.28257833025</v>
      </c>
      <c r="M182" s="1525">
        <f>H182+K182+L182</f>
        <v>12641302.787800347</v>
      </c>
      <c r="N182" s="1526">
        <f>F182*E182</f>
        <v>3558424.4300634335</v>
      </c>
      <c r="O182" s="1526">
        <f t="shared" ref="O182:O184" si="493">G182*E182</f>
        <v>0</v>
      </c>
      <c r="P182" s="1526">
        <f t="shared" ref="P182:P184" si="494">I182*E182</f>
        <v>8896061.075158583</v>
      </c>
      <c r="Q182" s="1526">
        <f t="shared" ref="Q182:Q184" si="495">J182*E182</f>
        <v>0</v>
      </c>
      <c r="R182" s="1526">
        <f t="shared" ref="R182:R184" si="496">+L182*E182</f>
        <v>186817.28257833025</v>
      </c>
      <c r="S182" s="1527">
        <f>SUM(N182:R182)</f>
        <v>12641302.787800347</v>
      </c>
      <c r="T182" s="1487"/>
      <c r="U182" s="1673">
        <f>+ROUNDUP(M182*$T$5,0)</f>
        <v>15888634</v>
      </c>
      <c r="V182" s="1673">
        <f>+U182*E182</f>
        <v>15888634</v>
      </c>
      <c r="X182" s="1664"/>
      <c r="AD182" s="1742"/>
    </row>
    <row r="183" spans="1:30" ht="21" outlineLevel="1">
      <c r="A183" s="1670">
        <v>19.149999999999999</v>
      </c>
      <c r="B183" s="1529" t="s">
        <v>31</v>
      </c>
      <c r="C183" s="1553" t="s">
        <v>2549</v>
      </c>
      <c r="D183" s="1536" t="s">
        <v>54</v>
      </c>
      <c r="E183" s="1537">
        <v>1</v>
      </c>
      <c r="F183" s="1539">
        <v>0</v>
      </c>
      <c r="G183" s="1537"/>
      <c r="H183" s="1532">
        <f>F183+G183</f>
        <v>0</v>
      </c>
      <c r="I183" s="1539">
        <f>+SUBCONTRATOS!D63</f>
        <v>4852396.9500864996</v>
      </c>
      <c r="J183" s="1537"/>
      <c r="K183" s="1532">
        <f t="shared" si="492"/>
        <v>4852396.9500864996</v>
      </c>
      <c r="L183" s="1531">
        <f>(H183+K183)*0.015</f>
        <v>72785.954251297488</v>
      </c>
      <c r="M183" s="1532">
        <f>H183+K183+L183</f>
        <v>4925182.9043377973</v>
      </c>
      <c r="N183" s="1533">
        <f>F183*E183</f>
        <v>0</v>
      </c>
      <c r="O183" s="1533">
        <f t="shared" si="493"/>
        <v>0</v>
      </c>
      <c r="P183" s="1533">
        <f t="shared" si="494"/>
        <v>4852396.9500864996</v>
      </c>
      <c r="Q183" s="1533">
        <f t="shared" si="495"/>
        <v>0</v>
      </c>
      <c r="R183" s="1533">
        <f t="shared" si="496"/>
        <v>72785.954251297488</v>
      </c>
      <c r="S183" s="1534">
        <f>SUM(N183:R183)</f>
        <v>4925182.9043377973</v>
      </c>
      <c r="T183" s="1487"/>
      <c r="U183" s="1673">
        <f>+ROUNDUP(M183*$T$5,0)</f>
        <v>6190377</v>
      </c>
      <c r="V183" s="1673">
        <f>+U183*E183</f>
        <v>6190377</v>
      </c>
      <c r="X183" s="1664"/>
      <c r="AD183" s="1742"/>
    </row>
    <row r="184" spans="1:30" ht="21" outlineLevel="1">
      <c r="A184" s="1675">
        <v>19.16</v>
      </c>
      <c r="B184" s="1573" t="s">
        <v>31</v>
      </c>
      <c r="C184" s="1601" t="s">
        <v>2550</v>
      </c>
      <c r="D184" s="1582" t="s">
        <v>54</v>
      </c>
      <c r="E184" s="1547">
        <v>1</v>
      </c>
      <c r="F184" s="1545">
        <f>+I184*0.6</f>
        <v>1455719.0850259499</v>
      </c>
      <c r="G184" s="1547"/>
      <c r="H184" s="1544">
        <f>F184+G184</f>
        <v>1455719.0850259499</v>
      </c>
      <c r="I184" s="1545">
        <f>+SUBCONTRATOS!D64</f>
        <v>2426198.4750432498</v>
      </c>
      <c r="J184" s="1547"/>
      <c r="K184" s="1544">
        <f t="shared" si="492"/>
        <v>2426198.4750432498</v>
      </c>
      <c r="L184" s="1546">
        <f>(H184+K184)*0.015</f>
        <v>58228.763401037992</v>
      </c>
      <c r="M184" s="1544">
        <f>H184+K184+L184</f>
        <v>3940146.3234702377</v>
      </c>
      <c r="N184" s="1548">
        <f>F184*E184</f>
        <v>1455719.0850259499</v>
      </c>
      <c r="O184" s="1548">
        <f t="shared" si="493"/>
        <v>0</v>
      </c>
      <c r="P184" s="1548">
        <f t="shared" si="494"/>
        <v>2426198.4750432498</v>
      </c>
      <c r="Q184" s="1548">
        <f t="shared" si="495"/>
        <v>0</v>
      </c>
      <c r="R184" s="1548">
        <f t="shared" si="496"/>
        <v>58228.763401037992</v>
      </c>
      <c r="S184" s="1549">
        <f>SUM(N184:R184)</f>
        <v>3940146.3234702377</v>
      </c>
      <c r="T184" s="1487"/>
      <c r="U184" s="1673">
        <f>+ROUNDUP(M184*$T$5,0)</f>
        <v>4952302</v>
      </c>
      <c r="V184" s="1673">
        <f>+U184*E184</f>
        <v>4952302</v>
      </c>
      <c r="X184" s="1664"/>
      <c r="AD184" s="1742"/>
    </row>
    <row r="185" spans="1:30" ht="10.5" outlineLevel="1">
      <c r="A185" s="1512"/>
      <c r="B185" s="1513"/>
      <c r="C185" s="1517" t="s">
        <v>152</v>
      </c>
      <c r="D185" s="1518"/>
      <c r="E185" s="1519"/>
      <c r="F185" s="1519"/>
      <c r="G185" s="1519"/>
      <c r="H185" s="1519"/>
      <c r="I185" s="1519"/>
      <c r="J185" s="1519"/>
      <c r="K185" s="1519"/>
      <c r="L185" s="1519"/>
      <c r="M185" s="1604"/>
      <c r="N185" s="1519"/>
      <c r="O185" s="1519"/>
      <c r="P185" s="1519"/>
      <c r="Q185" s="1519"/>
      <c r="R185" s="1519"/>
      <c r="S185" s="1519"/>
      <c r="T185" s="1521">
        <f>SUM(S186)</f>
        <v>4142551.1224588528</v>
      </c>
      <c r="U185" s="1519"/>
      <c r="V185" s="1519"/>
      <c r="W185" s="1522">
        <f>SUM(V186)</f>
        <v>5206701</v>
      </c>
      <c r="X185" s="1664">
        <f>+W185/$W$216</f>
        <v>4.6183149393270711E-3</v>
      </c>
      <c r="Y185" s="1648">
        <f>+W185</f>
        <v>5206701</v>
      </c>
    </row>
    <row r="186" spans="1:30" ht="31.5" outlineLevel="1">
      <c r="A186" s="1670">
        <v>19.170000000000002</v>
      </c>
      <c r="B186" s="1529" t="s">
        <v>31</v>
      </c>
      <c r="C186" s="1593" t="s">
        <v>2551</v>
      </c>
      <c r="D186" s="1536" t="s">
        <v>54</v>
      </c>
      <c r="E186" s="1537">
        <v>1</v>
      </c>
      <c r="F186" s="1545">
        <f>+INCEND!H4</f>
        <v>2093587.3781549993</v>
      </c>
      <c r="G186" s="1594"/>
      <c r="H186" s="1532">
        <f>F186+G186</f>
        <v>2093587.3781549993</v>
      </c>
      <c r="I186" s="1539">
        <f>+INCEND!P9</f>
        <v>1987743.7769768753</v>
      </c>
      <c r="J186" s="1539"/>
      <c r="K186" s="1532">
        <f t="shared" ref="K186" si="497">I186+J186</f>
        <v>1987743.7769768753</v>
      </c>
      <c r="L186" s="1575">
        <f>(H186+K186)*0.015</f>
        <v>61219.96732697812</v>
      </c>
      <c r="M186" s="1532">
        <f>H186+K186+L186</f>
        <v>4142551.1224588528</v>
      </c>
      <c r="N186" s="1533">
        <f>F186*E186</f>
        <v>2093587.3781549993</v>
      </c>
      <c r="O186" s="1533">
        <f t="shared" ref="O186" si="498">G186*E186</f>
        <v>0</v>
      </c>
      <c r="P186" s="1533">
        <f t="shared" ref="P186" si="499">I186*E186</f>
        <v>1987743.7769768753</v>
      </c>
      <c r="Q186" s="1533">
        <f t="shared" ref="Q186" si="500">J186*E186</f>
        <v>0</v>
      </c>
      <c r="R186" s="1533">
        <f t="shared" ref="R186" si="501">+L186*E186</f>
        <v>61219.96732697812</v>
      </c>
      <c r="S186" s="1534">
        <f>SUM(N186:R186)</f>
        <v>4142551.1224588528</v>
      </c>
      <c r="T186" s="1535"/>
      <c r="U186" s="1673">
        <f>+ROUNDUP(M186*$T$5,0)</f>
        <v>5206701</v>
      </c>
      <c r="V186" s="1673">
        <f>+U186*E186</f>
        <v>5206701</v>
      </c>
      <c r="X186" s="1664"/>
    </row>
    <row r="187" spans="1:30" ht="10.5" outlineLevel="1">
      <c r="A187" s="1512"/>
      <c r="B187" s="1513"/>
      <c r="C187" s="1517" t="s">
        <v>154</v>
      </c>
      <c r="D187" s="1518"/>
      <c r="E187" s="1519"/>
      <c r="F187" s="1519"/>
      <c r="G187" s="1519"/>
      <c r="H187" s="1519"/>
      <c r="I187" s="1519"/>
      <c r="J187" s="1519"/>
      <c r="K187" s="1519"/>
      <c r="L187" s="1519"/>
      <c r="M187" s="1520"/>
      <c r="N187" s="1519"/>
      <c r="O187" s="1519"/>
      <c r="P187" s="1519"/>
      <c r="Q187" s="1519"/>
      <c r="R187" s="1519"/>
      <c r="S187" s="1519"/>
      <c r="T187" s="1521">
        <f>SUM(S188:S189)</f>
        <v>16120000</v>
      </c>
      <c r="U187" s="1519"/>
      <c r="V187" s="1519"/>
      <c r="W187" s="1522">
        <f>SUM(V188:V189)</f>
        <v>20260948</v>
      </c>
      <c r="X187" s="1664">
        <f>+W187/$W$216</f>
        <v>1.7971348620427589E-2</v>
      </c>
      <c r="Y187" s="1648">
        <f>+W187</f>
        <v>20260948</v>
      </c>
    </row>
    <row r="188" spans="1:30" ht="21" outlineLevel="1">
      <c r="A188" s="1743">
        <v>19.18</v>
      </c>
      <c r="B188" s="1529" t="s">
        <v>35</v>
      </c>
      <c r="C188" s="1740" t="s">
        <v>155</v>
      </c>
      <c r="D188" s="1536" t="s">
        <v>54</v>
      </c>
      <c r="E188" s="1537">
        <v>1</v>
      </c>
      <c r="F188" s="1539">
        <v>6500000</v>
      </c>
      <c r="G188" s="1537"/>
      <c r="H188" s="1532">
        <f>F188+G188</f>
        <v>6500000</v>
      </c>
      <c r="I188" s="1539">
        <f>+F188</f>
        <v>6500000</v>
      </c>
      <c r="J188" s="1537"/>
      <c r="K188" s="1532">
        <f>I188+J188</f>
        <v>6500000</v>
      </c>
      <c r="L188" s="1575">
        <f>(H188+K188)*0.015</f>
        <v>195000</v>
      </c>
      <c r="M188" s="1532">
        <f>H188+K188+L188</f>
        <v>13195000</v>
      </c>
      <c r="N188" s="1533">
        <f>F188*E188</f>
        <v>6500000</v>
      </c>
      <c r="O188" s="1533">
        <f t="shared" ref="O188" si="502">G188*E188</f>
        <v>0</v>
      </c>
      <c r="P188" s="1533">
        <f>I188*E188</f>
        <v>6500000</v>
      </c>
      <c r="Q188" s="1533">
        <f t="shared" ref="Q188" si="503">J188*E188</f>
        <v>0</v>
      </c>
      <c r="R188" s="1533">
        <f t="shared" ref="R188" si="504">+L188*E188</f>
        <v>195000</v>
      </c>
      <c r="S188" s="1534">
        <f>SUM(N188:R188)</f>
        <v>13195000</v>
      </c>
      <c r="T188" s="1535"/>
      <c r="U188" s="1673">
        <f>+ROUNDUP(M188*$T$5,0)</f>
        <v>16584566</v>
      </c>
      <c r="V188" s="1673">
        <f>+U188*E188</f>
        <v>16584566</v>
      </c>
      <c r="X188" s="1664"/>
    </row>
    <row r="189" spans="1:30" ht="21" outlineLevel="1">
      <c r="A189" s="1605">
        <v>19.190000000000001</v>
      </c>
      <c r="B189" s="1573" t="s">
        <v>31</v>
      </c>
      <c r="C189" s="1741" t="s">
        <v>2219</v>
      </c>
      <c r="D189" s="1582" t="s">
        <v>54</v>
      </c>
      <c r="E189" s="1547">
        <v>1</v>
      </c>
      <c r="F189" s="1547"/>
      <c r="G189" s="1547"/>
      <c r="H189" s="1544">
        <f t="shared" ref="H189" si="505">F189+G189</f>
        <v>0</v>
      </c>
      <c r="I189" s="1606">
        <f>2500*W2</f>
        <v>2925000</v>
      </c>
      <c r="J189" s="1547"/>
      <c r="K189" s="1544">
        <f t="shared" ref="K189" si="506">I189+J189</f>
        <v>2925000</v>
      </c>
      <c r="L189" s="1607"/>
      <c r="M189" s="1544">
        <f t="shared" ref="M189" si="507">H189+K189+L189</f>
        <v>2925000</v>
      </c>
      <c r="N189" s="1548">
        <f t="shared" ref="N189" si="508">F189*E189</f>
        <v>0</v>
      </c>
      <c r="O189" s="1548">
        <f t="shared" ref="O189" si="509">G189*E189</f>
        <v>0</v>
      </c>
      <c r="P189" s="1548">
        <f t="shared" ref="P189" si="510">I189*E189</f>
        <v>2925000</v>
      </c>
      <c r="Q189" s="1548">
        <f t="shared" ref="Q189" si="511">J189*E189</f>
        <v>0</v>
      </c>
      <c r="R189" s="1548">
        <f t="shared" ref="R189" si="512">+L189*E189</f>
        <v>0</v>
      </c>
      <c r="S189" s="1549">
        <f t="shared" ref="S189" si="513">SUM(N189:R189)</f>
        <v>2925000</v>
      </c>
      <c r="T189" s="1535"/>
      <c r="U189" s="1673">
        <f>+ROUNDUP(M189*$T$5,0)</f>
        <v>3676382</v>
      </c>
      <c r="V189" s="1673">
        <f>+U189*E189</f>
        <v>3676382</v>
      </c>
      <c r="X189" s="1664"/>
    </row>
    <row r="190" spans="1:30" ht="21">
      <c r="A190" s="1512">
        <v>20</v>
      </c>
      <c r="B190" s="1513"/>
      <c r="C190" s="1517" t="s">
        <v>156</v>
      </c>
      <c r="D190" s="1518"/>
      <c r="E190" s="1519"/>
      <c r="F190" s="1519"/>
      <c r="G190" s="1519"/>
      <c r="H190" s="1519"/>
      <c r="I190" s="1519"/>
      <c r="J190" s="1519"/>
      <c r="K190" s="1519"/>
      <c r="L190" s="1519"/>
      <c r="M190" s="1520"/>
      <c r="N190" s="1519"/>
      <c r="O190" s="1519"/>
      <c r="P190" s="1519"/>
      <c r="Q190" s="1519"/>
      <c r="R190" s="1519"/>
      <c r="S190" s="1519"/>
      <c r="T190" s="1521">
        <f>SUM(S191:S192)</f>
        <v>28004000</v>
      </c>
      <c r="U190" s="1519"/>
      <c r="V190" s="1519"/>
      <c r="W190" s="1522">
        <f>SUM(V191:V192)</f>
        <v>35197776</v>
      </c>
      <c r="X190" s="1664">
        <f>+W190/$W$216</f>
        <v>3.122023229908686E-2</v>
      </c>
      <c r="Y190" s="1648">
        <f>+W190</f>
        <v>35197776</v>
      </c>
    </row>
    <row r="191" spans="1:30" ht="10.5" outlineLevel="1">
      <c r="A191" s="1704">
        <v>20.010000000000002</v>
      </c>
      <c r="B191" s="1608" t="s">
        <v>28</v>
      </c>
      <c r="C191" s="1580" t="s">
        <v>2249</v>
      </c>
      <c r="D191" s="1744" t="s">
        <v>77</v>
      </c>
      <c r="E191" s="1745">
        <v>36</v>
      </c>
      <c r="F191" s="1609">
        <f>+SUBCONTRATOS!D37</f>
        <v>375000</v>
      </c>
      <c r="G191" s="1609"/>
      <c r="H191" s="1610">
        <f>F191+G191</f>
        <v>375000</v>
      </c>
      <c r="I191" s="1609">
        <f>+SUBCONTRATOS!D38</f>
        <v>213888.88888888888</v>
      </c>
      <c r="J191" s="1609"/>
      <c r="K191" s="1610">
        <f>I191+J191</f>
        <v>213888.88888888888</v>
      </c>
      <c r="L191" s="1611"/>
      <c r="M191" s="1610">
        <f>H191+K191+L191</f>
        <v>588888.88888888888</v>
      </c>
      <c r="N191" s="1612">
        <f>F191*E191</f>
        <v>13500000</v>
      </c>
      <c r="O191" s="1612">
        <f>G191*E191</f>
        <v>0</v>
      </c>
      <c r="P191" s="1612">
        <f>I191*E191</f>
        <v>7700000</v>
      </c>
      <c r="Q191" s="1612">
        <f>J191*E191</f>
        <v>0</v>
      </c>
      <c r="R191" s="1612">
        <f>+L191*E191</f>
        <v>0</v>
      </c>
      <c r="S191" s="1613">
        <f>SUM(N191:R191)</f>
        <v>21200000</v>
      </c>
      <c r="T191" s="1535"/>
      <c r="U191" s="1694">
        <f>+ROUNDUP(M191*$T$5,0)</f>
        <v>740165</v>
      </c>
      <c r="V191" s="1694">
        <f>+U191*E191</f>
        <v>26645940</v>
      </c>
      <c r="X191" s="1664"/>
    </row>
    <row r="192" spans="1:30" ht="21" outlineLevel="1">
      <c r="A192" s="1670">
        <v>20.02</v>
      </c>
      <c r="B192" s="1529" t="s">
        <v>28</v>
      </c>
      <c r="C192" s="1530" t="s">
        <v>2552</v>
      </c>
      <c r="D192" s="1710" t="s">
        <v>77</v>
      </c>
      <c r="E192" s="1672">
        <v>36</v>
      </c>
      <c r="F192" s="1539"/>
      <c r="G192" s="1539"/>
      <c r="H192" s="1532">
        <f>F192+G192</f>
        <v>0</v>
      </c>
      <c r="I192" s="1539">
        <f>+SUBCONTRATOS!D39</f>
        <v>189000</v>
      </c>
      <c r="J192" s="1539"/>
      <c r="K192" s="1532">
        <f>I192+J192</f>
        <v>189000</v>
      </c>
      <c r="L192" s="1551"/>
      <c r="M192" s="1532">
        <f>H192+K192+L192</f>
        <v>189000</v>
      </c>
      <c r="N192" s="1533">
        <f>F192*E192</f>
        <v>0</v>
      </c>
      <c r="O192" s="1533">
        <f>G192*E192</f>
        <v>0</v>
      </c>
      <c r="P192" s="1533">
        <f>I192*E192</f>
        <v>6804000</v>
      </c>
      <c r="Q192" s="1533">
        <f>J192*E192</f>
        <v>0</v>
      </c>
      <c r="R192" s="1533">
        <f>+L192*E192</f>
        <v>0</v>
      </c>
      <c r="S192" s="1534">
        <f>SUM(N192:R192)</f>
        <v>6804000</v>
      </c>
      <c r="T192" s="1535"/>
      <c r="U192" s="1673">
        <f>+ROUNDUP(M192*$T$5,0)</f>
        <v>237551</v>
      </c>
      <c r="V192" s="1673">
        <f>+U192*E192</f>
        <v>8551836</v>
      </c>
      <c r="X192" s="1664"/>
    </row>
    <row r="193" spans="1:28" ht="21">
      <c r="A193" s="1512">
        <v>21</v>
      </c>
      <c r="B193" s="1513"/>
      <c r="C193" s="1517" t="s">
        <v>158</v>
      </c>
      <c r="D193" s="1518"/>
      <c r="E193" s="1519"/>
      <c r="F193" s="1519"/>
      <c r="G193" s="1519"/>
      <c r="H193" s="1519"/>
      <c r="I193" s="1519"/>
      <c r="J193" s="1519"/>
      <c r="K193" s="1519"/>
      <c r="L193" s="1519"/>
      <c r="M193" s="1520"/>
      <c r="N193" s="1519"/>
      <c r="O193" s="1519"/>
      <c r="P193" s="1519"/>
      <c r="Q193" s="1519"/>
      <c r="R193" s="1519"/>
      <c r="S193" s="1519"/>
      <c r="T193" s="1521">
        <f>SUM(S194)</f>
        <v>0</v>
      </c>
      <c r="U193" s="1519"/>
      <c r="V193" s="1519"/>
      <c r="W193" s="1522">
        <f>SUM(V194)</f>
        <v>0</v>
      </c>
      <c r="X193" s="1664">
        <f>+W193/$W$216</f>
        <v>0</v>
      </c>
      <c r="Y193" s="1648">
        <f>+W193</f>
        <v>0</v>
      </c>
    </row>
    <row r="194" spans="1:28" s="1693" customFormat="1" ht="21" outlineLevel="1">
      <c r="A194" s="1746">
        <v>21.01</v>
      </c>
      <c r="B194" s="1746" t="s">
        <v>28</v>
      </c>
      <c r="C194" s="1614" t="s">
        <v>2553</v>
      </c>
      <c r="D194" s="1747" t="s">
        <v>54</v>
      </c>
      <c r="E194" s="1748">
        <v>0</v>
      </c>
      <c r="F194" s="1615"/>
      <c r="G194" s="1615"/>
      <c r="H194" s="1616">
        <f t="shared" ref="H194" si="514">F194+G194</f>
        <v>0</v>
      </c>
      <c r="I194" s="1615"/>
      <c r="J194" s="1615"/>
      <c r="K194" s="1616">
        <f t="shared" ref="K194" si="515">I194+J194</f>
        <v>0</v>
      </c>
      <c r="L194" s="1615"/>
      <c r="M194" s="1616">
        <f t="shared" ref="M194" si="516">H194+K194+L194</f>
        <v>0</v>
      </c>
      <c r="N194" s="1617">
        <f>F194*E194</f>
        <v>0</v>
      </c>
      <c r="O194" s="1617">
        <f>G194*E194</f>
        <v>0</v>
      </c>
      <c r="P194" s="1617">
        <f>I194*E194</f>
        <v>0</v>
      </c>
      <c r="Q194" s="1617">
        <f>J194*E194</f>
        <v>0</v>
      </c>
      <c r="R194" s="1617">
        <f>+L194*E194</f>
        <v>0</v>
      </c>
      <c r="S194" s="1618">
        <f>SUM(N194:R194)</f>
        <v>0</v>
      </c>
      <c r="T194" s="1535"/>
      <c r="U194" s="1695">
        <f>+ROUNDUP(M194*$T$5,0)</f>
        <v>0</v>
      </c>
      <c r="V194" s="1673">
        <f>+U194*E194</f>
        <v>0</v>
      </c>
      <c r="W194" s="1498"/>
      <c r="X194" s="1664"/>
      <c r="Y194" s="1692"/>
      <c r="AB194" s="1692"/>
    </row>
    <row r="195" spans="1:28" s="1693" customFormat="1" ht="21">
      <c r="A195" s="1512">
        <v>22</v>
      </c>
      <c r="B195" s="1513"/>
      <c r="C195" s="1517" t="s">
        <v>160</v>
      </c>
      <c r="D195" s="1518"/>
      <c r="E195" s="1519"/>
      <c r="F195" s="1519"/>
      <c r="G195" s="1519"/>
      <c r="H195" s="1519"/>
      <c r="I195" s="1519"/>
      <c r="J195" s="1519"/>
      <c r="K195" s="1519"/>
      <c r="L195" s="1519"/>
      <c r="M195" s="1520"/>
      <c r="N195" s="1519"/>
      <c r="O195" s="1519"/>
      <c r="P195" s="1519"/>
      <c r="Q195" s="1519"/>
      <c r="R195" s="1519"/>
      <c r="S195" s="1519"/>
      <c r="T195" s="1521">
        <f>SUM(S196:S197)</f>
        <v>2125199.9999999995</v>
      </c>
      <c r="U195" s="1519"/>
      <c r="V195" s="1519"/>
      <c r="W195" s="1522">
        <f>SUM(V196:V197)</f>
        <v>2671152</v>
      </c>
      <c r="X195" s="1664">
        <f>+W195/$W$216</f>
        <v>2.3692970245100275E-3</v>
      </c>
      <c r="Y195" s="1648">
        <f>+W195</f>
        <v>2671152</v>
      </c>
      <c r="AB195" s="1692"/>
    </row>
    <row r="196" spans="1:28" ht="21" outlineLevel="1">
      <c r="A196" s="1583">
        <v>22.01</v>
      </c>
      <c r="B196" s="1583" t="s">
        <v>28</v>
      </c>
      <c r="C196" s="1591" t="s">
        <v>2554</v>
      </c>
      <c r="D196" s="1722" t="s">
        <v>77</v>
      </c>
      <c r="E196" s="1537">
        <v>16</v>
      </c>
      <c r="F196" s="1539"/>
      <c r="G196" s="1749"/>
      <c r="H196" s="1532">
        <f t="shared" ref="H196:H197" si="517">F196+G196</f>
        <v>0</v>
      </c>
      <c r="I196" s="1539">
        <f>+SUBCONTRATOS!D47</f>
        <v>64399.999999999993</v>
      </c>
      <c r="J196" s="1749"/>
      <c r="K196" s="1532">
        <f t="shared" ref="K196:K197" si="518">I196+J196</f>
        <v>64399.999999999993</v>
      </c>
      <c r="L196" s="1585"/>
      <c r="M196" s="1525">
        <f t="shared" ref="M196:M197" si="519">H196+K196+L196</f>
        <v>64399.999999999993</v>
      </c>
      <c r="N196" s="1533">
        <f t="shared" ref="N196" si="520">F196*E196</f>
        <v>0</v>
      </c>
      <c r="O196" s="1533">
        <f t="shared" ref="O196" si="521">G196*E196</f>
        <v>0</v>
      </c>
      <c r="P196" s="1533">
        <f t="shared" ref="P196" si="522">I196*E196</f>
        <v>1030399.9999999999</v>
      </c>
      <c r="Q196" s="1533">
        <f t="shared" ref="Q196" si="523">J196*E196</f>
        <v>0</v>
      </c>
      <c r="R196" s="1533">
        <f t="shared" ref="R196" si="524">+L196*E196</f>
        <v>0</v>
      </c>
      <c r="S196" s="1534">
        <f t="shared" ref="S196" si="525">SUM(N196:R196)</f>
        <v>1030399.9999999999</v>
      </c>
      <c r="T196" s="1535"/>
      <c r="U196" s="1695">
        <f>+ROUNDUP(M196*$T$5,0)</f>
        <v>80944</v>
      </c>
      <c r="V196" s="1694">
        <f>+U196*E196</f>
        <v>1295104</v>
      </c>
      <c r="X196" s="1664"/>
    </row>
    <row r="197" spans="1:28" ht="21" outlineLevel="1">
      <c r="A197" s="1529">
        <v>22.02</v>
      </c>
      <c r="B197" s="1529" t="s">
        <v>28</v>
      </c>
      <c r="C197" s="1593" t="s">
        <v>2555</v>
      </c>
      <c r="D197" s="1725" t="s">
        <v>77</v>
      </c>
      <c r="E197" s="1537">
        <f>+Locales!CE144</f>
        <v>17</v>
      </c>
      <c r="F197" s="1708"/>
      <c r="G197" s="1708"/>
      <c r="H197" s="1532">
        <f t="shared" si="517"/>
        <v>0</v>
      </c>
      <c r="I197" s="1539">
        <f>+SUBCONTRATOS!D47</f>
        <v>64399.999999999993</v>
      </c>
      <c r="J197" s="1708"/>
      <c r="K197" s="1532">
        <f t="shared" si="518"/>
        <v>64399.999999999993</v>
      </c>
      <c r="L197" s="1560"/>
      <c r="M197" s="1532">
        <f t="shared" si="519"/>
        <v>64399.999999999993</v>
      </c>
      <c r="N197" s="1533">
        <f t="shared" ref="N197" si="526">F197*E197</f>
        <v>0</v>
      </c>
      <c r="O197" s="1533">
        <f t="shared" ref="O197" si="527">G197*E197</f>
        <v>0</v>
      </c>
      <c r="P197" s="1533">
        <f t="shared" ref="P197" si="528">I197*E197</f>
        <v>1094799.9999999998</v>
      </c>
      <c r="Q197" s="1533">
        <f t="shared" ref="Q197" si="529">J197*E197</f>
        <v>0</v>
      </c>
      <c r="R197" s="1533">
        <f t="shared" ref="R197" si="530">+L197*E197</f>
        <v>0</v>
      </c>
      <c r="S197" s="1534">
        <f t="shared" ref="S197" si="531">SUM(N197:R197)</f>
        <v>1094799.9999999998</v>
      </c>
      <c r="T197" s="1535"/>
      <c r="U197" s="1695">
        <f>+ROUNDUP(M197*$T$5,0)</f>
        <v>80944</v>
      </c>
      <c r="V197" s="1694">
        <f>+U197*E197</f>
        <v>1376048</v>
      </c>
      <c r="X197" s="1664"/>
    </row>
    <row r="198" spans="1:28" ht="10.5">
      <c r="A198" s="1512">
        <v>23</v>
      </c>
      <c r="B198" s="1513"/>
      <c r="C198" s="1517" t="s">
        <v>163</v>
      </c>
      <c r="D198" s="1518"/>
      <c r="E198" s="1519"/>
      <c r="F198" s="1519"/>
      <c r="G198" s="1519"/>
      <c r="H198" s="1519"/>
      <c r="I198" s="1519"/>
      <c r="J198" s="1519"/>
      <c r="K198" s="1519"/>
      <c r="L198" s="1519"/>
      <c r="M198" s="1520"/>
      <c r="N198" s="1519"/>
      <c r="O198" s="1519"/>
      <c r="P198" s="1519"/>
      <c r="Q198" s="1519"/>
      <c r="R198" s="1519"/>
      <c r="S198" s="1519"/>
      <c r="T198" s="1521">
        <f>+SUM(S199:S201)</f>
        <v>3714091.0548287267</v>
      </c>
      <c r="U198" s="1519"/>
      <c r="V198" s="1519"/>
      <c r="W198" s="1522">
        <f>SUM(V199:V201)</f>
        <v>4668180</v>
      </c>
      <c r="X198" s="1664">
        <f>+W198/$W$216</f>
        <v>4.1406497959970909E-3</v>
      </c>
      <c r="Y198" s="1648">
        <f>+W198</f>
        <v>4668180</v>
      </c>
    </row>
    <row r="199" spans="1:28" s="1693" customFormat="1" ht="10.5" outlineLevel="1">
      <c r="A199" s="1583">
        <v>23.01</v>
      </c>
      <c r="B199" s="1583" t="s">
        <v>31</v>
      </c>
      <c r="C199" s="1523" t="s">
        <v>1599</v>
      </c>
      <c r="D199" s="1691" t="s">
        <v>54</v>
      </c>
      <c r="E199" s="1524">
        <v>7</v>
      </c>
      <c r="F199" s="1575">
        <f>+Tareas!H200</f>
        <v>84804.805000000008</v>
      </c>
      <c r="G199" s="1575">
        <f>+Tareas!I200</f>
        <v>18052.636608644149</v>
      </c>
      <c r="H199" s="1525">
        <f>F199+G199</f>
        <v>102857.44160864415</v>
      </c>
      <c r="I199" s="1575">
        <f>+Tareas!Q200</f>
        <v>0</v>
      </c>
      <c r="J199" s="1575">
        <f>+Tareas!R200</f>
        <v>247059.61185673703</v>
      </c>
      <c r="K199" s="1525">
        <f>I199+J199</f>
        <v>247059.61185673703</v>
      </c>
      <c r="L199" s="1531">
        <f>(H199+K199)*0.015</f>
        <v>5248.7558019807175</v>
      </c>
      <c r="M199" s="1525">
        <f>H199+K199+L199</f>
        <v>355165.80926736188</v>
      </c>
      <c r="N199" s="1526">
        <f>F199*E199</f>
        <v>593633.63500000001</v>
      </c>
      <c r="O199" s="1526">
        <f t="shared" ref="O199" si="532">G199*E199</f>
        <v>126368.45626050903</v>
      </c>
      <c r="P199" s="1526">
        <f t="shared" ref="P199" si="533">I199*E199</f>
        <v>0</v>
      </c>
      <c r="Q199" s="1526">
        <f t="shared" ref="Q199" si="534">J199*E199</f>
        <v>1729417.2829971593</v>
      </c>
      <c r="R199" s="1526">
        <f t="shared" ref="R199" si="535">+L199*E199</f>
        <v>36741.290613865021</v>
      </c>
      <c r="S199" s="1527">
        <f>SUM(N199:R199)</f>
        <v>2486160.6648715334</v>
      </c>
      <c r="T199" s="1487"/>
      <c r="U199" s="1669">
        <f>+ROUNDUP(M199*$T$5,0)</f>
        <v>446402</v>
      </c>
      <c r="V199" s="1669">
        <f>+U199*E199</f>
        <v>3124814</v>
      </c>
      <c r="W199" s="1498"/>
      <c r="X199" s="1664"/>
      <c r="Y199" s="1692"/>
      <c r="AB199" s="1692"/>
    </row>
    <row r="200" spans="1:28" s="1693" customFormat="1" ht="21" outlineLevel="1">
      <c r="A200" s="1529">
        <v>23.02</v>
      </c>
      <c r="B200" s="1529"/>
      <c r="C200" s="1530" t="s">
        <v>2556</v>
      </c>
      <c r="D200" s="1679" t="s">
        <v>54</v>
      </c>
      <c r="E200" s="1537">
        <v>1</v>
      </c>
      <c r="F200" s="1588">
        <f>+Tareas!H212</f>
        <v>0</v>
      </c>
      <c r="G200" s="1588">
        <f>+Tareas!I212</f>
        <v>200000</v>
      </c>
      <c r="H200" s="1532">
        <f>F200+G200</f>
        <v>200000</v>
      </c>
      <c r="I200" s="1531">
        <f>+Tareas!Q212</f>
        <v>0</v>
      </c>
      <c r="J200" s="1531">
        <f>+Tareas!R212</f>
        <v>326801.24153285986</v>
      </c>
      <c r="K200" s="1532">
        <f>I200+J200</f>
        <v>326801.24153285986</v>
      </c>
      <c r="L200" s="1531">
        <f>(H200+K200)*0.015</f>
        <v>7902.0186229928977</v>
      </c>
      <c r="M200" s="1532">
        <f>H200+K200+L200</f>
        <v>534703.26015585277</v>
      </c>
      <c r="N200" s="1533">
        <f>F200*E200</f>
        <v>0</v>
      </c>
      <c r="O200" s="1533">
        <f t="shared" ref="O200" si="536">G200*E200</f>
        <v>200000</v>
      </c>
      <c r="P200" s="1533">
        <f t="shared" ref="P200" si="537">I200*E200</f>
        <v>0</v>
      </c>
      <c r="Q200" s="1533">
        <f t="shared" ref="Q200" si="538">J200*E200</f>
        <v>326801.24153285986</v>
      </c>
      <c r="R200" s="1533">
        <f t="shared" ref="R200" si="539">+L200*E200</f>
        <v>7902.0186229928977</v>
      </c>
      <c r="S200" s="1534">
        <f>SUM(N200:R200)</f>
        <v>534703.26015585277</v>
      </c>
      <c r="T200" s="1487"/>
      <c r="U200" s="1673">
        <f>+ROUNDUP(M200*$T$5,0)</f>
        <v>672060</v>
      </c>
      <c r="V200" s="1673">
        <f>+U200*E200</f>
        <v>672060</v>
      </c>
      <c r="W200" s="1498"/>
      <c r="X200" s="1664"/>
      <c r="Y200" s="1692"/>
      <c r="AB200" s="1692"/>
    </row>
    <row r="201" spans="1:28" ht="21" outlineLevel="1">
      <c r="A201" s="1573">
        <v>23.03</v>
      </c>
      <c r="B201" s="1573" t="s">
        <v>31</v>
      </c>
      <c r="C201" s="1542" t="s">
        <v>1512</v>
      </c>
      <c r="D201" s="1700" t="s">
        <v>54</v>
      </c>
      <c r="E201" s="1547">
        <v>1</v>
      </c>
      <c r="F201" s="1619">
        <f>+COVE!L34*10</f>
        <v>253919.62647337769</v>
      </c>
      <c r="G201" s="1619"/>
      <c r="H201" s="1544">
        <f>F201+G201</f>
        <v>253919.62647337769</v>
      </c>
      <c r="I201" s="1545">
        <f>+COVE!T34*10</f>
        <v>439307.50332796259</v>
      </c>
      <c r="J201" s="1619"/>
      <c r="K201" s="1544">
        <f>I201+J201</f>
        <v>439307.50332796259</v>
      </c>
      <c r="L201" s="1607"/>
      <c r="M201" s="1544">
        <f>H201+K201+L201</f>
        <v>693227.12980134028</v>
      </c>
      <c r="N201" s="1548">
        <f>F201*E201</f>
        <v>253919.62647337769</v>
      </c>
      <c r="O201" s="1548">
        <f t="shared" ref="O201" si="540">G201*E201</f>
        <v>0</v>
      </c>
      <c r="P201" s="1548">
        <f t="shared" ref="P201" si="541">I201*E201</f>
        <v>439307.50332796259</v>
      </c>
      <c r="Q201" s="1548">
        <f t="shared" ref="Q201" si="542">J201*E201</f>
        <v>0</v>
      </c>
      <c r="R201" s="1548">
        <f t="shared" ref="R201" si="543">+L201*E201</f>
        <v>0</v>
      </c>
      <c r="S201" s="1549">
        <f>SUM(N201:R201)</f>
        <v>693227.12980134028</v>
      </c>
      <c r="T201" s="1487"/>
      <c r="U201" s="1714">
        <f>+ROUNDUP(M201*$T$5,0)</f>
        <v>871306</v>
      </c>
      <c r="V201" s="1714">
        <f>+U201*E201</f>
        <v>871306</v>
      </c>
      <c r="X201" s="1664"/>
    </row>
    <row r="202" spans="1:28" ht="10.5">
      <c r="A202" s="1512">
        <v>24</v>
      </c>
      <c r="B202" s="1513"/>
      <c r="C202" s="1517" t="s">
        <v>164</v>
      </c>
      <c r="D202" s="1518"/>
      <c r="E202" s="1519"/>
      <c r="F202" s="1519"/>
      <c r="G202" s="1519"/>
      <c r="H202" s="1519"/>
      <c r="I202" s="1519"/>
      <c r="J202" s="1519"/>
      <c r="K202" s="1519"/>
      <c r="L202" s="1519"/>
      <c r="M202" s="1519"/>
      <c r="N202" s="1519"/>
      <c r="O202" s="1519"/>
      <c r="P202" s="1519"/>
      <c r="Q202" s="1519"/>
      <c r="R202" s="1519"/>
      <c r="S202" s="1519"/>
      <c r="T202" s="1521">
        <f>SUM(S203:S212)</f>
        <v>40135188.322516404</v>
      </c>
      <c r="U202" s="1519"/>
      <c r="V202" s="1519"/>
      <c r="W202" s="1522">
        <f>SUM(V203:V212)</f>
        <v>50445256</v>
      </c>
      <c r="X202" s="1664">
        <f>+W202/$W$216</f>
        <v>4.4744662580581941E-2</v>
      </c>
    </row>
    <row r="203" spans="1:28" ht="10.5" outlineLevel="1">
      <c r="A203" s="1665">
        <v>24.01</v>
      </c>
      <c r="B203" s="1583" t="s">
        <v>28</v>
      </c>
      <c r="C203" s="1750" t="s">
        <v>165</v>
      </c>
      <c r="D203" s="1667" t="s">
        <v>61</v>
      </c>
      <c r="E203" s="1668">
        <f>+GGBB!F4</f>
        <v>14</v>
      </c>
      <c r="F203" s="1524"/>
      <c r="G203" s="1749"/>
      <c r="H203" s="1532">
        <f t="shared" ref="H203:H204" si="544">F203+G203</f>
        <v>0</v>
      </c>
      <c r="I203" s="1620">
        <f>+GGBB!J29/2</f>
        <v>599210.84671886358</v>
      </c>
      <c r="J203" s="1524"/>
      <c r="K203" s="1532">
        <f t="shared" ref="K203:K204" si="545">I203+J203</f>
        <v>599210.84671886358</v>
      </c>
      <c r="L203" s="1537"/>
      <c r="M203" s="1532">
        <f t="shared" ref="M203:M204" si="546">H203+K203+L203</f>
        <v>599210.84671886358</v>
      </c>
      <c r="N203" s="1533">
        <f t="shared" ref="N203:N204" si="547">F203*E203</f>
        <v>0</v>
      </c>
      <c r="O203" s="1533">
        <f t="shared" ref="O203:O204" si="548">G203*E203</f>
        <v>0</v>
      </c>
      <c r="P203" s="1533">
        <f t="shared" ref="P203:P204" si="549">I203*E203</f>
        <v>8388951.8540640902</v>
      </c>
      <c r="Q203" s="1533">
        <f t="shared" ref="Q203:Q204" si="550">J203*E203</f>
        <v>0</v>
      </c>
      <c r="R203" s="1533">
        <f t="shared" ref="R203:R204" si="551">+L203*E203</f>
        <v>0</v>
      </c>
      <c r="S203" s="1534">
        <f t="shared" ref="S203:S212" si="552">SUM(N203:R203)</f>
        <v>8388951.8540640902</v>
      </c>
      <c r="T203" s="1535"/>
      <c r="U203" s="1673">
        <f t="shared" ref="U203:U204" si="553">+ROUNDUP(M203*$T$5,0)</f>
        <v>753138</v>
      </c>
      <c r="V203" s="1673">
        <f t="shared" ref="V203:V204" si="554">+U203*E203</f>
        <v>10543932</v>
      </c>
      <c r="Y203" s="1648">
        <f>+U203*AA203</f>
        <v>10543932</v>
      </c>
      <c r="AA203" s="1654">
        <v>14</v>
      </c>
    </row>
    <row r="204" spans="1:28" ht="21" outlineLevel="1">
      <c r="A204" s="1704">
        <v>24.02</v>
      </c>
      <c r="B204" s="1608" t="s">
        <v>28</v>
      </c>
      <c r="C204" s="1751" t="s">
        <v>2007</v>
      </c>
      <c r="D204" s="1752" t="s">
        <v>61</v>
      </c>
      <c r="E204" s="1745">
        <f>+GGBB!Q5</f>
        <v>4</v>
      </c>
      <c r="F204" s="1621"/>
      <c r="G204" s="1753"/>
      <c r="H204" s="1532">
        <f t="shared" si="544"/>
        <v>0</v>
      </c>
      <c r="I204" s="1622">
        <f>+GGBB!J12*0.6</f>
        <v>1547376.3491999998</v>
      </c>
      <c r="J204" s="1621"/>
      <c r="K204" s="1532">
        <f t="shared" si="545"/>
        <v>1547376.3491999998</v>
      </c>
      <c r="L204" s="1537"/>
      <c r="M204" s="1532">
        <f t="shared" si="546"/>
        <v>1547376.3491999998</v>
      </c>
      <c r="N204" s="1533">
        <f t="shared" si="547"/>
        <v>0</v>
      </c>
      <c r="O204" s="1533">
        <f t="shared" si="548"/>
        <v>0</v>
      </c>
      <c r="P204" s="1533">
        <f t="shared" si="549"/>
        <v>6189505.3967999993</v>
      </c>
      <c r="Q204" s="1533">
        <f t="shared" si="550"/>
        <v>0</v>
      </c>
      <c r="R204" s="1533">
        <f t="shared" si="551"/>
        <v>0</v>
      </c>
      <c r="S204" s="1534">
        <f t="shared" si="552"/>
        <v>6189505.3967999993</v>
      </c>
      <c r="T204" s="1535"/>
      <c r="U204" s="1673">
        <f t="shared" si="553"/>
        <v>1944871</v>
      </c>
      <c r="V204" s="1673">
        <f t="shared" si="554"/>
        <v>7779484</v>
      </c>
      <c r="Y204" s="1648">
        <f t="shared" ref="Y204:Y212" si="555">+U204*AA204</f>
        <v>7779484</v>
      </c>
      <c r="AA204" s="1654">
        <v>4</v>
      </c>
    </row>
    <row r="205" spans="1:28" ht="10.5" outlineLevel="1">
      <c r="A205" s="1670">
        <v>24.03</v>
      </c>
      <c r="B205" s="1529" t="s">
        <v>28</v>
      </c>
      <c r="C205" s="1593" t="s">
        <v>166</v>
      </c>
      <c r="D205" s="1671" t="s">
        <v>61</v>
      </c>
      <c r="E205" s="1672">
        <f>+GGBB!F4</f>
        <v>14</v>
      </c>
      <c r="F205" s="1537"/>
      <c r="G205" s="1708"/>
      <c r="H205" s="1532">
        <f>F205+G205</f>
        <v>0</v>
      </c>
      <c r="I205" s="1586">
        <f>+GGBB!J13</f>
        <v>150000</v>
      </c>
      <c r="J205" s="1537"/>
      <c r="K205" s="1532">
        <f>I205+J205</f>
        <v>150000</v>
      </c>
      <c r="L205" s="1537"/>
      <c r="M205" s="1532">
        <f>H205+K205+L205</f>
        <v>150000</v>
      </c>
      <c r="N205" s="1533">
        <f t="shared" ref="N205:N212" si="556">F205*E205</f>
        <v>0</v>
      </c>
      <c r="O205" s="1533">
        <f t="shared" ref="O205:O212" si="557">G205*E205</f>
        <v>0</v>
      </c>
      <c r="P205" s="1533">
        <f t="shared" ref="P205:P212" si="558">I205*E205</f>
        <v>2100000</v>
      </c>
      <c r="Q205" s="1533">
        <f t="shared" ref="Q205:Q212" si="559">J205*E205</f>
        <v>0</v>
      </c>
      <c r="R205" s="1533">
        <f t="shared" ref="R205:R212" si="560">+L205*E205</f>
        <v>0</v>
      </c>
      <c r="S205" s="1534">
        <f t="shared" si="552"/>
        <v>2100000</v>
      </c>
      <c r="T205" s="1535"/>
      <c r="U205" s="1673">
        <f t="shared" ref="U205:U212" si="561">+ROUNDUP(M205*$T$5,0)</f>
        <v>188533</v>
      </c>
      <c r="V205" s="1673">
        <f t="shared" ref="V205:V212" si="562">+U205*E205</f>
        <v>2639462</v>
      </c>
      <c r="Y205" s="1648">
        <f t="shared" si="555"/>
        <v>2639462</v>
      </c>
      <c r="AA205" s="1654">
        <v>14</v>
      </c>
    </row>
    <row r="206" spans="1:28" ht="10.5" outlineLevel="1">
      <c r="A206" s="1704">
        <v>24.04</v>
      </c>
      <c r="B206" s="1529" t="s">
        <v>28</v>
      </c>
      <c r="C206" s="1593" t="s">
        <v>167</v>
      </c>
      <c r="D206" s="1671" t="s">
        <v>54</v>
      </c>
      <c r="E206" s="1672">
        <v>1</v>
      </c>
      <c r="F206" s="1531">
        <f>+Tareas!H216</f>
        <v>2388097.2693333332</v>
      </c>
      <c r="G206" s="1531">
        <f>+Tareas!I216</f>
        <v>0</v>
      </c>
      <c r="H206" s="1532">
        <f>F206+G206</f>
        <v>2388097.2693333332</v>
      </c>
      <c r="I206" s="1531">
        <f>+Tareas!Q216</f>
        <v>0</v>
      </c>
      <c r="J206" s="1531">
        <f>+Tareas!R216</f>
        <v>1222808.0771714395</v>
      </c>
      <c r="K206" s="1532">
        <f t="shared" ref="K206" si="563">I206+J206</f>
        <v>1222808.0771714395</v>
      </c>
      <c r="L206" s="1531">
        <f>(H206+K206)*0.015</f>
        <v>54163.580197571595</v>
      </c>
      <c r="M206" s="1532">
        <f>H206+K206+L206</f>
        <v>3665068.9267023448</v>
      </c>
      <c r="N206" s="1533">
        <f>F206*E206</f>
        <v>2388097.2693333332</v>
      </c>
      <c r="O206" s="1533">
        <f t="shared" ref="O206" si="564">G206*E206</f>
        <v>0</v>
      </c>
      <c r="P206" s="1533">
        <f t="shared" ref="P206" si="565">I206*E206</f>
        <v>0</v>
      </c>
      <c r="Q206" s="1533">
        <f t="shared" ref="Q206" si="566">J206*E206</f>
        <v>1222808.0771714395</v>
      </c>
      <c r="R206" s="1533">
        <f t="shared" ref="R206" si="567">+L206*E206</f>
        <v>54163.580197571595</v>
      </c>
      <c r="S206" s="1534">
        <f t="shared" si="552"/>
        <v>3665068.9267023448</v>
      </c>
      <c r="T206" s="1535"/>
      <c r="U206" s="1673">
        <f t="shared" si="561"/>
        <v>4606562</v>
      </c>
      <c r="V206" s="1673">
        <f t="shared" si="562"/>
        <v>4606562</v>
      </c>
      <c r="Y206" s="1648">
        <f t="shared" si="555"/>
        <v>4606562</v>
      </c>
      <c r="AA206" s="1654">
        <v>1</v>
      </c>
    </row>
    <row r="207" spans="1:28" s="1697" customFormat="1" ht="10.5" outlineLevel="1">
      <c r="A207" s="1670">
        <v>24.05</v>
      </c>
      <c r="B207" s="1529" t="s">
        <v>28</v>
      </c>
      <c r="C207" s="1593" t="s">
        <v>168</v>
      </c>
      <c r="D207" s="1754" t="s">
        <v>61</v>
      </c>
      <c r="E207" s="1672">
        <f>+GGBB!F4</f>
        <v>14</v>
      </c>
      <c r="F207" s="1538">
        <f>+Tareas!H223</f>
        <v>0</v>
      </c>
      <c r="G207" s="1538">
        <f>+Tareas!I223</f>
        <v>50000</v>
      </c>
      <c r="H207" s="1532">
        <f>F207+G207</f>
        <v>50000</v>
      </c>
      <c r="I207" s="1531">
        <f>+Tareas!Q223</f>
        <v>0</v>
      </c>
      <c r="J207" s="1531">
        <f>+Tareas!R223</f>
        <v>495686.16827914771</v>
      </c>
      <c r="K207" s="1532">
        <f>I207+J207</f>
        <v>495686.16827914771</v>
      </c>
      <c r="L207" s="1531">
        <f>(H207+K207)*0.015</f>
        <v>8185.2925241872153</v>
      </c>
      <c r="M207" s="1532">
        <f t="shared" ref="M207" si="568">H207+K207+L207</f>
        <v>553871.46080333495</v>
      </c>
      <c r="N207" s="1533">
        <f t="shared" ref="N207" si="569">F207*E207</f>
        <v>0</v>
      </c>
      <c r="O207" s="1533">
        <f t="shared" ref="O207" si="570">G207*E207</f>
        <v>700000</v>
      </c>
      <c r="P207" s="1533">
        <f t="shared" ref="P207" si="571">I207*E207</f>
        <v>0</v>
      </c>
      <c r="Q207" s="1533">
        <f t="shared" ref="Q207" si="572">J207*E207</f>
        <v>6939606.3559080679</v>
      </c>
      <c r="R207" s="1533">
        <f t="shared" ref="R207" si="573">+L207*E207</f>
        <v>114594.09533862102</v>
      </c>
      <c r="S207" s="1534">
        <f t="shared" si="552"/>
        <v>7754200.4512466891</v>
      </c>
      <c r="T207" s="1535"/>
      <c r="U207" s="1673">
        <f t="shared" si="561"/>
        <v>696152</v>
      </c>
      <c r="V207" s="1673">
        <f t="shared" si="562"/>
        <v>9746128</v>
      </c>
      <c r="W207" s="1755"/>
      <c r="X207" s="1664"/>
      <c r="Y207" s="1648">
        <f t="shared" si="555"/>
        <v>9746128</v>
      </c>
      <c r="AA207" s="1697">
        <v>14</v>
      </c>
      <c r="AB207" s="1651"/>
    </row>
    <row r="208" spans="1:28" s="1697" customFormat="1" ht="10.5" outlineLevel="1">
      <c r="A208" s="1704">
        <v>24.06</v>
      </c>
      <c r="B208" s="1529" t="s">
        <v>28</v>
      </c>
      <c r="C208" s="1593" t="s">
        <v>169</v>
      </c>
      <c r="D208" s="1754" t="s">
        <v>61</v>
      </c>
      <c r="E208" s="1672">
        <f>+GGBB!F4</f>
        <v>14</v>
      </c>
      <c r="F208" s="1538">
        <f>+Tareas!H227</f>
        <v>0</v>
      </c>
      <c r="G208" s="1538">
        <f>+Tareas!I227</f>
        <v>25000</v>
      </c>
      <c r="H208" s="1532">
        <f>F208+G208</f>
        <v>25000</v>
      </c>
      <c r="I208" s="1531">
        <f>+Tareas!Q227</f>
        <v>0</v>
      </c>
      <c r="J208" s="1531">
        <f>+Tareas!R227</f>
        <v>329565.96569537499</v>
      </c>
      <c r="K208" s="1532">
        <f>I208+J208</f>
        <v>329565.96569537499</v>
      </c>
      <c r="L208" s="1531">
        <f>(H208+K208)*0.015</f>
        <v>5318.4894854306249</v>
      </c>
      <c r="M208" s="1532">
        <f>H208+K208+L208</f>
        <v>359884.45518080564</v>
      </c>
      <c r="N208" s="1533">
        <f t="shared" si="556"/>
        <v>0</v>
      </c>
      <c r="O208" s="1533">
        <f t="shared" si="557"/>
        <v>350000</v>
      </c>
      <c r="P208" s="1533">
        <f t="shared" si="558"/>
        <v>0</v>
      </c>
      <c r="Q208" s="1533">
        <f t="shared" si="559"/>
        <v>4613923.5197352497</v>
      </c>
      <c r="R208" s="1533">
        <f t="shared" si="560"/>
        <v>74458.852796028747</v>
      </c>
      <c r="S208" s="1534">
        <f t="shared" si="552"/>
        <v>5038382.3725312781</v>
      </c>
      <c r="T208" s="1535"/>
      <c r="U208" s="1673">
        <f t="shared" si="561"/>
        <v>452333</v>
      </c>
      <c r="V208" s="1673">
        <f t="shared" si="562"/>
        <v>6332662</v>
      </c>
      <c r="W208" s="1755"/>
      <c r="X208" s="1664"/>
      <c r="Y208" s="1648">
        <f t="shared" si="555"/>
        <v>6332662</v>
      </c>
      <c r="AA208" s="1697">
        <v>14</v>
      </c>
      <c r="AB208" s="1651"/>
    </row>
    <row r="209" spans="1:34" s="1697" customFormat="1" ht="10.5" outlineLevel="1">
      <c r="A209" s="1670">
        <v>24.07</v>
      </c>
      <c r="B209" s="1529" t="s">
        <v>28</v>
      </c>
      <c r="C209" s="1593" t="s">
        <v>170</v>
      </c>
      <c r="D209" s="1754" t="s">
        <v>54</v>
      </c>
      <c r="E209" s="1672">
        <v>0</v>
      </c>
      <c r="F209" s="1538"/>
      <c r="G209" s="1538"/>
      <c r="H209" s="1532">
        <f t="shared" ref="H209:H210" si="574">F209+G209</f>
        <v>0</v>
      </c>
      <c r="I209" s="1531"/>
      <c r="J209" s="1531"/>
      <c r="K209" s="1532">
        <f t="shared" ref="K209:K210" si="575">I209+J209</f>
        <v>0</v>
      </c>
      <c r="L209" s="1531">
        <f>(H209+K209)*0.015</f>
        <v>0</v>
      </c>
      <c r="M209" s="1532">
        <f t="shared" ref="M209:M210" si="576">H209+K209+L209</f>
        <v>0</v>
      </c>
      <c r="N209" s="1533">
        <f t="shared" ref="N209:N210" si="577">F209*E209</f>
        <v>0</v>
      </c>
      <c r="O209" s="1533">
        <f t="shared" ref="O209:O210" si="578">G209*E209</f>
        <v>0</v>
      </c>
      <c r="P209" s="1533">
        <f t="shared" ref="P209:P210" si="579">I209*E209</f>
        <v>0</v>
      </c>
      <c r="Q209" s="1533">
        <f t="shared" ref="Q209:Q210" si="580">J209*E209</f>
        <v>0</v>
      </c>
      <c r="R209" s="1533">
        <f t="shared" ref="R209:R210" si="581">+L209*E209</f>
        <v>0</v>
      </c>
      <c r="S209" s="1534">
        <f t="shared" si="552"/>
        <v>0</v>
      </c>
      <c r="T209" s="1535"/>
      <c r="U209" s="1673">
        <f t="shared" si="561"/>
        <v>0</v>
      </c>
      <c r="V209" s="1673">
        <f t="shared" si="562"/>
        <v>0</v>
      </c>
      <c r="W209" s="1755"/>
      <c r="X209" s="1664"/>
      <c r="Y209" s="1648">
        <f t="shared" si="555"/>
        <v>0</v>
      </c>
      <c r="AB209" s="1651"/>
    </row>
    <row r="210" spans="1:34" s="1697" customFormat="1" ht="10.5" outlineLevel="1">
      <c r="A210" s="1704">
        <v>24.08</v>
      </c>
      <c r="B210" s="1529" t="s">
        <v>28</v>
      </c>
      <c r="C210" s="1593" t="s">
        <v>171</v>
      </c>
      <c r="D210" s="1754" t="s">
        <v>61</v>
      </c>
      <c r="E210" s="1672">
        <f>+GGBB!F4</f>
        <v>14</v>
      </c>
      <c r="F210" s="1537"/>
      <c r="G210" s="1537"/>
      <c r="H210" s="1532">
        <f t="shared" si="574"/>
        <v>0</v>
      </c>
      <c r="I210" s="1623">
        <v>250000</v>
      </c>
      <c r="J210" s="1537"/>
      <c r="K210" s="1532">
        <f t="shared" si="575"/>
        <v>250000</v>
      </c>
      <c r="L210" s="1551"/>
      <c r="M210" s="1532">
        <f t="shared" si="576"/>
        <v>250000</v>
      </c>
      <c r="N210" s="1533">
        <f t="shared" si="577"/>
        <v>0</v>
      </c>
      <c r="O210" s="1533">
        <f t="shared" si="578"/>
        <v>0</v>
      </c>
      <c r="P210" s="1533">
        <f t="shared" si="579"/>
        <v>3500000</v>
      </c>
      <c r="Q210" s="1533">
        <f t="shared" si="580"/>
        <v>0</v>
      </c>
      <c r="R210" s="1533">
        <f t="shared" si="581"/>
        <v>0</v>
      </c>
      <c r="S210" s="1534">
        <f t="shared" si="552"/>
        <v>3500000</v>
      </c>
      <c r="T210" s="1535"/>
      <c r="U210" s="1673">
        <f t="shared" si="561"/>
        <v>314221</v>
      </c>
      <c r="V210" s="1673">
        <f t="shared" si="562"/>
        <v>4399094</v>
      </c>
      <c r="W210" s="1755"/>
      <c r="X210" s="1664"/>
      <c r="Y210" s="1648">
        <f t="shared" si="555"/>
        <v>4399094</v>
      </c>
      <c r="AA210" s="1697">
        <v>14</v>
      </c>
      <c r="AB210" s="1651"/>
    </row>
    <row r="211" spans="1:34" s="1756" customFormat="1" ht="21" outlineLevel="1">
      <c r="A211" s="1670">
        <v>24.09</v>
      </c>
      <c r="B211" s="1529" t="s">
        <v>31</v>
      </c>
      <c r="C211" s="1593" t="s">
        <v>172</v>
      </c>
      <c r="D211" s="1754" t="s">
        <v>61</v>
      </c>
      <c r="E211" s="1672">
        <v>4</v>
      </c>
      <c r="F211" s="1538">
        <f>+Tareas!H233</f>
        <v>0</v>
      </c>
      <c r="G211" s="1538">
        <f>+Tareas!I233</f>
        <v>0</v>
      </c>
      <c r="H211" s="1532">
        <f>F211+G211</f>
        <v>0</v>
      </c>
      <c r="I211" s="1531"/>
      <c r="J211" s="1531">
        <f>+Tareas!R233</f>
        <v>0</v>
      </c>
      <c r="K211" s="1532">
        <f>I211+J211</f>
        <v>0</v>
      </c>
      <c r="L211" s="1551"/>
      <c r="M211" s="1532">
        <f>H211+K211+L211</f>
        <v>0</v>
      </c>
      <c r="N211" s="1533">
        <f t="shared" si="556"/>
        <v>0</v>
      </c>
      <c r="O211" s="1533">
        <f t="shared" si="557"/>
        <v>0</v>
      </c>
      <c r="P211" s="1533">
        <f t="shared" si="558"/>
        <v>0</v>
      </c>
      <c r="Q211" s="1533">
        <f t="shared" si="559"/>
        <v>0</v>
      </c>
      <c r="R211" s="1533">
        <f t="shared" si="560"/>
        <v>0</v>
      </c>
      <c r="S211" s="1534">
        <f t="shared" si="552"/>
        <v>0</v>
      </c>
      <c r="T211" s="1535"/>
      <c r="U211" s="1672">
        <f t="shared" si="561"/>
        <v>0</v>
      </c>
      <c r="V211" s="1672">
        <f t="shared" si="562"/>
        <v>0</v>
      </c>
      <c r="W211" s="1755"/>
      <c r="X211" s="1664"/>
      <c r="Y211" s="1648">
        <f t="shared" si="555"/>
        <v>0</v>
      </c>
      <c r="AB211" s="1648"/>
    </row>
    <row r="212" spans="1:34" s="1756" customFormat="1" ht="10.5" outlineLevel="1">
      <c r="A212" s="1704">
        <v>24.1</v>
      </c>
      <c r="B212" s="1573" t="s">
        <v>28</v>
      </c>
      <c r="C212" s="1757" t="s">
        <v>173</v>
      </c>
      <c r="D212" s="1758" t="s">
        <v>61</v>
      </c>
      <c r="E212" s="1677">
        <f>+GGBB!F4</f>
        <v>14</v>
      </c>
      <c r="F212" s="1623">
        <f>100000*2</f>
        <v>200000</v>
      </c>
      <c r="G212" s="1546"/>
      <c r="H212" s="1544">
        <f t="shared" ref="H212" si="582">F212+G212</f>
        <v>200000</v>
      </c>
      <c r="I212" s="1546"/>
      <c r="J212" s="1539">
        <f>+'P.MO 09.24'!B7</f>
        <v>49934.237226571968</v>
      </c>
      <c r="K212" s="1544">
        <f t="shared" ref="K212" si="583">I212+J212</f>
        <v>49934.237226571968</v>
      </c>
      <c r="L212" s="1607"/>
      <c r="M212" s="1544">
        <f t="shared" ref="M212" si="584">H212+K212+L212</f>
        <v>249934.23722657198</v>
      </c>
      <c r="N212" s="1548">
        <f t="shared" si="556"/>
        <v>2800000</v>
      </c>
      <c r="O212" s="1548">
        <f t="shared" si="557"/>
        <v>0</v>
      </c>
      <c r="P212" s="1548">
        <f t="shared" si="558"/>
        <v>0</v>
      </c>
      <c r="Q212" s="1548">
        <f t="shared" si="559"/>
        <v>699079.32117200759</v>
      </c>
      <c r="R212" s="1548">
        <f t="shared" si="560"/>
        <v>0</v>
      </c>
      <c r="S212" s="1549">
        <f t="shared" si="552"/>
        <v>3499079.3211720074</v>
      </c>
      <c r="T212" s="1535"/>
      <c r="U212" s="1714">
        <f t="shared" si="561"/>
        <v>314138</v>
      </c>
      <c r="V212" s="1714">
        <f t="shared" si="562"/>
        <v>4397932</v>
      </c>
      <c r="W212" s="1755"/>
      <c r="X212" s="1664"/>
      <c r="Y212" s="1648">
        <f t="shared" si="555"/>
        <v>4397932</v>
      </c>
      <c r="AA212" s="1756">
        <v>14</v>
      </c>
      <c r="AB212" s="1648"/>
    </row>
    <row r="213" spans="1:34" ht="10.5">
      <c r="A213" s="1512">
        <v>25</v>
      </c>
      <c r="B213" s="1513"/>
      <c r="C213" s="1517" t="s">
        <v>174</v>
      </c>
      <c r="D213" s="1518"/>
      <c r="E213" s="1519"/>
      <c r="F213" s="1519"/>
      <c r="G213" s="1519"/>
      <c r="H213" s="1519"/>
      <c r="I213" s="1519"/>
      <c r="J213" s="1519"/>
      <c r="K213" s="1519"/>
      <c r="L213" s="1519"/>
      <c r="M213" s="1520"/>
      <c r="N213" s="1519"/>
      <c r="O213" s="1519"/>
      <c r="P213" s="1519"/>
      <c r="Q213" s="1519"/>
      <c r="R213" s="1519"/>
      <c r="S213" s="1519"/>
      <c r="T213" s="1521">
        <f>SUM(S214:S215)</f>
        <v>60177188.148000002</v>
      </c>
      <c r="U213" s="1519"/>
      <c r="V213" s="1519"/>
      <c r="W213" s="1522">
        <f>SUM(V214:V215)</f>
        <v>75635672</v>
      </c>
      <c r="X213" s="1664">
        <f>+W213/$W$216</f>
        <v>6.7088422005343165E-2</v>
      </c>
      <c r="AF213" s="1648">
        <f>+W218/AC215</f>
        <v>1052405.965855594</v>
      </c>
    </row>
    <row r="214" spans="1:34" s="1693" customFormat="1" ht="10.5" outlineLevel="1">
      <c r="A214" s="1665">
        <v>25.01</v>
      </c>
      <c r="B214" s="1583" t="s">
        <v>28</v>
      </c>
      <c r="C214" s="1523" t="s">
        <v>1519</v>
      </c>
      <c r="D214" s="1691" t="s">
        <v>61</v>
      </c>
      <c r="E214" s="1524">
        <f>+GGBB!F4</f>
        <v>14</v>
      </c>
      <c r="F214" s="1557"/>
      <c r="G214" s="1557"/>
      <c r="H214" s="1525">
        <f>F214+G214</f>
        <v>0</v>
      </c>
      <c r="I214" s="1584">
        <f>+GGBB!J21</f>
        <v>3798370.5819999999</v>
      </c>
      <c r="J214" s="1557"/>
      <c r="K214" s="1525">
        <f t="shared" ref="K214:K215" si="585">I214+J214</f>
        <v>3798370.5819999999</v>
      </c>
      <c r="L214" s="1557"/>
      <c r="M214" s="1525">
        <f>H214+K214+L214</f>
        <v>3798370.5819999999</v>
      </c>
      <c r="N214" s="1526">
        <f t="shared" ref="N214:N215" si="586">F214*E214</f>
        <v>0</v>
      </c>
      <c r="O214" s="1526">
        <f t="shared" ref="O214:O215" si="587">G214*E214</f>
        <v>0</v>
      </c>
      <c r="P214" s="1526">
        <f t="shared" ref="P214:P215" si="588">I214*E214</f>
        <v>53177188.148000002</v>
      </c>
      <c r="Q214" s="1526">
        <f t="shared" ref="Q214:Q215" si="589">J214*E214</f>
        <v>0</v>
      </c>
      <c r="R214" s="1526">
        <f t="shared" ref="R214:R215" si="590">+L214*E214</f>
        <v>0</v>
      </c>
      <c r="S214" s="1527">
        <f t="shared" ref="S214:S215" si="591">SUM(N214:R214)</f>
        <v>53177188.148000002</v>
      </c>
      <c r="T214" s="1535"/>
      <c r="U214" s="1695">
        <f>+ROUNDUP(M214*$T$5,0)</f>
        <v>4774106</v>
      </c>
      <c r="V214" s="1694">
        <f>+U214*E214</f>
        <v>66837484</v>
      </c>
      <c r="W214" s="1571"/>
      <c r="Y214" s="1692">
        <f>+U214*AA214</f>
        <v>66837484</v>
      </c>
      <c r="AA214" s="1693">
        <v>14</v>
      </c>
      <c r="AB214" s="1692"/>
    </row>
    <row r="215" spans="1:34" s="1693" customFormat="1" ht="10.5" outlineLevel="1">
      <c r="A215" s="1675">
        <v>25.02</v>
      </c>
      <c r="B215" s="1573" t="s">
        <v>28</v>
      </c>
      <c r="C215" s="1542" t="s">
        <v>175</v>
      </c>
      <c r="D215" s="1700" t="s">
        <v>61</v>
      </c>
      <c r="E215" s="1547">
        <f>+GGBB!F4</f>
        <v>14</v>
      </c>
      <c r="F215" s="1569"/>
      <c r="G215" s="1569"/>
      <c r="H215" s="1544">
        <f>F215+G215</f>
        <v>0</v>
      </c>
      <c r="I215" s="1545">
        <f>GGBB!J27</f>
        <v>500000</v>
      </c>
      <c r="J215" s="1569"/>
      <c r="K215" s="1544">
        <f t="shared" si="585"/>
        <v>500000</v>
      </c>
      <c r="L215" s="1569"/>
      <c r="M215" s="1544">
        <f>H215+K215+L215</f>
        <v>500000</v>
      </c>
      <c r="N215" s="1548">
        <f t="shared" si="586"/>
        <v>0</v>
      </c>
      <c r="O215" s="1548">
        <f t="shared" si="587"/>
        <v>0</v>
      </c>
      <c r="P215" s="1548">
        <f t="shared" si="588"/>
        <v>7000000</v>
      </c>
      <c r="Q215" s="1548">
        <f t="shared" si="589"/>
        <v>0</v>
      </c>
      <c r="R215" s="1548">
        <f t="shared" si="590"/>
        <v>0</v>
      </c>
      <c r="S215" s="1549">
        <f t="shared" si="591"/>
        <v>7000000</v>
      </c>
      <c r="T215" s="1535"/>
      <c r="U215" s="1695">
        <f>+ROUNDUP(M215*$T$5,0)</f>
        <v>628442</v>
      </c>
      <c r="V215" s="1673">
        <f>+U215*E215</f>
        <v>8798188</v>
      </c>
      <c r="W215" s="1564"/>
      <c r="Y215" s="1692">
        <f>+AA215*U215</f>
        <v>8798188</v>
      </c>
      <c r="AA215" s="1693">
        <v>14</v>
      </c>
      <c r="AB215" s="1683">
        <v>0.15</v>
      </c>
      <c r="AC215" s="1654">
        <v>1150</v>
      </c>
      <c r="AD215" s="1654">
        <v>2000</v>
      </c>
    </row>
    <row r="216" spans="1:34" s="1697" customFormat="1" ht="10.5">
      <c r="A216" s="1512"/>
      <c r="B216" s="1513"/>
      <c r="C216" s="1517" t="s">
        <v>176</v>
      </c>
      <c r="D216" s="1518"/>
      <c r="E216" s="1519"/>
      <c r="F216" s="1519"/>
      <c r="G216" s="1519"/>
      <c r="H216" s="1519"/>
      <c r="I216" s="1519"/>
      <c r="J216" s="1519"/>
      <c r="K216" s="1519"/>
      <c r="L216" s="1519"/>
      <c r="M216" s="1520"/>
      <c r="N216" s="1521">
        <f t="shared" ref="N216:T216" si="592">SUM(N8:N215)</f>
        <v>152635787.39072511</v>
      </c>
      <c r="O216" s="1521">
        <f t="shared" si="592"/>
        <v>89943824.963067681</v>
      </c>
      <c r="P216" s="1521">
        <f t="shared" si="592"/>
        <v>466157734.73748004</v>
      </c>
      <c r="Q216" s="1521">
        <f t="shared" si="592"/>
        <v>167770803.14356178</v>
      </c>
      <c r="R216" s="1521">
        <f t="shared" si="592"/>
        <v>20534737.960315075</v>
      </c>
      <c r="S216" s="1521">
        <f t="shared" si="592"/>
        <v>897042888.19514966</v>
      </c>
      <c r="T216" s="1521">
        <f t="shared" si="592"/>
        <v>897042888.1951499</v>
      </c>
      <c r="U216" s="1519"/>
      <c r="V216" s="1521">
        <f>SUM(V8:V215)</f>
        <v>1127402758.0195</v>
      </c>
      <c r="W216" s="1522">
        <f>SUM(W8:W215)</f>
        <v>1127402758.0195</v>
      </c>
      <c r="X216" s="1664">
        <f>+W216/$W$216</f>
        <v>1</v>
      </c>
      <c r="Y216" s="1651">
        <f>+SUM(Y8:Y215)</f>
        <v>1127402758.0195</v>
      </c>
      <c r="Z216" s="1697">
        <f>+W216*0.95</f>
        <v>1071032620.1185249</v>
      </c>
      <c r="AB216" s="1648">
        <f>W218*AB215</f>
        <v>181540029.11008999</v>
      </c>
      <c r="AC216" s="1703">
        <f>AB216/AC215</f>
        <v>157860.89487833911</v>
      </c>
      <c r="AD216" s="1703">
        <f>AC216/AD215</f>
        <v>78.930447439169555</v>
      </c>
    </row>
    <row r="217" spans="1:34" s="1697" customFormat="1" ht="10.5">
      <c r="A217" s="1624"/>
      <c r="B217" s="1624"/>
      <c r="C217" s="1625"/>
      <c r="D217" s="1626"/>
      <c r="E217" s="1627">
        <v>0.105</v>
      </c>
      <c r="F217" s="1628"/>
      <c r="G217" s="1628"/>
      <c r="H217" s="1628"/>
      <c r="I217" s="1628"/>
      <c r="J217" s="1628"/>
      <c r="K217" s="1628"/>
      <c r="L217" s="1629"/>
      <c r="M217" s="1629"/>
      <c r="N217" s="1629"/>
      <c r="O217" s="1629"/>
      <c r="P217" s="1629"/>
      <c r="Q217" s="1629"/>
      <c r="R217" s="1629"/>
      <c r="S217" s="1629"/>
      <c r="T217" s="1630"/>
      <c r="U217" s="1759"/>
      <c r="V217" s="1759"/>
      <c r="W217" s="1630">
        <f>E217*W216*0.7</f>
        <v>82864102.714433238</v>
      </c>
      <c r="X217" s="1664"/>
      <c r="Y217" s="1651"/>
      <c r="AB217" s="1651"/>
    </row>
    <row r="218" spans="1:34" ht="12.75" customHeight="1">
      <c r="A218" s="1737"/>
      <c r="B218" s="1737"/>
      <c r="C218" s="1631"/>
      <c r="D218" s="1760"/>
      <c r="E218" s="1761"/>
      <c r="F218" s="1509"/>
      <c r="G218" s="1509"/>
      <c r="H218" s="1509"/>
      <c r="I218" s="1509"/>
      <c r="J218" s="1509"/>
      <c r="K218" s="1509"/>
      <c r="L218" s="1603"/>
      <c r="M218" s="1509"/>
      <c r="N218" s="1509"/>
      <c r="O218" s="1509"/>
      <c r="P218" s="1509"/>
      <c r="Q218" s="1509"/>
      <c r="R218" s="1509"/>
      <c r="S218" s="1509"/>
      <c r="T218" s="1632"/>
      <c r="U218" s="1509"/>
      <c r="V218" s="1509"/>
      <c r="W218" s="1762">
        <f>W217+W216</f>
        <v>1210266860.7339332</v>
      </c>
      <c r="Y218" s="1763">
        <v>1138195271.5160999</v>
      </c>
      <c r="AE218" s="1654">
        <v>2000</v>
      </c>
    </row>
    <row r="219" spans="1:34" ht="12.75" customHeight="1">
      <c r="A219" s="1512"/>
      <c r="B219" s="1513"/>
      <c r="C219" s="1764" t="s">
        <v>177</v>
      </c>
      <c r="D219" s="1765" t="s">
        <v>4</v>
      </c>
      <c r="E219" s="1766">
        <f>+INFO.!C6</f>
        <v>1618.5</v>
      </c>
      <c r="F219" s="1733"/>
      <c r="G219" s="1733"/>
      <c r="H219" s="1733"/>
      <c r="I219" s="1767"/>
      <c r="J219" s="1767"/>
      <c r="K219" s="1733"/>
      <c r="L219" s="1768"/>
      <c r="M219" s="1733"/>
      <c r="N219" s="1733"/>
      <c r="O219" s="1733"/>
      <c r="P219" s="1733"/>
      <c r="Q219" s="1733"/>
      <c r="R219" s="1769" t="s">
        <v>17</v>
      </c>
      <c r="S219" s="1770">
        <f>+T219/E219</f>
        <v>473.71227880365643</v>
      </c>
      <c r="T219" s="1771">
        <f>+T216/GGBB!H4</f>
        <v>766703.3232437179</v>
      </c>
      <c r="U219" s="1769" t="s">
        <v>17</v>
      </c>
      <c r="V219" s="1772">
        <f>+W219/E219</f>
        <v>595.36119917909639</v>
      </c>
      <c r="W219" s="1773">
        <f>W216/W2</f>
        <v>963592.1008713675</v>
      </c>
      <c r="X219" s="1664"/>
      <c r="Z219" s="1680"/>
      <c r="AA219" s="1654" t="s">
        <v>1946</v>
      </c>
      <c r="AB219" s="1648">
        <v>72</v>
      </c>
      <c r="AC219" s="1654">
        <v>11</v>
      </c>
      <c r="AD219" s="1703">
        <f>+AC219+AB219</f>
        <v>83</v>
      </c>
      <c r="AE219" s="1654">
        <f>+AD219*$AE$218</f>
        <v>166000</v>
      </c>
      <c r="AF219" s="1654">
        <v>20000</v>
      </c>
      <c r="AG219" s="1654">
        <f>+AF219+AE219</f>
        <v>186000</v>
      </c>
      <c r="AH219" s="1683">
        <f>+AG219/$AF$213</f>
        <v>0.17673788066070503</v>
      </c>
    </row>
    <row r="220" spans="1:34" ht="12.75" customHeight="1">
      <c r="A220" s="1633"/>
      <c r="B220" s="1634"/>
      <c r="C220" s="1774"/>
      <c r="E220" s="1511"/>
      <c r="F220" s="1775"/>
      <c r="G220" s="1775"/>
      <c r="H220" s="1775"/>
      <c r="I220" s="1776"/>
      <c r="J220" s="1776"/>
      <c r="K220" s="1775"/>
      <c r="L220" s="1777"/>
      <c r="M220" s="1775"/>
      <c r="N220" s="1775"/>
      <c r="O220" s="1775"/>
      <c r="P220" s="1775"/>
      <c r="Q220" s="1778"/>
      <c r="R220" s="1779"/>
      <c r="S220" s="1780"/>
      <c r="T220" s="1781"/>
      <c r="U220" s="1779"/>
      <c r="V220" s="1782"/>
      <c r="W220" s="1783"/>
      <c r="X220" s="1664"/>
      <c r="Z220" s="1680"/>
      <c r="AA220" s="1654" t="s">
        <v>2442</v>
      </c>
      <c r="AB220" s="1648">
        <v>37</v>
      </c>
      <c r="AC220" s="1654">
        <v>5</v>
      </c>
      <c r="AD220" s="1703">
        <f>+AC220+AB220</f>
        <v>42</v>
      </c>
      <c r="AE220" s="1654">
        <f>+AD220*$AE$218</f>
        <v>84000</v>
      </c>
      <c r="AH220" s="1683">
        <f>+AE220/$AF$213</f>
        <v>7.9817107395157114E-2</v>
      </c>
    </row>
    <row r="221" spans="1:34" ht="12.75" customHeight="1">
      <c r="A221" s="1512">
        <v>26</v>
      </c>
      <c r="B221" s="1513"/>
      <c r="C221" s="1784" t="s">
        <v>2433</v>
      </c>
      <c r="D221" s="1765"/>
      <c r="E221" s="1521"/>
      <c r="F221" s="1785"/>
      <c r="G221" s="1785"/>
      <c r="H221" s="1785"/>
      <c r="I221" s="1786"/>
      <c r="J221" s="1786"/>
      <c r="K221" s="1785"/>
      <c r="L221" s="1768"/>
      <c r="M221" s="1785"/>
      <c r="N221" s="1785"/>
      <c r="O221" s="1785"/>
      <c r="P221" s="1785"/>
      <c r="Q221" s="1785"/>
      <c r="R221" s="1787"/>
      <c r="S221" s="1788"/>
      <c r="T221" s="1789">
        <f>+SUM(S222:S229)</f>
        <v>224067752.32749999</v>
      </c>
      <c r="U221" s="1787"/>
      <c r="V221" s="1790"/>
      <c r="W221" s="1522">
        <f>SUM(V222:V229)</f>
        <v>224072082</v>
      </c>
      <c r="X221" s="1664"/>
      <c r="Y221" s="1648">
        <v>170000</v>
      </c>
      <c r="Z221" s="1683">
        <f>+Y221/W216</f>
        <v>1.5078905811676186E-4</v>
      </c>
    </row>
    <row r="222" spans="1:34" ht="12.75" customHeight="1">
      <c r="A222" s="1583">
        <v>26.01</v>
      </c>
      <c r="B222" s="1635"/>
      <c r="C222" s="1750" t="s">
        <v>2335</v>
      </c>
      <c r="D222" s="1667" t="s">
        <v>257</v>
      </c>
      <c r="E222" s="1668">
        <f>+'H°A° '!O15</f>
        <v>71835</v>
      </c>
      <c r="F222" s="1791">
        <f>+'H°A° '!E40</f>
        <v>1675.9465</v>
      </c>
      <c r="G222" s="1791"/>
      <c r="H222" s="1525">
        <f>F222+G222</f>
        <v>1675.9465</v>
      </c>
      <c r="I222" s="1584">
        <f>+GGBB!J28</f>
        <v>0</v>
      </c>
      <c r="J222" s="1557"/>
      <c r="K222" s="1525">
        <f t="shared" ref="K222:K224" si="593">I222+J222</f>
        <v>0</v>
      </c>
      <c r="L222" s="1557"/>
      <c r="M222" s="1525">
        <f>H222+K222+L222</f>
        <v>1675.9465</v>
      </c>
      <c r="N222" s="1526">
        <f t="shared" ref="N222:N223" si="594">F222*E222</f>
        <v>120391616.8275</v>
      </c>
      <c r="O222" s="1526">
        <f t="shared" ref="O222:O223" si="595">G222*E222</f>
        <v>0</v>
      </c>
      <c r="P222" s="1526">
        <f t="shared" ref="P222:P223" si="596">I222*E222</f>
        <v>0</v>
      </c>
      <c r="Q222" s="1526">
        <f t="shared" ref="Q222:Q223" si="597">J222*E222</f>
        <v>0</v>
      </c>
      <c r="R222" s="1526">
        <f t="shared" ref="R222:R223" si="598">+L222*E222</f>
        <v>0</v>
      </c>
      <c r="S222" s="1527">
        <f t="shared" ref="S222:S223" si="599">SUM(N222:R222)</f>
        <v>120391616.8275</v>
      </c>
      <c r="T222" s="1528"/>
      <c r="U222" s="1695">
        <f>+ROUNDUP(M222*$T$4,0)</f>
        <v>1676</v>
      </c>
      <c r="V222" s="1669">
        <f>+U222*E222</f>
        <v>120395460</v>
      </c>
      <c r="W222" s="1792"/>
      <c r="X222" s="1664"/>
      <c r="Z222" s="1680"/>
    </row>
    <row r="223" spans="1:34" ht="12.75" customHeight="1">
      <c r="A223" s="1529">
        <v>26.02</v>
      </c>
      <c r="B223" s="1636"/>
      <c r="C223" s="1793" t="s">
        <v>2435</v>
      </c>
      <c r="D223" s="1671" t="s">
        <v>66</v>
      </c>
      <c r="E223" s="1672">
        <f>+'H°A° '!L29</f>
        <v>641</v>
      </c>
      <c r="F223" s="1707">
        <f>+'H°A° '!M29</f>
        <v>161741.24102964118</v>
      </c>
      <c r="G223" s="1707"/>
      <c r="H223" s="1532">
        <f>F223+G223</f>
        <v>161741.24102964118</v>
      </c>
      <c r="I223" s="1539">
        <f>GGBB!J34</f>
        <v>0</v>
      </c>
      <c r="J223" s="1560"/>
      <c r="K223" s="1532">
        <f t="shared" si="593"/>
        <v>0</v>
      </c>
      <c r="L223" s="1560"/>
      <c r="M223" s="1532">
        <f>H223+K223+L223</f>
        <v>161741.24102964118</v>
      </c>
      <c r="N223" s="1533">
        <f t="shared" si="594"/>
        <v>103676135.5</v>
      </c>
      <c r="O223" s="1533">
        <f t="shared" si="595"/>
        <v>0</v>
      </c>
      <c r="P223" s="1533">
        <f t="shared" si="596"/>
        <v>0</v>
      </c>
      <c r="Q223" s="1533">
        <f t="shared" si="597"/>
        <v>0</v>
      </c>
      <c r="R223" s="1533">
        <f t="shared" si="598"/>
        <v>0</v>
      </c>
      <c r="S223" s="1534">
        <f t="shared" si="599"/>
        <v>103676135.5</v>
      </c>
      <c r="T223" s="1535"/>
      <c r="U223" s="1695">
        <f>+ROUNDUP(M223*$T$4,0)</f>
        <v>161742</v>
      </c>
      <c r="V223" s="1673">
        <f>+U223*E223</f>
        <v>103676622</v>
      </c>
      <c r="W223" s="1792"/>
      <c r="X223" s="1664"/>
      <c r="Z223" s="1680"/>
    </row>
    <row r="224" spans="1:34" ht="12.75" customHeight="1">
      <c r="A224" s="1529">
        <v>26.03</v>
      </c>
      <c r="B224" s="1636"/>
      <c r="C224" s="1740" t="s">
        <v>2557</v>
      </c>
      <c r="D224" s="1710" t="s">
        <v>54</v>
      </c>
      <c r="E224" s="1794">
        <v>1</v>
      </c>
      <c r="F224" s="1707"/>
      <c r="G224" s="1707"/>
      <c r="H224" s="1532">
        <f>F224+G224</f>
        <v>0</v>
      </c>
      <c r="I224" s="1539"/>
      <c r="J224" s="1560"/>
      <c r="K224" s="1532">
        <f t="shared" si="593"/>
        <v>0</v>
      </c>
      <c r="L224" s="1560"/>
      <c r="M224" s="1532">
        <f>H224+K224+L224</f>
        <v>0</v>
      </c>
      <c r="N224" s="1533">
        <f t="shared" ref="N224" si="600">F224*E224</f>
        <v>0</v>
      </c>
      <c r="O224" s="1533">
        <f t="shared" ref="O224" si="601">G224*E224</f>
        <v>0</v>
      </c>
      <c r="P224" s="1533">
        <f t="shared" ref="P224" si="602">I224*E224</f>
        <v>0</v>
      </c>
      <c r="Q224" s="1533">
        <f t="shared" ref="Q224" si="603">J224*E224</f>
        <v>0</v>
      </c>
      <c r="R224" s="1533">
        <f t="shared" ref="R224" si="604">+L224*E224</f>
        <v>0</v>
      </c>
      <c r="S224" s="1534">
        <f t="shared" ref="S224" si="605">SUM(N224:R224)</f>
        <v>0</v>
      </c>
      <c r="T224" s="1535"/>
      <c r="U224" s="1695">
        <f>+ROUNDUP(M224*$T$4,0)</f>
        <v>0</v>
      </c>
      <c r="V224" s="1673">
        <f>+U224*E224</f>
        <v>0</v>
      </c>
      <c r="W224" s="1792"/>
      <c r="X224" s="1664"/>
      <c r="Z224" s="1680"/>
      <c r="AB224" s="1648">
        <v>30000000</v>
      </c>
      <c r="AC224" s="1738">
        <f>+AB224/W216</f>
        <v>2.6609833785310916E-2</v>
      </c>
    </row>
    <row r="225" spans="1:29" ht="12.75" customHeight="1">
      <c r="A225" s="1529">
        <v>26.04</v>
      </c>
      <c r="B225" s="1636"/>
      <c r="C225" s="1740" t="s">
        <v>2558</v>
      </c>
      <c r="D225" s="1710" t="s">
        <v>77</v>
      </c>
      <c r="E225" s="1794">
        <v>6</v>
      </c>
      <c r="F225" s="1707"/>
      <c r="G225" s="1707"/>
      <c r="H225" s="1532">
        <f t="shared" ref="H225:H228" si="606">F225+G225</f>
        <v>0</v>
      </c>
      <c r="I225" s="1539"/>
      <c r="J225" s="1560"/>
      <c r="K225" s="1532">
        <f t="shared" ref="K225:K228" si="607">I225+J225</f>
        <v>0</v>
      </c>
      <c r="L225" s="1560"/>
      <c r="M225" s="1532">
        <f t="shared" ref="M225:M228" si="608">H225+K225+L225</f>
        <v>0</v>
      </c>
      <c r="N225" s="1533">
        <f t="shared" ref="N225:N228" si="609">F225*E225</f>
        <v>0</v>
      </c>
      <c r="O225" s="1533">
        <f t="shared" ref="O225:O228" si="610">G225*E225</f>
        <v>0</v>
      </c>
      <c r="P225" s="1533">
        <f t="shared" ref="P225:P228" si="611">I225*E225</f>
        <v>0</v>
      </c>
      <c r="Q225" s="1533">
        <f t="shared" ref="Q225:Q228" si="612">J225*E225</f>
        <v>0</v>
      </c>
      <c r="R225" s="1533">
        <f t="shared" ref="R225:R228" si="613">+L225*E225</f>
        <v>0</v>
      </c>
      <c r="S225" s="1534">
        <f t="shared" ref="S225:S228" si="614">SUM(N225:R225)</f>
        <v>0</v>
      </c>
      <c r="T225" s="1535"/>
      <c r="U225" s="1695">
        <f t="shared" ref="U225:U228" si="615">+ROUNDUP(M225*$T$4,0)</f>
        <v>0</v>
      </c>
      <c r="V225" s="1673">
        <f t="shared" ref="V225:V228" si="616">+U225*E225</f>
        <v>0</v>
      </c>
      <c r="W225" s="1792"/>
      <c r="X225" s="1664"/>
      <c r="Z225" s="1680"/>
      <c r="AB225" s="1648">
        <v>11000000</v>
      </c>
      <c r="AC225" s="1738">
        <f>+AB225/W216</f>
        <v>9.7569390546140035E-3</v>
      </c>
    </row>
    <row r="226" spans="1:29" ht="12.75" customHeight="1">
      <c r="A226" s="1529">
        <v>26.05</v>
      </c>
      <c r="B226" s="1636"/>
      <c r="C226" s="1740" t="s">
        <v>2559</v>
      </c>
      <c r="D226" s="1710" t="s">
        <v>77</v>
      </c>
      <c r="E226" s="1794">
        <v>2</v>
      </c>
      <c r="F226" s="1707"/>
      <c r="G226" s="1707"/>
      <c r="H226" s="1532">
        <f t="shared" si="606"/>
        <v>0</v>
      </c>
      <c r="I226" s="1539"/>
      <c r="J226" s="1560"/>
      <c r="K226" s="1532">
        <f t="shared" si="607"/>
        <v>0</v>
      </c>
      <c r="L226" s="1560"/>
      <c r="M226" s="1532">
        <f t="shared" si="608"/>
        <v>0</v>
      </c>
      <c r="N226" s="1533">
        <f t="shared" si="609"/>
        <v>0</v>
      </c>
      <c r="O226" s="1533">
        <f t="shared" si="610"/>
        <v>0</v>
      </c>
      <c r="P226" s="1533">
        <f t="shared" si="611"/>
        <v>0</v>
      </c>
      <c r="Q226" s="1533">
        <f t="shared" si="612"/>
        <v>0</v>
      </c>
      <c r="R226" s="1533">
        <f t="shared" si="613"/>
        <v>0</v>
      </c>
      <c r="S226" s="1534">
        <f t="shared" si="614"/>
        <v>0</v>
      </c>
      <c r="T226" s="1535"/>
      <c r="U226" s="1695">
        <f t="shared" si="615"/>
        <v>0</v>
      </c>
      <c r="V226" s="1673">
        <f t="shared" si="616"/>
        <v>0</v>
      </c>
      <c r="W226" s="1792"/>
      <c r="X226" s="1664"/>
      <c r="Z226" s="1680"/>
    </row>
    <row r="227" spans="1:29" ht="12.75" customHeight="1">
      <c r="A227" s="1529">
        <v>26.06</v>
      </c>
      <c r="B227" s="1636"/>
      <c r="C227" s="1740" t="s">
        <v>2560</v>
      </c>
      <c r="D227" s="1710" t="s">
        <v>77</v>
      </c>
      <c r="E227" s="1794">
        <v>5</v>
      </c>
      <c r="F227" s="1707"/>
      <c r="G227" s="1707"/>
      <c r="H227" s="1532">
        <f t="shared" si="606"/>
        <v>0</v>
      </c>
      <c r="I227" s="1539"/>
      <c r="J227" s="1560"/>
      <c r="K227" s="1532">
        <f t="shared" si="607"/>
        <v>0</v>
      </c>
      <c r="L227" s="1560"/>
      <c r="M227" s="1532">
        <f t="shared" si="608"/>
        <v>0</v>
      </c>
      <c r="N227" s="1533">
        <f t="shared" si="609"/>
        <v>0</v>
      </c>
      <c r="O227" s="1533">
        <f t="shared" si="610"/>
        <v>0</v>
      </c>
      <c r="P227" s="1533">
        <f t="shared" si="611"/>
        <v>0</v>
      </c>
      <c r="Q227" s="1533">
        <f t="shared" si="612"/>
        <v>0</v>
      </c>
      <c r="R227" s="1533">
        <f t="shared" si="613"/>
        <v>0</v>
      </c>
      <c r="S227" s="1534">
        <f t="shared" si="614"/>
        <v>0</v>
      </c>
      <c r="T227" s="1535"/>
      <c r="U227" s="1695">
        <f t="shared" si="615"/>
        <v>0</v>
      </c>
      <c r="V227" s="1673">
        <f t="shared" si="616"/>
        <v>0</v>
      </c>
      <c r="W227" s="1792"/>
      <c r="X227" s="1664"/>
      <c r="Z227" s="1680"/>
    </row>
    <row r="228" spans="1:29" ht="12.75" customHeight="1">
      <c r="A228" s="1529">
        <v>26.07</v>
      </c>
      <c r="B228" s="1636"/>
      <c r="C228" s="1740" t="s">
        <v>2561</v>
      </c>
      <c r="D228" s="1710" t="s">
        <v>77</v>
      </c>
      <c r="E228" s="1794">
        <v>1</v>
      </c>
      <c r="F228" s="1707"/>
      <c r="G228" s="1707"/>
      <c r="H228" s="1532">
        <f t="shared" si="606"/>
        <v>0</v>
      </c>
      <c r="I228" s="1539"/>
      <c r="J228" s="1560"/>
      <c r="K228" s="1532">
        <f t="shared" si="607"/>
        <v>0</v>
      </c>
      <c r="L228" s="1560"/>
      <c r="M228" s="1532">
        <f t="shared" si="608"/>
        <v>0</v>
      </c>
      <c r="N228" s="1533">
        <f t="shared" si="609"/>
        <v>0</v>
      </c>
      <c r="O228" s="1533">
        <f t="shared" si="610"/>
        <v>0</v>
      </c>
      <c r="P228" s="1533">
        <f t="shared" si="611"/>
        <v>0</v>
      </c>
      <c r="Q228" s="1533">
        <f t="shared" si="612"/>
        <v>0</v>
      </c>
      <c r="R228" s="1533">
        <f t="shared" si="613"/>
        <v>0</v>
      </c>
      <c r="S228" s="1534">
        <f t="shared" si="614"/>
        <v>0</v>
      </c>
      <c r="T228" s="1535"/>
      <c r="U228" s="1695">
        <f t="shared" si="615"/>
        <v>0</v>
      </c>
      <c r="V228" s="1673">
        <f t="shared" si="616"/>
        <v>0</v>
      </c>
      <c r="W228" s="1792"/>
      <c r="X228" s="1664"/>
      <c r="Z228" s="1680"/>
    </row>
    <row r="229" spans="1:29" ht="12.75" customHeight="1">
      <c r="A229" s="1573">
        <v>26.08</v>
      </c>
      <c r="B229" s="1637"/>
      <c r="C229" s="1741" t="s">
        <v>2441</v>
      </c>
      <c r="D229" s="1713" t="s">
        <v>1741</v>
      </c>
      <c r="E229" s="1795">
        <v>0</v>
      </c>
      <c r="F229" s="1796">
        <f>+SUM(N222:R228)</f>
        <v>224067752.32749999</v>
      </c>
      <c r="G229" s="1796"/>
      <c r="H229" s="1544">
        <f>F229+G229</f>
        <v>224067752.32749999</v>
      </c>
      <c r="I229" s="1545"/>
      <c r="J229" s="1569"/>
      <c r="K229" s="1544">
        <f>I229+J229</f>
        <v>0</v>
      </c>
      <c r="L229" s="1569"/>
      <c r="M229" s="1544">
        <f>H229+K229+L229</f>
        <v>224067752.32749999</v>
      </c>
      <c r="N229" s="1548">
        <f>F229*E229</f>
        <v>0</v>
      </c>
      <c r="O229" s="1548">
        <f>G229*E229</f>
        <v>0</v>
      </c>
      <c r="P229" s="1548">
        <f>I229*E229</f>
        <v>0</v>
      </c>
      <c r="Q229" s="1548">
        <f>J229*E229</f>
        <v>0</v>
      </c>
      <c r="R229" s="1548">
        <f>+L229*E229</f>
        <v>0</v>
      </c>
      <c r="S229" s="1549">
        <f>SUM(N229:R229)</f>
        <v>0</v>
      </c>
      <c r="T229" s="1589"/>
      <c r="U229" s="1695">
        <f>+ROUNDUP(M229*$T$4,0)</f>
        <v>224067753</v>
      </c>
      <c r="V229" s="1673">
        <f>+U229*E229</f>
        <v>0</v>
      </c>
      <c r="W229" s="1792"/>
      <c r="X229" s="1664"/>
      <c r="Y229" s="1797">
        <f>V229/W232</f>
        <v>0</v>
      </c>
      <c r="Z229" s="1680"/>
    </row>
    <row r="230" spans="1:29" ht="10.5">
      <c r="A230" s="1512"/>
      <c r="B230" s="1513"/>
      <c r="C230" s="1517"/>
      <c r="D230" s="1518"/>
      <c r="E230" s="1519"/>
      <c r="F230" s="1519"/>
      <c r="G230" s="1519"/>
      <c r="H230" s="1519"/>
      <c r="I230" s="1519"/>
      <c r="J230" s="1519"/>
      <c r="K230" s="1519"/>
      <c r="L230" s="1519"/>
      <c r="M230" s="1520"/>
      <c r="N230" s="1521">
        <f>+SUM(N221:N229)</f>
        <v>224067752.32749999</v>
      </c>
      <c r="O230" s="1521">
        <f t="shared" ref="O230:T230" si="617">+SUM(O221:O229)</f>
        <v>0</v>
      </c>
      <c r="P230" s="1521">
        <f t="shared" si="617"/>
        <v>0</v>
      </c>
      <c r="Q230" s="1521">
        <f t="shared" si="617"/>
        <v>0</v>
      </c>
      <c r="R230" s="1521">
        <f t="shared" si="617"/>
        <v>0</v>
      </c>
      <c r="S230" s="1521">
        <f t="shared" si="617"/>
        <v>224067752.32749999</v>
      </c>
      <c r="T230" s="1521">
        <f t="shared" si="617"/>
        <v>224067752.32749999</v>
      </c>
      <c r="U230" s="1519"/>
      <c r="V230" s="1521">
        <f>+SUM(V221:V229)</f>
        <v>224072082</v>
      </c>
      <c r="W230" s="1522">
        <f>+SUM(W221:W229)</f>
        <v>224072082</v>
      </c>
    </row>
    <row r="231" spans="1:29" ht="10.5">
      <c r="A231" s="1634"/>
      <c r="B231" s="1634"/>
      <c r="C231" s="1638"/>
      <c r="D231" s="1492"/>
      <c r="E231" s="1493"/>
      <c r="F231" s="1493"/>
      <c r="G231" s="1493"/>
      <c r="H231" s="1493"/>
      <c r="I231" s="1493"/>
      <c r="J231" s="1493"/>
      <c r="K231" s="1493"/>
      <c r="L231" s="1493"/>
      <c r="M231" s="1639"/>
      <c r="N231" s="1487"/>
      <c r="O231" s="1487"/>
      <c r="P231" s="1487"/>
      <c r="Q231" s="1487"/>
      <c r="R231" s="1521"/>
      <c r="S231" s="1521"/>
      <c r="T231" s="1521"/>
      <c r="U231" s="1493"/>
      <c r="V231" s="1487"/>
      <c r="W231" s="1487"/>
    </row>
    <row r="232" spans="1:29" ht="10.5">
      <c r="A232" s="1512"/>
      <c r="B232" s="1513"/>
      <c r="C232" s="1798"/>
      <c r="D232" s="1765"/>
      <c r="E232" s="1799"/>
      <c r="F232" s="1733"/>
      <c r="G232" s="1733"/>
      <c r="H232" s="1733"/>
      <c r="I232" s="1767"/>
      <c r="J232" s="1767"/>
      <c r="K232" s="1733"/>
      <c r="L232" s="1768"/>
      <c r="M232" s="1733"/>
      <c r="N232" s="1733"/>
      <c r="O232" s="1733"/>
      <c r="P232" s="1733"/>
      <c r="Q232" s="1733"/>
      <c r="R232" s="1769" t="s">
        <v>17</v>
      </c>
      <c r="S232" s="1770">
        <f>+T232/E219</f>
        <v>118.32616584813942</v>
      </c>
      <c r="T232" s="1771">
        <f>+T230/GGBB!H4</f>
        <v>191510.89942521366</v>
      </c>
      <c r="U232" s="1787"/>
      <c r="V232" s="1790"/>
      <c r="W232" s="1773">
        <f>+W216+W230</f>
        <v>1351474840.0195</v>
      </c>
      <c r="Y232" s="1640">
        <v>1380607239.4391999</v>
      </c>
      <c r="Z232" s="1800">
        <f>W232/Y232</f>
        <v>0.97889885074662264</v>
      </c>
    </row>
    <row r="233" spans="1:29" ht="10.5">
      <c r="A233" s="1634"/>
      <c r="B233" s="1634"/>
      <c r="C233" s="1654"/>
      <c r="E233" s="1487"/>
      <c r="F233" s="1778"/>
      <c r="G233" s="1778"/>
      <c r="H233" s="1778"/>
      <c r="I233" s="1801"/>
      <c r="J233" s="1801"/>
      <c r="K233" s="1778"/>
      <c r="L233" s="1777"/>
      <c r="M233" s="1778"/>
      <c r="N233" s="1778"/>
      <c r="O233" s="1778"/>
      <c r="P233" s="1778"/>
      <c r="Q233" s="1778"/>
      <c r="R233" s="1779"/>
      <c r="S233" s="1780"/>
      <c r="T233" s="1781"/>
      <c r="U233" s="1779"/>
      <c r="V233" s="1802"/>
      <c r="W233" s="1803"/>
    </row>
    <row r="234" spans="1:29" ht="10.5">
      <c r="A234" s="1512"/>
      <c r="B234" s="1513"/>
      <c r="C234" s="1798"/>
      <c r="D234" s="1765"/>
      <c r="E234" s="1799"/>
      <c r="F234" s="1733"/>
      <c r="G234" s="1733"/>
      <c r="H234" s="1733"/>
      <c r="I234" s="1767"/>
      <c r="J234" s="1767"/>
      <c r="K234" s="1733"/>
      <c r="L234" s="1768"/>
      <c r="M234" s="1733"/>
      <c r="N234" s="1733"/>
      <c r="O234" s="1733"/>
      <c r="P234" s="1733"/>
      <c r="Q234" s="1733"/>
      <c r="R234" s="1769" t="s">
        <v>17</v>
      </c>
      <c r="S234" s="1770">
        <f>+T234/E219</f>
        <v>592.03844465179588</v>
      </c>
      <c r="T234" s="1771">
        <f>+T232+T219</f>
        <v>958214.22266893159</v>
      </c>
      <c r="U234" s="1769" t="s">
        <v>17</v>
      </c>
      <c r="V234" s="1772">
        <f>+W234/E219</f>
        <v>713.6896514497173</v>
      </c>
      <c r="W234" s="1773">
        <f>W232/W2</f>
        <v>1155106.7008713675</v>
      </c>
    </row>
    <row r="235" spans="1:29" ht="12.75" customHeight="1">
      <c r="A235" s="1804"/>
      <c r="B235" s="1804"/>
      <c r="C235" s="1641"/>
      <c r="E235" s="1805"/>
      <c r="F235" s="1493"/>
      <c r="G235" s="1493"/>
      <c r="H235" s="1493"/>
      <c r="I235" s="1493"/>
      <c r="J235" s="1493"/>
      <c r="K235" s="1493"/>
      <c r="L235" s="1495"/>
      <c r="M235" s="1493"/>
      <c r="N235" s="1493"/>
      <c r="O235" s="1493"/>
      <c r="P235" s="1493"/>
      <c r="Q235" s="1493"/>
      <c r="R235" s="1493"/>
      <c r="S235" s="1493"/>
      <c r="T235" s="1487"/>
      <c r="U235" s="1493"/>
      <c r="V235" s="1493"/>
    </row>
    <row r="236" spans="1:29" ht="12.75" customHeight="1">
      <c r="A236" s="1806"/>
      <c r="B236" s="1806"/>
      <c r="C236" s="1807" t="s">
        <v>186</v>
      </c>
    </row>
    <row r="237" spans="1:29" ht="12.75" customHeight="1">
      <c r="A237" s="1806"/>
      <c r="B237" s="1806"/>
      <c r="C237" s="1642" t="s">
        <v>2434</v>
      </c>
    </row>
    <row r="238" spans="1:29" ht="12.75" customHeight="1">
      <c r="A238" s="1806"/>
      <c r="B238" s="1806"/>
      <c r="C238" s="1807"/>
    </row>
    <row r="239" spans="1:29" ht="12.75" customHeight="1">
      <c r="G239" s="1654"/>
    </row>
    <row r="240" spans="1:29" ht="12.75" customHeight="1">
      <c r="G240" s="1654"/>
    </row>
    <row r="242" spans="1:23" ht="12.75" customHeight="1">
      <c r="A242" s="1512">
        <v>27</v>
      </c>
      <c r="B242" s="1513"/>
      <c r="C242" s="1784" t="s">
        <v>534</v>
      </c>
      <c r="D242" s="1765"/>
      <c r="E242" s="1521"/>
      <c r="F242" s="1785"/>
      <c r="G242" s="1785"/>
      <c r="H242" s="1785"/>
      <c r="I242" s="1786"/>
      <c r="J242" s="1786"/>
      <c r="K242" s="1785"/>
      <c r="L242" s="1768"/>
      <c r="M242" s="1785"/>
      <c r="N242" s="1785"/>
      <c r="O242" s="1785"/>
      <c r="P242" s="1785"/>
      <c r="Q242" s="1785"/>
      <c r="R242" s="1787"/>
      <c r="S242" s="1788"/>
      <c r="T242" s="1789">
        <f>+SUM(S243:S245)</f>
        <v>10301340.803831734</v>
      </c>
      <c r="U242" s="1787"/>
      <c r="V242" s="1790"/>
      <c r="W242" s="1522">
        <f>SUM(V243:V245)</f>
        <v>12189082</v>
      </c>
    </row>
    <row r="243" spans="1:23" ht="12.75" customHeight="1">
      <c r="A243" s="1583">
        <v>27.01</v>
      </c>
      <c r="B243" s="1635"/>
      <c r="C243" s="1750" t="s">
        <v>2453</v>
      </c>
      <c r="D243" s="1667" t="s">
        <v>77</v>
      </c>
      <c r="E243" s="1668">
        <v>18</v>
      </c>
      <c r="F243" s="1791">
        <v>15000</v>
      </c>
      <c r="G243" s="1791"/>
      <c r="H243" s="1525">
        <f>F243+G243</f>
        <v>15000</v>
      </c>
      <c r="I243" s="1584">
        <f>+'P.MO 09.24'!B4</f>
        <v>75113.048226571977</v>
      </c>
      <c r="J243" s="1557"/>
      <c r="K243" s="1525">
        <f t="shared" ref="K243:K245" si="618">I243+J243</f>
        <v>75113.048226571977</v>
      </c>
      <c r="L243" s="1557"/>
      <c r="M243" s="1525">
        <f>H243+K243+L243</f>
        <v>90113.048226571977</v>
      </c>
      <c r="N243" s="1526">
        <f t="shared" ref="N243:N245" si="619">F243*E243</f>
        <v>270000</v>
      </c>
      <c r="O243" s="1526">
        <f t="shared" ref="O243:O245" si="620">G243*E243</f>
        <v>0</v>
      </c>
      <c r="P243" s="1526">
        <f t="shared" ref="P243:P245" si="621">I243*E243</f>
        <v>1352034.8680782956</v>
      </c>
      <c r="Q243" s="1526">
        <f t="shared" ref="Q243:Q245" si="622">J243*E243</f>
        <v>0</v>
      </c>
      <c r="R243" s="1526">
        <f t="shared" ref="R243:R245" si="623">+L243*E243</f>
        <v>0</v>
      </c>
      <c r="S243" s="1527">
        <f t="shared" ref="S243:S244" si="624">SUM(N243:R243)</f>
        <v>1622034.8680782956</v>
      </c>
      <c r="T243" s="1528"/>
      <c r="U243" s="1695">
        <f>+ROUNDUP(M243*$T$5,0)</f>
        <v>113262</v>
      </c>
      <c r="V243" s="1669">
        <f>+U243*E243</f>
        <v>2038716</v>
      </c>
      <c r="W243" s="1792"/>
    </row>
    <row r="244" spans="1:23" ht="12.75" customHeight="1">
      <c r="A244" s="1529">
        <v>27.02</v>
      </c>
      <c r="B244" s="1636"/>
      <c r="C244" s="1793" t="s">
        <v>2457</v>
      </c>
      <c r="D244" s="1671" t="s">
        <v>54</v>
      </c>
      <c r="E244" s="1672">
        <v>1</v>
      </c>
      <c r="F244" s="1707">
        <f>+COVE!L22</f>
        <v>4362662.0991735533</v>
      </c>
      <c r="G244" s="1707"/>
      <c r="H244" s="1532">
        <f>F244+G244</f>
        <v>4362662.0991735533</v>
      </c>
      <c r="I244" s="1539">
        <f>+COVE!T22</f>
        <v>1363919.7599280113</v>
      </c>
      <c r="J244" s="1560"/>
      <c r="K244" s="1532">
        <f t="shared" si="618"/>
        <v>1363919.7599280113</v>
      </c>
      <c r="L244" s="1560"/>
      <c r="M244" s="1532">
        <f>H244+K244+L244</f>
        <v>5726581.8591015646</v>
      </c>
      <c r="N244" s="1533">
        <f t="shared" si="619"/>
        <v>4362662.0991735533</v>
      </c>
      <c r="O244" s="1533">
        <f t="shared" si="620"/>
        <v>0</v>
      </c>
      <c r="P244" s="1533">
        <f t="shared" si="621"/>
        <v>1363919.7599280113</v>
      </c>
      <c r="Q244" s="1533">
        <f t="shared" si="622"/>
        <v>0</v>
      </c>
      <c r="R244" s="1533">
        <f t="shared" si="623"/>
        <v>0</v>
      </c>
      <c r="S244" s="1534">
        <f t="shared" si="624"/>
        <v>5726581.8591015646</v>
      </c>
      <c r="T244" s="1535"/>
      <c r="U244" s="1695">
        <f>+ROUNDUP(M244*$T$5,0)</f>
        <v>7197641</v>
      </c>
      <c r="V244" s="1673">
        <f>+U244*E244</f>
        <v>7197641</v>
      </c>
      <c r="W244" s="1792"/>
    </row>
    <row r="245" spans="1:23" ht="12.75" customHeight="1">
      <c r="A245" s="1529">
        <v>27.03</v>
      </c>
      <c r="B245" s="1636"/>
      <c r="C245" s="1740" t="s">
        <v>2562</v>
      </c>
      <c r="D245" s="1710" t="s">
        <v>54</v>
      </c>
      <c r="E245" s="1672">
        <v>1</v>
      </c>
      <c r="F245" s="1707">
        <f>+ELECT!I152</f>
        <v>2952724.076651874</v>
      </c>
      <c r="G245" s="1707"/>
      <c r="H245" s="1532">
        <f>F245+G245</f>
        <v>2952724.076651874</v>
      </c>
      <c r="I245" s="1539"/>
      <c r="J245" s="1560"/>
      <c r="K245" s="1532">
        <f t="shared" si="618"/>
        <v>0</v>
      </c>
      <c r="L245" s="1560"/>
      <c r="M245" s="1532">
        <f>H245+K245+L245</f>
        <v>2952724.076651874</v>
      </c>
      <c r="N245" s="1533">
        <f t="shared" si="619"/>
        <v>2952724.076651874</v>
      </c>
      <c r="O245" s="1533">
        <f t="shared" si="620"/>
        <v>0</v>
      </c>
      <c r="P245" s="1533">
        <f t="shared" si="621"/>
        <v>0</v>
      </c>
      <c r="Q245" s="1533">
        <f t="shared" si="622"/>
        <v>0</v>
      </c>
      <c r="R245" s="1533">
        <f t="shared" si="623"/>
        <v>0</v>
      </c>
      <c r="S245" s="1534">
        <f t="shared" ref="S245" si="625">SUM(N245:R245)</f>
        <v>2952724.076651874</v>
      </c>
      <c r="T245" s="1535"/>
      <c r="U245" s="1695">
        <f>+ROUNDUP(M245*$T$4,0)</f>
        <v>2952725</v>
      </c>
      <c r="V245" s="1673">
        <f>+U245*E245</f>
        <v>2952725</v>
      </c>
      <c r="W245" s="1792"/>
    </row>
    <row r="246" spans="1:23" ht="12.75" customHeight="1">
      <c r="A246" s="1512">
        <v>28</v>
      </c>
      <c r="B246" s="1513"/>
      <c r="C246" s="1784" t="s">
        <v>178</v>
      </c>
      <c r="D246" s="1765"/>
      <c r="E246" s="1521"/>
      <c r="F246" s="1785"/>
      <c r="G246" s="1785"/>
      <c r="H246" s="1785"/>
      <c r="I246" s="1786"/>
      <c r="J246" s="1786"/>
      <c r="K246" s="1785"/>
      <c r="L246" s="1768"/>
      <c r="M246" s="1785"/>
      <c r="N246" s="1785"/>
      <c r="O246" s="1785"/>
      <c r="P246" s="1785"/>
      <c r="Q246" s="1785"/>
      <c r="R246" s="1787"/>
      <c r="S246" s="1788"/>
      <c r="T246" s="1789">
        <f>+SUM(S247:S249)</f>
        <v>31485744.797535218</v>
      </c>
      <c r="U246" s="1787"/>
      <c r="V246" s="1790"/>
      <c r="W246" s="1522">
        <f>SUM(V247:V249)</f>
        <v>39573892</v>
      </c>
    </row>
    <row r="247" spans="1:23" ht="12.75" customHeight="1">
      <c r="A247" s="1583">
        <v>28.01</v>
      </c>
      <c r="B247" s="1635"/>
      <c r="C247" s="1739" t="s">
        <v>2498</v>
      </c>
      <c r="D247" s="1709" t="s">
        <v>54</v>
      </c>
      <c r="E247" s="1668">
        <v>1</v>
      </c>
      <c r="F247" s="1808">
        <f>+CALEFA!F36</f>
        <v>8108346.1238842979</v>
      </c>
      <c r="G247" s="1791"/>
      <c r="H247" s="1525">
        <f>F247+G247</f>
        <v>8108346.1238842979</v>
      </c>
      <c r="I247" s="1584">
        <f>+SUBCONTRATOS!D60</f>
        <v>16174656.500288332</v>
      </c>
      <c r="J247" s="1557"/>
      <c r="K247" s="1525">
        <f t="shared" ref="K247" si="626">I247+J247</f>
        <v>16174656.500288332</v>
      </c>
      <c r="L247" s="1531">
        <f>(H247+K247)*0.015</f>
        <v>364245.03936258942</v>
      </c>
      <c r="M247" s="1525">
        <f>H247+K247+L247</f>
        <v>24647247.663535219</v>
      </c>
      <c r="N247" s="1526">
        <f t="shared" ref="N247" si="627">F247*E247</f>
        <v>8108346.1238842979</v>
      </c>
      <c r="O247" s="1526">
        <f t="shared" ref="O247" si="628">G247*E247</f>
        <v>0</v>
      </c>
      <c r="P247" s="1526">
        <f t="shared" ref="P247" si="629">I247*E247</f>
        <v>16174656.500288332</v>
      </c>
      <c r="Q247" s="1526">
        <f t="shared" ref="Q247" si="630">J247*E247</f>
        <v>0</v>
      </c>
      <c r="R247" s="1526">
        <f t="shared" ref="R247" si="631">+L247*E247</f>
        <v>364245.03936258942</v>
      </c>
      <c r="S247" s="1527">
        <f t="shared" ref="S247" si="632">SUM(N247:R247)</f>
        <v>24647247.663535219</v>
      </c>
      <c r="T247" s="1535"/>
      <c r="U247" s="1695">
        <f>+ROUNDUP(M247*$T$5,0)</f>
        <v>30978696</v>
      </c>
      <c r="V247" s="1673">
        <f>+U247*E247</f>
        <v>30978696</v>
      </c>
      <c r="W247" s="1792"/>
    </row>
    <row r="248" spans="1:23" ht="12.75" customHeight="1">
      <c r="A248" s="1529">
        <v>28.02</v>
      </c>
      <c r="B248" s="1636"/>
      <c r="C248" s="1740" t="s">
        <v>2469</v>
      </c>
      <c r="D248" s="1710" t="s">
        <v>54</v>
      </c>
      <c r="E248" s="1672">
        <v>1</v>
      </c>
      <c r="F248" s="1681">
        <f>+CALEFA!F46</f>
        <v>5535035.5999999996</v>
      </c>
      <c r="G248" s="1707"/>
      <c r="H248" s="1532">
        <f>F248+G248</f>
        <v>5535035.5999999996</v>
      </c>
      <c r="I248" s="1539"/>
      <c r="J248" s="1560"/>
      <c r="K248" s="1532">
        <f t="shared" ref="K248" si="633">I248+J248</f>
        <v>0</v>
      </c>
      <c r="L248" s="1531">
        <f>(H248+K248)*0.015</f>
        <v>83025.533999999985</v>
      </c>
      <c r="M248" s="1532">
        <f>H248+K248+L248</f>
        <v>5618061.1339999996</v>
      </c>
      <c r="N248" s="1533">
        <f t="shared" ref="N248" si="634">F248*E248</f>
        <v>5535035.5999999996</v>
      </c>
      <c r="O248" s="1533">
        <f t="shared" ref="O248" si="635">G248*E248</f>
        <v>0</v>
      </c>
      <c r="P248" s="1533">
        <f t="shared" ref="P248" si="636">I248*E248</f>
        <v>0</v>
      </c>
      <c r="Q248" s="1533">
        <f t="shared" ref="Q248" si="637">J248*E248</f>
        <v>0</v>
      </c>
      <c r="R248" s="1533">
        <f t="shared" ref="R248" si="638">+L248*E248</f>
        <v>83025.533999999985</v>
      </c>
      <c r="S248" s="1534">
        <f t="shared" ref="S248" si="639">SUM(N248:R248)</f>
        <v>5618061.1339999996</v>
      </c>
      <c r="T248" s="1535"/>
      <c r="U248" s="1695">
        <f>+ROUNDUP(M248*$T$5,0)</f>
        <v>7061244</v>
      </c>
      <c r="V248" s="1673">
        <f>+U248*E248</f>
        <v>7061244</v>
      </c>
      <c r="W248" s="1792"/>
    </row>
    <row r="249" spans="1:23" ht="12.75" customHeight="1">
      <c r="A249" s="1573">
        <v>28.03</v>
      </c>
      <c r="B249" s="1637"/>
      <c r="C249" s="1741" t="s">
        <v>2499</v>
      </c>
      <c r="D249" s="1713" t="s">
        <v>77</v>
      </c>
      <c r="E249" s="1677">
        <v>16</v>
      </c>
      <c r="F249" s="1809">
        <v>75150</v>
      </c>
      <c r="G249" s="1796"/>
      <c r="H249" s="1544">
        <f>F249+G249</f>
        <v>75150</v>
      </c>
      <c r="I249" s="1545"/>
      <c r="J249" s="1569"/>
      <c r="K249" s="1544">
        <f t="shared" ref="K249" si="640">I249+J249</f>
        <v>0</v>
      </c>
      <c r="L249" s="1531">
        <f>(H249+K249)*0.015</f>
        <v>1127.25</v>
      </c>
      <c r="M249" s="1544">
        <f>H249+K249+L249</f>
        <v>76277.25</v>
      </c>
      <c r="N249" s="1548">
        <f t="shared" ref="N249" si="641">F249*E249</f>
        <v>1202400</v>
      </c>
      <c r="O249" s="1548">
        <f t="shared" ref="O249" si="642">G249*E249</f>
        <v>0</v>
      </c>
      <c r="P249" s="1548">
        <f t="shared" ref="P249" si="643">I249*E249</f>
        <v>0</v>
      </c>
      <c r="Q249" s="1548">
        <f t="shared" ref="Q249" si="644">J249*E249</f>
        <v>0</v>
      </c>
      <c r="R249" s="1548">
        <f t="shared" ref="R249" si="645">+L249*E249</f>
        <v>18036</v>
      </c>
      <c r="S249" s="1549">
        <f t="shared" ref="S249" si="646">SUM(N249:R249)</f>
        <v>1220436</v>
      </c>
      <c r="T249" s="1535"/>
      <c r="U249" s="1695">
        <f>+ROUNDUP(M249*$T$5,0)</f>
        <v>95872</v>
      </c>
      <c r="V249" s="1673">
        <f>+U249*E249</f>
        <v>1533952</v>
      </c>
      <c r="W249" s="1792"/>
    </row>
    <row r="250" spans="1:23" ht="12.75" customHeight="1">
      <c r="A250" s="1512"/>
      <c r="B250" s="1513"/>
      <c r="C250" s="1517"/>
      <c r="D250" s="1518"/>
      <c r="E250" s="1519"/>
      <c r="F250" s="1519"/>
      <c r="G250" s="1519"/>
      <c r="H250" s="1519"/>
      <c r="I250" s="1519"/>
      <c r="J250" s="1519"/>
      <c r="K250" s="1519"/>
      <c r="L250" s="1519"/>
      <c r="M250" s="1520"/>
      <c r="N250" s="1521">
        <f>+SUM(N242:N249)</f>
        <v>22431167.899709724</v>
      </c>
      <c r="O250" s="1521">
        <f t="shared" ref="O250:W250" si="647">+SUM(O242:O249)</f>
        <v>0</v>
      </c>
      <c r="P250" s="1521">
        <f t="shared" si="647"/>
        <v>18890611.128294639</v>
      </c>
      <c r="Q250" s="1521">
        <f t="shared" si="647"/>
        <v>0</v>
      </c>
      <c r="R250" s="1521">
        <f t="shared" si="647"/>
        <v>465306.57336258941</v>
      </c>
      <c r="S250" s="1521">
        <f t="shared" si="647"/>
        <v>41787085.601366952</v>
      </c>
      <c r="T250" s="1521">
        <f t="shared" si="647"/>
        <v>41787085.601366952</v>
      </c>
      <c r="U250" s="1521"/>
      <c r="V250" s="1521">
        <f t="shared" si="647"/>
        <v>51762974</v>
      </c>
      <c r="W250" s="1521">
        <f t="shared" si="647"/>
        <v>51762974</v>
      </c>
    </row>
    <row r="251" spans="1:23" ht="12.75" customHeight="1">
      <c r="A251" s="1634"/>
      <c r="B251" s="1634"/>
      <c r="C251" s="1638"/>
      <c r="D251" s="1492"/>
      <c r="E251" s="1493"/>
      <c r="F251" s="1493"/>
      <c r="G251" s="1493"/>
      <c r="H251" s="1493"/>
      <c r="I251" s="1493"/>
      <c r="J251" s="1493"/>
      <c r="K251" s="1493"/>
      <c r="L251" s="1493"/>
      <c r="M251" s="1639"/>
      <c r="N251" s="1487"/>
      <c r="O251" s="1487"/>
      <c r="P251" s="1487"/>
      <c r="Q251" s="1487"/>
      <c r="R251" s="1521"/>
      <c r="S251" s="1521"/>
      <c r="T251" s="1521"/>
      <c r="U251" s="1493"/>
      <c r="V251" s="1487"/>
      <c r="W251" s="1487"/>
    </row>
    <row r="252" spans="1:23" ht="12.75" customHeight="1">
      <c r="A252" s="1512"/>
      <c r="B252" s="1513"/>
      <c r="C252" s="1798"/>
      <c r="D252" s="1765"/>
      <c r="E252" s="1799"/>
      <c r="F252" s="1733"/>
      <c r="G252" s="1733"/>
      <c r="H252" s="1733"/>
      <c r="I252" s="1767"/>
      <c r="J252" s="1767"/>
      <c r="K252" s="1733"/>
      <c r="L252" s="1768"/>
      <c r="M252" s="1733"/>
      <c r="N252" s="1733"/>
      <c r="O252" s="1733"/>
      <c r="P252" s="1733"/>
      <c r="Q252" s="1733"/>
      <c r="R252" s="1769" t="s">
        <v>17</v>
      </c>
      <c r="S252" s="1770" t="e">
        <f>+T252/#REF!</f>
        <v>#DIV/0!</v>
      </c>
      <c r="T252" s="1771" t="e">
        <f>+T250/GGBB!H25</f>
        <v>#DIV/0!</v>
      </c>
      <c r="U252" s="1787"/>
      <c r="V252" s="1790"/>
      <c r="W252" s="1773">
        <f>+W237+W250</f>
        <v>51762974</v>
      </c>
    </row>
    <row r="253" spans="1:23" ht="12.75" customHeight="1">
      <c r="A253" s="1634"/>
      <c r="B253" s="1634"/>
      <c r="C253" s="1654"/>
      <c r="E253" s="1487"/>
      <c r="F253" s="1778"/>
      <c r="G253" s="1778"/>
      <c r="H253" s="1778"/>
      <c r="I253" s="1801"/>
      <c r="J253" s="1801"/>
      <c r="K253" s="1778"/>
      <c r="L253" s="1777"/>
      <c r="M253" s="1778"/>
      <c r="N253" s="1778"/>
      <c r="O253" s="1778"/>
      <c r="P253" s="1778"/>
      <c r="Q253" s="1778"/>
      <c r="R253" s="1779"/>
      <c r="S253" s="1780"/>
      <c r="T253" s="1781"/>
      <c r="U253" s="1779"/>
      <c r="V253" s="1802"/>
      <c r="W253" s="1803"/>
    </row>
    <row r="254" spans="1:23" ht="12.75" customHeight="1">
      <c r="A254" s="1512"/>
      <c r="B254" s="1513"/>
      <c r="C254" s="1798"/>
      <c r="D254" s="1765"/>
      <c r="E254" s="1799"/>
      <c r="F254" s="1733"/>
      <c r="G254" s="1733"/>
      <c r="H254" s="1733"/>
      <c r="I254" s="1767"/>
      <c r="J254" s="1767"/>
      <c r="K254" s="1733"/>
      <c r="L254" s="1768"/>
      <c r="M254" s="1733"/>
      <c r="N254" s="1733"/>
      <c r="O254" s="1733"/>
      <c r="P254" s="1733"/>
      <c r="Q254" s="1733"/>
      <c r="R254" s="1769" t="s">
        <v>17</v>
      </c>
      <c r="S254" s="1770" t="e">
        <f>+T254/#REF!</f>
        <v>#DIV/0!</v>
      </c>
      <c r="T254" s="1771" t="e">
        <f>+T252+#REF!</f>
        <v>#DIV/0!</v>
      </c>
      <c r="U254" s="1769" t="s">
        <v>17</v>
      </c>
      <c r="V254" s="1772" t="e">
        <f>+W254/#REF!</f>
        <v>#REF!</v>
      </c>
      <c r="W254" s="1773">
        <f>W252/W23</f>
        <v>0.20453951019703448</v>
      </c>
    </row>
  </sheetData>
  <mergeCells count="4">
    <mergeCell ref="F5:H5"/>
    <mergeCell ref="I5:K5"/>
    <mergeCell ref="N5:O5"/>
    <mergeCell ref="P5:Q5"/>
  </mergeCells>
  <phoneticPr fontId="74" type="noConversion"/>
  <conditionalFormatting sqref="B1:B1048576">
    <cfRule type="cellIs" dxfId="36" priority="60" operator="equal">
      <formula>"C"</formula>
    </cfRule>
    <cfRule type="cellIs" dxfId="35" priority="65" operator="equal">
      <formula>"R"</formula>
    </cfRule>
    <cfRule type="cellIs" dxfId="34" priority="66" operator="equal">
      <formula>"IN"</formula>
    </cfRule>
    <cfRule type="cellIs" dxfId="33" priority="67" operator="equal">
      <formula>"OK"</formula>
    </cfRule>
    <cfRule type="cellIs" dxfId="32" priority="68" operator="equal">
      <formula>"SR"</formula>
    </cfRule>
  </conditionalFormatting>
  <conditionalFormatting sqref="D3:D11 D19:D28 D56:D67 D78:D84 D88:D92 D96:D102 D105 D163:D193 D195 D202:D213">
    <cfRule type="cellIs" dxfId="31" priority="19" operator="equal">
      <formula>"x"</formula>
    </cfRule>
  </conditionalFormatting>
  <conditionalFormatting sqref="D41">
    <cfRule type="cellIs" dxfId="30" priority="22" operator="equal">
      <formula>"x"</formula>
    </cfRule>
  </conditionalFormatting>
  <conditionalFormatting sqref="D50">
    <cfRule type="cellIs" dxfId="29" priority="23" operator="equal">
      <formula>"x"</formula>
    </cfRule>
  </conditionalFormatting>
  <conditionalFormatting sqref="D69:D70">
    <cfRule type="cellIs" dxfId="28" priority="26" operator="equal">
      <formula>"x"</formula>
    </cfRule>
  </conditionalFormatting>
  <conditionalFormatting sqref="D107">
    <cfRule type="cellIs" dxfId="27" priority="32" operator="equal">
      <formula>"x"</formula>
    </cfRule>
  </conditionalFormatting>
  <conditionalFormatting sqref="D115">
    <cfRule type="cellIs" dxfId="26" priority="33" operator="equal">
      <formula>"x"</formula>
    </cfRule>
  </conditionalFormatting>
  <conditionalFormatting sqref="D125">
    <cfRule type="cellIs" dxfId="25" priority="34" operator="equal">
      <formula>"x"</formula>
    </cfRule>
  </conditionalFormatting>
  <conditionalFormatting sqref="D127">
    <cfRule type="cellIs" dxfId="24" priority="35" operator="equal">
      <formula>"x"</formula>
    </cfRule>
  </conditionalFormatting>
  <conditionalFormatting sqref="D132">
    <cfRule type="cellIs" dxfId="23" priority="38" operator="equal">
      <formula>"x"</formula>
    </cfRule>
  </conditionalFormatting>
  <conditionalFormatting sqref="D198">
    <cfRule type="cellIs" dxfId="22" priority="42" operator="equal">
      <formula>"x"</formula>
    </cfRule>
  </conditionalFormatting>
  <conditionalFormatting sqref="D216:D217">
    <cfRule type="cellIs" dxfId="21" priority="39" operator="equal">
      <formula>"x"</formula>
    </cfRule>
  </conditionalFormatting>
  <conditionalFormatting sqref="D222:D223">
    <cfRule type="cellIs" dxfId="20" priority="3" operator="equal">
      <formula>"x"</formula>
    </cfRule>
  </conditionalFormatting>
  <conditionalFormatting sqref="D230:D231">
    <cfRule type="cellIs" dxfId="19" priority="4" operator="equal">
      <formula>"x"</formula>
    </cfRule>
  </conditionalFormatting>
  <conditionalFormatting sqref="D243:D244">
    <cfRule type="cellIs" dxfId="18" priority="1" operator="equal">
      <formula>"x"</formula>
    </cfRule>
  </conditionalFormatting>
  <conditionalFormatting sqref="D250:D251">
    <cfRule type="cellIs" dxfId="17" priority="2" operator="equal">
      <formula>"x"</formula>
    </cfRule>
  </conditionalFormatting>
  <conditionalFormatting sqref="F1:F4">
    <cfRule type="cellIs" dxfId="16" priority="46" operator="equal">
      <formula>"R"</formula>
    </cfRule>
    <cfRule type="cellIs" dxfId="15" priority="47" operator="equal">
      <formula>"IN"</formula>
    </cfRule>
    <cfRule type="cellIs" dxfId="14" priority="48" operator="equal">
      <formula>"OK"</formula>
    </cfRule>
    <cfRule type="cellIs" dxfId="13" priority="49" operator="equal">
      <formula>"SR"</formula>
    </cfRule>
  </conditionalFormatting>
  <conditionalFormatting sqref="F2:F4">
    <cfRule type="cellIs" dxfId="12" priority="45" operator="equal">
      <formula>"C"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40" max="22" man="1"/>
    <brk id="131" max="22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3:AF238"/>
  <sheetViews>
    <sheetView tabSelected="1" workbookViewId="0">
      <pane xSplit="2" ySplit="6" topLeftCell="C24" activePane="bottomRight" state="frozen"/>
      <selection pane="topRight" activeCell="C1" sqref="C1"/>
      <selection pane="bottomLeft" activeCell="A7" sqref="A7"/>
      <selection pane="bottomRight" activeCell="M31" sqref="M31:P31"/>
    </sheetView>
  </sheetViews>
  <sheetFormatPr defaultColWidth="11.54296875" defaultRowHeight="12.75" customHeight="1" outlineLevelCol="1"/>
  <cols>
    <col min="1" max="1" width="5.453125" style="1861" bestFit="1" customWidth="1"/>
    <col min="2" max="2" width="2.7265625" style="1862" customWidth="1" outlineLevel="1"/>
    <col min="3" max="3" width="24" style="1887" customWidth="1"/>
    <col min="4" max="4" width="3.54296875" style="1862" customWidth="1"/>
    <col min="5" max="5" width="8" style="1863" bestFit="1" customWidth="1"/>
    <col min="6" max="6" width="11.453125" style="2236" customWidth="1"/>
    <col min="7" max="7" width="8.81640625" style="2131" customWidth="1"/>
    <col min="8" max="8" width="10.26953125" style="1888" customWidth="1"/>
    <col min="9" max="9" width="8.81640625" style="1888" customWidth="1"/>
    <col min="10" max="10" width="11.1796875" style="1888" bestFit="1" customWidth="1"/>
    <col min="11" max="11" width="11.7265625" style="1888" bestFit="1" customWidth="1"/>
    <col min="12" max="12" width="8.81640625" style="1888" customWidth="1"/>
    <col min="13" max="13" width="8.81640625" style="2237" customWidth="1"/>
    <col min="14" max="14" width="8.81640625" style="2238" customWidth="1"/>
    <col min="15" max="15" width="8.81640625" style="2236" customWidth="1"/>
    <col min="16" max="16" width="8.81640625" style="2131" customWidth="1"/>
    <col min="17" max="18" width="8.81640625" style="1888" customWidth="1"/>
    <col min="19" max="19" width="11.7265625" style="1888" bestFit="1" customWidth="1"/>
    <col min="20" max="20" width="10.90625" style="1888" bestFit="1" customWidth="1"/>
    <col min="21" max="21" width="11.1796875" style="1887" bestFit="1" customWidth="1"/>
    <col min="22" max="22" width="9.1796875" style="1887" bestFit="1" customWidth="1"/>
    <col min="23" max="23" width="12.26953125" style="1888" bestFit="1" customWidth="1"/>
    <col min="24" max="24" width="4.81640625" style="1888" bestFit="1" customWidth="1"/>
    <col min="25" max="25" width="5.54296875" style="1888" bestFit="1" customWidth="1"/>
    <col min="26" max="26" width="4.90625" style="1888" bestFit="1" customWidth="1"/>
    <col min="27" max="27" width="4.08984375" style="1888" bestFit="1" customWidth="1"/>
    <col min="28" max="28" width="4.81640625" style="1888" bestFit="1" customWidth="1"/>
    <col min="29" max="29" width="11.54296875" style="1888"/>
    <col min="30" max="30" width="6.6328125" style="1888" bestFit="1" customWidth="1"/>
    <col min="31" max="32" width="4.81640625" style="1888" bestFit="1" customWidth="1"/>
    <col min="33" max="16384" width="11.54296875" style="1888"/>
  </cols>
  <sheetData>
    <row r="3" spans="1:22" s="1868" customFormat="1" ht="12.75" customHeight="1">
      <c r="A3" s="1863"/>
      <c r="B3" s="1863"/>
      <c r="C3" s="1864"/>
      <c r="D3" s="1863"/>
      <c r="E3" s="1865"/>
      <c r="F3" s="1866"/>
      <c r="G3" s="1867"/>
      <c r="M3" s="1869"/>
      <c r="N3" s="1870"/>
      <c r="O3" s="1866"/>
      <c r="P3" s="1867"/>
      <c r="U3" s="1864"/>
      <c r="V3" s="1864"/>
    </row>
    <row r="4" spans="1:22" s="1868" customFormat="1" ht="12.75" customHeight="1">
      <c r="A4" s="1863"/>
      <c r="B4" s="1863"/>
      <c r="C4" s="1810"/>
      <c r="D4" s="1863"/>
      <c r="E4" s="1865"/>
      <c r="F4" s="1871"/>
      <c r="G4" s="1872"/>
      <c r="H4" s="2247" t="s">
        <v>187</v>
      </c>
      <c r="I4" s="2247"/>
      <c r="J4" s="2247"/>
      <c r="K4" s="2247"/>
      <c r="L4" s="1873"/>
      <c r="M4" s="1874"/>
      <c r="N4" s="1875"/>
      <c r="O4" s="1876"/>
      <c r="P4" s="1877"/>
      <c r="Q4" s="2248" t="s">
        <v>188</v>
      </c>
      <c r="R4" s="2249"/>
      <c r="S4" s="2249"/>
      <c r="T4" s="2250"/>
      <c r="U4" s="1864"/>
      <c r="V4" s="1864"/>
    </row>
    <row r="5" spans="1:22" s="1868" customFormat="1" ht="12.75" customHeight="1">
      <c r="A5" s="1863"/>
      <c r="B5" s="1863"/>
      <c r="C5" s="1810"/>
      <c r="D5" s="1878"/>
      <c r="E5" s="1878"/>
      <c r="F5" s="1879"/>
      <c r="G5" s="1880"/>
      <c r="H5" s="2242" t="s">
        <v>189</v>
      </c>
      <c r="I5" s="2243"/>
      <c r="J5" s="2244" t="s">
        <v>185</v>
      </c>
      <c r="K5" s="2244"/>
      <c r="L5" s="1881"/>
      <c r="M5" s="1882">
        <f>+'P.MO 09.24'!B4</f>
        <v>75113.048226571977</v>
      </c>
      <c r="N5" s="1882">
        <f>+'P.MO 09.24'!B5</f>
        <v>65360.248306571972</v>
      </c>
      <c r="O5" s="1882">
        <f>+'P.MO 09.24'!B6</f>
        <v>54784.071766571964</v>
      </c>
      <c r="P5" s="1883">
        <f>+'P.MO 09.24'!B7</f>
        <v>49934.237226571968</v>
      </c>
      <c r="Q5" s="2242" t="s">
        <v>189</v>
      </c>
      <c r="R5" s="2243"/>
      <c r="S5" s="2245" t="s">
        <v>185</v>
      </c>
      <c r="T5" s="2246"/>
      <c r="U5" s="1864"/>
      <c r="V5" s="1864"/>
    </row>
    <row r="6" spans="1:22" ht="12.75" customHeight="1">
      <c r="A6" s="1884" t="s">
        <v>40</v>
      </c>
      <c r="B6" s="1885"/>
      <c r="C6" s="1812" t="s">
        <v>41</v>
      </c>
      <c r="D6" s="1812" t="s">
        <v>42</v>
      </c>
      <c r="E6" s="1811" t="s">
        <v>43</v>
      </c>
      <c r="F6" s="1812" t="s">
        <v>190</v>
      </c>
      <c r="G6" s="1812" t="s">
        <v>191</v>
      </c>
      <c r="H6" s="1886" t="s">
        <v>190</v>
      </c>
      <c r="I6" s="1886" t="s">
        <v>191</v>
      </c>
      <c r="J6" s="1812" t="s">
        <v>190</v>
      </c>
      <c r="K6" s="1812" t="s">
        <v>191</v>
      </c>
      <c r="L6" s="1812" t="s">
        <v>190</v>
      </c>
      <c r="M6" s="1811" t="s">
        <v>192</v>
      </c>
      <c r="N6" s="1811" t="s">
        <v>193</v>
      </c>
      <c r="O6" s="1811" t="s">
        <v>194</v>
      </c>
      <c r="P6" s="1811" t="s">
        <v>195</v>
      </c>
      <c r="Q6" s="1886" t="s">
        <v>190</v>
      </c>
      <c r="R6" s="1886" t="s">
        <v>196</v>
      </c>
      <c r="S6" s="1811" t="s">
        <v>190</v>
      </c>
      <c r="T6" s="1811" t="s">
        <v>196</v>
      </c>
    </row>
    <row r="7" spans="1:22" ht="10.5">
      <c r="A7" s="1889">
        <f>+'01'!A8</f>
        <v>1</v>
      </c>
      <c r="B7" s="1884"/>
      <c r="C7" s="1889" t="str">
        <f>+'01'!C8</f>
        <v>TAREAS PRELIMINARES</v>
      </c>
      <c r="D7" s="1884"/>
      <c r="E7" s="1890"/>
      <c r="F7" s="1891"/>
      <c r="G7" s="1892"/>
      <c r="H7" s="1893"/>
      <c r="I7" s="1893"/>
      <c r="J7" s="1893"/>
      <c r="K7" s="1893"/>
      <c r="L7" s="1893"/>
      <c r="M7" s="1894"/>
      <c r="N7" s="1895"/>
      <c r="O7" s="1891"/>
      <c r="P7" s="1892"/>
      <c r="Q7" s="1893"/>
      <c r="R7" s="1893"/>
      <c r="S7" s="1893"/>
      <c r="T7" s="1893"/>
    </row>
    <row r="8" spans="1:22" ht="10.5">
      <c r="A8" s="1834">
        <f>+'01'!A10</f>
        <v>1.02</v>
      </c>
      <c r="B8" s="1556" t="str">
        <f>+'01'!B10</f>
        <v>OK</v>
      </c>
      <c r="C8" s="1834" t="str">
        <f>+'01'!C10</f>
        <v>Topógrafo - Visita de obra replanteo</v>
      </c>
      <c r="D8" s="1556" t="str">
        <f>+'01'!D10</f>
        <v>un</v>
      </c>
      <c r="E8" s="1556">
        <f>+'01'!E10</f>
        <v>3</v>
      </c>
      <c r="F8" s="1896"/>
      <c r="G8" s="1897"/>
      <c r="H8" s="1898">
        <f>+J8/E8</f>
        <v>0</v>
      </c>
      <c r="I8" s="1898">
        <f>+K8/E8</f>
        <v>41666.666666666664</v>
      </c>
      <c r="J8" s="1824">
        <f>SUM(J9:J11)</f>
        <v>0</v>
      </c>
      <c r="K8" s="1824">
        <f>SUM(K9:K11)</f>
        <v>125000</v>
      </c>
      <c r="L8" s="1899"/>
      <c r="M8" s="1900"/>
      <c r="N8" s="1901"/>
      <c r="O8" s="1902"/>
      <c r="P8" s="1903"/>
      <c r="Q8" s="1898">
        <f>+U8/E8</f>
        <v>172653.20827272726</v>
      </c>
      <c r="R8" s="1898">
        <f>+V8/E8</f>
        <v>83223.728710953277</v>
      </c>
      <c r="S8" s="1904"/>
      <c r="T8" s="1904"/>
      <c r="U8" s="1905">
        <f>SUM(S9:S11)</f>
        <v>517959.62481818179</v>
      </c>
      <c r="V8" s="1906">
        <f>SUM(T9:T11)</f>
        <v>249671.18613285985</v>
      </c>
    </row>
    <row r="9" spans="1:22" ht="10.5">
      <c r="A9" s="1907"/>
      <c r="B9" s="1540"/>
      <c r="C9" s="1908" t="s">
        <v>197</v>
      </c>
      <c r="D9" s="1909" t="s">
        <v>198</v>
      </c>
      <c r="E9" s="1909">
        <f>+E8</f>
        <v>3</v>
      </c>
      <c r="F9" s="1910"/>
      <c r="G9" s="1911"/>
      <c r="H9" s="1912"/>
      <c r="I9" s="1912"/>
      <c r="J9" s="1913">
        <f t="shared" ref="J9" si="0">+F9*E9</f>
        <v>0</v>
      </c>
      <c r="K9" s="1913">
        <f t="shared" ref="K9" si="1">+G9*E9</f>
        <v>0</v>
      </c>
      <c r="L9" s="1914">
        <f>+'P.MO 09.24'!B10</f>
        <v>172653.20827272726</v>
      </c>
      <c r="M9" s="1915"/>
      <c r="N9" s="1916"/>
      <c r="O9" s="1917"/>
      <c r="P9" s="1918"/>
      <c r="Q9" s="1912"/>
      <c r="R9" s="1912"/>
      <c r="S9" s="1919">
        <f t="shared" ref="S9" si="2">+L9*E9</f>
        <v>517959.62481818179</v>
      </c>
      <c r="T9" s="1919">
        <f>(+M9*$M$5+N9*$N$5+O9*$O$5+P9*$P$5)*E9</f>
        <v>0</v>
      </c>
      <c r="U9" s="1905"/>
      <c r="V9" s="1906"/>
    </row>
    <row r="10" spans="1:22" ht="10.5">
      <c r="A10" s="1920"/>
      <c r="B10" s="1921"/>
      <c r="C10" s="1908" t="s">
        <v>199</v>
      </c>
      <c r="D10" s="1909" t="s">
        <v>198</v>
      </c>
      <c r="E10" s="1909">
        <f>+E8</f>
        <v>3</v>
      </c>
      <c r="F10" s="1910"/>
      <c r="G10" s="1911"/>
      <c r="H10" s="1922"/>
      <c r="I10" s="1922"/>
      <c r="J10" s="1913">
        <f t="shared" ref="J10" si="3">+F10*E10</f>
        <v>0</v>
      </c>
      <c r="K10" s="1913">
        <f t="shared" ref="K10" si="4">+G10*E10</f>
        <v>0</v>
      </c>
      <c r="L10" s="1914"/>
      <c r="M10" s="1915"/>
      <c r="N10" s="1916"/>
      <c r="O10" s="1917"/>
      <c r="P10" s="1918"/>
      <c r="Q10" s="1923"/>
      <c r="R10" s="1923"/>
      <c r="S10" s="1919">
        <f t="shared" ref="S10" si="5">+L10*E10</f>
        <v>0</v>
      </c>
      <c r="T10" s="1919">
        <f>(+M10*$M$5+N10*$N$5+O10*$O$5+P10*$P$5)*E10</f>
        <v>0</v>
      </c>
      <c r="U10" s="1924"/>
      <c r="V10" s="1925"/>
    </row>
    <row r="11" spans="1:22" ht="10.5">
      <c r="A11" s="1926"/>
      <c r="B11" s="1927"/>
      <c r="C11" s="1928" t="s">
        <v>200</v>
      </c>
      <c r="D11" s="1929" t="s">
        <v>54</v>
      </c>
      <c r="E11" s="1929">
        <v>5</v>
      </c>
      <c r="F11" s="1930"/>
      <c r="G11" s="1931">
        <v>25000</v>
      </c>
      <c r="H11" s="1932"/>
      <c r="I11" s="1932"/>
      <c r="J11" s="1933">
        <f t="shared" ref="J11" si="6">+F11*E11</f>
        <v>0</v>
      </c>
      <c r="K11" s="1933">
        <f t="shared" ref="K11" si="7">+G11*E11</f>
        <v>125000</v>
      </c>
      <c r="L11" s="1934"/>
      <c r="M11" s="1935"/>
      <c r="N11" s="1936"/>
      <c r="O11" s="1937"/>
      <c r="P11" s="1938">
        <v>1</v>
      </c>
      <c r="Q11" s="1939"/>
      <c r="R11" s="1939"/>
      <c r="S11" s="1940">
        <f>+L11*E11</f>
        <v>0</v>
      </c>
      <c r="T11" s="1940">
        <f>(+M11*$M$5+N11*$N$5+O11*$O$5+P11*$P$5)*E11</f>
        <v>249671.18613285985</v>
      </c>
    </row>
    <row r="12" spans="1:22" ht="10.5">
      <c r="A12" s="1834">
        <f>+'01'!A12</f>
        <v>1.04</v>
      </c>
      <c r="B12" s="1556" t="str">
        <f>+'01'!B12</f>
        <v>OK</v>
      </c>
      <c r="C12" s="1834" t="str">
        <f>+'01'!C12</f>
        <v xml:space="preserve">Cerco de obra perimetral - En chapa C25 + Concertina + Porton corredizo </v>
      </c>
      <c r="D12" s="1556" t="str">
        <f>+'01'!D12</f>
        <v>ml</v>
      </c>
      <c r="E12" s="1556">
        <f>+'01'!E12</f>
        <v>11</v>
      </c>
      <c r="F12" s="1896"/>
      <c r="G12" s="1897"/>
      <c r="H12" s="1898">
        <f>+J12/E12</f>
        <v>79773.18271975957</v>
      </c>
      <c r="I12" s="1898">
        <f>+K12/E12</f>
        <v>0</v>
      </c>
      <c r="J12" s="1824">
        <f>+SUM(J13:J21)</f>
        <v>877505.00991735526</v>
      </c>
      <c r="K12" s="1824">
        <f>+SUM(K13:K21)</f>
        <v>0</v>
      </c>
      <c r="L12" s="1899"/>
      <c r="M12" s="1900"/>
      <c r="N12" s="1901"/>
      <c r="O12" s="1902"/>
      <c r="P12" s="1903"/>
      <c r="Q12" s="1898">
        <f>+U12/E12</f>
        <v>0</v>
      </c>
      <c r="R12" s="1898">
        <f>+V12/E12</f>
        <v>30923.374054493801</v>
      </c>
      <c r="S12" s="1904"/>
      <c r="T12" s="1904"/>
      <c r="U12" s="1906">
        <f>SUM(S13:S21)</f>
        <v>0</v>
      </c>
      <c r="V12" s="1906">
        <f>SUM(T13:T21)</f>
        <v>340157.11459943181</v>
      </c>
    </row>
    <row r="13" spans="1:22" ht="10.5">
      <c r="A13" s="1907"/>
      <c r="B13" s="1540"/>
      <c r="C13" s="1941" t="s">
        <v>201</v>
      </c>
      <c r="D13" s="1909" t="s">
        <v>4</v>
      </c>
      <c r="E13" s="1909">
        <f>+E12*2.5</f>
        <v>27.5</v>
      </c>
      <c r="F13" s="1942">
        <f>+Cotizaciones!D4</f>
        <v>10599.98347107438</v>
      </c>
      <c r="G13" s="1911"/>
      <c r="H13" s="1912"/>
      <c r="I13" s="1912"/>
      <c r="J13" s="1913">
        <f t="shared" ref="J13:J14" si="8">+F13*E13</f>
        <v>291499.54545454547</v>
      </c>
      <c r="K13" s="1913">
        <f t="shared" ref="K13:K14" si="9">+G13*E13</f>
        <v>0</v>
      </c>
      <c r="L13" s="1914"/>
      <c r="M13" s="1915"/>
      <c r="N13" s="1916"/>
      <c r="O13" s="1917"/>
      <c r="P13" s="1918"/>
      <c r="Q13" s="1912"/>
      <c r="R13" s="1912"/>
      <c r="S13" s="1919">
        <f t="shared" ref="S13:S14" si="10">+L13*E13</f>
        <v>0</v>
      </c>
      <c r="T13" s="1919">
        <f>(+M13*$M$5+N13*$N$5+O13*$O$5+P13*$P$5)*E13</f>
        <v>0</v>
      </c>
      <c r="U13" s="1905"/>
      <c r="V13" s="1906"/>
    </row>
    <row r="14" spans="1:22" ht="10.5">
      <c r="A14" s="1907"/>
      <c r="B14" s="1540"/>
      <c r="C14" s="1941" t="s">
        <v>202</v>
      </c>
      <c r="D14" s="1909" t="s">
        <v>56</v>
      </c>
      <c r="E14" s="1909">
        <v>1</v>
      </c>
      <c r="F14" s="1942">
        <f>+Cotizaciones!D5</f>
        <v>267019.01652892563</v>
      </c>
      <c r="G14" s="1911"/>
      <c r="H14" s="1912"/>
      <c r="I14" s="1912"/>
      <c r="J14" s="1913">
        <f t="shared" si="8"/>
        <v>267019.01652892563</v>
      </c>
      <c r="K14" s="1913">
        <f t="shared" si="9"/>
        <v>0</v>
      </c>
      <c r="L14" s="1914"/>
      <c r="M14" s="1915"/>
      <c r="N14" s="1916"/>
      <c r="O14" s="1917"/>
      <c r="P14" s="1918"/>
      <c r="Q14" s="1912"/>
      <c r="R14" s="1912"/>
      <c r="S14" s="1919">
        <f t="shared" si="10"/>
        <v>0</v>
      </c>
      <c r="T14" s="1919">
        <f>(+M14*$M$5+N14*$N$5+O14*$O$5+P14*$P$5)*E14</f>
        <v>0</v>
      </c>
      <c r="U14" s="1905"/>
      <c r="V14" s="1906"/>
    </row>
    <row r="15" spans="1:22" ht="10.5">
      <c r="A15" s="1907"/>
      <c r="B15" s="1540"/>
      <c r="C15" s="1941" t="s">
        <v>203</v>
      </c>
      <c r="D15" s="1909" t="s">
        <v>77</v>
      </c>
      <c r="E15" s="1909">
        <v>2</v>
      </c>
      <c r="F15" s="1942">
        <f>+Cotizaciones!D6</f>
        <v>26250.619834710746</v>
      </c>
      <c r="G15" s="1911"/>
      <c r="H15" s="1912"/>
      <c r="I15" s="1912"/>
      <c r="J15" s="1913">
        <f t="shared" ref="J15" si="11">+F15*E15</f>
        <v>52501.239669421491</v>
      </c>
      <c r="K15" s="1913">
        <f t="shared" ref="K15" si="12">+G15*E15</f>
        <v>0</v>
      </c>
      <c r="L15" s="1914"/>
      <c r="M15" s="1915"/>
      <c r="N15" s="1916"/>
      <c r="O15" s="1917"/>
      <c r="P15" s="1918"/>
      <c r="Q15" s="1912"/>
      <c r="R15" s="1912"/>
      <c r="S15" s="1919">
        <f t="shared" ref="S15:S21" si="13">+L15*E15</f>
        <v>0</v>
      </c>
      <c r="T15" s="1919">
        <f t="shared" ref="T15:T21" si="14">(+M15*$M$5+N15*$N$5+O15*$O$5+P15*$P$5)*E15</f>
        <v>0</v>
      </c>
      <c r="U15" s="1905"/>
      <c r="V15" s="1906"/>
    </row>
    <row r="16" spans="1:22" ht="10.5">
      <c r="A16" s="1907"/>
      <c r="B16" s="1540"/>
      <c r="C16" s="1941" t="s">
        <v>204</v>
      </c>
      <c r="D16" s="1909" t="s">
        <v>77</v>
      </c>
      <c r="E16" s="1909">
        <v>1</v>
      </c>
      <c r="F16" s="1942">
        <f>+Cotizaciones!D7</f>
        <v>81509.950413223138</v>
      </c>
      <c r="G16" s="1911"/>
      <c r="H16" s="1912"/>
      <c r="I16" s="1912"/>
      <c r="J16" s="1913">
        <f t="shared" ref="J16:J21" si="15">+F16*E16</f>
        <v>81509.950413223138</v>
      </c>
      <c r="K16" s="1913">
        <f t="shared" ref="K16:K21" si="16">+G16*E16</f>
        <v>0</v>
      </c>
      <c r="L16" s="1914"/>
      <c r="M16" s="1915"/>
      <c r="N16" s="1916"/>
      <c r="O16" s="1917"/>
      <c r="P16" s="1918"/>
      <c r="Q16" s="1912"/>
      <c r="R16" s="1912"/>
      <c r="S16" s="1919">
        <f t="shared" si="13"/>
        <v>0</v>
      </c>
      <c r="T16" s="1919">
        <f t="shared" si="14"/>
        <v>0</v>
      </c>
      <c r="U16" s="1905"/>
      <c r="V16" s="1906"/>
    </row>
    <row r="17" spans="1:32" ht="10.5">
      <c r="A17" s="1907"/>
      <c r="B17" s="1540"/>
      <c r="C17" s="1941" t="s">
        <v>205</v>
      </c>
      <c r="D17" s="1909" t="s">
        <v>77</v>
      </c>
      <c r="E17" s="1909">
        <v>2</v>
      </c>
      <c r="F17" s="1942">
        <f>+Cotizaciones!D8</f>
        <v>12131.561983471076</v>
      </c>
      <c r="G17" s="1911"/>
      <c r="H17" s="1912"/>
      <c r="I17" s="1912"/>
      <c r="J17" s="1913">
        <f t="shared" si="15"/>
        <v>24263.123966942152</v>
      </c>
      <c r="K17" s="1913">
        <f t="shared" si="16"/>
        <v>0</v>
      </c>
      <c r="L17" s="1914"/>
      <c r="M17" s="1915"/>
      <c r="N17" s="1916"/>
      <c r="O17" s="1917"/>
      <c r="P17" s="1918"/>
      <c r="Q17" s="1912"/>
      <c r="R17" s="1912"/>
      <c r="S17" s="1919">
        <f t="shared" si="13"/>
        <v>0</v>
      </c>
      <c r="T17" s="1919">
        <f t="shared" si="14"/>
        <v>0</v>
      </c>
      <c r="U17" s="1905"/>
      <c r="V17" s="1906"/>
    </row>
    <row r="18" spans="1:32" ht="10.5">
      <c r="A18" s="1907"/>
      <c r="B18" s="1540"/>
      <c r="C18" s="1941" t="s">
        <v>206</v>
      </c>
      <c r="D18" s="1909" t="s">
        <v>77</v>
      </c>
      <c r="E18" s="1909">
        <f>+E13*4.5</f>
        <v>123.75</v>
      </c>
      <c r="F18" s="1942">
        <v>120</v>
      </c>
      <c r="G18" s="1911"/>
      <c r="H18" s="1912"/>
      <c r="I18" s="1912"/>
      <c r="J18" s="1913">
        <f t="shared" si="15"/>
        <v>14850</v>
      </c>
      <c r="K18" s="1913">
        <f t="shared" si="16"/>
        <v>0</v>
      </c>
      <c r="L18" s="1914"/>
      <c r="M18" s="1915"/>
      <c r="N18" s="1916"/>
      <c r="O18" s="1917"/>
      <c r="P18" s="1918"/>
      <c r="Q18" s="1912"/>
      <c r="R18" s="1912"/>
      <c r="S18" s="1919">
        <f t="shared" si="13"/>
        <v>0</v>
      </c>
      <c r="T18" s="1919">
        <f t="shared" si="14"/>
        <v>0</v>
      </c>
      <c r="U18" s="1905"/>
      <c r="V18" s="1906"/>
    </row>
    <row r="19" spans="1:32" ht="10.5">
      <c r="A19" s="1907"/>
      <c r="B19" s="1540"/>
      <c r="C19" s="1941" t="s">
        <v>207</v>
      </c>
      <c r="D19" s="1909" t="s">
        <v>208</v>
      </c>
      <c r="E19" s="1909">
        <v>1</v>
      </c>
      <c r="F19" s="1942">
        <f>38000/1.21</f>
        <v>31404.958677685951</v>
      </c>
      <c r="G19" s="1911"/>
      <c r="H19" s="1912"/>
      <c r="I19" s="1912"/>
      <c r="J19" s="1913">
        <f t="shared" si="15"/>
        <v>31404.958677685951</v>
      </c>
      <c r="K19" s="1913">
        <f t="shared" si="16"/>
        <v>0</v>
      </c>
      <c r="L19" s="1914"/>
      <c r="M19" s="1915"/>
      <c r="N19" s="1916"/>
      <c r="O19" s="1917"/>
      <c r="P19" s="1918"/>
      <c r="Q19" s="1912"/>
      <c r="R19" s="1912"/>
      <c r="S19" s="1919">
        <f t="shared" si="13"/>
        <v>0</v>
      </c>
      <c r="T19" s="1919">
        <f t="shared" si="14"/>
        <v>0</v>
      </c>
      <c r="U19" s="1905"/>
      <c r="V19" s="1906"/>
    </row>
    <row r="20" spans="1:32" ht="10.5">
      <c r="A20" s="1907"/>
      <c r="B20" s="1540"/>
      <c r="C20" s="1941" t="s">
        <v>209</v>
      </c>
      <c r="D20" s="1909" t="s">
        <v>54</v>
      </c>
      <c r="E20" s="1909">
        <v>0.15</v>
      </c>
      <c r="F20" s="1910">
        <f>+SUM(J13:J19)</f>
        <v>763047.83471074374</v>
      </c>
      <c r="G20" s="1911"/>
      <c r="H20" s="1912"/>
      <c r="I20" s="1912"/>
      <c r="J20" s="1913">
        <f t="shared" si="15"/>
        <v>114457.17520661156</v>
      </c>
      <c r="K20" s="1913">
        <f t="shared" si="16"/>
        <v>0</v>
      </c>
      <c r="L20" s="1914"/>
      <c r="M20" s="1915"/>
      <c r="N20" s="1916"/>
      <c r="O20" s="1917"/>
      <c r="P20" s="1918"/>
      <c r="Q20" s="1912"/>
      <c r="R20" s="1912"/>
      <c r="S20" s="1919">
        <f t="shared" si="13"/>
        <v>0</v>
      </c>
      <c r="T20" s="1919">
        <f t="shared" si="14"/>
        <v>0</v>
      </c>
      <c r="U20" s="1905"/>
      <c r="V20" s="1906"/>
    </row>
    <row r="21" spans="1:32" ht="10.5">
      <c r="A21" s="1943"/>
      <c r="B21" s="1541"/>
      <c r="C21" s="1944" t="s">
        <v>210</v>
      </c>
      <c r="D21" s="1929" t="s">
        <v>198</v>
      </c>
      <c r="E21" s="1929">
        <v>2</v>
      </c>
      <c r="F21" s="1930"/>
      <c r="G21" s="1931"/>
      <c r="H21" s="1945"/>
      <c r="I21" s="1945"/>
      <c r="J21" s="1933">
        <f t="shared" si="15"/>
        <v>0</v>
      </c>
      <c r="K21" s="1933">
        <f t="shared" si="16"/>
        <v>0</v>
      </c>
      <c r="L21" s="1946"/>
      <c r="M21" s="1947"/>
      <c r="N21" s="1948">
        <v>1</v>
      </c>
      <c r="O21" s="1949">
        <v>1</v>
      </c>
      <c r="P21" s="1950">
        <v>1</v>
      </c>
      <c r="Q21" s="1945"/>
      <c r="R21" s="1945"/>
      <c r="S21" s="1940">
        <f t="shared" si="13"/>
        <v>0</v>
      </c>
      <c r="T21" s="1940">
        <f t="shared" si="14"/>
        <v>340157.11459943181</v>
      </c>
      <c r="U21" s="1905"/>
      <c r="V21" s="1906"/>
    </row>
    <row r="22" spans="1:32" ht="10.5">
      <c r="A22" s="1834">
        <f>+'01'!A13</f>
        <v>1.05</v>
      </c>
      <c r="B22" s="1556" t="str">
        <f>+'01'!B13</f>
        <v>OK</v>
      </c>
      <c r="C22" s="1834" t="str">
        <f>+'01'!C13</f>
        <v>Obrador colgante, pañol y ducha</v>
      </c>
      <c r="D22" s="1556" t="str">
        <f>+'01'!D13</f>
        <v>gl</v>
      </c>
      <c r="E22" s="1556">
        <f>+'01'!E13</f>
        <v>1</v>
      </c>
      <c r="F22" s="1896"/>
      <c r="G22" s="1897"/>
      <c r="H22" s="1898">
        <f>+J22/E22</f>
        <v>2300856.6973553719</v>
      </c>
      <c r="I22" s="1898">
        <f>+K22/E22</f>
        <v>100000</v>
      </c>
      <c r="J22" s="1824">
        <f>+SUM(J23:J43)</f>
        <v>2300856.6973553719</v>
      </c>
      <c r="K22" s="1824">
        <f>+SUM(K23:K43)</f>
        <v>100000</v>
      </c>
      <c r="L22" s="1899"/>
      <c r="M22" s="1900"/>
      <c r="N22" s="1901"/>
      <c r="O22" s="1902"/>
      <c r="P22" s="1903"/>
      <c r="Q22" s="1898">
        <f>+U22/E22</f>
        <v>500000</v>
      </c>
      <c r="R22" s="1898">
        <f>+V22/E22</f>
        <v>3016332.5020954548</v>
      </c>
      <c r="S22" s="1904"/>
      <c r="T22" s="1904"/>
      <c r="U22" s="1906">
        <f>SUM(S23:S43)</f>
        <v>500000</v>
      </c>
      <c r="V22" s="1906">
        <f>SUM(T23:T43)</f>
        <v>3016332.5020954548</v>
      </c>
      <c r="AD22" s="1888">
        <v>0.66</v>
      </c>
    </row>
    <row r="23" spans="1:32" ht="10.5">
      <c r="A23" s="1907"/>
      <c r="B23" s="1540"/>
      <c r="C23" s="1941" t="s">
        <v>211</v>
      </c>
      <c r="D23" s="1909" t="s">
        <v>4</v>
      </c>
      <c r="E23" s="1909">
        <v>35</v>
      </c>
      <c r="F23" s="1910">
        <f>+Cotizaciones!D4/2</f>
        <v>5299.9917355371899</v>
      </c>
      <c r="G23" s="1911"/>
      <c r="H23" s="1912"/>
      <c r="I23" s="1912"/>
      <c r="J23" s="1913">
        <f t="shared" ref="J23:J24" si="17">+F23*E23</f>
        <v>185499.71074380164</v>
      </c>
      <c r="K23" s="1913">
        <f t="shared" ref="K23:K24" si="18">+G23*E23</f>
        <v>0</v>
      </c>
      <c r="L23" s="1914"/>
      <c r="M23" s="1915"/>
      <c r="N23" s="1916"/>
      <c r="O23" s="1917"/>
      <c r="P23" s="1918"/>
      <c r="Q23" s="1912"/>
      <c r="R23" s="1912"/>
      <c r="S23" s="1919">
        <f t="shared" ref="S23:S24" si="19">+L23*E23</f>
        <v>0</v>
      </c>
      <c r="T23" s="1919">
        <f>(+M23*$M$5+N23*$N$5+O23*$O$5+P23*$P$5)*E23</f>
        <v>0</v>
      </c>
      <c r="U23" s="1905"/>
      <c r="V23" s="1906"/>
      <c r="X23" s="1813" t="s">
        <v>212</v>
      </c>
      <c r="Y23" s="1813" t="s">
        <v>213</v>
      </c>
      <c r="Z23" s="1813" t="s">
        <v>214</v>
      </c>
      <c r="AA23" s="1813" t="s">
        <v>215</v>
      </c>
      <c r="AB23" s="1813" t="s">
        <v>4</v>
      </c>
      <c r="AD23" s="1888" t="s">
        <v>216</v>
      </c>
    </row>
    <row r="24" spans="1:32" ht="10.5">
      <c r="A24" s="1907"/>
      <c r="B24" s="1540"/>
      <c r="C24" s="1941" t="s">
        <v>217</v>
      </c>
      <c r="D24" s="1909" t="s">
        <v>77</v>
      </c>
      <c r="E24" s="1909">
        <f>+AB32</f>
        <v>33</v>
      </c>
      <c r="F24" s="1910">
        <f>+Cotizaciones!D18/2</f>
        <v>13161.34</v>
      </c>
      <c r="G24" s="1911"/>
      <c r="H24" s="1912"/>
      <c r="I24" s="1912"/>
      <c r="J24" s="1913">
        <f t="shared" si="17"/>
        <v>434324.22000000003</v>
      </c>
      <c r="K24" s="1913">
        <f t="shared" si="18"/>
        <v>0</v>
      </c>
      <c r="L24" s="1914"/>
      <c r="M24" s="1915"/>
      <c r="N24" s="1916"/>
      <c r="O24" s="1917"/>
      <c r="P24" s="1918"/>
      <c r="Q24" s="1912"/>
      <c r="R24" s="1912"/>
      <c r="S24" s="1919">
        <f t="shared" si="19"/>
        <v>0</v>
      </c>
      <c r="T24" s="1919">
        <f>(+M24*$M$5+N24*$N$5+O24*$O$5+P24*$P$5)*E24</f>
        <v>0</v>
      </c>
      <c r="U24" s="1905"/>
      <c r="V24" s="1906"/>
      <c r="W24" s="1888" t="s">
        <v>218</v>
      </c>
      <c r="X24" s="1888">
        <v>10</v>
      </c>
      <c r="Y24" s="1888">
        <v>3.6</v>
      </c>
      <c r="Z24" s="1888">
        <f>+X24</f>
        <v>10</v>
      </c>
      <c r="AA24" s="1888">
        <v>2.4</v>
      </c>
      <c r="AB24" s="1888">
        <f>+Z24*AA24</f>
        <v>24</v>
      </c>
      <c r="AD24" s="1888">
        <f>+ROUNDUP(X24/$AD$22,0)</f>
        <v>16</v>
      </c>
      <c r="AE24" s="1888">
        <f>+AD24*AA24</f>
        <v>38.4</v>
      </c>
      <c r="AF24" s="1888">
        <f>+ROUNDUP(AE24/3.7,0)</f>
        <v>11</v>
      </c>
    </row>
    <row r="25" spans="1:32" ht="10.5">
      <c r="A25" s="1907"/>
      <c r="B25" s="1540"/>
      <c r="C25" s="1941" t="s">
        <v>219</v>
      </c>
      <c r="D25" s="1909" t="s">
        <v>77</v>
      </c>
      <c r="E25" s="1909">
        <f>+E26*2</f>
        <v>80</v>
      </c>
      <c r="F25" s="1910">
        <f>+Cotizaciones!D20/2</f>
        <v>970.97399999999993</v>
      </c>
      <c r="G25" s="1911"/>
      <c r="H25" s="1912"/>
      <c r="I25" s="1912"/>
      <c r="J25" s="1913">
        <f t="shared" ref="J25:J43" si="20">+F25*E25</f>
        <v>77677.919999999998</v>
      </c>
      <c r="K25" s="1913">
        <f t="shared" ref="K25:K43" si="21">+G25*E25</f>
        <v>0</v>
      </c>
      <c r="L25" s="1914"/>
      <c r="M25" s="1915"/>
      <c r="N25" s="1916"/>
      <c r="O25" s="1917"/>
      <c r="P25" s="1918"/>
      <c r="Q25" s="1912"/>
      <c r="R25" s="1912"/>
      <c r="S25" s="1919">
        <f t="shared" ref="S25:S30" si="22">+L25*E25</f>
        <v>0</v>
      </c>
      <c r="T25" s="1919">
        <f>(+M25*$M$5+N25*$N$5+O25*$O$5+P25*$P$5)*E25</f>
        <v>0</v>
      </c>
      <c r="U25" s="1905"/>
      <c r="V25" s="1906"/>
      <c r="W25" s="1888" t="s">
        <v>220</v>
      </c>
      <c r="X25" s="1888">
        <f>+X24</f>
        <v>10</v>
      </c>
      <c r="Y25" s="1888">
        <v>3.6</v>
      </c>
      <c r="AB25" s="1888">
        <f>+X25*Y25</f>
        <v>36</v>
      </c>
      <c r="AD25" s="1888">
        <f>+ROUNDUP(Y25/$AD$22,0)</f>
        <v>6</v>
      </c>
      <c r="AE25" s="1888">
        <f>+AD25*X25</f>
        <v>60</v>
      </c>
      <c r="AF25" s="1888">
        <f>+ROUNDUP(AE25/3.7,0)</f>
        <v>17</v>
      </c>
    </row>
    <row r="26" spans="1:32" ht="10.5">
      <c r="A26" s="1907"/>
      <c r="B26" s="1540"/>
      <c r="C26" s="1941" t="s">
        <v>221</v>
      </c>
      <c r="D26" s="1909" t="s">
        <v>77</v>
      </c>
      <c r="E26" s="1909">
        <f>+AF27</f>
        <v>40</v>
      </c>
      <c r="F26" s="1910">
        <f>+Cotizaciones!D21/2</f>
        <v>2184.7139999999999</v>
      </c>
      <c r="G26" s="1911"/>
      <c r="H26" s="1912"/>
      <c r="I26" s="1912"/>
      <c r="J26" s="1913">
        <f t="shared" si="20"/>
        <v>87388.56</v>
      </c>
      <c r="K26" s="1913">
        <f t="shared" si="21"/>
        <v>0</v>
      </c>
      <c r="L26" s="1914"/>
      <c r="M26" s="1915"/>
      <c r="N26" s="1916"/>
      <c r="O26" s="1917"/>
      <c r="P26" s="1918"/>
      <c r="Q26" s="1912"/>
      <c r="R26" s="1912"/>
      <c r="S26" s="1919">
        <f t="shared" si="22"/>
        <v>0</v>
      </c>
      <c r="T26" s="1919">
        <f t="shared" ref="T26:T30" si="23">(+M26*$M$5+N26*$N$5+O26*$O$5+P26*$P$5)*E26</f>
        <v>0</v>
      </c>
      <c r="U26" s="1905"/>
      <c r="V26" s="1906"/>
      <c r="W26" s="1888" t="s">
        <v>222</v>
      </c>
      <c r="X26" s="1888">
        <v>3</v>
      </c>
      <c r="Y26" s="1888">
        <v>3</v>
      </c>
      <c r="AA26" s="1888">
        <v>2.4</v>
      </c>
      <c r="AB26" s="1888">
        <f>+X26*Y26*AA26</f>
        <v>21.599999999999998</v>
      </c>
      <c r="AD26" s="1888">
        <f>+ROUNDUP(Y26*3/$AD$22,0)</f>
        <v>14</v>
      </c>
      <c r="AE26" s="1888">
        <f>+AD26*X26</f>
        <v>42</v>
      </c>
      <c r="AF26" s="1888">
        <f>+ROUNDUP(AE26/3.7,0)</f>
        <v>12</v>
      </c>
    </row>
    <row r="27" spans="1:32" ht="10.5">
      <c r="A27" s="1907"/>
      <c r="B27" s="1540"/>
      <c r="C27" s="1941" t="s">
        <v>1766</v>
      </c>
      <c r="D27" s="1909" t="s">
        <v>77</v>
      </c>
      <c r="E27" s="1909">
        <v>20</v>
      </c>
      <c r="F27" s="1910">
        <f>+F26*2</f>
        <v>4369.4279999999999</v>
      </c>
      <c r="G27" s="1911"/>
      <c r="H27" s="1912"/>
      <c r="I27" s="1912"/>
      <c r="J27" s="1913">
        <f t="shared" ref="J27" si="24">+F27*E27</f>
        <v>87388.56</v>
      </c>
      <c r="K27" s="1913">
        <f t="shared" ref="K27" si="25">+G27*E27</f>
        <v>0</v>
      </c>
      <c r="L27" s="1914"/>
      <c r="M27" s="1915"/>
      <c r="N27" s="1916"/>
      <c r="O27" s="1917"/>
      <c r="P27" s="1918"/>
      <c r="Q27" s="1912"/>
      <c r="R27" s="1912"/>
      <c r="S27" s="1919">
        <f t="shared" si="22"/>
        <v>0</v>
      </c>
      <c r="T27" s="1919">
        <f t="shared" si="23"/>
        <v>0</v>
      </c>
      <c r="U27" s="1905"/>
      <c r="V27" s="1906"/>
      <c r="W27" s="1888" t="s">
        <v>1767</v>
      </c>
      <c r="AF27" s="1951">
        <f>+SUM(AF24:AF26)</f>
        <v>40</v>
      </c>
    </row>
    <row r="28" spans="1:32" ht="10.5">
      <c r="A28" s="1907"/>
      <c r="B28" s="1540"/>
      <c r="C28" s="1941" t="s">
        <v>1768</v>
      </c>
      <c r="D28" s="1909" t="s">
        <v>54</v>
      </c>
      <c r="E28" s="1909">
        <v>0.5</v>
      </c>
      <c r="F28" s="1910">
        <f>+SUM(J25:J27)</f>
        <v>252455.03999999998</v>
      </c>
      <c r="G28" s="1911"/>
      <c r="H28" s="1912"/>
      <c r="I28" s="1912"/>
      <c r="J28" s="1913">
        <f t="shared" ref="J28" si="26">+F28*E28</f>
        <v>126227.51999999999</v>
      </c>
      <c r="K28" s="1913">
        <f t="shared" ref="K28" si="27">+G28*E28</f>
        <v>0</v>
      </c>
      <c r="L28" s="1914"/>
      <c r="M28" s="1915"/>
      <c r="N28" s="1916"/>
      <c r="O28" s="1917"/>
      <c r="P28" s="1918"/>
      <c r="Q28" s="1912"/>
      <c r="R28" s="1912"/>
      <c r="S28" s="1919">
        <f t="shared" si="22"/>
        <v>0</v>
      </c>
      <c r="T28" s="1919">
        <f t="shared" si="23"/>
        <v>0</v>
      </c>
      <c r="U28" s="1905"/>
      <c r="V28" s="1906"/>
      <c r="AF28" s="1951"/>
    </row>
    <row r="29" spans="1:32" ht="10.5">
      <c r="A29" s="1907"/>
      <c r="B29" s="1540"/>
      <c r="C29" s="1941" t="s">
        <v>223</v>
      </c>
      <c r="D29" s="1909" t="s">
        <v>77</v>
      </c>
      <c r="E29" s="1909">
        <v>2</v>
      </c>
      <c r="F29" s="1910"/>
      <c r="G29" s="1911"/>
      <c r="H29" s="1912"/>
      <c r="I29" s="1912"/>
      <c r="J29" s="1913">
        <f t="shared" si="20"/>
        <v>0</v>
      </c>
      <c r="K29" s="1913">
        <f t="shared" si="21"/>
        <v>0</v>
      </c>
      <c r="L29" s="1914">
        <v>250000</v>
      </c>
      <c r="M29" s="1915"/>
      <c r="N29" s="1916"/>
      <c r="O29" s="1917"/>
      <c r="P29" s="1918"/>
      <c r="Q29" s="1912"/>
      <c r="R29" s="1912"/>
      <c r="S29" s="1919">
        <f t="shared" si="22"/>
        <v>500000</v>
      </c>
      <c r="T29" s="1919">
        <f t="shared" si="23"/>
        <v>0</v>
      </c>
      <c r="U29" s="1905"/>
      <c r="V29" s="1906"/>
      <c r="AB29" s="1888">
        <f>+SUM(AB24:AB26)</f>
        <v>81.599999999999994</v>
      </c>
    </row>
    <row r="30" spans="1:32" ht="10.5">
      <c r="A30" s="1907"/>
      <c r="B30" s="1540"/>
      <c r="C30" s="1941" t="s">
        <v>271</v>
      </c>
      <c r="D30" s="1909" t="s">
        <v>54</v>
      </c>
      <c r="E30" s="1909">
        <v>1</v>
      </c>
      <c r="F30" s="1910"/>
      <c r="G30" s="1911">
        <v>100000</v>
      </c>
      <c r="H30" s="1912"/>
      <c r="I30" s="1912"/>
      <c r="J30" s="1913">
        <f t="shared" ref="J30" si="28">+F30*E30</f>
        <v>0</v>
      </c>
      <c r="K30" s="1913">
        <f t="shared" ref="K30" si="29">+G30*E30</f>
        <v>100000</v>
      </c>
      <c r="L30" s="1914"/>
      <c r="M30" s="1915"/>
      <c r="N30" s="1916"/>
      <c r="O30" s="1917"/>
      <c r="P30" s="1918"/>
      <c r="Q30" s="1912"/>
      <c r="R30" s="1912"/>
      <c r="S30" s="1919">
        <f t="shared" si="22"/>
        <v>0</v>
      </c>
      <c r="T30" s="1919">
        <f t="shared" si="23"/>
        <v>0</v>
      </c>
      <c r="U30" s="1905"/>
      <c r="V30" s="1906"/>
    </row>
    <row r="31" spans="1:32" ht="10.5">
      <c r="A31" s="1907"/>
      <c r="B31" s="1540"/>
      <c r="C31" s="1941" t="s">
        <v>224</v>
      </c>
      <c r="D31" s="1909" t="s">
        <v>198</v>
      </c>
      <c r="E31" s="1909">
        <v>5</v>
      </c>
      <c r="F31" s="1910"/>
      <c r="G31" s="1911"/>
      <c r="H31" s="1912"/>
      <c r="I31" s="1912"/>
      <c r="J31" s="1913">
        <f t="shared" si="20"/>
        <v>0</v>
      </c>
      <c r="K31" s="1913">
        <f t="shared" si="21"/>
        <v>0</v>
      </c>
      <c r="L31" s="1914"/>
      <c r="M31" s="1915">
        <v>1</v>
      </c>
      <c r="N31" s="1916">
        <v>1</v>
      </c>
      <c r="O31" s="1917">
        <v>1</v>
      </c>
      <c r="P31" s="1918">
        <v>1</v>
      </c>
      <c r="Q31" s="1912"/>
      <c r="R31" s="1912"/>
      <c r="S31" s="1919">
        <f t="shared" ref="S31" si="30">+L31*E31</f>
        <v>0</v>
      </c>
      <c r="T31" s="1919">
        <f t="shared" ref="T31" si="31">(+M31*$M$5+N31*$N$5+O31*$O$5+P31*$P$5)*E31</f>
        <v>1225958.0276314395</v>
      </c>
      <c r="U31" s="1905"/>
      <c r="V31" s="1906"/>
      <c r="AB31" s="1888">
        <f>1.2*2.4</f>
        <v>2.88</v>
      </c>
    </row>
    <row r="32" spans="1:32" ht="10.5">
      <c r="A32" s="1907"/>
      <c r="B32" s="1540"/>
      <c r="C32" s="1941" t="s">
        <v>225</v>
      </c>
      <c r="D32" s="1909" t="s">
        <v>226</v>
      </c>
      <c r="E32" s="1909">
        <v>1</v>
      </c>
      <c r="F32" s="1910">
        <f>260000/1.21</f>
        <v>214876.03305785125</v>
      </c>
      <c r="G32" s="1911"/>
      <c r="H32" s="1912"/>
      <c r="I32" s="1912"/>
      <c r="J32" s="1913">
        <f t="shared" si="20"/>
        <v>214876.03305785125</v>
      </c>
      <c r="K32" s="1913">
        <f t="shared" si="21"/>
        <v>0</v>
      </c>
      <c r="L32" s="1914"/>
      <c r="M32" s="1915"/>
      <c r="N32" s="1916"/>
      <c r="O32" s="1917"/>
      <c r="P32" s="1918"/>
      <c r="Q32" s="1912"/>
      <c r="R32" s="1912"/>
      <c r="S32" s="1919">
        <f t="shared" ref="S32:S34" si="32">+L32*E32</f>
        <v>0</v>
      </c>
      <c r="T32" s="1919">
        <f t="shared" ref="T32:T34" si="33">(+M32*$M$5+N32*$N$5+O32*$O$5+P32*$P$5)*E32</f>
        <v>0</v>
      </c>
      <c r="U32" s="1905"/>
      <c r="V32" s="1906"/>
      <c r="AB32" s="1888">
        <f>+ROUNDUP(AB29/AB31*1.15,0)</f>
        <v>33</v>
      </c>
      <c r="AD32" s="1888">
        <f>+SUM(AD24:AD31)*1.15</f>
        <v>41.4</v>
      </c>
    </row>
    <row r="33" spans="1:22" ht="10.5">
      <c r="A33" s="1907"/>
      <c r="B33" s="1540"/>
      <c r="C33" s="1941" t="s">
        <v>227</v>
      </c>
      <c r="D33" s="1909" t="s">
        <v>77</v>
      </c>
      <c r="E33" s="1909">
        <v>10</v>
      </c>
      <c r="F33" s="1910">
        <f>4475/1.21/10</f>
        <v>369.83471074380168</v>
      </c>
      <c r="G33" s="1911"/>
      <c r="H33" s="1912"/>
      <c r="I33" s="1912"/>
      <c r="J33" s="1913">
        <f t="shared" si="20"/>
        <v>3698.3471074380168</v>
      </c>
      <c r="K33" s="1913">
        <f t="shared" si="21"/>
        <v>0</v>
      </c>
      <c r="L33" s="1914"/>
      <c r="M33" s="1915"/>
      <c r="N33" s="1916"/>
      <c r="O33" s="1917"/>
      <c r="P33" s="1918"/>
      <c r="Q33" s="1912"/>
      <c r="R33" s="1912"/>
      <c r="S33" s="1919">
        <f t="shared" si="32"/>
        <v>0</v>
      </c>
      <c r="T33" s="1919">
        <f t="shared" si="33"/>
        <v>0</v>
      </c>
      <c r="U33" s="1905"/>
      <c r="V33" s="1906"/>
    </row>
    <row r="34" spans="1:22" ht="10.5">
      <c r="A34" s="1907"/>
      <c r="B34" s="1540"/>
      <c r="C34" s="1941" t="s">
        <v>228</v>
      </c>
      <c r="D34" s="1909" t="s">
        <v>77</v>
      </c>
      <c r="E34" s="1909">
        <f>+E33</f>
        <v>10</v>
      </c>
      <c r="F34" s="1910">
        <f>14300/1.21/5</f>
        <v>2363.6363636363635</v>
      </c>
      <c r="G34" s="1911"/>
      <c r="H34" s="1912"/>
      <c r="I34" s="1912"/>
      <c r="J34" s="1913">
        <f t="shared" si="20"/>
        <v>23636.363636363636</v>
      </c>
      <c r="K34" s="1913">
        <f t="shared" si="21"/>
        <v>0</v>
      </c>
      <c r="L34" s="1914"/>
      <c r="M34" s="1915"/>
      <c r="N34" s="1916"/>
      <c r="O34" s="1917"/>
      <c r="P34" s="1918"/>
      <c r="Q34" s="1912"/>
      <c r="R34" s="1912"/>
      <c r="S34" s="1919">
        <f t="shared" si="32"/>
        <v>0</v>
      </c>
      <c r="T34" s="1919">
        <f t="shared" si="33"/>
        <v>0</v>
      </c>
      <c r="U34" s="1905"/>
      <c r="V34" s="1906"/>
    </row>
    <row r="35" spans="1:22" ht="10.5">
      <c r="A35" s="1907"/>
      <c r="B35" s="1540"/>
      <c r="C35" s="1941" t="s">
        <v>1764</v>
      </c>
      <c r="D35" s="1909" t="s">
        <v>54</v>
      </c>
      <c r="E35" s="1909">
        <v>0.25</v>
      </c>
      <c r="F35" s="1910">
        <f>+SUM(J32:J34)</f>
        <v>242210.74380165292</v>
      </c>
      <c r="G35" s="1911"/>
      <c r="H35" s="1912"/>
      <c r="I35" s="1912"/>
      <c r="J35" s="1913">
        <f t="shared" ref="J35" si="34">+F35*E35</f>
        <v>60552.68595041323</v>
      </c>
      <c r="K35" s="1913">
        <f t="shared" ref="K35" si="35">+G35*E35</f>
        <v>0</v>
      </c>
      <c r="L35" s="1914"/>
      <c r="M35" s="1915"/>
      <c r="N35" s="1916"/>
      <c r="O35" s="1917"/>
      <c r="P35" s="1918"/>
      <c r="Q35" s="1912"/>
      <c r="R35" s="1912"/>
      <c r="S35" s="1919">
        <f t="shared" ref="S35:S41" si="36">+L35*E35</f>
        <v>0</v>
      </c>
      <c r="T35" s="1919">
        <f t="shared" ref="T35:T41" si="37">(+M35*$M$5+N35*$N$5+O35*$O$5+P35*$P$5)*E35</f>
        <v>0</v>
      </c>
      <c r="U35" s="1905"/>
      <c r="V35" s="1906"/>
    </row>
    <row r="36" spans="1:22" ht="10.5">
      <c r="A36" s="1907"/>
      <c r="B36" s="1540"/>
      <c r="C36" s="1941" t="s">
        <v>229</v>
      </c>
      <c r="D36" s="1909" t="s">
        <v>198</v>
      </c>
      <c r="E36" s="1909">
        <v>3</v>
      </c>
      <c r="F36" s="1910"/>
      <c r="G36" s="1911"/>
      <c r="H36" s="1912"/>
      <c r="I36" s="1912"/>
      <c r="J36" s="1913">
        <f t="shared" si="20"/>
        <v>0</v>
      </c>
      <c r="K36" s="1913">
        <f t="shared" si="21"/>
        <v>0</v>
      </c>
      <c r="L36" s="1914"/>
      <c r="M36" s="1915">
        <v>1</v>
      </c>
      <c r="N36" s="1916">
        <v>1</v>
      </c>
      <c r="O36" s="1917"/>
      <c r="P36" s="1918"/>
      <c r="Q36" s="1912"/>
      <c r="R36" s="1912"/>
      <c r="S36" s="1919">
        <f t="shared" si="36"/>
        <v>0</v>
      </c>
      <c r="T36" s="1919">
        <f t="shared" si="37"/>
        <v>421419.88959943189</v>
      </c>
      <c r="U36" s="1905"/>
      <c r="V36" s="1906"/>
    </row>
    <row r="37" spans="1:22" ht="10.5">
      <c r="A37" s="1907"/>
      <c r="B37" s="1540"/>
      <c r="C37" s="1941" t="s">
        <v>230</v>
      </c>
      <c r="D37" s="1909" t="s">
        <v>54</v>
      </c>
      <c r="E37" s="1909">
        <v>1</v>
      </c>
      <c r="F37" s="1910">
        <v>500000</v>
      </c>
      <c r="G37" s="1911"/>
      <c r="H37" s="1912"/>
      <c r="I37" s="1912"/>
      <c r="J37" s="1913">
        <f t="shared" si="20"/>
        <v>500000</v>
      </c>
      <c r="K37" s="1913">
        <f t="shared" si="21"/>
        <v>0</v>
      </c>
      <c r="L37" s="1914"/>
      <c r="M37" s="1915"/>
      <c r="N37" s="1916"/>
      <c r="O37" s="1917"/>
      <c r="P37" s="1918"/>
      <c r="Q37" s="1912"/>
      <c r="R37" s="1912"/>
      <c r="S37" s="1919">
        <f t="shared" si="36"/>
        <v>0</v>
      </c>
      <c r="T37" s="1919">
        <f t="shared" si="37"/>
        <v>0</v>
      </c>
      <c r="U37" s="1905"/>
      <c r="V37" s="1906"/>
    </row>
    <row r="38" spans="1:22" ht="10.5">
      <c r="A38" s="1907"/>
      <c r="B38" s="1540"/>
      <c r="C38" s="1941" t="s">
        <v>1763</v>
      </c>
      <c r="D38" s="1909" t="s">
        <v>77</v>
      </c>
      <c r="E38" s="1909">
        <v>2</v>
      </c>
      <c r="F38" s="1910">
        <v>100000</v>
      </c>
      <c r="G38" s="1911"/>
      <c r="H38" s="1912"/>
      <c r="I38" s="1912"/>
      <c r="J38" s="1913">
        <f t="shared" si="20"/>
        <v>200000</v>
      </c>
      <c r="K38" s="1913">
        <f t="shared" si="21"/>
        <v>0</v>
      </c>
      <c r="L38" s="1914"/>
      <c r="M38" s="1915"/>
      <c r="N38" s="1916"/>
      <c r="O38" s="1917"/>
      <c r="P38" s="1918"/>
      <c r="Q38" s="1912"/>
      <c r="R38" s="1912"/>
      <c r="S38" s="1919">
        <f t="shared" si="36"/>
        <v>0</v>
      </c>
      <c r="T38" s="1919">
        <f t="shared" si="37"/>
        <v>0</v>
      </c>
      <c r="U38" s="1905"/>
      <c r="V38" s="1906"/>
    </row>
    <row r="39" spans="1:22" ht="10.5">
      <c r="A39" s="1907"/>
      <c r="B39" s="1540"/>
      <c r="C39" s="1941" t="s">
        <v>1748</v>
      </c>
      <c r="D39" s="1909" t="s">
        <v>77</v>
      </c>
      <c r="E39" s="1909">
        <v>2</v>
      </c>
      <c r="F39" s="1910">
        <v>25000</v>
      </c>
      <c r="G39" s="1911"/>
      <c r="H39" s="1912"/>
      <c r="I39" s="1912"/>
      <c r="J39" s="1913">
        <f t="shared" ref="J39:J42" si="38">+F39*E39</f>
        <v>50000</v>
      </c>
      <c r="K39" s="1913">
        <f t="shared" ref="K39:K42" si="39">+G39*E39</f>
        <v>0</v>
      </c>
      <c r="L39" s="1914"/>
      <c r="M39" s="1915"/>
      <c r="N39" s="1916"/>
      <c r="O39" s="1917"/>
      <c r="P39" s="1918"/>
      <c r="Q39" s="1912"/>
      <c r="R39" s="1912"/>
      <c r="S39" s="1919">
        <f t="shared" si="36"/>
        <v>0</v>
      </c>
      <c r="T39" s="1919">
        <f t="shared" si="37"/>
        <v>0</v>
      </c>
      <c r="U39" s="1905"/>
      <c r="V39" s="1906"/>
    </row>
    <row r="40" spans="1:22" ht="10.5">
      <c r="A40" s="1907"/>
      <c r="B40" s="1540"/>
      <c r="C40" s="1941" t="s">
        <v>231</v>
      </c>
      <c r="D40" s="1909" t="s">
        <v>77</v>
      </c>
      <c r="E40" s="1909">
        <v>2</v>
      </c>
      <c r="F40" s="1910">
        <f>30000/1.21</f>
        <v>24793.388429752067</v>
      </c>
      <c r="G40" s="1911"/>
      <c r="H40" s="1912"/>
      <c r="I40" s="1912"/>
      <c r="J40" s="1913">
        <f t="shared" si="38"/>
        <v>49586.776859504134</v>
      </c>
      <c r="K40" s="1913">
        <f t="shared" si="39"/>
        <v>0</v>
      </c>
      <c r="L40" s="1914"/>
      <c r="M40" s="1915"/>
      <c r="N40" s="1916"/>
      <c r="O40" s="1917"/>
      <c r="P40" s="1918"/>
      <c r="Q40" s="1912"/>
      <c r="R40" s="1912"/>
      <c r="S40" s="1919">
        <f t="shared" si="36"/>
        <v>0</v>
      </c>
      <c r="T40" s="1919">
        <f t="shared" si="37"/>
        <v>0</v>
      </c>
      <c r="U40" s="1905"/>
      <c r="V40" s="1906"/>
    </row>
    <row r="41" spans="1:22" ht="10.5">
      <c r="A41" s="1907"/>
      <c r="B41" s="1540"/>
      <c r="C41" s="1941" t="s">
        <v>232</v>
      </c>
      <c r="D41" s="1909" t="s">
        <v>77</v>
      </c>
      <c r="E41" s="1909">
        <v>1</v>
      </c>
      <c r="F41" s="1910">
        <v>200000</v>
      </c>
      <c r="G41" s="1911"/>
      <c r="H41" s="1912"/>
      <c r="I41" s="1912"/>
      <c r="J41" s="1913">
        <f t="shared" si="38"/>
        <v>200000</v>
      </c>
      <c r="K41" s="1913">
        <f t="shared" si="39"/>
        <v>0</v>
      </c>
      <c r="L41" s="1914"/>
      <c r="M41" s="1915"/>
      <c r="N41" s="1916"/>
      <c r="O41" s="1917"/>
      <c r="P41" s="1918"/>
      <c r="Q41" s="1912"/>
      <c r="R41" s="1912"/>
      <c r="S41" s="1919">
        <f t="shared" si="36"/>
        <v>0</v>
      </c>
      <c r="T41" s="1919">
        <f t="shared" si="37"/>
        <v>0</v>
      </c>
      <c r="U41" s="1905"/>
      <c r="V41" s="1906"/>
    </row>
    <row r="42" spans="1:22" ht="10.5">
      <c r="A42" s="1907"/>
      <c r="B42" s="1540"/>
      <c r="C42" s="1941" t="s">
        <v>233</v>
      </c>
      <c r="D42" s="1909" t="s">
        <v>198</v>
      </c>
      <c r="E42" s="1909">
        <v>4</v>
      </c>
      <c r="F42" s="1910"/>
      <c r="G42" s="1911"/>
      <c r="H42" s="1912"/>
      <c r="I42" s="1912"/>
      <c r="J42" s="1913">
        <f t="shared" si="38"/>
        <v>0</v>
      </c>
      <c r="K42" s="1913">
        <f t="shared" si="39"/>
        <v>0</v>
      </c>
      <c r="L42" s="1914"/>
      <c r="M42" s="1915">
        <v>1</v>
      </c>
      <c r="N42" s="1916">
        <v>1</v>
      </c>
      <c r="O42" s="1917"/>
      <c r="P42" s="1918"/>
      <c r="Q42" s="1912"/>
      <c r="R42" s="1912"/>
      <c r="S42" s="1919">
        <f t="shared" ref="S42" si="40">+L42*E42</f>
        <v>0</v>
      </c>
      <c r="T42" s="1919">
        <f t="shared" ref="T42" si="41">(+M42*$M$5+N42*$N$5+O42*$O$5+P42*$P$5)*E42</f>
        <v>561893.18613257585</v>
      </c>
      <c r="U42" s="1905"/>
      <c r="V42" s="1906"/>
    </row>
    <row r="43" spans="1:22" ht="10.5">
      <c r="A43" s="1952"/>
      <c r="B43" s="1555"/>
      <c r="C43" s="1953" t="s">
        <v>234</v>
      </c>
      <c r="D43" s="1954" t="s">
        <v>61</v>
      </c>
      <c r="E43" s="1954">
        <f>+GGBB!F4</f>
        <v>14</v>
      </c>
      <c r="F43" s="1955"/>
      <c r="G43" s="1956"/>
      <c r="H43" s="1957"/>
      <c r="I43" s="1957"/>
      <c r="J43" s="1958">
        <f t="shared" si="20"/>
        <v>0</v>
      </c>
      <c r="K43" s="1958">
        <f t="shared" si="21"/>
        <v>0</v>
      </c>
      <c r="L43" s="1959"/>
      <c r="M43" s="1960"/>
      <c r="N43" s="1961">
        <v>0.5</v>
      </c>
      <c r="O43" s="1962"/>
      <c r="P43" s="1963">
        <v>0.5</v>
      </c>
      <c r="Q43" s="1957"/>
      <c r="R43" s="1957"/>
      <c r="S43" s="1919">
        <f t="shared" ref="S43" si="42">+L43*E43</f>
        <v>0</v>
      </c>
      <c r="T43" s="1919">
        <f t="shared" ref="T43" si="43">(+M43*$M$5+N43*$N$5+O43*$O$5+P43*$P$5)*E43</f>
        <v>807061.3987320076</v>
      </c>
      <c r="U43" s="1905"/>
      <c r="V43" s="1906"/>
    </row>
    <row r="44" spans="1:22" ht="10.5">
      <c r="A44" s="1834">
        <f>+'01'!A15</f>
        <v>1.07</v>
      </c>
      <c r="B44" s="1556" t="str">
        <f>+'01'!B15</f>
        <v>OK</v>
      </c>
      <c r="C44" s="1834" t="str">
        <f>+'01'!C15</f>
        <v>Conexión pilar y luz de obra + Tablero de obra</v>
      </c>
      <c r="D44" s="1556" t="str">
        <f>+'01'!D15</f>
        <v>gl</v>
      </c>
      <c r="E44" s="1556">
        <f>+'01'!E15</f>
        <v>1</v>
      </c>
      <c r="F44" s="1896"/>
      <c r="G44" s="1897"/>
      <c r="H44" s="1898">
        <f>+J44/E44</f>
        <v>795578.51239669416</v>
      </c>
      <c r="I44" s="1898">
        <f>+K44/E44</f>
        <v>50000</v>
      </c>
      <c r="J44" s="1824">
        <f>+SUM(J45:J50)</f>
        <v>795578.51239669416</v>
      </c>
      <c r="K44" s="1824">
        <f>+SUM(K45:K50)</f>
        <v>50000</v>
      </c>
      <c r="L44" s="1899"/>
      <c r="M44" s="1900"/>
      <c r="N44" s="1901"/>
      <c r="O44" s="1902"/>
      <c r="P44" s="1903"/>
      <c r="Q44" s="1898">
        <f>+U44/E44</f>
        <v>0</v>
      </c>
      <c r="R44" s="1898">
        <f>+V44/E44</f>
        <v>511535.56413257582</v>
      </c>
      <c r="S44" s="1964"/>
      <c r="T44" s="1964"/>
      <c r="U44" s="1906">
        <f>SUM(S45:S50)</f>
        <v>0</v>
      </c>
      <c r="V44" s="1906">
        <f>SUM(T45:T50)</f>
        <v>511535.56413257582</v>
      </c>
    </row>
    <row r="45" spans="1:22" ht="10.5">
      <c r="A45" s="1907"/>
      <c r="B45" s="1540"/>
      <c r="C45" s="1941" t="s">
        <v>235</v>
      </c>
      <c r="D45" s="1909" t="s">
        <v>198</v>
      </c>
      <c r="E45" s="1909">
        <v>2</v>
      </c>
      <c r="F45" s="1910"/>
      <c r="G45" s="1911">
        <v>25000</v>
      </c>
      <c r="H45" s="1912"/>
      <c r="I45" s="1912"/>
      <c r="J45" s="1913">
        <f t="shared" ref="J45:J46" si="44">+F45*E45</f>
        <v>0</v>
      </c>
      <c r="K45" s="1913">
        <f t="shared" ref="K45:K46" si="45">+G45*E45</f>
        <v>50000</v>
      </c>
      <c r="L45" s="1914"/>
      <c r="M45" s="1915"/>
      <c r="N45" s="1916">
        <v>1</v>
      </c>
      <c r="O45" s="1917"/>
      <c r="P45" s="1918">
        <v>1</v>
      </c>
      <c r="Q45" s="1912"/>
      <c r="R45" s="1912"/>
      <c r="S45" s="1919">
        <f t="shared" ref="S45:S46" si="46">+L45*E45</f>
        <v>0</v>
      </c>
      <c r="T45" s="1919">
        <f>(+M45*$M$5+N45*$N$5+O45*$O$5+P45*$P$5)*E45</f>
        <v>230588.97106628789</v>
      </c>
      <c r="U45" s="1906"/>
      <c r="V45" s="1906"/>
    </row>
    <row r="46" spans="1:22" ht="10.5">
      <c r="A46" s="1907"/>
      <c r="B46" s="1540"/>
      <c r="C46" s="1941" t="s">
        <v>236</v>
      </c>
      <c r="D46" s="1909" t="s">
        <v>54</v>
      </c>
      <c r="E46" s="1909">
        <v>1</v>
      </c>
      <c r="F46" s="1910">
        <v>150000</v>
      </c>
      <c r="G46" s="1911"/>
      <c r="H46" s="1912"/>
      <c r="I46" s="1912"/>
      <c r="J46" s="1913">
        <f t="shared" si="44"/>
        <v>150000</v>
      </c>
      <c r="K46" s="1913">
        <f t="shared" si="45"/>
        <v>0</v>
      </c>
      <c r="L46" s="1914"/>
      <c r="M46" s="1915"/>
      <c r="N46" s="1916"/>
      <c r="O46" s="1917"/>
      <c r="P46" s="1918"/>
      <c r="Q46" s="1912"/>
      <c r="R46" s="1912"/>
      <c r="S46" s="1919">
        <f t="shared" si="46"/>
        <v>0</v>
      </c>
      <c r="T46" s="1919">
        <f>(+M46*$M$5+N46*$N$5+O46*$O$5+P46*$P$5)*E46</f>
        <v>0</v>
      </c>
      <c r="U46" s="1906"/>
      <c r="V46" s="1906"/>
    </row>
    <row r="47" spans="1:22" ht="10.5">
      <c r="A47" s="1907"/>
      <c r="B47" s="1540"/>
      <c r="C47" s="1941" t="s">
        <v>237</v>
      </c>
      <c r="D47" s="1909" t="s">
        <v>54</v>
      </c>
      <c r="E47" s="1909">
        <v>1</v>
      </c>
      <c r="F47" s="1910">
        <v>15000</v>
      </c>
      <c r="G47" s="1911"/>
      <c r="H47" s="1912"/>
      <c r="I47" s="1912"/>
      <c r="J47" s="1913">
        <f t="shared" ref="J47:J48" si="47">+F47*E47</f>
        <v>15000</v>
      </c>
      <c r="K47" s="1913">
        <f t="shared" ref="K47:K48" si="48">+G47*E47</f>
        <v>0</v>
      </c>
      <c r="L47" s="1914"/>
      <c r="M47" s="1915"/>
      <c r="N47" s="1916"/>
      <c r="O47" s="1917"/>
      <c r="P47" s="1918"/>
      <c r="Q47" s="1912"/>
      <c r="R47" s="1912"/>
      <c r="S47" s="1919">
        <f t="shared" ref="S47" si="49">+L47*E47</f>
        <v>0</v>
      </c>
      <c r="T47" s="1919">
        <f t="shared" ref="T47" si="50">(+M47*$M$5+N47*$N$5+O47*$O$5+P47*$P$5)*E47</f>
        <v>0</v>
      </c>
      <c r="U47" s="1906"/>
      <c r="V47" s="1906"/>
    </row>
    <row r="48" spans="1:22" ht="10.5">
      <c r="A48" s="1907"/>
      <c r="B48" s="1540"/>
      <c r="C48" s="1941" t="s">
        <v>238</v>
      </c>
      <c r="D48" s="1909" t="s">
        <v>239</v>
      </c>
      <c r="E48" s="1909">
        <v>20</v>
      </c>
      <c r="F48" s="1910">
        <f>20000/1.21</f>
        <v>16528.92561983471</v>
      </c>
      <c r="G48" s="1911"/>
      <c r="H48" s="1912"/>
      <c r="I48" s="1912"/>
      <c r="J48" s="1913">
        <f t="shared" si="47"/>
        <v>330578.51239669422</v>
      </c>
      <c r="K48" s="1913">
        <f t="shared" si="48"/>
        <v>0</v>
      </c>
      <c r="L48" s="1914"/>
      <c r="M48" s="1915"/>
      <c r="N48" s="1916"/>
      <c r="O48" s="1917"/>
      <c r="P48" s="1918"/>
      <c r="Q48" s="1912"/>
      <c r="R48" s="1912"/>
      <c r="S48" s="1919">
        <f t="shared" ref="S48" si="51">+L48*E48</f>
        <v>0</v>
      </c>
      <c r="T48" s="1919">
        <f t="shared" ref="T48" si="52">(+M48*$M$5+N48*$N$5+O48*$O$5+P48*$P$5)*E48</f>
        <v>0</v>
      </c>
      <c r="U48" s="1906"/>
      <c r="V48" s="1906"/>
    </row>
    <row r="49" spans="1:22" ht="10.5">
      <c r="A49" s="1907"/>
      <c r="B49" s="1540"/>
      <c r="C49" s="1941" t="s">
        <v>240</v>
      </c>
      <c r="D49" s="1909" t="s">
        <v>54</v>
      </c>
      <c r="E49" s="1909">
        <v>1</v>
      </c>
      <c r="F49" s="1910">
        <v>300000</v>
      </c>
      <c r="G49" s="1911"/>
      <c r="H49" s="1912"/>
      <c r="I49" s="1912"/>
      <c r="J49" s="1913">
        <f t="shared" ref="J49:J50" si="53">+F49*E49</f>
        <v>300000</v>
      </c>
      <c r="K49" s="1913">
        <f t="shared" ref="K49:K50" si="54">+G49*E49</f>
        <v>0</v>
      </c>
      <c r="L49" s="1914"/>
      <c r="M49" s="1915"/>
      <c r="N49" s="1916"/>
      <c r="O49" s="1917"/>
      <c r="P49" s="1918"/>
      <c r="Q49" s="1912"/>
      <c r="R49" s="1912"/>
      <c r="S49" s="1919">
        <f t="shared" ref="S49:S50" si="55">+L49*E49</f>
        <v>0</v>
      </c>
      <c r="T49" s="1919">
        <f t="shared" ref="T49:T50" si="56">(+M49*$M$5+N49*$N$5+O49*$O$5+P49*$P$5)*E49</f>
        <v>0</v>
      </c>
      <c r="U49" s="1906"/>
      <c r="V49" s="1906"/>
    </row>
    <row r="50" spans="1:22" ht="10.5">
      <c r="A50" s="1943"/>
      <c r="B50" s="1541"/>
      <c r="C50" s="1944" t="s">
        <v>229</v>
      </c>
      <c r="D50" s="1929" t="s">
        <v>198</v>
      </c>
      <c r="E50" s="1929">
        <v>2</v>
      </c>
      <c r="F50" s="1930"/>
      <c r="G50" s="1931"/>
      <c r="H50" s="1945"/>
      <c r="I50" s="1945"/>
      <c r="J50" s="1933">
        <f t="shared" si="53"/>
        <v>0</v>
      </c>
      <c r="K50" s="1933">
        <f t="shared" si="54"/>
        <v>0</v>
      </c>
      <c r="L50" s="1946"/>
      <c r="M50" s="1947">
        <v>1</v>
      </c>
      <c r="N50" s="1948">
        <v>1</v>
      </c>
      <c r="O50" s="1949"/>
      <c r="P50" s="1950"/>
      <c r="Q50" s="1945"/>
      <c r="R50" s="1945"/>
      <c r="S50" s="1919">
        <f t="shared" si="55"/>
        <v>0</v>
      </c>
      <c r="T50" s="1919">
        <f t="shared" si="56"/>
        <v>280946.59306628793</v>
      </c>
      <c r="U50" s="1906"/>
      <c r="V50" s="1906"/>
    </row>
    <row r="51" spans="1:22" ht="10.5">
      <c r="A51" s="1834">
        <f>+'01'!A16</f>
        <v>1.08</v>
      </c>
      <c r="B51" s="1556" t="str">
        <f>+'01'!B16</f>
        <v>OK</v>
      </c>
      <c r="C51" s="1834" t="str">
        <f>+'01'!C16</f>
        <v>Conexión agua de obra, tanque + bomba</v>
      </c>
      <c r="D51" s="1556" t="str">
        <f>+'01'!D16</f>
        <v>gl</v>
      </c>
      <c r="E51" s="1556">
        <f>+'01'!E16</f>
        <v>1</v>
      </c>
      <c r="F51" s="1896"/>
      <c r="G51" s="1897"/>
      <c r="H51" s="1898">
        <f>+J51/E51</f>
        <v>680400</v>
      </c>
      <c r="I51" s="1898">
        <f>+K51/E51</f>
        <v>0</v>
      </c>
      <c r="J51" s="1824">
        <f>+SUM(J52:J60)</f>
        <v>680400</v>
      </c>
      <c r="K51" s="1824">
        <f>+SUM(K52:K60)</f>
        <v>0</v>
      </c>
      <c r="L51" s="1899"/>
      <c r="M51" s="1900"/>
      <c r="N51" s="1901"/>
      <c r="O51" s="1902"/>
      <c r="P51" s="1903"/>
      <c r="Q51" s="1898">
        <f>+U51/E51</f>
        <v>0</v>
      </c>
      <c r="R51" s="1898">
        <f>+V51/E51</f>
        <v>421419.88959943189</v>
      </c>
      <c r="S51" s="1964"/>
      <c r="T51" s="1964"/>
      <c r="U51" s="1906">
        <f>SUM(S52:S60)</f>
        <v>0</v>
      </c>
      <c r="V51" s="1906">
        <f>SUM(T52:T60)</f>
        <v>421419.88959943189</v>
      </c>
    </row>
    <row r="52" spans="1:22" ht="10.5">
      <c r="A52" s="1907"/>
      <c r="B52" s="1540"/>
      <c r="C52" s="1941" t="s">
        <v>241</v>
      </c>
      <c r="D52" s="1909" t="s">
        <v>77</v>
      </c>
      <c r="E52" s="1909">
        <v>1</v>
      </c>
      <c r="F52" s="1910">
        <v>150000</v>
      </c>
      <c r="G52" s="1911"/>
      <c r="H52" s="1912"/>
      <c r="I52" s="1912"/>
      <c r="J52" s="1913">
        <f t="shared" ref="J52:J55" si="57">+F52*E52</f>
        <v>150000</v>
      </c>
      <c r="K52" s="1913">
        <f t="shared" ref="K52:K55" si="58">+G52*E52</f>
        <v>0</v>
      </c>
      <c r="L52" s="1914"/>
      <c r="M52" s="1915"/>
      <c r="N52" s="1916"/>
      <c r="O52" s="1917"/>
      <c r="P52" s="1918"/>
      <c r="Q52" s="1912"/>
      <c r="R52" s="1912"/>
      <c r="S52" s="1919">
        <f t="shared" ref="S52:S56" si="59">+L52*E52</f>
        <v>0</v>
      </c>
      <c r="T52" s="1919">
        <f>(+M52*$M$5+N52*$N$5+O52*$O$5+P52*$P$5)*E52</f>
        <v>0</v>
      </c>
      <c r="U52" s="1906"/>
      <c r="V52" s="1906"/>
    </row>
    <row r="53" spans="1:22" ht="10.5">
      <c r="A53" s="1907"/>
      <c r="B53" s="1540"/>
      <c r="C53" s="1941" t="s">
        <v>242</v>
      </c>
      <c r="D53" s="1909" t="s">
        <v>77</v>
      </c>
      <c r="E53" s="1909">
        <v>1</v>
      </c>
      <c r="F53" s="1910">
        <v>200000</v>
      </c>
      <c r="G53" s="1911"/>
      <c r="H53" s="1912"/>
      <c r="I53" s="1912"/>
      <c r="J53" s="1913">
        <f t="shared" si="57"/>
        <v>200000</v>
      </c>
      <c r="K53" s="1913">
        <f t="shared" si="58"/>
        <v>0</v>
      </c>
      <c r="L53" s="1914"/>
      <c r="M53" s="1915"/>
      <c r="N53" s="1916"/>
      <c r="O53" s="1917"/>
      <c r="P53" s="1918"/>
      <c r="Q53" s="1912"/>
      <c r="R53" s="1912"/>
      <c r="S53" s="1919">
        <f t="shared" si="59"/>
        <v>0</v>
      </c>
      <c r="T53" s="1919">
        <f>(+M53*$M$5+N53*$N$5+O53*$O$5+P53*$P$5)*E53</f>
        <v>0</v>
      </c>
      <c r="U53" s="1906"/>
      <c r="V53" s="1906"/>
    </row>
    <row r="54" spans="1:22" ht="10.5">
      <c r="A54" s="1907"/>
      <c r="B54" s="1540"/>
      <c r="C54" s="1941" t="s">
        <v>243</v>
      </c>
      <c r="D54" s="1909" t="s">
        <v>77</v>
      </c>
      <c r="E54" s="1909">
        <v>1</v>
      </c>
      <c r="F54" s="1910">
        <v>50000</v>
      </c>
      <c r="G54" s="1911"/>
      <c r="H54" s="1912"/>
      <c r="I54" s="1912"/>
      <c r="J54" s="1913">
        <f t="shared" si="57"/>
        <v>50000</v>
      </c>
      <c r="K54" s="1913">
        <f t="shared" si="58"/>
        <v>0</v>
      </c>
      <c r="L54" s="1914"/>
      <c r="M54" s="1915"/>
      <c r="N54" s="1916"/>
      <c r="O54" s="1917"/>
      <c r="P54" s="1918"/>
      <c r="Q54" s="1912"/>
      <c r="R54" s="1912"/>
      <c r="S54" s="1919">
        <f t="shared" si="59"/>
        <v>0</v>
      </c>
      <c r="T54" s="1919">
        <f t="shared" ref="T54:T56" si="60">(+M54*$M$5+N54*$N$5+O54*$O$5+P54*$P$5)*E54</f>
        <v>0</v>
      </c>
      <c r="U54" s="1906"/>
      <c r="V54" s="1906"/>
    </row>
    <row r="55" spans="1:22" ht="10.5">
      <c r="A55" s="1907"/>
      <c r="B55" s="1540"/>
      <c r="C55" s="1941" t="s">
        <v>244</v>
      </c>
      <c r="D55" s="1909" t="s">
        <v>77</v>
      </c>
      <c r="E55" s="1909">
        <v>1</v>
      </c>
      <c r="F55" s="1910">
        <v>10000</v>
      </c>
      <c r="G55" s="1911"/>
      <c r="H55" s="1912"/>
      <c r="I55" s="1912"/>
      <c r="J55" s="1913">
        <f t="shared" si="57"/>
        <v>10000</v>
      </c>
      <c r="K55" s="1913">
        <f t="shared" si="58"/>
        <v>0</v>
      </c>
      <c r="L55" s="1914"/>
      <c r="M55" s="1915"/>
      <c r="N55" s="1916"/>
      <c r="O55" s="1917"/>
      <c r="P55" s="1918"/>
      <c r="Q55" s="1912"/>
      <c r="R55" s="1912"/>
      <c r="S55" s="1919">
        <f t="shared" si="59"/>
        <v>0</v>
      </c>
      <c r="T55" s="1919">
        <f t="shared" si="60"/>
        <v>0</v>
      </c>
      <c r="U55" s="1906"/>
      <c r="V55" s="1906"/>
    </row>
    <row r="56" spans="1:22" ht="10.5">
      <c r="A56" s="1907"/>
      <c r="B56" s="1540"/>
      <c r="C56" s="1941" t="s">
        <v>245</v>
      </c>
      <c r="D56" s="1909" t="s">
        <v>77</v>
      </c>
      <c r="E56" s="1909">
        <f>60/6</f>
        <v>10</v>
      </c>
      <c r="F56" s="1910">
        <v>10000</v>
      </c>
      <c r="G56" s="1911"/>
      <c r="H56" s="1912"/>
      <c r="I56" s="1912"/>
      <c r="J56" s="1913">
        <f t="shared" ref="J56:J60" si="61">+F56*E56</f>
        <v>100000</v>
      </c>
      <c r="K56" s="1913">
        <f t="shared" ref="K56:K60" si="62">+G56*E56</f>
        <v>0</v>
      </c>
      <c r="L56" s="1914"/>
      <c r="M56" s="1915"/>
      <c r="N56" s="1916"/>
      <c r="O56" s="1917"/>
      <c r="P56" s="1918"/>
      <c r="Q56" s="1912"/>
      <c r="R56" s="1912"/>
      <c r="S56" s="1919">
        <f t="shared" si="59"/>
        <v>0</v>
      </c>
      <c r="T56" s="1919">
        <f t="shared" si="60"/>
        <v>0</v>
      </c>
      <c r="U56" s="1906"/>
      <c r="V56" s="1906"/>
    </row>
    <row r="57" spans="1:22" ht="10.5">
      <c r="A57" s="1907"/>
      <c r="B57" s="1540"/>
      <c r="C57" s="1941" t="s">
        <v>246</v>
      </c>
      <c r="D57" s="1909" t="s">
        <v>77</v>
      </c>
      <c r="E57" s="1909">
        <v>3</v>
      </c>
      <c r="F57" s="1910">
        <v>15000</v>
      </c>
      <c r="G57" s="1911"/>
      <c r="H57" s="1912"/>
      <c r="I57" s="1912"/>
      <c r="J57" s="1913">
        <f t="shared" si="61"/>
        <v>45000</v>
      </c>
      <c r="K57" s="1913">
        <f t="shared" si="62"/>
        <v>0</v>
      </c>
      <c r="L57" s="1914"/>
      <c r="M57" s="1915"/>
      <c r="N57" s="1916"/>
      <c r="O57" s="1917"/>
      <c r="P57" s="1918"/>
      <c r="Q57" s="1912"/>
      <c r="R57" s="1912"/>
      <c r="S57" s="1919">
        <f t="shared" ref="S57:S60" si="63">+L57*E57</f>
        <v>0</v>
      </c>
      <c r="T57" s="1919">
        <f t="shared" ref="T57:T60" si="64">(+M57*$M$5+N57*$N$5+O57*$O$5+P57*$P$5)*E57</f>
        <v>0</v>
      </c>
      <c r="U57" s="1906"/>
      <c r="V57" s="1906"/>
    </row>
    <row r="58" spans="1:22" ht="10.5">
      <c r="A58" s="1907"/>
      <c r="B58" s="1540"/>
      <c r="C58" s="1941" t="s">
        <v>247</v>
      </c>
      <c r="D58" s="1909" t="s">
        <v>77</v>
      </c>
      <c r="E58" s="1909">
        <v>6</v>
      </c>
      <c r="F58" s="1910">
        <v>2000</v>
      </c>
      <c r="G58" s="1911"/>
      <c r="H58" s="1912"/>
      <c r="I58" s="1912"/>
      <c r="J58" s="1913">
        <f t="shared" si="61"/>
        <v>12000</v>
      </c>
      <c r="K58" s="1913">
        <f t="shared" si="62"/>
        <v>0</v>
      </c>
      <c r="L58" s="1914"/>
      <c r="M58" s="1915"/>
      <c r="N58" s="1916"/>
      <c r="O58" s="1917"/>
      <c r="P58" s="1918"/>
      <c r="Q58" s="1912"/>
      <c r="R58" s="1912"/>
      <c r="S58" s="1919">
        <f t="shared" si="63"/>
        <v>0</v>
      </c>
      <c r="T58" s="1919">
        <f t="shared" si="64"/>
        <v>0</v>
      </c>
      <c r="U58" s="1906"/>
      <c r="V58" s="1906"/>
    </row>
    <row r="59" spans="1:22" ht="10.5">
      <c r="A59" s="1907"/>
      <c r="B59" s="1540"/>
      <c r="C59" s="1941" t="s">
        <v>248</v>
      </c>
      <c r="D59" s="1909" t="s">
        <v>54</v>
      </c>
      <c r="E59" s="1909">
        <v>0.2</v>
      </c>
      <c r="F59" s="1910">
        <f>+SUM(J52:J58)</f>
        <v>567000</v>
      </c>
      <c r="G59" s="1911"/>
      <c r="H59" s="1912"/>
      <c r="I59" s="1912"/>
      <c r="J59" s="1913">
        <f t="shared" si="61"/>
        <v>113400</v>
      </c>
      <c r="K59" s="1913">
        <f t="shared" si="62"/>
        <v>0</v>
      </c>
      <c r="L59" s="1914"/>
      <c r="M59" s="1915"/>
      <c r="N59" s="1916"/>
      <c r="O59" s="1917"/>
      <c r="P59" s="1918"/>
      <c r="Q59" s="1912"/>
      <c r="R59" s="1912"/>
      <c r="S59" s="1919">
        <f t="shared" si="63"/>
        <v>0</v>
      </c>
      <c r="T59" s="1919">
        <f t="shared" si="64"/>
        <v>0</v>
      </c>
      <c r="U59" s="1906"/>
      <c r="V59" s="1906"/>
    </row>
    <row r="60" spans="1:22" ht="10.5">
      <c r="A60" s="1943"/>
      <c r="B60" s="1541"/>
      <c r="C60" s="1944" t="s">
        <v>233</v>
      </c>
      <c r="D60" s="1929" t="s">
        <v>198</v>
      </c>
      <c r="E60" s="1929">
        <v>3</v>
      </c>
      <c r="F60" s="1930"/>
      <c r="G60" s="1931"/>
      <c r="H60" s="1945"/>
      <c r="I60" s="1945"/>
      <c r="J60" s="1933">
        <f t="shared" si="61"/>
        <v>0</v>
      </c>
      <c r="K60" s="1933">
        <f t="shared" si="62"/>
        <v>0</v>
      </c>
      <c r="L60" s="1946"/>
      <c r="M60" s="1947">
        <v>1</v>
      </c>
      <c r="N60" s="1948">
        <v>1</v>
      </c>
      <c r="O60" s="1949"/>
      <c r="P60" s="1950"/>
      <c r="Q60" s="1945"/>
      <c r="R60" s="1945"/>
      <c r="S60" s="1940">
        <f t="shared" si="63"/>
        <v>0</v>
      </c>
      <c r="T60" s="1940">
        <f t="shared" si="64"/>
        <v>421419.88959943189</v>
      </c>
      <c r="U60" s="1906"/>
      <c r="V60" s="1906"/>
    </row>
    <row r="61" spans="1:22" ht="10.5">
      <c r="A61" s="1834">
        <f>+'01'!A17</f>
        <v>1.0900000000000001</v>
      </c>
      <c r="B61" s="1556" t="str">
        <f>+'01'!B17</f>
        <v>OK</v>
      </c>
      <c r="C61" s="1834" t="str">
        <f>+'01'!C17</f>
        <v>Tramite luz de obra, certificado luz de obra (2) y medición PAT</v>
      </c>
      <c r="D61" s="1556" t="str">
        <f>+'01'!D17</f>
        <v>gl</v>
      </c>
      <c r="E61" s="1556">
        <f>+'01'!E17</f>
        <v>1</v>
      </c>
      <c r="F61" s="1896"/>
      <c r="G61" s="1897"/>
      <c r="H61" s="1898">
        <f>+J61/E61</f>
        <v>0</v>
      </c>
      <c r="I61" s="1898">
        <f>+K61/E61</f>
        <v>0</v>
      </c>
      <c r="J61" s="1824">
        <f>+SUM(J62:J64)</f>
        <v>0</v>
      </c>
      <c r="K61" s="1824">
        <f>+SUM(K62:K64)</f>
        <v>0</v>
      </c>
      <c r="L61" s="1899"/>
      <c r="M61" s="1900"/>
      <c r="N61" s="1901"/>
      <c r="O61" s="1902"/>
      <c r="P61" s="1903"/>
      <c r="Q61" s="1898">
        <f>+U61/E61</f>
        <v>339320.84018972021</v>
      </c>
      <c r="R61" s="1898">
        <f>+V61/E61</f>
        <v>0</v>
      </c>
      <c r="S61" s="1904"/>
      <c r="T61" s="1904"/>
      <c r="U61" s="1905">
        <f>SUM(S62:S63)</f>
        <v>339320.84018972021</v>
      </c>
      <c r="V61" s="1906">
        <f>SUM(T62:T63)</f>
        <v>0</v>
      </c>
    </row>
    <row r="62" spans="1:22" ht="10.5">
      <c r="A62" s="1907"/>
      <c r="B62" s="1540"/>
      <c r="C62" s="1941" t="s">
        <v>249</v>
      </c>
      <c r="D62" s="1909" t="s">
        <v>77</v>
      </c>
      <c r="E62" s="1909">
        <v>1</v>
      </c>
      <c r="F62" s="1910"/>
      <c r="G62" s="1911"/>
      <c r="H62" s="1912"/>
      <c r="I62" s="1912"/>
      <c r="J62" s="1913">
        <f t="shared" ref="J62:J64" si="65">+F62*E62</f>
        <v>0</v>
      </c>
      <c r="K62" s="1913">
        <f t="shared" ref="K62:K64" si="66">+G62*E62</f>
        <v>0</v>
      </c>
      <c r="L62" s="1914">
        <f>+SUBCONTRATOS!D11</f>
        <v>139065.91811054107</v>
      </c>
      <c r="M62" s="1915"/>
      <c r="N62" s="1916"/>
      <c r="O62" s="1917"/>
      <c r="P62" s="1918"/>
      <c r="Q62" s="1912"/>
      <c r="R62" s="1912"/>
      <c r="S62" s="1919">
        <f t="shared" ref="S62:S64" si="67">+L62*E62</f>
        <v>139065.91811054107</v>
      </c>
      <c r="T62" s="1919">
        <f t="shared" ref="T62:T63" si="68">(+M62*$M$5+N62*$N$5+O62*$O$5+P62*$P$5)*E62</f>
        <v>0</v>
      </c>
      <c r="U62" s="1905"/>
      <c r="V62" s="1906"/>
    </row>
    <row r="63" spans="1:22" ht="10.5">
      <c r="A63" s="1907"/>
      <c r="B63" s="1540"/>
      <c r="C63" s="1941" t="s">
        <v>250</v>
      </c>
      <c r="D63" s="1909" t="s">
        <v>77</v>
      </c>
      <c r="E63" s="1909">
        <v>2</v>
      </c>
      <c r="F63" s="1910"/>
      <c r="G63" s="1911"/>
      <c r="H63" s="1912"/>
      <c r="I63" s="1912"/>
      <c r="J63" s="1913">
        <f t="shared" si="65"/>
        <v>0</v>
      </c>
      <c r="K63" s="1913">
        <f t="shared" si="66"/>
        <v>0</v>
      </c>
      <c r="L63" s="1914">
        <f>+SUBCONTRATOS!D14</f>
        <v>100127.46103958957</v>
      </c>
      <c r="M63" s="1915"/>
      <c r="N63" s="1916"/>
      <c r="O63" s="1917"/>
      <c r="P63" s="1918"/>
      <c r="Q63" s="1912"/>
      <c r="R63" s="1912"/>
      <c r="S63" s="1919">
        <f t="shared" si="67"/>
        <v>200254.92207917914</v>
      </c>
      <c r="T63" s="1919">
        <f t="shared" si="68"/>
        <v>0</v>
      </c>
      <c r="U63" s="1905"/>
      <c r="V63" s="1906"/>
    </row>
    <row r="64" spans="1:22" ht="10.5">
      <c r="A64" s="1943"/>
      <c r="B64" s="1541"/>
      <c r="C64" s="1944" t="s">
        <v>251</v>
      </c>
      <c r="D64" s="1929" t="s">
        <v>77</v>
      </c>
      <c r="E64" s="1929">
        <v>1</v>
      </c>
      <c r="F64" s="1930"/>
      <c r="G64" s="1931"/>
      <c r="H64" s="1945"/>
      <c r="I64" s="1945"/>
      <c r="J64" s="1933">
        <f t="shared" si="65"/>
        <v>0</v>
      </c>
      <c r="K64" s="1933">
        <f t="shared" si="66"/>
        <v>0</v>
      </c>
      <c r="L64" s="1946">
        <f>+SUBCONTRATOS!D18</f>
        <v>87611.528409640872</v>
      </c>
      <c r="M64" s="1947"/>
      <c r="N64" s="1948"/>
      <c r="O64" s="1949"/>
      <c r="P64" s="1950"/>
      <c r="Q64" s="1945"/>
      <c r="R64" s="1945"/>
      <c r="S64" s="1940">
        <f t="shared" si="67"/>
        <v>87611.528409640872</v>
      </c>
      <c r="T64" s="1940">
        <f>(+M64*$M$5+N64*$N$5+O64*$O$5+P64*$P$5)*E64</f>
        <v>0</v>
      </c>
      <c r="U64" s="1905"/>
      <c r="V64" s="1906"/>
    </row>
    <row r="65" spans="1:22" ht="10.5">
      <c r="A65" s="1889">
        <f>+'01'!A19</f>
        <v>2</v>
      </c>
      <c r="B65" s="1885"/>
      <c r="C65" s="1965" t="str">
        <f>+'01'!C19</f>
        <v>MOVIMIENTO DE TIERRA, COMPACTACION Y RELLENO</v>
      </c>
      <c r="D65" s="1885"/>
      <c r="E65" s="1966"/>
      <c r="F65" s="1967"/>
      <c r="G65" s="1968"/>
      <c r="H65" s="1969"/>
      <c r="I65" s="1969"/>
      <c r="J65" s="1970"/>
      <c r="K65" s="1970"/>
      <c r="L65" s="1971"/>
      <c r="M65" s="1972"/>
      <c r="N65" s="1973"/>
      <c r="O65" s="1974"/>
      <c r="P65" s="1975"/>
      <c r="Q65" s="1969"/>
      <c r="R65" s="1969"/>
      <c r="S65" s="1976"/>
      <c r="T65" s="1977"/>
      <c r="U65" s="1905"/>
      <c r="V65" s="1906"/>
    </row>
    <row r="66" spans="1:22" ht="10.5">
      <c r="A66" s="1834">
        <f>+'01'!A20</f>
        <v>2.0099999999999998</v>
      </c>
      <c r="B66" s="1556" t="e">
        <f>+'01'!#REF!</f>
        <v>#REF!</v>
      </c>
      <c r="C66" s="1834" t="str">
        <f>+'01'!C20</f>
        <v>Excavación a maquina para submuración y subsuelo</v>
      </c>
      <c r="D66" s="1556" t="str">
        <f>+'01'!D20</f>
        <v>m3</v>
      </c>
      <c r="E66" s="1556">
        <f>+'01'!E20</f>
        <v>1266</v>
      </c>
      <c r="F66" s="1896"/>
      <c r="G66" s="1897"/>
      <c r="H66" s="1898">
        <f>+J66/E66</f>
        <v>0</v>
      </c>
      <c r="I66" s="1898">
        <f>+K66/E66</f>
        <v>0</v>
      </c>
      <c r="J66" s="1824">
        <f>+SUM(J67:J68)</f>
        <v>0</v>
      </c>
      <c r="K66" s="1824">
        <f>+SUM(K67:K68)</f>
        <v>0</v>
      </c>
      <c r="L66" s="1899"/>
      <c r="M66" s="1978"/>
      <c r="N66" s="1901"/>
      <c r="O66" s="1902"/>
      <c r="P66" s="1979"/>
      <c r="Q66" s="1898">
        <f>+U66/E66</f>
        <v>18399.999999999996</v>
      </c>
      <c r="R66" s="1898">
        <f>+V66/E66</f>
        <v>7809.6200401747619</v>
      </c>
      <c r="S66" s="1904"/>
      <c r="T66" s="1904"/>
      <c r="U66" s="1906">
        <f>SUM(S67:S68)</f>
        <v>23294399.999999996</v>
      </c>
      <c r="V66" s="1906">
        <f>SUM(T67:T68)</f>
        <v>9886978.9708612487</v>
      </c>
    </row>
    <row r="67" spans="1:22" ht="10.5">
      <c r="A67" s="1907"/>
      <c r="B67" s="1540"/>
      <c r="C67" s="1941" t="s">
        <v>1757</v>
      </c>
      <c r="D67" s="1909" t="s">
        <v>54</v>
      </c>
      <c r="E67" s="1909">
        <f>+E66*1.15</f>
        <v>1455.8999999999999</v>
      </c>
      <c r="F67" s="1910"/>
      <c r="G67" s="1911"/>
      <c r="H67" s="1912"/>
      <c r="I67" s="1912"/>
      <c r="J67" s="1913">
        <f t="shared" ref="J67" si="69">+F67*E67</f>
        <v>0</v>
      </c>
      <c r="K67" s="1913">
        <f t="shared" ref="K67" si="70">+G67*E67</f>
        <v>0</v>
      </c>
      <c r="L67" s="1914">
        <f>+SUBCONTRATOS!D23</f>
        <v>16000</v>
      </c>
      <c r="M67" s="1980"/>
      <c r="N67" s="1981"/>
      <c r="O67" s="1982"/>
      <c r="P67" s="1983"/>
      <c r="Q67" s="1984"/>
      <c r="R67" s="1984"/>
      <c r="S67" s="1919">
        <f t="shared" ref="S67" si="71">+L67*E67</f>
        <v>23294399.999999996</v>
      </c>
      <c r="T67" s="1919">
        <f t="shared" ref="T67" si="72">(+M67*$M$5+N67*$N$5+O67*$O$5+P67*$P$5)*E67</f>
        <v>0</v>
      </c>
      <c r="U67" s="1905"/>
      <c r="V67" s="1906"/>
    </row>
    <row r="68" spans="1:22" ht="10.5">
      <c r="A68" s="1943"/>
      <c r="B68" s="1541"/>
      <c r="C68" s="1944" t="s">
        <v>168</v>
      </c>
      <c r="D68" s="1929" t="s">
        <v>198</v>
      </c>
      <c r="E68" s="1929">
        <f>3*22</f>
        <v>66</v>
      </c>
      <c r="F68" s="1930"/>
      <c r="G68" s="1931"/>
      <c r="H68" s="1945"/>
      <c r="I68" s="1945"/>
      <c r="J68" s="1933">
        <f t="shared" ref="J68" si="73">+F68*E68</f>
        <v>0</v>
      </c>
      <c r="K68" s="1933">
        <f t="shared" ref="K68" si="74">+G68*E68</f>
        <v>0</v>
      </c>
      <c r="L68" s="1934"/>
      <c r="M68" s="1985"/>
      <c r="N68" s="1916"/>
      <c r="O68" s="1917"/>
      <c r="P68" s="1986">
        <v>3</v>
      </c>
      <c r="Q68" s="1912"/>
      <c r="R68" s="1912"/>
      <c r="S68" s="1919">
        <f t="shared" ref="S68" si="75">+L68*E68</f>
        <v>0</v>
      </c>
      <c r="T68" s="1919">
        <f t="shared" ref="T68" si="76">(+M68*$M$5+N68*$N$5+O68*$O$5+P68*$P$5)*E68</f>
        <v>9886978.9708612487</v>
      </c>
      <c r="U68" s="1905"/>
      <c r="V68" s="1906"/>
    </row>
    <row r="69" spans="1:22" ht="10.5">
      <c r="A69" s="1889">
        <f>+'01'!A23</f>
        <v>3</v>
      </c>
      <c r="B69" s="1885"/>
      <c r="C69" s="1965" t="str">
        <f>+'01'!C23</f>
        <v>ESTRUCTURA RESISTENTE</v>
      </c>
      <c r="D69" s="1885"/>
      <c r="E69" s="1966"/>
      <c r="F69" s="1967"/>
      <c r="G69" s="1968"/>
      <c r="H69" s="1969"/>
      <c r="I69" s="1969"/>
      <c r="J69" s="1970"/>
      <c r="K69" s="1970"/>
      <c r="L69" s="1971"/>
      <c r="M69" s="1972"/>
      <c r="N69" s="1973"/>
      <c r="O69" s="1974"/>
      <c r="P69" s="1975"/>
      <c r="Q69" s="1969"/>
      <c r="R69" s="1969"/>
      <c r="S69" s="1976"/>
      <c r="T69" s="1977"/>
      <c r="U69" s="1924"/>
      <c r="V69" s="1925"/>
    </row>
    <row r="70" spans="1:22" ht="12.75" customHeight="1">
      <c r="A70" s="1987">
        <f>+'01'!A40</f>
        <v>3.17</v>
      </c>
      <c r="B70" s="1815"/>
      <c r="C70" s="1987" t="str">
        <f>+'01'!C40</f>
        <v>Picado de medianeras para columnas y vigas - Cotizado solo para PB y 1P, No contempla picado en SS</v>
      </c>
      <c r="D70" s="1579" t="str">
        <f>+'01'!D40</f>
        <v>m2</v>
      </c>
      <c r="E70" s="1579">
        <f>+'01'!E40</f>
        <v>93</v>
      </c>
      <c r="F70" s="1988"/>
      <c r="G70" s="1989"/>
      <c r="H70" s="1984">
        <f>+J70/E70</f>
        <v>3440.8602150537636</v>
      </c>
      <c r="I70" s="1984">
        <f>+K70/E70</f>
        <v>1612.9032258064517</v>
      </c>
      <c r="J70" s="1815">
        <f>SUM(J71:J73)</f>
        <v>320000</v>
      </c>
      <c r="K70" s="1815">
        <f>SUM(K71:K73)</f>
        <v>150000</v>
      </c>
      <c r="L70" s="1990"/>
      <c r="M70" s="1991"/>
      <c r="N70" s="1981"/>
      <c r="O70" s="1982"/>
      <c r="P70" s="1992"/>
      <c r="Q70" s="1984">
        <f>+U70/E70</f>
        <v>0</v>
      </c>
      <c r="R70" s="1984">
        <f>+V70/E70</f>
        <v>14213.22346320137</v>
      </c>
      <c r="S70" s="1993"/>
      <c r="T70" s="1994"/>
      <c r="U70" s="1905">
        <f>SUM(S71:S73)</f>
        <v>0</v>
      </c>
      <c r="V70" s="1906">
        <f>SUM(T71:T73)</f>
        <v>1321829.7820777274</v>
      </c>
    </row>
    <row r="71" spans="1:22" ht="12.75" customHeight="1">
      <c r="A71" s="1814"/>
      <c r="B71" s="1815"/>
      <c r="C71" s="1995" t="s">
        <v>254</v>
      </c>
      <c r="D71" s="1996" t="s">
        <v>54</v>
      </c>
      <c r="E71" s="1996">
        <v>1</v>
      </c>
      <c r="F71" s="1997"/>
      <c r="G71" s="1998">
        <v>150000</v>
      </c>
      <c r="H71" s="1999"/>
      <c r="I71" s="1999"/>
      <c r="J71" s="2000">
        <f t="shared" ref="J71:J73" si="77">+F71*E71</f>
        <v>0</v>
      </c>
      <c r="K71" s="2000">
        <f t="shared" ref="K71:K73" si="78">+G71*E71</f>
        <v>150000</v>
      </c>
      <c r="L71" s="1990"/>
      <c r="M71" s="1915"/>
      <c r="N71" s="1916"/>
      <c r="O71" s="1917"/>
      <c r="P71" s="1918"/>
      <c r="Q71" s="2001"/>
      <c r="R71" s="2001"/>
      <c r="S71" s="2002">
        <f t="shared" ref="S71" si="79">+L71*E71</f>
        <v>0</v>
      </c>
      <c r="T71" s="2003">
        <f t="shared" ref="T71" si="80">(+M71*$M$5+N71*$N$5+O71*$O$5+P71*$P$5)*E71</f>
        <v>0</v>
      </c>
      <c r="U71" s="1924"/>
      <c r="V71" s="1925"/>
    </row>
    <row r="72" spans="1:22" ht="12.75" customHeight="1">
      <c r="A72" s="1814"/>
      <c r="B72" s="1815"/>
      <c r="C72" s="1995" t="s">
        <v>173</v>
      </c>
      <c r="D72" s="1996" t="s">
        <v>77</v>
      </c>
      <c r="E72" s="1996">
        <f>+ROUNDUP(E70*0.2/5,0)</f>
        <v>4</v>
      </c>
      <c r="F72" s="1997">
        <v>80000</v>
      </c>
      <c r="G72" s="1998"/>
      <c r="H72" s="1999"/>
      <c r="I72" s="1999"/>
      <c r="J72" s="2000">
        <f t="shared" ref="J72" si="81">+F72*E72</f>
        <v>320000</v>
      </c>
      <c r="K72" s="2000">
        <f t="shared" ref="K72" si="82">+G72*E72</f>
        <v>0</v>
      </c>
      <c r="L72" s="1990"/>
      <c r="M72" s="1960"/>
      <c r="N72" s="1961"/>
      <c r="O72" s="1962"/>
      <c r="P72" s="1963"/>
      <c r="Q72" s="2001"/>
      <c r="R72" s="2001"/>
      <c r="S72" s="2002">
        <f t="shared" ref="S72" si="83">+L72*E72</f>
        <v>0</v>
      </c>
      <c r="T72" s="2003">
        <f t="shared" ref="T72" si="84">(+M72*$M$5+N72*$N$5+O72*$O$5+P72*$P$5)*E72</f>
        <v>0</v>
      </c>
      <c r="U72" s="1924"/>
      <c r="V72" s="1925"/>
    </row>
    <row r="73" spans="1:22" ht="12.75" customHeight="1">
      <c r="A73" s="1814"/>
      <c r="B73" s="1815"/>
      <c r="C73" s="1995">
        <v>12</v>
      </c>
      <c r="D73" s="1996" t="s">
        <v>198</v>
      </c>
      <c r="E73" s="1996">
        <f>+ROUNDUP(E70/C73,0)</f>
        <v>8</v>
      </c>
      <c r="F73" s="1997"/>
      <c r="G73" s="1998"/>
      <c r="H73" s="1999"/>
      <c r="I73" s="1999"/>
      <c r="J73" s="2000">
        <f t="shared" si="77"/>
        <v>0</v>
      </c>
      <c r="K73" s="2000">
        <f t="shared" si="78"/>
        <v>0</v>
      </c>
      <c r="L73" s="1990"/>
      <c r="M73" s="1947"/>
      <c r="N73" s="1948">
        <v>1</v>
      </c>
      <c r="O73" s="1949"/>
      <c r="P73" s="1950">
        <v>2</v>
      </c>
      <c r="Q73" s="2001"/>
      <c r="R73" s="2001"/>
      <c r="S73" s="2002">
        <f t="shared" ref="S73" si="85">+L73*E73</f>
        <v>0</v>
      </c>
      <c r="T73" s="2003">
        <f>(+M73*$M$5+N73*$N$5+O73*$O$5+P73*$P$5)*E73</f>
        <v>1321829.7820777274</v>
      </c>
      <c r="U73" s="1924"/>
      <c r="V73" s="1925"/>
    </row>
    <row r="74" spans="1:22" ht="10.5">
      <c r="A74" s="1889">
        <f>+'01'!A41</f>
        <v>4</v>
      </c>
      <c r="B74" s="1885"/>
      <c r="C74" s="1965" t="str">
        <f>+'01'!C41</f>
        <v>ALBAÑILERIA</v>
      </c>
      <c r="D74" s="1885"/>
      <c r="E74" s="1966"/>
      <c r="F74" s="1967"/>
      <c r="G74" s="1968"/>
      <c r="H74" s="1969"/>
      <c r="I74" s="1969"/>
      <c r="J74" s="1970"/>
      <c r="K74" s="1970"/>
      <c r="L74" s="1971"/>
      <c r="M74" s="1972"/>
      <c r="N74" s="1973"/>
      <c r="O74" s="1974"/>
      <c r="P74" s="1975"/>
      <c r="Q74" s="1969"/>
      <c r="R74" s="1969"/>
      <c r="S74" s="1976"/>
      <c r="T74" s="1977"/>
      <c r="U74" s="1924"/>
      <c r="V74" s="1925"/>
    </row>
    <row r="75" spans="1:22" ht="10.5">
      <c r="A75" s="1834">
        <f>+'01'!A48</f>
        <v>4.07</v>
      </c>
      <c r="B75" s="1834" t="str">
        <f>+'01'!B48</f>
        <v>IN</v>
      </c>
      <c r="C75" s="1834" t="str">
        <f>+'01'!C48</f>
        <v>Cordón de hormigón en umbrales carpinterías</v>
      </c>
      <c r="D75" s="1556" t="str">
        <f>+'01'!D48</f>
        <v>ml</v>
      </c>
      <c r="E75" s="1834">
        <f>+'01'!E48</f>
        <v>81</v>
      </c>
      <c r="F75" s="2004"/>
      <c r="G75" s="2005"/>
      <c r="H75" s="1898">
        <f>+J75/E75</f>
        <v>17364.127814814812</v>
      </c>
      <c r="I75" s="1898">
        <f>+K75/E75</f>
        <v>0</v>
      </c>
      <c r="J75" s="1824">
        <f>SUM(J76:J80)</f>
        <v>1406494.3529999999</v>
      </c>
      <c r="K75" s="1824">
        <f>SUM(K76:K80)</f>
        <v>0</v>
      </c>
      <c r="L75" s="1899"/>
      <c r="M75" s="1900"/>
      <c r="N75" s="1901"/>
      <c r="O75" s="1902"/>
      <c r="P75" s="1903"/>
      <c r="Q75" s="1898">
        <f>+U75/E75</f>
        <v>0</v>
      </c>
      <c r="R75" s="1898">
        <f>+V75/E75</f>
        <v>6926.4989701940704</v>
      </c>
      <c r="S75" s="1904"/>
      <c r="T75" s="1904"/>
      <c r="U75" s="1905">
        <f>SUM(S76:S80)</f>
        <v>0</v>
      </c>
      <c r="V75" s="1906">
        <f>SUM(T76:T80)</f>
        <v>561046.41658571968</v>
      </c>
    </row>
    <row r="76" spans="1:22" ht="10.5">
      <c r="A76" s="1907"/>
      <c r="B76" s="1907"/>
      <c r="C76" s="2006" t="s">
        <v>2391</v>
      </c>
      <c r="D76" s="2007" t="s">
        <v>77</v>
      </c>
      <c r="E76" s="2007">
        <v>8</v>
      </c>
      <c r="F76" s="2008">
        <v>50000</v>
      </c>
      <c r="G76" s="2009"/>
      <c r="H76" s="1922"/>
      <c r="I76" s="1922"/>
      <c r="J76" s="1913">
        <f t="shared" ref="J76:J78" si="86">+F76*E76</f>
        <v>400000</v>
      </c>
      <c r="K76" s="1913">
        <f t="shared" ref="K76:K78" si="87">+G76*E76</f>
        <v>0</v>
      </c>
      <c r="L76" s="1914"/>
      <c r="M76" s="1915"/>
      <c r="N76" s="1916"/>
      <c r="O76" s="1917"/>
      <c r="P76" s="1918"/>
      <c r="Q76" s="2001"/>
      <c r="R76" s="2001"/>
      <c r="S76" s="1919">
        <f t="shared" ref="S76:S78" si="88">+L76*E76</f>
        <v>0</v>
      </c>
      <c r="T76" s="1919">
        <f t="shared" ref="T76:T77" si="89">(+M76*$M$5+N76*$N$5+O76*$O$5+P76*$P$5)*E76</f>
        <v>0</v>
      </c>
      <c r="U76" s="1925"/>
      <c r="V76" s="1925"/>
    </row>
    <row r="77" spans="1:22" ht="10.5">
      <c r="A77" s="1907"/>
      <c r="B77" s="1907"/>
      <c r="C77" s="2006" t="s">
        <v>794</v>
      </c>
      <c r="D77" s="2007" t="s">
        <v>77</v>
      </c>
      <c r="E77" s="2007">
        <f>+ROUNDUP(E75*2.5*2.66,0)</f>
        <v>539</v>
      </c>
      <c r="F77" s="2008">
        <f>+Cotizaciones!D38</f>
        <v>1416.57</v>
      </c>
      <c r="G77" s="2009"/>
      <c r="H77" s="1922"/>
      <c r="I77" s="1922"/>
      <c r="J77" s="1913">
        <f t="shared" si="86"/>
        <v>763531.23</v>
      </c>
      <c r="K77" s="1913">
        <f t="shared" si="87"/>
        <v>0</v>
      </c>
      <c r="L77" s="1914"/>
      <c r="M77" s="1915"/>
      <c r="N77" s="1916"/>
      <c r="O77" s="1917"/>
      <c r="P77" s="1918"/>
      <c r="Q77" s="2001"/>
      <c r="R77" s="2001"/>
      <c r="S77" s="1919">
        <f t="shared" si="88"/>
        <v>0</v>
      </c>
      <c r="T77" s="1919">
        <f t="shared" si="89"/>
        <v>0</v>
      </c>
      <c r="U77" s="1925"/>
      <c r="V77" s="1925"/>
    </row>
    <row r="78" spans="1:22" ht="12.75" customHeight="1">
      <c r="A78" s="1816"/>
      <c r="B78" s="1817"/>
      <c r="C78" s="2006" t="s">
        <v>258</v>
      </c>
      <c r="D78" s="2007" t="s">
        <v>66</v>
      </c>
      <c r="E78" s="2007">
        <f>+ROUNDUP(E75*0.1*0.1,0)</f>
        <v>1</v>
      </c>
      <c r="F78" s="1910">
        <f>+Cotizaciones!D23</f>
        <v>115100</v>
      </c>
      <c r="G78" s="1911"/>
      <c r="H78" s="1922"/>
      <c r="I78" s="1922"/>
      <c r="J78" s="1913">
        <f t="shared" si="86"/>
        <v>115100</v>
      </c>
      <c r="K78" s="1913">
        <f t="shared" si="87"/>
        <v>0</v>
      </c>
      <c r="L78" s="2010"/>
      <c r="M78" s="2011"/>
      <c r="N78" s="2012"/>
      <c r="O78" s="2013"/>
      <c r="P78" s="2014"/>
      <c r="Q78" s="2001"/>
      <c r="R78" s="2001"/>
      <c r="S78" s="1919">
        <f t="shared" si="88"/>
        <v>0</v>
      </c>
      <c r="T78" s="1919">
        <f>(+M78*$M$5+N78*$N$5+O78*$O$5+P78*$P$5)*E78</f>
        <v>0</v>
      </c>
    </row>
    <row r="79" spans="1:22" ht="12.75" customHeight="1">
      <c r="A79" s="1816"/>
      <c r="B79" s="1817"/>
      <c r="C79" s="2006" t="s">
        <v>209</v>
      </c>
      <c r="D79" s="2007" t="s">
        <v>54</v>
      </c>
      <c r="E79" s="2007">
        <v>0.1</v>
      </c>
      <c r="F79" s="1910">
        <f>+SUM(J76:J78)</f>
        <v>1278631.23</v>
      </c>
      <c r="G79" s="1911"/>
      <c r="H79" s="1922"/>
      <c r="I79" s="1922"/>
      <c r="J79" s="1913">
        <f t="shared" ref="J79:J80" si="90">+F79*E79</f>
        <v>127863.12300000001</v>
      </c>
      <c r="K79" s="1913">
        <f t="shared" ref="K79:K80" si="91">+G79*E79</f>
        <v>0</v>
      </c>
      <c r="L79" s="2010"/>
      <c r="M79" s="2011"/>
      <c r="N79" s="2012"/>
      <c r="O79" s="2013"/>
      <c r="P79" s="2014"/>
      <c r="Q79" s="2001"/>
      <c r="R79" s="2001"/>
      <c r="S79" s="1919">
        <f t="shared" ref="S79:S80" si="92">+L79*E79</f>
        <v>0</v>
      </c>
      <c r="T79" s="1919">
        <f t="shared" ref="T79:T80" si="93">(+M79*$M$5+N79*$N$5+O79*$O$5+P79*$P$5)*E79</f>
        <v>0</v>
      </c>
    </row>
    <row r="80" spans="1:22" ht="12.75" customHeight="1">
      <c r="A80" s="1818"/>
      <c r="B80" s="1819"/>
      <c r="C80" s="2015" t="s">
        <v>210</v>
      </c>
      <c r="D80" s="2016" t="s">
        <v>198</v>
      </c>
      <c r="E80" s="2016">
        <v>4</v>
      </c>
      <c r="F80" s="1930"/>
      <c r="G80" s="1931"/>
      <c r="H80" s="1932"/>
      <c r="I80" s="1932"/>
      <c r="J80" s="1933">
        <f t="shared" si="90"/>
        <v>0</v>
      </c>
      <c r="K80" s="1933">
        <f t="shared" si="91"/>
        <v>0</v>
      </c>
      <c r="L80" s="1934"/>
      <c r="M80" s="1935"/>
      <c r="N80" s="1936">
        <v>1</v>
      </c>
      <c r="O80" s="1937"/>
      <c r="P80" s="1938">
        <v>1.5</v>
      </c>
      <c r="Q80" s="2001"/>
      <c r="R80" s="2001"/>
      <c r="S80" s="1940">
        <f t="shared" si="92"/>
        <v>0</v>
      </c>
      <c r="T80" s="1940">
        <f t="shared" si="93"/>
        <v>561046.41658571968</v>
      </c>
    </row>
    <row r="81" spans="1:22" ht="12.75" customHeight="1">
      <c r="A81" s="1834">
        <f>+'01'!A49</f>
        <v>4.08</v>
      </c>
      <c r="B81" s="1834" t="str">
        <f>+'01'!B49</f>
        <v>IN</v>
      </c>
      <c r="C81" s="1834" t="str">
        <f>+'01'!C49</f>
        <v>Pozo de bombeo pluvial y cloacal</v>
      </c>
      <c r="D81" s="1556" t="str">
        <f>+'01'!D49</f>
        <v>gl</v>
      </c>
      <c r="E81" s="1556">
        <f>+'01'!E49</f>
        <v>1</v>
      </c>
      <c r="F81" s="1896"/>
      <c r="G81" s="1897"/>
      <c r="H81" s="1898">
        <f>+J81/E81</f>
        <v>451217.9481498308</v>
      </c>
      <c r="I81" s="1898">
        <f>+K81/E81</f>
        <v>0</v>
      </c>
      <c r="J81" s="1824">
        <f>SUM(J82:J88)</f>
        <v>451217.9481498308</v>
      </c>
      <c r="K81" s="1824">
        <f>SUM(K82:K88)</f>
        <v>0</v>
      </c>
      <c r="L81" s="2017"/>
      <c r="M81" s="2018"/>
      <c r="N81" s="2019"/>
      <c r="O81" s="2020"/>
      <c r="P81" s="2021"/>
      <c r="Q81" s="1898">
        <f>+U81/E81</f>
        <v>0</v>
      </c>
      <c r="R81" s="1898">
        <f>+V81/E81</f>
        <v>426669.71598600381</v>
      </c>
      <c r="S81" s="1904"/>
      <c r="T81" s="1904"/>
      <c r="U81" s="1905">
        <f>SUM(S82:S88)</f>
        <v>0</v>
      </c>
      <c r="V81" s="1906">
        <f>SUM(T82:T88)</f>
        <v>426669.71598600381</v>
      </c>
    </row>
    <row r="82" spans="1:22" ht="12.75" customHeight="1">
      <c r="A82" s="1907"/>
      <c r="B82" s="1907"/>
      <c r="C82" s="2006" t="s">
        <v>258</v>
      </c>
      <c r="D82" s="2007" t="s">
        <v>66</v>
      </c>
      <c r="E82" s="2007">
        <f>+Computo!G208</f>
        <v>1.0020000000000002</v>
      </c>
      <c r="F82" s="1910">
        <f>+Cotizaciones!D24</f>
        <v>125000</v>
      </c>
      <c r="G82" s="1911"/>
      <c r="H82" s="1922"/>
      <c r="I82" s="1922"/>
      <c r="J82" s="1913">
        <f t="shared" ref="J82:J83" si="94">+F82*E82</f>
        <v>125250.00000000003</v>
      </c>
      <c r="K82" s="1913">
        <f t="shared" ref="K82:K83" si="95">+G82*E82</f>
        <v>0</v>
      </c>
      <c r="L82" s="2010"/>
      <c r="M82" s="2011"/>
      <c r="N82" s="2012"/>
      <c r="O82" s="2013"/>
      <c r="P82" s="2014"/>
      <c r="Q82" s="1923"/>
      <c r="R82" s="1923"/>
      <c r="S82" s="1919">
        <f t="shared" ref="S82:S85" si="96">+L82*E82</f>
        <v>0</v>
      </c>
      <c r="T82" s="1919">
        <f t="shared" ref="T82:T83" si="97">(+M82*$M$5+N82*$N$5+O82*$O$5+P82*$P$5)*E82</f>
        <v>0</v>
      </c>
    </row>
    <row r="83" spans="1:22" ht="12.75" customHeight="1">
      <c r="A83" s="1907"/>
      <c r="B83" s="1907"/>
      <c r="C83" s="2006" t="s">
        <v>1376</v>
      </c>
      <c r="D83" s="2007" t="s">
        <v>77</v>
      </c>
      <c r="E83" s="2007">
        <f>+Computo!E210</f>
        <v>3.0905670518677786</v>
      </c>
      <c r="F83" s="1910">
        <f>+Cotizaciones!D18</f>
        <v>26322.68</v>
      </c>
      <c r="G83" s="1911"/>
      <c r="H83" s="1922"/>
      <c r="I83" s="1922"/>
      <c r="J83" s="1913">
        <f t="shared" si="94"/>
        <v>81352.007524858942</v>
      </c>
      <c r="K83" s="1913">
        <f t="shared" si="95"/>
        <v>0</v>
      </c>
      <c r="L83" s="2010"/>
      <c r="M83" s="2011"/>
      <c r="N83" s="2012"/>
      <c r="O83" s="2013"/>
      <c r="P83" s="2014"/>
      <c r="Q83" s="1923"/>
      <c r="R83" s="1923"/>
      <c r="S83" s="1919">
        <f t="shared" si="96"/>
        <v>0</v>
      </c>
      <c r="T83" s="1919">
        <f t="shared" si="97"/>
        <v>0</v>
      </c>
    </row>
    <row r="84" spans="1:22" ht="12.75" customHeight="1">
      <c r="A84" s="1816"/>
      <c r="B84" s="1817"/>
      <c r="C84" s="2006" t="s">
        <v>794</v>
      </c>
      <c r="D84" s="2007" t="s">
        <v>257</v>
      </c>
      <c r="E84" s="2007">
        <f>+E82*90</f>
        <v>90.180000000000021</v>
      </c>
      <c r="F84" s="2008">
        <f>+Cotizaciones!D38</f>
        <v>1416.57</v>
      </c>
      <c r="G84" s="1911"/>
      <c r="H84" s="1922"/>
      <c r="I84" s="1922"/>
      <c r="J84" s="1913">
        <f t="shared" ref="J84:J88" si="98">+F84*E84</f>
        <v>127746.28260000002</v>
      </c>
      <c r="K84" s="1913">
        <f t="shared" ref="K84:K88" si="99">+G84*E84</f>
        <v>0</v>
      </c>
      <c r="L84" s="2010"/>
      <c r="M84" s="2011"/>
      <c r="N84" s="2012"/>
      <c r="O84" s="2013"/>
      <c r="P84" s="2014"/>
      <c r="Q84" s="1923"/>
      <c r="R84" s="1923"/>
      <c r="S84" s="1919">
        <f t="shared" si="96"/>
        <v>0</v>
      </c>
      <c r="T84" s="1919">
        <f>(+M84*$M$5+N84*$N$5+O84*$O$5+P84*$P$5)*E84</f>
        <v>0</v>
      </c>
    </row>
    <row r="85" spans="1:22" ht="12.75" customHeight="1">
      <c r="A85" s="1816"/>
      <c r="B85" s="1817"/>
      <c r="C85" s="2006" t="s">
        <v>209</v>
      </c>
      <c r="D85" s="2007" t="s">
        <v>54</v>
      </c>
      <c r="E85" s="2007">
        <v>0.2</v>
      </c>
      <c r="F85" s="1910">
        <f>+SUM(J82:J84)</f>
        <v>334348.29012485902</v>
      </c>
      <c r="G85" s="1911"/>
      <c r="H85" s="1922"/>
      <c r="I85" s="1922"/>
      <c r="J85" s="1913">
        <f t="shared" si="98"/>
        <v>66869.65802497181</v>
      </c>
      <c r="K85" s="1913">
        <f t="shared" si="99"/>
        <v>0</v>
      </c>
      <c r="L85" s="2010"/>
      <c r="M85" s="2011"/>
      <c r="N85" s="2012"/>
      <c r="O85" s="2013"/>
      <c r="P85" s="2014"/>
      <c r="Q85" s="1923"/>
      <c r="R85" s="1923"/>
      <c r="S85" s="1919">
        <f t="shared" si="96"/>
        <v>0</v>
      </c>
      <c r="T85" s="1919">
        <f t="shared" ref="T85" si="100">(+M85*$M$5+N85*$N$5+O85*$O$5+P85*$P$5)*E85</f>
        <v>0</v>
      </c>
    </row>
    <row r="86" spans="1:22" ht="12.75" customHeight="1">
      <c r="A86" s="1816"/>
      <c r="B86" s="1817"/>
      <c r="C86" s="2006" t="s">
        <v>2395</v>
      </c>
      <c r="D86" s="2007" t="s">
        <v>253</v>
      </c>
      <c r="E86" s="2007">
        <v>1</v>
      </c>
      <c r="F86" s="1910">
        <v>50000</v>
      </c>
      <c r="G86" s="1911"/>
      <c r="H86" s="1922"/>
      <c r="I86" s="1922"/>
      <c r="J86" s="1913">
        <f t="shared" ref="J86:J87" si="101">+F86*E86</f>
        <v>50000</v>
      </c>
      <c r="K86" s="1913">
        <f t="shared" ref="K86:K87" si="102">+G86*E86</f>
        <v>0</v>
      </c>
      <c r="L86" s="2010"/>
      <c r="M86" s="2011"/>
      <c r="N86" s="2012"/>
      <c r="O86" s="2013"/>
      <c r="P86" s="2014"/>
      <c r="Q86" s="1923"/>
      <c r="R86" s="1923"/>
      <c r="S86" s="1919">
        <f t="shared" ref="S86:S88" si="103">+L86*E86</f>
        <v>0</v>
      </c>
      <c r="T86" s="1919">
        <f t="shared" ref="T86:T88" si="104">(+M86*$M$5+N86*$N$5+O86*$O$5+P86*$P$5)*E86</f>
        <v>0</v>
      </c>
    </row>
    <row r="87" spans="1:22" ht="12.75" customHeight="1">
      <c r="A87" s="1816"/>
      <c r="B87" s="1817"/>
      <c r="C87" s="2006" t="s">
        <v>2394</v>
      </c>
      <c r="D87" s="2007" t="s">
        <v>198</v>
      </c>
      <c r="E87" s="2007">
        <v>1</v>
      </c>
      <c r="F87" s="1910"/>
      <c r="G87" s="1911"/>
      <c r="H87" s="1922"/>
      <c r="I87" s="1922"/>
      <c r="J87" s="1913">
        <f t="shared" si="101"/>
        <v>0</v>
      </c>
      <c r="K87" s="1913">
        <f t="shared" si="102"/>
        <v>0</v>
      </c>
      <c r="L87" s="2010"/>
      <c r="M87" s="2011"/>
      <c r="N87" s="2012">
        <v>1</v>
      </c>
      <c r="O87" s="2013"/>
      <c r="P87" s="2014"/>
      <c r="Q87" s="1923"/>
      <c r="R87" s="1923"/>
      <c r="S87" s="1919">
        <f t="shared" si="103"/>
        <v>0</v>
      </c>
      <c r="T87" s="1919">
        <f t="shared" si="104"/>
        <v>65360.248306571972</v>
      </c>
    </row>
    <row r="88" spans="1:22" ht="12.75" customHeight="1">
      <c r="A88" s="1818"/>
      <c r="B88" s="1819"/>
      <c r="C88" s="2015" t="s">
        <v>210</v>
      </c>
      <c r="D88" s="2016" t="s">
        <v>198</v>
      </c>
      <c r="E88" s="2016">
        <v>4</v>
      </c>
      <c r="F88" s="1930"/>
      <c r="G88" s="1931"/>
      <c r="H88" s="1932"/>
      <c r="I88" s="1932"/>
      <c r="J88" s="1933">
        <f t="shared" si="98"/>
        <v>0</v>
      </c>
      <c r="K88" s="1933">
        <f t="shared" si="99"/>
        <v>0</v>
      </c>
      <c r="L88" s="1934"/>
      <c r="M88" s="1935"/>
      <c r="N88" s="1936">
        <v>1</v>
      </c>
      <c r="O88" s="1937"/>
      <c r="P88" s="1938">
        <v>0.5</v>
      </c>
      <c r="Q88" s="1939"/>
      <c r="R88" s="1939"/>
      <c r="S88" s="1919">
        <f t="shared" si="103"/>
        <v>0</v>
      </c>
      <c r="T88" s="1919">
        <f t="shared" si="104"/>
        <v>361309.46767943184</v>
      </c>
    </row>
    <row r="89" spans="1:22" ht="12.75" customHeight="1">
      <c r="A89" s="1889">
        <f>+'01'!A50</f>
        <v>5</v>
      </c>
      <c r="B89" s="1885"/>
      <c r="C89" s="1965" t="str">
        <f>+'01'!C50</f>
        <v>AISLACIONES</v>
      </c>
      <c r="D89" s="1890"/>
      <c r="E89" s="1890"/>
      <c r="F89" s="2022"/>
      <c r="G89" s="2023"/>
      <c r="H89" s="2024"/>
      <c r="I89" s="2024"/>
      <c r="J89" s="2024"/>
      <c r="K89" s="2024"/>
      <c r="L89" s="1971"/>
      <c r="M89" s="1972"/>
      <c r="N89" s="1973"/>
      <c r="O89" s="1974"/>
      <c r="P89" s="1975"/>
      <c r="Q89" s="1970"/>
      <c r="R89" s="1970"/>
      <c r="S89" s="2025"/>
      <c r="T89" s="2026"/>
    </row>
    <row r="90" spans="1:22" ht="12.75" customHeight="1">
      <c r="A90" s="1834">
        <f>+'01'!A57</f>
        <v>5.07</v>
      </c>
      <c r="B90" s="1834" t="str">
        <f>+'01'!B57</f>
        <v>OK</v>
      </c>
      <c r="C90" s="1834" t="str">
        <f>+'01'!C57</f>
        <v>Impermeabilización de subsuelo</v>
      </c>
      <c r="D90" s="1556" t="str">
        <f>+'01'!D57</f>
        <v>gl</v>
      </c>
      <c r="E90" s="1556">
        <f>+'01'!E57</f>
        <v>1</v>
      </c>
      <c r="F90" s="2027"/>
      <c r="G90" s="2028"/>
      <c r="H90" s="1898">
        <f>+J90/E90</f>
        <v>52237.325619834708</v>
      </c>
      <c r="I90" s="1898">
        <f>+K90/E90</f>
        <v>0</v>
      </c>
      <c r="J90" s="1824">
        <f>SUM(J91:J93)</f>
        <v>52237.325619834708</v>
      </c>
      <c r="K90" s="1824">
        <f>SUM(K91:K93)</f>
        <v>0</v>
      </c>
      <c r="L90" s="1899"/>
      <c r="M90" s="1900"/>
      <c r="N90" s="1901"/>
      <c r="O90" s="1902"/>
      <c r="P90" s="1903"/>
      <c r="Q90" s="1898">
        <f>+U90/E90</f>
        <v>0</v>
      </c>
      <c r="R90" s="1898">
        <f>+V90/E90</f>
        <v>200160.33367971593</v>
      </c>
      <c r="S90" s="1904"/>
      <c r="T90" s="1904"/>
      <c r="U90" s="1905">
        <f>SUM(S91:S93)</f>
        <v>0</v>
      </c>
      <c r="V90" s="1906">
        <f>SUM(T91:T93)</f>
        <v>200160.33367971593</v>
      </c>
    </row>
    <row r="91" spans="1:22" ht="12.75" customHeight="1">
      <c r="A91" s="1907"/>
      <c r="B91" s="1540"/>
      <c r="C91" s="2006" t="s">
        <v>1521</v>
      </c>
      <c r="D91" s="2007" t="s">
        <v>253</v>
      </c>
      <c r="E91" s="2007">
        <f>+ROUNDUP((E90*2*3)/25,0)</f>
        <v>1</v>
      </c>
      <c r="F91" s="2029">
        <f>20000/1.21</f>
        <v>16528.92561983471</v>
      </c>
      <c r="G91" s="2030"/>
      <c r="H91" s="1922"/>
      <c r="I91" s="1922"/>
      <c r="J91" s="1913">
        <f t="shared" ref="J91" si="105">+F91*E91</f>
        <v>16528.92561983471</v>
      </c>
      <c r="K91" s="1913">
        <f t="shared" ref="K91" si="106">+G91*E91</f>
        <v>0</v>
      </c>
      <c r="L91" s="1914"/>
      <c r="M91" s="1915"/>
      <c r="N91" s="1916"/>
      <c r="O91" s="1917"/>
      <c r="P91" s="1918"/>
      <c r="Q91" s="1923"/>
      <c r="R91" s="1923"/>
      <c r="S91" s="1919">
        <f t="shared" ref="S91:S93" si="107">+L91*E91</f>
        <v>0</v>
      </c>
      <c r="T91" s="1919">
        <f t="shared" ref="T91" si="108">(+M91*$M$5+N91*$N$5+O91*$O$5+P91*$P$5)*E91</f>
        <v>0</v>
      </c>
    </row>
    <row r="92" spans="1:22" ht="12.75" customHeight="1">
      <c r="A92" s="1907"/>
      <c r="B92" s="1540"/>
      <c r="C92" s="2006" t="s">
        <v>807</v>
      </c>
      <c r="D92" s="2007" t="s">
        <v>226</v>
      </c>
      <c r="E92" s="2007">
        <v>1</v>
      </c>
      <c r="F92" s="2029">
        <f>VLOOKUP(C92,Cotizaciones!B:D,3,0)</f>
        <v>35708.400000000001</v>
      </c>
      <c r="G92" s="2030"/>
      <c r="H92" s="1922"/>
      <c r="I92" s="1922"/>
      <c r="J92" s="1913">
        <f t="shared" ref="J92:J93" si="109">+F92*E92</f>
        <v>35708.400000000001</v>
      </c>
      <c r="K92" s="1913">
        <f t="shared" ref="K92:K93" si="110">+G92*E92</f>
        <v>0</v>
      </c>
      <c r="L92" s="1914"/>
      <c r="M92" s="1915"/>
      <c r="N92" s="1916"/>
      <c r="O92" s="1917"/>
      <c r="P92" s="1918"/>
      <c r="Q92" s="1923"/>
      <c r="R92" s="1923"/>
      <c r="S92" s="1919">
        <f t="shared" ref="S92" si="111">+L92*E92</f>
        <v>0</v>
      </c>
      <c r="T92" s="1919">
        <f t="shared" ref="T92" si="112">(+M92*$M$5+N92*$N$5+O92*$O$5+P92*$P$5)*E92</f>
        <v>0</v>
      </c>
    </row>
    <row r="93" spans="1:22" ht="12.75" customHeight="1">
      <c r="A93" s="1943"/>
      <c r="B93" s="1541"/>
      <c r="C93" s="2015">
        <v>35</v>
      </c>
      <c r="D93" s="2016" t="s">
        <v>198</v>
      </c>
      <c r="E93" s="1933">
        <v>2</v>
      </c>
      <c r="F93" s="2031"/>
      <c r="G93" s="2032"/>
      <c r="H93" s="1932"/>
      <c r="I93" s="1932"/>
      <c r="J93" s="1933">
        <f t="shared" si="109"/>
        <v>0</v>
      </c>
      <c r="K93" s="1933">
        <f t="shared" si="110"/>
        <v>0</v>
      </c>
      <c r="L93" s="1946"/>
      <c r="M93" s="1947">
        <v>1</v>
      </c>
      <c r="N93" s="1948"/>
      <c r="O93" s="1949"/>
      <c r="P93" s="1950">
        <v>0.5</v>
      </c>
      <c r="Q93" s="1939"/>
      <c r="R93" s="1939"/>
      <c r="S93" s="1940">
        <f t="shared" si="107"/>
        <v>0</v>
      </c>
      <c r="T93" s="1940">
        <f>(+M93*$M$5+N93*$N$5+O93*$O$5+P93*$P$5)*E93</f>
        <v>200160.33367971593</v>
      </c>
    </row>
    <row r="94" spans="1:22" ht="12.75" customHeight="1">
      <c r="A94" s="2033">
        <f>+'01'!A58</f>
        <v>6</v>
      </c>
      <c r="B94" s="2034"/>
      <c r="C94" s="2033" t="str">
        <f>+'01'!C58</f>
        <v>CUBIERTAS</v>
      </c>
      <c r="D94" s="2033">
        <f>+'01'!D58</f>
        <v>0</v>
      </c>
      <c r="E94" s="2033">
        <f>+'01'!E58</f>
        <v>0</v>
      </c>
      <c r="F94" s="2035"/>
      <c r="G94" s="2036"/>
      <c r="H94" s="2037"/>
      <c r="I94" s="2037"/>
      <c r="J94" s="2038"/>
      <c r="K94" s="2038"/>
      <c r="L94" s="2039"/>
      <c r="M94" s="2040"/>
      <c r="N94" s="2041"/>
      <c r="O94" s="2042"/>
      <c r="P94" s="2043"/>
      <c r="Q94" s="2044"/>
      <c r="R94" s="2044"/>
      <c r="S94" s="2045"/>
      <c r="T94" s="2046"/>
      <c r="U94" s="1888"/>
      <c r="V94" s="1888"/>
    </row>
    <row r="95" spans="1:22" ht="12.75" customHeight="1">
      <c r="A95" s="1834">
        <f>+'01'!A59</f>
        <v>6.02</v>
      </c>
      <c r="B95" s="1556"/>
      <c r="C95" s="1834" t="str">
        <f>+'01'!C59</f>
        <v>Babeta de chapa galvanizada en medianeras</v>
      </c>
      <c r="D95" s="1556" t="str">
        <f>+'01'!D59</f>
        <v>ml</v>
      </c>
      <c r="E95" s="1556">
        <f>+'01'!E59</f>
        <v>60</v>
      </c>
      <c r="F95" s="2027"/>
      <c r="G95" s="2028"/>
      <c r="H95" s="1898">
        <f>+J95/E95</f>
        <v>13939.39393939394</v>
      </c>
      <c r="I95" s="1898">
        <f>+K95/E95</f>
        <v>0</v>
      </c>
      <c r="J95" s="1824">
        <f>SUM(J96:J99)</f>
        <v>836363.63636363635</v>
      </c>
      <c r="K95" s="1824">
        <f>SUM(K96:K99)</f>
        <v>0</v>
      </c>
      <c r="L95" s="1899"/>
      <c r="M95" s="1900"/>
      <c r="N95" s="1901"/>
      <c r="O95" s="1902"/>
      <c r="P95" s="1903"/>
      <c r="Q95" s="1898">
        <f>+U95/E95</f>
        <v>0</v>
      </c>
      <c r="R95" s="1898">
        <f>+V95/E95</f>
        <v>4329.9039997714654</v>
      </c>
      <c r="S95" s="1964"/>
      <c r="T95" s="1964"/>
      <c r="U95" s="1905">
        <f>SUM(S96:S99)</f>
        <v>0</v>
      </c>
      <c r="V95" s="1906">
        <f>SUM(T96:T99)</f>
        <v>259794.2399862879</v>
      </c>
    </row>
    <row r="96" spans="1:22" ht="12.75" customHeight="1">
      <c r="A96" s="1907"/>
      <c r="B96" s="1540"/>
      <c r="C96" s="2006" t="s">
        <v>1520</v>
      </c>
      <c r="D96" s="2007" t="s">
        <v>77</v>
      </c>
      <c r="E96" s="1913">
        <f>+ROUNDUP(E95/2.44*1.1,0)</f>
        <v>28</v>
      </c>
      <c r="F96" s="2029">
        <f>20000/1.21</f>
        <v>16528.92561983471</v>
      </c>
      <c r="G96" s="2030"/>
      <c r="H96" s="1922"/>
      <c r="I96" s="1922"/>
      <c r="J96" s="1913">
        <f t="shared" ref="J96:J97" si="113">+F96*E96</f>
        <v>462809.91735537187</v>
      </c>
      <c r="K96" s="1913">
        <f t="shared" ref="K96:K97" si="114">+G96*E96</f>
        <v>0</v>
      </c>
      <c r="L96" s="1914"/>
      <c r="M96" s="1915"/>
      <c r="N96" s="1916"/>
      <c r="O96" s="1917"/>
      <c r="P96" s="1918"/>
      <c r="Q96" s="1923"/>
      <c r="R96" s="1923"/>
      <c r="S96" s="1919">
        <f t="shared" ref="S96:S97" si="115">+L96*E96</f>
        <v>0</v>
      </c>
      <c r="T96" s="1919">
        <f t="shared" ref="T96:T97" si="116">(+M96*$M$5+N96*$N$5+O96*$O$5+P96*$P$5)*E96</f>
        <v>0</v>
      </c>
    </row>
    <row r="97" spans="1:22" ht="12.75" customHeight="1">
      <c r="A97" s="1907"/>
      <c r="B97" s="1540"/>
      <c r="C97" s="2006" t="s">
        <v>267</v>
      </c>
      <c r="D97" s="2007" t="s">
        <v>77</v>
      </c>
      <c r="E97" s="1913">
        <f>+E95/5</f>
        <v>12</v>
      </c>
      <c r="F97" s="2029">
        <f>30000/1.21</f>
        <v>24793.388429752067</v>
      </c>
      <c r="G97" s="2030"/>
      <c r="H97" s="1922"/>
      <c r="I97" s="1922"/>
      <c r="J97" s="1913">
        <f t="shared" si="113"/>
        <v>297520.66115702479</v>
      </c>
      <c r="K97" s="1913">
        <f t="shared" si="114"/>
        <v>0</v>
      </c>
      <c r="L97" s="1914"/>
      <c r="M97" s="1915"/>
      <c r="N97" s="1916"/>
      <c r="O97" s="1917"/>
      <c r="P97" s="1918"/>
      <c r="Q97" s="1923"/>
      <c r="R97" s="1923"/>
      <c r="S97" s="1919">
        <f t="shared" si="115"/>
        <v>0</v>
      </c>
      <c r="T97" s="1919">
        <f t="shared" si="116"/>
        <v>0</v>
      </c>
    </row>
    <row r="98" spans="1:22" ht="12.75" customHeight="1">
      <c r="A98" s="1907"/>
      <c r="B98" s="1540"/>
      <c r="C98" s="2006" t="s">
        <v>209</v>
      </c>
      <c r="D98" s="2007" t="s">
        <v>54</v>
      </c>
      <c r="E98" s="1913">
        <v>0.1</v>
      </c>
      <c r="F98" s="2029">
        <f>+SUM(J96:J97)</f>
        <v>760330.57851239666</v>
      </c>
      <c r="G98" s="2030"/>
      <c r="H98" s="1922"/>
      <c r="I98" s="1922"/>
      <c r="J98" s="1913">
        <f t="shared" ref="J98" si="117">+F98*E98</f>
        <v>76033.057851239675</v>
      </c>
      <c r="K98" s="1913">
        <f t="shared" ref="K98" si="118">+G98*E98</f>
        <v>0</v>
      </c>
      <c r="L98" s="1914"/>
      <c r="M98" s="1915"/>
      <c r="N98" s="1916"/>
      <c r="O98" s="1917"/>
      <c r="P98" s="1918"/>
      <c r="Q98" s="1923"/>
      <c r="R98" s="1923"/>
      <c r="S98" s="1919">
        <f t="shared" ref="S98:S99" si="119">+L98*E98</f>
        <v>0</v>
      </c>
      <c r="T98" s="1919">
        <f t="shared" ref="T98:T99" si="120">(+M98*$M$5+N98*$N$5+O98*$O$5+P98*$P$5)*E98</f>
        <v>0</v>
      </c>
    </row>
    <row r="99" spans="1:22" ht="12.75" customHeight="1">
      <c r="A99" s="1943"/>
      <c r="B99" s="1541"/>
      <c r="C99" s="2015" t="s">
        <v>210</v>
      </c>
      <c r="D99" s="2016" t="s">
        <v>198</v>
      </c>
      <c r="E99" s="1933">
        <v>2</v>
      </c>
      <c r="F99" s="2031"/>
      <c r="G99" s="2032"/>
      <c r="H99" s="1932"/>
      <c r="I99" s="1932"/>
      <c r="J99" s="1933">
        <f t="shared" ref="J99" si="121">+F99*E99</f>
        <v>0</v>
      </c>
      <c r="K99" s="1933">
        <f t="shared" ref="K99" si="122">+G99*E99</f>
        <v>0</v>
      </c>
      <c r="L99" s="1946"/>
      <c r="M99" s="1947">
        <v>1</v>
      </c>
      <c r="N99" s="1948"/>
      <c r="O99" s="1949">
        <v>1</v>
      </c>
      <c r="P99" s="1950"/>
      <c r="Q99" s="1939"/>
      <c r="R99" s="1939"/>
      <c r="S99" s="1940">
        <f t="shared" si="119"/>
        <v>0</v>
      </c>
      <c r="T99" s="1940">
        <f t="shared" si="120"/>
        <v>259794.2399862879</v>
      </c>
    </row>
    <row r="100" spans="1:22" ht="10.5">
      <c r="A100" s="1889">
        <f>+'01'!A60</f>
        <v>7</v>
      </c>
      <c r="B100" s="1885"/>
      <c r="C100" s="1965" t="str">
        <f>+'01'!C60</f>
        <v>REVOQUES</v>
      </c>
      <c r="D100" s="1890"/>
      <c r="E100" s="1890"/>
      <c r="F100" s="1891"/>
      <c r="G100" s="1892"/>
      <c r="H100" s="1893"/>
      <c r="I100" s="1893"/>
      <c r="J100" s="1893"/>
      <c r="K100" s="1893"/>
      <c r="L100" s="1893"/>
      <c r="M100" s="1894"/>
      <c r="N100" s="1895"/>
      <c r="O100" s="1891"/>
      <c r="P100" s="1892"/>
      <c r="Q100" s="1893"/>
      <c r="R100" s="1893"/>
      <c r="S100" s="1893"/>
      <c r="T100" s="2047"/>
      <c r="U100" s="1924"/>
      <c r="V100" s="1925"/>
    </row>
    <row r="101" spans="1:22" ht="12.75" customHeight="1">
      <c r="A101" s="2048">
        <f>+'01'!A65</f>
        <v>7.05</v>
      </c>
      <c r="B101" s="2049" t="str">
        <f>+'01'!B65</f>
        <v>R</v>
      </c>
      <c r="C101" s="2048" t="str">
        <f>+'01'!C65</f>
        <v>Yeso interior</v>
      </c>
      <c r="D101" s="2049" t="str">
        <f>+'01'!D65</f>
        <v>m2</v>
      </c>
      <c r="E101" s="2049">
        <f>+'01'!E65</f>
        <v>2514.8970000000013</v>
      </c>
      <c r="F101" s="2050"/>
      <c r="G101" s="2051"/>
      <c r="H101" s="1898">
        <f>+J101/E101</f>
        <v>0</v>
      </c>
      <c r="I101" s="1898">
        <f>+K101/E101</f>
        <v>5135.3398886713831</v>
      </c>
      <c r="J101" s="1824">
        <f>SUM(J102:J105)</f>
        <v>0</v>
      </c>
      <c r="K101" s="1824">
        <f>SUM(K102:K105)</f>
        <v>12914850.880000001</v>
      </c>
      <c r="L101" s="1899"/>
      <c r="M101" s="1900"/>
      <c r="N101" s="1901"/>
      <c r="O101" s="1902"/>
      <c r="P101" s="1903"/>
      <c r="Q101" s="1898">
        <f>+U101/E101</f>
        <v>12817.951531348474</v>
      </c>
      <c r="R101" s="1898">
        <f>+V101/E101</f>
        <v>0</v>
      </c>
      <c r="S101" s="1904"/>
      <c r="T101" s="1904"/>
      <c r="U101" s="1905">
        <f>SUM(S102:S105)</f>
        <v>32235827.852333698</v>
      </c>
      <c r="V101" s="1906">
        <f>SUM(T102:T105)</f>
        <v>0</v>
      </c>
    </row>
    <row r="102" spans="1:22" ht="12.75" customHeight="1">
      <c r="A102" s="2052"/>
      <c r="B102" s="1563"/>
      <c r="C102" s="2006" t="s">
        <v>261</v>
      </c>
      <c r="D102" s="2007" t="s">
        <v>253</v>
      </c>
      <c r="E102" s="2007">
        <f>+ROUNDUP(E101*17/25*1.05,0)</f>
        <v>1796</v>
      </c>
      <c r="F102" s="2053"/>
      <c r="G102" s="2054">
        <f>+Cotizaciones!D53</f>
        <v>6694.38</v>
      </c>
      <c r="H102" s="1923"/>
      <c r="I102" s="1923"/>
      <c r="J102" s="1913">
        <f t="shared" ref="J102" si="123">+F102*E102</f>
        <v>0</v>
      </c>
      <c r="K102" s="1913">
        <f t="shared" ref="K102" si="124">+G102*E102</f>
        <v>12023106.48</v>
      </c>
      <c r="L102" s="1914"/>
      <c r="M102" s="1915"/>
      <c r="N102" s="1916"/>
      <c r="O102" s="1917"/>
      <c r="P102" s="1918"/>
      <c r="Q102" s="1923"/>
      <c r="R102" s="1923"/>
      <c r="S102" s="1919">
        <f t="shared" ref="S102" si="125">+L102*E102</f>
        <v>0</v>
      </c>
      <c r="T102" s="1919">
        <f t="shared" ref="T102" si="126">(+M102*$M$5+N102*$N$5+O102*$O$5+P102*$P$5)*E102</f>
        <v>0</v>
      </c>
      <c r="U102" s="2055"/>
    </row>
    <row r="103" spans="1:22" ht="10.5">
      <c r="A103" s="2056"/>
      <c r="B103" s="2057"/>
      <c r="C103" s="2006" t="s">
        <v>262</v>
      </c>
      <c r="D103" s="2058" t="s">
        <v>263</v>
      </c>
      <c r="E103" s="2058">
        <f>+ROUND(E101/5/150*1.05,0)</f>
        <v>4</v>
      </c>
      <c r="F103" s="2053"/>
      <c r="G103" s="2054">
        <f>+Cotizaciones!D55</f>
        <v>124738</v>
      </c>
      <c r="H103" s="1923"/>
      <c r="I103" s="1923"/>
      <c r="J103" s="1913">
        <f t="shared" ref="J103:J105" si="127">+F103*E103</f>
        <v>0</v>
      </c>
      <c r="K103" s="1913">
        <f t="shared" ref="K103:K105" si="128">+G103*E103</f>
        <v>498952</v>
      </c>
      <c r="L103" s="1914"/>
      <c r="M103" s="1915"/>
      <c r="N103" s="1916"/>
      <c r="O103" s="1917"/>
      <c r="P103" s="1918"/>
      <c r="Q103" s="1923"/>
      <c r="R103" s="1923"/>
      <c r="S103" s="1919">
        <f t="shared" ref="S103:S105" si="129">+L103*E103</f>
        <v>0</v>
      </c>
      <c r="T103" s="1919">
        <f t="shared" ref="T103:T105" si="130">(+M103*$M$5+N103*$N$5+O103*$O$5+P103*$P$5)*E103</f>
        <v>0</v>
      </c>
      <c r="U103" s="2055"/>
    </row>
    <row r="104" spans="1:22" ht="12.75" customHeight="1">
      <c r="A104" s="2056"/>
      <c r="B104" s="2057"/>
      <c r="C104" s="2059" t="s">
        <v>264</v>
      </c>
      <c r="D104" s="2058" t="s">
        <v>208</v>
      </c>
      <c r="E104" s="2058">
        <f>+ROUNDUP(E101/5/50*1.05,0)</f>
        <v>11</v>
      </c>
      <c r="F104" s="2053"/>
      <c r="G104" s="2054">
        <f>+Cotizaciones!D50</f>
        <v>35708.400000000001</v>
      </c>
      <c r="H104" s="1923"/>
      <c r="I104" s="1923"/>
      <c r="J104" s="1913">
        <f t="shared" si="127"/>
        <v>0</v>
      </c>
      <c r="K104" s="1913">
        <f t="shared" si="128"/>
        <v>392792.4</v>
      </c>
      <c r="L104" s="1914"/>
      <c r="M104" s="1915"/>
      <c r="N104" s="1916"/>
      <c r="O104" s="1917"/>
      <c r="P104" s="1918"/>
      <c r="Q104" s="1923"/>
      <c r="R104" s="1923"/>
      <c r="S104" s="1919">
        <f t="shared" si="129"/>
        <v>0</v>
      </c>
      <c r="T104" s="1919">
        <f t="shared" si="130"/>
        <v>0</v>
      </c>
      <c r="U104" s="2055"/>
    </row>
    <row r="105" spans="1:22" ht="12.75" customHeight="1">
      <c r="A105" s="2060"/>
      <c r="B105" s="2061"/>
      <c r="C105" s="2062" t="s">
        <v>210</v>
      </c>
      <c r="D105" s="2063" t="s">
        <v>4</v>
      </c>
      <c r="E105" s="2063">
        <f>+E101</f>
        <v>2514.8970000000013</v>
      </c>
      <c r="F105" s="2064"/>
      <c r="G105" s="2065"/>
      <c r="H105" s="1939"/>
      <c r="I105" s="1939"/>
      <c r="J105" s="1933">
        <f t="shared" si="127"/>
        <v>0</v>
      </c>
      <c r="K105" s="1933">
        <f t="shared" si="128"/>
        <v>0</v>
      </c>
      <c r="L105" s="1946">
        <f>+SUBCONTRATOS!D28</f>
        <v>12817.951531348474</v>
      </c>
      <c r="M105" s="1947"/>
      <c r="N105" s="1948"/>
      <c r="O105" s="1949"/>
      <c r="P105" s="1950"/>
      <c r="Q105" s="1939"/>
      <c r="R105" s="1939"/>
      <c r="S105" s="1940">
        <f t="shared" si="129"/>
        <v>32235827.852333698</v>
      </c>
      <c r="T105" s="1940">
        <f t="shared" si="130"/>
        <v>0</v>
      </c>
      <c r="U105" s="2055"/>
    </row>
    <row r="106" spans="1:22" ht="12.75" customHeight="1">
      <c r="A106" s="2048">
        <f>+'01'!A66</f>
        <v>7.06</v>
      </c>
      <c r="B106" s="2049" t="str">
        <f>+'01'!B66</f>
        <v>R</v>
      </c>
      <c r="C106" s="2048" t="str">
        <f>+'01'!C66</f>
        <v xml:space="preserve">Arista en yeso </v>
      </c>
      <c r="D106" s="2049" t="str">
        <f>+'01'!D66</f>
        <v>ml</v>
      </c>
      <c r="E106" s="2049">
        <f>+'01'!E66</f>
        <v>509.9</v>
      </c>
      <c r="F106" s="2050"/>
      <c r="G106" s="2051"/>
      <c r="H106" s="1984">
        <f>+J106/E106</f>
        <v>0</v>
      </c>
      <c r="I106" s="1984">
        <f>+K106/E106</f>
        <v>0</v>
      </c>
      <c r="J106" s="1815">
        <f>SUM(J107)</f>
        <v>0</v>
      </c>
      <c r="K106" s="1815">
        <f>SUM(K107)</f>
        <v>0</v>
      </c>
      <c r="L106" s="1899"/>
      <c r="M106" s="1900"/>
      <c r="N106" s="1901"/>
      <c r="O106" s="1902"/>
      <c r="P106" s="1903"/>
      <c r="Q106" s="1984">
        <f>+U106/E106</f>
        <v>10160.57133582501</v>
      </c>
      <c r="R106" s="1984">
        <f>+V106/E106</f>
        <v>0</v>
      </c>
      <c r="S106" s="1904"/>
      <c r="T106" s="1904"/>
      <c r="U106" s="1905">
        <f>SUM(S107)</f>
        <v>5180875.3241371727</v>
      </c>
      <c r="V106" s="1906">
        <f>SUM(T107)</f>
        <v>0</v>
      </c>
    </row>
    <row r="107" spans="1:22" ht="12.75" customHeight="1">
      <c r="A107" s="2066"/>
      <c r="B107" s="1568"/>
      <c r="C107" s="2015" t="s">
        <v>91</v>
      </c>
      <c r="D107" s="2016" t="s">
        <v>59</v>
      </c>
      <c r="E107" s="2016">
        <f>+E106</f>
        <v>509.9</v>
      </c>
      <c r="F107" s="2064"/>
      <c r="G107" s="2065"/>
      <c r="H107" s="1939"/>
      <c r="I107" s="1939"/>
      <c r="J107" s="1933">
        <f t="shared" ref="J107" si="131">+F107*E107</f>
        <v>0</v>
      </c>
      <c r="K107" s="1933">
        <f t="shared" ref="K107" si="132">+G107*E107</f>
        <v>0</v>
      </c>
      <c r="L107" s="1946">
        <f>+SUBCONTRATOS!D29</f>
        <v>10160.57133582501</v>
      </c>
      <c r="M107" s="1947"/>
      <c r="N107" s="1948"/>
      <c r="O107" s="1949"/>
      <c r="P107" s="1950"/>
      <c r="Q107" s="1939"/>
      <c r="R107" s="1939"/>
      <c r="S107" s="1919">
        <f t="shared" ref="S107" si="133">+L107*E107</f>
        <v>5180875.3241371727</v>
      </c>
      <c r="T107" s="1919">
        <f t="shared" ref="T107" si="134">(+M107*$M$5+N107*$N$5+O107*$O$5+P107*$P$5)*E107</f>
        <v>0</v>
      </c>
      <c r="U107" s="2055"/>
    </row>
    <row r="108" spans="1:22" ht="12.75" customHeight="1">
      <c r="A108" s="2067">
        <f>+'01'!A67</f>
        <v>7.07</v>
      </c>
      <c r="B108" s="2068" t="str">
        <f>+'01'!B67</f>
        <v>R</v>
      </c>
      <c r="C108" s="2067" t="str">
        <f>+'01'!C67</f>
        <v xml:space="preserve">Provisión y colocación de guardacanto yesero </v>
      </c>
      <c r="D108" s="2068" t="str">
        <f>+'01'!D67</f>
        <v>u</v>
      </c>
      <c r="E108" s="2068">
        <f>+'01'!E67</f>
        <v>198</v>
      </c>
      <c r="F108" s="1988"/>
      <c r="G108" s="2069"/>
      <c r="H108" s="1984">
        <f>+J108/E108</f>
        <v>0</v>
      </c>
      <c r="I108" s="1984">
        <f>+K108/E108</f>
        <v>1217.7454545454545</v>
      </c>
      <c r="J108" s="1815">
        <f>SUM(J109)</f>
        <v>0</v>
      </c>
      <c r="K108" s="1815">
        <f>SUM(K109)</f>
        <v>241113.60000000001</v>
      </c>
      <c r="L108" s="1990"/>
      <c r="M108" s="1991"/>
      <c r="N108" s="1981"/>
      <c r="O108" s="1982"/>
      <c r="P108" s="1992"/>
      <c r="Q108" s="1984">
        <f>+U108/E108</f>
        <v>10673.73150430102</v>
      </c>
      <c r="R108" s="1984">
        <f>+V108/E108</f>
        <v>0</v>
      </c>
      <c r="S108" s="1993"/>
      <c r="T108" s="1994"/>
      <c r="U108" s="1905">
        <f>SUM(S109)</f>
        <v>2113398.8378516021</v>
      </c>
      <c r="V108" s="1906">
        <f>SUM(T109)</f>
        <v>0</v>
      </c>
    </row>
    <row r="109" spans="1:22" ht="12.75" customHeight="1">
      <c r="A109" s="2066"/>
      <c r="B109" s="1826"/>
      <c r="C109" s="2070" t="s">
        <v>265</v>
      </c>
      <c r="D109" s="2071" t="s">
        <v>77</v>
      </c>
      <c r="E109" s="2071">
        <f>+ROUNDUP(E108*1.05,0)</f>
        <v>208</v>
      </c>
      <c r="F109" s="2072"/>
      <c r="G109" s="2073">
        <f>+Cotizaciones!D54</f>
        <v>1159.2</v>
      </c>
      <c r="H109" s="2074"/>
      <c r="I109" s="2074"/>
      <c r="J109" s="1958">
        <f t="shared" ref="J109" si="135">+F109*E109</f>
        <v>0</v>
      </c>
      <c r="K109" s="1958">
        <f t="shared" ref="K109" si="136">+G109*E109</f>
        <v>241113.60000000001</v>
      </c>
      <c r="L109" s="1959">
        <f>+SUBCONTRATOS!D30</f>
        <v>10160.57133582501</v>
      </c>
      <c r="M109" s="1960"/>
      <c r="N109" s="1961"/>
      <c r="O109" s="1962"/>
      <c r="P109" s="1963"/>
      <c r="Q109" s="2074"/>
      <c r="R109" s="2074"/>
      <c r="S109" s="2075">
        <f t="shared" ref="S109" si="137">+L109*E109</f>
        <v>2113398.8378516021</v>
      </c>
      <c r="T109" s="2075">
        <f t="shared" ref="T109" si="138">(+M109*$M$5+N109*$N$5+O109*$O$5+P109*$P$5)*E109</f>
        <v>0</v>
      </c>
    </row>
    <row r="110" spans="1:22" ht="10.5">
      <c r="A110" s="2076">
        <f>+'01'!A69</f>
        <v>8</v>
      </c>
      <c r="B110" s="2076">
        <f>+'01'!B69</f>
        <v>0</v>
      </c>
      <c r="C110" s="2076" t="str">
        <f>+'01'!C69</f>
        <v>CONTRAPISOS Y CARPETAS</v>
      </c>
      <c r="D110" s="2076"/>
      <c r="E110" s="2076"/>
      <c r="F110" s="2077"/>
      <c r="G110" s="2078"/>
      <c r="H110" s="2079"/>
      <c r="I110" s="2079"/>
      <c r="J110" s="2080"/>
      <c r="K110" s="2080"/>
      <c r="L110" s="2081"/>
      <c r="M110" s="2082"/>
      <c r="N110" s="2083"/>
      <c r="O110" s="2084"/>
      <c r="P110" s="2085"/>
      <c r="Q110" s="2079"/>
      <c r="R110" s="2079"/>
      <c r="S110" s="2086"/>
      <c r="T110" s="2087"/>
      <c r="U110" s="1925"/>
      <c r="V110" s="1925"/>
    </row>
    <row r="111" spans="1:22" ht="10.5">
      <c r="A111" s="1820">
        <f>+'01'!A76</f>
        <v>8.07</v>
      </c>
      <c r="B111" s="1820" t="str">
        <f>+'01'!B76</f>
        <v>R</v>
      </c>
      <c r="C111" s="1821" t="str">
        <f>+'01'!C76</f>
        <v>Banquinas para cocinas</v>
      </c>
      <c r="D111" s="1820" t="str">
        <f>+'01'!D76</f>
        <v>gl</v>
      </c>
      <c r="E111" s="1820">
        <f>+'01'!E76</f>
        <v>1</v>
      </c>
      <c r="F111" s="2027"/>
      <c r="G111" s="2028"/>
      <c r="H111" s="1898">
        <f>+J111/E111</f>
        <v>1076227.6597</v>
      </c>
      <c r="I111" s="1898">
        <f>+K111/E111</f>
        <v>0</v>
      </c>
      <c r="J111" s="1824">
        <f>SUM(J112:J115)</f>
        <v>1076227.6597</v>
      </c>
      <c r="K111" s="1824">
        <f>SUM(K112:K115)</f>
        <v>0</v>
      </c>
      <c r="L111" s="1899"/>
      <c r="M111" s="1900"/>
      <c r="N111" s="1901"/>
      <c r="O111" s="1902"/>
      <c r="P111" s="1903"/>
      <c r="Q111" s="1898">
        <f>+U111/E111</f>
        <v>0</v>
      </c>
      <c r="R111" s="1898">
        <f>+V111/E111</f>
        <v>826143.61379857967</v>
      </c>
      <c r="S111" s="1904"/>
      <c r="T111" s="1904"/>
      <c r="U111" s="1906">
        <f>SUM(S112:S115)</f>
        <v>0</v>
      </c>
      <c r="V111" s="1906">
        <f>SUM(T112:T115)</f>
        <v>826143.61379857967</v>
      </c>
    </row>
    <row r="112" spans="1:22" ht="10.5">
      <c r="A112" s="1822"/>
      <c r="B112" s="1563"/>
      <c r="C112" s="2006" t="s">
        <v>258</v>
      </c>
      <c r="D112" s="2007" t="s">
        <v>66</v>
      </c>
      <c r="E112" s="2007">
        <f>+Computo!I163</f>
        <v>7</v>
      </c>
      <c r="F112" s="2029">
        <f>+Cotizaciones!D24</f>
        <v>125000</v>
      </c>
      <c r="G112" s="2030"/>
      <c r="H112" s="1922"/>
      <c r="I112" s="1922"/>
      <c r="J112" s="1913">
        <f t="shared" ref="J112" si="139">+F112*E112</f>
        <v>875000</v>
      </c>
      <c r="K112" s="1913">
        <f t="shared" ref="K112" si="140">+G112*E112</f>
        <v>0</v>
      </c>
      <c r="L112" s="1914"/>
      <c r="M112" s="1915"/>
      <c r="N112" s="1916"/>
      <c r="O112" s="1917"/>
      <c r="P112" s="1918"/>
      <c r="Q112" s="1923"/>
      <c r="R112" s="1923"/>
      <c r="S112" s="2002">
        <f t="shared" ref="S112:S114" si="141">+L112*E112</f>
        <v>0</v>
      </c>
      <c r="T112" s="2002">
        <f t="shared" ref="T112:T113" si="142">(+M112*$M$5+N112*$N$5+O112*$O$5+P112*$P$5)*E112</f>
        <v>0</v>
      </c>
    </row>
    <row r="113" spans="1:22" ht="10.5">
      <c r="A113" s="1822"/>
      <c r="B113" s="1563"/>
      <c r="C113" s="2006" t="s">
        <v>2348</v>
      </c>
      <c r="D113" s="2007" t="s">
        <v>4</v>
      </c>
      <c r="E113" s="2007">
        <f>+Computo!J163</f>
        <v>55</v>
      </c>
      <c r="F113" s="2029">
        <f>+'APU 09.24'!E26</f>
        <v>3180.0905400000011</v>
      </c>
      <c r="G113" s="2030"/>
      <c r="H113" s="1922"/>
      <c r="I113" s="1922"/>
      <c r="J113" s="1913">
        <f t="shared" ref="J113:J115" si="143">+F113*E113</f>
        <v>174904.97970000005</v>
      </c>
      <c r="K113" s="1913">
        <f t="shared" ref="K113:K115" si="144">+G113*E113</f>
        <v>0</v>
      </c>
      <c r="L113" s="1914"/>
      <c r="M113" s="1915"/>
      <c r="N113" s="1916"/>
      <c r="O113" s="1917"/>
      <c r="P113" s="1918"/>
      <c r="Q113" s="1923"/>
      <c r="R113" s="1923"/>
      <c r="S113" s="2002">
        <f t="shared" si="141"/>
        <v>0</v>
      </c>
      <c r="T113" s="2002">
        <f t="shared" si="142"/>
        <v>0</v>
      </c>
    </row>
    <row r="114" spans="1:22" ht="10.5">
      <c r="A114" s="1822"/>
      <c r="B114" s="1563"/>
      <c r="C114" s="2006" t="s">
        <v>259</v>
      </c>
      <c r="D114" s="2007" t="s">
        <v>77</v>
      </c>
      <c r="E114" s="2007">
        <v>1</v>
      </c>
      <c r="F114" s="2029">
        <f>+Cotizaciones!D18</f>
        <v>26322.68</v>
      </c>
      <c r="G114" s="2030"/>
      <c r="H114" s="1922"/>
      <c r="I114" s="1922"/>
      <c r="J114" s="1913">
        <f t="shared" si="143"/>
        <v>26322.68</v>
      </c>
      <c r="K114" s="1913">
        <f t="shared" si="144"/>
        <v>0</v>
      </c>
      <c r="L114" s="1914"/>
      <c r="M114" s="1915"/>
      <c r="N114" s="1916"/>
      <c r="O114" s="1917"/>
      <c r="P114" s="1918"/>
      <c r="Q114" s="1923"/>
      <c r="R114" s="1923"/>
      <c r="S114" s="2002">
        <f t="shared" si="141"/>
        <v>0</v>
      </c>
      <c r="T114" s="2002">
        <f>(+M114*$M$5+N114*$N$5+O114*$O$5+P114*$P$5)*E114</f>
        <v>0</v>
      </c>
    </row>
    <row r="115" spans="1:22" ht="10.5">
      <c r="A115" s="1823"/>
      <c r="B115" s="1568"/>
      <c r="C115" s="2015" t="s">
        <v>210</v>
      </c>
      <c r="D115" s="2016" t="s">
        <v>198</v>
      </c>
      <c r="E115" s="2016">
        <v>5</v>
      </c>
      <c r="F115" s="2031"/>
      <c r="G115" s="2032"/>
      <c r="H115" s="1932"/>
      <c r="I115" s="1932"/>
      <c r="J115" s="1933">
        <f t="shared" si="143"/>
        <v>0</v>
      </c>
      <c r="K115" s="1933">
        <f t="shared" si="144"/>
        <v>0</v>
      </c>
      <c r="L115" s="1946"/>
      <c r="M115" s="1947"/>
      <c r="N115" s="1948">
        <v>1</v>
      </c>
      <c r="O115" s="1949"/>
      <c r="P115" s="1950">
        <v>2</v>
      </c>
      <c r="Q115" s="1939"/>
      <c r="R115" s="1939"/>
      <c r="S115" s="2088">
        <f t="shared" ref="S115" si="145">+L115*E115</f>
        <v>0</v>
      </c>
      <c r="T115" s="2088">
        <f>(+M115*$M$5+N115*$N$5+O115*$O$5+P115*$P$5)*E115</f>
        <v>826143.61379857967</v>
      </c>
    </row>
    <row r="116" spans="1:22" ht="12.75" customHeight="1">
      <c r="A116" s="1820">
        <f>+'01'!A77</f>
        <v>8.08</v>
      </c>
      <c r="B116" s="1820" t="str">
        <f>+'01'!B51</f>
        <v>OK</v>
      </c>
      <c r="C116" s="1821" t="str">
        <f>+'01'!C77</f>
        <v>Banquinas para bombas y tanques en SB</v>
      </c>
      <c r="D116" s="1824" t="str">
        <f>+'01'!D77</f>
        <v>gl</v>
      </c>
      <c r="E116" s="1820">
        <f>+'01'!E77</f>
        <v>1</v>
      </c>
      <c r="F116" s="2027"/>
      <c r="G116" s="2028"/>
      <c r="H116" s="1898">
        <f>+J116/E116</f>
        <v>215055.49523360003</v>
      </c>
      <c r="I116" s="1898">
        <f>+K116/E116</f>
        <v>0</v>
      </c>
      <c r="J116" s="1824">
        <f>SUM(J117:J120)</f>
        <v>215055.49523360003</v>
      </c>
      <c r="K116" s="1824">
        <f>SUM(K117:K120)</f>
        <v>0</v>
      </c>
      <c r="L116" s="1899"/>
      <c r="M116" s="1900"/>
      <c r="N116" s="1901"/>
      <c r="O116" s="1902"/>
      <c r="P116" s="1903"/>
      <c r="Q116" s="1898">
        <f>+U116/E116</f>
        <v>0</v>
      </c>
      <c r="R116" s="1898">
        <f>+V116/E116</f>
        <v>165228.72275971592</v>
      </c>
      <c r="S116" s="1904"/>
      <c r="T116" s="1904"/>
      <c r="U116" s="1905">
        <f>SUM(S117:S120)</f>
        <v>0</v>
      </c>
      <c r="V116" s="1906">
        <f>SUM(T117:T120)</f>
        <v>165228.72275971592</v>
      </c>
    </row>
    <row r="117" spans="1:22" ht="12.75" customHeight="1">
      <c r="A117" s="1822"/>
      <c r="B117" s="1563"/>
      <c r="C117" s="2006" t="s">
        <v>258</v>
      </c>
      <c r="D117" s="2007" t="s">
        <v>66</v>
      </c>
      <c r="E117" s="2007">
        <f>+Computo!I165</f>
        <v>1.056</v>
      </c>
      <c r="F117" s="2029">
        <f>+Cotizaciones!D24</f>
        <v>125000</v>
      </c>
      <c r="G117" s="2030"/>
      <c r="H117" s="1922"/>
      <c r="I117" s="1922"/>
      <c r="J117" s="1913">
        <f t="shared" ref="J117:J118" si="146">+F117*E117</f>
        <v>132000</v>
      </c>
      <c r="K117" s="1913">
        <f t="shared" ref="K117:K118" si="147">+G117*E117</f>
        <v>0</v>
      </c>
      <c r="L117" s="1914"/>
      <c r="M117" s="1915"/>
      <c r="N117" s="1916"/>
      <c r="O117" s="1917"/>
      <c r="P117" s="1918"/>
      <c r="Q117" s="1923"/>
      <c r="R117" s="1923"/>
      <c r="S117" s="1919">
        <f t="shared" ref="S117:S120" si="148">+L117*E117</f>
        <v>0</v>
      </c>
      <c r="T117" s="1919">
        <f t="shared" ref="T117:T120" si="149">(+M117*$M$5+N117*$N$5+O117*$O$5+P117*$P$5)*E117</f>
        <v>0</v>
      </c>
    </row>
    <row r="118" spans="1:22" ht="12.75" customHeight="1">
      <c r="A118" s="1822"/>
      <c r="B118" s="1563"/>
      <c r="C118" s="2006" t="s">
        <v>2348</v>
      </c>
      <c r="D118" s="2007" t="s">
        <v>4</v>
      </c>
      <c r="E118" s="2007">
        <f>+Computo!J165</f>
        <v>17.840000000000003</v>
      </c>
      <c r="F118" s="2029">
        <f>+'APU 09.24'!E26</f>
        <v>3180.0905400000011</v>
      </c>
      <c r="G118" s="2030"/>
      <c r="H118" s="1922"/>
      <c r="I118" s="1922"/>
      <c r="J118" s="1913">
        <f t="shared" si="146"/>
        <v>56732.815233600028</v>
      </c>
      <c r="K118" s="1913">
        <f t="shared" si="147"/>
        <v>0</v>
      </c>
      <c r="L118" s="1914"/>
      <c r="M118" s="1915"/>
      <c r="N118" s="1916"/>
      <c r="O118" s="1917"/>
      <c r="P118" s="1918"/>
      <c r="Q118" s="1923"/>
      <c r="R118" s="1923"/>
      <c r="S118" s="1919">
        <f t="shared" ref="S118" si="150">+L118*E118</f>
        <v>0</v>
      </c>
      <c r="T118" s="1919">
        <f t="shared" ref="T118" si="151">(+M118*$M$5+N118*$N$5+O118*$O$5+P118*$P$5)*E118</f>
        <v>0</v>
      </c>
    </row>
    <row r="119" spans="1:22" ht="12.75" customHeight="1">
      <c r="A119" s="1822"/>
      <c r="B119" s="1563"/>
      <c r="C119" s="2006" t="s">
        <v>259</v>
      </c>
      <c r="D119" s="2007" t="s">
        <v>77</v>
      </c>
      <c r="E119" s="2007">
        <v>1</v>
      </c>
      <c r="F119" s="2029">
        <f>+Cotizaciones!D18</f>
        <v>26322.68</v>
      </c>
      <c r="G119" s="2030"/>
      <c r="H119" s="1922"/>
      <c r="I119" s="1922"/>
      <c r="J119" s="1913">
        <f t="shared" ref="J119:J120" si="152">+F119*E119</f>
        <v>26322.68</v>
      </c>
      <c r="K119" s="1913">
        <f t="shared" ref="K119:K120" si="153">+G119*E119</f>
        <v>0</v>
      </c>
      <c r="L119" s="1914"/>
      <c r="M119" s="1915"/>
      <c r="N119" s="1916"/>
      <c r="O119" s="1917"/>
      <c r="P119" s="1918"/>
      <c r="Q119" s="1923"/>
      <c r="R119" s="1923"/>
      <c r="S119" s="1919">
        <f t="shared" si="148"/>
        <v>0</v>
      </c>
      <c r="T119" s="1919">
        <f t="shared" si="149"/>
        <v>0</v>
      </c>
    </row>
    <row r="120" spans="1:22" ht="12.75" customHeight="1">
      <c r="A120" s="1823"/>
      <c r="B120" s="1568"/>
      <c r="C120" s="2015" t="s">
        <v>210</v>
      </c>
      <c r="D120" s="2016" t="s">
        <v>198</v>
      </c>
      <c r="E120" s="2016">
        <v>1</v>
      </c>
      <c r="F120" s="2031"/>
      <c r="G120" s="2032"/>
      <c r="H120" s="1932"/>
      <c r="I120" s="1932"/>
      <c r="J120" s="1933">
        <f t="shared" si="152"/>
        <v>0</v>
      </c>
      <c r="K120" s="1933">
        <f t="shared" si="153"/>
        <v>0</v>
      </c>
      <c r="L120" s="1946"/>
      <c r="M120" s="1947"/>
      <c r="N120" s="1948">
        <v>1</v>
      </c>
      <c r="O120" s="1949"/>
      <c r="P120" s="1950">
        <v>2</v>
      </c>
      <c r="Q120" s="1939"/>
      <c r="R120" s="1939"/>
      <c r="S120" s="1940">
        <f t="shared" si="148"/>
        <v>0</v>
      </c>
      <c r="T120" s="1940">
        <f t="shared" si="149"/>
        <v>165228.72275971592</v>
      </c>
    </row>
    <row r="121" spans="1:22" ht="10.5">
      <c r="A121" s="1884">
        <f>+'01'!A78</f>
        <v>9</v>
      </c>
      <c r="B121" s="1884"/>
      <c r="C121" s="1889" t="str">
        <f>+'01'!C78</f>
        <v>ESCALERAS</v>
      </c>
      <c r="D121" s="1890"/>
      <c r="E121" s="1890"/>
      <c r="F121" s="1891"/>
      <c r="G121" s="1892"/>
      <c r="H121" s="1893"/>
      <c r="I121" s="1893"/>
      <c r="J121" s="1893"/>
      <c r="K121" s="1893"/>
      <c r="L121" s="1893"/>
      <c r="M121" s="1894"/>
      <c r="N121" s="1895"/>
      <c r="O121" s="1891"/>
      <c r="P121" s="1892"/>
      <c r="Q121" s="1893"/>
      <c r="R121" s="1893"/>
      <c r="S121" s="1893"/>
      <c r="T121" s="1893"/>
    </row>
    <row r="122" spans="1:22" s="2089" customFormat="1" ht="12.75" customHeight="1">
      <c r="A122" s="1820">
        <f>+'01'!A79</f>
        <v>9.01</v>
      </c>
      <c r="B122" s="1820" t="e">
        <f>+'01'!#REF!</f>
        <v>#REF!</v>
      </c>
      <c r="C122" s="1821" t="str">
        <f>+'01'!C79</f>
        <v>Cemento alisado arrodillado en escaleras</v>
      </c>
      <c r="D122" s="1820" t="str">
        <f>+'01'!D79</f>
        <v>gl</v>
      </c>
      <c r="E122" s="1820">
        <f>+'01'!E79</f>
        <v>1</v>
      </c>
      <c r="F122" s="2027"/>
      <c r="G122" s="2028"/>
      <c r="H122" s="1898">
        <f>+J122/E122</f>
        <v>0</v>
      </c>
      <c r="I122" s="1898">
        <f>+K122/E122</f>
        <v>203505.44198054407</v>
      </c>
      <c r="J122" s="1824">
        <f>SUM(J123:J124)</f>
        <v>0</v>
      </c>
      <c r="K122" s="1824">
        <f>SUM(K123:K124)</f>
        <v>203505.44198054407</v>
      </c>
      <c r="L122" s="1899"/>
      <c r="M122" s="1900"/>
      <c r="N122" s="1901"/>
      <c r="O122" s="1902"/>
      <c r="P122" s="1903"/>
      <c r="Q122" s="1898">
        <f>+U122/E122</f>
        <v>0</v>
      </c>
      <c r="R122" s="1898">
        <f>+V122/E122</f>
        <v>1383533.8263977272</v>
      </c>
      <c r="S122" s="1904"/>
      <c r="T122" s="1904"/>
      <c r="U122" s="1905">
        <f>SUM(S123:S124)</f>
        <v>0</v>
      </c>
      <c r="V122" s="1906">
        <f>SUM(T123:T124)</f>
        <v>1383533.8263977272</v>
      </c>
    </row>
    <row r="123" spans="1:22" s="2089" customFormat="1" ht="12.75" customHeight="1">
      <c r="A123" s="1822"/>
      <c r="B123" s="1563"/>
      <c r="C123" s="2006" t="s">
        <v>1480</v>
      </c>
      <c r="D123" s="2007" t="s">
        <v>4</v>
      </c>
      <c r="E123" s="2007">
        <f>+Computo!K128</f>
        <v>53.328000000000003</v>
      </c>
      <c r="F123" s="2029"/>
      <c r="G123" s="2030">
        <f>+'APU 09.24'!E29</f>
        <v>3816.1086480000013</v>
      </c>
      <c r="H123" s="2090"/>
      <c r="I123" s="2090"/>
      <c r="J123" s="1913">
        <f t="shared" ref="J123:J124" si="154">+F123*E123</f>
        <v>0</v>
      </c>
      <c r="K123" s="1913">
        <f t="shared" ref="K123:K124" si="155">+G123*E123</f>
        <v>203505.44198054407</v>
      </c>
      <c r="L123" s="1914"/>
      <c r="M123" s="1915"/>
      <c r="N123" s="1916"/>
      <c r="O123" s="1917"/>
      <c r="P123" s="1918"/>
      <c r="Q123" s="1912"/>
      <c r="R123" s="1912"/>
      <c r="S123" s="1919">
        <f t="shared" ref="S123" si="156">+L123*E123</f>
        <v>0</v>
      </c>
      <c r="T123" s="1919">
        <f>(+M123*$M$5+N123*$N$5+O123*$O$5+P123*$P$5)*E123</f>
        <v>0</v>
      </c>
      <c r="U123" s="2091"/>
      <c r="V123" s="2091"/>
    </row>
    <row r="124" spans="1:22" s="2089" customFormat="1" ht="12.75" customHeight="1">
      <c r="A124" s="1823"/>
      <c r="B124" s="1568"/>
      <c r="C124" s="2015" t="s">
        <v>210</v>
      </c>
      <c r="D124" s="2016" t="s">
        <v>198</v>
      </c>
      <c r="E124" s="2016">
        <f>Computo!F128*2</f>
        <v>12</v>
      </c>
      <c r="F124" s="2031"/>
      <c r="G124" s="2032"/>
      <c r="H124" s="2092"/>
      <c r="I124" s="2092"/>
      <c r="J124" s="1933">
        <f t="shared" si="154"/>
        <v>0</v>
      </c>
      <c r="K124" s="1933">
        <f t="shared" si="155"/>
        <v>0</v>
      </c>
      <c r="L124" s="1946"/>
      <c r="M124" s="1947"/>
      <c r="N124" s="1948">
        <v>1</v>
      </c>
      <c r="O124" s="1949"/>
      <c r="P124" s="1950">
        <v>1</v>
      </c>
      <c r="Q124" s="1945"/>
      <c r="R124" s="1945"/>
      <c r="S124" s="1940">
        <f t="shared" ref="S124" si="157">+L124*E124</f>
        <v>0</v>
      </c>
      <c r="T124" s="1940">
        <f t="shared" ref="T124" si="158">(+M124*$M$5+N124*$N$5+O124*$O$5+P124*$P$5)*E124</f>
        <v>1383533.8263977272</v>
      </c>
      <c r="U124" s="2091"/>
      <c r="V124" s="2091"/>
    </row>
    <row r="125" spans="1:22" ht="12.75" customHeight="1">
      <c r="A125" s="1556">
        <f>+'01'!A80</f>
        <v>9.02</v>
      </c>
      <c r="B125" s="1556" t="e">
        <f>+'01'!#REF!</f>
        <v>#REF!</v>
      </c>
      <c r="C125" s="1834" t="str">
        <f>+'01'!C80</f>
        <v xml:space="preserve">Provisión nariz escalera, hierro angulo 5/8 x 1/8" </v>
      </c>
      <c r="D125" s="1556" t="str">
        <f>+'01'!D80</f>
        <v>ml</v>
      </c>
      <c r="E125" s="1556">
        <f>+'01'!E80</f>
        <v>122</v>
      </c>
      <c r="F125" s="2050"/>
      <c r="G125" s="2093"/>
      <c r="H125" s="1898">
        <f>+J125/E125</f>
        <v>2447.0972090502642</v>
      </c>
      <c r="I125" s="1898">
        <f>+K125/E125</f>
        <v>0</v>
      </c>
      <c r="J125" s="1824">
        <f>SUM(J126:J129)</f>
        <v>298545.85950413224</v>
      </c>
      <c r="K125" s="1824">
        <f>SUM(K126:K129)</f>
        <v>0</v>
      </c>
      <c r="L125" s="1899"/>
      <c r="M125" s="1900"/>
      <c r="N125" s="1901"/>
      <c r="O125" s="1902"/>
      <c r="P125" s="1903"/>
      <c r="Q125" s="1898">
        <f>+U125/E125</f>
        <v>0</v>
      </c>
      <c r="R125" s="1898">
        <f>+V125/E125</f>
        <v>12299.732995391207</v>
      </c>
      <c r="S125" s="1904"/>
      <c r="T125" s="1904"/>
      <c r="U125" s="1905">
        <f>SUM(S126:S129)</f>
        <v>0</v>
      </c>
      <c r="V125" s="1906">
        <f>SUM(T126:T129)</f>
        <v>1500567.4254377272</v>
      </c>
    </row>
    <row r="126" spans="1:22" ht="12.75" customHeight="1">
      <c r="A126" s="1822"/>
      <c r="B126" s="1563"/>
      <c r="C126" s="2006" t="s">
        <v>279</v>
      </c>
      <c r="D126" s="2007" t="s">
        <v>77</v>
      </c>
      <c r="E126" s="2007">
        <f>+ROUNDUP(E125/6*1.1,0)</f>
        <v>23</v>
      </c>
      <c r="F126" s="2029">
        <f>VLOOKUP(C126,Cotizaciones!B:D,3,0)</f>
        <v>10464.98347107438</v>
      </c>
      <c r="G126" s="2009"/>
      <c r="H126" s="2090"/>
      <c r="I126" s="2090"/>
      <c r="J126" s="1913">
        <f t="shared" ref="J126:J128" si="159">+F126*E126</f>
        <v>240694.61983471073</v>
      </c>
      <c r="K126" s="1913">
        <f t="shared" ref="K126:K128" si="160">+G126*E126</f>
        <v>0</v>
      </c>
      <c r="L126" s="1914"/>
      <c r="M126" s="1915"/>
      <c r="N126" s="1916"/>
      <c r="O126" s="1917"/>
      <c r="P126" s="1918"/>
      <c r="Q126" s="1912"/>
      <c r="R126" s="1912"/>
      <c r="S126" s="1919">
        <f t="shared" ref="S126:S127" si="161">+L126*E126</f>
        <v>0</v>
      </c>
      <c r="T126" s="1919">
        <f>(+M126*$M$5+N126*$N$5+O126*$O$5+P126*$P$5)*E126</f>
        <v>0</v>
      </c>
    </row>
    <row r="127" spans="1:22" ht="12.75" customHeight="1">
      <c r="A127" s="1822"/>
      <c r="B127" s="1563"/>
      <c r="C127" s="2006" t="s">
        <v>1481</v>
      </c>
      <c r="D127" s="2007" t="s">
        <v>274</v>
      </c>
      <c r="E127" s="2007">
        <v>2</v>
      </c>
      <c r="F127" s="2029">
        <f>15000/1.21</f>
        <v>12396.694214876034</v>
      </c>
      <c r="G127" s="2009"/>
      <c r="H127" s="2090"/>
      <c r="I127" s="2090"/>
      <c r="J127" s="1913">
        <f t="shared" ref="J127" si="162">+F127*E127</f>
        <v>24793.388429752067</v>
      </c>
      <c r="K127" s="1913">
        <f t="shared" ref="K127" si="163">+G127*E127</f>
        <v>0</v>
      </c>
      <c r="L127" s="1914"/>
      <c r="M127" s="1915"/>
      <c r="N127" s="1916"/>
      <c r="O127" s="1917"/>
      <c r="P127" s="1918"/>
      <c r="Q127" s="1912"/>
      <c r="R127" s="1912"/>
      <c r="S127" s="1919">
        <f t="shared" si="161"/>
        <v>0</v>
      </c>
      <c r="T127" s="1919">
        <f t="shared" ref="T127" si="164">(+M127*$M$5+N127*$N$5+O127*$O$5+P127*$P$5)*E127</f>
        <v>0</v>
      </c>
    </row>
    <row r="128" spans="1:22" ht="12.75" customHeight="1">
      <c r="A128" s="1822"/>
      <c r="B128" s="1563"/>
      <c r="C128" s="2006" t="s">
        <v>1482</v>
      </c>
      <c r="D128" s="2007" t="s">
        <v>257</v>
      </c>
      <c r="E128" s="2007">
        <v>5</v>
      </c>
      <c r="F128" s="2029">
        <f>8000/1.21</f>
        <v>6611.5702479338843</v>
      </c>
      <c r="G128" s="2009"/>
      <c r="H128" s="2090"/>
      <c r="I128" s="2090"/>
      <c r="J128" s="1913">
        <f t="shared" si="159"/>
        <v>33057.85123966942</v>
      </c>
      <c r="K128" s="1913">
        <f t="shared" si="160"/>
        <v>0</v>
      </c>
      <c r="L128" s="1914"/>
      <c r="M128" s="1915"/>
      <c r="N128" s="1916"/>
      <c r="O128" s="1917"/>
      <c r="P128" s="1918"/>
      <c r="Q128" s="1912"/>
      <c r="R128" s="1912"/>
      <c r="S128" s="1919">
        <f t="shared" ref="S128:S129" si="165">+L128*E128</f>
        <v>0</v>
      </c>
      <c r="T128" s="1919">
        <f t="shared" ref="T128:T129" si="166">(+M128*$M$5+N128*$N$5+O128*$O$5+P128*$P$5)*E128</f>
        <v>0</v>
      </c>
    </row>
    <row r="129" spans="1:22" s="2089" customFormat="1" ht="12.75" customHeight="1">
      <c r="A129" s="1823"/>
      <c r="B129" s="1568"/>
      <c r="C129" s="2015" t="s">
        <v>210</v>
      </c>
      <c r="D129" s="2016" t="s">
        <v>198</v>
      </c>
      <c r="E129" s="2016">
        <f>+Computo!F128*2</f>
        <v>12</v>
      </c>
      <c r="F129" s="2031"/>
      <c r="G129" s="2032"/>
      <c r="H129" s="2092"/>
      <c r="I129" s="2092"/>
      <c r="J129" s="1933">
        <f t="shared" ref="J129" si="167">+F129*E129</f>
        <v>0</v>
      </c>
      <c r="K129" s="1933">
        <f t="shared" ref="K129" si="168">+G129*E129</f>
        <v>0</v>
      </c>
      <c r="L129" s="1946"/>
      <c r="M129" s="1947">
        <v>1</v>
      </c>
      <c r="N129" s="1948"/>
      <c r="O129" s="1949"/>
      <c r="P129" s="1950">
        <v>1</v>
      </c>
      <c r="Q129" s="1945"/>
      <c r="R129" s="1945"/>
      <c r="S129" s="1940">
        <f t="shared" si="165"/>
        <v>0</v>
      </c>
      <c r="T129" s="1940">
        <f t="shared" si="166"/>
        <v>1500567.4254377272</v>
      </c>
      <c r="U129" s="2091"/>
      <c r="V129" s="2091"/>
    </row>
    <row r="130" spans="1:22" s="2089" customFormat="1" ht="12.75" customHeight="1">
      <c r="A130" s="1820">
        <f>+'01'!A82</f>
        <v>9.0399999999999991</v>
      </c>
      <c r="B130" s="1824"/>
      <c r="C130" s="1821" t="str">
        <f>+'01'!C82</f>
        <v>Provisión y colocación de Rodapie/ Zócalo rampante en placa cementicia</v>
      </c>
      <c r="D130" s="1820" t="str">
        <f>+'01'!D82</f>
        <v>ml</v>
      </c>
      <c r="E130" s="1820">
        <f>+'01'!E82</f>
        <v>31.200000000000003</v>
      </c>
      <c r="F130" s="2027"/>
      <c r="G130" s="2028"/>
      <c r="H130" s="1898">
        <f>+J130/E130</f>
        <v>7086.2110616656082</v>
      </c>
      <c r="I130" s="1898">
        <f>+K130/E130</f>
        <v>0</v>
      </c>
      <c r="J130" s="1824">
        <f>SUM(J131:J133)</f>
        <v>221089.78512396698</v>
      </c>
      <c r="K130" s="1824">
        <f>SUM(K131:K133)</f>
        <v>0</v>
      </c>
      <c r="L130" s="1899"/>
      <c r="M130" s="1900"/>
      <c r="N130" s="1901"/>
      <c r="O130" s="1902"/>
      <c r="P130" s="1903"/>
      <c r="Q130" s="1898">
        <f>+U130/E130</f>
        <v>0</v>
      </c>
      <c r="R130" s="1898">
        <f>+V130/E130</f>
        <v>10591.584792289481</v>
      </c>
      <c r="S130" s="1964"/>
      <c r="T130" s="1964"/>
      <c r="U130" s="1905">
        <f>SUM(S131:S133)</f>
        <v>0</v>
      </c>
      <c r="V130" s="1906">
        <f>SUM(T131:T133)</f>
        <v>330457.44551943184</v>
      </c>
    </row>
    <row r="131" spans="1:22" s="2089" customFormat="1" ht="12.75" customHeight="1">
      <c r="A131" s="1822"/>
      <c r="B131" s="1563"/>
      <c r="C131" s="2006" t="s">
        <v>266</v>
      </c>
      <c r="D131" s="2007" t="s">
        <v>77</v>
      </c>
      <c r="E131" s="2007">
        <f>+Computo!G131</f>
        <v>4</v>
      </c>
      <c r="F131" s="2029">
        <f>VLOOKUP(C131,Cotizaciones!B:D,3,0)</f>
        <v>46060.371900826452</v>
      </c>
      <c r="G131" s="2030"/>
      <c r="H131" s="2090"/>
      <c r="I131" s="2090"/>
      <c r="J131" s="1913">
        <f t="shared" ref="J131:J133" si="169">+F131*E131</f>
        <v>184241.48760330581</v>
      </c>
      <c r="K131" s="1913">
        <f t="shared" ref="K131:K133" si="170">+G131*E131</f>
        <v>0</v>
      </c>
      <c r="L131" s="1914"/>
      <c r="M131" s="1915"/>
      <c r="N131" s="1916"/>
      <c r="O131" s="1917"/>
      <c r="P131" s="1918"/>
      <c r="Q131" s="1912"/>
      <c r="R131" s="1912"/>
      <c r="S131" s="1919">
        <f t="shared" ref="S131:S133" si="171">+L131*E131</f>
        <v>0</v>
      </c>
      <c r="T131" s="1919">
        <f>(+M131*$M$5+N131*$N$5+O131*$O$5+P131*$P$5)*E131</f>
        <v>0</v>
      </c>
      <c r="U131" s="2091"/>
      <c r="V131" s="2091"/>
    </row>
    <row r="132" spans="1:22" s="2089" customFormat="1" ht="12.75" customHeight="1">
      <c r="A132" s="1822"/>
      <c r="B132" s="1563"/>
      <c r="C132" s="2006" t="s">
        <v>1661</v>
      </c>
      <c r="D132" s="2007" t="s">
        <v>54</v>
      </c>
      <c r="E132" s="2007">
        <v>0.2</v>
      </c>
      <c r="F132" s="2029">
        <f>+J131</f>
        <v>184241.48760330581</v>
      </c>
      <c r="G132" s="2030"/>
      <c r="H132" s="2090"/>
      <c r="I132" s="2090"/>
      <c r="J132" s="1913">
        <f t="shared" si="169"/>
        <v>36848.297520661166</v>
      </c>
      <c r="K132" s="1913">
        <f t="shared" si="170"/>
        <v>0</v>
      </c>
      <c r="L132" s="1914"/>
      <c r="M132" s="1915"/>
      <c r="N132" s="1916"/>
      <c r="O132" s="1917"/>
      <c r="P132" s="1918"/>
      <c r="Q132" s="1912"/>
      <c r="R132" s="1912"/>
      <c r="S132" s="1919">
        <f t="shared" si="171"/>
        <v>0</v>
      </c>
      <c r="T132" s="1919">
        <f t="shared" ref="T132:T133" si="172">(+M132*$M$5+N132*$N$5+O132*$O$5+P132*$P$5)*E132</f>
        <v>0</v>
      </c>
      <c r="U132" s="2091"/>
      <c r="V132" s="2091"/>
    </row>
    <row r="133" spans="1:22" s="2089" customFormat="1" ht="12.75" customHeight="1">
      <c r="A133" s="1823"/>
      <c r="B133" s="1568"/>
      <c r="C133" s="2015" t="s">
        <v>210</v>
      </c>
      <c r="D133" s="2016" t="s">
        <v>198</v>
      </c>
      <c r="E133" s="2016">
        <v>2</v>
      </c>
      <c r="F133" s="2031"/>
      <c r="G133" s="2032"/>
      <c r="H133" s="2092"/>
      <c r="I133" s="2092"/>
      <c r="J133" s="1933">
        <f t="shared" si="169"/>
        <v>0</v>
      </c>
      <c r="K133" s="1933">
        <f t="shared" si="170"/>
        <v>0</v>
      </c>
      <c r="L133" s="1946"/>
      <c r="M133" s="1947"/>
      <c r="N133" s="1948">
        <v>1</v>
      </c>
      <c r="O133" s="1949"/>
      <c r="P133" s="1950">
        <v>2</v>
      </c>
      <c r="Q133" s="1945"/>
      <c r="R133" s="1945"/>
      <c r="S133" s="1940">
        <f t="shared" si="171"/>
        <v>0</v>
      </c>
      <c r="T133" s="1940">
        <f t="shared" si="172"/>
        <v>330457.44551943184</v>
      </c>
      <c r="U133" s="2091"/>
      <c r="V133" s="2091"/>
    </row>
    <row r="134" spans="1:22" s="2089" customFormat="1" ht="12.75" customHeight="1">
      <c r="A134" s="1884">
        <f>+'01'!A88</f>
        <v>11</v>
      </c>
      <c r="B134" s="1885">
        <f>+'01'!B88</f>
        <v>0</v>
      </c>
      <c r="C134" s="1965" t="str">
        <f>+'01'!C88</f>
        <v>PISOS - PROVISION A CARGO DEL COMITENTE</v>
      </c>
      <c r="D134" s="1890"/>
      <c r="E134" s="1890"/>
      <c r="F134" s="1891"/>
      <c r="G134" s="2023"/>
      <c r="H134" s="1891"/>
      <c r="I134" s="2023"/>
      <c r="J134" s="1970"/>
      <c r="K134" s="1970"/>
      <c r="L134" s="1971"/>
      <c r="M134" s="1972"/>
      <c r="N134" s="1973"/>
      <c r="O134" s="1974"/>
      <c r="P134" s="1975"/>
      <c r="Q134" s="1974"/>
      <c r="R134" s="1975"/>
      <c r="S134" s="2025"/>
      <c r="T134" s="2026"/>
      <c r="U134" s="2091"/>
      <c r="V134" s="2091"/>
    </row>
    <row r="135" spans="1:22" s="2089" customFormat="1" ht="12.75" customHeight="1">
      <c r="A135" s="1820">
        <f>+'01'!A95</f>
        <v>11.07</v>
      </c>
      <c r="B135" s="1824"/>
      <c r="C135" s="1821" t="str">
        <f>+'01'!C95</f>
        <v>Provisión y ejecución de pavimento e: 18 cm, incluye malla Q188</v>
      </c>
      <c r="D135" s="1820" t="str">
        <f>+'01'!D95</f>
        <v>m2</v>
      </c>
      <c r="E135" s="1820">
        <f>+'01'!E95</f>
        <v>226</v>
      </c>
      <c r="F135" s="2027"/>
      <c r="G135" s="2028"/>
      <c r="H135" s="1898">
        <f>+J135/E135</f>
        <v>44376.421876106186</v>
      </c>
      <c r="I135" s="1898">
        <f>+K135/E135</f>
        <v>0</v>
      </c>
      <c r="J135" s="1824">
        <f>SUM(J136:J146)</f>
        <v>10029071.343999999</v>
      </c>
      <c r="K135" s="1824">
        <f>SUM(K136:K146)</f>
        <v>0</v>
      </c>
      <c r="L135" s="1899"/>
      <c r="M135" s="1900"/>
      <c r="N135" s="1901"/>
      <c r="O135" s="1902"/>
      <c r="P135" s="1903"/>
      <c r="Q135" s="1898">
        <f>+U135/E135</f>
        <v>1659.2920353982302</v>
      </c>
      <c r="R135" s="1898">
        <f>+V135/E135</f>
        <v>11877.483062341447</v>
      </c>
      <c r="S135" s="1964"/>
      <c r="T135" s="1964"/>
      <c r="U135" s="1905">
        <f>SUM(S136:S146)</f>
        <v>375000</v>
      </c>
      <c r="V135" s="1905">
        <f>SUM(T136:T146)</f>
        <v>2684311.1720891669</v>
      </c>
    </row>
    <row r="136" spans="1:22" s="2089" customFormat="1" ht="10.5">
      <c r="A136" s="1814"/>
      <c r="B136" s="1815"/>
      <c r="C136" s="2006" t="s">
        <v>255</v>
      </c>
      <c r="D136" s="2007" t="s">
        <v>66</v>
      </c>
      <c r="E136" s="2007">
        <f>+ROUNDUP(E135*0.2*1.05,0)</f>
        <v>48</v>
      </c>
      <c r="F136" s="2029">
        <f>VLOOKUP(C136,Cotizaciones!B:D,3,0)</f>
        <v>125000</v>
      </c>
      <c r="G136" s="1998"/>
      <c r="H136" s="1984"/>
      <c r="I136" s="1984"/>
      <c r="J136" s="1913">
        <f t="shared" ref="J136:J137" si="173">+F136*E136</f>
        <v>6000000</v>
      </c>
      <c r="K136" s="1913">
        <f t="shared" ref="K136:K137" si="174">+G136*E136</f>
        <v>0</v>
      </c>
      <c r="L136" s="1990"/>
      <c r="M136" s="1991"/>
      <c r="N136" s="1981"/>
      <c r="O136" s="1982"/>
      <c r="P136" s="1992"/>
      <c r="Q136" s="1984"/>
      <c r="R136" s="1984"/>
      <c r="S136" s="1919">
        <f t="shared" ref="S136:S138" si="175">+L136*E136</f>
        <v>0</v>
      </c>
      <c r="T136" s="1919">
        <f t="shared" ref="T136:T138" si="176">(+M136*$M$5+N136*$N$5+O136*$O$5+P136*$P$5)*E136</f>
        <v>0</v>
      </c>
      <c r="U136" s="1906"/>
      <c r="V136" s="1906"/>
    </row>
    <row r="137" spans="1:22" s="2089" customFormat="1" ht="10.5">
      <c r="A137" s="1814"/>
      <c r="B137" s="1815"/>
      <c r="C137" s="1995" t="s">
        <v>789</v>
      </c>
      <c r="D137" s="1996" t="s">
        <v>77</v>
      </c>
      <c r="E137" s="1996">
        <v>1</v>
      </c>
      <c r="F137" s="2029">
        <f>VLOOKUP(C137,Cotizaciones!B:D,3,0)</f>
        <v>533000</v>
      </c>
      <c r="G137" s="1998"/>
      <c r="H137" s="1984"/>
      <c r="I137" s="1984"/>
      <c r="J137" s="1913">
        <f t="shared" si="173"/>
        <v>533000</v>
      </c>
      <c r="K137" s="1913">
        <f t="shared" si="174"/>
        <v>0</v>
      </c>
      <c r="L137" s="1990"/>
      <c r="M137" s="1991"/>
      <c r="N137" s="1981"/>
      <c r="O137" s="1982"/>
      <c r="P137" s="1992"/>
      <c r="Q137" s="1984"/>
      <c r="R137" s="1984"/>
      <c r="S137" s="1919">
        <f t="shared" si="175"/>
        <v>0</v>
      </c>
      <c r="T137" s="1919">
        <f t="shared" si="176"/>
        <v>0</v>
      </c>
      <c r="U137" s="1906"/>
      <c r="V137" s="1906"/>
    </row>
    <row r="138" spans="1:22" s="2089" customFormat="1" ht="10.5">
      <c r="A138" s="1814"/>
      <c r="B138" s="1815"/>
      <c r="C138" s="1995" t="s">
        <v>790</v>
      </c>
      <c r="D138" s="1996" t="s">
        <v>66</v>
      </c>
      <c r="E138" s="1996">
        <f>+E136</f>
        <v>48</v>
      </c>
      <c r="F138" s="2029">
        <f>VLOOKUP(C138,Cotizaciones!B:D,3,0)</f>
        <v>5330</v>
      </c>
      <c r="G138" s="1998"/>
      <c r="H138" s="1984"/>
      <c r="I138" s="1984"/>
      <c r="J138" s="1913">
        <f t="shared" ref="J138:J146" si="177">+F138*E138</f>
        <v>255840</v>
      </c>
      <c r="K138" s="1913">
        <f t="shared" ref="K138:K146" si="178">+G138*E138</f>
        <v>0</v>
      </c>
      <c r="L138" s="1990"/>
      <c r="M138" s="1991"/>
      <c r="N138" s="1981"/>
      <c r="O138" s="1982"/>
      <c r="P138" s="1992"/>
      <c r="Q138" s="1984"/>
      <c r="R138" s="1984"/>
      <c r="S138" s="1919">
        <f t="shared" si="175"/>
        <v>0</v>
      </c>
      <c r="T138" s="1919">
        <f t="shared" si="176"/>
        <v>0</v>
      </c>
      <c r="U138" s="1906"/>
      <c r="V138" s="1906"/>
    </row>
    <row r="139" spans="1:22" s="2089" customFormat="1" ht="10.5">
      <c r="A139" s="1822"/>
      <c r="B139" s="1563"/>
      <c r="C139" s="2006" t="s">
        <v>287</v>
      </c>
      <c r="D139" s="2007" t="s">
        <v>77</v>
      </c>
      <c r="E139" s="2007">
        <f>+ROUNDUP(E135/(6*2.4)*1.05,0)</f>
        <v>17</v>
      </c>
      <c r="F139" s="2029">
        <f>VLOOKUP(C139,Cotizaciones!B:D,3,0)</f>
        <v>75473.119999999995</v>
      </c>
      <c r="G139" s="2030"/>
      <c r="H139" s="2090"/>
      <c r="I139" s="2090"/>
      <c r="J139" s="1913">
        <f t="shared" si="177"/>
        <v>1283043.04</v>
      </c>
      <c r="K139" s="1913">
        <f t="shared" si="178"/>
        <v>0</v>
      </c>
      <c r="L139" s="1914"/>
      <c r="M139" s="1915"/>
      <c r="N139" s="1916"/>
      <c r="O139" s="1917"/>
      <c r="P139" s="1918"/>
      <c r="Q139" s="1912"/>
      <c r="R139" s="1912"/>
      <c r="S139" s="1919">
        <f t="shared" ref="S139" si="179">+L139*E139</f>
        <v>0</v>
      </c>
      <c r="T139" s="1919">
        <f>(+M139*$M$5+N139*$N$5+O139*$O$5+P139*$P$5)*E139</f>
        <v>0</v>
      </c>
      <c r="U139" s="2091"/>
      <c r="V139" s="2091"/>
    </row>
    <row r="140" spans="1:22" s="2089" customFormat="1" ht="10.5">
      <c r="A140" s="1822"/>
      <c r="B140" s="1563"/>
      <c r="C140" s="2006" t="s">
        <v>2311</v>
      </c>
      <c r="D140" s="2071" t="s">
        <v>253</v>
      </c>
      <c r="E140" s="2007">
        <f>+ROUNDUP(E135*5/25,0)</f>
        <v>46</v>
      </c>
      <c r="F140" s="2029">
        <v>25000</v>
      </c>
      <c r="G140" s="2030"/>
      <c r="H140" s="2090"/>
      <c r="I140" s="2090"/>
      <c r="J140" s="1913">
        <f t="shared" ref="J140" si="180">+F140*E140</f>
        <v>1150000</v>
      </c>
      <c r="K140" s="1913">
        <f t="shared" ref="K140" si="181">+G140*E140</f>
        <v>0</v>
      </c>
      <c r="L140" s="1914"/>
      <c r="M140" s="1915"/>
      <c r="N140" s="1916"/>
      <c r="O140" s="1917"/>
      <c r="P140" s="1918"/>
      <c r="Q140" s="1912"/>
      <c r="R140" s="1912"/>
      <c r="S140" s="1919">
        <f t="shared" ref="S140" si="182">+L140*E140</f>
        <v>0</v>
      </c>
      <c r="T140" s="1919">
        <f>(+M140*$M$5+N140*$N$5+O140*$O$5+P140*$P$5)*E140</f>
        <v>0</v>
      </c>
      <c r="U140" s="2091"/>
      <c r="V140" s="2091"/>
    </row>
    <row r="141" spans="1:22" s="2089" customFormat="1" ht="12.75" customHeight="1">
      <c r="A141" s="1822"/>
      <c r="B141" s="1563"/>
      <c r="C141" s="2006" t="s">
        <v>2300</v>
      </c>
      <c r="D141" s="2071" t="s">
        <v>2305</v>
      </c>
      <c r="E141" s="2007">
        <v>1</v>
      </c>
      <c r="F141" s="2029"/>
      <c r="G141" s="2030"/>
      <c r="H141" s="2090"/>
      <c r="I141" s="2090"/>
      <c r="J141" s="1913">
        <f t="shared" si="177"/>
        <v>0</v>
      </c>
      <c r="K141" s="1913">
        <f t="shared" si="178"/>
        <v>0</v>
      </c>
      <c r="L141" s="1914">
        <v>240000</v>
      </c>
      <c r="M141" s="1915"/>
      <c r="N141" s="1916"/>
      <c r="O141" s="1917"/>
      <c r="P141" s="1918"/>
      <c r="Q141" s="1912"/>
      <c r="R141" s="1912"/>
      <c r="S141" s="1919">
        <f t="shared" ref="S141" si="183">+L141*E141</f>
        <v>240000</v>
      </c>
      <c r="T141" s="1919">
        <f t="shared" ref="T141" si="184">(+M141*$M$5+N141*$N$5+O141*$O$5+P141*$P$5)*E141</f>
        <v>0</v>
      </c>
      <c r="U141" s="2091"/>
      <c r="V141" s="2091"/>
    </row>
    <row r="142" spans="1:22" s="2089" customFormat="1" ht="12.75" customHeight="1">
      <c r="A142" s="1822"/>
      <c r="B142" s="1563"/>
      <c r="C142" s="2006" t="s">
        <v>2301</v>
      </c>
      <c r="D142" s="2007" t="s">
        <v>2305</v>
      </c>
      <c r="E142" s="2007">
        <v>1</v>
      </c>
      <c r="F142" s="2029"/>
      <c r="G142" s="2030"/>
      <c r="H142" s="2090"/>
      <c r="I142" s="2090"/>
      <c r="J142" s="1913">
        <f t="shared" si="177"/>
        <v>0</v>
      </c>
      <c r="K142" s="1913">
        <f t="shared" si="178"/>
        <v>0</v>
      </c>
      <c r="L142" s="1914">
        <v>135000</v>
      </c>
      <c r="M142" s="1915"/>
      <c r="N142" s="1916"/>
      <c r="O142" s="1917"/>
      <c r="P142" s="1918"/>
      <c r="Q142" s="1912"/>
      <c r="R142" s="1912"/>
      <c r="S142" s="1919">
        <f t="shared" ref="S142:S146" si="185">+L142*E142</f>
        <v>135000</v>
      </c>
      <c r="T142" s="1919">
        <f t="shared" ref="T142:T146" si="186">(+M142*$M$5+N142*$N$5+O142*$O$5+P142*$P$5)*E142</f>
        <v>0</v>
      </c>
      <c r="U142" s="2091"/>
      <c r="V142" s="2091"/>
    </row>
    <row r="143" spans="1:22" s="2089" customFormat="1" ht="12.75" customHeight="1">
      <c r="A143" s="1822"/>
      <c r="B143" s="1563"/>
      <c r="C143" s="2006" t="s">
        <v>2306</v>
      </c>
      <c r="D143" s="2007" t="s">
        <v>54</v>
      </c>
      <c r="E143" s="2007">
        <v>0.1</v>
      </c>
      <c r="F143" s="2029">
        <f>+SUM(J136:J139)</f>
        <v>8071883.04</v>
      </c>
      <c r="G143" s="2030"/>
      <c r="H143" s="2090"/>
      <c r="I143" s="2090"/>
      <c r="J143" s="1913">
        <f t="shared" si="177"/>
        <v>807188.304</v>
      </c>
      <c r="K143" s="1913">
        <f t="shared" si="178"/>
        <v>0</v>
      </c>
      <c r="L143" s="1914"/>
      <c r="M143" s="1915"/>
      <c r="N143" s="1916"/>
      <c r="O143" s="1917"/>
      <c r="P143" s="1918"/>
      <c r="Q143" s="1912"/>
      <c r="R143" s="1912"/>
      <c r="S143" s="1919">
        <f t="shared" si="185"/>
        <v>0</v>
      </c>
      <c r="T143" s="1919">
        <f t="shared" si="186"/>
        <v>0</v>
      </c>
      <c r="U143" s="2091"/>
      <c r="V143" s="2091"/>
    </row>
    <row r="144" spans="1:22" s="2089" customFormat="1" ht="12.75" customHeight="1">
      <c r="A144" s="1825"/>
      <c r="B144" s="1826"/>
      <c r="C144" s="2070" t="s">
        <v>2307</v>
      </c>
      <c r="D144" s="2071" t="s">
        <v>198</v>
      </c>
      <c r="E144" s="2071">
        <v>5</v>
      </c>
      <c r="F144" s="2094"/>
      <c r="G144" s="2095"/>
      <c r="H144" s="2096"/>
      <c r="I144" s="2096"/>
      <c r="J144" s="1913">
        <f t="shared" si="177"/>
        <v>0</v>
      </c>
      <c r="K144" s="1913">
        <f t="shared" si="178"/>
        <v>0</v>
      </c>
      <c r="L144" s="1959"/>
      <c r="M144" s="1960">
        <v>1</v>
      </c>
      <c r="N144" s="1961">
        <v>1</v>
      </c>
      <c r="O144" s="1962"/>
      <c r="P144" s="1963">
        <v>2</v>
      </c>
      <c r="Q144" s="1957"/>
      <c r="R144" s="1957"/>
      <c r="S144" s="1919">
        <f t="shared" si="185"/>
        <v>0</v>
      </c>
      <c r="T144" s="1919">
        <f t="shared" si="186"/>
        <v>1201708.8549314395</v>
      </c>
      <c r="U144" s="2091"/>
      <c r="V144" s="2091"/>
    </row>
    <row r="145" spans="1:30" s="2089" customFormat="1" ht="12.75" customHeight="1">
      <c r="A145" s="1825"/>
      <c r="B145" s="1826"/>
      <c r="C145" s="2070" t="s">
        <v>2308</v>
      </c>
      <c r="D145" s="2071" t="s">
        <v>198</v>
      </c>
      <c r="E145" s="2071">
        <v>2</v>
      </c>
      <c r="F145" s="2094"/>
      <c r="G145" s="2095"/>
      <c r="H145" s="2096"/>
      <c r="I145" s="2096"/>
      <c r="J145" s="1913">
        <f t="shared" si="177"/>
        <v>0</v>
      </c>
      <c r="K145" s="1913">
        <f t="shared" si="178"/>
        <v>0</v>
      </c>
      <c r="L145" s="1959"/>
      <c r="M145" s="1960">
        <v>1</v>
      </c>
      <c r="N145" s="1961">
        <v>2</v>
      </c>
      <c r="O145" s="1962">
        <v>1</v>
      </c>
      <c r="P145" s="1963">
        <v>2</v>
      </c>
      <c r="Q145" s="1957"/>
      <c r="R145" s="1957"/>
      <c r="S145" s="1919">
        <f t="shared" si="185"/>
        <v>0</v>
      </c>
      <c r="T145" s="1919">
        <f t="shared" si="186"/>
        <v>720972.18211886368</v>
      </c>
      <c r="U145" s="2091"/>
      <c r="V145" s="2091"/>
    </row>
    <row r="146" spans="1:30" s="2089" customFormat="1" ht="12.75" customHeight="1">
      <c r="A146" s="1823"/>
      <c r="B146" s="1568"/>
      <c r="C146" s="2015" t="s">
        <v>2309</v>
      </c>
      <c r="D146" s="2016" t="s">
        <v>198</v>
      </c>
      <c r="E146" s="2016">
        <v>4</v>
      </c>
      <c r="F146" s="2031"/>
      <c r="G146" s="2032"/>
      <c r="H146" s="2092"/>
      <c r="I146" s="2092"/>
      <c r="J146" s="1913">
        <f t="shared" si="177"/>
        <v>0</v>
      </c>
      <c r="K146" s="1913">
        <f t="shared" si="178"/>
        <v>0</v>
      </c>
      <c r="L146" s="1946"/>
      <c r="M146" s="1947">
        <v>1</v>
      </c>
      <c r="N146" s="1948">
        <v>1</v>
      </c>
      <c r="O146" s="1949"/>
      <c r="P146" s="1950">
        <v>1</v>
      </c>
      <c r="Q146" s="1945"/>
      <c r="R146" s="1945"/>
      <c r="S146" s="1919">
        <f t="shared" si="185"/>
        <v>0</v>
      </c>
      <c r="T146" s="1919">
        <f t="shared" si="186"/>
        <v>761630.13503886375</v>
      </c>
      <c r="U146" s="2091"/>
      <c r="V146" s="2091"/>
    </row>
    <row r="147" spans="1:30" ht="10.5">
      <c r="A147" s="1884">
        <f>+'01'!A96</f>
        <v>12</v>
      </c>
      <c r="B147" s="1884">
        <f>+'01'!B88</f>
        <v>0</v>
      </c>
      <c r="C147" s="1889" t="str">
        <f>+'01'!C96</f>
        <v>ZOCALOS Y SOLIAS - PROVISION A CARGO DEL COMITENTE</v>
      </c>
      <c r="D147" s="1884"/>
      <c r="E147" s="1890"/>
      <c r="F147" s="1891"/>
      <c r="G147" s="1892"/>
      <c r="H147" s="1893"/>
      <c r="I147" s="1893"/>
      <c r="J147" s="1893"/>
      <c r="K147" s="1893"/>
      <c r="L147" s="1893"/>
      <c r="M147" s="1894"/>
      <c r="N147" s="1895"/>
      <c r="O147" s="1891"/>
      <c r="P147" s="1892"/>
      <c r="Q147" s="1893"/>
      <c r="R147" s="1893"/>
      <c r="S147" s="1893"/>
      <c r="T147" s="1893"/>
      <c r="AD147" s="2089"/>
    </row>
    <row r="148" spans="1:30" ht="12.75" customHeight="1">
      <c r="A148" s="1556">
        <f>+'01'!A97</f>
        <v>12.01</v>
      </c>
      <c r="B148" s="1556" t="e">
        <f>+'01'!#REF!</f>
        <v>#REF!</v>
      </c>
      <c r="C148" s="1834" t="str">
        <f>+'01'!C97</f>
        <v>Provisión y colocación de zocalos de Madera (MDF) h: 7 cm</v>
      </c>
      <c r="D148" s="1556" t="str">
        <f>+'01'!D97</f>
        <v>ml</v>
      </c>
      <c r="E148" s="1556">
        <f>+'01'!E97</f>
        <v>779</v>
      </c>
      <c r="F148" s="2050"/>
      <c r="G148" s="2093"/>
      <c r="H148" s="1898">
        <f>+J148/E148</f>
        <v>3132.231404958678</v>
      </c>
      <c r="I148" s="1898">
        <f>+K148/E148</f>
        <v>0</v>
      </c>
      <c r="J148" s="1824">
        <f>SUM(J149:J151)</f>
        <v>2440008.26446281</v>
      </c>
      <c r="K148" s="1824">
        <f>SUM(K149:K151)</f>
        <v>0</v>
      </c>
      <c r="L148" s="1899"/>
      <c r="M148" s="1900"/>
      <c r="N148" s="1901"/>
      <c r="O148" s="1902"/>
      <c r="P148" s="1903"/>
      <c r="Q148" s="1898">
        <f>+U148/E148</f>
        <v>0</v>
      </c>
      <c r="R148" s="1898">
        <f>+V148/E148</f>
        <v>2684.888248793714</v>
      </c>
      <c r="S148" s="1904"/>
      <c r="T148" s="1904"/>
      <c r="U148" s="1905">
        <f>SUM(S149:S151)</f>
        <v>0</v>
      </c>
      <c r="V148" s="1906">
        <f>SUM(T149:T151)</f>
        <v>2091527.9458103031</v>
      </c>
    </row>
    <row r="149" spans="1:30" ht="12.75" customHeight="1">
      <c r="A149" s="1822"/>
      <c r="B149" s="1563"/>
      <c r="C149" s="2006" t="s">
        <v>1540</v>
      </c>
      <c r="D149" s="2007" t="s">
        <v>59</v>
      </c>
      <c r="E149" s="2007">
        <f>+E148</f>
        <v>779</v>
      </c>
      <c r="F149" s="2029">
        <f>2000/1.21</f>
        <v>1652.8925619834711</v>
      </c>
      <c r="G149" s="2009"/>
      <c r="H149" s="2090"/>
      <c r="I149" s="2090"/>
      <c r="J149" s="1913">
        <f t="shared" ref="J149:J150" si="187">+F149*E149</f>
        <v>1287603.305785124</v>
      </c>
      <c r="K149" s="1913">
        <f t="shared" ref="K149:K150" si="188">+G149*E149</f>
        <v>0</v>
      </c>
      <c r="L149" s="1914"/>
      <c r="M149" s="1915"/>
      <c r="N149" s="1916"/>
      <c r="O149" s="1917"/>
      <c r="P149" s="1918"/>
      <c r="Q149" s="1912"/>
      <c r="R149" s="1912"/>
      <c r="S149" s="1919">
        <f t="shared" ref="S149:S150" si="189">+L149*E149</f>
        <v>0</v>
      </c>
      <c r="T149" s="1919">
        <f t="shared" ref="T149:T150" si="190">(+M149*$M$5+N149*$N$5+O149*$O$5+P149*$P$5)*E149</f>
        <v>0</v>
      </c>
    </row>
    <row r="150" spans="1:30" ht="12.75" customHeight="1">
      <c r="A150" s="1822"/>
      <c r="B150" s="1563"/>
      <c r="C150" s="2006" t="s">
        <v>267</v>
      </c>
      <c r="D150" s="2007" t="s">
        <v>56</v>
      </c>
      <c r="E150" s="2007">
        <f>+E148/5</f>
        <v>155.80000000000001</v>
      </c>
      <c r="F150" s="2029">
        <f>8950/1.21</f>
        <v>7396.6942148760336</v>
      </c>
      <c r="G150" s="2009"/>
      <c r="H150" s="2090"/>
      <c r="I150" s="2090"/>
      <c r="J150" s="1913">
        <f t="shared" si="187"/>
        <v>1152404.9586776861</v>
      </c>
      <c r="K150" s="1913">
        <f t="shared" si="188"/>
        <v>0</v>
      </c>
      <c r="L150" s="1914"/>
      <c r="M150" s="1915"/>
      <c r="N150" s="1916"/>
      <c r="O150" s="1917"/>
      <c r="P150" s="1918"/>
      <c r="Q150" s="1912"/>
      <c r="R150" s="1912"/>
      <c r="S150" s="1919">
        <f t="shared" si="189"/>
        <v>0</v>
      </c>
      <c r="T150" s="1919">
        <f t="shared" si="190"/>
        <v>0</v>
      </c>
    </row>
    <row r="151" spans="1:30" ht="12.75" customHeight="1">
      <c r="A151" s="1822"/>
      <c r="B151" s="1563"/>
      <c r="C151" s="2006" t="s">
        <v>268</v>
      </c>
      <c r="D151" s="2007" t="s">
        <v>198</v>
      </c>
      <c r="E151" s="2007">
        <f>+ROUNDUP(E148/25,0)</f>
        <v>32</v>
      </c>
      <c r="F151" s="2029"/>
      <c r="G151" s="2009"/>
      <c r="H151" s="2090"/>
      <c r="I151" s="2090"/>
      <c r="J151" s="1913">
        <f t="shared" ref="J151" si="191">+F151*E151</f>
        <v>0</v>
      </c>
      <c r="K151" s="1913">
        <f t="shared" ref="K151" si="192">+G151*E151</f>
        <v>0</v>
      </c>
      <c r="L151" s="1914"/>
      <c r="M151" s="1915"/>
      <c r="N151" s="1916">
        <v>1</v>
      </c>
      <c r="O151" s="1917"/>
      <c r="P151" s="1918"/>
      <c r="Q151" s="1912"/>
      <c r="R151" s="1912"/>
      <c r="S151" s="1919">
        <f t="shared" ref="S151" si="193">+L151*E151</f>
        <v>0</v>
      </c>
      <c r="T151" s="1919">
        <f t="shared" ref="T151" si="194">(+M151*$M$5+N151*$N$5+O151*$O$5+P151*$P$5)*E151</f>
        <v>2091527.9458103031</v>
      </c>
    </row>
    <row r="152" spans="1:30" ht="12.75" customHeight="1">
      <c r="A152" s="2097">
        <f>+'01'!A107</f>
        <v>14</v>
      </c>
      <c r="B152" s="2098">
        <f>+'01'!B107</f>
        <v>0</v>
      </c>
      <c r="C152" s="2098" t="str">
        <f>+'01'!C107</f>
        <v>CIELORRASOS</v>
      </c>
      <c r="D152" s="1827"/>
      <c r="E152" s="1828"/>
      <c r="F152" s="1893"/>
      <c r="G152" s="1893"/>
      <c r="H152" s="1893"/>
      <c r="I152" s="1893"/>
      <c r="J152" s="1893"/>
      <c r="K152" s="1893"/>
      <c r="L152" s="1893"/>
      <c r="M152" s="1893"/>
      <c r="N152" s="1893"/>
      <c r="O152" s="1893"/>
      <c r="P152" s="1893"/>
      <c r="Q152" s="1893"/>
      <c r="R152" s="1893"/>
      <c r="S152" s="1893"/>
      <c r="T152" s="2047"/>
      <c r="U152" s="1905"/>
      <c r="V152" s="1906"/>
    </row>
    <row r="153" spans="1:30" ht="12.75" customHeight="1">
      <c r="A153" s="2099">
        <f>+'01'!A112</f>
        <v>14.05</v>
      </c>
      <c r="B153" s="2099" t="str">
        <f>+'01'!B112</f>
        <v>OK</v>
      </c>
      <c r="C153" s="2099" t="str">
        <f>+'01'!C112</f>
        <v>Aplicado de yeso interior</v>
      </c>
      <c r="D153" s="1556" t="str">
        <f>+'01'!D112</f>
        <v>m2</v>
      </c>
      <c r="E153" s="2100">
        <f>+'01'!E112</f>
        <v>504.12220000000002</v>
      </c>
      <c r="F153" s="2101"/>
      <c r="G153" s="2102"/>
      <c r="H153" s="1898">
        <f>+J153/E153</f>
        <v>0</v>
      </c>
      <c r="I153" s="1898">
        <f>+K153/E153</f>
        <v>5770.2850618361972</v>
      </c>
      <c r="J153" s="1824">
        <f>SUM(J154:J156)</f>
        <v>0</v>
      </c>
      <c r="K153" s="1824">
        <f>SUM(K154:K156)</f>
        <v>2908928.8</v>
      </c>
      <c r="L153" s="2103"/>
      <c r="M153" s="2104"/>
      <c r="N153" s="2105"/>
      <c r="O153" s="2106"/>
      <c r="P153" s="2107"/>
      <c r="Q153" s="1898">
        <f>+U153/E153</f>
        <v>12817.951531348474</v>
      </c>
      <c r="R153" s="1898">
        <f>+V153/E153</f>
        <v>0</v>
      </c>
      <c r="S153" s="2108"/>
      <c r="T153" s="2108"/>
      <c r="U153" s="1905">
        <f>SUM(S154:S156)</f>
        <v>6461813.9254767615</v>
      </c>
      <c r="V153" s="1906">
        <f>SUM(T154:T156)</f>
        <v>0</v>
      </c>
    </row>
    <row r="154" spans="1:30" ht="12.75" customHeight="1">
      <c r="A154" s="1829"/>
      <c r="B154" s="1540"/>
      <c r="C154" s="2006" t="s">
        <v>261</v>
      </c>
      <c r="D154" s="2007" t="s">
        <v>253</v>
      </c>
      <c r="E154" s="2007">
        <f>+ROUNDUP(E153*17/25*1.05,0)</f>
        <v>360</v>
      </c>
      <c r="F154" s="2109"/>
      <c r="G154" s="1911">
        <f>+Cotizaciones!D53</f>
        <v>6694.38</v>
      </c>
      <c r="H154" s="2110"/>
      <c r="I154" s="2110"/>
      <c r="J154" s="2007">
        <f t="shared" ref="J154:J155" si="195">+F154*E154</f>
        <v>0</v>
      </c>
      <c r="K154" s="2007">
        <f t="shared" ref="K154:K155" si="196">+G154*E154</f>
        <v>2409976.7999999998</v>
      </c>
      <c r="L154" s="2111"/>
      <c r="M154" s="2112"/>
      <c r="N154" s="2113"/>
      <c r="O154" s="2114"/>
      <c r="P154" s="2115"/>
      <c r="Q154" s="2116"/>
      <c r="R154" s="2116"/>
      <c r="S154" s="1919">
        <f t="shared" ref="S154:S156" si="197">+L154*E154</f>
        <v>0</v>
      </c>
      <c r="T154" s="1919">
        <f t="shared" ref="T154:T156" si="198">(+M154*$M$5+N154*$N$5+O154*$O$5+P154*$P$5)*E154</f>
        <v>0</v>
      </c>
    </row>
    <row r="155" spans="1:30" ht="12.75" customHeight="1">
      <c r="A155" s="1829"/>
      <c r="B155" s="1540"/>
      <c r="C155" s="2006" t="s">
        <v>270</v>
      </c>
      <c r="D155" s="2007" t="s">
        <v>263</v>
      </c>
      <c r="E155" s="2007">
        <f>+ROUND(E153/150*1.05,0)</f>
        <v>4</v>
      </c>
      <c r="F155" s="2109"/>
      <c r="G155" s="2117">
        <f>+Cotizaciones!D55</f>
        <v>124738</v>
      </c>
      <c r="H155" s="2110"/>
      <c r="I155" s="2110"/>
      <c r="J155" s="2007">
        <f t="shared" si="195"/>
        <v>0</v>
      </c>
      <c r="K155" s="2007">
        <f t="shared" si="196"/>
        <v>498952</v>
      </c>
      <c r="L155" s="2111"/>
      <c r="M155" s="2112"/>
      <c r="N155" s="2113"/>
      <c r="O155" s="2114"/>
      <c r="P155" s="2115"/>
      <c r="Q155" s="2116"/>
      <c r="R155" s="2116"/>
      <c r="S155" s="1919">
        <f t="shared" si="197"/>
        <v>0</v>
      </c>
      <c r="T155" s="1919">
        <f t="shared" si="198"/>
        <v>0</v>
      </c>
    </row>
    <row r="156" spans="1:30" ht="12.75" customHeight="1">
      <c r="A156" s="1934"/>
      <c r="B156" s="1819"/>
      <c r="C156" s="2015" t="s">
        <v>210</v>
      </c>
      <c r="D156" s="2016" t="s">
        <v>4</v>
      </c>
      <c r="E156" s="2016">
        <f>+E153</f>
        <v>504.12220000000002</v>
      </c>
      <c r="F156" s="1930"/>
      <c r="G156" s="1931"/>
      <c r="H156" s="2110"/>
      <c r="I156" s="2110"/>
      <c r="J156" s="2007">
        <f t="shared" ref="J156" si="199">+F156*E156</f>
        <v>0</v>
      </c>
      <c r="K156" s="2007">
        <f t="shared" ref="K156" si="200">+G156*E156</f>
        <v>0</v>
      </c>
      <c r="L156" s="2118">
        <f>+SUBCONTRATOS!D28</f>
        <v>12817.951531348474</v>
      </c>
      <c r="M156" s="1935"/>
      <c r="N156" s="1936"/>
      <c r="O156" s="1937"/>
      <c r="P156" s="1938"/>
      <c r="Q156" s="2119"/>
      <c r="R156" s="2119"/>
      <c r="S156" s="1940">
        <f t="shared" si="197"/>
        <v>6461813.9254767615</v>
      </c>
      <c r="T156" s="1940">
        <f t="shared" si="198"/>
        <v>0</v>
      </c>
    </row>
    <row r="157" spans="1:30" ht="12.75" customHeight="1">
      <c r="A157" s="2099">
        <f>+'01'!A114</f>
        <v>14.07</v>
      </c>
      <c r="B157" s="2099" t="str">
        <f>+'01'!B114</f>
        <v>OK</v>
      </c>
      <c r="C157" s="2099" t="str">
        <f>+'01'!C114</f>
        <v>H° Visto - Maquillaje para recibir pintura</v>
      </c>
      <c r="D157" s="1556" t="str">
        <f>+'01'!D114</f>
        <v>m2</v>
      </c>
      <c r="E157" s="2100">
        <f>+'01'!E114</f>
        <v>429.07780000000002</v>
      </c>
      <c r="F157" s="2101"/>
      <c r="G157" s="2102"/>
      <c r="H157" s="1898">
        <f>+J157/E157</f>
        <v>349.58695136406493</v>
      </c>
      <c r="I157" s="1898">
        <f>+K157/E157</f>
        <v>349.58695136406493</v>
      </c>
      <c r="J157" s="1824">
        <f>SUM(J158:J159)</f>
        <v>150000</v>
      </c>
      <c r="K157" s="1824">
        <f>SUM(K158:K159)</f>
        <v>150000</v>
      </c>
      <c r="L157" s="2103"/>
      <c r="M157" s="2104"/>
      <c r="N157" s="2105"/>
      <c r="O157" s="2106"/>
      <c r="P157" s="2107"/>
      <c r="Q157" s="1898">
        <f>+U157/E157</f>
        <v>0</v>
      </c>
      <c r="R157" s="1898">
        <f>+V157/E157</f>
        <v>2914.3266198611054</v>
      </c>
      <c r="S157" s="2108"/>
      <c r="T157" s="2108"/>
      <c r="U157" s="1905">
        <f>SUM(S158:S159)</f>
        <v>0</v>
      </c>
      <c r="V157" s="1906">
        <f>SUM(T158:T159)</f>
        <v>1250472.8545314395</v>
      </c>
    </row>
    <row r="158" spans="1:30" ht="12.75" customHeight="1">
      <c r="A158" s="2120"/>
      <c r="B158" s="2120"/>
      <c r="C158" s="2006" t="s">
        <v>271</v>
      </c>
      <c r="D158" s="2007" t="s">
        <v>54</v>
      </c>
      <c r="E158" s="2007">
        <v>1</v>
      </c>
      <c r="F158" s="2109">
        <v>150000</v>
      </c>
      <c r="G158" s="1911">
        <v>150000</v>
      </c>
      <c r="H158" s="2110"/>
      <c r="I158" s="2110"/>
      <c r="J158" s="2007">
        <f t="shared" ref="J158" si="201">+F158*E158</f>
        <v>150000</v>
      </c>
      <c r="K158" s="2007">
        <f t="shared" ref="K158" si="202">+G158*E158</f>
        <v>150000</v>
      </c>
      <c r="L158" s="2111"/>
      <c r="M158" s="2112"/>
      <c r="N158" s="2113"/>
      <c r="O158" s="2114"/>
      <c r="P158" s="2115"/>
      <c r="Q158" s="2116"/>
      <c r="R158" s="2116"/>
      <c r="S158" s="1919">
        <f t="shared" ref="S158:S159" si="203">+L158*E158</f>
        <v>0</v>
      </c>
      <c r="T158" s="1919">
        <f t="shared" ref="T158:T159" si="204">(+M158*$M$5+N158*$N$5+O158*$O$5+P158*$P$5)*E158</f>
        <v>0</v>
      </c>
    </row>
    <row r="159" spans="1:30" ht="12.75" customHeight="1">
      <c r="A159" s="1934"/>
      <c r="B159" s="1819"/>
      <c r="C159" s="2015" t="s">
        <v>272</v>
      </c>
      <c r="D159" s="2016" t="s">
        <v>198</v>
      </c>
      <c r="E159" s="2016">
        <v>10</v>
      </c>
      <c r="F159" s="2121"/>
      <c r="G159" s="2122"/>
      <c r="H159" s="2123"/>
      <c r="I159" s="2123"/>
      <c r="J159" s="2016"/>
      <c r="K159" s="2016"/>
      <c r="L159" s="1946"/>
      <c r="M159" s="1935">
        <v>1</v>
      </c>
      <c r="N159" s="1936"/>
      <c r="O159" s="1937"/>
      <c r="P159" s="1938">
        <v>1</v>
      </c>
      <c r="Q159" s="1939"/>
      <c r="R159" s="1939"/>
      <c r="S159" s="1940">
        <f t="shared" si="203"/>
        <v>0</v>
      </c>
      <c r="T159" s="1940">
        <f t="shared" si="204"/>
        <v>1250472.8545314395</v>
      </c>
    </row>
    <row r="160" spans="1:30" ht="12.75" customHeight="1">
      <c r="A160" s="1889">
        <f>+'01'!A115</f>
        <v>15</v>
      </c>
      <c r="B160" s="1884">
        <f>+'01'!B115</f>
        <v>0</v>
      </c>
      <c r="C160" s="1889" t="str">
        <f>+'01'!C115</f>
        <v>PINTURA</v>
      </c>
      <c r="D160" s="1890"/>
      <c r="E160" s="1890"/>
      <c r="F160" s="1891"/>
      <c r="G160" s="1892"/>
      <c r="H160" s="1893"/>
      <c r="I160" s="1893"/>
      <c r="J160" s="1893"/>
      <c r="K160" s="1893"/>
      <c r="L160" s="1893"/>
      <c r="M160" s="1894"/>
      <c r="N160" s="1895"/>
      <c r="O160" s="1891"/>
      <c r="P160" s="1892"/>
      <c r="Q160" s="1893"/>
      <c r="R160" s="1893"/>
      <c r="S160" s="1893"/>
      <c r="T160" s="1893"/>
    </row>
    <row r="161" spans="1:22" ht="13.5" customHeight="1">
      <c r="A161" s="2124">
        <f>+'01'!A122</f>
        <v>15.08</v>
      </c>
      <c r="B161" s="1579" t="str">
        <f>+'01'!B122</f>
        <v>OK</v>
      </c>
      <c r="C161" s="2124" t="str">
        <f>+'01'!C122</f>
        <v>Revestimiento plastico tipo Quimtex en exteriores a mas de 3m de altura, incluye medianeras</v>
      </c>
      <c r="D161" s="1579" t="str">
        <f>+'01'!D122</f>
        <v>m2</v>
      </c>
      <c r="E161" s="1579">
        <f>+'01'!E122</f>
        <v>728.48019999999985</v>
      </c>
      <c r="F161" s="2125"/>
      <c r="G161" s="2126"/>
      <c r="H161" s="1984">
        <f>+J161/E161</f>
        <v>1390.7407407407409</v>
      </c>
      <c r="I161" s="1984">
        <f>+K161/E161</f>
        <v>0</v>
      </c>
      <c r="J161" s="1815">
        <f>SUM(J162:J165)</f>
        <v>1013127.0929629628</v>
      </c>
      <c r="K161" s="1815">
        <f>SUM(K162:K165)</f>
        <v>0</v>
      </c>
      <c r="L161" s="2127"/>
      <c r="M161" s="2104"/>
      <c r="N161" s="2105"/>
      <c r="O161" s="2106"/>
      <c r="P161" s="2107"/>
      <c r="Q161" s="1898">
        <f>+U161/E161</f>
        <v>1200</v>
      </c>
      <c r="R161" s="1898">
        <f>+V161/E161</f>
        <v>0</v>
      </c>
      <c r="S161" s="2128"/>
      <c r="T161" s="2128"/>
      <c r="U161" s="1905">
        <f>SUM(S162:S165)</f>
        <v>874176.23999999987</v>
      </c>
      <c r="V161" s="1906">
        <f>SUM(T162:T165)</f>
        <v>0</v>
      </c>
    </row>
    <row r="162" spans="1:22" ht="12.75" customHeight="1">
      <c r="A162" s="1830"/>
      <c r="B162" s="1579"/>
      <c r="C162" s="2129" t="s">
        <v>273</v>
      </c>
      <c r="D162" s="1996" t="s">
        <v>274</v>
      </c>
      <c r="E162" s="1996">
        <f>+E161*0.2</f>
        <v>145.69603999999998</v>
      </c>
      <c r="F162" s="2130">
        <f>19500/18</f>
        <v>1083.3333333333333</v>
      </c>
      <c r="H162" s="2132"/>
      <c r="I162" s="2132"/>
      <c r="J162" s="1996">
        <f t="shared" ref="J162:J163" si="205">+F162*E162</f>
        <v>157837.37666666665</v>
      </c>
      <c r="K162" s="1996">
        <f t="shared" ref="K162:K163" si="206">+G162*E162</f>
        <v>0</v>
      </c>
      <c r="L162" s="2127"/>
      <c r="M162" s="2112"/>
      <c r="N162" s="2113"/>
      <c r="O162" s="2114"/>
      <c r="P162" s="2115"/>
      <c r="Q162" s="2133"/>
      <c r="R162" s="2133"/>
      <c r="S162" s="2134"/>
      <c r="T162" s="2134"/>
    </row>
    <row r="163" spans="1:22" ht="12.75" customHeight="1">
      <c r="A163" s="1830"/>
      <c r="B163" s="1579"/>
      <c r="C163" s="2129" t="s">
        <v>275</v>
      </c>
      <c r="D163" s="1996" t="s">
        <v>257</v>
      </c>
      <c r="E163" s="1996">
        <f>+E161*2</f>
        <v>1456.9603999999997</v>
      </c>
      <c r="F163" s="2130">
        <f>14500/27</f>
        <v>537.03703703703707</v>
      </c>
      <c r="G163" s="2135"/>
      <c r="H163" s="2132"/>
      <c r="I163" s="2132"/>
      <c r="J163" s="1996">
        <f t="shared" si="205"/>
        <v>782441.6962962962</v>
      </c>
      <c r="K163" s="1996">
        <f t="shared" si="206"/>
        <v>0</v>
      </c>
      <c r="L163" s="2127"/>
      <c r="M163" s="2112"/>
      <c r="N163" s="2113"/>
      <c r="O163" s="2114"/>
      <c r="P163" s="2115"/>
      <c r="Q163" s="2133"/>
      <c r="R163" s="2133"/>
      <c r="S163" s="2134"/>
      <c r="T163" s="2134"/>
    </row>
    <row r="164" spans="1:22" ht="12.75" customHeight="1">
      <c r="A164" s="1830"/>
      <c r="B164" s="1579"/>
      <c r="C164" s="2129" t="s">
        <v>276</v>
      </c>
      <c r="D164" s="1996" t="s">
        <v>4</v>
      </c>
      <c r="E164" s="1996">
        <f>+E161</f>
        <v>728.48019999999985</v>
      </c>
      <c r="F164" s="2130">
        <v>100</v>
      </c>
      <c r="G164" s="2135"/>
      <c r="H164" s="2132"/>
      <c r="I164" s="2132"/>
      <c r="J164" s="1996">
        <f t="shared" ref="J164:J165" si="207">+F164*E164</f>
        <v>72848.01999999999</v>
      </c>
      <c r="K164" s="1996">
        <f t="shared" ref="K164:K165" si="208">+G164*E164</f>
        <v>0</v>
      </c>
      <c r="L164" s="2127"/>
      <c r="M164" s="2112"/>
      <c r="N164" s="2113"/>
      <c r="O164" s="2114"/>
      <c r="P164" s="2115"/>
      <c r="Q164" s="2133"/>
      <c r="R164" s="2133"/>
      <c r="S164" s="2134"/>
      <c r="T164" s="2134"/>
    </row>
    <row r="165" spans="1:22" ht="12.75" customHeight="1">
      <c r="A165" s="1831"/>
      <c r="B165" s="1832"/>
      <c r="C165" s="2136" t="s">
        <v>277</v>
      </c>
      <c r="D165" s="2137" t="s">
        <v>4</v>
      </c>
      <c r="E165" s="2137">
        <f>+E161</f>
        <v>728.48019999999985</v>
      </c>
      <c r="F165" s="2138"/>
      <c r="G165" s="2139"/>
      <c r="H165" s="2140"/>
      <c r="I165" s="2140"/>
      <c r="J165" s="2137">
        <f t="shared" si="207"/>
        <v>0</v>
      </c>
      <c r="K165" s="2137">
        <f t="shared" si="208"/>
        <v>0</v>
      </c>
      <c r="L165" s="2141">
        <v>1200</v>
      </c>
      <c r="M165" s="2142"/>
      <c r="N165" s="2143"/>
      <c r="O165" s="2144"/>
      <c r="P165" s="2145"/>
      <c r="Q165" s="2146"/>
      <c r="R165" s="2146"/>
      <c r="S165" s="2147">
        <f t="shared" ref="S165" si="209">+L165*E165</f>
        <v>874176.23999999987</v>
      </c>
      <c r="T165" s="2147">
        <f>(+M165*$M$5+N165*$N$5+O165*$O$5+P165*$P$5)*E165</f>
        <v>0</v>
      </c>
    </row>
    <row r="166" spans="1:22" ht="12.75" customHeight="1">
      <c r="A166" s="1833">
        <f>+'01'!A123</f>
        <v>15.09</v>
      </c>
      <c r="B166" s="1833" t="str">
        <f>+'01'!B123</f>
        <v>OK</v>
      </c>
      <c r="C166" s="1834" t="str">
        <f>+'01'!C123</f>
        <v>Esmalte sintético en puertas placa, chapa y de ascensor</v>
      </c>
      <c r="D166" s="1556" t="str">
        <f>+'01'!D123</f>
        <v>un</v>
      </c>
      <c r="E166" s="1833">
        <f>+'01'!E123</f>
        <v>76</v>
      </c>
      <c r="F166" s="2148"/>
      <c r="G166" s="2149"/>
      <c r="H166" s="1898">
        <f>+J166/E166</f>
        <v>13327.501195326317</v>
      </c>
      <c r="I166" s="1898">
        <f>+K166/E166</f>
        <v>0</v>
      </c>
      <c r="J166" s="1824">
        <f>SUM(J167)</f>
        <v>1012890.0908448001</v>
      </c>
      <c r="K166" s="1824">
        <f>SUM(K167)</f>
        <v>0</v>
      </c>
      <c r="L166" s="2103"/>
      <c r="M166" s="2104"/>
      <c r="N166" s="2105"/>
      <c r="O166" s="2106"/>
      <c r="P166" s="2107"/>
      <c r="Q166" s="1898">
        <f>+U166/E166</f>
        <v>44901.004229325525</v>
      </c>
      <c r="R166" s="1898">
        <f>+V166/E166</f>
        <v>0</v>
      </c>
      <c r="S166" s="2108"/>
      <c r="T166" s="2108"/>
      <c r="U166" s="1905">
        <f>SUM(S167)</f>
        <v>3412476.3214287399</v>
      </c>
      <c r="V166" s="1905">
        <f>SUM(T167)</f>
        <v>0</v>
      </c>
    </row>
    <row r="167" spans="1:22" ht="12.75" customHeight="1">
      <c r="A167" s="1835"/>
      <c r="B167" s="1555"/>
      <c r="C167" s="2150" t="s">
        <v>1481</v>
      </c>
      <c r="D167" s="2071" t="s">
        <v>4</v>
      </c>
      <c r="E167" s="2071">
        <f>+Computo!L78</f>
        <v>354.60500000000002</v>
      </c>
      <c r="F167" s="2151">
        <f>+'APU 09.24'!E34</f>
        <v>2856.38976</v>
      </c>
      <c r="G167" s="2152"/>
      <c r="H167" s="2153"/>
      <c r="I167" s="2153"/>
      <c r="J167" s="2071">
        <f t="shared" ref="J167" si="210">+F167*E167</f>
        <v>1012890.0908448001</v>
      </c>
      <c r="K167" s="2071">
        <f t="shared" ref="K167" si="211">+G167*E167</f>
        <v>0</v>
      </c>
      <c r="L167" s="2154">
        <f>+'APU 09.24'!H34+'APU 09.24'!K34</f>
        <v>9623.3169905352152</v>
      </c>
      <c r="M167" s="2142"/>
      <c r="N167" s="2143"/>
      <c r="O167" s="2144"/>
      <c r="P167" s="2145"/>
      <c r="Q167" s="2155"/>
      <c r="R167" s="2155"/>
      <c r="S167" s="2156">
        <f t="shared" ref="S167" si="212">+L167*E167</f>
        <v>3412476.3214287399</v>
      </c>
      <c r="T167" s="2156">
        <f>(+M167*$M$5+N167*$N$5+O167*$O$5+P167*$P$5)*E167</f>
        <v>0</v>
      </c>
    </row>
    <row r="168" spans="1:22" ht="12.75" customHeight="1">
      <c r="A168" s="1833">
        <f>+'01'!A124</f>
        <v>15.1</v>
      </c>
      <c r="B168" s="1833" t="str">
        <f>+'01'!B124</f>
        <v>OK</v>
      </c>
      <c r="C168" s="1834" t="str">
        <f>+'01'!C124</f>
        <v>Convertidor y esmalte sintentico en barandas - Escalera, balcones, porton, medidores y SDM</v>
      </c>
      <c r="D168" s="1833" t="str">
        <f>+'01'!D124</f>
        <v>gl</v>
      </c>
      <c r="E168" s="1833">
        <f>+'01'!E124</f>
        <v>1</v>
      </c>
      <c r="F168" s="2148"/>
      <c r="G168" s="2149"/>
      <c r="H168" s="1898">
        <f>+J168/E168</f>
        <v>756143.49726719991</v>
      </c>
      <c r="I168" s="1898">
        <f>+K168/E168</f>
        <v>0</v>
      </c>
      <c r="J168" s="1824">
        <f>SUM(J169)</f>
        <v>756143.49726719991</v>
      </c>
      <c r="K168" s="1824">
        <f>SUM(K169)</f>
        <v>0</v>
      </c>
      <c r="L168" s="2103"/>
      <c r="M168" s="2104"/>
      <c r="N168" s="2105"/>
      <c r="O168" s="2106"/>
      <c r="P168" s="2107"/>
      <c r="Q168" s="1898">
        <f>+U168/E168</f>
        <v>2547484.4737344817</v>
      </c>
      <c r="R168" s="1898">
        <f>+V168/E168</f>
        <v>0</v>
      </c>
      <c r="S168" s="2108"/>
      <c r="T168" s="2108"/>
      <c r="U168" s="1905">
        <f>SUM(S169)</f>
        <v>2547484.4737344817</v>
      </c>
      <c r="V168" s="1905">
        <f>SUM(T169)</f>
        <v>0</v>
      </c>
    </row>
    <row r="169" spans="1:22" ht="12.75" customHeight="1">
      <c r="A169" s="1836"/>
      <c r="B169" s="1541"/>
      <c r="C169" s="2157" t="s">
        <v>4</v>
      </c>
      <c r="D169" s="2016" t="s">
        <v>4</v>
      </c>
      <c r="E169" s="2016">
        <f>+Computo!J99</f>
        <v>264.71999999999997</v>
      </c>
      <c r="F169" s="2121">
        <f>+'APU 09.24'!E34</f>
        <v>2856.38976</v>
      </c>
      <c r="G169" s="2122"/>
      <c r="H169" s="2123"/>
      <c r="I169" s="2123"/>
      <c r="J169" s="2016">
        <f t="shared" ref="J169" si="213">+F169*E169</f>
        <v>756143.49726719991</v>
      </c>
      <c r="K169" s="2016">
        <f t="shared" ref="K169" si="214">+G169*E169</f>
        <v>0</v>
      </c>
      <c r="L169" s="2158">
        <f>+'APU 09.24'!H34+'APU 09.24'!K34</f>
        <v>9623.3169905352152</v>
      </c>
      <c r="M169" s="2159"/>
      <c r="N169" s="2160"/>
      <c r="O169" s="2161"/>
      <c r="P169" s="2162"/>
      <c r="Q169" s="2163"/>
      <c r="R169" s="2163"/>
      <c r="S169" s="2164">
        <f t="shared" ref="S169" si="215">+L169*E169</f>
        <v>2547484.4737344817</v>
      </c>
      <c r="T169" s="2164">
        <f>(+M169*$M$5+N169*$N$5+O169*$O$5+P169*$P$5)*E169</f>
        <v>0</v>
      </c>
    </row>
    <row r="170" spans="1:22" ht="12.75" customHeight="1">
      <c r="A170" s="1889">
        <f>+'01'!A125</f>
        <v>16</v>
      </c>
      <c r="B170" s="1885">
        <f>+'01'!B125</f>
        <v>0</v>
      </c>
      <c r="C170" s="1965" t="str">
        <f>+'01'!C125</f>
        <v>MARMOLES Y GRANITOS - PROVISION Y COLOCACION A CARGO DEL COMITENTE</v>
      </c>
      <c r="D170" s="1890">
        <f>+'01'!D125</f>
        <v>0</v>
      </c>
      <c r="E170" s="1890">
        <f>+'01'!E125</f>
        <v>0</v>
      </c>
      <c r="F170" s="1891"/>
      <c r="G170" s="1892"/>
      <c r="H170" s="1893"/>
      <c r="I170" s="1893"/>
      <c r="J170" s="1893"/>
      <c r="K170" s="1893"/>
      <c r="L170" s="1893"/>
      <c r="M170" s="1894"/>
      <c r="N170" s="1895"/>
      <c r="O170" s="1891"/>
      <c r="P170" s="1892"/>
      <c r="Q170" s="1893"/>
      <c r="R170" s="1893"/>
      <c r="S170" s="1893"/>
      <c r="T170" s="2047"/>
    </row>
    <row r="171" spans="1:22" ht="12.75" customHeight="1">
      <c r="A171" s="2099">
        <f>+'01'!A126</f>
        <v>0</v>
      </c>
      <c r="B171" s="1556">
        <f>+'01'!B126</f>
        <v>0</v>
      </c>
      <c r="C171" s="2099">
        <f>+'01'!C126</f>
        <v>0</v>
      </c>
      <c r="D171" s="1556">
        <f>+'01'!D126</f>
        <v>0</v>
      </c>
      <c r="E171" s="1556">
        <f>+'01'!E126</f>
        <v>0</v>
      </c>
      <c r="F171" s="1896"/>
      <c r="G171" s="1897"/>
      <c r="H171" s="1898" t="e">
        <f>+J171/E171</f>
        <v>#DIV/0!</v>
      </c>
      <c r="I171" s="1898" t="e">
        <f>+K171/E171</f>
        <v>#DIV/0!</v>
      </c>
      <c r="J171" s="1824">
        <f>SUM(J172:J174)</f>
        <v>0</v>
      </c>
      <c r="K171" s="1824">
        <f>SUM(K172:K174)</f>
        <v>0</v>
      </c>
      <c r="L171" s="2017"/>
      <c r="M171" s="2018"/>
      <c r="N171" s="2019"/>
      <c r="O171" s="2020"/>
      <c r="P171" s="2021"/>
      <c r="Q171" s="1898" t="e">
        <f>+U171/E171</f>
        <v>#DIV/0!</v>
      </c>
      <c r="R171" s="1898" t="e">
        <f>+V171/E171</f>
        <v>#DIV/0!</v>
      </c>
      <c r="S171" s="2108"/>
      <c r="T171" s="2108"/>
      <c r="U171" s="1905">
        <f>SUM(S172:S174)</f>
        <v>0</v>
      </c>
      <c r="V171" s="1906">
        <f>SUM(T172:T174)</f>
        <v>500400.83419928979</v>
      </c>
    </row>
    <row r="172" spans="1:22" ht="12.75" customHeight="1">
      <c r="A172" s="1816"/>
      <c r="B172" s="1817"/>
      <c r="C172" s="2165" t="s">
        <v>278</v>
      </c>
      <c r="D172" s="2007" t="s">
        <v>77</v>
      </c>
      <c r="E172" s="2007">
        <f>+E171</f>
        <v>0</v>
      </c>
      <c r="F172" s="1910">
        <f>25000/1.21</f>
        <v>20661.157024793389</v>
      </c>
      <c r="G172" s="1911"/>
      <c r="H172" s="2110"/>
      <c r="I172" s="2110"/>
      <c r="J172" s="2007">
        <f t="shared" ref="J172" si="216">+F172*E172</f>
        <v>0</v>
      </c>
      <c r="K172" s="2007">
        <f t="shared" ref="K172" si="217">+G172*E172</f>
        <v>0</v>
      </c>
      <c r="L172" s="2010"/>
      <c r="M172" s="2011"/>
      <c r="N172" s="2012"/>
      <c r="O172" s="2013"/>
      <c r="P172" s="2014"/>
      <c r="Q172" s="2116"/>
      <c r="R172" s="2116"/>
      <c r="S172" s="1919">
        <f t="shared" ref="S172:S174" si="218">+L172*E172</f>
        <v>0</v>
      </c>
      <c r="T172" s="1919">
        <f t="shared" ref="T172:T174" si="219">(+M172*$M$5+N172*$N$5+O172*$O$5+P172*$P$5)*E172</f>
        <v>0</v>
      </c>
    </row>
    <row r="173" spans="1:22" ht="12.75" customHeight="1">
      <c r="A173" s="1837"/>
      <c r="B173" s="1838"/>
      <c r="C173" s="2166" t="s">
        <v>1488</v>
      </c>
      <c r="D173" s="2071" t="s">
        <v>54</v>
      </c>
      <c r="E173" s="2071">
        <v>0.1</v>
      </c>
      <c r="F173" s="1955">
        <f>+SUM(J172:J172)</f>
        <v>0</v>
      </c>
      <c r="G173" s="1956"/>
      <c r="H173" s="2153"/>
      <c r="I173" s="2153"/>
      <c r="J173" s="2007">
        <f t="shared" ref="J173" si="220">+F173*E173</f>
        <v>0</v>
      </c>
      <c r="K173" s="2007">
        <f t="shared" ref="K173" si="221">+G173*E173</f>
        <v>0</v>
      </c>
      <c r="L173" s="2167"/>
      <c r="M173" s="2168"/>
      <c r="N173" s="2169"/>
      <c r="O173" s="2170"/>
      <c r="P173" s="2171"/>
      <c r="Q173" s="2155"/>
      <c r="R173" s="2155"/>
      <c r="S173" s="2075"/>
      <c r="T173" s="2075"/>
    </row>
    <row r="174" spans="1:22" ht="12.75" customHeight="1">
      <c r="A174" s="1818"/>
      <c r="B174" s="1819"/>
      <c r="C174" s="2172" t="s">
        <v>210</v>
      </c>
      <c r="D174" s="2016" t="s">
        <v>198</v>
      </c>
      <c r="E174" s="2016">
        <v>5</v>
      </c>
      <c r="F174" s="1930"/>
      <c r="G174" s="1931"/>
      <c r="H174" s="2123"/>
      <c r="I174" s="2123"/>
      <c r="J174" s="2016">
        <f t="shared" ref="J174" si="222">+F174*E174</f>
        <v>0</v>
      </c>
      <c r="K174" s="2016">
        <f t="shared" ref="K174" si="223">+G174*E174</f>
        <v>0</v>
      </c>
      <c r="L174" s="1934"/>
      <c r="M174" s="1935">
        <v>1</v>
      </c>
      <c r="N174" s="1936"/>
      <c r="O174" s="1937"/>
      <c r="P174" s="1938">
        <v>0.5</v>
      </c>
      <c r="Q174" s="1939"/>
      <c r="R174" s="1939"/>
      <c r="S174" s="1940">
        <f t="shared" si="218"/>
        <v>0</v>
      </c>
      <c r="T174" s="1940">
        <f t="shared" si="219"/>
        <v>500400.83419928979</v>
      </c>
    </row>
    <row r="175" spans="1:22" ht="12.75" customHeight="1">
      <c r="A175" s="1839">
        <f>+'01'!A132</f>
        <v>18</v>
      </c>
      <c r="B175" s="1840">
        <f>+'01'!B132</f>
        <v>0</v>
      </c>
      <c r="C175" s="1840" t="str">
        <f>+'01'!C132</f>
        <v>INSTALACION ELECTRICA</v>
      </c>
      <c r="D175" s="1841"/>
      <c r="E175" s="1842"/>
      <c r="F175" s="1891"/>
      <c r="G175" s="1892"/>
      <c r="H175" s="1893"/>
      <c r="I175" s="1893"/>
      <c r="J175" s="1893"/>
      <c r="K175" s="1893"/>
      <c r="L175" s="1893"/>
      <c r="M175" s="1894"/>
      <c r="N175" s="1895"/>
      <c r="O175" s="1891"/>
      <c r="P175" s="1892"/>
      <c r="Q175" s="1893"/>
      <c r="R175" s="1893"/>
      <c r="S175" s="1893"/>
      <c r="T175" s="2047"/>
    </row>
    <row r="176" spans="1:22" ht="12.75" customHeight="1">
      <c r="A176" s="1843">
        <f>+'01'!A149</f>
        <v>18.170000000000002</v>
      </c>
      <c r="B176" s="1843" t="str">
        <f>+'01'!B149</f>
        <v>OK</v>
      </c>
      <c r="C176" s="1844" t="str">
        <f>+'01'!C149</f>
        <v>Montante eléctrica</v>
      </c>
      <c r="D176" s="1845" t="str">
        <f>+'01'!D149</f>
        <v>gl</v>
      </c>
      <c r="E176" s="1843">
        <f>+'01'!E149</f>
        <v>1</v>
      </c>
      <c r="F176" s="1896"/>
      <c r="G176" s="1897"/>
      <c r="H176" s="1898">
        <f ca="1">+J176/E176</f>
        <v>5773133.123063134</v>
      </c>
      <c r="I176" s="1898">
        <f>+K176/E176</f>
        <v>0</v>
      </c>
      <c r="J176" s="1824">
        <f ca="1">SUM(J177:J179)</f>
        <v>5773133.123063134</v>
      </c>
      <c r="K176" s="1824">
        <f>SUM(K177:K179)</f>
        <v>0</v>
      </c>
      <c r="L176" s="2017"/>
      <c r="M176" s="2018"/>
      <c r="N176" s="2019"/>
      <c r="O176" s="2020"/>
      <c r="P176" s="2021"/>
      <c r="Q176" s="1898">
        <f>+U176/E176</f>
        <v>4459436.5199999996</v>
      </c>
      <c r="R176" s="1898">
        <f>+V176/E176</f>
        <v>0</v>
      </c>
      <c r="S176" s="2108"/>
      <c r="T176" s="2108"/>
      <c r="U176" s="1905">
        <f>SUM(S177:S179)</f>
        <v>4459436.5199999996</v>
      </c>
      <c r="V176" s="1906">
        <f>SUM(T177:T179)</f>
        <v>0</v>
      </c>
    </row>
    <row r="177" spans="1:22" ht="12.75" customHeight="1">
      <c r="A177" s="1816"/>
      <c r="B177" s="1817"/>
      <c r="C177" s="2173" t="s">
        <v>280</v>
      </c>
      <c r="D177" s="2007" t="s">
        <v>54</v>
      </c>
      <c r="E177" s="2007">
        <v>1</v>
      </c>
      <c r="F177" s="1910">
        <f ca="1">+ELECT!I90</f>
        <v>5773133.123063134</v>
      </c>
      <c r="G177" s="1911"/>
      <c r="H177" s="2110"/>
      <c r="I177" s="2110"/>
      <c r="J177" s="2007">
        <f t="shared" ref="J177:J178" ca="1" si="224">+F177*E177</f>
        <v>5773133.123063134</v>
      </c>
      <c r="K177" s="2007">
        <f t="shared" ref="K177:K178" si="225">+G177*E177</f>
        <v>0</v>
      </c>
      <c r="L177" s="2010"/>
      <c r="M177" s="2011"/>
      <c r="N177" s="2012"/>
      <c r="O177" s="2013"/>
      <c r="P177" s="2014"/>
      <c r="Q177" s="2116"/>
      <c r="R177" s="2116"/>
      <c r="S177" s="1919">
        <f t="shared" ref="S177:S178" si="226">+L177*E177</f>
        <v>0</v>
      </c>
      <c r="T177" s="1919">
        <f t="shared" ref="T177:T178" si="227">(+M177*$M$5+N177*$N$5+O177*$O$5+P177*$P$5)*E177</f>
        <v>0</v>
      </c>
    </row>
    <row r="178" spans="1:22" ht="12.75" customHeight="1">
      <c r="A178" s="1816"/>
      <c r="B178" s="1817"/>
      <c r="C178" s="2165" t="s">
        <v>1591</v>
      </c>
      <c r="D178" s="2007" t="s">
        <v>77</v>
      </c>
      <c r="E178" s="2007">
        <f>+ELECT!M112</f>
        <v>135.6</v>
      </c>
      <c r="F178" s="1910"/>
      <c r="G178" s="1911"/>
      <c r="H178" s="2110"/>
      <c r="I178" s="2110"/>
      <c r="J178" s="2007">
        <f t="shared" si="224"/>
        <v>0</v>
      </c>
      <c r="K178" s="2007">
        <f t="shared" si="225"/>
        <v>0</v>
      </c>
      <c r="L178" s="2174">
        <f>+SUBCONTRATOS!D41</f>
        <v>22868.3</v>
      </c>
      <c r="M178" s="2011"/>
      <c r="N178" s="2012"/>
      <c r="O178" s="2013"/>
      <c r="P178" s="2014"/>
      <c r="Q178" s="2116"/>
      <c r="R178" s="2116"/>
      <c r="S178" s="1919">
        <f t="shared" si="226"/>
        <v>3100941.48</v>
      </c>
      <c r="T178" s="1919">
        <f t="shared" si="227"/>
        <v>0</v>
      </c>
    </row>
    <row r="179" spans="1:22" ht="12.75" customHeight="1">
      <c r="A179" s="1818"/>
      <c r="B179" s="1819"/>
      <c r="C179" s="2172" t="s">
        <v>1592</v>
      </c>
      <c r="D179" s="2016" t="s">
        <v>77</v>
      </c>
      <c r="E179" s="2016">
        <f>+ELECT!M112</f>
        <v>135.6</v>
      </c>
      <c r="F179" s="1930"/>
      <c r="G179" s="1931"/>
      <c r="H179" s="2110"/>
      <c r="I179" s="2110"/>
      <c r="J179" s="2007">
        <f t="shared" ref="J179" si="228">+F179*E179</f>
        <v>0</v>
      </c>
      <c r="K179" s="2007">
        <f t="shared" ref="K179" si="229">+G179*E179</f>
        <v>0</v>
      </c>
      <c r="L179" s="2175">
        <f>+SUBCONTRATOS!D42</f>
        <v>10018.4</v>
      </c>
      <c r="M179" s="1935"/>
      <c r="N179" s="1936"/>
      <c r="O179" s="1937"/>
      <c r="P179" s="1938"/>
      <c r="Q179" s="2116"/>
      <c r="R179" s="2116"/>
      <c r="S179" s="1940">
        <f t="shared" ref="S179" si="230">+L179*E179</f>
        <v>1358495.0399999998</v>
      </c>
      <c r="T179" s="1940">
        <f t="shared" ref="T179" si="231">(+M179*$M$5+N179*$N$5+O179*$O$5+P179*$P$5)*E179</f>
        <v>0</v>
      </c>
    </row>
    <row r="180" spans="1:22" ht="12.75" customHeight="1">
      <c r="A180" s="1843">
        <f>+'01'!A150</f>
        <v>18.18</v>
      </c>
      <c r="B180" s="1843" t="str">
        <f>+'01'!B150</f>
        <v>OK</v>
      </c>
      <c r="C180" s="1844" t="str">
        <f>+'01'!C150</f>
        <v xml:space="preserve">Montante TV + Tablero TV - Cañería c/cable testigo </v>
      </c>
      <c r="D180" s="1845" t="str">
        <f>+'01'!D150</f>
        <v>gl</v>
      </c>
      <c r="E180" s="1843">
        <f>+'01'!E150</f>
        <v>1</v>
      </c>
      <c r="F180" s="1896"/>
      <c r="G180" s="1897"/>
      <c r="H180" s="1898">
        <f>+J180/E180</f>
        <v>607800.87756291637</v>
      </c>
      <c r="I180" s="1898">
        <f>+K180/E180</f>
        <v>0</v>
      </c>
      <c r="J180" s="1824">
        <f>SUM(J181:J183)</f>
        <v>607800.87756291637</v>
      </c>
      <c r="K180" s="1824">
        <f>SUM(K181:K183)</f>
        <v>0</v>
      </c>
      <c r="L180" s="2017"/>
      <c r="M180" s="2176"/>
      <c r="N180" s="2019"/>
      <c r="O180" s="2020"/>
      <c r="P180" s="2177"/>
      <c r="Q180" s="1898">
        <f>+U180/E180</f>
        <v>1085261.1000000001</v>
      </c>
      <c r="R180" s="1898">
        <f>+V180/E180</f>
        <v>0</v>
      </c>
      <c r="S180" s="2108"/>
      <c r="T180" s="2108"/>
      <c r="U180" s="1905">
        <f>SUM(S181:S183)</f>
        <v>1085261.1000000001</v>
      </c>
      <c r="V180" s="1906">
        <f>SUM(T181:T183)</f>
        <v>0</v>
      </c>
    </row>
    <row r="181" spans="1:22" ht="12.75" customHeight="1">
      <c r="A181" s="1816"/>
      <c r="B181" s="1817"/>
      <c r="C181" s="2173" t="s">
        <v>280</v>
      </c>
      <c r="D181" s="2007" t="s">
        <v>54</v>
      </c>
      <c r="E181" s="2007">
        <v>1</v>
      </c>
      <c r="F181" s="1910">
        <f>+ELECT!I115</f>
        <v>607800.87756291637</v>
      </c>
      <c r="G181" s="1911"/>
      <c r="H181" s="2110"/>
      <c r="I181" s="2110"/>
      <c r="J181" s="2007">
        <f t="shared" ref="J181:J183" si="232">+F181*E181</f>
        <v>607800.87756291637</v>
      </c>
      <c r="K181" s="2007">
        <f t="shared" ref="K181:K183" si="233">+G181*E181</f>
        <v>0</v>
      </c>
      <c r="L181" s="2010"/>
      <c r="M181" s="2178"/>
      <c r="N181" s="2012"/>
      <c r="O181" s="2013"/>
      <c r="P181" s="2179"/>
      <c r="Q181" s="2116"/>
      <c r="R181" s="2116"/>
      <c r="S181" s="1919">
        <f t="shared" ref="S181:S183" si="234">+L181*E181</f>
        <v>0</v>
      </c>
      <c r="T181" s="1919">
        <f t="shared" ref="T181:T183" si="235">(+M181*$M$5+N181*$N$5+O181*$O$5+P181*$P$5)*E181</f>
        <v>0</v>
      </c>
    </row>
    <row r="182" spans="1:22" ht="12.75" customHeight="1">
      <c r="A182" s="1816"/>
      <c r="B182" s="1817"/>
      <c r="C182" s="2165" t="s">
        <v>1591</v>
      </c>
      <c r="D182" s="2007" t="s">
        <v>77</v>
      </c>
      <c r="E182" s="2007">
        <f>+ELECT!E116</f>
        <v>33</v>
      </c>
      <c r="F182" s="1910"/>
      <c r="G182" s="1911"/>
      <c r="H182" s="2110"/>
      <c r="I182" s="2110"/>
      <c r="J182" s="2007">
        <f t="shared" si="232"/>
        <v>0</v>
      </c>
      <c r="K182" s="2007">
        <f t="shared" si="233"/>
        <v>0</v>
      </c>
      <c r="L182" s="2174">
        <f>+SUBCONTRATOS!D41</f>
        <v>22868.3</v>
      </c>
      <c r="M182" s="2178"/>
      <c r="N182" s="2012"/>
      <c r="O182" s="2013"/>
      <c r="P182" s="2179"/>
      <c r="Q182" s="2116"/>
      <c r="R182" s="2116"/>
      <c r="S182" s="1919">
        <f t="shared" si="234"/>
        <v>754653.9</v>
      </c>
      <c r="T182" s="1919">
        <f t="shared" si="235"/>
        <v>0</v>
      </c>
    </row>
    <row r="183" spans="1:22" ht="12.75" customHeight="1">
      <c r="A183" s="1816"/>
      <c r="B183" s="1817"/>
      <c r="C183" s="2172" t="s">
        <v>1592</v>
      </c>
      <c r="D183" s="2016" t="s">
        <v>77</v>
      </c>
      <c r="E183" s="2007">
        <f>+E182</f>
        <v>33</v>
      </c>
      <c r="F183" s="1910"/>
      <c r="G183" s="1911"/>
      <c r="H183" s="2110"/>
      <c r="I183" s="2110"/>
      <c r="J183" s="2007">
        <f t="shared" si="232"/>
        <v>0</v>
      </c>
      <c r="K183" s="2007">
        <f t="shared" si="233"/>
        <v>0</v>
      </c>
      <c r="L183" s="2175">
        <f>+SUBCONTRATOS!D42</f>
        <v>10018.4</v>
      </c>
      <c r="M183" s="2178"/>
      <c r="N183" s="2012"/>
      <c r="O183" s="2013"/>
      <c r="P183" s="2179"/>
      <c r="Q183" s="2116"/>
      <c r="R183" s="2116"/>
      <c r="S183" s="1919">
        <f t="shared" si="234"/>
        <v>330607.2</v>
      </c>
      <c r="T183" s="1919">
        <f t="shared" si="235"/>
        <v>0</v>
      </c>
    </row>
    <row r="184" spans="1:22" ht="12.75" customHeight="1">
      <c r="A184" s="1843">
        <f>+'01'!A151</f>
        <v>18.190000000000001</v>
      </c>
      <c r="B184" s="1843" t="str">
        <f>+'01'!B151</f>
        <v>OK</v>
      </c>
      <c r="C184" s="1844" t="str">
        <f>+'01'!C151</f>
        <v>Montante PE + Tablero PE- Cañería c/cable testigo</v>
      </c>
      <c r="D184" s="1845" t="str">
        <f>+'01'!D151</f>
        <v>gl</v>
      </c>
      <c r="E184" s="1843">
        <f>+'01'!E151</f>
        <v>1</v>
      </c>
      <c r="F184" s="1896"/>
      <c r="G184" s="1897"/>
      <c r="H184" s="1898">
        <f>+J184/E184</f>
        <v>607800.87756291637</v>
      </c>
      <c r="I184" s="1898">
        <f>+K184/E184</f>
        <v>0</v>
      </c>
      <c r="J184" s="1824">
        <f>SUM(J185:J187)</f>
        <v>607800.87756291637</v>
      </c>
      <c r="K184" s="1824">
        <f>SUM(K185:K187)</f>
        <v>0</v>
      </c>
      <c r="L184" s="2017"/>
      <c r="M184" s="2018"/>
      <c r="N184" s="2019"/>
      <c r="O184" s="2020"/>
      <c r="P184" s="2021"/>
      <c r="Q184" s="1898">
        <f>+U184/E184</f>
        <v>1085261.1000000001</v>
      </c>
      <c r="R184" s="1898">
        <f>+V184/E184</f>
        <v>0</v>
      </c>
      <c r="S184" s="2108"/>
      <c r="T184" s="2108"/>
      <c r="U184" s="1905">
        <f>SUM(S185:S187)</f>
        <v>1085261.1000000001</v>
      </c>
      <c r="V184" s="1905">
        <f>SUM(T185:T187)</f>
        <v>0</v>
      </c>
    </row>
    <row r="185" spans="1:22" ht="12.75" customHeight="1">
      <c r="A185" s="1816"/>
      <c r="B185" s="1817"/>
      <c r="C185" s="2173" t="s">
        <v>280</v>
      </c>
      <c r="D185" s="2007" t="s">
        <v>54</v>
      </c>
      <c r="E185" s="2007">
        <v>1</v>
      </c>
      <c r="F185" s="1910">
        <f>+ELECT!I115</f>
        <v>607800.87756291637</v>
      </c>
      <c r="G185" s="1911"/>
      <c r="H185" s="2110"/>
      <c r="I185" s="2110"/>
      <c r="J185" s="2007">
        <f t="shared" ref="J185:J187" si="236">+F185*E185</f>
        <v>607800.87756291637</v>
      </c>
      <c r="K185" s="2007">
        <f t="shared" ref="K185:K187" si="237">+G185*E185</f>
        <v>0</v>
      </c>
      <c r="L185" s="2010"/>
      <c r="M185" s="2011"/>
      <c r="N185" s="2012"/>
      <c r="O185" s="2013"/>
      <c r="P185" s="2014"/>
      <c r="Q185" s="2116"/>
      <c r="R185" s="2116"/>
      <c r="S185" s="1919">
        <f t="shared" ref="S185:S187" si="238">+L185*E185</f>
        <v>0</v>
      </c>
      <c r="T185" s="1919">
        <f t="shared" ref="T185:T187" si="239">(+M185*$M$5+N185*$N$5+O185*$O$5+P185*$P$5)*E185</f>
        <v>0</v>
      </c>
    </row>
    <row r="186" spans="1:22" ht="12.75" customHeight="1">
      <c r="A186" s="1816"/>
      <c r="B186" s="1817"/>
      <c r="C186" s="2165" t="s">
        <v>1591</v>
      </c>
      <c r="D186" s="2007" t="s">
        <v>77</v>
      </c>
      <c r="E186" s="2007">
        <f>+ELECT!E116</f>
        <v>33</v>
      </c>
      <c r="F186" s="1910"/>
      <c r="G186" s="1911"/>
      <c r="H186" s="2110"/>
      <c r="I186" s="2110"/>
      <c r="J186" s="2007">
        <f t="shared" si="236"/>
        <v>0</v>
      </c>
      <c r="K186" s="2007">
        <f t="shared" si="237"/>
        <v>0</v>
      </c>
      <c r="L186" s="2174">
        <f>+SUBCONTRATOS!D41</f>
        <v>22868.3</v>
      </c>
      <c r="M186" s="2011"/>
      <c r="N186" s="2012"/>
      <c r="O186" s="2013"/>
      <c r="P186" s="2014"/>
      <c r="Q186" s="2116"/>
      <c r="R186" s="2116"/>
      <c r="S186" s="1919">
        <f t="shared" si="238"/>
        <v>754653.9</v>
      </c>
      <c r="T186" s="1919">
        <f t="shared" si="239"/>
        <v>0</v>
      </c>
    </row>
    <row r="187" spans="1:22" ht="12.75" customHeight="1">
      <c r="A187" s="1816"/>
      <c r="B187" s="1817"/>
      <c r="C187" s="2172" t="s">
        <v>1592</v>
      </c>
      <c r="D187" s="2007" t="s">
        <v>77</v>
      </c>
      <c r="E187" s="2007">
        <f>+E186</f>
        <v>33</v>
      </c>
      <c r="F187" s="1910"/>
      <c r="G187" s="1911"/>
      <c r="H187" s="2110"/>
      <c r="I187" s="2110"/>
      <c r="J187" s="2007">
        <f t="shared" si="236"/>
        <v>0</v>
      </c>
      <c r="K187" s="2007">
        <f t="shared" si="237"/>
        <v>0</v>
      </c>
      <c r="L187" s="2174">
        <f>+SUBCONTRATOS!D42</f>
        <v>10018.4</v>
      </c>
      <c r="M187" s="2011"/>
      <c r="N187" s="2012"/>
      <c r="O187" s="2013"/>
      <c r="P187" s="2014"/>
      <c r="Q187" s="2116"/>
      <c r="R187" s="2116"/>
      <c r="S187" s="1919">
        <f t="shared" si="238"/>
        <v>330607.2</v>
      </c>
      <c r="T187" s="1919">
        <f t="shared" si="239"/>
        <v>0</v>
      </c>
    </row>
    <row r="188" spans="1:22" ht="12.75" customHeight="1">
      <c r="A188" s="1843">
        <f>+'01'!A160</f>
        <v>18.28</v>
      </c>
      <c r="B188" s="1843" t="str">
        <f>+'01'!B160</f>
        <v>OK</v>
      </c>
      <c r="C188" s="1844" t="str">
        <f>+'01'!C160</f>
        <v xml:space="preserve">Acometida y gabiente de medidores </v>
      </c>
      <c r="D188" s="1845" t="str">
        <f>+'01'!D160</f>
        <v>gl</v>
      </c>
      <c r="E188" s="1843">
        <f>+'01'!E160</f>
        <v>1</v>
      </c>
      <c r="F188" s="1896"/>
      <c r="G188" s="1897"/>
      <c r="H188" s="1898">
        <f>+J188/E188</f>
        <v>5844722.2283497546</v>
      </c>
      <c r="I188" s="1898">
        <f>+K188/E188</f>
        <v>0</v>
      </c>
      <c r="J188" s="1824">
        <f>SUM(J189:J195)</f>
        <v>5844722.2283497546</v>
      </c>
      <c r="K188" s="1824">
        <f>SUM(K189:K195)</f>
        <v>0</v>
      </c>
      <c r="L188" s="2017"/>
      <c r="M188" s="2018"/>
      <c r="N188" s="2019"/>
      <c r="O188" s="2020"/>
      <c r="P188" s="2021"/>
      <c r="Q188" s="1898">
        <f>+U188/E188</f>
        <v>1271220.9999999998</v>
      </c>
      <c r="R188" s="1898">
        <f>+V188/E188</f>
        <v>0</v>
      </c>
      <c r="S188" s="2108"/>
      <c r="T188" s="2108"/>
      <c r="U188" s="1905">
        <f>SUM(S189:S195)</f>
        <v>1271220.9999999998</v>
      </c>
      <c r="V188" s="1905">
        <f>SUM(T189:T195)</f>
        <v>0</v>
      </c>
    </row>
    <row r="189" spans="1:22" ht="12.75" customHeight="1">
      <c r="A189" s="1816"/>
      <c r="B189" s="1817"/>
      <c r="C189" s="2173" t="s">
        <v>282</v>
      </c>
      <c r="D189" s="2007" t="s">
        <v>54</v>
      </c>
      <c r="E189" s="2007">
        <v>1</v>
      </c>
      <c r="F189" s="1910">
        <f>+ELECT!I80</f>
        <v>5844722.2283497546</v>
      </c>
      <c r="G189" s="1911"/>
      <c r="H189" s="2110"/>
      <c r="I189" s="2110"/>
      <c r="J189" s="2007">
        <f t="shared" ref="J189:J192" si="240">+F189*E189</f>
        <v>5844722.2283497546</v>
      </c>
      <c r="K189" s="2007">
        <f t="shared" ref="K189:K192" si="241">+G189*E189</f>
        <v>0</v>
      </c>
      <c r="L189" s="2010"/>
      <c r="M189" s="2011"/>
      <c r="N189" s="2012"/>
      <c r="O189" s="2013"/>
      <c r="P189" s="2014"/>
      <c r="Q189" s="2116"/>
      <c r="R189" s="2116"/>
      <c r="S189" s="1919">
        <f t="shared" ref="S189:S190" si="242">+L189*E189</f>
        <v>0</v>
      </c>
      <c r="T189" s="1919">
        <f t="shared" ref="T189:T190" si="243">(+M189*$M$5+N189*$N$5+O189*$O$5+P189*$P$5)*E189</f>
        <v>0</v>
      </c>
    </row>
    <row r="190" spans="1:22" ht="12.75" customHeight="1">
      <c r="A190" s="1816"/>
      <c r="B190" s="1817"/>
      <c r="C190" s="2165" t="s">
        <v>924</v>
      </c>
      <c r="D190" s="2007" t="s">
        <v>77</v>
      </c>
      <c r="E190" s="2007">
        <v>2</v>
      </c>
      <c r="F190" s="1910"/>
      <c r="G190" s="1911"/>
      <c r="H190" s="2110"/>
      <c r="I190" s="2110"/>
      <c r="J190" s="2007">
        <f t="shared" si="240"/>
        <v>0</v>
      </c>
      <c r="K190" s="2007">
        <f t="shared" si="241"/>
        <v>0</v>
      </c>
      <c r="L190" s="2174">
        <f>+SUBCONTRATOS!D54</f>
        <v>292642.69999999995</v>
      </c>
      <c r="M190" s="2011"/>
      <c r="N190" s="2012"/>
      <c r="O190" s="2013"/>
      <c r="P190" s="2014"/>
      <c r="Q190" s="2116"/>
      <c r="R190" s="2116"/>
      <c r="S190" s="1919">
        <f t="shared" si="242"/>
        <v>585285.39999999991</v>
      </c>
      <c r="T190" s="1919">
        <f t="shared" si="243"/>
        <v>0</v>
      </c>
    </row>
    <row r="191" spans="1:22" ht="12.75" customHeight="1">
      <c r="A191" s="1816"/>
      <c r="B191" s="1817"/>
      <c r="C191" s="2165" t="s">
        <v>735</v>
      </c>
      <c r="D191" s="2007" t="s">
        <v>77</v>
      </c>
      <c r="E191" s="2007">
        <v>1</v>
      </c>
      <c r="F191" s="1910"/>
      <c r="G191" s="1911"/>
      <c r="H191" s="2110"/>
      <c r="I191" s="2110"/>
      <c r="J191" s="2007">
        <f t="shared" si="240"/>
        <v>0</v>
      </c>
      <c r="K191" s="2007">
        <f t="shared" si="241"/>
        <v>0</v>
      </c>
      <c r="L191" s="2174">
        <f>+SUBCONTRATOS!D55</f>
        <v>92822.099999999991</v>
      </c>
      <c r="M191" s="2011"/>
      <c r="N191" s="2012"/>
      <c r="O191" s="2013"/>
      <c r="P191" s="2014"/>
      <c r="Q191" s="2116"/>
      <c r="R191" s="2116"/>
      <c r="S191" s="1919">
        <f t="shared" ref="S191" si="244">+L191*E191</f>
        <v>92822.099999999991</v>
      </c>
      <c r="T191" s="1919">
        <f t="shared" ref="T191" si="245">(+M191*$M$5+N191*$N$5+O191*$O$5+P191*$P$5)*E191</f>
        <v>0</v>
      </c>
    </row>
    <row r="192" spans="1:22" ht="12.75" customHeight="1">
      <c r="A192" s="1816"/>
      <c r="B192" s="1817"/>
      <c r="C192" s="2165" t="s">
        <v>1554</v>
      </c>
      <c r="D192" s="2007" t="s">
        <v>77</v>
      </c>
      <c r="E192" s="2007">
        <v>1</v>
      </c>
      <c r="F192" s="1910"/>
      <c r="G192" s="1911"/>
      <c r="H192" s="2110"/>
      <c r="I192" s="2110"/>
      <c r="J192" s="2007">
        <f t="shared" si="240"/>
        <v>0</v>
      </c>
      <c r="K192" s="2007">
        <f t="shared" si="241"/>
        <v>0</v>
      </c>
      <c r="L192" s="2174">
        <f>+SUBCONTRATOS!D54</f>
        <v>292642.69999999995</v>
      </c>
      <c r="M192" s="2011"/>
      <c r="N192" s="2012"/>
      <c r="O192" s="2013"/>
      <c r="P192" s="2014"/>
      <c r="Q192" s="2116"/>
      <c r="R192" s="2116"/>
      <c r="S192" s="1919">
        <f t="shared" ref="S192:S195" si="246">+L192*E192</f>
        <v>292642.69999999995</v>
      </c>
      <c r="T192" s="1919">
        <f t="shared" ref="T192:T195" si="247">(+M192*$M$5+N192*$N$5+O192*$O$5+P192*$P$5)*E192</f>
        <v>0</v>
      </c>
    </row>
    <row r="193" spans="1:22" ht="12.75" customHeight="1">
      <c r="A193" s="1816"/>
      <c r="B193" s="1817"/>
      <c r="C193" s="2165" t="s">
        <v>1553</v>
      </c>
      <c r="D193" s="2007" t="s">
        <v>77</v>
      </c>
      <c r="E193" s="2007">
        <v>1</v>
      </c>
      <c r="F193" s="1910"/>
      <c r="G193" s="1911"/>
      <c r="H193" s="2110"/>
      <c r="I193" s="2110"/>
      <c r="J193" s="2007">
        <f t="shared" ref="J193:J195" si="248">+F193*E193</f>
        <v>0</v>
      </c>
      <c r="K193" s="2007">
        <f t="shared" ref="K193:K195" si="249">+G193*E193</f>
        <v>0</v>
      </c>
      <c r="L193" s="2174">
        <f>+SUBCONTRATOS!D55</f>
        <v>92822.099999999991</v>
      </c>
      <c r="M193" s="2011"/>
      <c r="N193" s="2012"/>
      <c r="O193" s="2013"/>
      <c r="P193" s="2014"/>
      <c r="Q193" s="2116"/>
      <c r="R193" s="2116"/>
      <c r="S193" s="1919">
        <f t="shared" si="246"/>
        <v>92822.099999999991</v>
      </c>
      <c r="T193" s="1919">
        <f t="shared" si="247"/>
        <v>0</v>
      </c>
    </row>
    <row r="194" spans="1:22" ht="12.75" customHeight="1">
      <c r="A194" s="1816"/>
      <c r="B194" s="1817"/>
      <c r="C194" s="2165" t="s">
        <v>283</v>
      </c>
      <c r="D194" s="2007" t="s">
        <v>77</v>
      </c>
      <c r="E194" s="2007">
        <v>1</v>
      </c>
      <c r="F194" s="1910"/>
      <c r="G194" s="1911"/>
      <c r="H194" s="2110"/>
      <c r="I194" s="2110"/>
      <c r="J194" s="2007">
        <f t="shared" si="248"/>
        <v>0</v>
      </c>
      <c r="K194" s="2007">
        <f t="shared" si="249"/>
        <v>0</v>
      </c>
      <c r="L194" s="2174">
        <f>+SUBCONTRATOS!D56</f>
        <v>85483.299999999988</v>
      </c>
      <c r="M194" s="2011"/>
      <c r="N194" s="2012"/>
      <c r="O194" s="2013"/>
      <c r="P194" s="2014"/>
      <c r="Q194" s="2116"/>
      <c r="R194" s="2116"/>
      <c r="S194" s="1919">
        <f t="shared" si="246"/>
        <v>85483.299999999988</v>
      </c>
      <c r="T194" s="1919">
        <f t="shared" si="247"/>
        <v>0</v>
      </c>
    </row>
    <row r="195" spans="1:22" ht="12.75" customHeight="1">
      <c r="A195" s="1818"/>
      <c r="B195" s="1819"/>
      <c r="C195" s="2172" t="s">
        <v>284</v>
      </c>
      <c r="D195" s="2016" t="s">
        <v>77</v>
      </c>
      <c r="E195" s="2016">
        <v>1</v>
      </c>
      <c r="F195" s="1930"/>
      <c r="G195" s="1931"/>
      <c r="H195" s="2110"/>
      <c r="I195" s="2110"/>
      <c r="J195" s="2007">
        <f t="shared" si="248"/>
        <v>0</v>
      </c>
      <c r="K195" s="2007">
        <f t="shared" si="249"/>
        <v>0</v>
      </c>
      <c r="L195" s="2175">
        <f>+SUBCONTRATOS!D57</f>
        <v>122165.4</v>
      </c>
      <c r="M195" s="1935"/>
      <c r="N195" s="1936"/>
      <c r="O195" s="1937"/>
      <c r="P195" s="1938"/>
      <c r="Q195" s="2163"/>
      <c r="R195" s="2163"/>
      <c r="S195" s="1919">
        <f t="shared" si="246"/>
        <v>122165.4</v>
      </c>
      <c r="T195" s="1919">
        <f t="shared" si="247"/>
        <v>0</v>
      </c>
    </row>
    <row r="196" spans="1:22" ht="12.75" customHeight="1">
      <c r="A196" s="1843">
        <f>+'01'!A161</f>
        <v>18.29</v>
      </c>
      <c r="B196" s="1843" t="str">
        <f>+'01'!B161</f>
        <v>OK</v>
      </c>
      <c r="C196" s="1844" t="str">
        <f>+'01'!C161</f>
        <v>Puesta a tierra, jabalinas y cableados</v>
      </c>
      <c r="D196" s="1845" t="str">
        <f>+'01'!D161</f>
        <v>gl</v>
      </c>
      <c r="E196" s="1843">
        <f>+'01'!E161</f>
        <v>1</v>
      </c>
      <c r="F196" s="1896"/>
      <c r="G196" s="1897"/>
      <c r="H196" s="1898">
        <f>+J196/E196</f>
        <v>1261512.1510117827</v>
      </c>
      <c r="I196" s="1898">
        <f>+K196/E196</f>
        <v>0</v>
      </c>
      <c r="J196" s="1824">
        <f>SUM(J197:J198)</f>
        <v>1261512.1510117827</v>
      </c>
      <c r="K196" s="1824">
        <f>SUM(K197:K198)</f>
        <v>0</v>
      </c>
      <c r="L196" s="2017"/>
      <c r="M196" s="2018"/>
      <c r="N196" s="2019"/>
      <c r="O196" s="2020"/>
      <c r="P196" s="2021"/>
      <c r="Q196" s="1898">
        <f>+U196/E196</f>
        <v>305252.49999999994</v>
      </c>
      <c r="R196" s="1898">
        <f>+V196/E196</f>
        <v>0</v>
      </c>
      <c r="S196" s="2108"/>
      <c r="T196" s="2108"/>
      <c r="U196" s="1905">
        <f>+SUM(S197:S198)</f>
        <v>305252.49999999994</v>
      </c>
      <c r="V196" s="1905">
        <f>+SUM(T197:T198)</f>
        <v>0</v>
      </c>
    </row>
    <row r="197" spans="1:22" ht="12.75" customHeight="1">
      <c r="A197" s="1816"/>
      <c r="B197" s="1817"/>
      <c r="C197" s="2173" t="s">
        <v>285</v>
      </c>
      <c r="D197" s="2007" t="s">
        <v>54</v>
      </c>
      <c r="E197" s="2007">
        <v>1</v>
      </c>
      <c r="F197" s="1910">
        <f>+ELECT!I74</f>
        <v>1261512.1510117827</v>
      </c>
      <c r="G197" s="1911"/>
      <c r="H197" s="2110"/>
      <c r="I197" s="2110"/>
      <c r="J197" s="2007">
        <f t="shared" ref="J197:J198" si="250">+F197*E197</f>
        <v>1261512.1510117827</v>
      </c>
      <c r="K197" s="2007">
        <f t="shared" ref="K197:K198" si="251">+G197*E197</f>
        <v>0</v>
      </c>
      <c r="L197" s="2010"/>
      <c r="M197" s="2011"/>
      <c r="N197" s="2012"/>
      <c r="O197" s="2013"/>
      <c r="P197" s="2014"/>
      <c r="Q197" s="2116"/>
      <c r="R197" s="2116"/>
      <c r="S197" s="1919">
        <f t="shared" ref="S197:S198" si="252">+L197*E197</f>
        <v>0</v>
      </c>
      <c r="T197" s="1919">
        <f t="shared" ref="T197:T198" si="253">(+M197*$M$5+N197*$N$5+O197*$O$5+P197*$P$5)*E197</f>
        <v>0</v>
      </c>
    </row>
    <row r="198" spans="1:22" ht="12.75" customHeight="1">
      <c r="A198" s="1837"/>
      <c r="B198" s="1838"/>
      <c r="C198" s="2166" t="s">
        <v>286</v>
      </c>
      <c r="D198" s="2071" t="s">
        <v>77</v>
      </c>
      <c r="E198" s="2071">
        <v>5</v>
      </c>
      <c r="F198" s="1955"/>
      <c r="G198" s="1956"/>
      <c r="H198" s="2153"/>
      <c r="I198" s="2153"/>
      <c r="J198" s="2071">
        <f t="shared" si="250"/>
        <v>0</v>
      </c>
      <c r="K198" s="2071">
        <f t="shared" si="251"/>
        <v>0</v>
      </c>
      <c r="L198" s="2180">
        <f>+SUBCONTRATOS!D58</f>
        <v>61050.499999999993</v>
      </c>
      <c r="M198" s="2168"/>
      <c r="N198" s="2169"/>
      <c r="O198" s="2170"/>
      <c r="P198" s="2171"/>
      <c r="Q198" s="2155"/>
      <c r="R198" s="2155"/>
      <c r="S198" s="2075">
        <f t="shared" si="252"/>
        <v>305252.49999999994</v>
      </c>
      <c r="T198" s="2075">
        <f t="shared" si="253"/>
        <v>0</v>
      </c>
    </row>
    <row r="199" spans="1:22" ht="12.75" customHeight="1">
      <c r="A199" s="2181">
        <f>+'01'!A198</f>
        <v>23</v>
      </c>
      <c r="B199" s="2182">
        <f>+'01'!B198</f>
        <v>0</v>
      </c>
      <c r="C199" s="2182" t="str">
        <f>+'01'!C198</f>
        <v>TRABAJOS COMPLEMENTARIOS</v>
      </c>
      <c r="D199" s="1846"/>
      <c r="E199" s="1847"/>
      <c r="F199" s="2183"/>
      <c r="G199" s="2184"/>
      <c r="H199" s="2185"/>
      <c r="I199" s="2185"/>
      <c r="J199" s="2185"/>
      <c r="K199" s="2185"/>
      <c r="L199" s="2185"/>
      <c r="M199" s="2186"/>
      <c r="N199" s="2187"/>
      <c r="O199" s="2183"/>
      <c r="P199" s="2184"/>
      <c r="Q199" s="2185"/>
      <c r="R199" s="2185"/>
      <c r="S199" s="2185"/>
      <c r="T199" s="2188"/>
    </row>
    <row r="200" spans="1:22" ht="12.75" customHeight="1">
      <c r="A200" s="1848">
        <f>+'01'!A199</f>
        <v>23.01</v>
      </c>
      <c r="B200" s="1848" t="str">
        <f>+'01'!B199</f>
        <v>IN</v>
      </c>
      <c r="C200" s="1849" t="str">
        <f>+'01'!C199</f>
        <v>Albañilería parrila completa</v>
      </c>
      <c r="D200" s="1848" t="str">
        <f>+'01'!D199</f>
        <v>gl</v>
      </c>
      <c r="E200" s="1848">
        <f>+'01'!E199</f>
        <v>7</v>
      </c>
      <c r="F200" s="2189"/>
      <c r="G200" s="2190"/>
      <c r="H200" s="1898">
        <f>+J200/E200</f>
        <v>84804.805000000008</v>
      </c>
      <c r="I200" s="1898">
        <f>+K200/E200</f>
        <v>18052.636608644149</v>
      </c>
      <c r="J200" s="1824">
        <f>SUM(J201:J211)</f>
        <v>593633.63500000001</v>
      </c>
      <c r="K200" s="1824">
        <f>SUM(K201:K211)</f>
        <v>126368.45626050903</v>
      </c>
      <c r="L200" s="2191"/>
      <c r="M200" s="2192"/>
      <c r="N200" s="2193"/>
      <c r="O200" s="2194"/>
      <c r="P200" s="2195"/>
      <c r="Q200" s="1898">
        <f>+U200/E200</f>
        <v>0</v>
      </c>
      <c r="R200" s="1898">
        <f>+V200/E200</f>
        <v>247059.61185673703</v>
      </c>
      <c r="S200" s="2196"/>
      <c r="T200" s="2196"/>
      <c r="U200" s="1905">
        <f>+SUM(S202:S211)</f>
        <v>0</v>
      </c>
      <c r="V200" s="2197">
        <f>SUM(T202:T211)</f>
        <v>1729417.2829971593</v>
      </c>
    </row>
    <row r="201" spans="1:22" ht="12.75" customHeight="1">
      <c r="A201" s="1850"/>
      <c r="B201" s="1850"/>
      <c r="C201" s="1851" t="s">
        <v>2430</v>
      </c>
      <c r="D201" s="1850"/>
      <c r="E201" s="1850">
        <v>6</v>
      </c>
      <c r="F201" s="2198"/>
      <c r="G201" s="2199"/>
      <c r="H201" s="1984"/>
      <c r="I201" s="1984"/>
      <c r="J201" s="1815">
        <f>+SUM(J202:J211)</f>
        <v>296816.8175</v>
      </c>
      <c r="K201" s="1815">
        <f>+SUM(K202:K211)</f>
        <v>63184.228130254509</v>
      </c>
      <c r="L201" s="2200"/>
      <c r="M201" s="2201"/>
      <c r="N201" s="2202"/>
      <c r="O201" s="2203"/>
      <c r="P201" s="2204"/>
      <c r="Q201" s="1984"/>
      <c r="R201" s="1984"/>
      <c r="S201" s="2205"/>
      <c r="T201" s="2205"/>
      <c r="U201" s="1906"/>
      <c r="V201" s="2197"/>
    </row>
    <row r="202" spans="1:22" ht="12.75" customHeight="1">
      <c r="A202" s="1852"/>
      <c r="B202" s="1853"/>
      <c r="C202" s="2206" t="s">
        <v>255</v>
      </c>
      <c r="D202" s="1854" t="s">
        <v>66</v>
      </c>
      <c r="E202" s="1854">
        <f>1.5*0.75*0.1</f>
        <v>0.1125</v>
      </c>
      <c r="F202" s="1910">
        <f>VLOOKUP(C202,Cotizaciones!B:D,3,0)</f>
        <v>125000</v>
      </c>
      <c r="G202" s="2207"/>
      <c r="H202" s="2208"/>
      <c r="I202" s="2208"/>
      <c r="J202" s="2209">
        <f>+F202*E202</f>
        <v>14062.5</v>
      </c>
      <c r="K202" s="2209">
        <f t="shared" ref="K202:K207" si="254">+G202*E202</f>
        <v>0</v>
      </c>
      <c r="L202" s="2210"/>
      <c r="M202" s="2211"/>
      <c r="N202" s="2212"/>
      <c r="O202" s="2213"/>
      <c r="P202" s="2214"/>
      <c r="Q202" s="2215"/>
      <c r="R202" s="2215"/>
      <c r="S202" s="1919">
        <f t="shared" ref="S202:S207" si="255">+L202*E202</f>
        <v>0</v>
      </c>
      <c r="T202" s="1919">
        <f t="shared" ref="T202:T207" si="256">(+M202*$M$5+N202*$N$5+O202*$O$5+P202*$P$5)*E202</f>
        <v>0</v>
      </c>
      <c r="U202" s="2197"/>
      <c r="V202" s="2197"/>
    </row>
    <row r="203" spans="1:22" ht="12.75" customHeight="1">
      <c r="A203" s="1852"/>
      <c r="B203" s="1853"/>
      <c r="C203" s="2206" t="s">
        <v>287</v>
      </c>
      <c r="D203" s="1854" t="s">
        <v>77</v>
      </c>
      <c r="E203" s="1854">
        <f>(1.5*0.75)/(6*2.4)</f>
        <v>7.8125000000000014E-2</v>
      </c>
      <c r="F203" s="1910">
        <f>VLOOKUP(C203,Cotizaciones!B:D,3,0)</f>
        <v>75473.119999999995</v>
      </c>
      <c r="G203" s="2207"/>
      <c r="H203" s="2208"/>
      <c r="I203" s="2208"/>
      <c r="J203" s="2209">
        <f>+F203*E203</f>
        <v>5896.3375000000005</v>
      </c>
      <c r="K203" s="2209">
        <f t="shared" si="254"/>
        <v>0</v>
      </c>
      <c r="L203" s="2210"/>
      <c r="M203" s="2211"/>
      <c r="N203" s="2212"/>
      <c r="O203" s="2213"/>
      <c r="P203" s="2214"/>
      <c r="Q203" s="2215"/>
      <c r="R203" s="2215"/>
      <c r="S203" s="1919">
        <f t="shared" si="255"/>
        <v>0</v>
      </c>
      <c r="T203" s="1919">
        <f t="shared" si="256"/>
        <v>0</v>
      </c>
      <c r="U203" s="2197"/>
      <c r="V203" s="2197"/>
    </row>
    <row r="204" spans="1:22" ht="12.75" customHeight="1">
      <c r="A204" s="1852"/>
      <c r="B204" s="1853"/>
      <c r="C204" s="2206" t="s">
        <v>1515</v>
      </c>
      <c r="D204" s="1854" t="s">
        <v>4</v>
      </c>
      <c r="E204" s="1854">
        <f>(0.75*3)+(1.5*1.5)</f>
        <v>4.5</v>
      </c>
      <c r="F204" s="1910"/>
      <c r="G204" s="2207">
        <f>+'APU 09.24'!E13</f>
        <v>6545.2009385010006</v>
      </c>
      <c r="H204" s="2208"/>
      <c r="I204" s="2208"/>
      <c r="J204" s="2209">
        <f>+F204*E204</f>
        <v>0</v>
      </c>
      <c r="K204" s="2209">
        <f t="shared" si="254"/>
        <v>29453.404223254503</v>
      </c>
      <c r="L204" s="2210"/>
      <c r="M204" s="2211"/>
      <c r="N204" s="2212"/>
      <c r="O204" s="2213"/>
      <c r="P204" s="2214"/>
      <c r="Q204" s="2215"/>
      <c r="R204" s="2215"/>
      <c r="S204" s="1919">
        <f t="shared" ref="S204:S206" si="257">+L204*E204</f>
        <v>0</v>
      </c>
      <c r="T204" s="1919">
        <f t="shared" ref="T204:T206" si="258">(+M204*$M$5+N204*$N$5+O204*$O$5+P204*$P$5)*E204</f>
        <v>0</v>
      </c>
      <c r="U204" s="2197"/>
      <c r="V204" s="2197"/>
    </row>
    <row r="205" spans="1:22" ht="12.75" customHeight="1">
      <c r="A205" s="1852"/>
      <c r="B205" s="1853"/>
      <c r="C205" s="2206" t="s">
        <v>1516</v>
      </c>
      <c r="D205" s="1854" t="s">
        <v>4</v>
      </c>
      <c r="E205" s="1854">
        <f>+E204*2</f>
        <v>9</v>
      </c>
      <c r="F205" s="1910"/>
      <c r="G205" s="2207">
        <f>+'APU 09.24'!E23</f>
        <v>3747.8693230000003</v>
      </c>
      <c r="H205" s="2208"/>
      <c r="I205" s="2208"/>
      <c r="J205" s="2209"/>
      <c r="K205" s="2209">
        <f t="shared" si="254"/>
        <v>33730.823907000005</v>
      </c>
      <c r="L205" s="2210"/>
      <c r="M205" s="2211"/>
      <c r="N205" s="2212"/>
      <c r="O205" s="2213"/>
      <c r="P205" s="2214"/>
      <c r="Q205" s="2215"/>
      <c r="R205" s="2215"/>
      <c r="S205" s="1919">
        <f t="shared" si="257"/>
        <v>0</v>
      </c>
      <c r="T205" s="1919">
        <f t="shared" si="258"/>
        <v>0</v>
      </c>
      <c r="U205" s="2197"/>
      <c r="V205" s="2197"/>
    </row>
    <row r="206" spans="1:22" ht="12.75" customHeight="1">
      <c r="A206" s="1852"/>
      <c r="B206" s="1853"/>
      <c r="C206" s="2206" t="s">
        <v>1514</v>
      </c>
      <c r="D206" s="1854" t="s">
        <v>4</v>
      </c>
      <c r="E206" s="1854">
        <f>(2.8*0.8)+(1.5*0.8)</f>
        <v>3.44</v>
      </c>
      <c r="F206" s="1910"/>
      <c r="G206" s="2207"/>
      <c r="H206" s="2208"/>
      <c r="I206" s="2208"/>
      <c r="J206" s="2209">
        <f>+F206*E206</f>
        <v>0</v>
      </c>
      <c r="K206" s="2209">
        <f t="shared" si="254"/>
        <v>0</v>
      </c>
      <c r="L206" s="2210"/>
      <c r="M206" s="2211"/>
      <c r="N206" s="2212"/>
      <c r="O206" s="2213"/>
      <c r="P206" s="2214"/>
      <c r="Q206" s="2215"/>
      <c r="R206" s="2215"/>
      <c r="S206" s="1919">
        <f t="shared" si="257"/>
        <v>0</v>
      </c>
      <c r="T206" s="1919">
        <f t="shared" si="258"/>
        <v>0</v>
      </c>
      <c r="U206" s="2197"/>
      <c r="V206" s="2197"/>
    </row>
    <row r="207" spans="1:22" ht="12.75" customHeight="1">
      <c r="A207" s="1852"/>
      <c r="B207" s="1853"/>
      <c r="C207" s="2206" t="s">
        <v>288</v>
      </c>
      <c r="D207" s="1854" t="s">
        <v>77</v>
      </c>
      <c r="E207" s="1854">
        <f>+ROUNDUP(E206*65*1.05,0)</f>
        <v>235</v>
      </c>
      <c r="F207" s="2216">
        <v>417.3</v>
      </c>
      <c r="G207" s="2207"/>
      <c r="H207" s="2208"/>
      <c r="I207" s="2208"/>
      <c r="J207" s="2209">
        <f>+F207*E207</f>
        <v>98065.5</v>
      </c>
      <c r="K207" s="2209">
        <f t="shared" si="254"/>
        <v>0</v>
      </c>
      <c r="L207" s="2210"/>
      <c r="M207" s="2211"/>
      <c r="N207" s="2212"/>
      <c r="O207" s="2213"/>
      <c r="P207" s="2214"/>
      <c r="Q207" s="2215"/>
      <c r="R207" s="2215"/>
      <c r="S207" s="1919">
        <f t="shared" si="255"/>
        <v>0</v>
      </c>
      <c r="T207" s="1919">
        <f t="shared" si="256"/>
        <v>0</v>
      </c>
      <c r="U207" s="2197"/>
      <c r="V207" s="2197"/>
    </row>
    <row r="208" spans="1:22" ht="12.75" customHeight="1">
      <c r="A208" s="1852"/>
      <c r="B208" s="1853"/>
      <c r="C208" s="2206" t="s">
        <v>289</v>
      </c>
      <c r="D208" s="1854" t="s">
        <v>77</v>
      </c>
      <c r="E208" s="1854">
        <f>+ROUNDUP(E207/60/0.5,0)</f>
        <v>8</v>
      </c>
      <c r="F208" s="1910">
        <f>VLOOKUP(C208,Cotizaciones!B:D,3,0)</f>
        <v>15474.06</v>
      </c>
      <c r="G208" s="2207"/>
      <c r="H208" s="2208"/>
      <c r="I208" s="2208"/>
      <c r="J208" s="2209">
        <f t="shared" ref="J208:J209" si="259">+F208*E208</f>
        <v>123792.48</v>
      </c>
      <c r="K208" s="2209">
        <f t="shared" ref="K208:K209" si="260">+G208*E208</f>
        <v>0</v>
      </c>
      <c r="L208" s="2210"/>
      <c r="M208" s="2211"/>
      <c r="N208" s="2212"/>
      <c r="O208" s="2213"/>
      <c r="P208" s="2214"/>
      <c r="Q208" s="2215"/>
      <c r="R208" s="2215"/>
      <c r="S208" s="1919">
        <f t="shared" ref="S208:S211" si="261">+L208*E208</f>
        <v>0</v>
      </c>
      <c r="T208" s="1919">
        <f t="shared" ref="T208:T211" si="262">(+M208*$M$5+N208*$N$5+O208*$O$5+P208*$P$5)*E208</f>
        <v>0</v>
      </c>
      <c r="U208" s="2197"/>
      <c r="V208" s="2197"/>
    </row>
    <row r="209" spans="1:22" ht="12.75" customHeight="1">
      <c r="A209" s="1852"/>
      <c r="B209" s="1853"/>
      <c r="C209" s="2217" t="s">
        <v>290</v>
      </c>
      <c r="D209" s="1854" t="s">
        <v>54</v>
      </c>
      <c r="E209" s="1854">
        <v>1</v>
      </c>
      <c r="F209" s="2216">
        <v>30000</v>
      </c>
      <c r="G209" s="2207"/>
      <c r="H209" s="2208"/>
      <c r="I209" s="2208"/>
      <c r="J209" s="2209">
        <f t="shared" si="259"/>
        <v>30000</v>
      </c>
      <c r="K209" s="2209">
        <f t="shared" si="260"/>
        <v>0</v>
      </c>
      <c r="L209" s="2210"/>
      <c r="M209" s="2211"/>
      <c r="N209" s="2212"/>
      <c r="O209" s="2213"/>
      <c r="P209" s="2214"/>
      <c r="Q209" s="2215"/>
      <c r="R209" s="2215"/>
      <c r="S209" s="1919">
        <f t="shared" si="261"/>
        <v>0</v>
      </c>
      <c r="T209" s="1919">
        <f t="shared" si="262"/>
        <v>0</v>
      </c>
      <c r="U209" s="2197"/>
      <c r="V209" s="2197"/>
    </row>
    <row r="210" spans="1:22" ht="10.5">
      <c r="A210" s="1852"/>
      <c r="B210" s="1853"/>
      <c r="C210" s="2217" t="s">
        <v>291</v>
      </c>
      <c r="D210" s="1854" t="s">
        <v>54</v>
      </c>
      <c r="E210" s="1854">
        <v>1</v>
      </c>
      <c r="F210" s="2216">
        <v>25000</v>
      </c>
      <c r="G210" s="2207"/>
      <c r="H210" s="2208"/>
      <c r="I210" s="2208"/>
      <c r="J210" s="2209">
        <f>+F210*E210</f>
        <v>25000</v>
      </c>
      <c r="K210" s="2209">
        <f>+G210*E210</f>
        <v>0</v>
      </c>
      <c r="L210" s="2210"/>
      <c r="M210" s="2211"/>
      <c r="N210" s="2212"/>
      <c r="O210" s="2213"/>
      <c r="P210" s="2214"/>
      <c r="Q210" s="2215"/>
      <c r="R210" s="2215"/>
      <c r="S210" s="1919">
        <f t="shared" si="261"/>
        <v>0</v>
      </c>
      <c r="T210" s="1919">
        <f t="shared" si="262"/>
        <v>0</v>
      </c>
      <c r="U210" s="2197"/>
      <c r="V210" s="2197"/>
    </row>
    <row r="211" spans="1:22" ht="10.5">
      <c r="A211" s="1855"/>
      <c r="B211" s="1856"/>
      <c r="C211" s="2218" t="s">
        <v>292</v>
      </c>
      <c r="D211" s="1857" t="s">
        <v>198</v>
      </c>
      <c r="E211" s="1857">
        <v>15</v>
      </c>
      <c r="F211" s="2219"/>
      <c r="G211" s="2220"/>
      <c r="H211" s="2221"/>
      <c r="I211" s="2221"/>
      <c r="J211" s="2222">
        <f>+F211*E211</f>
        <v>0</v>
      </c>
      <c r="K211" s="2222">
        <f>+G211*E211</f>
        <v>0</v>
      </c>
      <c r="L211" s="2223"/>
      <c r="M211" s="2224"/>
      <c r="N211" s="2225">
        <v>1</v>
      </c>
      <c r="O211" s="2226"/>
      <c r="P211" s="2227">
        <v>1</v>
      </c>
      <c r="Q211" s="2228"/>
      <c r="R211" s="2228"/>
      <c r="S211" s="2075">
        <f t="shared" si="261"/>
        <v>0</v>
      </c>
      <c r="T211" s="2075">
        <f t="shared" si="262"/>
        <v>1729417.2829971593</v>
      </c>
      <c r="U211" s="2197"/>
      <c r="V211" s="2197"/>
    </row>
    <row r="212" spans="1:22" ht="10.5">
      <c r="A212" s="1849">
        <f>+'01'!A200</f>
        <v>23.02</v>
      </c>
      <c r="B212" s="1849">
        <f>+'01'!B200</f>
        <v>0</v>
      </c>
      <c r="C212" s="1849" t="str">
        <f>+'01'!C200</f>
        <v>Colocación de ladrillos de vidrio - Provisión a cargo del comitente</v>
      </c>
      <c r="D212" s="1858" t="str">
        <f>+'01'!D200</f>
        <v>gl</v>
      </c>
      <c r="E212" s="1858">
        <f>+'01'!E200</f>
        <v>1</v>
      </c>
      <c r="F212" s="2189"/>
      <c r="G212" s="2190"/>
      <c r="H212" s="1898">
        <f>+J212/E212</f>
        <v>0</v>
      </c>
      <c r="I212" s="1898">
        <f>+K212/E212</f>
        <v>200000</v>
      </c>
      <c r="J212" s="1824">
        <f>SUM(J213:J214)</f>
        <v>0</v>
      </c>
      <c r="K212" s="1824">
        <f>SUM(K213:K214)</f>
        <v>200000</v>
      </c>
      <c r="L212" s="2191"/>
      <c r="M212" s="2192"/>
      <c r="N212" s="2193"/>
      <c r="O212" s="2194"/>
      <c r="P212" s="2195"/>
      <c r="Q212" s="1898">
        <f>+U212/E212</f>
        <v>0</v>
      </c>
      <c r="R212" s="1898">
        <f>+V212/E212</f>
        <v>326801.24153285986</v>
      </c>
      <c r="S212" s="2196"/>
      <c r="T212" s="2196"/>
      <c r="U212" s="2197">
        <f>SUM(S213:S214)</f>
        <v>0</v>
      </c>
      <c r="V212" s="2197">
        <f>SUM(T213:T214)</f>
        <v>326801.24153285986</v>
      </c>
    </row>
    <row r="213" spans="1:22" ht="10.5">
      <c r="A213" s="1850"/>
      <c r="B213" s="1850"/>
      <c r="C213" s="2206" t="s">
        <v>209</v>
      </c>
      <c r="D213" s="1854" t="s">
        <v>77</v>
      </c>
      <c r="E213" s="1854">
        <v>8</v>
      </c>
      <c r="F213" s="2198"/>
      <c r="G213" s="2199">
        <v>25000</v>
      </c>
      <c r="H213" s="1984"/>
      <c r="I213" s="1984"/>
      <c r="J213" s="2209">
        <f>+F213*E213</f>
        <v>0</v>
      </c>
      <c r="K213" s="2209">
        <f>+G213*E213</f>
        <v>200000</v>
      </c>
      <c r="L213" s="2200"/>
      <c r="M213" s="2201"/>
      <c r="N213" s="2202"/>
      <c r="O213" s="2203"/>
      <c r="P213" s="2204"/>
      <c r="Q213" s="1984"/>
      <c r="R213" s="1984"/>
      <c r="S213" s="1919">
        <f t="shared" ref="S213" si="263">+L213*E213</f>
        <v>0</v>
      </c>
      <c r="T213" s="1919">
        <f t="shared" ref="T213" si="264">(+M213*$M$5+N213*$N$5+O213*$O$5+P213*$P$5)*E213</f>
        <v>0</v>
      </c>
      <c r="U213" s="1906"/>
      <c r="V213" s="2197"/>
    </row>
    <row r="214" spans="1:22" ht="10.5">
      <c r="A214" s="1852"/>
      <c r="B214" s="1853"/>
      <c r="C214" s="2206" t="s">
        <v>210</v>
      </c>
      <c r="D214" s="1854" t="s">
        <v>198</v>
      </c>
      <c r="E214" s="1854">
        <v>5</v>
      </c>
      <c r="F214" s="1910"/>
      <c r="G214" s="2207"/>
      <c r="H214" s="2208"/>
      <c r="I214" s="2208"/>
      <c r="J214" s="2222">
        <f>+F214*E214</f>
        <v>0</v>
      </c>
      <c r="K214" s="2222">
        <f>+G214*E214</f>
        <v>0</v>
      </c>
      <c r="L214" s="2210"/>
      <c r="M214" s="2211"/>
      <c r="N214" s="2212">
        <v>1</v>
      </c>
      <c r="O214" s="2213"/>
      <c r="P214" s="2214"/>
      <c r="Q214" s="2215"/>
      <c r="R214" s="2215"/>
      <c r="S214" s="1919">
        <f t="shared" ref="S214" si="265">+L214*E214</f>
        <v>0</v>
      </c>
      <c r="T214" s="1919">
        <f t="shared" ref="T214" si="266">(+M214*$M$5+N214*$N$5+O214*$O$5+P214*$P$5)*E214</f>
        <v>326801.24153285986</v>
      </c>
      <c r="U214" s="2197"/>
      <c r="V214" s="2197"/>
    </row>
    <row r="215" spans="1:22" ht="10.5">
      <c r="A215" s="2181">
        <f>+'01'!A202</f>
        <v>24</v>
      </c>
      <c r="B215" s="2182">
        <f>+'01'!B202</f>
        <v>0</v>
      </c>
      <c r="C215" s="2182" t="str">
        <f>+'01'!C202</f>
        <v>AYUDA DE GREMIOS</v>
      </c>
      <c r="D215" s="1827"/>
      <c r="E215" s="1842"/>
      <c r="F215" s="1891"/>
      <c r="G215" s="1892"/>
      <c r="H215" s="1893"/>
      <c r="I215" s="1893"/>
      <c r="J215" s="1893"/>
      <c r="K215" s="1893"/>
      <c r="L215" s="1893"/>
      <c r="M215" s="1894"/>
      <c r="N215" s="1895"/>
      <c r="O215" s="1891"/>
      <c r="P215" s="1892"/>
      <c r="Q215" s="1893"/>
      <c r="R215" s="1893"/>
      <c r="S215" s="1893"/>
      <c r="T215" s="2047"/>
    </row>
    <row r="216" spans="1:22" ht="12.75" customHeight="1">
      <c r="A216" s="1843">
        <f>+'01'!A206</f>
        <v>24.04</v>
      </c>
      <c r="B216" s="1843" t="str">
        <f>+'01'!B206</f>
        <v>OK</v>
      </c>
      <c r="C216" s="1844" t="str">
        <f>+'01'!C206</f>
        <v>Protecciones y defensas</v>
      </c>
      <c r="D216" s="1843" t="str">
        <f>+'01'!D206</f>
        <v>gl</v>
      </c>
      <c r="E216" s="1843">
        <f>+'01'!E206</f>
        <v>1</v>
      </c>
      <c r="F216" s="1896"/>
      <c r="G216" s="1897"/>
      <c r="H216" s="1898">
        <f>+J216/E216</f>
        <v>2388097.2693333332</v>
      </c>
      <c r="I216" s="1898">
        <f>+K216/E216</f>
        <v>0</v>
      </c>
      <c r="J216" s="1824">
        <f>SUM(J217:J222)</f>
        <v>2388097.2693333332</v>
      </c>
      <c r="K216" s="1824">
        <f>SUM(K217:K222)</f>
        <v>0</v>
      </c>
      <c r="L216" s="2017"/>
      <c r="M216" s="2018"/>
      <c r="N216" s="2019"/>
      <c r="O216" s="2020"/>
      <c r="P216" s="2021"/>
      <c r="Q216" s="1898">
        <f>+U216/E216</f>
        <v>0</v>
      </c>
      <c r="R216" s="1898">
        <f>+V216/E216</f>
        <v>1222808.0771714395</v>
      </c>
      <c r="S216" s="2017"/>
      <c r="T216" s="2017"/>
      <c r="U216" s="1906">
        <f>+SUM(S217:S222)</f>
        <v>0</v>
      </c>
      <c r="V216" s="2197">
        <f>SUM(T217:T222)</f>
        <v>1222808.0771714395</v>
      </c>
    </row>
    <row r="217" spans="1:22" ht="12.75" customHeight="1">
      <c r="A217" s="1816"/>
      <c r="B217" s="1817"/>
      <c r="C217" s="2206" t="s">
        <v>293</v>
      </c>
      <c r="D217" s="1854" t="s">
        <v>59</v>
      </c>
      <c r="E217" s="1854">
        <f>+Computo!E109</f>
        <v>82</v>
      </c>
      <c r="F217" s="1910">
        <f>+'ENCOFRADO '!E128</f>
        <v>25783.917333333335</v>
      </c>
      <c r="G217" s="1911"/>
      <c r="H217" s="2208"/>
      <c r="I217" s="2208"/>
      <c r="J217" s="2209">
        <f>+F217*E217</f>
        <v>2114281.2213333333</v>
      </c>
      <c r="K217" s="2209">
        <f>+G217*E217</f>
        <v>0</v>
      </c>
      <c r="L217" s="2010"/>
      <c r="M217" s="2011"/>
      <c r="N217" s="2012"/>
      <c r="O217" s="2013"/>
      <c r="P217" s="2014"/>
      <c r="Q217" s="2215"/>
      <c r="R217" s="2215"/>
      <c r="S217" s="1919">
        <f t="shared" ref="S217:S220" si="267">+L217*E217</f>
        <v>0</v>
      </c>
      <c r="T217" s="1919">
        <f t="shared" ref="T217:T220" si="268">(+M217*$M$5+N217*$N$5+O217*$O$5+P217*$P$5)*E217</f>
        <v>0</v>
      </c>
    </row>
    <row r="218" spans="1:22" ht="12.75" customHeight="1">
      <c r="A218" s="1816"/>
      <c r="B218" s="1817"/>
      <c r="C218" s="2206" t="s">
        <v>294</v>
      </c>
      <c r="D218" s="1854" t="s">
        <v>59</v>
      </c>
      <c r="E218" s="1854">
        <f>+Computo!E120</f>
        <v>129</v>
      </c>
      <c r="F218" s="1910"/>
      <c r="G218" s="1911"/>
      <c r="H218" s="2208"/>
      <c r="I218" s="2208"/>
      <c r="J218" s="2209">
        <f>+F218*E218</f>
        <v>0</v>
      </c>
      <c r="K218" s="2209">
        <f>+G218*E218</f>
        <v>0</v>
      </c>
      <c r="L218" s="2010"/>
      <c r="M218" s="2011"/>
      <c r="N218" s="2012"/>
      <c r="O218" s="2013"/>
      <c r="P218" s="2014"/>
      <c r="Q218" s="2215"/>
      <c r="R218" s="2215"/>
      <c r="S218" s="1919">
        <f t="shared" si="267"/>
        <v>0</v>
      </c>
      <c r="T218" s="1919">
        <f t="shared" si="268"/>
        <v>0</v>
      </c>
    </row>
    <row r="219" spans="1:22" ht="12.75" customHeight="1">
      <c r="A219" s="1816"/>
      <c r="B219" s="1817"/>
      <c r="C219" s="2206" t="s">
        <v>295</v>
      </c>
      <c r="D219" s="1854" t="s">
        <v>77</v>
      </c>
      <c r="E219" s="1854">
        <f>+ROUNDUP(E218*3/3.6,0)</f>
        <v>108</v>
      </c>
      <c r="F219" s="2229">
        <f>VLOOKUP(C219,Cotizaciones!B:D,3,0)/1.5</f>
        <v>1294.6319999999998</v>
      </c>
      <c r="G219" s="1911"/>
      <c r="H219" s="2208"/>
      <c r="I219" s="2208"/>
      <c r="J219" s="2209">
        <f t="shared" ref="J219:J220" si="269">+F219*E219</f>
        <v>139820.25599999999</v>
      </c>
      <c r="K219" s="2209">
        <f t="shared" ref="K219:K220" si="270">+G219*E219</f>
        <v>0</v>
      </c>
      <c r="L219" s="2010"/>
      <c r="M219" s="2011"/>
      <c r="N219" s="2012"/>
      <c r="O219" s="2013"/>
      <c r="P219" s="2014"/>
      <c r="Q219" s="2215"/>
      <c r="R219" s="2215"/>
      <c r="S219" s="1919">
        <f t="shared" si="267"/>
        <v>0</v>
      </c>
      <c r="T219" s="1919">
        <f t="shared" si="268"/>
        <v>0</v>
      </c>
    </row>
    <row r="220" spans="1:22" ht="12.75" customHeight="1">
      <c r="A220" s="1816"/>
      <c r="B220" s="1817"/>
      <c r="C220" s="2206" t="s">
        <v>296</v>
      </c>
      <c r="D220" s="1854" t="s">
        <v>77</v>
      </c>
      <c r="E220" s="1854">
        <f>+ROUNDUP(E218/3*1.05,0)</f>
        <v>46</v>
      </c>
      <c r="F220" s="2229">
        <f>VLOOKUP(C220,Cotizaciones!B:D,3,0)/1.5</f>
        <v>2912.9519999999998</v>
      </c>
      <c r="G220" s="1911"/>
      <c r="H220" s="2208"/>
      <c r="I220" s="2208"/>
      <c r="J220" s="2209">
        <f t="shared" si="269"/>
        <v>133995.79199999999</v>
      </c>
      <c r="K220" s="2209">
        <f t="shared" si="270"/>
        <v>0</v>
      </c>
      <c r="L220" s="2010"/>
      <c r="M220" s="2011"/>
      <c r="N220" s="2012"/>
      <c r="O220" s="2013"/>
      <c r="P220" s="2014"/>
      <c r="Q220" s="2215"/>
      <c r="R220" s="2215"/>
      <c r="S220" s="1919">
        <f t="shared" si="267"/>
        <v>0</v>
      </c>
      <c r="T220" s="1919">
        <f t="shared" si="268"/>
        <v>0</v>
      </c>
    </row>
    <row r="221" spans="1:22" ht="12.75" customHeight="1">
      <c r="A221" s="1816"/>
      <c r="B221" s="1817"/>
      <c r="C221" s="2206" t="s">
        <v>297</v>
      </c>
      <c r="D221" s="1854" t="s">
        <v>198</v>
      </c>
      <c r="E221" s="1854">
        <f>+Computo!D109</f>
        <v>4</v>
      </c>
      <c r="F221" s="1910"/>
      <c r="G221" s="1911"/>
      <c r="H221" s="2208"/>
      <c r="I221" s="2208"/>
      <c r="J221" s="2209">
        <f t="shared" ref="J221:J222" si="271">+F221*E221</f>
        <v>0</v>
      </c>
      <c r="K221" s="2209">
        <f t="shared" ref="K221:K222" si="272">+G221*E221</f>
        <v>0</v>
      </c>
      <c r="L221" s="2010"/>
      <c r="M221" s="2011">
        <v>1</v>
      </c>
      <c r="N221" s="2012">
        <v>1</v>
      </c>
      <c r="O221" s="2013"/>
      <c r="P221" s="2014">
        <v>1</v>
      </c>
      <c r="Q221" s="2215"/>
      <c r="R221" s="2215"/>
      <c r="S221" s="1919">
        <f t="shared" ref="S221:S222" si="273">+L221*E221</f>
        <v>0</v>
      </c>
      <c r="T221" s="1919">
        <f t="shared" ref="T221:T222" si="274">(+M221*$M$5+N221*$N$5+O221*$O$5+P221*$P$5)*E221</f>
        <v>761630.13503886375</v>
      </c>
    </row>
    <row r="222" spans="1:22" ht="12.75" customHeight="1">
      <c r="A222" s="1818"/>
      <c r="B222" s="1819"/>
      <c r="C222" s="2230" t="s">
        <v>1518</v>
      </c>
      <c r="D222" s="1859" t="s">
        <v>198</v>
      </c>
      <c r="E222" s="1859">
        <v>4</v>
      </c>
      <c r="F222" s="1930"/>
      <c r="G222" s="1931"/>
      <c r="H222" s="2231"/>
      <c r="I222" s="2231"/>
      <c r="J222" s="2232">
        <f t="shared" si="271"/>
        <v>0</v>
      </c>
      <c r="K222" s="2232">
        <f t="shared" si="272"/>
        <v>0</v>
      </c>
      <c r="L222" s="1934"/>
      <c r="M222" s="1935"/>
      <c r="N222" s="1936">
        <v>1</v>
      </c>
      <c r="O222" s="1937"/>
      <c r="P222" s="1938">
        <v>1</v>
      </c>
      <c r="Q222" s="2233"/>
      <c r="R222" s="2233"/>
      <c r="S222" s="1940">
        <f t="shared" si="273"/>
        <v>0</v>
      </c>
      <c r="T222" s="1940">
        <f t="shared" si="274"/>
        <v>461177.94213257579</v>
      </c>
    </row>
    <row r="223" spans="1:22" ht="12.75" customHeight="1">
      <c r="A223" s="1843">
        <f>+'01'!A207</f>
        <v>24.05</v>
      </c>
      <c r="B223" s="1843" t="str">
        <f>+'01'!B207</f>
        <v>OK</v>
      </c>
      <c r="C223" s="1844" t="str">
        <f>+'01'!C207</f>
        <v>Ayuda de gremios</v>
      </c>
      <c r="D223" s="1843" t="str">
        <f>+'01'!D207</f>
        <v>mes</v>
      </c>
      <c r="E223" s="1843">
        <f>+'01'!E207</f>
        <v>14</v>
      </c>
      <c r="F223" s="1896"/>
      <c r="G223" s="1897"/>
      <c r="H223" s="1898">
        <f>+J223/E223</f>
        <v>0</v>
      </c>
      <c r="I223" s="1898">
        <f>+K223/E223</f>
        <v>50000</v>
      </c>
      <c r="J223" s="1824">
        <f>SUM(J224:J226)</f>
        <v>0</v>
      </c>
      <c r="K223" s="1824">
        <f>SUM(K224:K226)</f>
        <v>700000</v>
      </c>
      <c r="L223" s="2017"/>
      <c r="M223" s="2018"/>
      <c r="N223" s="2019"/>
      <c r="O223" s="2020"/>
      <c r="P223" s="2021"/>
      <c r="Q223" s="1898">
        <f>+U223/E223</f>
        <v>0</v>
      </c>
      <c r="R223" s="1898">
        <f>+V223/E223</f>
        <v>495686.16827914771</v>
      </c>
      <c r="S223" s="1964"/>
      <c r="T223" s="1964"/>
      <c r="U223" s="2197">
        <f>SUM(S224:S226)</f>
        <v>0</v>
      </c>
      <c r="V223" s="2197">
        <f>SUM(T224:T226)</f>
        <v>6939606.3559080679</v>
      </c>
    </row>
    <row r="224" spans="1:22" ht="12.75" customHeight="1">
      <c r="A224" s="1816"/>
      <c r="B224" s="1817"/>
      <c r="C224" s="2206" t="s">
        <v>298</v>
      </c>
      <c r="D224" s="1854" t="s">
        <v>61</v>
      </c>
      <c r="E224" s="1854">
        <f>+E223</f>
        <v>14</v>
      </c>
      <c r="F224" s="1910"/>
      <c r="G224" s="1911">
        <v>50000</v>
      </c>
      <c r="H224" s="2208"/>
      <c r="I224" s="2208"/>
      <c r="J224" s="2209">
        <f>+F224*E224</f>
        <v>0</v>
      </c>
      <c r="K224" s="2209">
        <f>+G224*E224</f>
        <v>700000</v>
      </c>
      <c r="L224" s="2010"/>
      <c r="M224" s="2011"/>
      <c r="N224" s="2012"/>
      <c r="O224" s="2013"/>
      <c r="P224" s="2014"/>
      <c r="Q224" s="2215"/>
      <c r="R224" s="2215"/>
      <c r="S224" s="1919">
        <f t="shared" ref="S224:S226" si="275">+L224*E224</f>
        <v>0</v>
      </c>
      <c r="T224" s="1919">
        <f t="shared" ref="T224:T226" si="276">(+M224*$M$5+N224*$N$5+O224*$O$5+P224*$P$5)*E224</f>
        <v>0</v>
      </c>
    </row>
    <row r="225" spans="1:22" ht="12.75" customHeight="1">
      <c r="A225" s="1816"/>
      <c r="B225" s="1817"/>
      <c r="C225" s="2206" t="s">
        <v>299</v>
      </c>
      <c r="D225" s="1854" t="s">
        <v>198</v>
      </c>
      <c r="E225" s="1854">
        <f>+E223*3</f>
        <v>42</v>
      </c>
      <c r="F225" s="1910"/>
      <c r="G225" s="1911"/>
      <c r="H225" s="2208"/>
      <c r="I225" s="2208"/>
      <c r="J225" s="2209">
        <f>+F225*E225</f>
        <v>0</v>
      </c>
      <c r="K225" s="2209">
        <f>+G225*E225</f>
        <v>0</v>
      </c>
      <c r="L225" s="2010"/>
      <c r="M225" s="2011"/>
      <c r="N225" s="2012">
        <v>1</v>
      </c>
      <c r="O225" s="2013"/>
      <c r="P225" s="2014">
        <v>1</v>
      </c>
      <c r="Q225" s="2215"/>
      <c r="R225" s="2215"/>
      <c r="S225" s="1919">
        <f t="shared" si="275"/>
        <v>0</v>
      </c>
      <c r="T225" s="1919">
        <f t="shared" si="276"/>
        <v>4842368.3923920458</v>
      </c>
    </row>
    <row r="226" spans="1:22" ht="12.75" customHeight="1">
      <c r="A226" s="1818"/>
      <c r="B226" s="1819"/>
      <c r="C226" s="2230" t="s">
        <v>300</v>
      </c>
      <c r="D226" s="1859" t="s">
        <v>198</v>
      </c>
      <c r="E226" s="1859">
        <f>+E223*3</f>
        <v>42</v>
      </c>
      <c r="F226" s="1930"/>
      <c r="G226" s="1931"/>
      <c r="H226" s="2231"/>
      <c r="I226" s="2231"/>
      <c r="J226" s="2232">
        <f>+F226*E226</f>
        <v>0</v>
      </c>
      <c r="K226" s="2232">
        <f>+G226*E226</f>
        <v>0</v>
      </c>
      <c r="L226" s="1934"/>
      <c r="M226" s="1935"/>
      <c r="N226" s="1936"/>
      <c r="O226" s="1937"/>
      <c r="P226" s="1938">
        <v>1</v>
      </c>
      <c r="Q226" s="2233"/>
      <c r="R226" s="2233"/>
      <c r="S226" s="1940">
        <f t="shared" si="275"/>
        <v>0</v>
      </c>
      <c r="T226" s="1940">
        <f t="shared" si="276"/>
        <v>2097237.9635160225</v>
      </c>
    </row>
    <row r="227" spans="1:22" ht="12.75" customHeight="1">
      <c r="A227" s="1843">
        <f>+'01'!A208</f>
        <v>24.06</v>
      </c>
      <c r="B227" s="1843" t="str">
        <f>+'01'!B208</f>
        <v>OK</v>
      </c>
      <c r="C227" s="1844" t="str">
        <f>+'01'!C208</f>
        <v xml:space="preserve">Limpieza periodica </v>
      </c>
      <c r="D227" s="1843" t="str">
        <f>+'01'!D208</f>
        <v>mes</v>
      </c>
      <c r="E227" s="1843">
        <f>+'01'!E208</f>
        <v>14</v>
      </c>
      <c r="F227" s="1896"/>
      <c r="G227" s="1897"/>
      <c r="H227" s="1898">
        <f>+J227/E227</f>
        <v>0</v>
      </c>
      <c r="I227" s="1898">
        <f>+K227/E227</f>
        <v>25000</v>
      </c>
      <c r="J227" s="1824">
        <f>SUM(J228:J229)</f>
        <v>0</v>
      </c>
      <c r="K227" s="1824">
        <f>SUM(K228:K229)</f>
        <v>350000</v>
      </c>
      <c r="L227" s="2017"/>
      <c r="M227" s="2018"/>
      <c r="N227" s="2019"/>
      <c r="O227" s="2020"/>
      <c r="P227" s="2021"/>
      <c r="Q227" s="1898">
        <f>+U227/E227</f>
        <v>0</v>
      </c>
      <c r="R227" s="1898">
        <f>+V227/E227</f>
        <v>329565.96569537499</v>
      </c>
      <c r="S227" s="1964"/>
      <c r="T227" s="1964"/>
      <c r="U227" s="2197">
        <f>SUM(S228:S229)</f>
        <v>0</v>
      </c>
      <c r="V227" s="2197">
        <f>SUM(T228:T229)</f>
        <v>4613923.5197352497</v>
      </c>
    </row>
    <row r="228" spans="1:22" ht="12.75" customHeight="1">
      <c r="A228" s="1816"/>
      <c r="B228" s="1817"/>
      <c r="C228" s="2206" t="s">
        <v>298</v>
      </c>
      <c r="D228" s="1854" t="s">
        <v>61</v>
      </c>
      <c r="E228" s="1854">
        <f>+E227</f>
        <v>14</v>
      </c>
      <c r="F228" s="1910"/>
      <c r="G228" s="1911">
        <v>25000</v>
      </c>
      <c r="H228" s="2208"/>
      <c r="I228" s="2208"/>
      <c r="J228" s="2209">
        <f>+F228*E228</f>
        <v>0</v>
      </c>
      <c r="K228" s="2209">
        <f>+G228*E228</f>
        <v>350000</v>
      </c>
      <c r="L228" s="2010"/>
      <c r="M228" s="2011"/>
      <c r="N228" s="2012"/>
      <c r="O228" s="2013"/>
      <c r="P228" s="2014"/>
      <c r="Q228" s="2215"/>
      <c r="R228" s="2215"/>
      <c r="S228" s="1919">
        <f t="shared" ref="S228:S229" si="277">+L228*E228</f>
        <v>0</v>
      </c>
      <c r="T228" s="1919">
        <f t="shared" ref="T228:T229" si="278">(+M228*$M$5+N228*$N$5+O228*$O$5+P228*$P$5)*E228</f>
        <v>0</v>
      </c>
    </row>
    <row r="229" spans="1:22" ht="12.75" customHeight="1">
      <c r="A229" s="1818"/>
      <c r="B229" s="1819"/>
      <c r="C229" s="2230" t="s">
        <v>210</v>
      </c>
      <c r="D229" s="1859" t="s">
        <v>198</v>
      </c>
      <c r="E229" s="1859">
        <f>+E227*22</f>
        <v>308</v>
      </c>
      <c r="F229" s="1930"/>
      <c r="G229" s="1931"/>
      <c r="H229" s="2231"/>
      <c r="I229" s="2231"/>
      <c r="J229" s="2232">
        <f>+F229*E229</f>
        <v>0</v>
      </c>
      <c r="K229" s="2232">
        <f>+G229*E229</f>
        <v>0</v>
      </c>
      <c r="L229" s="1934"/>
      <c r="M229" s="1935"/>
      <c r="N229" s="1936"/>
      <c r="O229" s="1937"/>
      <c r="P229" s="1938">
        <v>0.3</v>
      </c>
      <c r="Q229" s="2233"/>
      <c r="R229" s="2233"/>
      <c r="S229" s="1940">
        <f t="shared" si="277"/>
        <v>0</v>
      </c>
      <c r="T229" s="1940">
        <f t="shared" si="278"/>
        <v>4613923.5197352497</v>
      </c>
    </row>
    <row r="230" spans="1:22" ht="12.75" customHeight="1">
      <c r="A230" s="1843">
        <f>+'01'!A209</f>
        <v>24.07</v>
      </c>
      <c r="B230" s="1843" t="str">
        <f>+'01'!B209</f>
        <v>OK</v>
      </c>
      <c r="C230" s="1844" t="str">
        <f>+'01'!C209</f>
        <v>Limpieza final de Obra</v>
      </c>
      <c r="D230" s="1843" t="str">
        <f>+'01'!D209</f>
        <v>gl</v>
      </c>
      <c r="E230" s="1843">
        <f>+'01'!E209</f>
        <v>0</v>
      </c>
      <c r="F230" s="1896"/>
      <c r="G230" s="1897"/>
      <c r="H230" s="1898" t="e">
        <f>+J230/E230</f>
        <v>#DIV/0!</v>
      </c>
      <c r="I230" s="1898" t="e">
        <f>+K230/E230</f>
        <v>#DIV/0!</v>
      </c>
      <c r="J230" s="1824">
        <f>SUM(J231:J232)</f>
        <v>250000</v>
      </c>
      <c r="K230" s="1824">
        <f>SUM(K231:K232)</f>
        <v>0</v>
      </c>
      <c r="L230" s="2017"/>
      <c r="M230" s="2018"/>
      <c r="N230" s="2019"/>
      <c r="O230" s="2020"/>
      <c r="P230" s="2021"/>
      <c r="Q230" s="1898" t="e">
        <f>+U230/E230</f>
        <v>#DIV/0!</v>
      </c>
      <c r="R230" s="1898" t="e">
        <f>+V230/E230</f>
        <v>#DIV/0!</v>
      </c>
      <c r="S230" s="1964"/>
      <c r="T230" s="1964"/>
      <c r="U230" s="2197">
        <f>SUM(S231:S232)</f>
        <v>0</v>
      </c>
      <c r="V230" s="2197">
        <f>SUM(T231:T232)</f>
        <v>2996054.2335943179</v>
      </c>
    </row>
    <row r="231" spans="1:22" ht="12.75" customHeight="1">
      <c r="A231" s="1816"/>
      <c r="B231" s="1817"/>
      <c r="C231" s="2206" t="s">
        <v>282</v>
      </c>
      <c r="D231" s="1854" t="s">
        <v>54</v>
      </c>
      <c r="E231" s="1854">
        <v>1</v>
      </c>
      <c r="F231" s="1910">
        <v>250000</v>
      </c>
      <c r="G231" s="1911"/>
      <c r="H231" s="2208"/>
      <c r="I231" s="2208"/>
      <c r="J231" s="2209">
        <f>+F231*E231</f>
        <v>250000</v>
      </c>
      <c r="K231" s="2209">
        <f>+G231*E231</f>
        <v>0</v>
      </c>
      <c r="L231" s="2010"/>
      <c r="M231" s="2011"/>
      <c r="N231" s="2012"/>
      <c r="O231" s="2013"/>
      <c r="P231" s="2014"/>
      <c r="Q231" s="2215"/>
      <c r="R231" s="2215"/>
      <c r="S231" s="1919">
        <f t="shared" ref="S231:S232" si="279">+L231*E231</f>
        <v>0</v>
      </c>
      <c r="T231" s="1919">
        <f t="shared" ref="T231:T232" si="280">(+M231*$M$5+N231*$N$5+O231*$O$5+P231*$P$5)*E231</f>
        <v>0</v>
      </c>
    </row>
    <row r="232" spans="1:22" ht="12.75" customHeight="1">
      <c r="A232" s="1818"/>
      <c r="B232" s="1819"/>
      <c r="C232" s="2230" t="s">
        <v>210</v>
      </c>
      <c r="D232" s="1859" t="s">
        <v>198</v>
      </c>
      <c r="E232" s="1859">
        <v>20</v>
      </c>
      <c r="F232" s="1930"/>
      <c r="G232" s="1931"/>
      <c r="H232" s="2231"/>
      <c r="I232" s="2231"/>
      <c r="J232" s="2232">
        <f>+F232*E232</f>
        <v>0</v>
      </c>
      <c r="K232" s="2232">
        <f>+G232*E232</f>
        <v>0</v>
      </c>
      <c r="L232" s="1934"/>
      <c r="M232" s="1935"/>
      <c r="N232" s="1936"/>
      <c r="O232" s="1937"/>
      <c r="P232" s="1938">
        <v>3</v>
      </c>
      <c r="Q232" s="2233"/>
      <c r="R232" s="2233"/>
      <c r="S232" s="1940">
        <f t="shared" si="279"/>
        <v>0</v>
      </c>
      <c r="T232" s="1940">
        <f t="shared" si="280"/>
        <v>2996054.2335943179</v>
      </c>
    </row>
    <row r="233" spans="1:22" ht="12.75" customHeight="1">
      <c r="A233" s="1843">
        <f>+'01'!A211</f>
        <v>24.09</v>
      </c>
      <c r="B233" s="1843" t="str">
        <f>+'01'!B211</f>
        <v>IN</v>
      </c>
      <c r="C233" s="1844" t="str">
        <f>+'01'!C211</f>
        <v>Alquiler de equipos - Montacargas, tubos de descarga y balancin</v>
      </c>
      <c r="D233" s="1843" t="str">
        <f>+'01'!D211</f>
        <v>mes</v>
      </c>
      <c r="E233" s="1843">
        <f>+'01'!E211</f>
        <v>4</v>
      </c>
      <c r="F233" s="1896"/>
      <c r="G233" s="1897"/>
      <c r="H233" s="1898">
        <f>+J233/E233</f>
        <v>0</v>
      </c>
      <c r="I233" s="1898">
        <f>+K233/E233</f>
        <v>0</v>
      </c>
      <c r="J233" s="1824">
        <f>SUM(J234:J236)</f>
        <v>0</v>
      </c>
      <c r="K233" s="1824">
        <f>SUM(K234:K236)</f>
        <v>0</v>
      </c>
      <c r="L233" s="2017"/>
      <c r="M233" s="2018"/>
      <c r="N233" s="2019"/>
      <c r="O233" s="2020"/>
      <c r="P233" s="2021"/>
      <c r="Q233" s="1898">
        <f>+U233/E233</f>
        <v>1658250</v>
      </c>
      <c r="R233" s="1898">
        <f>+V233/E233</f>
        <v>0</v>
      </c>
      <c r="S233" s="1964"/>
      <c r="T233" s="1964"/>
      <c r="U233" s="2197">
        <f>SUM(S234:S236)</f>
        <v>6633000</v>
      </c>
      <c r="V233" s="2197">
        <f>SUM(T234:T236)</f>
        <v>0</v>
      </c>
    </row>
    <row r="234" spans="1:22" ht="12.75" customHeight="1">
      <c r="A234" s="1816"/>
      <c r="B234" s="1817"/>
      <c r="C234" s="2206" t="s">
        <v>301</v>
      </c>
      <c r="D234" s="1854" t="s">
        <v>61</v>
      </c>
      <c r="E234" s="1854">
        <v>2</v>
      </c>
      <c r="F234" s="2234"/>
      <c r="G234" s="1911"/>
      <c r="H234" s="2208"/>
      <c r="I234" s="2208"/>
      <c r="J234" s="2209">
        <f t="shared" ref="J234:J236" si="281">+F234*E234</f>
        <v>0</v>
      </c>
      <c r="K234" s="2209">
        <f t="shared" ref="K234:K236" si="282">+G234*E234</f>
        <v>0</v>
      </c>
      <c r="L234" s="2235">
        <f>1300*GGBB!G4</f>
        <v>1306500</v>
      </c>
      <c r="M234" s="2011"/>
      <c r="N234" s="2012"/>
      <c r="O234" s="2013"/>
      <c r="P234" s="2014"/>
      <c r="Q234" s="2215"/>
      <c r="R234" s="2215"/>
      <c r="S234" s="1919">
        <f t="shared" ref="S234" si="283">+L234*E234</f>
        <v>2613000</v>
      </c>
      <c r="T234" s="1919">
        <f t="shared" ref="T234" si="284">(+M234*$M$5+N234*$N$5+O234*$O$5+P234*$P$5)*E234</f>
        <v>0</v>
      </c>
    </row>
    <row r="235" spans="1:22" ht="12.75" customHeight="1">
      <c r="A235" s="1816"/>
      <c r="B235" s="1817"/>
      <c r="C235" s="2206" t="s">
        <v>302</v>
      </c>
      <c r="D235" s="1854" t="s">
        <v>61</v>
      </c>
      <c r="E235" s="1854">
        <v>4</v>
      </c>
      <c r="F235" s="1910"/>
      <c r="G235" s="1911"/>
      <c r="H235" s="2208"/>
      <c r="I235" s="2208"/>
      <c r="J235" s="2209">
        <f t="shared" si="281"/>
        <v>0</v>
      </c>
      <c r="K235" s="2209">
        <f t="shared" si="282"/>
        <v>0</v>
      </c>
      <c r="L235" s="2235">
        <f>1000*GGBB!G4</f>
        <v>1005000</v>
      </c>
      <c r="M235" s="2011"/>
      <c r="N235" s="2012"/>
      <c r="O235" s="2013"/>
      <c r="P235" s="2014"/>
      <c r="Q235" s="2215"/>
      <c r="R235" s="2215"/>
      <c r="S235" s="1919">
        <f t="shared" ref="S235" si="285">+L235*E235</f>
        <v>4020000</v>
      </c>
      <c r="T235" s="1919">
        <f t="shared" ref="T235" si="286">(+M235*$M$5+N235*$N$5+O235*$O$5+P235*$P$5)*E235</f>
        <v>0</v>
      </c>
    </row>
    <row r="236" spans="1:22" ht="12.75" customHeight="1">
      <c r="A236" s="1818"/>
      <c r="B236" s="1819"/>
      <c r="C236" s="2230" t="s">
        <v>303</v>
      </c>
      <c r="D236" s="1859" t="s">
        <v>61</v>
      </c>
      <c r="E236" s="1859">
        <v>0</v>
      </c>
      <c r="F236" s="1930"/>
      <c r="G236" s="1931"/>
      <c r="H236" s="2231"/>
      <c r="I236" s="2231"/>
      <c r="J236" s="2232">
        <f t="shared" si="281"/>
        <v>0</v>
      </c>
      <c r="K236" s="2232">
        <f t="shared" si="282"/>
        <v>0</v>
      </c>
      <c r="L236" s="2175"/>
      <c r="M236" s="1935"/>
      <c r="N236" s="1936"/>
      <c r="O236" s="1937"/>
      <c r="P236" s="1938"/>
      <c r="Q236" s="2233"/>
      <c r="R236" s="2233"/>
      <c r="S236" s="1940">
        <f t="shared" ref="S236" si="287">+L236*E236</f>
        <v>0</v>
      </c>
      <c r="T236" s="1940">
        <f t="shared" ref="T236" si="288">(+M236*$M$5+N236*$N$5+O236*$O$5+P236*$P$5)*E236</f>
        <v>0</v>
      </c>
    </row>
    <row r="237" spans="1:22" ht="12.75" customHeight="1">
      <c r="A237" s="1843">
        <f>+'01'!A212</f>
        <v>24.1</v>
      </c>
      <c r="B237" s="1843" t="str">
        <f>+'01'!B212</f>
        <v>OK</v>
      </c>
      <c r="C237" s="1860" t="str">
        <f>+'01'!C212</f>
        <v>Volquetes</v>
      </c>
      <c r="D237" s="1843" t="str">
        <f>+'01'!D212</f>
        <v>mes</v>
      </c>
      <c r="E237" s="1843">
        <f>+'01'!E212</f>
        <v>14</v>
      </c>
      <c r="F237" s="1896"/>
      <c r="G237" s="1897"/>
      <c r="H237" s="1898">
        <f>+J237/E237</f>
        <v>130000</v>
      </c>
      <c r="I237" s="1898">
        <f>+K237/E237</f>
        <v>0</v>
      </c>
      <c r="J237" s="1824">
        <f>SUM(J238:J240)</f>
        <v>1820000</v>
      </c>
      <c r="K237" s="1824">
        <f>SUM(K238:K240)</f>
        <v>0</v>
      </c>
      <c r="L237" s="2017"/>
      <c r="M237" s="2018"/>
      <c r="N237" s="2019"/>
      <c r="O237" s="2020"/>
      <c r="P237" s="2021"/>
      <c r="Q237" s="1898">
        <f>+U237/E237</f>
        <v>0</v>
      </c>
      <c r="R237" s="1898">
        <f>+V237/E237</f>
        <v>99868.474453143936</v>
      </c>
      <c r="S237" s="2017"/>
      <c r="T237" s="2017"/>
      <c r="U237" s="1906">
        <f>+SUM(S238:S238)</f>
        <v>0</v>
      </c>
      <c r="V237" s="2197">
        <f>SUM(T238:T238)</f>
        <v>1398158.6423440152</v>
      </c>
    </row>
    <row r="238" spans="1:22" ht="12.75" customHeight="1">
      <c r="A238" s="1818"/>
      <c r="B238" s="1819"/>
      <c r="C238" s="2230" t="s">
        <v>304</v>
      </c>
      <c r="D238" s="1859" t="s">
        <v>77</v>
      </c>
      <c r="E238" s="1859">
        <f>+E237*2</f>
        <v>28</v>
      </c>
      <c r="F238" s="1930">
        <v>65000</v>
      </c>
      <c r="G238" s="1931"/>
      <c r="H238" s="2231"/>
      <c r="I238" s="2231"/>
      <c r="J238" s="2232">
        <f>+F238*E238</f>
        <v>1820000</v>
      </c>
      <c r="K238" s="2232">
        <f>+G238*E238</f>
        <v>0</v>
      </c>
      <c r="L238" s="1934"/>
      <c r="M238" s="1935"/>
      <c r="N238" s="1936"/>
      <c r="O238" s="1937"/>
      <c r="P238" s="1938">
        <v>1</v>
      </c>
      <c r="Q238" s="2233"/>
      <c r="R238" s="2233"/>
      <c r="S238" s="1940">
        <f t="shared" ref="S238" si="289">+L238*E238</f>
        <v>0</v>
      </c>
      <c r="T238" s="1940">
        <f t="shared" ref="T238" si="290">(+M238*$M$5+N238*$N$5+O238*$O$5+P238*$P$5)*E238</f>
        <v>1398158.6423440152</v>
      </c>
    </row>
  </sheetData>
  <mergeCells count="6">
    <mergeCell ref="H5:I5"/>
    <mergeCell ref="J5:K5"/>
    <mergeCell ref="Q5:R5"/>
    <mergeCell ref="S5:T5"/>
    <mergeCell ref="H4:K4"/>
    <mergeCell ref="Q4:T4"/>
  </mergeCells>
  <conditionalFormatting sqref="D3:D6 D121">
    <cfRule type="cellIs" dxfId="11" priority="33" operator="equal">
      <formula>"x"</formula>
    </cfRule>
  </conditionalFormatting>
  <conditionalFormatting sqref="D89">
    <cfRule type="cellIs" dxfId="10" priority="3" operator="equal">
      <formula>"x"</formula>
    </cfRule>
  </conditionalFormatting>
  <conditionalFormatting sqref="D100">
    <cfRule type="cellIs" dxfId="9" priority="5" operator="equal">
      <formula>"x"</formula>
    </cfRule>
  </conditionalFormatting>
  <conditionalFormatting sqref="D134">
    <cfRule type="cellIs" dxfId="8" priority="1" operator="equal">
      <formula>"x"</formula>
    </cfRule>
  </conditionalFormatting>
  <conditionalFormatting sqref="D160">
    <cfRule type="cellIs" dxfId="7" priority="15" operator="equal">
      <formula>"x"</formula>
    </cfRule>
  </conditionalFormatting>
  <conditionalFormatting sqref="D170">
    <cfRule type="cellIs" dxfId="6" priority="2" operator="equal">
      <formula>"x"</formula>
    </cfRule>
  </conditionalFormatting>
  <pageMargins left="0.45" right="0.25" top="0.63" bottom="0.55118110236220474" header="0.31496062992125984" footer="0.31496062992125984"/>
  <pageSetup paperSize="9" fitToHeight="8" orientation="landscape" r:id="rId1"/>
  <headerFooter>
    <oddFooter>&amp;C&amp;P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2:AT100"/>
  <sheetViews>
    <sheetView workbookViewId="0"/>
  </sheetViews>
  <sheetFormatPr defaultColWidth="10.7265625" defaultRowHeight="14.5"/>
  <cols>
    <col min="1" max="1" width="5" style="1346" customWidth="1"/>
    <col min="2" max="2" width="43.26953125" style="1347" bestFit="1" customWidth="1"/>
    <col min="3" max="3" width="4.26953125" style="1346" bestFit="1" customWidth="1"/>
    <col min="4" max="4" width="5.7265625" style="64" bestFit="1" customWidth="1"/>
    <col min="5" max="5" width="6.54296875" style="64" bestFit="1" customWidth="1"/>
    <col min="6" max="6" width="13.54296875" style="283" bestFit="1" customWidth="1"/>
    <col min="7" max="7" width="16.1796875" style="64" bestFit="1" customWidth="1"/>
    <col min="8" max="8" width="14.7265625" style="64" customWidth="1"/>
    <col min="9" max="9" width="13.453125" style="64" bestFit="1" customWidth="1"/>
    <col min="10" max="10" width="11.54296875" style="90" bestFit="1" customWidth="1"/>
    <col min="11" max="11" width="15.81640625" style="90" bestFit="1" customWidth="1"/>
    <col min="12" max="12" width="17.7265625" style="64" customWidth="1"/>
    <col min="13" max="13" width="27.1796875" style="1346" bestFit="1" customWidth="1"/>
    <col min="14" max="14" width="6.81640625" style="1346" bestFit="1" customWidth="1"/>
    <col min="15" max="15" width="9.1796875" style="1346" bestFit="1" customWidth="1"/>
    <col min="16" max="16" width="17.26953125" style="1346" bestFit="1" customWidth="1"/>
    <col min="17" max="17" width="14.453125" style="1346" bestFit="1" customWidth="1"/>
    <col min="18" max="18" width="27.54296875" style="1346" bestFit="1" customWidth="1"/>
    <col min="19" max="19" width="14.81640625" style="1346" bestFit="1" customWidth="1"/>
    <col min="20" max="16384" width="10.7265625" style="1346"/>
  </cols>
  <sheetData>
    <row r="2" spans="1:46" s="5" customFormat="1" ht="13">
      <c r="A2" s="4"/>
      <c r="B2" s="313"/>
      <c r="C2" s="6"/>
      <c r="D2" s="46"/>
      <c r="E2" s="46"/>
      <c r="F2" s="284"/>
      <c r="G2" s="48"/>
      <c r="H2" s="49">
        <v>45590</v>
      </c>
      <c r="I2" s="47"/>
      <c r="J2" s="48"/>
      <c r="K2" s="48"/>
      <c r="M2" s="47"/>
      <c r="N2" s="57"/>
      <c r="O2" s="57">
        <v>22</v>
      </c>
      <c r="P2" s="57"/>
      <c r="Q2" s="48"/>
      <c r="R2" s="52"/>
      <c r="S2" s="53"/>
      <c r="T2" s="51"/>
      <c r="U2" s="54"/>
      <c r="V2" s="55"/>
      <c r="W2" s="55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</row>
    <row r="3" spans="1:46" s="5" customFormat="1" ht="15" customHeight="1">
      <c r="A3" s="4"/>
      <c r="B3" s="314"/>
      <c r="C3" s="6"/>
      <c r="D3" s="46"/>
      <c r="E3" s="46"/>
      <c r="F3" s="321" t="s">
        <v>305</v>
      </c>
      <c r="G3" s="222" t="s">
        <v>30</v>
      </c>
      <c r="H3" s="222" t="s">
        <v>1</v>
      </c>
      <c r="I3" s="57"/>
      <c r="J3" s="57"/>
      <c r="K3" s="57"/>
      <c r="M3" s="222" t="s">
        <v>307</v>
      </c>
      <c r="N3" s="224" t="s">
        <v>308</v>
      </c>
      <c r="O3" s="224" t="s">
        <v>309</v>
      </c>
      <c r="Q3" s="48"/>
      <c r="R3" s="47"/>
      <c r="S3" s="58"/>
      <c r="T3" s="59"/>
      <c r="U3" s="50"/>
      <c r="V3" s="60"/>
      <c r="W3" s="61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</row>
    <row r="4" spans="1:46" s="5" customFormat="1" ht="15" customHeight="1">
      <c r="A4" s="4"/>
      <c r="B4" s="314" t="s">
        <v>306</v>
      </c>
      <c r="C4" s="6"/>
      <c r="D4" s="46"/>
      <c r="E4" s="46"/>
      <c r="F4" s="446">
        <v>14</v>
      </c>
      <c r="G4" s="211">
        <v>1005</v>
      </c>
      <c r="H4" s="211">
        <v>1170</v>
      </c>
      <c r="I4" s="145"/>
      <c r="J4" s="145"/>
      <c r="K4" s="62"/>
      <c r="M4" s="497" t="s">
        <v>310</v>
      </c>
      <c r="N4" s="1345">
        <v>0.75</v>
      </c>
      <c r="O4" s="1345">
        <f t="shared" ref="O4:O17" si="0">+N4*$O$2</f>
        <v>16.5</v>
      </c>
      <c r="P4" s="1346"/>
      <c r="Q4" s="62" t="s">
        <v>2006</v>
      </c>
      <c r="R4" s="62"/>
      <c r="S4" s="63"/>
      <c r="T4" s="59"/>
      <c r="U4" s="50"/>
      <c r="V4" s="60"/>
      <c r="W4" s="61"/>
      <c r="X4" s="15"/>
      <c r="Y4" s="15"/>
      <c r="Z4" s="15"/>
      <c r="AA4" s="15"/>
      <c r="AB4" s="15"/>
      <c r="AC4" s="225"/>
      <c r="AD4" s="226"/>
      <c r="AE4" s="225"/>
      <c r="AF4" s="226"/>
      <c r="AG4" s="225"/>
      <c r="AH4" s="226"/>
      <c r="AI4" s="15"/>
      <c r="AJ4" s="225"/>
      <c r="AK4" s="226"/>
      <c r="AL4" s="225"/>
      <c r="AM4" s="226"/>
      <c r="AN4" s="225"/>
      <c r="AO4" s="226"/>
      <c r="AP4" s="225"/>
      <c r="AQ4" s="226"/>
      <c r="AR4" s="15"/>
      <c r="AS4" s="15"/>
      <c r="AT4" s="15"/>
    </row>
    <row r="5" spans="1:46">
      <c r="M5" s="847" t="s">
        <v>1594</v>
      </c>
      <c r="N5" s="1348">
        <v>2.5</v>
      </c>
      <c r="O5" s="1348">
        <f t="shared" si="0"/>
        <v>55</v>
      </c>
      <c r="P5" s="64"/>
      <c r="Q5" s="1349">
        <f>+ROUNDUP(SUM(N4:N5),0)</f>
        <v>4</v>
      </c>
    </row>
    <row r="6" spans="1:46" s="64" customFormat="1">
      <c r="B6" s="315" t="s">
        <v>311</v>
      </c>
      <c r="C6" s="227" t="s">
        <v>42</v>
      </c>
      <c r="D6" s="228" t="s">
        <v>43</v>
      </c>
      <c r="E6" s="228"/>
      <c r="F6" s="447" t="s">
        <v>312</v>
      </c>
      <c r="G6" s="228" t="s">
        <v>13</v>
      </c>
      <c r="H6" s="32">
        <f>SUM(G7:G10)</f>
        <v>0</v>
      </c>
      <c r="I6" s="65"/>
      <c r="J6" s="65"/>
      <c r="K6" s="30"/>
      <c r="M6" s="847" t="s">
        <v>314</v>
      </c>
      <c r="N6" s="1348">
        <v>0</v>
      </c>
      <c r="O6" s="1348">
        <f t="shared" si="0"/>
        <v>0</v>
      </c>
    </row>
    <row r="7" spans="1:46" s="64" customFormat="1">
      <c r="B7" s="1350" t="s">
        <v>313</v>
      </c>
      <c r="C7" s="1351" t="s">
        <v>61</v>
      </c>
      <c r="D7" s="66">
        <f>+$F$4</f>
        <v>14</v>
      </c>
      <c r="E7" s="66">
        <v>0</v>
      </c>
      <c r="F7" s="286">
        <f>E7*I7+J7</f>
        <v>0</v>
      </c>
      <c r="G7" s="448">
        <f>+F7*D7*E7</f>
        <v>0</v>
      </c>
      <c r="H7" s="65"/>
      <c r="I7" s="68"/>
      <c r="J7" s="65"/>
      <c r="K7" s="30"/>
      <c r="M7" s="651" t="s">
        <v>316</v>
      </c>
      <c r="N7" s="1348">
        <v>1</v>
      </c>
      <c r="O7" s="1348">
        <f t="shared" si="0"/>
        <v>22</v>
      </c>
    </row>
    <row r="8" spans="1:46" s="64" customFormat="1">
      <c r="B8" s="1352" t="s">
        <v>315</v>
      </c>
      <c r="C8" s="1353" t="s">
        <v>61</v>
      </c>
      <c r="D8" s="66">
        <f t="shared" ref="D8" si="1">+$F$4</f>
        <v>14</v>
      </c>
      <c r="E8" s="67">
        <v>0</v>
      </c>
      <c r="F8" s="286">
        <f>E8*I8+J8</f>
        <v>0</v>
      </c>
      <c r="G8" s="448">
        <f t="shared" ref="G8:G18" si="2">+F8*D8*E8</f>
        <v>0</v>
      </c>
      <c r="H8" s="65"/>
      <c r="I8" s="68"/>
      <c r="J8" s="65"/>
      <c r="M8" s="651" t="s">
        <v>318</v>
      </c>
      <c r="N8" s="1348">
        <v>1</v>
      </c>
      <c r="O8" s="1348">
        <f t="shared" si="0"/>
        <v>22</v>
      </c>
    </row>
    <row r="9" spans="1:46" s="64" customFormat="1">
      <c r="B9" s="1352" t="s">
        <v>317</v>
      </c>
      <c r="C9" s="1353" t="s">
        <v>61</v>
      </c>
      <c r="D9" s="66">
        <f>+$F$4</f>
        <v>14</v>
      </c>
      <c r="E9" s="67">
        <v>1</v>
      </c>
      <c r="F9" s="286">
        <f>E9*I9+J9</f>
        <v>0</v>
      </c>
      <c r="G9" s="448">
        <f t="shared" si="2"/>
        <v>0</v>
      </c>
      <c r="H9" s="65"/>
      <c r="I9" s="65"/>
      <c r="J9" s="65"/>
      <c r="M9" s="651" t="s">
        <v>320</v>
      </c>
      <c r="N9" s="1348">
        <v>0.75</v>
      </c>
      <c r="O9" s="1348">
        <f t="shared" si="0"/>
        <v>16.5</v>
      </c>
    </row>
    <row r="10" spans="1:46" s="64" customFormat="1">
      <c r="B10" s="1352" t="s">
        <v>319</v>
      </c>
      <c r="C10" s="1353" t="s">
        <v>61</v>
      </c>
      <c r="D10" s="66">
        <f>+$F$4</f>
        <v>14</v>
      </c>
      <c r="E10" s="67">
        <v>2</v>
      </c>
      <c r="F10" s="286">
        <f>E10*I10+J10</f>
        <v>0</v>
      </c>
      <c r="G10" s="448">
        <f t="shared" si="2"/>
        <v>0</v>
      </c>
      <c r="H10" s="65"/>
      <c r="I10" s="65"/>
      <c r="J10" s="65"/>
      <c r="M10" s="651" t="s">
        <v>321</v>
      </c>
      <c r="N10" s="1348">
        <v>0.75</v>
      </c>
      <c r="O10" s="1348">
        <f t="shared" si="0"/>
        <v>16.5</v>
      </c>
      <c r="P10" s="64" t="s">
        <v>324</v>
      </c>
    </row>
    <row r="11" spans="1:46" s="64" customFormat="1">
      <c r="B11" s="453" t="s">
        <v>311</v>
      </c>
      <c r="C11" s="267"/>
      <c r="D11" s="454"/>
      <c r="E11" s="454"/>
      <c r="F11" s="274"/>
      <c r="G11" s="735"/>
      <c r="H11" s="69">
        <f>SUM(G12:G18)</f>
        <v>16192179.259200001</v>
      </c>
      <c r="I11" s="65"/>
      <c r="J11" s="65"/>
      <c r="K11" s="30"/>
      <c r="M11" s="651" t="s">
        <v>323</v>
      </c>
      <c r="N11" s="1348">
        <v>0.75</v>
      </c>
      <c r="O11" s="1348">
        <f t="shared" si="0"/>
        <v>16.5</v>
      </c>
      <c r="Q11" s="64" t="s">
        <v>1824</v>
      </c>
      <c r="R11" s="64" t="s">
        <v>1825</v>
      </c>
    </row>
    <row r="12" spans="1:46" s="64" customFormat="1">
      <c r="B12" s="1354" t="s">
        <v>322</v>
      </c>
      <c r="C12" s="1355" t="s">
        <v>61</v>
      </c>
      <c r="D12" s="450">
        <v>4</v>
      </c>
      <c r="E12" s="450">
        <v>1</v>
      </c>
      <c r="F12" s="288"/>
      <c r="G12" s="286">
        <f t="shared" ref="G12:G13" si="3">+F12*D12*E12</f>
        <v>0</v>
      </c>
      <c r="H12" s="65"/>
      <c r="J12" s="412">
        <f>+'P.MO 09.24'!C9</f>
        <v>2578960.5819999999</v>
      </c>
      <c r="K12" s="66">
        <f>+J12*D12*E12</f>
        <v>10315842.328</v>
      </c>
      <c r="M12" s="651" t="s">
        <v>1736</v>
      </c>
      <c r="N12" s="1348">
        <v>0.5</v>
      </c>
      <c r="O12" s="1348">
        <f t="shared" si="0"/>
        <v>11</v>
      </c>
      <c r="Q12" s="64">
        <f>+SUM(N4:N12)</f>
        <v>8</v>
      </c>
      <c r="R12" s="64">
        <f>+Q12/2</f>
        <v>4</v>
      </c>
    </row>
    <row r="13" spans="1:46" s="64" customFormat="1">
      <c r="B13" s="1352" t="s">
        <v>325</v>
      </c>
      <c r="C13" s="1353" t="s">
        <v>61</v>
      </c>
      <c r="D13" s="67">
        <f t="shared" ref="D13:D18" si="4">+$F$4</f>
        <v>14</v>
      </c>
      <c r="E13" s="67">
        <v>1</v>
      </c>
      <c r="F13" s="286"/>
      <c r="G13" s="286">
        <f t="shared" si="3"/>
        <v>0</v>
      </c>
      <c r="H13" s="65"/>
      <c r="J13" s="736">
        <v>150000</v>
      </c>
      <c r="K13" s="286">
        <f>+J13*D13*E13</f>
        <v>2100000</v>
      </c>
      <c r="M13" s="847" t="s">
        <v>1747</v>
      </c>
      <c r="N13" s="1348">
        <v>2</v>
      </c>
      <c r="O13" s="1348">
        <f t="shared" si="0"/>
        <v>44</v>
      </c>
    </row>
    <row r="14" spans="1:46" s="64" customFormat="1">
      <c r="B14" s="1352" t="s">
        <v>326</v>
      </c>
      <c r="C14" s="1353" t="s">
        <v>61</v>
      </c>
      <c r="D14" s="67">
        <f>+F4</f>
        <v>14</v>
      </c>
      <c r="E14" s="67">
        <v>0.5</v>
      </c>
      <c r="F14" s="286">
        <v>200000</v>
      </c>
      <c r="G14" s="286">
        <f t="shared" si="2"/>
        <v>1400000</v>
      </c>
      <c r="H14" s="65"/>
      <c r="I14" s="78">
        <f t="shared" ref="I14" si="5">+G14/$H$4</f>
        <v>1196.5811965811965</v>
      </c>
      <c r="J14" s="30"/>
      <c r="K14" s="30"/>
      <c r="M14" s="847" t="s">
        <v>331</v>
      </c>
      <c r="N14" s="1348">
        <v>2</v>
      </c>
      <c r="O14" s="1348">
        <f t="shared" si="0"/>
        <v>44</v>
      </c>
      <c r="P14" s="64">
        <f>+SUM(N13:N14)</f>
        <v>4</v>
      </c>
    </row>
    <row r="15" spans="1:46" s="64" customFormat="1">
      <c r="B15" s="1352" t="s">
        <v>327</v>
      </c>
      <c r="C15" s="1353" t="s">
        <v>61</v>
      </c>
      <c r="D15" s="67">
        <f t="shared" si="4"/>
        <v>14</v>
      </c>
      <c r="E15" s="67">
        <v>1</v>
      </c>
      <c r="F15" s="286">
        <v>25000</v>
      </c>
      <c r="G15" s="286">
        <f t="shared" si="2"/>
        <v>350000</v>
      </c>
      <c r="H15" s="65"/>
      <c r="I15" s="78"/>
      <c r="J15" s="30"/>
      <c r="K15" s="30"/>
      <c r="M15" s="847" t="s">
        <v>332</v>
      </c>
      <c r="N15" s="1348">
        <v>0</v>
      </c>
      <c r="O15" s="1348">
        <f t="shared" si="0"/>
        <v>0</v>
      </c>
    </row>
    <row r="16" spans="1:46" s="64" customFormat="1">
      <c r="B16" s="1352" t="s">
        <v>328</v>
      </c>
      <c r="C16" s="1353" t="s">
        <v>61</v>
      </c>
      <c r="D16" s="67">
        <f t="shared" si="4"/>
        <v>14</v>
      </c>
      <c r="E16" s="67">
        <v>0</v>
      </c>
      <c r="F16" s="286">
        <v>10000</v>
      </c>
      <c r="G16" s="286">
        <f t="shared" si="2"/>
        <v>0</v>
      </c>
      <c r="H16" s="65"/>
      <c r="I16" s="65"/>
      <c r="J16" s="30"/>
      <c r="K16" s="30"/>
      <c r="M16" s="847" t="s">
        <v>1746</v>
      </c>
      <c r="N16" s="1348">
        <v>2</v>
      </c>
      <c r="O16" s="1348">
        <f t="shared" si="0"/>
        <v>44</v>
      </c>
    </row>
    <row r="17" spans="2:15" s="64" customFormat="1">
      <c r="B17" s="1352" t="s">
        <v>329</v>
      </c>
      <c r="C17" s="1353" t="s">
        <v>61</v>
      </c>
      <c r="D17" s="67">
        <f t="shared" si="4"/>
        <v>14</v>
      </c>
      <c r="E17" s="67">
        <v>0</v>
      </c>
      <c r="F17" s="116">
        <f>+'P.MO 09.24'!C9</f>
        <v>2578960.5819999999</v>
      </c>
      <c r="G17" s="286">
        <f t="shared" si="2"/>
        <v>0</v>
      </c>
      <c r="H17" s="65"/>
      <c r="K17" s="30"/>
      <c r="M17" s="847" t="s">
        <v>334</v>
      </c>
      <c r="N17" s="115">
        <v>2</v>
      </c>
      <c r="O17" s="1348">
        <f t="shared" si="0"/>
        <v>44</v>
      </c>
    </row>
    <row r="18" spans="2:15" s="64" customFormat="1">
      <c r="B18" s="1352" t="s">
        <v>330</v>
      </c>
      <c r="C18" s="1353" t="s">
        <v>61</v>
      </c>
      <c r="D18" s="67">
        <f t="shared" si="4"/>
        <v>14</v>
      </c>
      <c r="E18" s="1328">
        <v>0.4</v>
      </c>
      <c r="F18" s="116">
        <f>+'P.MO 09.24'!C9</f>
        <v>2578960.5819999999</v>
      </c>
      <c r="G18" s="286">
        <f t="shared" si="2"/>
        <v>14442179.259200001</v>
      </c>
      <c r="H18" s="65"/>
      <c r="I18" s="78">
        <f>+G18/$H$4</f>
        <v>12343.742956581198</v>
      </c>
      <c r="J18" s="30"/>
      <c r="K18" s="30"/>
      <c r="M18" s="848" t="s">
        <v>336</v>
      </c>
      <c r="N18" s="115">
        <v>0</v>
      </c>
      <c r="O18" s="1356">
        <f>+L18*$O$2</f>
        <v>0</v>
      </c>
    </row>
    <row r="19" spans="2:15" s="64" customFormat="1">
      <c r="B19" s="451" t="s">
        <v>333</v>
      </c>
      <c r="C19" s="1357"/>
      <c r="D19" s="452"/>
      <c r="E19" s="452"/>
      <c r="F19" s="289"/>
      <c r="G19" s="737"/>
      <c r="H19" s="32">
        <f>SUM(G20:G30)</f>
        <v>38913603.305449083</v>
      </c>
      <c r="I19" s="65"/>
      <c r="J19" s="30"/>
      <c r="K19" s="30"/>
      <c r="N19" s="827">
        <f>SUM(N4:N18)</f>
        <v>16</v>
      </c>
      <c r="O19" s="827">
        <f>SUM(O4:O18)</f>
        <v>352</v>
      </c>
    </row>
    <row r="20" spans="2:15" s="64" customFormat="1">
      <c r="B20" s="1354" t="s">
        <v>335</v>
      </c>
      <c r="C20" s="1355" t="s">
        <v>61</v>
      </c>
      <c r="D20" s="450">
        <f>+$F$4</f>
        <v>14</v>
      </c>
      <c r="E20" s="860">
        <v>0.15</v>
      </c>
      <c r="F20" s="288">
        <f>+'P.MO 09.24'!C11</f>
        <v>4680364.0999999996</v>
      </c>
      <c r="G20" s="288">
        <f>+F20*D20*E20</f>
        <v>9828764.6099999975</v>
      </c>
      <c r="H20" s="65"/>
      <c r="I20" s="78">
        <f t="shared" ref="I20" si="6">+G20/$H$4</f>
        <v>8400.6535128205105</v>
      </c>
      <c r="J20" s="65"/>
      <c r="K20" s="30"/>
    </row>
    <row r="21" spans="2:15" s="64" customFormat="1">
      <c r="B21" s="1352" t="s">
        <v>337</v>
      </c>
      <c r="C21" s="1353" t="s">
        <v>61</v>
      </c>
      <c r="D21" s="67">
        <f>+$F$4</f>
        <v>14</v>
      </c>
      <c r="E21" s="67">
        <v>1</v>
      </c>
      <c r="F21" s="1364"/>
      <c r="G21" s="286">
        <f>+F21*D21*E21</f>
        <v>0</v>
      </c>
      <c r="H21" s="65"/>
      <c r="J21" s="736">
        <f>+'P.MO 09.24'!C10</f>
        <v>3798370.5819999999</v>
      </c>
      <c r="K21" s="286">
        <f>+J21*D21*E21</f>
        <v>53177188.148000002</v>
      </c>
    </row>
    <row r="22" spans="2:15" s="64" customFormat="1">
      <c r="B22" s="1352" t="s">
        <v>338</v>
      </c>
      <c r="C22" s="1353" t="s">
        <v>61</v>
      </c>
      <c r="D22" s="67">
        <f t="shared" ref="D22:D29" si="7">+$F$4</f>
        <v>14</v>
      </c>
      <c r="E22" s="1328">
        <v>0</v>
      </c>
      <c r="F22" s="286">
        <f>+'P.MO 09.24'!C9</f>
        <v>2578960.5819999999</v>
      </c>
      <c r="G22" s="286">
        <f t="shared" ref="G22:G28" si="8">+F22*D22*E22</f>
        <v>0</v>
      </c>
      <c r="H22" s="65"/>
      <c r="I22" s="444"/>
      <c r="J22" s="444"/>
      <c r="K22" s="30"/>
    </row>
    <row r="23" spans="2:15" s="64" customFormat="1">
      <c r="B23" s="1352" t="s">
        <v>339</v>
      </c>
      <c r="C23" s="1353" t="s">
        <v>61</v>
      </c>
      <c r="D23" s="67">
        <f t="shared" si="7"/>
        <v>14</v>
      </c>
      <c r="E23" s="67">
        <v>0</v>
      </c>
      <c r="F23" s="286">
        <f>+F22</f>
        <v>2578960.5819999999</v>
      </c>
      <c r="G23" s="286">
        <f t="shared" si="8"/>
        <v>0</v>
      </c>
      <c r="H23" s="65"/>
      <c r="I23" s="444"/>
      <c r="J23" s="444"/>
      <c r="K23" s="30"/>
      <c r="L23" s="87"/>
    </row>
    <row r="24" spans="2:15" s="64" customFormat="1">
      <c r="B24" s="1352" t="s">
        <v>340</v>
      </c>
      <c r="C24" s="1353" t="s">
        <v>61</v>
      </c>
      <c r="D24" s="67">
        <f t="shared" si="7"/>
        <v>14</v>
      </c>
      <c r="E24" s="1328">
        <v>0.5</v>
      </c>
      <c r="F24" s="286">
        <f>+'P.MO 09.24'!C12</f>
        <v>3154976.9564927267</v>
      </c>
      <c r="G24" s="286">
        <f t="shared" si="8"/>
        <v>22084838.695449088</v>
      </c>
      <c r="H24" s="65"/>
      <c r="I24" s="78">
        <f t="shared" ref="I24:I26" si="9">+G24/$H$4</f>
        <v>18875.930508930844</v>
      </c>
      <c r="J24" s="444"/>
      <c r="K24" s="30"/>
    </row>
    <row r="25" spans="2:15" s="64" customFormat="1">
      <c r="B25" s="1352" t="s">
        <v>341</v>
      </c>
      <c r="C25" s="1353" t="s">
        <v>61</v>
      </c>
      <c r="D25" s="67">
        <f t="shared" si="7"/>
        <v>14</v>
      </c>
      <c r="E25" s="67">
        <v>0.5</v>
      </c>
      <c r="F25" s="286">
        <v>500000</v>
      </c>
      <c r="G25" s="286">
        <f t="shared" si="8"/>
        <v>3500000</v>
      </c>
      <c r="H25" s="65"/>
      <c r="I25" s="78">
        <f t="shared" si="9"/>
        <v>2991.4529914529912</v>
      </c>
      <c r="J25" s="444"/>
      <c r="K25" s="30"/>
    </row>
    <row r="26" spans="2:15" s="64" customFormat="1">
      <c r="B26" s="1352" t="s">
        <v>342</v>
      </c>
      <c r="C26" s="1353" t="s">
        <v>61</v>
      </c>
      <c r="D26" s="67">
        <f t="shared" si="7"/>
        <v>14</v>
      </c>
      <c r="E26" s="67">
        <v>0.5</v>
      </c>
      <c r="F26" s="286">
        <f>F25</f>
        <v>500000</v>
      </c>
      <c r="G26" s="286">
        <f>+F26*D26*E26</f>
        <v>3500000</v>
      </c>
      <c r="H26" s="65"/>
      <c r="I26" s="78">
        <f t="shared" si="9"/>
        <v>2991.4529914529912</v>
      </c>
      <c r="J26" s="444"/>
      <c r="K26" s="30"/>
    </row>
    <row r="27" spans="2:15" s="64" customFormat="1">
      <c r="B27" s="1352" t="s">
        <v>343</v>
      </c>
      <c r="C27" s="1353" t="s">
        <v>61</v>
      </c>
      <c r="D27" s="67">
        <f t="shared" si="7"/>
        <v>14</v>
      </c>
      <c r="E27" s="67">
        <v>1</v>
      </c>
      <c r="F27" s="1364"/>
      <c r="G27" s="286">
        <f>+F27*D27*E27</f>
        <v>0</v>
      </c>
      <c r="H27" s="65"/>
      <c r="J27" s="736">
        <f>F25</f>
        <v>500000</v>
      </c>
      <c r="K27" s="286">
        <f>+J27*D27*E27</f>
        <v>7000000</v>
      </c>
      <c r="M27" s="1346"/>
      <c r="N27" s="1346"/>
    </row>
    <row r="28" spans="2:15" s="64" customFormat="1">
      <c r="B28" s="1352" t="s">
        <v>344</v>
      </c>
      <c r="C28" s="1353" t="s">
        <v>61</v>
      </c>
      <c r="D28" s="67">
        <f t="shared" si="7"/>
        <v>14</v>
      </c>
      <c r="E28" s="67">
        <v>1</v>
      </c>
      <c r="F28" s="116"/>
      <c r="G28" s="286">
        <f t="shared" si="8"/>
        <v>0</v>
      </c>
      <c r="H28" s="65"/>
      <c r="K28" s="30"/>
      <c r="M28" s="1346"/>
      <c r="N28" s="1346"/>
    </row>
    <row r="29" spans="2:15" s="64" customFormat="1">
      <c r="B29" s="1352" t="s">
        <v>345</v>
      </c>
      <c r="C29" s="1353" t="s">
        <v>61</v>
      </c>
      <c r="D29" s="67">
        <f t="shared" si="7"/>
        <v>14</v>
      </c>
      <c r="E29" s="67">
        <v>1</v>
      </c>
      <c r="F29" s="1364"/>
      <c r="G29" s="1364"/>
      <c r="H29" s="65"/>
      <c r="J29" s="736">
        <f>+'P.MO 09.24'!C7</f>
        <v>1198421.6934377272</v>
      </c>
      <c r="K29" s="286">
        <f>+J29*D29*E29</f>
        <v>16777903.70812818</v>
      </c>
    </row>
    <row r="30" spans="2:15" s="64" customFormat="1">
      <c r="B30" s="1358"/>
      <c r="C30" s="1359"/>
      <c r="D30" s="71"/>
      <c r="E30" s="71"/>
      <c r="F30" s="403"/>
      <c r="G30" s="403"/>
      <c r="H30" s="65"/>
      <c r="I30" s="65"/>
      <c r="J30" s="456"/>
      <c r="K30" s="30"/>
    </row>
    <row r="31" spans="2:15" s="64" customFormat="1">
      <c r="B31" s="451" t="s">
        <v>346</v>
      </c>
      <c r="C31" s="1357"/>
      <c r="D31" s="452"/>
      <c r="E31" s="452"/>
      <c r="F31" s="289"/>
      <c r="G31" s="737"/>
      <c r="H31" s="32">
        <f>SUM(G32:G40)</f>
        <v>0</v>
      </c>
      <c r="I31" s="65"/>
      <c r="J31" s="30"/>
      <c r="K31" s="30"/>
    </row>
    <row r="32" spans="2:15" s="64" customFormat="1">
      <c r="B32" s="1354" t="s">
        <v>347</v>
      </c>
      <c r="C32" s="1355" t="s">
        <v>61</v>
      </c>
      <c r="D32" s="450">
        <v>0</v>
      </c>
      <c r="E32" s="450"/>
      <c r="F32" s="288">
        <v>130000</v>
      </c>
      <c r="G32" s="288">
        <f>+F32*D32</f>
        <v>0</v>
      </c>
      <c r="H32" s="65"/>
      <c r="I32" s="65"/>
      <c r="J32" s="30"/>
      <c r="K32" s="30"/>
    </row>
    <row r="33" spans="2:15" s="64" customFormat="1">
      <c r="B33" s="1352" t="s">
        <v>348</v>
      </c>
      <c r="C33" s="1353" t="s">
        <v>61</v>
      </c>
      <c r="D33" s="67">
        <v>0</v>
      </c>
      <c r="E33" s="67"/>
      <c r="F33" s="286">
        <v>100000</v>
      </c>
      <c r="G33" s="286">
        <f>+F33*D33</f>
        <v>0</v>
      </c>
      <c r="H33" s="65"/>
      <c r="I33" s="65"/>
      <c r="J33" s="30"/>
      <c r="K33" s="30"/>
    </row>
    <row r="34" spans="2:15" s="64" customFormat="1">
      <c r="B34" s="1352" t="s">
        <v>349</v>
      </c>
      <c r="C34" s="1353" t="s">
        <v>61</v>
      </c>
      <c r="D34" s="67"/>
      <c r="E34" s="67"/>
      <c r="F34" s="286">
        <v>33600</v>
      </c>
      <c r="G34" s="286">
        <f>+F34*D34</f>
        <v>0</v>
      </c>
      <c r="H34" s="65"/>
      <c r="I34" s="65"/>
      <c r="J34" s="30"/>
      <c r="K34" s="30"/>
    </row>
    <row r="35" spans="2:15" s="64" customFormat="1">
      <c r="B35" s="1352" t="s">
        <v>350</v>
      </c>
      <c r="C35" s="1353" t="s">
        <v>61</v>
      </c>
      <c r="D35" s="67"/>
      <c r="E35" s="67"/>
      <c r="F35" s="286">
        <v>89000</v>
      </c>
      <c r="G35" s="286">
        <f>+F35*D35</f>
        <v>0</v>
      </c>
      <c r="H35" s="65"/>
      <c r="I35" s="65"/>
      <c r="J35" s="30"/>
      <c r="K35" s="30"/>
    </row>
    <row r="36" spans="2:15" s="64" customFormat="1">
      <c r="B36" s="1352" t="s">
        <v>351</v>
      </c>
      <c r="C36" s="1353" t="s">
        <v>61</v>
      </c>
      <c r="D36" s="67"/>
      <c r="E36" s="67"/>
      <c r="F36" s="286">
        <v>70000</v>
      </c>
      <c r="G36" s="286">
        <f>+F36*D36</f>
        <v>0</v>
      </c>
      <c r="H36" s="65"/>
      <c r="I36" s="65"/>
      <c r="J36" s="30"/>
      <c r="K36" s="30"/>
    </row>
    <row r="37" spans="2:15" s="64" customFormat="1">
      <c r="B37" s="1352"/>
      <c r="C37" s="1353"/>
      <c r="D37" s="67"/>
      <c r="E37" s="67"/>
      <c r="F37" s="286"/>
      <c r="G37" s="286"/>
      <c r="H37" s="65"/>
      <c r="I37" s="65"/>
      <c r="J37" s="30"/>
      <c r="K37" s="30"/>
    </row>
    <row r="38" spans="2:15" s="64" customFormat="1">
      <c r="B38" s="1352"/>
      <c r="C38" s="1353"/>
      <c r="D38" s="67"/>
      <c r="E38" s="67"/>
      <c r="F38" s="286"/>
      <c r="G38" s="286"/>
      <c r="H38" s="65"/>
      <c r="I38" s="65"/>
      <c r="J38" s="30"/>
      <c r="K38" s="30"/>
    </row>
    <row r="39" spans="2:15" s="64" customFormat="1">
      <c r="B39" s="1352"/>
      <c r="C39" s="1353"/>
      <c r="D39" s="67"/>
      <c r="E39" s="67"/>
      <c r="F39" s="286"/>
      <c r="G39" s="286"/>
      <c r="H39" s="65"/>
      <c r="I39" s="65"/>
      <c r="J39" s="30"/>
      <c r="K39" s="30"/>
    </row>
    <row r="40" spans="2:15" s="64" customFormat="1">
      <c r="B40" s="1358"/>
      <c r="C40" s="1359"/>
      <c r="D40" s="71"/>
      <c r="E40" s="71"/>
      <c r="F40" s="403"/>
      <c r="G40" s="403"/>
      <c r="H40" s="65"/>
      <c r="I40" s="65"/>
      <c r="J40" s="30"/>
      <c r="K40" s="30"/>
    </row>
    <row r="41" spans="2:15" s="64" customFormat="1">
      <c r="B41" s="451" t="s">
        <v>352</v>
      </c>
      <c r="C41" s="1357"/>
      <c r="D41" s="455"/>
      <c r="E41" s="455"/>
      <c r="F41" s="289"/>
      <c r="G41" s="737"/>
      <c r="H41" s="32">
        <f>SUM(G42:G47)</f>
        <v>58713324.074000001</v>
      </c>
      <c r="I41" s="65"/>
      <c r="J41" s="30"/>
      <c r="K41" s="30"/>
    </row>
    <row r="42" spans="2:15" s="64" customFormat="1">
      <c r="B42" s="1350" t="s">
        <v>353</v>
      </c>
      <c r="C42" s="1360" t="s">
        <v>61</v>
      </c>
      <c r="D42" s="73">
        <f>+$F$4</f>
        <v>14</v>
      </c>
      <c r="E42" s="73">
        <v>0.5</v>
      </c>
      <c r="F42" s="448">
        <f>'P.MO 09.24'!C9</f>
        <v>2578960.5819999999</v>
      </c>
      <c r="G42" s="286">
        <f t="shared" ref="G42" si="10">+F42*D42*E42</f>
        <v>18052724.074000001</v>
      </c>
      <c r="H42" s="65"/>
      <c r="I42" s="78">
        <f t="shared" ref="I42:I46" si="11">+G42/$H$4</f>
        <v>15429.678695726496</v>
      </c>
      <c r="J42" s="30"/>
      <c r="K42" s="30"/>
    </row>
    <row r="43" spans="2:15" s="64" customFormat="1">
      <c r="B43" s="1352" t="s">
        <v>354</v>
      </c>
      <c r="C43" s="1361" t="s">
        <v>54</v>
      </c>
      <c r="D43" s="70">
        <f>+D42</f>
        <v>14</v>
      </c>
      <c r="E43" s="70">
        <v>1</v>
      </c>
      <c r="F43" s="286">
        <v>250000</v>
      </c>
      <c r="G43" s="286">
        <f>+F43*D43</f>
        <v>3500000</v>
      </c>
      <c r="H43" s="65"/>
      <c r="I43" s="78">
        <f t="shared" si="11"/>
        <v>2991.4529914529912</v>
      </c>
      <c r="J43" s="30"/>
      <c r="K43" s="30"/>
    </row>
    <row r="44" spans="2:15" s="64" customFormat="1">
      <c r="B44" s="1362" t="s">
        <v>355</v>
      </c>
      <c r="C44" s="1361" t="s">
        <v>54</v>
      </c>
      <c r="D44" s="70">
        <v>0.04</v>
      </c>
      <c r="E44" s="70">
        <v>0.6</v>
      </c>
      <c r="F44" s="449">
        <v>1145000000</v>
      </c>
      <c r="G44" s="286">
        <f>+F44*D44*E44</f>
        <v>27480000</v>
      </c>
      <c r="H44" s="65"/>
      <c r="I44" s="78">
        <f t="shared" si="11"/>
        <v>23487.179487179488</v>
      </c>
      <c r="J44" s="30"/>
      <c r="K44" s="32"/>
    </row>
    <row r="45" spans="2:15" s="64" customFormat="1">
      <c r="B45" s="1352" t="s">
        <v>356</v>
      </c>
      <c r="C45" s="1361" t="s">
        <v>54</v>
      </c>
      <c r="D45" s="70">
        <f>1.2/100</f>
        <v>1.2E-2</v>
      </c>
      <c r="E45" s="70">
        <f>+E44</f>
        <v>0.6</v>
      </c>
      <c r="F45" s="286">
        <f>+F44*1.15</f>
        <v>1316750000</v>
      </c>
      <c r="G45" s="286">
        <f>+F45*D45*E45</f>
        <v>9480600</v>
      </c>
      <c r="H45" s="65"/>
      <c r="I45" s="78">
        <f t="shared" si="11"/>
        <v>8103.0769230769229</v>
      </c>
      <c r="J45" s="30"/>
      <c r="K45" s="65"/>
    </row>
    <row r="46" spans="2:15" s="64" customFormat="1">
      <c r="B46" s="1352" t="s">
        <v>357</v>
      </c>
      <c r="C46" s="1361" t="s">
        <v>54</v>
      </c>
      <c r="D46" s="70">
        <v>1</v>
      </c>
      <c r="E46" s="70">
        <v>1</v>
      </c>
      <c r="F46" s="286">
        <v>200000</v>
      </c>
      <c r="G46" s="286">
        <f>+F46*D46*E46</f>
        <v>200000</v>
      </c>
      <c r="H46" s="65"/>
      <c r="I46" s="78">
        <f t="shared" si="11"/>
        <v>170.94017094017093</v>
      </c>
      <c r="J46" s="30"/>
      <c r="K46" s="65"/>
      <c r="M46" s="65"/>
    </row>
    <row r="47" spans="2:15" s="64" customFormat="1">
      <c r="B47" s="1358"/>
      <c r="C47" s="1359"/>
      <c r="D47" s="72"/>
      <c r="E47" s="72"/>
      <c r="F47" s="403"/>
      <c r="G47" s="403"/>
      <c r="H47" s="65"/>
      <c r="I47" s="65"/>
      <c r="J47" s="65"/>
      <c r="K47" s="65"/>
      <c r="M47" s="65"/>
    </row>
    <row r="48" spans="2:15" s="64" customFormat="1">
      <c r="B48" s="1347"/>
      <c r="C48" s="1346"/>
      <c r="D48" s="74"/>
      <c r="E48" s="74"/>
      <c r="F48" s="283"/>
      <c r="G48" s="74">
        <f>SUM(G7:G47)</f>
        <v>113819106.63864909</v>
      </c>
      <c r="H48" s="69">
        <f>SUM(H6:H47)</f>
        <v>113819106.63864908</v>
      </c>
      <c r="I48" s="69">
        <f>SUM(I6:I47)</f>
        <v>96982.142426195816</v>
      </c>
      <c r="J48" s="65"/>
      <c r="K48" s="69">
        <f>SUM(K6:K47)</f>
        <v>89370934.184128195</v>
      </c>
      <c r="L48" s="1470">
        <f>+K48+G64</f>
        <v>319805616.28814673</v>
      </c>
      <c r="M48" s="16">
        <f>+L48/N19</f>
        <v>19987851.018009171</v>
      </c>
      <c r="N48" s="26"/>
      <c r="O48" s="26"/>
    </row>
    <row r="49" spans="1:16" s="64" customFormat="1">
      <c r="B49" s="1363" t="s">
        <v>358</v>
      </c>
      <c r="C49" s="1346"/>
      <c r="D49" s="74"/>
      <c r="E49" s="74"/>
      <c r="F49" s="283"/>
      <c r="G49" s="75"/>
      <c r="I49" s="74"/>
      <c r="L49" s="26"/>
      <c r="M49" s="30"/>
      <c r="N49" s="26"/>
      <c r="O49" s="26"/>
    </row>
    <row r="50" spans="1:16" s="64" customFormat="1">
      <c r="B50" s="1363" t="s">
        <v>359</v>
      </c>
      <c r="C50" s="1346"/>
      <c r="D50" s="74"/>
      <c r="E50" s="74"/>
      <c r="F50" s="283"/>
      <c r="G50" s="74">
        <f>+G49+H48</f>
        <v>113819106.63864908</v>
      </c>
      <c r="H50" s="74"/>
      <c r="J50" s="74"/>
      <c r="M50" s="26"/>
      <c r="N50" s="30"/>
      <c r="O50" s="26"/>
      <c r="P50" s="26"/>
    </row>
    <row r="51" spans="1:16" s="26" customFormat="1" ht="13">
      <c r="A51" s="76"/>
      <c r="B51" s="316"/>
      <c r="D51" s="77"/>
      <c r="E51" s="77"/>
      <c r="F51" s="137"/>
      <c r="G51" s="77"/>
      <c r="H51" s="77"/>
      <c r="I51" s="77"/>
      <c r="N51" s="30"/>
    </row>
    <row r="52" spans="1:16" s="26" customFormat="1" ht="13">
      <c r="A52" s="76"/>
      <c r="B52" s="316" t="s">
        <v>44</v>
      </c>
      <c r="D52" s="77"/>
      <c r="E52" s="77"/>
      <c r="F52" s="137"/>
      <c r="G52" s="30">
        <f>+'01'!N216</f>
        <v>152635787.39072511</v>
      </c>
      <c r="H52" s="30"/>
      <c r="I52" s="78">
        <f>+G52/$H$4</f>
        <v>130457.93794079068</v>
      </c>
      <c r="K52" s="34"/>
      <c r="N52" s="30"/>
    </row>
    <row r="53" spans="1:16" s="26" customFormat="1" ht="13">
      <c r="B53" s="316" t="s">
        <v>360</v>
      </c>
      <c r="F53" s="137"/>
      <c r="G53" s="30">
        <f>+'01'!O216</f>
        <v>89943824.963067681</v>
      </c>
      <c r="H53" s="30"/>
      <c r="I53" s="78">
        <f t="shared" ref="I53:I56" si="12">+G53/$H$4</f>
        <v>76875.064070998022</v>
      </c>
      <c r="K53" s="31"/>
      <c r="N53" s="30"/>
    </row>
    <row r="54" spans="1:16" s="26" customFormat="1" ht="13">
      <c r="B54" s="316" t="s">
        <v>361</v>
      </c>
      <c r="F54" s="137"/>
      <c r="G54" s="30">
        <f>+'01'!P216</f>
        <v>466157734.73748004</v>
      </c>
      <c r="H54" s="30"/>
      <c r="I54" s="78">
        <f t="shared" si="12"/>
        <v>398425.41430553852</v>
      </c>
      <c r="J54" s="31"/>
      <c r="K54" s="31"/>
    </row>
    <row r="55" spans="1:16" s="26" customFormat="1" ht="13">
      <c r="B55" s="316" t="s">
        <v>362</v>
      </c>
      <c r="F55" s="137"/>
      <c r="G55" s="30">
        <f>+'01'!Q216</f>
        <v>167770803.14356178</v>
      </c>
      <c r="H55" s="30"/>
      <c r="I55" s="78">
        <f t="shared" si="12"/>
        <v>143393.8488406511</v>
      </c>
      <c r="J55" s="31"/>
      <c r="K55" s="31"/>
    </row>
    <row r="56" spans="1:16" s="26" customFormat="1" ht="13">
      <c r="B56" s="316" t="s">
        <v>346</v>
      </c>
      <c r="F56" s="137"/>
      <c r="G56" s="30">
        <f>+'01'!R216</f>
        <v>20534737.960315075</v>
      </c>
      <c r="H56" s="30"/>
      <c r="I56" s="78">
        <f t="shared" si="12"/>
        <v>17551.05808573938</v>
      </c>
      <c r="J56" s="31"/>
      <c r="K56" s="31"/>
    </row>
    <row r="57" spans="1:16" s="26" customFormat="1" ht="13">
      <c r="B57" s="316"/>
      <c r="F57" s="137"/>
      <c r="G57" s="30"/>
      <c r="H57" s="30"/>
      <c r="I57" s="78"/>
      <c r="K57" s="31"/>
    </row>
    <row r="58" spans="1:16" s="26" customFormat="1" ht="13">
      <c r="A58" s="229" t="s">
        <v>363</v>
      </c>
      <c r="B58" s="317"/>
      <c r="C58" s="267"/>
      <c r="D58" s="267"/>
      <c r="E58" s="267"/>
      <c r="F58" s="274"/>
      <c r="G58" s="268">
        <f>SUM(G52:G57)</f>
        <v>897042888.19514978</v>
      </c>
      <c r="H58" s="268"/>
      <c r="I58" s="269">
        <f>SUM(I52:I57)</f>
        <v>766703.32324371766</v>
      </c>
      <c r="J58" s="31"/>
    </row>
    <row r="59" spans="1:16" s="26" customFormat="1" ht="13">
      <c r="A59" s="79"/>
      <c r="B59" s="316"/>
      <c r="F59" s="137"/>
      <c r="G59" s="80"/>
      <c r="H59" s="80"/>
      <c r="I59" s="81"/>
      <c r="M59" s="83"/>
    </row>
    <row r="60" spans="1:16" s="26" customFormat="1" ht="13">
      <c r="A60" s="79"/>
      <c r="B60" s="316" t="s">
        <v>364</v>
      </c>
      <c r="E60" s="16"/>
      <c r="F60" s="16">
        <f>+G50/G58</f>
        <v>0.12688256953650578</v>
      </c>
      <c r="G60" s="16">
        <f>+F60*$G$58</f>
        <v>113819106.63864908</v>
      </c>
      <c r="H60" s="16"/>
      <c r="I60" s="78">
        <f>+G60/$H$4</f>
        <v>97281.287725341084</v>
      </c>
    </row>
    <row r="61" spans="1:16" s="26" customFormat="1" ht="13">
      <c r="A61" s="79"/>
      <c r="B61" s="316" t="s">
        <v>346</v>
      </c>
      <c r="E61" s="16">
        <v>3</v>
      </c>
      <c r="F61" s="17">
        <v>0</v>
      </c>
      <c r="G61" s="16">
        <f>+F61*$G$58</f>
        <v>0</v>
      </c>
      <c r="H61" s="16"/>
      <c r="I61" s="78">
        <f t="shared" ref="I61:I63" si="13">+G61/$H$4</f>
        <v>0</v>
      </c>
    </row>
    <row r="62" spans="1:16" s="26" customFormat="1" ht="13">
      <c r="A62" s="79"/>
      <c r="B62" s="316" t="s">
        <v>365</v>
      </c>
      <c r="E62" s="16">
        <v>5</v>
      </c>
      <c r="F62" s="17">
        <v>0.03</v>
      </c>
      <c r="G62" s="16">
        <f>+F62*$G$58</f>
        <v>26911286.645854492</v>
      </c>
      <c r="H62" s="16"/>
      <c r="I62" s="78">
        <f t="shared" si="13"/>
        <v>23001.099697311533</v>
      </c>
      <c r="J62" s="82"/>
      <c r="K62" s="83"/>
      <c r="L62" s="16">
        <v>987276976</v>
      </c>
    </row>
    <row r="63" spans="1:16" s="26" customFormat="1" ht="13">
      <c r="A63" s="79"/>
      <c r="B63" s="316" t="s">
        <v>366</v>
      </c>
      <c r="E63" s="16">
        <v>9</v>
      </c>
      <c r="F63" s="16">
        <v>0.1</v>
      </c>
      <c r="G63" s="16">
        <f>+F63*$G$58</f>
        <v>89704288.81951499</v>
      </c>
      <c r="H63" s="16"/>
      <c r="I63" s="78">
        <f t="shared" si="13"/>
        <v>76670.33232437179</v>
      </c>
      <c r="J63" s="31"/>
      <c r="L63" s="16">
        <f>+'01'!Y216</f>
        <v>1127402758.0195</v>
      </c>
    </row>
    <row r="64" spans="1:16" s="26" customFormat="1" ht="13">
      <c r="A64" s="229" t="s">
        <v>367</v>
      </c>
      <c r="B64" s="317"/>
      <c r="C64" s="267"/>
      <c r="D64" s="267"/>
      <c r="E64" s="445"/>
      <c r="F64" s="445">
        <f>SUM(F60:F63)</f>
        <v>0.25688256953650579</v>
      </c>
      <c r="G64" s="411">
        <f>SUM(G60:G63)</f>
        <v>230434682.10401857</v>
      </c>
      <c r="H64" s="411"/>
      <c r="I64" s="269">
        <f>+G64/$H$4</f>
        <v>196952.71974702441</v>
      </c>
      <c r="J64" s="31"/>
      <c r="L64" s="1471">
        <f>+L63-L62</f>
        <v>140125782.01950002</v>
      </c>
    </row>
    <row r="65" spans="1:16" s="26" customFormat="1" ht="13">
      <c r="A65" s="79"/>
      <c r="B65" s="316"/>
      <c r="E65" s="16"/>
      <c r="F65" s="16"/>
      <c r="G65" s="16"/>
      <c r="H65" s="16"/>
      <c r="I65" s="81"/>
    </row>
    <row r="66" spans="1:16" s="26" customFormat="1" ht="13">
      <c r="A66" s="229" t="s">
        <v>368</v>
      </c>
      <c r="B66" s="317"/>
      <c r="C66" s="267"/>
      <c r="D66" s="267"/>
      <c r="E66" s="445"/>
      <c r="F66" s="411">
        <f>1+F64</f>
        <v>1.2568825695365058</v>
      </c>
      <c r="G66" s="445">
        <f>+G58*F66</f>
        <v>1127477570.2991683</v>
      </c>
      <c r="H66" s="445"/>
      <c r="I66" s="270"/>
      <c r="J66" s="30"/>
      <c r="K66" s="30"/>
      <c r="N66" s="124"/>
      <c r="O66" s="124"/>
      <c r="P66" s="31"/>
    </row>
    <row r="67" spans="1:16" s="26" customFormat="1" ht="13">
      <c r="B67" s="316"/>
      <c r="E67" s="16"/>
      <c r="F67" s="16"/>
      <c r="G67" s="16"/>
      <c r="H67" s="16"/>
      <c r="I67" s="81"/>
      <c r="L67" s="113">
        <v>1138195271.5160999</v>
      </c>
      <c r="N67" s="124"/>
      <c r="O67" s="124"/>
      <c r="P67" s="31"/>
    </row>
    <row r="68" spans="1:16" s="26" customFormat="1" ht="13">
      <c r="A68" s="229" t="s">
        <v>369</v>
      </c>
      <c r="B68" s="317"/>
      <c r="C68" s="267"/>
      <c r="D68" s="267"/>
      <c r="E68" s="445"/>
      <c r="F68" s="445"/>
      <c r="G68" s="445">
        <f>+G58+G64</f>
        <v>1127477570.2991683</v>
      </c>
      <c r="H68" s="445"/>
      <c r="I68" s="269">
        <f>+G68/$H$4</f>
        <v>963656.04299074213</v>
      </c>
      <c r="J68" s="114"/>
      <c r="K68" s="16"/>
    </row>
    <row r="69" spans="1:16" s="26" customFormat="1" ht="13">
      <c r="B69" s="316"/>
      <c r="E69" s="16"/>
      <c r="F69" s="16"/>
      <c r="G69" s="16"/>
      <c r="H69" s="16"/>
      <c r="I69" s="84"/>
      <c r="K69" s="16"/>
      <c r="O69" s="82"/>
      <c r="P69" s="82"/>
    </row>
    <row r="70" spans="1:16" s="26" customFormat="1" ht="13">
      <c r="B70" s="316"/>
      <c r="F70" s="1472">
        <f>+G71/G58</f>
        <v>3.3443217035430711E-2</v>
      </c>
      <c r="G70" s="80"/>
      <c r="H70" s="80"/>
      <c r="I70" s="81"/>
      <c r="J70" s="124"/>
      <c r="N70" s="64"/>
      <c r="O70" s="85"/>
      <c r="P70" s="85"/>
    </row>
    <row r="71" spans="1:16" s="26" customFormat="1" ht="13">
      <c r="B71" s="316"/>
      <c r="F71" s="1473">
        <f>+G71/G66</f>
        <v>2.660806812506231E-2</v>
      </c>
      <c r="G71" s="137">
        <v>30000000</v>
      </c>
      <c r="H71" s="137"/>
      <c r="I71" s="828"/>
      <c r="J71" s="124"/>
      <c r="N71" s="64"/>
      <c r="O71" s="85"/>
      <c r="P71" s="85"/>
    </row>
    <row r="72" spans="1:16" s="26" customFormat="1" ht="13">
      <c r="B72" s="316"/>
      <c r="F72" s="829"/>
      <c r="G72" s="828"/>
      <c r="H72" s="828"/>
      <c r="I72" s="830">
        <f>+I63+I62+I20</f>
        <v>108072.08553450383</v>
      </c>
      <c r="J72" s="124"/>
      <c r="N72" s="64"/>
      <c r="O72" s="85"/>
      <c r="P72" s="85"/>
    </row>
    <row r="73" spans="1:16" s="26" customFormat="1" ht="13">
      <c r="B73" s="316"/>
      <c r="F73" s="137"/>
      <c r="G73" s="80"/>
      <c r="H73" s="80"/>
      <c r="I73" s="81"/>
      <c r="J73" s="124"/>
      <c r="N73" s="64"/>
      <c r="O73" s="85"/>
      <c r="P73" s="85"/>
    </row>
    <row r="74" spans="1:16" s="26" customFormat="1" ht="13">
      <c r="B74" s="316"/>
      <c r="F74" s="137"/>
      <c r="G74" s="80"/>
      <c r="H74" s="80"/>
      <c r="I74" s="78"/>
      <c r="L74" s="34"/>
      <c r="N74" s="605"/>
      <c r="O74" s="606"/>
      <c r="P74" s="64"/>
    </row>
    <row r="75" spans="1:16" s="26" customFormat="1" ht="13">
      <c r="B75" s="316"/>
      <c r="F75" s="137"/>
      <c r="L75" s="607"/>
      <c r="M75" s="605"/>
      <c r="N75" s="605"/>
      <c r="O75" s="64"/>
      <c r="P75" s="82"/>
    </row>
    <row r="76" spans="1:16" s="64" customFormat="1">
      <c r="B76" s="1347"/>
      <c r="C76" s="1346"/>
      <c r="D76" s="74"/>
      <c r="E76" s="74"/>
      <c r="F76" s="283"/>
      <c r="G76" s="74"/>
      <c r="H76" s="74"/>
      <c r="I76" s="74"/>
      <c r="K76" s="605"/>
      <c r="L76" s="608"/>
      <c r="M76" s="605"/>
      <c r="N76" s="605"/>
      <c r="P76" s="86"/>
    </row>
    <row r="77" spans="1:16" s="64" customFormat="1">
      <c r="B77" s="1363"/>
      <c r="C77" s="1346"/>
      <c r="D77" s="74"/>
      <c r="E77" s="74"/>
      <c r="F77" s="283"/>
      <c r="G77" s="74"/>
      <c r="H77" s="74"/>
      <c r="I77" s="74"/>
      <c r="K77" s="605"/>
      <c r="L77" s="608"/>
      <c r="M77" s="605"/>
      <c r="N77" s="605"/>
    </row>
    <row r="78" spans="1:16" s="64" customFormat="1">
      <c r="B78" s="1363"/>
      <c r="C78" s="1346"/>
      <c r="D78" s="74"/>
      <c r="E78" s="74"/>
      <c r="F78" s="283"/>
      <c r="G78" s="74"/>
      <c r="H78" s="74"/>
      <c r="I78" s="74"/>
      <c r="K78" s="605"/>
      <c r="L78" s="609"/>
      <c r="M78" s="605"/>
      <c r="N78" s="605"/>
    </row>
    <row r="79" spans="1:16" s="64" customFormat="1">
      <c r="B79" s="1347"/>
      <c r="C79" s="1346"/>
      <c r="D79" s="74"/>
      <c r="E79" s="74"/>
      <c r="F79" s="283"/>
      <c r="G79" s="74"/>
      <c r="H79" s="74"/>
      <c r="I79" s="74"/>
      <c r="K79" s="605"/>
      <c r="L79" s="608"/>
      <c r="M79" s="605"/>
      <c r="N79" s="605"/>
    </row>
    <row r="80" spans="1:16" s="64" customFormat="1">
      <c r="B80" s="1347"/>
      <c r="C80" s="1346"/>
      <c r="D80" s="74"/>
      <c r="E80" s="74"/>
      <c r="F80" s="283"/>
      <c r="G80" s="74"/>
      <c r="H80" s="74"/>
      <c r="I80" s="74"/>
      <c r="K80" s="605"/>
      <c r="L80" s="609"/>
      <c r="M80" s="605"/>
      <c r="N80" s="605"/>
    </row>
    <row r="81" spans="1:16" s="64" customFormat="1">
      <c r="B81" s="1347"/>
      <c r="F81" s="283"/>
      <c r="G81" s="74"/>
      <c r="H81" s="74"/>
      <c r="I81" s="74"/>
      <c r="K81" s="610"/>
      <c r="L81" s="444"/>
      <c r="M81" s="605"/>
      <c r="N81" s="605"/>
    </row>
    <row r="82" spans="1:16" s="64" customFormat="1">
      <c r="B82" s="1347"/>
      <c r="C82" s="1346"/>
      <c r="D82" s="74"/>
      <c r="E82" s="74"/>
      <c r="F82" s="283"/>
      <c r="G82" s="74"/>
      <c r="H82" s="74"/>
      <c r="I82" s="74"/>
      <c r="K82" s="605"/>
      <c r="L82" s="444"/>
      <c r="M82" s="605"/>
      <c r="N82" s="605"/>
    </row>
    <row r="83" spans="1:16" s="64" customFormat="1">
      <c r="B83" s="1347"/>
      <c r="C83" s="1346"/>
      <c r="D83" s="74"/>
      <c r="E83" s="74"/>
      <c r="F83" s="283"/>
      <c r="G83" s="74"/>
      <c r="H83" s="74"/>
      <c r="I83" s="74"/>
      <c r="K83" s="605"/>
      <c r="L83" s="611"/>
      <c r="M83" s="605"/>
      <c r="N83" s="605"/>
    </row>
    <row r="84" spans="1:16" s="64" customFormat="1">
      <c r="B84" s="1347"/>
      <c r="C84" s="1346"/>
      <c r="D84" s="74"/>
      <c r="E84" s="74"/>
      <c r="F84" s="283"/>
      <c r="G84" s="74"/>
      <c r="H84" s="74"/>
      <c r="I84" s="74"/>
      <c r="K84" s="605"/>
      <c r="L84" s="605"/>
      <c r="M84" s="605"/>
      <c r="N84" s="605"/>
    </row>
    <row r="85" spans="1:16" s="64" customFormat="1">
      <c r="B85" s="1347"/>
      <c r="C85" s="1346"/>
      <c r="D85" s="74"/>
      <c r="E85" s="74"/>
      <c r="F85" s="283"/>
      <c r="G85" s="74"/>
      <c r="H85" s="74"/>
      <c r="I85" s="74"/>
      <c r="K85" s="605"/>
      <c r="L85" s="612"/>
      <c r="M85" s="605"/>
      <c r="N85" s="605"/>
    </row>
    <row r="86" spans="1:16" s="64" customFormat="1">
      <c r="B86" s="1347"/>
      <c r="C86" s="1346"/>
      <c r="D86" s="74"/>
      <c r="E86" s="74"/>
      <c r="F86" s="283"/>
      <c r="G86" s="74"/>
      <c r="H86" s="74"/>
      <c r="I86" s="74"/>
      <c r="K86" s="605"/>
      <c r="L86" s="605"/>
      <c r="M86" s="605"/>
      <c r="N86" s="605"/>
    </row>
    <row r="87" spans="1:16" s="64" customFormat="1">
      <c r="B87" s="1347"/>
      <c r="C87" s="1346"/>
      <c r="D87" s="74"/>
      <c r="E87" s="74"/>
      <c r="F87" s="283"/>
      <c r="G87" s="74"/>
      <c r="H87" s="74"/>
      <c r="I87" s="74"/>
      <c r="K87" s="605"/>
      <c r="L87" s="612"/>
      <c r="M87" s="605"/>
      <c r="N87" s="605"/>
    </row>
    <row r="88" spans="1:16" s="64" customFormat="1">
      <c r="B88" s="1347"/>
      <c r="C88" s="1346"/>
      <c r="D88" s="74"/>
      <c r="E88" s="74"/>
      <c r="F88" s="283"/>
      <c r="G88" s="74"/>
      <c r="H88" s="74"/>
      <c r="I88" s="74"/>
    </row>
    <row r="89" spans="1:16" s="64" customFormat="1">
      <c r="B89" s="1347"/>
      <c r="C89" s="1346"/>
      <c r="D89" s="74"/>
      <c r="E89" s="74"/>
      <c r="F89" s="283"/>
      <c r="G89" s="74"/>
      <c r="H89" s="74"/>
      <c r="I89" s="74"/>
    </row>
    <row r="90" spans="1:16" s="64" customFormat="1">
      <c r="B90" s="1347"/>
      <c r="C90" s="1346"/>
      <c r="D90" s="74"/>
      <c r="E90" s="74"/>
      <c r="F90" s="283"/>
      <c r="G90" s="74"/>
      <c r="H90" s="74"/>
      <c r="I90" s="74"/>
    </row>
    <row r="91" spans="1:16">
      <c r="A91" s="64"/>
      <c r="D91" s="74"/>
      <c r="E91" s="74"/>
      <c r="G91" s="74"/>
      <c r="H91" s="74"/>
      <c r="I91" s="74"/>
      <c r="J91" s="64"/>
      <c r="K91" s="64"/>
      <c r="M91" s="64"/>
      <c r="N91" s="64"/>
      <c r="O91" s="64"/>
      <c r="P91" s="64"/>
    </row>
    <row r="92" spans="1:16">
      <c r="A92" s="64"/>
      <c r="D92" s="74"/>
      <c r="E92" s="74"/>
      <c r="G92" s="74"/>
      <c r="H92" s="74"/>
      <c r="I92" s="74"/>
      <c r="J92" s="64"/>
      <c r="K92" s="64"/>
      <c r="M92" s="64"/>
      <c r="N92" s="64"/>
      <c r="O92" s="64"/>
      <c r="P92" s="64"/>
    </row>
    <row r="93" spans="1:16">
      <c r="A93" s="64"/>
      <c r="D93" s="74"/>
      <c r="E93" s="74"/>
      <c r="G93" s="74"/>
      <c r="H93" s="74"/>
      <c r="I93" s="74"/>
      <c r="J93" s="64"/>
      <c r="K93" s="64"/>
      <c r="M93" s="64"/>
      <c r="N93" s="64"/>
      <c r="O93" s="64"/>
      <c r="P93" s="64"/>
    </row>
    <row r="94" spans="1:16">
      <c r="A94" s="64"/>
      <c r="D94" s="74"/>
      <c r="E94" s="74"/>
      <c r="G94" s="74"/>
      <c r="H94" s="74"/>
      <c r="I94" s="74"/>
      <c r="J94" s="64"/>
      <c r="K94" s="64"/>
      <c r="M94" s="64"/>
      <c r="N94" s="64"/>
      <c r="O94" s="64"/>
      <c r="P94" s="64"/>
    </row>
    <row r="95" spans="1:16">
      <c r="A95" s="64"/>
      <c r="D95" s="74"/>
      <c r="E95" s="74"/>
      <c r="G95" s="74"/>
      <c r="H95" s="74"/>
      <c r="I95" s="74"/>
      <c r="J95" s="64"/>
      <c r="K95" s="64"/>
      <c r="M95" s="64"/>
      <c r="N95" s="64"/>
      <c r="O95" s="64"/>
      <c r="P95" s="64"/>
    </row>
    <row r="96" spans="1:16">
      <c r="A96" s="64"/>
      <c r="D96" s="74"/>
      <c r="E96" s="74"/>
      <c r="G96" s="74"/>
      <c r="H96" s="74"/>
      <c r="I96" s="74"/>
      <c r="J96" s="64"/>
      <c r="K96" s="64"/>
      <c r="M96" s="64"/>
      <c r="N96" s="64"/>
      <c r="O96" s="64"/>
      <c r="P96" s="64"/>
    </row>
    <row r="97" spans="1:16">
      <c r="A97" s="64"/>
      <c r="D97" s="74"/>
      <c r="E97" s="74"/>
      <c r="G97" s="74"/>
      <c r="H97" s="74"/>
      <c r="I97" s="74"/>
      <c r="J97" s="64"/>
      <c r="K97" s="64"/>
      <c r="P97" s="64"/>
    </row>
    <row r="98" spans="1:16">
      <c r="A98" s="64"/>
      <c r="D98" s="74"/>
      <c r="E98" s="74"/>
      <c r="G98" s="74"/>
      <c r="H98" s="74"/>
      <c r="I98" s="74"/>
      <c r="J98" s="64"/>
      <c r="K98" s="64"/>
      <c r="P98" s="64"/>
    </row>
    <row r="99" spans="1:16">
      <c r="A99" s="64"/>
      <c r="D99" s="74"/>
      <c r="E99" s="74"/>
      <c r="G99" s="74"/>
      <c r="H99" s="74"/>
      <c r="I99" s="74"/>
      <c r="J99" s="64"/>
      <c r="K99" s="64"/>
      <c r="P99" s="64"/>
    </row>
    <row r="100" spans="1:16">
      <c r="H100" s="88"/>
      <c r="I100" s="88"/>
      <c r="J100" s="89"/>
    </row>
  </sheetData>
  <phoneticPr fontId="90" type="noConversion"/>
  <conditionalFormatting sqref="C2:C4">
    <cfRule type="cellIs" dxfId="5" priority="5" operator="equal">
      <formula>"x"</formula>
    </cfRule>
  </conditionalFormatting>
  <conditionalFormatting sqref="G20:G28 E20:E29 K27 K29">
    <cfRule type="cellIs" dxfId="4" priority="3" operator="equal">
      <formula>0</formula>
    </cfRule>
  </conditionalFormatting>
  <conditionalFormatting sqref="K21">
    <cfRule type="cellIs" dxfId="3" priority="1" operator="equal">
      <formula>0</formula>
    </cfRule>
  </conditionalFormatting>
  <conditionalFormatting sqref="X2:AT2">
    <cfRule type="cellIs" dxfId="2" priority="6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E095-000E-48B9-B470-71DAD2CB1587}">
  <sheetPr>
    <tabColor rgb="FF92D050"/>
  </sheetPr>
  <dimension ref="A1:EJ149"/>
  <sheetViews>
    <sheetView topLeftCell="D6" workbookViewId="0">
      <pane ySplit="2" topLeftCell="A136" activePane="bottomLeft" state="frozen"/>
      <selection activeCell="Z6" sqref="Z6"/>
      <selection pane="bottomLeft" activeCell="CR144" sqref="CR144"/>
    </sheetView>
  </sheetViews>
  <sheetFormatPr defaultColWidth="11.453125" defaultRowHeight="14.5" outlineLevelCol="1"/>
  <cols>
    <col min="1" max="1" width="9.26953125" style="964" bestFit="1" customWidth="1"/>
    <col min="2" max="2" width="5.1796875" style="1127" bestFit="1" customWidth="1"/>
    <col min="3" max="3" width="26" style="16" bestFit="1" customWidth="1"/>
    <col min="4" max="4" width="6.54296875" style="1011" bestFit="1" customWidth="1"/>
    <col min="5" max="5" width="7" style="1011" bestFit="1" customWidth="1"/>
    <col min="6" max="7" width="9" style="1011" bestFit="1" customWidth="1"/>
    <col min="8" max="8" width="6.54296875" style="1128" bestFit="1" customWidth="1"/>
    <col min="9" max="9" width="6.54296875" style="1011" bestFit="1" customWidth="1"/>
    <col min="10" max="10" width="6.81640625" style="1011" customWidth="1"/>
    <col min="11" max="11" width="5.54296875" style="1440" bestFit="1" customWidth="1"/>
    <col min="12" max="12" width="5.54296875" style="1441" bestFit="1" customWidth="1"/>
    <col min="13" max="13" width="4.453125" style="1129" customWidth="1"/>
    <col min="14" max="14" width="5.1796875" style="1131" hidden="1" customWidth="1" outlineLevel="1"/>
    <col min="15" max="16" width="6" style="1131" hidden="1" customWidth="1" outlineLevel="1"/>
    <col min="17" max="19" width="5.1796875" style="1131" hidden="1" customWidth="1" outlineLevel="1"/>
    <col min="20" max="20" width="4.81640625" style="1129" customWidth="1" collapsed="1"/>
    <col min="21" max="21" width="6.7265625" style="1302" customWidth="1" outlineLevel="1"/>
    <col min="22" max="24" width="5.1796875" style="1302" customWidth="1" outlineLevel="1"/>
    <col min="25" max="25" width="6" style="1302" customWidth="1" outlineLevel="1"/>
    <col min="26" max="26" width="4.26953125" style="1129" customWidth="1"/>
    <col min="27" max="28" width="6" style="1131" hidden="1" customWidth="1" outlineLevel="1"/>
    <col min="29" max="29" width="5.1796875" style="1131" hidden="1" customWidth="1" outlineLevel="1"/>
    <col min="30" max="30" width="6" style="1131" hidden="1" customWidth="1" outlineLevel="1"/>
    <col min="31" max="31" width="4" style="1283" customWidth="1" collapsed="1"/>
    <col min="32" max="33" width="5.1796875" style="283" hidden="1" customWidth="1" outlineLevel="1"/>
    <col min="34" max="34" width="6.54296875" style="283" hidden="1" customWidth="1" outlineLevel="1"/>
    <col min="35" max="36" width="4.1796875" style="283" hidden="1" customWidth="1" outlineLevel="1"/>
    <col min="37" max="38" width="5.1796875" style="283" hidden="1" customWidth="1" outlineLevel="1"/>
    <col min="39" max="39" width="4.7265625" style="283" hidden="1" customWidth="1" outlineLevel="1"/>
    <col min="40" max="40" width="6.54296875" style="283" hidden="1" customWidth="1" outlineLevel="1"/>
    <col min="41" max="41" width="4.7265625" style="1129" bestFit="1" customWidth="1" collapsed="1"/>
    <col min="42" max="42" width="5.7265625" style="137" hidden="1" customWidth="1" outlineLevel="1"/>
    <col min="43" max="45" width="4.7265625" style="137" hidden="1" customWidth="1" outlineLevel="1"/>
    <col min="46" max="46" width="8.1796875" style="137" hidden="1" customWidth="1" outlineLevel="1"/>
    <col min="47" max="49" width="4.7265625" style="137" hidden="1" customWidth="1" outlineLevel="1"/>
    <col min="50" max="59" width="5.7265625" style="137" hidden="1" customWidth="1" outlineLevel="1"/>
    <col min="60" max="60" width="3.26953125" style="1010" bestFit="1" customWidth="1" collapsed="1"/>
    <col min="61" max="61" width="5.1796875" style="1127" hidden="1" customWidth="1" outlineLevel="1"/>
    <col min="62" max="62" width="4.7265625" style="1127" hidden="1" customWidth="1" outlineLevel="1"/>
    <col min="63" max="64" width="5.1796875" style="1127" hidden="1" customWidth="1" outlineLevel="1"/>
    <col min="65" max="66" width="6" style="1127" hidden="1" customWidth="1" outlineLevel="1"/>
    <col min="67" max="68" width="4.7265625" style="1127" hidden="1" customWidth="1" outlineLevel="1"/>
    <col min="69" max="69" width="5.1796875" style="137" hidden="1" customWidth="1" outlineLevel="1"/>
    <col min="70" max="70" width="4.7265625" style="137" hidden="1" customWidth="1" outlineLevel="1"/>
    <col min="71" max="71" width="5.1796875" style="137" hidden="1" customWidth="1" outlineLevel="1"/>
    <col min="72" max="72" width="5.7265625" style="137" hidden="1" customWidth="1" outlineLevel="1"/>
    <col min="73" max="73" width="4.7265625" style="443" bestFit="1" customWidth="1" collapsed="1"/>
    <col min="74" max="74" width="4.7265625" style="137" hidden="1" customWidth="1" outlineLevel="1"/>
    <col min="75" max="75" width="5.1796875" style="137" hidden="1" customWidth="1" outlineLevel="1"/>
    <col min="76" max="76" width="6" style="137" hidden="1" customWidth="1" outlineLevel="1"/>
    <col min="77" max="77" width="6.7265625" style="137" hidden="1" customWidth="1" outlineLevel="1"/>
    <col min="78" max="80" width="6" style="137" hidden="1" customWidth="1" outlineLevel="1"/>
    <col min="81" max="81" width="8.26953125" style="137" hidden="1" customWidth="1" outlineLevel="1"/>
    <col min="82" max="82" width="4.26953125" style="1010" customWidth="1" collapsed="1"/>
    <col min="83" max="86" width="5.1796875" style="283" customWidth="1" outlineLevel="1"/>
    <col min="87" max="87" width="6" style="283" customWidth="1" outlineLevel="1"/>
    <col min="88" max="88" width="5.1796875" style="283" customWidth="1" outlineLevel="1"/>
    <col min="89" max="89" width="4.453125" style="283" customWidth="1" outlineLevel="1"/>
    <col min="90" max="90" width="5.1796875" style="283" customWidth="1" outlineLevel="1"/>
    <col min="91" max="91" width="4.453125" style="283" customWidth="1" outlineLevel="1"/>
    <col min="92" max="92" width="4.7265625" style="283" customWidth="1" outlineLevel="1"/>
    <col min="93" max="93" width="5.1796875" style="283" customWidth="1" outlineLevel="1"/>
    <col min="94" max="94" width="4.7265625" style="283" customWidth="1" outlineLevel="1"/>
    <col min="95" max="95" width="4.453125" style="283" customWidth="1" outlineLevel="1"/>
    <col min="96" max="96" width="4.7265625" style="283" customWidth="1" outlineLevel="1"/>
    <col min="97" max="99" width="5.453125" style="283" customWidth="1" outlineLevel="1"/>
    <col min="100" max="100" width="5.453125" style="283" customWidth="1"/>
    <col min="101" max="102" width="6.54296875" style="1131" customWidth="1" outlineLevel="1"/>
    <col min="103" max="104" width="6.54296875" style="1127" customWidth="1" outlineLevel="1"/>
    <col min="105" max="105" width="5.54296875" style="1127" bestFit="1" customWidth="1" outlineLevel="1"/>
    <col min="106" max="107" width="6.54296875" style="1127" bestFit="1" customWidth="1" outlineLevel="1"/>
    <col min="108" max="108" width="8.54296875" style="1127" bestFit="1" customWidth="1" outlineLevel="1"/>
    <col min="109" max="110" width="6" style="1127" bestFit="1" customWidth="1" outlineLevel="1"/>
    <col min="111" max="111" width="3.26953125" style="1010" customWidth="1"/>
    <col min="112" max="16384" width="11.453125" style="1011"/>
  </cols>
  <sheetData>
    <row r="1" spans="1:111" s="964" customFormat="1" ht="10" customHeight="1">
      <c r="A1" s="2275"/>
      <c r="B1" s="2275"/>
      <c r="C1" s="113"/>
      <c r="K1" s="965"/>
      <c r="L1" s="966"/>
      <c r="M1" s="966"/>
      <c r="N1" s="1156"/>
      <c r="O1" s="1156"/>
      <c r="P1" s="1156"/>
      <c r="Q1" s="1156"/>
      <c r="R1" s="1156"/>
      <c r="S1" s="1156"/>
      <c r="T1" s="966"/>
      <c r="U1" s="273"/>
      <c r="V1" s="273"/>
      <c r="W1" s="273"/>
      <c r="X1" s="273"/>
      <c r="Y1" s="273"/>
      <c r="Z1" s="966"/>
      <c r="AA1" s="969"/>
      <c r="AB1" s="969"/>
      <c r="AC1" s="969"/>
      <c r="AD1" s="969"/>
      <c r="AE1" s="968"/>
      <c r="AF1" s="402"/>
      <c r="AG1" s="402"/>
      <c r="AH1" s="402"/>
      <c r="AI1" s="402"/>
      <c r="AJ1" s="402"/>
      <c r="AK1" s="402"/>
      <c r="AL1" s="402"/>
      <c r="AM1" s="402"/>
      <c r="AN1" s="402"/>
      <c r="AO1" s="968"/>
      <c r="AP1" s="402"/>
      <c r="AQ1" s="402"/>
      <c r="AR1" s="402"/>
      <c r="AS1" s="402"/>
      <c r="AT1" s="402"/>
      <c r="AU1" s="402"/>
      <c r="AV1" s="402"/>
      <c r="AW1" s="402"/>
      <c r="AX1" s="402"/>
      <c r="AY1" s="402"/>
      <c r="AZ1" s="402"/>
      <c r="BA1" s="402"/>
      <c r="BB1" s="402"/>
      <c r="BC1" s="402"/>
      <c r="BD1" s="402"/>
      <c r="BE1" s="402"/>
      <c r="BF1" s="402"/>
      <c r="BG1" s="402"/>
      <c r="BH1" s="968"/>
      <c r="BI1" s="969"/>
      <c r="BJ1" s="969"/>
      <c r="BK1" s="969"/>
      <c r="BL1" s="969"/>
      <c r="BM1" s="969"/>
      <c r="BN1" s="969"/>
      <c r="BO1" s="969"/>
      <c r="BP1" s="969"/>
      <c r="BQ1" s="402"/>
      <c r="BR1" s="402"/>
      <c r="BS1" s="402"/>
      <c r="BT1" s="402"/>
      <c r="BU1" s="402"/>
      <c r="BV1" s="402"/>
      <c r="BW1" s="402"/>
      <c r="BX1" s="402"/>
      <c r="BY1" s="402"/>
      <c r="BZ1" s="402"/>
      <c r="CA1" s="402"/>
      <c r="CB1" s="402"/>
      <c r="CC1" s="402"/>
      <c r="CD1" s="968"/>
      <c r="CE1" s="402"/>
      <c r="CF1" s="402"/>
      <c r="CG1" s="402"/>
      <c r="CH1" s="402"/>
      <c r="CI1" s="402"/>
      <c r="CJ1" s="402"/>
      <c r="CK1" s="402"/>
      <c r="CL1" s="402"/>
      <c r="CM1" s="402"/>
      <c r="CN1" s="402"/>
      <c r="CO1" s="402"/>
      <c r="CP1" s="402"/>
      <c r="CQ1" s="402"/>
      <c r="CR1" s="402"/>
      <c r="CS1" s="402"/>
      <c r="CT1" s="402"/>
      <c r="CU1" s="402"/>
      <c r="CV1" s="402"/>
      <c r="CW1" s="970"/>
      <c r="CX1" s="970"/>
      <c r="CY1" s="967"/>
      <c r="CZ1" s="967"/>
      <c r="DA1" s="967"/>
      <c r="DB1" s="967"/>
      <c r="DC1" s="967"/>
      <c r="DD1" s="967"/>
      <c r="DE1" s="967"/>
      <c r="DF1" s="967"/>
      <c r="DG1" s="979"/>
    </row>
    <row r="2" spans="1:111" s="964" customFormat="1" ht="14.5" customHeight="1">
      <c r="A2" s="2268"/>
      <c r="B2" s="2268"/>
      <c r="C2" s="1192"/>
      <c r="D2" s="972"/>
      <c r="E2" s="972"/>
      <c r="F2" s="966"/>
      <c r="G2" s="966"/>
      <c r="H2" s="973"/>
      <c r="I2" s="973"/>
      <c r="J2" s="965" t="s">
        <v>417</v>
      </c>
      <c r="K2" s="965"/>
      <c r="L2" s="966"/>
      <c r="M2" s="974"/>
      <c r="N2" s="2256" t="s">
        <v>2174</v>
      </c>
      <c r="O2" s="2257"/>
      <c r="P2" s="2257"/>
      <c r="Q2" s="2257"/>
      <c r="R2" s="2257"/>
      <c r="S2" s="2258"/>
      <c r="T2" s="1165"/>
      <c r="U2" s="2251"/>
      <c r="V2" s="2252"/>
      <c r="W2" s="2252"/>
      <c r="X2" s="2252"/>
      <c r="Y2" s="2253"/>
      <c r="Z2" s="966"/>
      <c r="AA2" s="2276" t="s">
        <v>80</v>
      </c>
      <c r="AB2" s="2257"/>
      <c r="AC2" s="2257"/>
      <c r="AD2" s="2277"/>
      <c r="AE2" s="976"/>
      <c r="AF2" s="2269" t="s">
        <v>111</v>
      </c>
      <c r="AG2" s="2270"/>
      <c r="AH2" s="2270"/>
      <c r="AI2" s="2270"/>
      <c r="AJ2" s="2270"/>
      <c r="AK2" s="2270"/>
      <c r="AL2" s="2270"/>
      <c r="AM2" s="2270"/>
      <c r="AN2" s="2270"/>
      <c r="AO2" s="977"/>
      <c r="AP2" s="2281" t="s">
        <v>418</v>
      </c>
      <c r="AQ2" s="2282"/>
      <c r="AR2" s="2282"/>
      <c r="AS2" s="2282"/>
      <c r="AT2" s="2282"/>
      <c r="AU2" s="2282"/>
      <c r="AV2" s="2282"/>
      <c r="AW2" s="2282"/>
      <c r="AX2" s="2282"/>
      <c r="AY2" s="2282"/>
      <c r="AZ2" s="2282"/>
      <c r="BA2" s="2282"/>
      <c r="BB2" s="2282"/>
      <c r="BC2" s="2282"/>
      <c r="BD2" s="2282"/>
      <c r="BE2" s="2282"/>
      <c r="BF2" s="2282"/>
      <c r="BG2" s="2282"/>
      <c r="BH2" s="978"/>
      <c r="BI2" s="2256" t="s">
        <v>424</v>
      </c>
      <c r="BJ2" s="2257"/>
      <c r="BK2" s="2257"/>
      <c r="BL2" s="2257"/>
      <c r="BM2" s="2257"/>
      <c r="BN2" s="2257"/>
      <c r="BO2" s="2257"/>
      <c r="BP2" s="2257"/>
      <c r="BQ2" s="2269" t="s">
        <v>425</v>
      </c>
      <c r="BR2" s="2270"/>
      <c r="BS2" s="2270"/>
      <c r="BT2" s="2271"/>
      <c r="BU2" s="580"/>
      <c r="BV2" s="2251"/>
      <c r="BW2" s="2252"/>
      <c r="BX2" s="2252"/>
      <c r="BY2" s="2252"/>
      <c r="BZ2" s="2252"/>
      <c r="CA2" s="2252"/>
      <c r="CB2" s="2252"/>
      <c r="CC2" s="2253"/>
      <c r="CD2" s="979"/>
      <c r="CE2" s="2283" t="s">
        <v>419</v>
      </c>
      <c r="CF2" s="2283"/>
      <c r="CG2" s="2283"/>
      <c r="CH2" s="2283"/>
      <c r="CI2" s="2283"/>
      <c r="CJ2" s="2283"/>
      <c r="CK2" s="2283"/>
      <c r="CL2" s="2283"/>
      <c r="CM2" s="2283"/>
      <c r="CN2" s="2283"/>
      <c r="CO2" s="2283"/>
      <c r="CP2" s="2283"/>
      <c r="CQ2" s="2283"/>
      <c r="CR2" s="2283"/>
      <c r="CS2" s="2283"/>
      <c r="CT2" s="2283"/>
      <c r="CU2" s="2283"/>
      <c r="CV2" s="1373"/>
      <c r="CW2" s="2257" t="s">
        <v>420</v>
      </c>
      <c r="CX2" s="2257"/>
      <c r="CY2" s="2257"/>
      <c r="CZ2" s="2257"/>
      <c r="DA2" s="2257"/>
      <c r="DB2" s="2256" t="s">
        <v>421</v>
      </c>
      <c r="DC2" s="2257"/>
      <c r="DD2" s="2257"/>
      <c r="DE2" s="2257"/>
      <c r="DF2" s="2258"/>
      <c r="DG2" s="979"/>
    </row>
    <row r="3" spans="1:111" s="964" customFormat="1" ht="14.5" customHeight="1">
      <c r="A3" s="2268"/>
      <c r="B3" s="2268"/>
      <c r="C3" s="1192"/>
      <c r="D3" s="972"/>
      <c r="E3" s="972"/>
      <c r="F3" s="966"/>
      <c r="G3" s="966"/>
      <c r="H3" s="980"/>
      <c r="I3" s="980"/>
      <c r="J3" s="965" t="s">
        <v>422</v>
      </c>
      <c r="K3" s="965"/>
      <c r="L3" s="966"/>
      <c r="M3" s="974"/>
      <c r="N3" s="2259"/>
      <c r="O3" s="2260"/>
      <c r="P3" s="2260"/>
      <c r="Q3" s="2260"/>
      <c r="R3" s="2260"/>
      <c r="S3" s="2261"/>
      <c r="T3" s="976"/>
      <c r="U3" s="2283" t="s">
        <v>88</v>
      </c>
      <c r="V3" s="2283"/>
      <c r="W3" s="2283"/>
      <c r="X3" s="2283"/>
      <c r="Y3" s="2283"/>
      <c r="Z3" s="966"/>
      <c r="AA3" s="2278"/>
      <c r="AB3" s="2279"/>
      <c r="AC3" s="2279"/>
      <c r="AD3" s="2280"/>
      <c r="AE3" s="976"/>
      <c r="AF3" s="2272"/>
      <c r="AG3" s="2273"/>
      <c r="AH3" s="2273"/>
      <c r="AI3" s="2273"/>
      <c r="AJ3" s="2273"/>
      <c r="AK3" s="2273"/>
      <c r="AL3" s="2273"/>
      <c r="AM3" s="2273"/>
      <c r="AN3" s="2273"/>
      <c r="AO3" s="977"/>
      <c r="AP3" s="2281" t="s">
        <v>423</v>
      </c>
      <c r="AQ3" s="2282"/>
      <c r="AR3" s="2282"/>
      <c r="AS3" s="2282"/>
      <c r="AT3" s="2282"/>
      <c r="AU3" s="2282"/>
      <c r="AV3" s="2282"/>
      <c r="AW3" s="2282"/>
      <c r="AX3" s="2281" t="s">
        <v>2012</v>
      </c>
      <c r="AY3" s="2282"/>
      <c r="AZ3" s="2282"/>
      <c r="BA3" s="2282"/>
      <c r="BB3" s="2282"/>
      <c r="BC3" s="2282"/>
      <c r="BD3" s="2282"/>
      <c r="BE3" s="2282"/>
      <c r="BF3" s="2282"/>
      <c r="BG3" s="2282"/>
      <c r="BH3" s="981"/>
      <c r="BI3" s="2259"/>
      <c r="BJ3" s="2260"/>
      <c r="BK3" s="2260"/>
      <c r="BL3" s="2260"/>
      <c r="BM3" s="2260"/>
      <c r="BN3" s="2260"/>
      <c r="BO3" s="2260"/>
      <c r="BP3" s="2260"/>
      <c r="BQ3" s="2272"/>
      <c r="BR3" s="2273"/>
      <c r="BS3" s="2273"/>
      <c r="BT3" s="2274"/>
      <c r="BU3" s="580"/>
      <c r="BV3" s="2251" t="s">
        <v>2332</v>
      </c>
      <c r="BW3" s="2253"/>
      <c r="BX3" s="2251" t="s">
        <v>426</v>
      </c>
      <c r="BY3" s="2252"/>
      <c r="BZ3" s="2252"/>
      <c r="CA3" s="2251" t="s">
        <v>427</v>
      </c>
      <c r="CB3" s="2252"/>
      <c r="CC3" s="2253"/>
      <c r="CD3" s="979"/>
      <c r="CE3" s="2283" t="s">
        <v>2241</v>
      </c>
      <c r="CF3" s="2283"/>
      <c r="CG3" s="2283"/>
      <c r="CH3" s="2283"/>
      <c r="CI3" s="2283"/>
      <c r="CJ3" s="2283" t="s">
        <v>2240</v>
      </c>
      <c r="CK3" s="2283"/>
      <c r="CL3" s="2283"/>
      <c r="CM3" s="2283"/>
      <c r="CN3" s="2283"/>
      <c r="CO3" s="2283"/>
      <c r="CP3" s="2283"/>
      <c r="CQ3" s="2283"/>
      <c r="CR3" s="2283"/>
      <c r="CS3" s="2283"/>
      <c r="CT3" s="2283"/>
      <c r="CU3" s="2283"/>
      <c r="CV3" s="1373"/>
      <c r="CW3" s="2260"/>
      <c r="CX3" s="2260"/>
      <c r="CY3" s="2260"/>
      <c r="CZ3" s="2260"/>
      <c r="DA3" s="2260"/>
      <c r="DB3" s="2259"/>
      <c r="DC3" s="2260"/>
      <c r="DD3" s="2260"/>
      <c r="DE3" s="2260"/>
      <c r="DF3" s="2261"/>
      <c r="DG3" s="979"/>
    </row>
    <row r="4" spans="1:111" s="964" customFormat="1" ht="13">
      <c r="A4" s="2268"/>
      <c r="B4" s="2268"/>
      <c r="C4" s="1192"/>
      <c r="D4" s="972"/>
      <c r="E4" s="972"/>
      <c r="F4" s="966"/>
      <c r="G4" s="966"/>
      <c r="H4" s="982"/>
      <c r="I4" s="982"/>
      <c r="J4" s="965" t="s">
        <v>428</v>
      </c>
      <c r="K4" s="965"/>
      <c r="L4" s="966"/>
      <c r="M4" s="966"/>
      <c r="N4" s="1157" t="s">
        <v>430</v>
      </c>
      <c r="O4" s="1158" t="s">
        <v>431</v>
      </c>
      <c r="P4" s="1158"/>
      <c r="Q4" s="1158" t="s">
        <v>431</v>
      </c>
      <c r="R4" s="1158" t="s">
        <v>432</v>
      </c>
      <c r="S4" s="1159" t="s">
        <v>433</v>
      </c>
      <c r="T4" s="971"/>
      <c r="U4" s="1310" t="s">
        <v>434</v>
      </c>
      <c r="V4" s="1311" t="s">
        <v>435</v>
      </c>
      <c r="W4" s="1311" t="s">
        <v>435</v>
      </c>
      <c r="X4" s="1311" t="s">
        <v>436</v>
      </c>
      <c r="Y4" s="1403" t="s">
        <v>2013</v>
      </c>
      <c r="Z4" s="966"/>
      <c r="AA4" s="1018" t="s">
        <v>429</v>
      </c>
      <c r="AB4" s="1404"/>
      <c r="AC4" s="1404"/>
      <c r="AD4" s="1405" t="s">
        <v>430</v>
      </c>
      <c r="AE4" s="986"/>
      <c r="AF4" s="1310" t="s">
        <v>437</v>
      </c>
      <c r="AG4" s="1311" t="s">
        <v>438</v>
      </c>
      <c r="AH4" s="1311" t="s">
        <v>439</v>
      </c>
      <c r="AI4" s="1311" t="s">
        <v>2316</v>
      </c>
      <c r="AJ4" s="1311"/>
      <c r="AK4" s="1311" t="s">
        <v>2317</v>
      </c>
      <c r="AL4" s="1311" t="s">
        <v>2318</v>
      </c>
      <c r="AM4" s="1311" t="s">
        <v>2319</v>
      </c>
      <c r="AN4" s="1312" t="s">
        <v>2320</v>
      </c>
      <c r="AO4" s="987"/>
      <c r="AP4" s="1265" t="s">
        <v>440</v>
      </c>
      <c r="AQ4" s="1266" t="s">
        <v>441</v>
      </c>
      <c r="AR4" s="1266"/>
      <c r="AS4" s="1266" t="s">
        <v>442</v>
      </c>
      <c r="AT4" s="1266" t="s">
        <v>443</v>
      </c>
      <c r="AU4" s="1267"/>
      <c r="AV4" s="1267" t="s">
        <v>444</v>
      </c>
      <c r="AW4" s="1267" t="s">
        <v>444</v>
      </c>
      <c r="AX4" s="1265" t="s">
        <v>447</v>
      </c>
      <c r="AY4" s="1266" t="s">
        <v>448</v>
      </c>
      <c r="AZ4" s="1266" t="s">
        <v>449</v>
      </c>
      <c r="BA4" s="1266" t="s">
        <v>450</v>
      </c>
      <c r="BB4" s="1266" t="s">
        <v>451</v>
      </c>
      <c r="BC4" s="1266" t="s">
        <v>452</v>
      </c>
      <c r="BD4" s="1266" t="s">
        <v>453</v>
      </c>
      <c r="BE4" s="1266" t="s">
        <v>454</v>
      </c>
      <c r="BF4" s="1266" t="s">
        <v>455</v>
      </c>
      <c r="BG4" s="1268" t="s">
        <v>456</v>
      </c>
      <c r="BH4" s="988"/>
      <c r="BI4" s="1018" t="s">
        <v>440</v>
      </c>
      <c r="BJ4" s="1019" t="s">
        <v>441</v>
      </c>
      <c r="BK4" s="1019" t="s">
        <v>442</v>
      </c>
      <c r="BL4" s="1019" t="s">
        <v>443</v>
      </c>
      <c r="BM4" s="1019" t="s">
        <v>444</v>
      </c>
      <c r="BN4" s="1019" t="s">
        <v>445</v>
      </c>
      <c r="BO4" s="1406" t="s">
        <v>446</v>
      </c>
      <c r="BP4" s="1405" t="s">
        <v>2304</v>
      </c>
      <c r="BQ4" s="1310" t="s">
        <v>457</v>
      </c>
      <c r="BR4" s="1311" t="s">
        <v>458</v>
      </c>
      <c r="BS4" s="1407" t="s">
        <v>459</v>
      </c>
      <c r="BT4" s="1403" t="s">
        <v>2303</v>
      </c>
      <c r="BU4" s="1287"/>
      <c r="BV4" s="1409" t="s">
        <v>2014</v>
      </c>
      <c r="BW4" s="1411" t="s">
        <v>2015</v>
      </c>
      <c r="BX4" s="1409" t="s">
        <v>460</v>
      </c>
      <c r="BY4" s="1410"/>
      <c r="BZ4" s="1462" t="s">
        <v>461</v>
      </c>
      <c r="CA4" s="1409" t="s">
        <v>462</v>
      </c>
      <c r="CB4" s="1410" t="s">
        <v>463</v>
      </c>
      <c r="CC4" s="1411"/>
      <c r="CD4" s="979"/>
      <c r="CE4" s="1212" t="s">
        <v>2233</v>
      </c>
      <c r="CF4" s="1200" t="s">
        <v>2234</v>
      </c>
      <c r="CG4" s="1200" t="s">
        <v>2235</v>
      </c>
      <c r="CH4" s="1200" t="s">
        <v>2236</v>
      </c>
      <c r="CI4" s="1213" t="s">
        <v>2237</v>
      </c>
      <c r="CJ4" s="1210" t="s">
        <v>464</v>
      </c>
      <c r="CK4" s="1200" t="s">
        <v>465</v>
      </c>
      <c r="CL4" s="1200" t="s">
        <v>466</v>
      </c>
      <c r="CM4" s="1200" t="s">
        <v>467</v>
      </c>
      <c r="CN4" s="1200" t="s">
        <v>468</v>
      </c>
      <c r="CO4" s="1200" t="s">
        <v>469</v>
      </c>
      <c r="CP4" s="1200" t="s">
        <v>470</v>
      </c>
      <c r="CQ4" s="1200" t="s">
        <v>471</v>
      </c>
      <c r="CR4" s="1200" t="s">
        <v>472</v>
      </c>
      <c r="CS4" s="1200" t="s">
        <v>473</v>
      </c>
      <c r="CT4" s="1200" t="s">
        <v>2238</v>
      </c>
      <c r="CU4" s="1213" t="s">
        <v>2239</v>
      </c>
      <c r="CV4" s="1374"/>
      <c r="CW4" s="1210"/>
      <c r="CX4" s="1200"/>
      <c r="CY4" s="1200"/>
      <c r="CZ4" s="1443"/>
      <c r="DA4" s="1443"/>
      <c r="DB4" s="1212"/>
      <c r="DC4" s="1200"/>
      <c r="DD4" s="1200"/>
      <c r="DE4" s="1200"/>
      <c r="DF4" s="1213"/>
      <c r="DG4" s="979"/>
    </row>
    <row r="5" spans="1:111" s="964" customFormat="1" ht="13">
      <c r="A5" s="971"/>
      <c r="B5" s="989"/>
      <c r="C5" s="1192"/>
      <c r="D5" s="972"/>
      <c r="E5" s="972"/>
      <c r="F5" s="966"/>
      <c r="G5" s="966"/>
      <c r="H5" s="990"/>
      <c r="I5" s="990"/>
      <c r="J5" s="965" t="s">
        <v>474</v>
      </c>
      <c r="K5" s="965"/>
      <c r="L5" s="966"/>
      <c r="M5" s="966"/>
      <c r="N5" s="1140" t="s">
        <v>475</v>
      </c>
      <c r="O5" s="1141" t="s">
        <v>475</v>
      </c>
      <c r="P5" s="1141"/>
      <c r="Q5" s="1141" t="s">
        <v>475</v>
      </c>
      <c r="R5" s="1141" t="s">
        <v>475</v>
      </c>
      <c r="S5" s="1142" t="s">
        <v>475</v>
      </c>
      <c r="T5" s="971"/>
      <c r="U5" s="1172" t="s">
        <v>475</v>
      </c>
      <c r="V5" s="1173" t="s">
        <v>475</v>
      </c>
      <c r="W5" s="1173" t="s">
        <v>475</v>
      </c>
      <c r="X5" s="1173" t="s">
        <v>475</v>
      </c>
      <c r="Y5" s="1174" t="s">
        <v>475</v>
      </c>
      <c r="Z5" s="966"/>
      <c r="AA5" s="1140" t="s">
        <v>475</v>
      </c>
      <c r="AB5" s="1380"/>
      <c r="AC5" s="1380"/>
      <c r="AD5" s="1142" t="s">
        <v>475</v>
      </c>
      <c r="AE5" s="986"/>
      <c r="AF5" s="1172"/>
      <c r="AG5" s="1173"/>
      <c r="AH5" s="1173"/>
      <c r="AI5" s="1173"/>
      <c r="AJ5" s="1173"/>
      <c r="AK5" s="1173"/>
      <c r="AL5" s="1173"/>
      <c r="AM5" s="1173"/>
      <c r="AN5" s="1174"/>
      <c r="AO5" s="987"/>
      <c r="AP5" s="1172" t="s">
        <v>475</v>
      </c>
      <c r="AQ5" s="1173" t="s">
        <v>475</v>
      </c>
      <c r="AR5" s="1173"/>
      <c r="AS5" s="1173" t="s">
        <v>475</v>
      </c>
      <c r="AT5" s="1173" t="s">
        <v>475</v>
      </c>
      <c r="AU5" s="1173"/>
      <c r="AV5" s="1173" t="s">
        <v>475</v>
      </c>
      <c r="AW5" s="1174" t="s">
        <v>475</v>
      </c>
      <c r="AX5" s="1172" t="s">
        <v>475</v>
      </c>
      <c r="AY5" s="1173" t="s">
        <v>475</v>
      </c>
      <c r="AZ5" s="1173" t="s">
        <v>475</v>
      </c>
      <c r="BA5" s="1173" t="s">
        <v>475</v>
      </c>
      <c r="BB5" s="1173" t="s">
        <v>475</v>
      </c>
      <c r="BC5" s="1173" t="s">
        <v>475</v>
      </c>
      <c r="BD5" s="1173" t="s">
        <v>475</v>
      </c>
      <c r="BE5" s="1173" t="s">
        <v>475</v>
      </c>
      <c r="BF5" s="1173" t="s">
        <v>475</v>
      </c>
      <c r="BG5" s="1174" t="s">
        <v>475</v>
      </c>
      <c r="BH5" s="995"/>
      <c r="BI5" s="1140"/>
      <c r="BJ5" s="1141"/>
      <c r="BK5" s="1141"/>
      <c r="BL5" s="1141"/>
      <c r="BM5" s="1141"/>
      <c r="BN5" s="1141"/>
      <c r="BO5" s="1153"/>
      <c r="BP5" s="1142"/>
      <c r="BQ5" s="1172" t="s">
        <v>475</v>
      </c>
      <c r="BR5" s="1173" t="s">
        <v>475</v>
      </c>
      <c r="BS5" s="1286"/>
      <c r="BT5" s="1174" t="s">
        <v>475</v>
      </c>
      <c r="BU5" s="1287"/>
      <c r="BV5" s="1322" t="s">
        <v>475</v>
      </c>
      <c r="BW5" s="1324" t="s">
        <v>475</v>
      </c>
      <c r="BX5" s="1322" t="s">
        <v>475</v>
      </c>
      <c r="BY5" s="1323"/>
      <c r="BZ5" s="1463" t="s">
        <v>475</v>
      </c>
      <c r="CA5" s="1322" t="s">
        <v>475</v>
      </c>
      <c r="CB5" s="1323" t="s">
        <v>475</v>
      </c>
      <c r="CC5" s="1324"/>
      <c r="CD5" s="979"/>
      <c r="CE5" s="1172"/>
      <c r="CF5" s="1173"/>
      <c r="CG5" s="1173" t="s">
        <v>475</v>
      </c>
      <c r="CH5" s="1173" t="s">
        <v>475</v>
      </c>
      <c r="CI5" s="1174" t="s">
        <v>475</v>
      </c>
      <c r="CJ5" s="1180" t="s">
        <v>475</v>
      </c>
      <c r="CK5" s="1173"/>
      <c r="CL5" s="1173" t="s">
        <v>475</v>
      </c>
      <c r="CM5" s="1173"/>
      <c r="CN5" s="1173" t="s">
        <v>475</v>
      </c>
      <c r="CO5" s="1173" t="s">
        <v>475</v>
      </c>
      <c r="CP5" s="1173" t="s">
        <v>475</v>
      </c>
      <c r="CQ5" s="1173"/>
      <c r="CR5" s="1173" t="s">
        <v>475</v>
      </c>
      <c r="CS5" s="1173"/>
      <c r="CT5" s="1173" t="s">
        <v>475</v>
      </c>
      <c r="CU5" s="1174" t="s">
        <v>475</v>
      </c>
      <c r="CV5" s="1375"/>
      <c r="CW5" s="994" t="s">
        <v>475</v>
      </c>
      <c r="CX5" s="992" t="s">
        <v>475</v>
      </c>
      <c r="CY5" s="992" t="s">
        <v>475</v>
      </c>
      <c r="CZ5" s="996"/>
      <c r="DA5" s="996" t="s">
        <v>475</v>
      </c>
      <c r="DB5" s="991" t="s">
        <v>475</v>
      </c>
      <c r="DC5" s="992" t="s">
        <v>475</v>
      </c>
      <c r="DD5" s="992" t="s">
        <v>475</v>
      </c>
      <c r="DE5" s="992" t="s">
        <v>475</v>
      </c>
      <c r="DF5" s="993" t="s">
        <v>475</v>
      </c>
      <c r="DG5" s="979"/>
    </row>
    <row r="6" spans="1:111" ht="104.25" customHeight="1">
      <c r="A6" s="997"/>
      <c r="B6" s="998"/>
      <c r="C6" s="1193" t="s">
        <v>1834</v>
      </c>
      <c r="D6" s="999"/>
      <c r="E6" s="999"/>
      <c r="F6" s="1000"/>
      <c r="G6" s="1000"/>
      <c r="H6" s="1001"/>
      <c r="I6" s="1000"/>
      <c r="J6" s="1000"/>
      <c r="K6" s="1418"/>
      <c r="L6" s="966"/>
      <c r="M6" s="1000"/>
      <c r="N6" s="1005" t="s">
        <v>476</v>
      </c>
      <c r="O6" s="1006" t="s">
        <v>2016</v>
      </c>
      <c r="P6" s="1006" t="s">
        <v>2173</v>
      </c>
      <c r="Q6" s="1006" t="s">
        <v>2017</v>
      </c>
      <c r="R6" s="1006" t="s">
        <v>477</v>
      </c>
      <c r="S6" s="1007" t="s">
        <v>478</v>
      </c>
      <c r="T6" s="1009"/>
      <c r="U6" s="420" t="s">
        <v>479</v>
      </c>
      <c r="V6" s="421" t="s">
        <v>480</v>
      </c>
      <c r="W6" s="421" t="s">
        <v>481</v>
      </c>
      <c r="X6" s="421" t="s">
        <v>482</v>
      </c>
      <c r="Y6" s="422" t="s">
        <v>2018</v>
      </c>
      <c r="Z6" s="1000"/>
      <c r="AA6" s="1381" t="s">
        <v>483</v>
      </c>
      <c r="AB6" s="1382" t="s">
        <v>2294</v>
      </c>
      <c r="AC6" s="1382" t="s">
        <v>2295</v>
      </c>
      <c r="AD6" s="1383" t="s">
        <v>2019</v>
      </c>
      <c r="AE6" s="1003"/>
      <c r="AF6" s="1303" t="s">
        <v>2020</v>
      </c>
      <c r="AG6" s="1304" t="s">
        <v>2021</v>
      </c>
      <c r="AH6" s="1304" t="s">
        <v>2022</v>
      </c>
      <c r="AI6" s="1304" t="s">
        <v>2315</v>
      </c>
      <c r="AJ6" s="1304" t="s">
        <v>2322</v>
      </c>
      <c r="AK6" s="1304" t="s">
        <v>484</v>
      </c>
      <c r="AL6" s="1304" t="s">
        <v>485</v>
      </c>
      <c r="AM6" s="1304" t="s">
        <v>2314</v>
      </c>
      <c r="AN6" s="1305" t="s">
        <v>2313</v>
      </c>
      <c r="AO6" s="1004"/>
      <c r="AP6" s="420" t="s">
        <v>2289</v>
      </c>
      <c r="AQ6" s="421" t="s">
        <v>2290</v>
      </c>
      <c r="AR6" s="421" t="s">
        <v>2291</v>
      </c>
      <c r="AS6" s="421" t="s">
        <v>2292</v>
      </c>
      <c r="AT6" s="421" t="s">
        <v>2023</v>
      </c>
      <c r="AU6" s="421" t="s">
        <v>1882</v>
      </c>
      <c r="AV6" s="421" t="s">
        <v>2024</v>
      </c>
      <c r="AW6" s="422" t="s">
        <v>2025</v>
      </c>
      <c r="AX6" s="420" t="s">
        <v>2026</v>
      </c>
      <c r="AY6" s="421" t="s">
        <v>2027</v>
      </c>
      <c r="AZ6" s="421" t="s">
        <v>2028</v>
      </c>
      <c r="BA6" s="421" t="s">
        <v>2029</v>
      </c>
      <c r="BB6" s="421" t="s">
        <v>2030</v>
      </c>
      <c r="BC6" s="421" t="s">
        <v>2031</v>
      </c>
      <c r="BD6" s="421" t="s">
        <v>2032</v>
      </c>
      <c r="BE6" s="421" t="s">
        <v>2033</v>
      </c>
      <c r="BF6" s="421" t="s">
        <v>2034</v>
      </c>
      <c r="BG6" s="422" t="s">
        <v>2035</v>
      </c>
      <c r="BH6" s="1009"/>
      <c r="BI6" s="1005" t="s">
        <v>2036</v>
      </c>
      <c r="BJ6" s="1006" t="s">
        <v>2167</v>
      </c>
      <c r="BK6" s="1006" t="s">
        <v>2155</v>
      </c>
      <c r="BL6" s="1006" t="s">
        <v>2166</v>
      </c>
      <c r="BM6" s="1006" t="s">
        <v>2156</v>
      </c>
      <c r="BN6" s="1006" t="s">
        <v>2038</v>
      </c>
      <c r="BO6" s="1008" t="s">
        <v>2168</v>
      </c>
      <c r="BP6" s="1007" t="s">
        <v>2039</v>
      </c>
      <c r="BQ6" s="420" t="s">
        <v>2040</v>
      </c>
      <c r="BR6" s="421" t="s">
        <v>2037</v>
      </c>
      <c r="BS6" s="1288" t="s">
        <v>2302</v>
      </c>
      <c r="BT6" s="422" t="s">
        <v>2041</v>
      </c>
      <c r="BU6" s="1289"/>
      <c r="BV6" s="1415" t="s">
        <v>2330</v>
      </c>
      <c r="BW6" s="1416" t="s">
        <v>2331</v>
      </c>
      <c r="BX6" s="1415" t="s">
        <v>2325</v>
      </c>
      <c r="BY6" s="1417" t="s">
        <v>2326</v>
      </c>
      <c r="BZ6" s="1464" t="s">
        <v>2360</v>
      </c>
      <c r="CA6" s="1412" t="s">
        <v>2327</v>
      </c>
      <c r="CB6" s="1413" t="s">
        <v>2328</v>
      </c>
      <c r="CC6" s="1414" t="s">
        <v>2329</v>
      </c>
      <c r="CE6" s="420" t="s">
        <v>2229</v>
      </c>
      <c r="CF6" s="421" t="s">
        <v>2231</v>
      </c>
      <c r="CG6" s="421" t="s">
        <v>490</v>
      </c>
      <c r="CH6" s="421" t="s">
        <v>2042</v>
      </c>
      <c r="CI6" s="422" t="s">
        <v>2224</v>
      </c>
      <c r="CJ6" s="1201" t="s">
        <v>2230</v>
      </c>
      <c r="CK6" s="421" t="s">
        <v>2227</v>
      </c>
      <c r="CL6" s="421" t="s">
        <v>493</v>
      </c>
      <c r="CM6" s="421" t="s">
        <v>2226</v>
      </c>
      <c r="CN6" s="421" t="s">
        <v>2225</v>
      </c>
      <c r="CO6" s="421" t="s">
        <v>2228</v>
      </c>
      <c r="CP6" s="421" t="s">
        <v>491</v>
      </c>
      <c r="CQ6" s="421" t="s">
        <v>2045</v>
      </c>
      <c r="CR6" s="421" t="s">
        <v>492</v>
      </c>
      <c r="CS6" s="421" t="s">
        <v>2232</v>
      </c>
      <c r="CT6" s="421" t="s">
        <v>2043</v>
      </c>
      <c r="CU6" s="422" t="s">
        <v>2044</v>
      </c>
      <c r="CV6" s="1376"/>
      <c r="CW6" s="1002" t="s">
        <v>2046</v>
      </c>
      <c r="CX6" s="1006" t="s">
        <v>2047</v>
      </c>
      <c r="CY6" s="1006" t="s">
        <v>2048</v>
      </c>
      <c r="CZ6" s="1008" t="s">
        <v>2359</v>
      </c>
      <c r="DA6" s="1008" t="s">
        <v>2049</v>
      </c>
      <c r="DB6" s="1005" t="s">
        <v>2050</v>
      </c>
      <c r="DC6" s="1006" t="s">
        <v>2051</v>
      </c>
      <c r="DD6" s="1006" t="s">
        <v>2052</v>
      </c>
      <c r="DE6" s="1006" t="s">
        <v>2053</v>
      </c>
      <c r="DF6" s="1007" t="s">
        <v>2054</v>
      </c>
    </row>
    <row r="7" spans="1:111" s="964" customFormat="1" ht="26">
      <c r="A7" s="975" t="s">
        <v>494</v>
      </c>
      <c r="B7" s="1012" t="s">
        <v>495</v>
      </c>
      <c r="C7" s="1194" t="s">
        <v>496</v>
      </c>
      <c r="D7" s="983" t="s">
        <v>212</v>
      </c>
      <c r="E7" s="984" t="s">
        <v>381</v>
      </c>
      <c r="F7" s="985" t="s">
        <v>497</v>
      </c>
      <c r="G7" s="1013" t="s">
        <v>498</v>
      </c>
      <c r="H7" s="1014" t="s">
        <v>499</v>
      </c>
      <c r="I7" s="1015" t="s">
        <v>500</v>
      </c>
      <c r="J7" s="983" t="s">
        <v>501</v>
      </c>
      <c r="K7" s="1016" t="s">
        <v>502</v>
      </c>
      <c r="L7" s="1017" t="s">
        <v>503</v>
      </c>
      <c r="M7" s="1284"/>
      <c r="N7" s="1157" t="s">
        <v>4</v>
      </c>
      <c r="O7" s="1158" t="s">
        <v>4</v>
      </c>
      <c r="P7" s="1158" t="s">
        <v>4</v>
      </c>
      <c r="Q7" s="1158" t="s">
        <v>4</v>
      </c>
      <c r="R7" s="1158" t="s">
        <v>4</v>
      </c>
      <c r="S7" s="1159" t="s">
        <v>4</v>
      </c>
      <c r="T7" s="971"/>
      <c r="U7" s="1269" t="s">
        <v>4</v>
      </c>
      <c r="V7" s="1290" t="s">
        <v>59</v>
      </c>
      <c r="W7" s="1290" t="s">
        <v>77</v>
      </c>
      <c r="X7" s="1290" t="s">
        <v>4</v>
      </c>
      <c r="Y7" s="1271" t="s">
        <v>4</v>
      </c>
      <c r="Z7" s="1282"/>
      <c r="AA7" s="1157" t="s">
        <v>4</v>
      </c>
      <c r="AB7" s="1384" t="s">
        <v>4</v>
      </c>
      <c r="AC7" s="1384" t="s">
        <v>4</v>
      </c>
      <c r="AD7" s="1159" t="s">
        <v>4</v>
      </c>
      <c r="AE7" s="1028"/>
      <c r="AF7" s="1269" t="s">
        <v>4</v>
      </c>
      <c r="AG7" s="1270" t="s">
        <v>4</v>
      </c>
      <c r="AH7" s="1270" t="s">
        <v>59</v>
      </c>
      <c r="AI7" s="1270" t="s">
        <v>59</v>
      </c>
      <c r="AJ7" s="1270" t="s">
        <v>59</v>
      </c>
      <c r="AK7" s="1270" t="s">
        <v>4</v>
      </c>
      <c r="AL7" s="1270" t="s">
        <v>59</v>
      </c>
      <c r="AM7" s="1270" t="s">
        <v>59</v>
      </c>
      <c r="AN7" s="1271" t="s">
        <v>4</v>
      </c>
      <c r="AO7" s="1264"/>
      <c r="AP7" s="1269" t="s">
        <v>77</v>
      </c>
      <c r="AQ7" s="1270" t="s">
        <v>77</v>
      </c>
      <c r="AR7" s="1270" t="s">
        <v>77</v>
      </c>
      <c r="AS7" s="1270" t="s">
        <v>77</v>
      </c>
      <c r="AT7" s="1270" t="s">
        <v>77</v>
      </c>
      <c r="AU7" s="1270" t="s">
        <v>77</v>
      </c>
      <c r="AV7" s="1270" t="s">
        <v>77</v>
      </c>
      <c r="AW7" s="1271" t="s">
        <v>77</v>
      </c>
      <c r="AX7" s="1269" t="s">
        <v>77</v>
      </c>
      <c r="AY7" s="1270" t="s">
        <v>77</v>
      </c>
      <c r="AZ7" s="1270" t="s">
        <v>77</v>
      </c>
      <c r="BA7" s="1270" t="s">
        <v>77</v>
      </c>
      <c r="BB7" s="1270" t="s">
        <v>77</v>
      </c>
      <c r="BC7" s="1270" t="s">
        <v>77</v>
      </c>
      <c r="BD7" s="1270" t="s">
        <v>77</v>
      </c>
      <c r="BE7" s="1270" t="s">
        <v>77</v>
      </c>
      <c r="BF7" s="1270" t="s">
        <v>77</v>
      </c>
      <c r="BG7" s="1271" t="s">
        <v>77</v>
      </c>
      <c r="BH7" s="1029"/>
      <c r="BI7" s="1143" t="s">
        <v>4</v>
      </c>
      <c r="BJ7" s="1144" t="s">
        <v>4</v>
      </c>
      <c r="BK7" s="1144" t="s">
        <v>4</v>
      </c>
      <c r="BL7" s="1144"/>
      <c r="BM7" s="1144" t="s">
        <v>4</v>
      </c>
      <c r="BN7" s="1144" t="s">
        <v>4</v>
      </c>
      <c r="BO7" s="1154"/>
      <c r="BP7" s="1145" t="s">
        <v>4</v>
      </c>
      <c r="BQ7" s="1269" t="s">
        <v>59</v>
      </c>
      <c r="BR7" s="1270" t="s">
        <v>59</v>
      </c>
      <c r="BS7" s="1291" t="s">
        <v>59</v>
      </c>
      <c r="BT7" s="1271" t="s">
        <v>59</v>
      </c>
      <c r="BU7" s="320"/>
      <c r="BV7" s="1269" t="s">
        <v>4</v>
      </c>
      <c r="BW7" s="1271" t="s">
        <v>4</v>
      </c>
      <c r="BX7" s="1269" t="s">
        <v>4</v>
      </c>
      <c r="BY7" s="1270" t="s">
        <v>4</v>
      </c>
      <c r="BZ7" s="1291" t="s">
        <v>4</v>
      </c>
      <c r="CA7" s="1269" t="s">
        <v>4</v>
      </c>
      <c r="CB7" s="1270" t="s">
        <v>4</v>
      </c>
      <c r="CC7" s="1271" t="s">
        <v>4</v>
      </c>
      <c r="CD7" s="979"/>
      <c r="CE7" s="423"/>
      <c r="CF7" s="424"/>
      <c r="CG7" s="424"/>
      <c r="CH7" s="424" t="s">
        <v>56</v>
      </c>
      <c r="CI7" s="425" t="s">
        <v>56</v>
      </c>
      <c r="CJ7" s="1202" t="s">
        <v>56</v>
      </c>
      <c r="CK7" s="424"/>
      <c r="CL7" s="424" t="s">
        <v>56</v>
      </c>
      <c r="CM7" s="424"/>
      <c r="CN7" s="424"/>
      <c r="CO7" s="424"/>
      <c r="CP7" s="424"/>
      <c r="CQ7" s="424"/>
      <c r="CR7" s="424"/>
      <c r="CS7" s="424"/>
      <c r="CT7" s="424"/>
      <c r="CU7" s="425"/>
      <c r="CV7" s="323"/>
      <c r="CW7" s="1211" t="s">
        <v>56</v>
      </c>
      <c r="CX7" s="1020" t="s">
        <v>56</v>
      </c>
      <c r="CY7" s="1020" t="s">
        <v>56</v>
      </c>
      <c r="CZ7" s="1021" t="s">
        <v>56</v>
      </c>
      <c r="DA7" s="1021" t="s">
        <v>56</v>
      </c>
      <c r="DB7" s="1018" t="s">
        <v>56</v>
      </c>
      <c r="DC7" s="1019" t="s">
        <v>56</v>
      </c>
      <c r="DD7" s="1019" t="s">
        <v>56</v>
      </c>
      <c r="DE7" s="1019" t="s">
        <v>56</v>
      </c>
      <c r="DF7" s="1405" t="s">
        <v>56</v>
      </c>
      <c r="DG7" s="979"/>
    </row>
    <row r="8" spans="1:111" s="1010" customFormat="1" ht="13">
      <c r="A8" s="2266" t="s">
        <v>2055</v>
      </c>
      <c r="B8" s="1186">
        <v>1</v>
      </c>
      <c r="C8" s="497" t="s">
        <v>2056</v>
      </c>
      <c r="D8" s="1187">
        <v>0</v>
      </c>
      <c r="E8" s="1188">
        <v>0</v>
      </c>
      <c r="F8" s="1189">
        <v>172.88</v>
      </c>
      <c r="G8" s="1091">
        <v>63.68</v>
      </c>
      <c r="H8" s="1190">
        <f>1.57+3.3</f>
        <v>4.87</v>
      </c>
      <c r="I8" s="1093">
        <f>+G8-H8</f>
        <v>58.81</v>
      </c>
      <c r="J8" s="1191">
        <v>2.93</v>
      </c>
      <c r="K8" s="1419"/>
      <c r="L8" s="1420"/>
      <c r="M8" s="1027"/>
      <c r="N8" s="1149"/>
      <c r="O8" s="1160"/>
      <c r="P8" s="1160"/>
      <c r="Q8" s="1160"/>
      <c r="R8" s="1160"/>
      <c r="S8" s="1161"/>
      <c r="T8" s="1027"/>
      <c r="U8" s="434"/>
      <c r="V8" s="433"/>
      <c r="W8" s="433"/>
      <c r="X8" s="433"/>
      <c r="Y8" s="426">
        <f>$I8*$J8</f>
        <v>172.31330000000003</v>
      </c>
      <c r="Z8" s="1027"/>
      <c r="AA8" s="1385"/>
      <c r="AB8" s="1386"/>
      <c r="AC8" s="1386"/>
      <c r="AD8" s="1387"/>
      <c r="AE8" s="1028"/>
      <c r="AF8" s="434"/>
      <c r="AG8" s="433"/>
      <c r="AH8" s="433"/>
      <c r="AI8" s="433"/>
      <c r="AJ8" s="433"/>
      <c r="AK8" s="433"/>
      <c r="AL8" s="433"/>
      <c r="AM8" s="433"/>
      <c r="AN8" s="426">
        <f t="shared" ref="AN8:AN25" si="0">+F8</f>
        <v>172.88</v>
      </c>
      <c r="AO8" s="1029"/>
      <c r="AP8" s="434"/>
      <c r="AQ8" s="433"/>
      <c r="AR8" s="433"/>
      <c r="AS8" s="433"/>
      <c r="AT8" s="433"/>
      <c r="AU8" s="433"/>
      <c r="AV8" s="433"/>
      <c r="AW8" s="426"/>
      <c r="AX8" s="434"/>
      <c r="AY8" s="433"/>
      <c r="AZ8" s="433"/>
      <c r="BA8" s="433"/>
      <c r="BB8" s="433"/>
      <c r="BC8" s="433"/>
      <c r="BD8" s="433"/>
      <c r="BE8" s="433"/>
      <c r="BF8" s="433"/>
      <c r="BG8" s="426"/>
      <c r="BH8" s="1033"/>
      <c r="BI8" s="1034">
        <f>$F8</f>
        <v>172.88</v>
      </c>
      <c r="BJ8" s="1035"/>
      <c r="BK8" s="1035"/>
      <c r="BL8" s="1035"/>
      <c r="BM8" s="1035"/>
      <c r="BN8" s="1035"/>
      <c r="BO8" s="1035"/>
      <c r="BP8" s="1036"/>
      <c r="BQ8" s="434"/>
      <c r="BR8" s="433"/>
      <c r="BS8" s="433"/>
      <c r="BT8" s="426"/>
      <c r="BU8" s="1293"/>
      <c r="BV8" s="434"/>
      <c r="BW8" s="426"/>
      <c r="BX8" s="434">
        <f>+I8*J8</f>
        <v>172.31330000000003</v>
      </c>
      <c r="BY8" s="433"/>
      <c r="BZ8" s="1280"/>
      <c r="CA8" s="1272">
        <f t="shared" ref="CA8:CA22" si="1">+F8</f>
        <v>172.88</v>
      </c>
      <c r="CB8" s="1273"/>
      <c r="CC8" s="1294"/>
      <c r="CE8" s="434"/>
      <c r="CF8" s="433"/>
      <c r="CG8" s="433">
        <v>3</v>
      </c>
      <c r="CH8" s="433">
        <v>5</v>
      </c>
      <c r="CI8" s="426">
        <f>+CJ8</f>
        <v>6</v>
      </c>
      <c r="CJ8" s="1203">
        <v>6</v>
      </c>
      <c r="CK8" s="433"/>
      <c r="CL8" s="433"/>
      <c r="CM8" s="433"/>
      <c r="CN8" s="433">
        <v>1</v>
      </c>
      <c r="CO8" s="433"/>
      <c r="CP8" s="433"/>
      <c r="CQ8" s="433"/>
      <c r="CR8" s="433"/>
      <c r="CS8" s="433"/>
      <c r="CT8" s="433">
        <v>1</v>
      </c>
      <c r="CU8" s="426"/>
      <c r="CV8" s="1377"/>
      <c r="CW8" s="1034"/>
      <c r="CX8" s="1035"/>
      <c r="CY8" s="1035"/>
      <c r="CZ8" s="1037"/>
      <c r="DA8" s="1036"/>
      <c r="DB8" s="1034"/>
      <c r="DC8" s="1035"/>
      <c r="DD8" s="1035"/>
      <c r="DE8" s="1035"/>
      <c r="DF8" s="1036"/>
    </row>
    <row r="9" spans="1:111" s="1010" customFormat="1" ht="13">
      <c r="A9" s="2267"/>
      <c r="B9" s="1038">
        <v>2</v>
      </c>
      <c r="C9" s="847" t="s">
        <v>2057</v>
      </c>
      <c r="D9" s="1039">
        <v>0</v>
      </c>
      <c r="E9" s="1040">
        <v>0</v>
      </c>
      <c r="F9" s="1041">
        <v>9.08</v>
      </c>
      <c r="G9" s="1042">
        <v>16.07</v>
      </c>
      <c r="H9" s="1043">
        <f>4.4+1.6</f>
        <v>6</v>
      </c>
      <c r="I9" s="1044">
        <f>+G9-H9</f>
        <v>10.07</v>
      </c>
      <c r="J9" s="1045">
        <v>2.93</v>
      </c>
      <c r="K9" s="1335"/>
      <c r="L9" s="1421"/>
      <c r="M9" s="1027"/>
      <c r="N9" s="1104"/>
      <c r="O9" s="1117"/>
      <c r="P9" s="1117"/>
      <c r="Q9" s="1117">
        <f t="shared" ref="P9:R29" si="2">$F9</f>
        <v>9.08</v>
      </c>
      <c r="R9" s="1117"/>
      <c r="S9" s="1118"/>
      <c r="T9" s="1027"/>
      <c r="U9" s="427"/>
      <c r="V9" s="429"/>
      <c r="W9" s="429"/>
      <c r="X9" s="429"/>
      <c r="Y9" s="428">
        <f t="shared" ref="Y9:Y28" si="3">$I9*$J9</f>
        <v>29.505100000000002</v>
      </c>
      <c r="Z9" s="1027"/>
      <c r="AA9" s="1047"/>
      <c r="AB9" s="1388"/>
      <c r="AC9" s="1388"/>
      <c r="AD9" s="1050"/>
      <c r="AE9" s="1028"/>
      <c r="AF9" s="427"/>
      <c r="AG9" s="429"/>
      <c r="AH9" s="429"/>
      <c r="AI9" s="429"/>
      <c r="AJ9" s="429"/>
      <c r="AK9" s="429"/>
      <c r="AL9" s="429"/>
      <c r="AM9" s="429"/>
      <c r="AN9" s="428">
        <f t="shared" si="0"/>
        <v>9.08</v>
      </c>
      <c r="AO9" s="1029"/>
      <c r="AP9" s="427"/>
      <c r="AQ9" s="429"/>
      <c r="AR9" s="429"/>
      <c r="AS9" s="429"/>
      <c r="AT9" s="429"/>
      <c r="AU9" s="429">
        <v>1</v>
      </c>
      <c r="AV9" s="429"/>
      <c r="AW9" s="428"/>
      <c r="AX9" s="427"/>
      <c r="AY9" s="429"/>
      <c r="AZ9" s="429"/>
      <c r="BA9" s="429"/>
      <c r="BB9" s="429"/>
      <c r="BC9" s="429"/>
      <c r="BD9" s="429"/>
      <c r="BE9" s="429"/>
      <c r="BF9" s="429"/>
      <c r="BG9" s="428"/>
      <c r="BH9" s="1033"/>
      <c r="BI9" s="1047"/>
      <c r="BJ9" s="1048"/>
      <c r="BK9" s="1048"/>
      <c r="BL9" s="1048"/>
      <c r="BM9" s="1048"/>
      <c r="BN9" s="1048">
        <f>$F9</f>
        <v>9.08</v>
      </c>
      <c r="BO9" s="1048"/>
      <c r="BP9" s="1050"/>
      <c r="BQ9" s="427"/>
      <c r="BR9" s="429"/>
      <c r="BS9" s="429"/>
      <c r="BT9" s="428"/>
      <c r="BU9" s="1293"/>
      <c r="BV9" s="427"/>
      <c r="BW9" s="428"/>
      <c r="BX9" s="427">
        <f t="shared" ref="BX9:BX25" si="4">$I9*$J9</f>
        <v>29.505100000000002</v>
      </c>
      <c r="BY9" s="429"/>
      <c r="BZ9" s="1275"/>
      <c r="CA9" s="427">
        <f t="shared" si="1"/>
        <v>9.08</v>
      </c>
      <c r="CB9" s="429"/>
      <c r="CC9" s="428"/>
      <c r="CE9" s="427"/>
      <c r="CF9" s="429"/>
      <c r="CG9" s="429">
        <v>1</v>
      </c>
      <c r="CH9" s="429">
        <v>1</v>
      </c>
      <c r="CI9" s="428">
        <f>+CJ9</f>
        <v>2</v>
      </c>
      <c r="CJ9" s="1204">
        <v>2</v>
      </c>
      <c r="CK9" s="429"/>
      <c r="CL9" s="429"/>
      <c r="CM9" s="429"/>
      <c r="CN9" s="429"/>
      <c r="CO9" s="429"/>
      <c r="CP9" s="429"/>
      <c r="CQ9" s="429"/>
      <c r="CR9" s="429"/>
      <c r="CS9" s="429"/>
      <c r="CT9" s="429"/>
      <c r="CU9" s="428"/>
      <c r="CV9" s="1377"/>
      <c r="CW9" s="1047"/>
      <c r="CX9" s="1048"/>
      <c r="CY9" s="1048"/>
      <c r="CZ9" s="1049"/>
      <c r="DA9" s="1050"/>
      <c r="DB9" s="1047"/>
      <c r="DC9" s="1048"/>
      <c r="DD9" s="1048"/>
      <c r="DE9" s="1048"/>
      <c r="DF9" s="1050"/>
    </row>
    <row r="10" spans="1:111" s="1010" customFormat="1" ht="13">
      <c r="A10" s="2267"/>
      <c r="B10" s="1038">
        <v>3</v>
      </c>
      <c r="C10" s="847" t="s">
        <v>2058</v>
      </c>
      <c r="D10" s="1039">
        <v>0</v>
      </c>
      <c r="E10" s="1040">
        <v>0</v>
      </c>
      <c r="F10" s="1051">
        <v>32.65</v>
      </c>
      <c r="G10" s="1042">
        <v>42.31</v>
      </c>
      <c r="H10" s="1043">
        <f>+SUM(H11:H20)+1.26</f>
        <v>16.440000000000001</v>
      </c>
      <c r="I10" s="1044">
        <f t="shared" ref="I10:I12" si="5">+G10-H10</f>
        <v>25.87</v>
      </c>
      <c r="J10" s="1045">
        <v>2.93</v>
      </c>
      <c r="K10" s="1335"/>
      <c r="L10" s="1422"/>
      <c r="M10" s="1027"/>
      <c r="N10" s="1104"/>
      <c r="O10" s="1117"/>
      <c r="P10" s="1117"/>
      <c r="Q10" s="1117">
        <f t="shared" si="2"/>
        <v>32.65</v>
      </c>
      <c r="R10" s="1117"/>
      <c r="S10" s="1118"/>
      <c r="T10" s="1027"/>
      <c r="U10" s="427"/>
      <c r="V10" s="429"/>
      <c r="W10" s="429"/>
      <c r="X10" s="429"/>
      <c r="Y10" s="428">
        <f t="shared" si="3"/>
        <v>75.79910000000001</v>
      </c>
      <c r="Z10" s="1027"/>
      <c r="AA10" s="1047"/>
      <c r="AB10" s="1388"/>
      <c r="AC10" s="1388"/>
      <c r="AD10" s="1050"/>
      <c r="AE10" s="1028"/>
      <c r="AF10" s="427"/>
      <c r="AG10" s="429"/>
      <c r="AH10" s="429"/>
      <c r="AI10" s="429"/>
      <c r="AJ10" s="429"/>
      <c r="AK10" s="429"/>
      <c r="AL10" s="429"/>
      <c r="AM10" s="429"/>
      <c r="AN10" s="428">
        <f t="shared" si="0"/>
        <v>32.65</v>
      </c>
      <c r="AO10" s="1029"/>
      <c r="AP10" s="427"/>
      <c r="AQ10" s="429"/>
      <c r="AR10" s="429"/>
      <c r="AS10" s="429"/>
      <c r="AT10" s="429"/>
      <c r="AU10" s="429"/>
      <c r="AV10" s="429"/>
      <c r="AW10" s="428"/>
      <c r="AX10" s="427"/>
      <c r="AY10" s="429"/>
      <c r="AZ10" s="429"/>
      <c r="BA10" s="429"/>
      <c r="BB10" s="429"/>
      <c r="BC10" s="429"/>
      <c r="BD10" s="429"/>
      <c r="BE10" s="429"/>
      <c r="BF10" s="429"/>
      <c r="BG10" s="428"/>
      <c r="BH10" s="1033"/>
      <c r="BI10" s="1047"/>
      <c r="BJ10" s="1048"/>
      <c r="BK10" s="1048"/>
      <c r="BL10" s="1048"/>
      <c r="BM10" s="1048"/>
      <c r="BN10" s="1048">
        <f t="shared" ref="BJ10:BN33" si="6">$F10</f>
        <v>32.65</v>
      </c>
      <c r="BO10" s="1048"/>
      <c r="BP10" s="1050"/>
      <c r="BQ10" s="427"/>
      <c r="BR10" s="429"/>
      <c r="BS10" s="429"/>
      <c r="BT10" s="428"/>
      <c r="BU10" s="1293"/>
      <c r="BV10" s="427"/>
      <c r="BW10" s="428"/>
      <c r="BX10" s="427">
        <f t="shared" si="4"/>
        <v>75.79910000000001</v>
      </c>
      <c r="BY10" s="429"/>
      <c r="BZ10" s="1275"/>
      <c r="CA10" s="427">
        <f t="shared" si="1"/>
        <v>32.65</v>
      </c>
      <c r="CB10" s="429"/>
      <c r="CC10" s="428"/>
      <c r="CE10" s="427"/>
      <c r="CF10" s="429"/>
      <c r="CG10" s="429">
        <v>3</v>
      </c>
      <c r="CH10" s="429">
        <v>2</v>
      </c>
      <c r="CI10" s="428">
        <f>+CJ10</f>
        <v>7</v>
      </c>
      <c r="CJ10" s="1204">
        <v>7</v>
      </c>
      <c r="CK10" s="429"/>
      <c r="CL10" s="429"/>
      <c r="CM10" s="429"/>
      <c r="CN10" s="429">
        <v>2</v>
      </c>
      <c r="CO10" s="429"/>
      <c r="CP10" s="429"/>
      <c r="CQ10" s="429"/>
      <c r="CR10" s="429"/>
      <c r="CS10" s="429"/>
      <c r="CT10" s="429"/>
      <c r="CU10" s="428"/>
      <c r="CV10" s="1377"/>
      <c r="CW10" s="1047"/>
      <c r="CX10" s="1048"/>
      <c r="CY10" s="1048"/>
      <c r="CZ10" s="1049"/>
      <c r="DA10" s="1050"/>
      <c r="DB10" s="1047"/>
      <c r="DC10" s="1048"/>
      <c r="DD10" s="1048"/>
      <c r="DE10" s="1048"/>
      <c r="DF10" s="1050"/>
    </row>
    <row r="11" spans="1:111" s="1010" customFormat="1" ht="13">
      <c r="A11" s="2267"/>
      <c r="B11" s="1038">
        <v>4</v>
      </c>
      <c r="C11" s="847" t="s">
        <v>2059</v>
      </c>
      <c r="D11" s="1039">
        <v>2.19</v>
      </c>
      <c r="E11" s="1040">
        <v>1.41</v>
      </c>
      <c r="F11" s="1051">
        <f t="shared" ref="F11:F20" si="7">D11*E11</f>
        <v>3.0878999999999999</v>
      </c>
      <c r="G11" s="1042">
        <f>+D11*2+E11*2</f>
        <v>7.1999999999999993</v>
      </c>
      <c r="H11" s="1043">
        <v>1.41</v>
      </c>
      <c r="I11" s="1044">
        <f t="shared" si="5"/>
        <v>5.7899999999999991</v>
      </c>
      <c r="J11" s="1045">
        <v>2.93</v>
      </c>
      <c r="K11" s="1335"/>
      <c r="L11" s="1422"/>
      <c r="M11" s="1027"/>
      <c r="N11" s="1104"/>
      <c r="O11" s="1117"/>
      <c r="P11" s="1117"/>
      <c r="Q11" s="1117">
        <f t="shared" si="2"/>
        <v>3.0878999999999999</v>
      </c>
      <c r="R11" s="1117"/>
      <c r="S11" s="1118"/>
      <c r="T11" s="1027"/>
      <c r="U11" s="427"/>
      <c r="V11" s="429"/>
      <c r="W11" s="429"/>
      <c r="X11" s="429"/>
      <c r="Y11" s="438">
        <f t="shared" si="3"/>
        <v>16.964699999999997</v>
      </c>
      <c r="Z11" s="1027"/>
      <c r="AA11" s="1047"/>
      <c r="AB11" s="1388"/>
      <c r="AC11" s="1388"/>
      <c r="AD11" s="1050"/>
      <c r="AE11" s="1028"/>
      <c r="AF11" s="427"/>
      <c r="AG11" s="429"/>
      <c r="AH11" s="429"/>
      <c r="AI11" s="429"/>
      <c r="AJ11" s="429"/>
      <c r="AK11" s="429"/>
      <c r="AL11" s="429"/>
      <c r="AM11" s="429"/>
      <c r="AN11" s="428">
        <f t="shared" si="0"/>
        <v>3.0878999999999999</v>
      </c>
      <c r="AO11" s="1029"/>
      <c r="AP11" s="427"/>
      <c r="AQ11" s="429"/>
      <c r="AR11" s="429"/>
      <c r="AS11" s="429"/>
      <c r="AT11" s="429"/>
      <c r="AU11" s="429"/>
      <c r="AV11" s="429">
        <v>1</v>
      </c>
      <c r="AW11" s="428"/>
      <c r="AX11" s="427"/>
      <c r="AY11" s="429"/>
      <c r="AZ11" s="429"/>
      <c r="BA11" s="429"/>
      <c r="BB11" s="429"/>
      <c r="BC11" s="429"/>
      <c r="BD11" s="429"/>
      <c r="BE11" s="429"/>
      <c r="BF11" s="429"/>
      <c r="BG11" s="428"/>
      <c r="BH11" s="1033"/>
      <c r="BI11" s="1047"/>
      <c r="BJ11" s="1048"/>
      <c r="BK11" s="1048"/>
      <c r="BL11" s="1048"/>
      <c r="BM11" s="1048"/>
      <c r="BN11" s="1048">
        <f t="shared" si="6"/>
        <v>3.0878999999999999</v>
      </c>
      <c r="BO11" s="1048"/>
      <c r="BP11" s="1050"/>
      <c r="BQ11" s="427"/>
      <c r="BR11" s="429"/>
      <c r="BS11" s="429"/>
      <c r="BT11" s="428"/>
      <c r="BU11" s="1293"/>
      <c r="BV11" s="427"/>
      <c r="BW11" s="428"/>
      <c r="BX11" s="427">
        <f t="shared" si="4"/>
        <v>16.964699999999997</v>
      </c>
      <c r="BY11" s="429"/>
      <c r="BZ11" s="1275"/>
      <c r="CA11" s="427">
        <f t="shared" si="1"/>
        <v>3.0878999999999999</v>
      </c>
      <c r="CB11" s="429"/>
      <c r="CC11" s="428"/>
      <c r="CE11" s="427"/>
      <c r="CF11" s="429"/>
      <c r="CG11" s="429"/>
      <c r="CH11" s="429"/>
      <c r="CI11" s="428"/>
      <c r="CJ11" s="1204"/>
      <c r="CK11" s="429"/>
      <c r="CL11" s="429"/>
      <c r="CM11" s="429"/>
      <c r="CN11" s="429"/>
      <c r="CO11" s="429"/>
      <c r="CP11" s="429"/>
      <c r="CQ11" s="429"/>
      <c r="CR11" s="429"/>
      <c r="CS11" s="429"/>
      <c r="CT11" s="429"/>
      <c r="CU11" s="428"/>
      <c r="CV11" s="1377"/>
      <c r="CW11" s="1047"/>
      <c r="CX11" s="1048"/>
      <c r="CY11" s="1048"/>
      <c r="CZ11" s="1049"/>
      <c r="DA11" s="1050"/>
      <c r="DB11" s="1047"/>
      <c r="DC11" s="1048"/>
      <c r="DD11" s="1048"/>
      <c r="DE11" s="1048"/>
      <c r="DF11" s="1050"/>
    </row>
    <row r="12" spans="1:111" s="1010" customFormat="1" ht="13">
      <c r="A12" s="2267"/>
      <c r="B12" s="1038">
        <v>5</v>
      </c>
      <c r="C12" s="847" t="s">
        <v>2060</v>
      </c>
      <c r="D12" s="1039">
        <v>2.19</v>
      </c>
      <c r="E12" s="1040">
        <v>1.41</v>
      </c>
      <c r="F12" s="1051">
        <f t="shared" si="7"/>
        <v>3.0878999999999999</v>
      </c>
      <c r="G12" s="1042">
        <f t="shared" ref="G12:G20" si="8">+D12*2+E12*2</f>
        <v>7.1999999999999993</v>
      </c>
      <c r="H12" s="1043">
        <v>1.41</v>
      </c>
      <c r="I12" s="1044">
        <f t="shared" si="5"/>
        <v>5.7899999999999991</v>
      </c>
      <c r="J12" s="1045">
        <v>2.93</v>
      </c>
      <c r="K12" s="1335"/>
      <c r="L12" s="1422"/>
      <c r="M12" s="1027"/>
      <c r="N12" s="1104"/>
      <c r="O12" s="1117"/>
      <c r="P12" s="1117"/>
      <c r="Q12" s="1117">
        <f t="shared" si="2"/>
        <v>3.0878999999999999</v>
      </c>
      <c r="R12" s="1117"/>
      <c r="S12" s="1118"/>
      <c r="T12" s="1027"/>
      <c r="U12" s="427"/>
      <c r="V12" s="429"/>
      <c r="W12" s="429"/>
      <c r="X12" s="429"/>
      <c r="Y12" s="438">
        <f t="shared" si="3"/>
        <v>16.964699999999997</v>
      </c>
      <c r="Z12" s="1027"/>
      <c r="AA12" s="1389"/>
      <c r="AB12" s="1390"/>
      <c r="AC12" s="1390"/>
      <c r="AD12" s="1391"/>
      <c r="AE12" s="1028"/>
      <c r="AF12" s="427"/>
      <c r="AG12" s="429"/>
      <c r="AH12" s="429"/>
      <c r="AI12" s="429"/>
      <c r="AJ12" s="429"/>
      <c r="AK12" s="429"/>
      <c r="AL12" s="429"/>
      <c r="AM12" s="429"/>
      <c r="AN12" s="428">
        <f t="shared" si="0"/>
        <v>3.0878999999999999</v>
      </c>
      <c r="AO12" s="1029"/>
      <c r="AP12" s="427"/>
      <c r="AQ12" s="429"/>
      <c r="AR12" s="429"/>
      <c r="AS12" s="429"/>
      <c r="AT12" s="429"/>
      <c r="AU12" s="429"/>
      <c r="AV12" s="429">
        <v>1</v>
      </c>
      <c r="AW12" s="428"/>
      <c r="AX12" s="427"/>
      <c r="AY12" s="429"/>
      <c r="AZ12" s="429"/>
      <c r="BA12" s="429"/>
      <c r="BB12" s="429"/>
      <c r="BC12" s="429"/>
      <c r="BD12" s="429"/>
      <c r="BE12" s="429"/>
      <c r="BF12" s="429"/>
      <c r="BG12" s="428"/>
      <c r="BH12" s="1033"/>
      <c r="BI12" s="1047"/>
      <c r="BJ12" s="1048"/>
      <c r="BK12" s="1048"/>
      <c r="BL12" s="1048"/>
      <c r="BM12" s="1048"/>
      <c r="BN12" s="1048">
        <f t="shared" si="6"/>
        <v>3.0878999999999999</v>
      </c>
      <c r="BO12" s="1048"/>
      <c r="BP12" s="1050"/>
      <c r="BQ12" s="427"/>
      <c r="BR12" s="429"/>
      <c r="BS12" s="429"/>
      <c r="BT12" s="428"/>
      <c r="BU12" s="1293"/>
      <c r="BV12" s="427"/>
      <c r="BW12" s="428"/>
      <c r="BX12" s="427">
        <f t="shared" si="4"/>
        <v>16.964699999999997</v>
      </c>
      <c r="BY12" s="429"/>
      <c r="BZ12" s="1275"/>
      <c r="CA12" s="427">
        <f t="shared" si="1"/>
        <v>3.0878999999999999</v>
      </c>
      <c r="CB12" s="429"/>
      <c r="CC12" s="428"/>
      <c r="CE12" s="427"/>
      <c r="CF12" s="429"/>
      <c r="CG12" s="429"/>
      <c r="CH12" s="429"/>
      <c r="CI12" s="428"/>
      <c r="CJ12" s="1204"/>
      <c r="CK12" s="429"/>
      <c r="CL12" s="429"/>
      <c r="CM12" s="429"/>
      <c r="CN12" s="429"/>
      <c r="CO12" s="429"/>
      <c r="CP12" s="429"/>
      <c r="CQ12" s="429"/>
      <c r="CR12" s="429"/>
      <c r="CS12" s="429"/>
      <c r="CT12" s="429"/>
      <c r="CU12" s="428"/>
      <c r="CV12" s="1377"/>
      <c r="CW12" s="1047"/>
      <c r="CX12" s="1048"/>
      <c r="CY12" s="1048"/>
      <c r="CZ12" s="1049"/>
      <c r="DA12" s="1050"/>
      <c r="DB12" s="1047"/>
      <c r="DC12" s="1048"/>
      <c r="DD12" s="1048"/>
      <c r="DE12" s="1048"/>
      <c r="DF12" s="1050"/>
    </row>
    <row r="13" spans="1:111" s="1010" customFormat="1" ht="13">
      <c r="A13" s="2267"/>
      <c r="B13" s="1038">
        <v>6</v>
      </c>
      <c r="C13" s="847" t="s">
        <v>2061</v>
      </c>
      <c r="D13" s="1039">
        <v>2.19</v>
      </c>
      <c r="E13" s="1040">
        <v>1.41</v>
      </c>
      <c r="F13" s="1051">
        <f t="shared" si="7"/>
        <v>3.0878999999999999</v>
      </c>
      <c r="G13" s="1042">
        <f t="shared" si="8"/>
        <v>7.1999999999999993</v>
      </c>
      <c r="H13" s="1043">
        <v>1.41</v>
      </c>
      <c r="I13" s="1044">
        <f>+G13-H13</f>
        <v>5.7899999999999991</v>
      </c>
      <c r="J13" s="1045">
        <v>2.93</v>
      </c>
      <c r="K13" s="1335"/>
      <c r="L13" s="1422"/>
      <c r="M13" s="1027"/>
      <c r="N13" s="1104"/>
      <c r="O13" s="1117"/>
      <c r="P13" s="1117"/>
      <c r="Q13" s="1117">
        <f t="shared" si="2"/>
        <v>3.0878999999999999</v>
      </c>
      <c r="R13" s="1117"/>
      <c r="S13" s="1118"/>
      <c r="T13" s="1027"/>
      <c r="U13" s="427"/>
      <c r="V13" s="429"/>
      <c r="W13" s="429"/>
      <c r="X13" s="429"/>
      <c r="Y13" s="428">
        <f t="shared" si="3"/>
        <v>16.964699999999997</v>
      </c>
      <c r="Z13" s="1027"/>
      <c r="AA13" s="1047"/>
      <c r="AB13" s="1388"/>
      <c r="AC13" s="1388"/>
      <c r="AD13" s="1050"/>
      <c r="AE13" s="1028"/>
      <c r="AF13" s="427"/>
      <c r="AG13" s="429"/>
      <c r="AH13" s="429"/>
      <c r="AI13" s="429"/>
      <c r="AJ13" s="429"/>
      <c r="AK13" s="429"/>
      <c r="AL13" s="429"/>
      <c r="AM13" s="429"/>
      <c r="AN13" s="428">
        <f t="shared" si="0"/>
        <v>3.0878999999999999</v>
      </c>
      <c r="AO13" s="1029"/>
      <c r="AP13" s="427"/>
      <c r="AQ13" s="429"/>
      <c r="AR13" s="429"/>
      <c r="AS13" s="429"/>
      <c r="AT13" s="429"/>
      <c r="AU13" s="429"/>
      <c r="AV13" s="429">
        <v>1</v>
      </c>
      <c r="AW13" s="428"/>
      <c r="AX13" s="427"/>
      <c r="AY13" s="429"/>
      <c r="AZ13" s="429"/>
      <c r="BA13" s="429"/>
      <c r="BB13" s="429"/>
      <c r="BC13" s="429"/>
      <c r="BD13" s="429"/>
      <c r="BE13" s="429"/>
      <c r="BF13" s="429"/>
      <c r="BG13" s="428"/>
      <c r="BH13" s="1033"/>
      <c r="BI13" s="1047"/>
      <c r="BJ13" s="1048"/>
      <c r="BK13" s="1048"/>
      <c r="BL13" s="1048"/>
      <c r="BM13" s="1048"/>
      <c r="BN13" s="1048">
        <f t="shared" si="6"/>
        <v>3.0878999999999999</v>
      </c>
      <c r="BO13" s="1048"/>
      <c r="BP13" s="1050"/>
      <c r="BQ13" s="427"/>
      <c r="BR13" s="429"/>
      <c r="BS13" s="429"/>
      <c r="BT13" s="428"/>
      <c r="BU13" s="1293"/>
      <c r="BV13" s="427"/>
      <c r="BW13" s="428"/>
      <c r="BX13" s="427">
        <f t="shared" si="4"/>
        <v>16.964699999999997</v>
      </c>
      <c r="BY13" s="429"/>
      <c r="BZ13" s="1275"/>
      <c r="CA13" s="427">
        <f t="shared" si="1"/>
        <v>3.0878999999999999</v>
      </c>
      <c r="CB13" s="429"/>
      <c r="CC13" s="428"/>
      <c r="CE13" s="427"/>
      <c r="CF13" s="429"/>
      <c r="CG13" s="429"/>
      <c r="CH13" s="429"/>
      <c r="CI13" s="428"/>
      <c r="CJ13" s="1204"/>
      <c r="CK13" s="429"/>
      <c r="CL13" s="429"/>
      <c r="CM13" s="429"/>
      <c r="CN13" s="429"/>
      <c r="CO13" s="429"/>
      <c r="CP13" s="429"/>
      <c r="CQ13" s="429"/>
      <c r="CR13" s="429"/>
      <c r="CS13" s="429"/>
      <c r="CT13" s="429"/>
      <c r="CU13" s="428"/>
      <c r="CV13" s="1377"/>
      <c r="CW13" s="1047"/>
      <c r="CX13" s="1048"/>
      <c r="CY13" s="1048"/>
      <c r="CZ13" s="1049"/>
      <c r="DA13" s="1050"/>
      <c r="DB13" s="1047"/>
      <c r="DC13" s="1048"/>
      <c r="DD13" s="1048"/>
      <c r="DE13" s="1048"/>
      <c r="DF13" s="1050"/>
    </row>
    <row r="14" spans="1:111" s="1010" customFormat="1" ht="13">
      <c r="A14" s="2267"/>
      <c r="B14" s="1038">
        <v>7</v>
      </c>
      <c r="C14" s="847" t="s">
        <v>2062</v>
      </c>
      <c r="D14" s="1039">
        <v>1.95</v>
      </c>
      <c r="E14" s="1040">
        <v>1.59</v>
      </c>
      <c r="F14" s="1051">
        <f t="shared" si="7"/>
        <v>3.1005000000000003</v>
      </c>
      <c r="G14" s="1042">
        <f t="shared" si="8"/>
        <v>7.08</v>
      </c>
      <c r="H14" s="1043">
        <v>1.59</v>
      </c>
      <c r="I14" s="1044">
        <f t="shared" ref="I14:I20" si="9">+G14-H14</f>
        <v>5.49</v>
      </c>
      <c r="J14" s="1045">
        <v>2.93</v>
      </c>
      <c r="K14" s="1335"/>
      <c r="L14" s="1422"/>
      <c r="M14" s="1027"/>
      <c r="N14" s="1104"/>
      <c r="O14" s="1117"/>
      <c r="P14" s="1117"/>
      <c r="Q14" s="1117">
        <f t="shared" si="2"/>
        <v>3.1005000000000003</v>
      </c>
      <c r="R14" s="1117"/>
      <c r="S14" s="1118"/>
      <c r="T14" s="1027"/>
      <c r="U14" s="427"/>
      <c r="V14" s="429"/>
      <c r="W14" s="429"/>
      <c r="X14" s="429"/>
      <c r="Y14" s="428">
        <f t="shared" si="3"/>
        <v>16.085700000000003</v>
      </c>
      <c r="Z14" s="1027"/>
      <c r="AA14" s="1047"/>
      <c r="AB14" s="1388"/>
      <c r="AC14" s="1388"/>
      <c r="AD14" s="1050"/>
      <c r="AE14" s="1028"/>
      <c r="AF14" s="427"/>
      <c r="AG14" s="429"/>
      <c r="AH14" s="429"/>
      <c r="AI14" s="429"/>
      <c r="AJ14" s="429"/>
      <c r="AK14" s="429"/>
      <c r="AL14" s="429"/>
      <c r="AM14" s="429"/>
      <c r="AN14" s="428">
        <f t="shared" si="0"/>
        <v>3.1005000000000003</v>
      </c>
      <c r="AO14" s="1029"/>
      <c r="AP14" s="427"/>
      <c r="AQ14" s="429"/>
      <c r="AR14" s="429"/>
      <c r="AS14" s="429"/>
      <c r="AT14" s="429"/>
      <c r="AU14" s="429"/>
      <c r="AV14" s="429">
        <v>1</v>
      </c>
      <c r="AW14" s="428"/>
      <c r="AX14" s="427"/>
      <c r="AY14" s="429"/>
      <c r="AZ14" s="429"/>
      <c r="BA14" s="429"/>
      <c r="BB14" s="429"/>
      <c r="BC14" s="429"/>
      <c r="BD14" s="429"/>
      <c r="BE14" s="429"/>
      <c r="BF14" s="429"/>
      <c r="BG14" s="428"/>
      <c r="BH14" s="1033"/>
      <c r="BI14" s="1047"/>
      <c r="BJ14" s="1048"/>
      <c r="BK14" s="1048"/>
      <c r="BL14" s="1048"/>
      <c r="BM14" s="1048"/>
      <c r="BN14" s="1048">
        <f t="shared" si="6"/>
        <v>3.1005000000000003</v>
      </c>
      <c r="BO14" s="1048"/>
      <c r="BP14" s="1050"/>
      <c r="BQ14" s="427"/>
      <c r="BR14" s="429"/>
      <c r="BS14" s="429"/>
      <c r="BT14" s="428"/>
      <c r="BU14" s="1293"/>
      <c r="BV14" s="427"/>
      <c r="BW14" s="428"/>
      <c r="BX14" s="427">
        <f t="shared" si="4"/>
        <v>16.085700000000003</v>
      </c>
      <c r="BY14" s="429"/>
      <c r="BZ14" s="1275"/>
      <c r="CA14" s="427">
        <f t="shared" si="1"/>
        <v>3.1005000000000003</v>
      </c>
      <c r="CB14" s="429"/>
      <c r="CC14" s="428"/>
      <c r="CE14" s="427"/>
      <c r="CF14" s="429"/>
      <c r="CG14" s="429"/>
      <c r="CH14" s="429"/>
      <c r="CI14" s="428"/>
      <c r="CJ14" s="1204"/>
      <c r="CK14" s="429"/>
      <c r="CL14" s="429"/>
      <c r="CM14" s="429"/>
      <c r="CN14" s="429"/>
      <c r="CO14" s="429"/>
      <c r="CP14" s="429"/>
      <c r="CQ14" s="429"/>
      <c r="CR14" s="429"/>
      <c r="CS14" s="429"/>
      <c r="CT14" s="429"/>
      <c r="CU14" s="428"/>
      <c r="CV14" s="1377"/>
      <c r="CW14" s="1047"/>
      <c r="CX14" s="1048"/>
      <c r="CY14" s="1048"/>
      <c r="CZ14" s="1049"/>
      <c r="DA14" s="1050"/>
      <c r="DB14" s="1047"/>
      <c r="DC14" s="1048"/>
      <c r="DD14" s="1048"/>
      <c r="DE14" s="1048"/>
      <c r="DF14" s="1050"/>
    </row>
    <row r="15" spans="1:111" s="1010" customFormat="1" ht="13">
      <c r="A15" s="2267"/>
      <c r="B15" s="1038">
        <v>8</v>
      </c>
      <c r="C15" s="847" t="s">
        <v>2063</v>
      </c>
      <c r="D15" s="1039">
        <v>1.95</v>
      </c>
      <c r="E15" s="1040">
        <v>1.59</v>
      </c>
      <c r="F15" s="1051">
        <f t="shared" si="7"/>
        <v>3.1005000000000003</v>
      </c>
      <c r="G15" s="1042">
        <f t="shared" si="8"/>
        <v>7.08</v>
      </c>
      <c r="H15" s="1043">
        <v>1.59</v>
      </c>
      <c r="I15" s="1044">
        <f t="shared" si="9"/>
        <v>5.49</v>
      </c>
      <c r="J15" s="1045">
        <v>2.93</v>
      </c>
      <c r="K15" s="1335"/>
      <c r="L15" s="1422"/>
      <c r="M15" s="1027"/>
      <c r="N15" s="1104"/>
      <c r="O15" s="1117"/>
      <c r="P15" s="1117"/>
      <c r="Q15" s="1117">
        <f t="shared" si="2"/>
        <v>3.1005000000000003</v>
      </c>
      <c r="R15" s="1117"/>
      <c r="S15" s="1118"/>
      <c r="T15" s="1027"/>
      <c r="U15" s="427"/>
      <c r="V15" s="429"/>
      <c r="W15" s="429"/>
      <c r="X15" s="429"/>
      <c r="Y15" s="428">
        <f t="shared" si="3"/>
        <v>16.085700000000003</v>
      </c>
      <c r="Z15" s="1027"/>
      <c r="AA15" s="1047"/>
      <c r="AB15" s="1388"/>
      <c r="AC15" s="1388"/>
      <c r="AD15" s="1050"/>
      <c r="AE15" s="1028"/>
      <c r="AF15" s="427"/>
      <c r="AG15" s="429"/>
      <c r="AH15" s="429"/>
      <c r="AI15" s="429"/>
      <c r="AJ15" s="429"/>
      <c r="AK15" s="429"/>
      <c r="AL15" s="429"/>
      <c r="AM15" s="429"/>
      <c r="AN15" s="428">
        <f t="shared" si="0"/>
        <v>3.1005000000000003</v>
      </c>
      <c r="AO15" s="1029"/>
      <c r="AP15" s="427"/>
      <c r="AQ15" s="429"/>
      <c r="AR15" s="429"/>
      <c r="AS15" s="429"/>
      <c r="AT15" s="429"/>
      <c r="AU15" s="429"/>
      <c r="AV15" s="429">
        <v>1</v>
      </c>
      <c r="AW15" s="428"/>
      <c r="AX15" s="427"/>
      <c r="AY15" s="429"/>
      <c r="AZ15" s="429"/>
      <c r="BA15" s="429"/>
      <c r="BB15" s="429"/>
      <c r="BC15" s="429"/>
      <c r="BD15" s="429"/>
      <c r="BE15" s="429"/>
      <c r="BF15" s="429"/>
      <c r="BG15" s="428"/>
      <c r="BH15" s="1033"/>
      <c r="BI15" s="1047"/>
      <c r="BJ15" s="1048"/>
      <c r="BK15" s="1048"/>
      <c r="BL15" s="1048"/>
      <c r="BM15" s="1048"/>
      <c r="BN15" s="1048">
        <f t="shared" si="6"/>
        <v>3.1005000000000003</v>
      </c>
      <c r="BO15" s="1048"/>
      <c r="BP15" s="1050"/>
      <c r="BQ15" s="427"/>
      <c r="BR15" s="429"/>
      <c r="BS15" s="429"/>
      <c r="BT15" s="428"/>
      <c r="BU15" s="1293"/>
      <c r="BV15" s="427"/>
      <c r="BW15" s="428"/>
      <c r="BX15" s="427">
        <f t="shared" si="4"/>
        <v>16.085700000000003</v>
      </c>
      <c r="BY15" s="429"/>
      <c r="BZ15" s="1275"/>
      <c r="CA15" s="427">
        <f t="shared" si="1"/>
        <v>3.1005000000000003</v>
      </c>
      <c r="CB15" s="429"/>
      <c r="CC15" s="428"/>
      <c r="CE15" s="427"/>
      <c r="CF15" s="429"/>
      <c r="CG15" s="429"/>
      <c r="CH15" s="429"/>
      <c r="CI15" s="428"/>
      <c r="CJ15" s="1204"/>
      <c r="CK15" s="429"/>
      <c r="CL15" s="429"/>
      <c r="CM15" s="429"/>
      <c r="CN15" s="429"/>
      <c r="CO15" s="429"/>
      <c r="CP15" s="429"/>
      <c r="CQ15" s="429"/>
      <c r="CR15" s="429"/>
      <c r="CS15" s="429"/>
      <c r="CT15" s="429"/>
      <c r="CU15" s="428"/>
      <c r="CV15" s="1377"/>
      <c r="CW15" s="1047"/>
      <c r="CX15" s="1048"/>
      <c r="CY15" s="1048"/>
      <c r="CZ15" s="1049"/>
      <c r="DA15" s="1050"/>
      <c r="DB15" s="1047"/>
      <c r="DC15" s="1048"/>
      <c r="DD15" s="1048"/>
      <c r="DE15" s="1048"/>
      <c r="DF15" s="1050"/>
    </row>
    <row r="16" spans="1:111" s="1010" customFormat="1" ht="13">
      <c r="A16" s="2267"/>
      <c r="B16" s="1038">
        <v>9</v>
      </c>
      <c r="C16" s="847" t="s">
        <v>2064</v>
      </c>
      <c r="D16" s="1039">
        <v>1.95</v>
      </c>
      <c r="E16" s="1040">
        <v>1.59</v>
      </c>
      <c r="F16" s="1051">
        <f t="shared" si="7"/>
        <v>3.1005000000000003</v>
      </c>
      <c r="G16" s="1042">
        <f t="shared" si="8"/>
        <v>7.08</v>
      </c>
      <c r="H16" s="1043">
        <v>1.59</v>
      </c>
      <c r="I16" s="1044">
        <f t="shared" si="9"/>
        <v>5.49</v>
      </c>
      <c r="J16" s="1045">
        <v>2.93</v>
      </c>
      <c r="K16" s="1335"/>
      <c r="L16" s="1422"/>
      <c r="M16" s="1027"/>
      <c r="N16" s="1104"/>
      <c r="O16" s="1117"/>
      <c r="P16" s="1117"/>
      <c r="Q16" s="1117">
        <f t="shared" si="2"/>
        <v>3.1005000000000003</v>
      </c>
      <c r="R16" s="1117"/>
      <c r="S16" s="1118"/>
      <c r="T16" s="1027"/>
      <c r="U16" s="427"/>
      <c r="V16" s="429"/>
      <c r="W16" s="429"/>
      <c r="X16" s="429"/>
      <c r="Y16" s="428">
        <f t="shared" si="3"/>
        <v>16.085700000000003</v>
      </c>
      <c r="Z16" s="1027"/>
      <c r="AA16" s="1389"/>
      <c r="AB16" s="1390"/>
      <c r="AC16" s="1390"/>
      <c r="AD16" s="1391"/>
      <c r="AE16" s="1028"/>
      <c r="AF16" s="427"/>
      <c r="AG16" s="429"/>
      <c r="AH16" s="429"/>
      <c r="AI16" s="429"/>
      <c r="AJ16" s="429"/>
      <c r="AK16" s="429"/>
      <c r="AL16" s="429"/>
      <c r="AM16" s="429"/>
      <c r="AN16" s="428">
        <f t="shared" si="0"/>
        <v>3.1005000000000003</v>
      </c>
      <c r="AO16" s="1029"/>
      <c r="AP16" s="427"/>
      <c r="AQ16" s="429"/>
      <c r="AR16" s="429"/>
      <c r="AS16" s="429"/>
      <c r="AT16" s="429"/>
      <c r="AU16" s="429"/>
      <c r="AV16" s="429">
        <v>1</v>
      </c>
      <c r="AW16" s="428"/>
      <c r="AX16" s="427"/>
      <c r="AY16" s="429"/>
      <c r="AZ16" s="429"/>
      <c r="BA16" s="429"/>
      <c r="BB16" s="429"/>
      <c r="BC16" s="429"/>
      <c r="BD16" s="429"/>
      <c r="BE16" s="429"/>
      <c r="BF16" s="429"/>
      <c r="BG16" s="428"/>
      <c r="BH16" s="1033"/>
      <c r="BI16" s="1047"/>
      <c r="BJ16" s="1048"/>
      <c r="BK16" s="1048"/>
      <c r="BL16" s="1048"/>
      <c r="BM16" s="1048"/>
      <c r="BN16" s="1048">
        <f t="shared" si="6"/>
        <v>3.1005000000000003</v>
      </c>
      <c r="BO16" s="1048"/>
      <c r="BP16" s="1050"/>
      <c r="BQ16" s="427"/>
      <c r="BR16" s="429"/>
      <c r="BS16" s="429"/>
      <c r="BT16" s="428"/>
      <c r="BU16" s="1293"/>
      <c r="BV16" s="427"/>
      <c r="BW16" s="428"/>
      <c r="BX16" s="427">
        <f t="shared" si="4"/>
        <v>16.085700000000003</v>
      </c>
      <c r="BY16" s="429"/>
      <c r="BZ16" s="1275"/>
      <c r="CA16" s="427">
        <f t="shared" si="1"/>
        <v>3.1005000000000003</v>
      </c>
      <c r="CB16" s="429"/>
      <c r="CC16" s="428"/>
      <c r="CE16" s="427"/>
      <c r="CF16" s="429"/>
      <c r="CG16" s="429"/>
      <c r="CH16" s="429"/>
      <c r="CI16" s="428"/>
      <c r="CJ16" s="1204"/>
      <c r="CK16" s="429"/>
      <c r="CL16" s="429"/>
      <c r="CM16" s="429"/>
      <c r="CN16" s="429"/>
      <c r="CO16" s="429"/>
      <c r="CP16" s="429"/>
      <c r="CQ16" s="429"/>
      <c r="CR16" s="429"/>
      <c r="CS16" s="429"/>
      <c r="CT16" s="429"/>
      <c r="CU16" s="428"/>
      <c r="CV16" s="1377"/>
      <c r="CW16" s="1047"/>
      <c r="CX16" s="1048"/>
      <c r="CY16" s="1048"/>
      <c r="CZ16" s="1049"/>
      <c r="DA16" s="1050"/>
      <c r="DB16" s="1047"/>
      <c r="DC16" s="1048"/>
      <c r="DD16" s="1048"/>
      <c r="DE16" s="1048"/>
      <c r="DF16" s="1050"/>
    </row>
    <row r="17" spans="1:111" s="1010" customFormat="1" ht="13">
      <c r="A17" s="2267"/>
      <c r="B17" s="1038">
        <v>10</v>
      </c>
      <c r="C17" s="847" t="s">
        <v>2065</v>
      </c>
      <c r="D17" s="1039">
        <v>1.95</v>
      </c>
      <c r="E17" s="1040">
        <v>1.59</v>
      </c>
      <c r="F17" s="1051">
        <f t="shared" si="7"/>
        <v>3.1005000000000003</v>
      </c>
      <c r="G17" s="1042">
        <f t="shared" si="8"/>
        <v>7.08</v>
      </c>
      <c r="H17" s="1043">
        <v>1.95</v>
      </c>
      <c r="I17" s="1044">
        <f t="shared" si="9"/>
        <v>5.13</v>
      </c>
      <c r="J17" s="1045">
        <v>2.93</v>
      </c>
      <c r="K17" s="1335"/>
      <c r="L17" s="1422"/>
      <c r="M17" s="1027"/>
      <c r="N17" s="1104"/>
      <c r="O17" s="1117"/>
      <c r="P17" s="1117"/>
      <c r="Q17" s="1117">
        <f t="shared" si="2"/>
        <v>3.1005000000000003</v>
      </c>
      <c r="R17" s="1117"/>
      <c r="S17" s="1118"/>
      <c r="T17" s="1027"/>
      <c r="U17" s="427"/>
      <c r="V17" s="429"/>
      <c r="W17" s="429"/>
      <c r="X17" s="429"/>
      <c r="Y17" s="428">
        <f t="shared" si="3"/>
        <v>15.030900000000001</v>
      </c>
      <c r="Z17" s="1027"/>
      <c r="AA17" s="1047"/>
      <c r="AB17" s="1388"/>
      <c r="AC17" s="1388"/>
      <c r="AD17" s="1050"/>
      <c r="AE17" s="1028"/>
      <c r="AF17" s="427"/>
      <c r="AG17" s="429"/>
      <c r="AH17" s="429"/>
      <c r="AI17" s="429"/>
      <c r="AJ17" s="429"/>
      <c r="AK17" s="429"/>
      <c r="AL17" s="429"/>
      <c r="AM17" s="429"/>
      <c r="AN17" s="428">
        <f t="shared" si="0"/>
        <v>3.1005000000000003</v>
      </c>
      <c r="AO17" s="1029"/>
      <c r="AP17" s="427"/>
      <c r="AQ17" s="429"/>
      <c r="AR17" s="429"/>
      <c r="AS17" s="429"/>
      <c r="AT17" s="429"/>
      <c r="AU17" s="429"/>
      <c r="AV17" s="429">
        <v>1</v>
      </c>
      <c r="AW17" s="428"/>
      <c r="AX17" s="427"/>
      <c r="AY17" s="429"/>
      <c r="AZ17" s="429"/>
      <c r="BA17" s="429"/>
      <c r="BB17" s="429"/>
      <c r="BC17" s="429"/>
      <c r="BD17" s="429"/>
      <c r="BE17" s="429"/>
      <c r="BF17" s="429"/>
      <c r="BG17" s="428"/>
      <c r="BH17" s="1033"/>
      <c r="BI17" s="1047"/>
      <c r="BJ17" s="1048"/>
      <c r="BK17" s="1048"/>
      <c r="BL17" s="1048"/>
      <c r="BM17" s="1048"/>
      <c r="BN17" s="1048">
        <f t="shared" si="6"/>
        <v>3.1005000000000003</v>
      </c>
      <c r="BO17" s="1048"/>
      <c r="BP17" s="1050"/>
      <c r="BQ17" s="427"/>
      <c r="BR17" s="429"/>
      <c r="BS17" s="429"/>
      <c r="BT17" s="428"/>
      <c r="BU17" s="1293"/>
      <c r="BV17" s="427"/>
      <c r="BW17" s="428"/>
      <c r="BX17" s="427">
        <f t="shared" si="4"/>
        <v>15.030900000000001</v>
      </c>
      <c r="BY17" s="429"/>
      <c r="BZ17" s="1275"/>
      <c r="CA17" s="427">
        <f t="shared" si="1"/>
        <v>3.1005000000000003</v>
      </c>
      <c r="CB17" s="429"/>
      <c r="CC17" s="428"/>
      <c r="CE17" s="427"/>
      <c r="CF17" s="429"/>
      <c r="CG17" s="429"/>
      <c r="CH17" s="429"/>
      <c r="CI17" s="428"/>
      <c r="CJ17" s="1204"/>
      <c r="CK17" s="429"/>
      <c r="CL17" s="429"/>
      <c r="CM17" s="429"/>
      <c r="CN17" s="429"/>
      <c r="CO17" s="429"/>
      <c r="CP17" s="429"/>
      <c r="CQ17" s="429"/>
      <c r="CR17" s="429"/>
      <c r="CS17" s="429"/>
      <c r="CT17" s="429"/>
      <c r="CU17" s="428"/>
      <c r="CV17" s="1377"/>
      <c r="CW17" s="1047"/>
      <c r="CX17" s="1048"/>
      <c r="CY17" s="1048"/>
      <c r="CZ17" s="1049"/>
      <c r="DA17" s="1050"/>
      <c r="DB17" s="1047"/>
      <c r="DC17" s="1048"/>
      <c r="DD17" s="1048"/>
      <c r="DE17" s="1048"/>
      <c r="DF17" s="1050"/>
    </row>
    <row r="18" spans="1:111" s="1010" customFormat="1" ht="13">
      <c r="A18" s="2267"/>
      <c r="B18" s="1038">
        <v>11</v>
      </c>
      <c r="C18" s="847" t="s">
        <v>2066</v>
      </c>
      <c r="D18" s="1039">
        <v>2.19</v>
      </c>
      <c r="E18" s="1040">
        <v>1.41</v>
      </c>
      <c r="F18" s="1051">
        <f t="shared" si="7"/>
        <v>3.0878999999999999</v>
      </c>
      <c r="G18" s="1042">
        <f t="shared" si="8"/>
        <v>7.1999999999999993</v>
      </c>
      <c r="H18" s="1043">
        <v>1.41</v>
      </c>
      <c r="I18" s="1044">
        <f t="shared" si="9"/>
        <v>5.7899999999999991</v>
      </c>
      <c r="J18" s="1045">
        <v>2.93</v>
      </c>
      <c r="K18" s="1335"/>
      <c r="L18" s="1422"/>
      <c r="M18" s="1027"/>
      <c r="N18" s="1104"/>
      <c r="O18" s="1117"/>
      <c r="P18" s="1117"/>
      <c r="Q18" s="1117">
        <f t="shared" si="2"/>
        <v>3.0878999999999999</v>
      </c>
      <c r="R18" s="1117"/>
      <c r="S18" s="1118"/>
      <c r="T18" s="1027"/>
      <c r="U18" s="427"/>
      <c r="V18" s="429"/>
      <c r="W18" s="429"/>
      <c r="X18" s="429"/>
      <c r="Y18" s="428">
        <f t="shared" si="3"/>
        <v>16.964699999999997</v>
      </c>
      <c r="Z18" s="1027"/>
      <c r="AA18" s="1047"/>
      <c r="AB18" s="1388"/>
      <c r="AC18" s="1388"/>
      <c r="AD18" s="1050"/>
      <c r="AE18" s="1028"/>
      <c r="AF18" s="427"/>
      <c r="AG18" s="429"/>
      <c r="AH18" s="429"/>
      <c r="AI18" s="429"/>
      <c r="AJ18" s="429"/>
      <c r="AK18" s="429"/>
      <c r="AL18" s="429"/>
      <c r="AM18" s="429"/>
      <c r="AN18" s="428">
        <f t="shared" si="0"/>
        <v>3.0878999999999999</v>
      </c>
      <c r="AO18" s="1029"/>
      <c r="AP18" s="427"/>
      <c r="AQ18" s="429"/>
      <c r="AR18" s="429"/>
      <c r="AS18" s="429"/>
      <c r="AT18" s="429"/>
      <c r="AU18" s="429"/>
      <c r="AV18" s="429">
        <v>1</v>
      </c>
      <c r="AW18" s="428"/>
      <c r="AX18" s="427"/>
      <c r="AY18" s="429"/>
      <c r="AZ18" s="429"/>
      <c r="BA18" s="429"/>
      <c r="BB18" s="429"/>
      <c r="BC18" s="429"/>
      <c r="BD18" s="429"/>
      <c r="BE18" s="429"/>
      <c r="BF18" s="429"/>
      <c r="BG18" s="428"/>
      <c r="BH18" s="1033"/>
      <c r="BI18" s="1047"/>
      <c r="BJ18" s="1048"/>
      <c r="BK18" s="1048"/>
      <c r="BL18" s="1048"/>
      <c r="BM18" s="1048"/>
      <c r="BN18" s="1048">
        <f t="shared" si="6"/>
        <v>3.0878999999999999</v>
      </c>
      <c r="BO18" s="1048"/>
      <c r="BP18" s="1050"/>
      <c r="BQ18" s="427"/>
      <c r="BR18" s="429"/>
      <c r="BS18" s="429"/>
      <c r="BT18" s="428"/>
      <c r="BU18" s="1293"/>
      <c r="BV18" s="427"/>
      <c r="BW18" s="428"/>
      <c r="BX18" s="427">
        <f t="shared" si="4"/>
        <v>16.964699999999997</v>
      </c>
      <c r="BY18" s="429"/>
      <c r="BZ18" s="1275"/>
      <c r="CA18" s="427">
        <f t="shared" si="1"/>
        <v>3.0878999999999999</v>
      </c>
      <c r="CB18" s="429"/>
      <c r="CC18" s="428"/>
      <c r="CE18" s="427"/>
      <c r="CF18" s="429"/>
      <c r="CG18" s="429"/>
      <c r="CH18" s="429"/>
      <c r="CI18" s="428"/>
      <c r="CJ18" s="1204"/>
      <c r="CK18" s="429"/>
      <c r="CL18" s="429"/>
      <c r="CM18" s="429"/>
      <c r="CN18" s="429"/>
      <c r="CO18" s="429"/>
      <c r="CP18" s="429"/>
      <c r="CQ18" s="429"/>
      <c r="CR18" s="429"/>
      <c r="CS18" s="429"/>
      <c r="CT18" s="429"/>
      <c r="CU18" s="428"/>
      <c r="CV18" s="1377"/>
      <c r="CW18" s="1047"/>
      <c r="CX18" s="1048"/>
      <c r="CY18" s="1048"/>
      <c r="CZ18" s="1049"/>
      <c r="DA18" s="1050"/>
      <c r="DB18" s="1047"/>
      <c r="DC18" s="1048"/>
      <c r="DD18" s="1048"/>
      <c r="DE18" s="1048"/>
      <c r="DF18" s="1050"/>
    </row>
    <row r="19" spans="1:111" s="1010" customFormat="1" ht="13">
      <c r="A19" s="2267"/>
      <c r="B19" s="1038">
        <v>12</v>
      </c>
      <c r="C19" s="847" t="s">
        <v>2067</v>
      </c>
      <c r="D19" s="1039">
        <v>2.19</v>
      </c>
      <c r="E19" s="1040">
        <v>1.41</v>
      </c>
      <c r="F19" s="1051">
        <f t="shared" si="7"/>
        <v>3.0878999999999999</v>
      </c>
      <c r="G19" s="1042">
        <f t="shared" si="8"/>
        <v>7.1999999999999993</v>
      </c>
      <c r="H19" s="1043">
        <v>1.41</v>
      </c>
      <c r="I19" s="1044">
        <f t="shared" si="9"/>
        <v>5.7899999999999991</v>
      </c>
      <c r="J19" s="1045">
        <v>2.93</v>
      </c>
      <c r="K19" s="1335"/>
      <c r="L19" s="1422"/>
      <c r="M19" s="1027"/>
      <c r="N19" s="1104"/>
      <c r="O19" s="1117"/>
      <c r="P19" s="1117"/>
      <c r="Q19" s="1117">
        <f t="shared" si="2"/>
        <v>3.0878999999999999</v>
      </c>
      <c r="R19" s="1117"/>
      <c r="S19" s="1118"/>
      <c r="T19" s="1027"/>
      <c r="U19" s="427"/>
      <c r="V19" s="429"/>
      <c r="W19" s="429"/>
      <c r="X19" s="429"/>
      <c r="Y19" s="428">
        <f t="shared" si="3"/>
        <v>16.964699999999997</v>
      </c>
      <c r="Z19" s="1027"/>
      <c r="AA19" s="1047"/>
      <c r="AB19" s="1388"/>
      <c r="AC19" s="1388"/>
      <c r="AD19" s="1050"/>
      <c r="AE19" s="1028"/>
      <c r="AF19" s="427"/>
      <c r="AG19" s="429"/>
      <c r="AH19" s="429"/>
      <c r="AI19" s="429"/>
      <c r="AJ19" s="429"/>
      <c r="AK19" s="429"/>
      <c r="AL19" s="429"/>
      <c r="AM19" s="429"/>
      <c r="AN19" s="428">
        <f t="shared" si="0"/>
        <v>3.0878999999999999</v>
      </c>
      <c r="AO19" s="1029"/>
      <c r="AP19" s="427"/>
      <c r="AQ19" s="429"/>
      <c r="AR19" s="429"/>
      <c r="AS19" s="429"/>
      <c r="AT19" s="429"/>
      <c r="AU19" s="429"/>
      <c r="AV19" s="429">
        <v>1</v>
      </c>
      <c r="AW19" s="428"/>
      <c r="AX19" s="427"/>
      <c r="AY19" s="429"/>
      <c r="AZ19" s="429"/>
      <c r="BA19" s="429"/>
      <c r="BB19" s="429"/>
      <c r="BC19" s="429"/>
      <c r="BD19" s="429"/>
      <c r="BE19" s="429"/>
      <c r="BF19" s="429"/>
      <c r="BG19" s="428"/>
      <c r="BH19" s="1033"/>
      <c r="BI19" s="1047"/>
      <c r="BJ19" s="1048"/>
      <c r="BK19" s="1048"/>
      <c r="BL19" s="1048"/>
      <c r="BM19" s="1048"/>
      <c r="BN19" s="1048">
        <f t="shared" si="6"/>
        <v>3.0878999999999999</v>
      </c>
      <c r="BO19" s="1048"/>
      <c r="BP19" s="1050"/>
      <c r="BQ19" s="427"/>
      <c r="BR19" s="429"/>
      <c r="BS19" s="429"/>
      <c r="BT19" s="428"/>
      <c r="BU19" s="1293"/>
      <c r="BV19" s="427"/>
      <c r="BW19" s="428"/>
      <c r="BX19" s="427">
        <f t="shared" si="4"/>
        <v>16.964699999999997</v>
      </c>
      <c r="BY19" s="429"/>
      <c r="BZ19" s="1275"/>
      <c r="CA19" s="427">
        <f t="shared" si="1"/>
        <v>3.0878999999999999</v>
      </c>
      <c r="CB19" s="429"/>
      <c r="CC19" s="428"/>
      <c r="CE19" s="427"/>
      <c r="CF19" s="429"/>
      <c r="CG19" s="429"/>
      <c r="CH19" s="429"/>
      <c r="CI19" s="428"/>
      <c r="CJ19" s="1204"/>
      <c r="CK19" s="429"/>
      <c r="CL19" s="429"/>
      <c r="CM19" s="429"/>
      <c r="CN19" s="429"/>
      <c r="CO19" s="429"/>
      <c r="CP19" s="429"/>
      <c r="CQ19" s="429"/>
      <c r="CR19" s="429"/>
      <c r="CS19" s="429"/>
      <c r="CT19" s="429"/>
      <c r="CU19" s="428"/>
      <c r="CV19" s="1377"/>
      <c r="CW19" s="1047"/>
      <c r="CX19" s="1048"/>
      <c r="CY19" s="1048"/>
      <c r="CZ19" s="1049"/>
      <c r="DA19" s="1050"/>
      <c r="DB19" s="1047"/>
      <c r="DC19" s="1048"/>
      <c r="DD19" s="1048"/>
      <c r="DE19" s="1048"/>
      <c r="DF19" s="1050"/>
    </row>
    <row r="20" spans="1:111" s="1010" customFormat="1" ht="13">
      <c r="A20" s="2267"/>
      <c r="B20" s="1038">
        <v>13</v>
      </c>
      <c r="C20" s="847" t="s">
        <v>2068</v>
      </c>
      <c r="D20" s="1039">
        <v>2.19</v>
      </c>
      <c r="E20" s="1040">
        <v>1.41</v>
      </c>
      <c r="F20" s="1051">
        <f t="shared" si="7"/>
        <v>3.0878999999999999</v>
      </c>
      <c r="G20" s="1042">
        <f t="shared" si="8"/>
        <v>7.1999999999999993</v>
      </c>
      <c r="H20" s="1043">
        <v>1.41</v>
      </c>
      <c r="I20" s="1044">
        <f t="shared" si="9"/>
        <v>5.7899999999999991</v>
      </c>
      <c r="J20" s="1045">
        <v>2.93</v>
      </c>
      <c r="K20" s="1335"/>
      <c r="L20" s="1422"/>
      <c r="M20" s="1027"/>
      <c r="N20" s="1104"/>
      <c r="O20" s="1117"/>
      <c r="P20" s="1117"/>
      <c r="Q20" s="1117">
        <f t="shared" si="2"/>
        <v>3.0878999999999999</v>
      </c>
      <c r="R20" s="1117"/>
      <c r="S20" s="1118"/>
      <c r="T20" s="1027"/>
      <c r="U20" s="427"/>
      <c r="V20" s="429"/>
      <c r="W20" s="429"/>
      <c r="X20" s="429"/>
      <c r="Y20" s="428">
        <f t="shared" si="3"/>
        <v>16.964699999999997</v>
      </c>
      <c r="Z20" s="1027"/>
      <c r="AA20" s="1389"/>
      <c r="AB20" s="1390"/>
      <c r="AC20" s="1390"/>
      <c r="AD20" s="1391"/>
      <c r="AE20" s="1028"/>
      <c r="AF20" s="427"/>
      <c r="AG20" s="429"/>
      <c r="AH20" s="429"/>
      <c r="AI20" s="429"/>
      <c r="AJ20" s="429"/>
      <c r="AK20" s="429"/>
      <c r="AL20" s="429"/>
      <c r="AM20" s="429"/>
      <c r="AN20" s="428">
        <f t="shared" si="0"/>
        <v>3.0878999999999999</v>
      </c>
      <c r="AO20" s="1029"/>
      <c r="AP20" s="427"/>
      <c r="AQ20" s="429"/>
      <c r="AR20" s="429"/>
      <c r="AS20" s="429"/>
      <c r="AT20" s="429"/>
      <c r="AU20" s="429"/>
      <c r="AV20" s="429">
        <v>1</v>
      </c>
      <c r="AW20" s="428"/>
      <c r="AX20" s="427"/>
      <c r="AY20" s="429"/>
      <c r="AZ20" s="429"/>
      <c r="BA20" s="429"/>
      <c r="BB20" s="429"/>
      <c r="BC20" s="429"/>
      <c r="BD20" s="429"/>
      <c r="BE20" s="429"/>
      <c r="BF20" s="429"/>
      <c r="BG20" s="428"/>
      <c r="BH20" s="1033"/>
      <c r="BI20" s="1047"/>
      <c r="BJ20" s="1048"/>
      <c r="BK20" s="1048"/>
      <c r="BL20" s="1048"/>
      <c r="BM20" s="1048"/>
      <c r="BN20" s="1048">
        <f t="shared" si="6"/>
        <v>3.0878999999999999</v>
      </c>
      <c r="BO20" s="1048"/>
      <c r="BP20" s="1050"/>
      <c r="BQ20" s="427"/>
      <c r="BR20" s="429"/>
      <c r="BS20" s="429"/>
      <c r="BT20" s="428"/>
      <c r="BU20" s="1293"/>
      <c r="BV20" s="427"/>
      <c r="BW20" s="428"/>
      <c r="BX20" s="427">
        <f t="shared" si="4"/>
        <v>16.964699999999997</v>
      </c>
      <c r="BY20" s="429"/>
      <c r="BZ20" s="1275"/>
      <c r="CA20" s="427">
        <f t="shared" si="1"/>
        <v>3.0878999999999999</v>
      </c>
      <c r="CB20" s="429"/>
      <c r="CC20" s="428"/>
      <c r="CE20" s="427"/>
      <c r="CF20" s="429"/>
      <c r="CG20" s="429"/>
      <c r="CH20" s="429"/>
      <c r="CI20" s="428"/>
      <c r="CJ20" s="1204"/>
      <c r="CK20" s="429"/>
      <c r="CL20" s="429"/>
      <c r="CM20" s="429"/>
      <c r="CN20" s="429"/>
      <c r="CO20" s="429"/>
      <c r="CP20" s="429"/>
      <c r="CQ20" s="429"/>
      <c r="CR20" s="429"/>
      <c r="CS20" s="429"/>
      <c r="CT20" s="429"/>
      <c r="CU20" s="428"/>
      <c r="CV20" s="1377"/>
      <c r="CW20" s="1047"/>
      <c r="CX20" s="1048"/>
      <c r="CY20" s="1048"/>
      <c r="CZ20" s="1049"/>
      <c r="DA20" s="1050"/>
      <c r="DB20" s="1047"/>
      <c r="DC20" s="1048"/>
      <c r="DD20" s="1048"/>
      <c r="DE20" s="1048"/>
      <c r="DF20" s="1050"/>
    </row>
    <row r="21" spans="1:111" s="1010" customFormat="1" ht="13">
      <c r="A21" s="2267"/>
      <c r="B21" s="1038">
        <v>14</v>
      </c>
      <c r="C21" s="847" t="s">
        <v>1862</v>
      </c>
      <c r="D21" s="1039">
        <v>0</v>
      </c>
      <c r="E21" s="1040">
        <v>0</v>
      </c>
      <c r="F21" s="1051">
        <v>9.74</v>
      </c>
      <c r="G21" s="1042">
        <v>14.47</v>
      </c>
      <c r="H21" s="1043">
        <v>0</v>
      </c>
      <c r="I21" s="1044">
        <f>+G21-H21</f>
        <v>14.47</v>
      </c>
      <c r="J21" s="1045">
        <v>2.93</v>
      </c>
      <c r="K21" s="1335"/>
      <c r="L21" s="1422"/>
      <c r="M21" s="1027"/>
      <c r="N21" s="1104"/>
      <c r="O21" s="1117"/>
      <c r="P21" s="1117"/>
      <c r="Q21" s="1117">
        <f t="shared" si="2"/>
        <v>9.74</v>
      </c>
      <c r="R21" s="1117"/>
      <c r="S21" s="1118"/>
      <c r="T21" s="1027"/>
      <c r="U21" s="427"/>
      <c r="V21" s="429"/>
      <c r="W21" s="429"/>
      <c r="X21" s="429"/>
      <c r="Y21" s="428">
        <f t="shared" si="3"/>
        <v>42.397100000000002</v>
      </c>
      <c r="Z21" s="1027"/>
      <c r="AA21" s="1047"/>
      <c r="AB21" s="1388"/>
      <c r="AC21" s="1388"/>
      <c r="AD21" s="1050"/>
      <c r="AE21" s="1028"/>
      <c r="AF21" s="427"/>
      <c r="AG21" s="429"/>
      <c r="AH21" s="429"/>
      <c r="AI21" s="429"/>
      <c r="AJ21" s="429"/>
      <c r="AK21" s="429"/>
      <c r="AL21" s="429"/>
      <c r="AM21" s="429"/>
      <c r="AN21" s="428">
        <f t="shared" si="0"/>
        <v>9.74</v>
      </c>
      <c r="AO21" s="1029"/>
      <c r="AP21" s="427"/>
      <c r="AQ21" s="429"/>
      <c r="AR21" s="429">
        <v>1</v>
      </c>
      <c r="AS21" s="429"/>
      <c r="AT21" s="429"/>
      <c r="AU21" s="429"/>
      <c r="AV21" s="429"/>
      <c r="AW21" s="428"/>
      <c r="AX21" s="427"/>
      <c r="AY21" s="429"/>
      <c r="AZ21" s="429"/>
      <c r="BA21" s="429"/>
      <c r="BB21" s="429"/>
      <c r="BC21" s="429"/>
      <c r="BD21" s="429"/>
      <c r="BE21" s="429"/>
      <c r="BF21" s="429"/>
      <c r="BG21" s="428"/>
      <c r="BH21" s="1033"/>
      <c r="BI21" s="1047"/>
      <c r="BJ21" s="1048"/>
      <c r="BK21" s="1048"/>
      <c r="BL21" s="1048"/>
      <c r="BM21" s="1048">
        <f>+F21</f>
        <v>9.74</v>
      </c>
      <c r="BN21" s="1048"/>
      <c r="BO21" s="1048"/>
      <c r="BP21" s="1050"/>
      <c r="BQ21" s="427"/>
      <c r="BR21" s="429"/>
      <c r="BS21" s="429"/>
      <c r="BT21" s="428"/>
      <c r="BU21" s="1293"/>
      <c r="BV21" s="427"/>
      <c r="BW21" s="428"/>
      <c r="BX21" s="427">
        <f t="shared" si="4"/>
        <v>42.397100000000002</v>
      </c>
      <c r="BY21" s="429"/>
      <c r="BZ21" s="1275"/>
      <c r="CA21" s="427">
        <f t="shared" si="1"/>
        <v>9.74</v>
      </c>
      <c r="CB21" s="429"/>
      <c r="CC21" s="428"/>
      <c r="CE21" s="427"/>
      <c r="CF21" s="429"/>
      <c r="CG21" s="429"/>
      <c r="CH21" s="429"/>
      <c r="CI21" s="428">
        <f>+CJ21</f>
        <v>2</v>
      </c>
      <c r="CJ21" s="1204">
        <v>2</v>
      </c>
      <c r="CK21" s="429"/>
      <c r="CL21" s="429">
        <v>1</v>
      </c>
      <c r="CM21" s="429"/>
      <c r="CN21" s="429"/>
      <c r="CO21" s="429">
        <v>1</v>
      </c>
      <c r="CP21" s="429"/>
      <c r="CQ21" s="429"/>
      <c r="CR21" s="429">
        <v>1</v>
      </c>
      <c r="CS21" s="429">
        <v>1</v>
      </c>
      <c r="CT21" s="429">
        <v>1</v>
      </c>
      <c r="CU21" s="428"/>
      <c r="CV21" s="1377"/>
      <c r="CW21" s="1047"/>
      <c r="CX21" s="1048"/>
      <c r="CY21" s="1048"/>
      <c r="CZ21" s="1049"/>
      <c r="DA21" s="1050"/>
      <c r="DB21" s="1047"/>
      <c r="DC21" s="1048"/>
      <c r="DD21" s="1048"/>
      <c r="DE21" s="1048"/>
      <c r="DF21" s="1050"/>
    </row>
    <row r="22" spans="1:111" s="1010" customFormat="1" ht="13">
      <c r="A22" s="2267"/>
      <c r="B22" s="1038">
        <v>15</v>
      </c>
      <c r="C22" s="847" t="s">
        <v>2069</v>
      </c>
      <c r="D22" s="1039">
        <v>5</v>
      </c>
      <c r="E22" s="1040">
        <v>3.65</v>
      </c>
      <c r="F22" s="1051">
        <f t="shared" ref="F22:F27" si="10">D22*E22</f>
        <v>18.25</v>
      </c>
      <c r="G22" s="1042">
        <v>17.3</v>
      </c>
      <c r="H22" s="1043">
        <v>0</v>
      </c>
      <c r="I22" s="1044">
        <f t="shared" ref="I22:I24" si="11">+G22-H22</f>
        <v>17.3</v>
      </c>
      <c r="J22" s="1045">
        <v>2.93</v>
      </c>
      <c r="K22" s="1335"/>
      <c r="L22" s="1422"/>
      <c r="M22" s="1027"/>
      <c r="N22" s="1104"/>
      <c r="O22" s="1117"/>
      <c r="P22" s="1117"/>
      <c r="Q22" s="1117">
        <f t="shared" si="2"/>
        <v>18.25</v>
      </c>
      <c r="R22" s="1117"/>
      <c r="S22" s="1118"/>
      <c r="T22" s="1027"/>
      <c r="U22" s="427"/>
      <c r="V22" s="429"/>
      <c r="W22" s="429"/>
      <c r="X22" s="429"/>
      <c r="Y22" s="428">
        <f t="shared" si="3"/>
        <v>50.689000000000007</v>
      </c>
      <c r="Z22" s="1027"/>
      <c r="AA22" s="1047"/>
      <c r="AB22" s="1388"/>
      <c r="AC22" s="1388"/>
      <c r="AD22" s="1050"/>
      <c r="AE22" s="1028"/>
      <c r="AF22" s="427"/>
      <c r="AG22" s="429"/>
      <c r="AH22" s="429"/>
      <c r="AI22" s="429"/>
      <c r="AJ22" s="429"/>
      <c r="AK22" s="429"/>
      <c r="AL22" s="429"/>
      <c r="AM22" s="429"/>
      <c r="AN22" s="428">
        <f t="shared" si="0"/>
        <v>18.25</v>
      </c>
      <c r="AO22" s="1029"/>
      <c r="AP22" s="427"/>
      <c r="AQ22" s="429"/>
      <c r="AR22" s="429"/>
      <c r="AS22" s="429"/>
      <c r="AT22" s="429"/>
      <c r="AU22" s="429"/>
      <c r="AV22" s="429"/>
      <c r="AW22" s="428"/>
      <c r="AX22" s="427"/>
      <c r="AY22" s="429"/>
      <c r="AZ22" s="429"/>
      <c r="BA22" s="429"/>
      <c r="BB22" s="429"/>
      <c r="BC22" s="429"/>
      <c r="BD22" s="429"/>
      <c r="BE22" s="429"/>
      <c r="BF22" s="429"/>
      <c r="BG22" s="428"/>
      <c r="BH22" s="1033"/>
      <c r="BI22" s="1047"/>
      <c r="BJ22" s="1048"/>
      <c r="BK22" s="1048"/>
      <c r="BL22" s="1048"/>
      <c r="BM22" s="1048"/>
      <c r="BN22" s="1048">
        <f t="shared" si="6"/>
        <v>18.25</v>
      </c>
      <c r="BO22" s="1048"/>
      <c r="BP22" s="1050"/>
      <c r="BQ22" s="427"/>
      <c r="BR22" s="429"/>
      <c r="BS22" s="429"/>
      <c r="BT22" s="428"/>
      <c r="BU22" s="1293"/>
      <c r="BV22" s="427"/>
      <c r="BW22" s="428"/>
      <c r="BX22" s="427">
        <f t="shared" si="4"/>
        <v>50.689000000000007</v>
      </c>
      <c r="BY22" s="429"/>
      <c r="BZ22" s="1275"/>
      <c r="CA22" s="427">
        <f t="shared" si="1"/>
        <v>18.25</v>
      </c>
      <c r="CB22" s="429"/>
      <c r="CC22" s="428"/>
      <c r="CE22" s="427"/>
      <c r="CF22" s="429"/>
      <c r="CG22" s="429"/>
      <c r="CH22" s="429"/>
      <c r="CI22" s="428"/>
      <c r="CJ22" s="1204"/>
      <c r="CK22" s="429"/>
      <c r="CL22" s="429"/>
      <c r="CM22" s="429"/>
      <c r="CN22" s="429"/>
      <c r="CO22" s="429"/>
      <c r="CP22" s="429"/>
      <c r="CQ22" s="429"/>
      <c r="CR22" s="429"/>
      <c r="CS22" s="429"/>
      <c r="CT22" s="429"/>
      <c r="CU22" s="428"/>
      <c r="CV22" s="1377"/>
      <c r="CW22" s="1047"/>
      <c r="CX22" s="1048"/>
      <c r="CY22" s="1048"/>
      <c r="CZ22" s="1049"/>
      <c r="DA22" s="1050"/>
      <c r="DB22" s="1047"/>
      <c r="DC22" s="1048"/>
      <c r="DD22" s="1048"/>
      <c r="DE22" s="1048"/>
      <c r="DF22" s="1050"/>
    </row>
    <row r="23" spans="1:111" s="1060" customFormat="1" ht="13.5" thickBot="1">
      <c r="A23" s="2267"/>
      <c r="B23" s="1038">
        <v>16</v>
      </c>
      <c r="C23" s="847" t="s">
        <v>1120</v>
      </c>
      <c r="D23" s="1039">
        <v>1.2</v>
      </c>
      <c r="E23" s="1040">
        <v>2.1800000000000002</v>
      </c>
      <c r="F23" s="1051">
        <f t="shared" si="10"/>
        <v>2.6160000000000001</v>
      </c>
      <c r="G23" s="1042">
        <v>6.76</v>
      </c>
      <c r="H23" s="1043">
        <v>0</v>
      </c>
      <c r="I23" s="1044">
        <f t="shared" si="11"/>
        <v>6.76</v>
      </c>
      <c r="J23" s="1045">
        <v>2.2000000000000002</v>
      </c>
      <c r="K23" s="1335">
        <v>2.2000000000000002</v>
      </c>
      <c r="L23" s="1422"/>
      <c r="M23" s="1027"/>
      <c r="N23" s="1104"/>
      <c r="O23" s="1117"/>
      <c r="P23" s="1117"/>
      <c r="Q23" s="1117">
        <f t="shared" si="2"/>
        <v>2.6160000000000001</v>
      </c>
      <c r="R23" s="1117">
        <f t="shared" si="2"/>
        <v>2.6160000000000001</v>
      </c>
      <c r="S23" s="1118"/>
      <c r="T23" s="1027"/>
      <c r="U23" s="427"/>
      <c r="V23" s="429"/>
      <c r="W23" s="429"/>
      <c r="X23" s="429">
        <f>+I23*K23</f>
        <v>14.872</v>
      </c>
      <c r="Y23" s="428"/>
      <c r="Z23" s="1027"/>
      <c r="AA23" s="1047"/>
      <c r="AB23" s="1388"/>
      <c r="AC23" s="1388"/>
      <c r="AD23" s="1050"/>
      <c r="AE23" s="1028"/>
      <c r="AF23" s="427"/>
      <c r="AG23" s="429"/>
      <c r="AH23" s="429"/>
      <c r="AI23" s="429"/>
      <c r="AJ23" s="429"/>
      <c r="AK23" s="429"/>
      <c r="AL23" s="429"/>
      <c r="AM23" s="429"/>
      <c r="AN23" s="428">
        <f t="shared" si="0"/>
        <v>2.6160000000000001</v>
      </c>
      <c r="AO23" s="1029"/>
      <c r="AP23" s="427"/>
      <c r="AQ23" s="429">
        <v>1</v>
      </c>
      <c r="AR23" s="429"/>
      <c r="AS23" s="429"/>
      <c r="AT23" s="429"/>
      <c r="AU23" s="429"/>
      <c r="AV23" s="429"/>
      <c r="AW23" s="428"/>
      <c r="AX23" s="427"/>
      <c r="AY23" s="429"/>
      <c r="AZ23" s="429"/>
      <c r="BA23" s="429"/>
      <c r="BB23" s="429"/>
      <c r="BC23" s="429"/>
      <c r="BD23" s="429"/>
      <c r="BE23" s="429"/>
      <c r="BF23" s="429"/>
      <c r="BG23" s="428"/>
      <c r="BH23" s="1033"/>
      <c r="BI23" s="1047"/>
      <c r="BJ23" s="1048"/>
      <c r="BK23" s="1048"/>
      <c r="BL23" s="1048">
        <f>+F23</f>
        <v>2.6160000000000001</v>
      </c>
      <c r="BM23" s="1048"/>
      <c r="BN23" s="1048"/>
      <c r="BO23" s="1048"/>
      <c r="BP23" s="1050"/>
      <c r="BQ23" s="427"/>
      <c r="BR23" s="429"/>
      <c r="BS23" s="429"/>
      <c r="BT23" s="428"/>
      <c r="BU23" s="1293"/>
      <c r="BV23" s="427"/>
      <c r="BW23" s="428">
        <f>+I23*K23</f>
        <v>14.872</v>
      </c>
      <c r="BX23" s="427"/>
      <c r="BY23" s="429"/>
      <c r="BZ23" s="1275"/>
      <c r="CA23" s="427"/>
      <c r="CB23" s="429"/>
      <c r="CC23" s="428">
        <f>+F23</f>
        <v>2.6160000000000001</v>
      </c>
      <c r="CD23" s="1010"/>
      <c r="CE23" s="427"/>
      <c r="CF23" s="429"/>
      <c r="CG23" s="429"/>
      <c r="CH23" s="429"/>
      <c r="CI23" s="428">
        <v>1</v>
      </c>
      <c r="CJ23" s="1204">
        <v>1</v>
      </c>
      <c r="CK23" s="429"/>
      <c r="CL23" s="429">
        <v>1</v>
      </c>
      <c r="CM23" s="429"/>
      <c r="CN23" s="429">
        <v>1</v>
      </c>
      <c r="CO23" s="429"/>
      <c r="CP23" s="429"/>
      <c r="CQ23" s="429"/>
      <c r="CR23" s="429"/>
      <c r="CS23" s="429"/>
      <c r="CT23" s="429"/>
      <c r="CU23" s="428"/>
      <c r="CV23" s="1377"/>
      <c r="CW23" s="1047">
        <v>1</v>
      </c>
      <c r="CX23" s="1048"/>
      <c r="CY23" s="1048">
        <v>1</v>
      </c>
      <c r="CZ23" s="1049"/>
      <c r="DA23" s="1050"/>
      <c r="DB23" s="1047">
        <v>1</v>
      </c>
      <c r="DC23" s="1048">
        <v>1</v>
      </c>
      <c r="DD23" s="1048"/>
      <c r="DE23" s="1048"/>
      <c r="DF23" s="1050"/>
      <c r="DG23" s="1010"/>
    </row>
    <row r="24" spans="1:111" s="1010" customFormat="1" ht="13">
      <c r="A24" s="2267"/>
      <c r="B24" s="1038"/>
      <c r="C24" s="847" t="s">
        <v>504</v>
      </c>
      <c r="D24" s="1039"/>
      <c r="E24" s="1040"/>
      <c r="F24" s="1051">
        <v>7.7</v>
      </c>
      <c r="G24" s="1042">
        <v>14.85</v>
      </c>
      <c r="H24" s="1043">
        <v>3.08</v>
      </c>
      <c r="I24" s="1044">
        <f t="shared" si="11"/>
        <v>11.77</v>
      </c>
      <c r="J24" s="1045">
        <v>2.93</v>
      </c>
      <c r="K24" s="1335"/>
      <c r="L24" s="1422"/>
      <c r="M24" s="1027"/>
      <c r="N24" s="1104"/>
      <c r="O24" s="1117"/>
      <c r="P24" s="1117"/>
      <c r="Q24" s="1117"/>
      <c r="R24" s="1117"/>
      <c r="S24" s="1118"/>
      <c r="T24" s="1027"/>
      <c r="U24" s="427"/>
      <c r="V24" s="429"/>
      <c r="W24" s="429"/>
      <c r="X24" s="429"/>
      <c r="Y24" s="428">
        <f t="shared" si="3"/>
        <v>34.4861</v>
      </c>
      <c r="Z24" s="1027"/>
      <c r="AA24" s="1047"/>
      <c r="AB24" s="1388"/>
      <c r="AC24" s="1388"/>
      <c r="AD24" s="1050"/>
      <c r="AE24" s="1028"/>
      <c r="AF24" s="427"/>
      <c r="AG24" s="429"/>
      <c r="AH24" s="429"/>
      <c r="AI24" s="429"/>
      <c r="AJ24" s="429"/>
      <c r="AK24" s="429"/>
      <c r="AL24" s="429"/>
      <c r="AM24" s="429"/>
      <c r="AN24" s="428">
        <f t="shared" si="0"/>
        <v>7.7</v>
      </c>
      <c r="AO24" s="1029"/>
      <c r="AP24" s="427"/>
      <c r="AQ24" s="429"/>
      <c r="AR24" s="429"/>
      <c r="AS24" s="429"/>
      <c r="AT24" s="429"/>
      <c r="AU24" s="429"/>
      <c r="AV24" s="429"/>
      <c r="AW24" s="428"/>
      <c r="AX24" s="427"/>
      <c r="AY24" s="429"/>
      <c r="AZ24" s="429"/>
      <c r="BA24" s="429"/>
      <c r="BB24" s="429"/>
      <c r="BC24" s="429"/>
      <c r="BD24" s="429"/>
      <c r="BE24" s="429"/>
      <c r="BF24" s="429"/>
      <c r="BG24" s="428"/>
      <c r="BH24" s="1033"/>
      <c r="BI24" s="1047"/>
      <c r="BJ24" s="1048"/>
      <c r="BK24" s="1048"/>
      <c r="BL24" s="1048"/>
      <c r="BM24" s="1048"/>
      <c r="BN24" s="1048">
        <f>+F24</f>
        <v>7.7</v>
      </c>
      <c r="BO24" s="1048"/>
      <c r="BP24" s="1050"/>
      <c r="BQ24" s="427"/>
      <c r="BR24" s="429"/>
      <c r="BS24" s="429"/>
      <c r="BT24" s="428"/>
      <c r="BU24" s="1293"/>
      <c r="BV24" s="427"/>
      <c r="BW24" s="428"/>
      <c r="BX24" s="427">
        <f t="shared" si="4"/>
        <v>34.4861</v>
      </c>
      <c r="BY24" s="429"/>
      <c r="BZ24" s="1275"/>
      <c r="CA24" s="427">
        <f>+F24</f>
        <v>7.7</v>
      </c>
      <c r="CB24" s="429"/>
      <c r="CC24" s="428"/>
      <c r="CE24" s="427"/>
      <c r="CF24" s="429"/>
      <c r="CG24" s="429"/>
      <c r="CH24" s="429">
        <v>1</v>
      </c>
      <c r="CI24" s="428"/>
      <c r="CJ24" s="1204">
        <v>2</v>
      </c>
      <c r="CK24" s="429"/>
      <c r="CL24" s="429">
        <v>1</v>
      </c>
      <c r="CM24" s="429"/>
      <c r="CN24" s="429"/>
      <c r="CO24" s="429"/>
      <c r="CP24" s="429"/>
      <c r="CQ24" s="429"/>
      <c r="CR24" s="429"/>
      <c r="CS24" s="429"/>
      <c r="CT24" s="429"/>
      <c r="CU24" s="428"/>
      <c r="CV24" s="1377"/>
      <c r="CW24" s="1047"/>
      <c r="CX24" s="1048"/>
      <c r="CY24" s="1048"/>
      <c r="CZ24" s="1049"/>
      <c r="DA24" s="1050"/>
      <c r="DB24" s="1047"/>
      <c r="DC24" s="1048"/>
      <c r="DD24" s="1048"/>
      <c r="DE24" s="1048"/>
      <c r="DF24" s="1050"/>
    </row>
    <row r="25" spans="1:111" s="1010" customFormat="1" ht="13">
      <c r="A25" s="2267"/>
      <c r="B25" s="1147"/>
      <c r="C25" s="848" t="s">
        <v>404</v>
      </c>
      <c r="D25" s="1063"/>
      <c r="E25" s="1064"/>
      <c r="F25" s="1216">
        <v>9</v>
      </c>
      <c r="G25" s="1066">
        <v>13.74</v>
      </c>
      <c r="H25" s="1067">
        <f>1.25+1.55</f>
        <v>2.8</v>
      </c>
      <c r="I25" s="1068">
        <f>+G25-H25</f>
        <v>10.940000000000001</v>
      </c>
      <c r="J25" s="1066">
        <v>2.93</v>
      </c>
      <c r="K25" s="1408"/>
      <c r="L25" s="1423"/>
      <c r="M25" s="1027"/>
      <c r="N25" s="1146"/>
      <c r="O25" s="1162"/>
      <c r="P25" s="1162"/>
      <c r="Q25" s="1162"/>
      <c r="R25" s="1162"/>
      <c r="S25" s="1163"/>
      <c r="T25" s="1027"/>
      <c r="U25" s="432"/>
      <c r="V25" s="430"/>
      <c r="W25" s="430"/>
      <c r="X25" s="430"/>
      <c r="Y25" s="431">
        <f t="shared" si="3"/>
        <v>32.054200000000009</v>
      </c>
      <c r="Z25" s="1027"/>
      <c r="AA25" s="1052"/>
      <c r="AB25" s="1392"/>
      <c r="AC25" s="1392"/>
      <c r="AD25" s="1054"/>
      <c r="AE25" s="1028"/>
      <c r="AF25" s="432"/>
      <c r="AG25" s="430"/>
      <c r="AH25" s="430"/>
      <c r="AI25" s="430"/>
      <c r="AJ25" s="430"/>
      <c r="AK25" s="430"/>
      <c r="AL25" s="430"/>
      <c r="AM25" s="430"/>
      <c r="AN25" s="431">
        <f t="shared" si="0"/>
        <v>9</v>
      </c>
      <c r="AO25" s="1029"/>
      <c r="AP25" s="432"/>
      <c r="AQ25" s="430"/>
      <c r="AR25" s="430"/>
      <c r="AS25" s="430"/>
      <c r="AT25" s="430"/>
      <c r="AU25" s="430"/>
      <c r="AV25" s="430"/>
      <c r="AW25" s="431"/>
      <c r="AX25" s="432"/>
      <c r="AY25" s="430"/>
      <c r="AZ25" s="430"/>
      <c r="BA25" s="430"/>
      <c r="BB25" s="430"/>
      <c r="BC25" s="430"/>
      <c r="BD25" s="430"/>
      <c r="BE25" s="430"/>
      <c r="BF25" s="430"/>
      <c r="BG25" s="431"/>
      <c r="BH25" s="1033"/>
      <c r="BI25" s="1052"/>
      <c r="BJ25" s="1053"/>
      <c r="BK25" s="1053"/>
      <c r="BL25" s="1053"/>
      <c r="BM25" s="1053"/>
      <c r="BN25" s="1053"/>
      <c r="BO25" s="1053"/>
      <c r="BP25" s="1054"/>
      <c r="BQ25" s="432"/>
      <c r="BR25" s="430"/>
      <c r="BS25" s="430"/>
      <c r="BT25" s="431">
        <f>+I25</f>
        <v>10.940000000000001</v>
      </c>
      <c r="BU25" s="1293"/>
      <c r="BV25" s="432"/>
      <c r="BW25" s="431"/>
      <c r="BX25" s="439">
        <f t="shared" si="4"/>
        <v>32.054200000000009</v>
      </c>
      <c r="BY25" s="436"/>
      <c r="BZ25" s="1279"/>
      <c r="CA25" s="432">
        <f>+F25</f>
        <v>9</v>
      </c>
      <c r="CB25" s="430"/>
      <c r="CC25" s="431"/>
      <c r="CE25" s="432"/>
      <c r="CF25" s="430"/>
      <c r="CG25" s="430">
        <v>1</v>
      </c>
      <c r="CH25" s="430">
        <v>1</v>
      </c>
      <c r="CI25" s="431">
        <v>2</v>
      </c>
      <c r="CJ25" s="1205">
        <v>2</v>
      </c>
      <c r="CK25" s="430"/>
      <c r="CL25" s="430"/>
      <c r="CM25" s="430"/>
      <c r="CN25" s="430"/>
      <c r="CO25" s="430"/>
      <c r="CP25" s="430"/>
      <c r="CQ25" s="430"/>
      <c r="CR25" s="430"/>
      <c r="CS25" s="430"/>
      <c r="CT25" s="430"/>
      <c r="CU25" s="431"/>
      <c r="CV25" s="1377"/>
      <c r="CW25" s="1052"/>
      <c r="CX25" s="1053"/>
      <c r="CY25" s="1053"/>
      <c r="CZ25" s="1055"/>
      <c r="DA25" s="1054"/>
      <c r="DB25" s="1052"/>
      <c r="DC25" s="1053"/>
      <c r="DD25" s="1053"/>
      <c r="DE25" s="1053"/>
      <c r="DF25" s="1054"/>
    </row>
    <row r="26" spans="1:111" s="1010" customFormat="1" ht="13">
      <c r="A26" s="2264" t="s">
        <v>14</v>
      </c>
      <c r="B26" s="1186"/>
      <c r="C26" s="497" t="s">
        <v>2157</v>
      </c>
      <c r="D26" s="1187">
        <v>3</v>
      </c>
      <c r="E26" s="1188">
        <v>10</v>
      </c>
      <c r="F26" s="1090">
        <f t="shared" si="10"/>
        <v>30</v>
      </c>
      <c r="G26" s="1091">
        <f>+D26*2+E26*2</f>
        <v>26</v>
      </c>
      <c r="H26" s="1092">
        <f>+G26</f>
        <v>26</v>
      </c>
      <c r="I26" s="1093">
        <f t="shared" ref="I26:I27" si="12">+G26-H26</f>
        <v>0</v>
      </c>
      <c r="J26" s="1191">
        <v>3.2</v>
      </c>
      <c r="K26" s="1419"/>
      <c r="L26" s="1424"/>
      <c r="M26" s="1027"/>
      <c r="N26" s="1149"/>
      <c r="O26" s="1160"/>
      <c r="P26" s="1160">
        <f t="shared" si="2"/>
        <v>30</v>
      </c>
      <c r="Q26" s="1160"/>
      <c r="R26" s="1160"/>
      <c r="S26" s="1161"/>
      <c r="T26" s="1027"/>
      <c r="U26" s="434"/>
      <c r="V26" s="433"/>
      <c r="W26" s="433"/>
      <c r="X26" s="433"/>
      <c r="Y26" s="426"/>
      <c r="Z26" s="1027"/>
      <c r="AA26" s="1030"/>
      <c r="AB26" s="1393">
        <f>+F26</f>
        <v>30</v>
      </c>
      <c r="AC26" s="1393"/>
      <c r="AD26" s="1062"/>
      <c r="AE26" s="1028"/>
      <c r="AF26" s="434"/>
      <c r="AG26" s="433">
        <f>1.3*9.14</f>
        <v>11.882000000000001</v>
      </c>
      <c r="AH26" s="433">
        <f>1.3*2+9.14*2</f>
        <v>20.880000000000003</v>
      </c>
      <c r="AI26" s="433"/>
      <c r="AJ26" s="433"/>
      <c r="AK26" s="433"/>
      <c r="AL26" s="433"/>
      <c r="AM26" s="433"/>
      <c r="AN26" s="426"/>
      <c r="AO26" s="1029"/>
      <c r="AP26" s="434"/>
      <c r="AQ26" s="433"/>
      <c r="AR26" s="433"/>
      <c r="AS26" s="433"/>
      <c r="AT26" s="433"/>
      <c r="AU26" s="433"/>
      <c r="AV26" s="433"/>
      <c r="AW26" s="426"/>
      <c r="AX26" s="434"/>
      <c r="AY26" s="433"/>
      <c r="AZ26" s="433"/>
      <c r="BA26" s="433"/>
      <c r="BB26" s="433"/>
      <c r="BC26" s="433"/>
      <c r="BD26" s="433"/>
      <c r="BE26" s="433"/>
      <c r="BF26" s="433"/>
      <c r="BG26" s="426"/>
      <c r="BH26" s="1033"/>
      <c r="BI26" s="1034"/>
      <c r="BJ26" s="1035"/>
      <c r="BK26" s="1035"/>
      <c r="BL26" s="1035"/>
      <c r="BM26" s="1035"/>
      <c r="BN26" s="1035"/>
      <c r="BO26" s="1037"/>
      <c r="BP26" s="1036">
        <f>+F26</f>
        <v>30</v>
      </c>
      <c r="BQ26" s="434"/>
      <c r="BR26" s="433"/>
      <c r="BS26" s="433"/>
      <c r="BT26" s="426"/>
      <c r="BU26" s="1293"/>
      <c r="BV26" s="434"/>
      <c r="BW26" s="426"/>
      <c r="BX26" s="434"/>
      <c r="BY26" s="433"/>
      <c r="BZ26" s="1280"/>
      <c r="CA26" s="434"/>
      <c r="CB26" s="433"/>
      <c r="CC26" s="1460">
        <f>+AG26</f>
        <v>11.882000000000001</v>
      </c>
      <c r="CE26" s="434"/>
      <c r="CF26" s="433"/>
      <c r="CG26" s="433"/>
      <c r="CH26" s="433"/>
      <c r="CI26" s="426">
        <v>3</v>
      </c>
      <c r="CJ26" s="1203">
        <v>3</v>
      </c>
      <c r="CK26" s="433"/>
      <c r="CL26" s="433"/>
      <c r="CM26" s="433"/>
      <c r="CN26" s="433"/>
      <c r="CO26" s="433"/>
      <c r="CP26" s="433"/>
      <c r="CQ26" s="433"/>
      <c r="CR26" s="433"/>
      <c r="CS26" s="433"/>
      <c r="CT26" s="433">
        <v>1</v>
      </c>
      <c r="CU26" s="426"/>
      <c r="CV26" s="1377"/>
      <c r="CW26" s="1034"/>
      <c r="CX26" s="1035"/>
      <c r="CY26" s="1035"/>
      <c r="CZ26" s="1037"/>
      <c r="DA26" s="1036"/>
      <c r="DB26" s="1034"/>
      <c r="DC26" s="1035"/>
      <c r="DD26" s="1035"/>
      <c r="DE26" s="1035"/>
      <c r="DF26" s="1036"/>
    </row>
    <row r="27" spans="1:111" s="1010" customFormat="1" ht="13">
      <c r="A27" s="2263"/>
      <c r="B27" s="1038"/>
      <c r="C27" s="847" t="s">
        <v>2158</v>
      </c>
      <c r="D27" s="1039">
        <v>3.1</v>
      </c>
      <c r="E27" s="1040">
        <v>3.3</v>
      </c>
      <c r="F27" s="1051">
        <f t="shared" si="10"/>
        <v>10.23</v>
      </c>
      <c r="G27" s="1042">
        <f>+D27*2+E27*2</f>
        <v>12.8</v>
      </c>
      <c r="H27" s="1043">
        <f>2.85*2</f>
        <v>5.7</v>
      </c>
      <c r="I27" s="1044">
        <f t="shared" si="12"/>
        <v>7.1000000000000005</v>
      </c>
      <c r="J27" s="1045">
        <v>3.2</v>
      </c>
      <c r="K27" s="1335"/>
      <c r="L27" s="1422"/>
      <c r="M27" s="1027"/>
      <c r="N27" s="1104"/>
      <c r="O27" s="1117"/>
      <c r="P27" s="1117">
        <f t="shared" si="2"/>
        <v>10.23</v>
      </c>
      <c r="Q27" s="1117"/>
      <c r="R27" s="1117"/>
      <c r="S27" s="1118"/>
      <c r="T27" s="1027"/>
      <c r="U27" s="427"/>
      <c r="V27" s="429"/>
      <c r="W27" s="429"/>
      <c r="X27" s="429"/>
      <c r="Y27" s="428"/>
      <c r="Z27" s="1027"/>
      <c r="AA27" s="1047"/>
      <c r="AB27" s="1393">
        <f>+F27</f>
        <v>10.23</v>
      </c>
      <c r="AC27" s="1393"/>
      <c r="AD27" s="1050"/>
      <c r="AE27" s="1028"/>
      <c r="AF27" s="427"/>
      <c r="AG27" s="429"/>
      <c r="AH27" s="429"/>
      <c r="AI27" s="429"/>
      <c r="AJ27" s="429"/>
      <c r="AK27" s="429"/>
      <c r="AL27" s="429"/>
      <c r="AM27" s="429"/>
      <c r="AN27" s="428">
        <f>+F27</f>
        <v>10.23</v>
      </c>
      <c r="AO27" s="1029"/>
      <c r="AP27" s="427"/>
      <c r="AQ27" s="429"/>
      <c r="AR27" s="429"/>
      <c r="AS27" s="429"/>
      <c r="AT27" s="429"/>
      <c r="AU27" s="429"/>
      <c r="AV27" s="429"/>
      <c r="AW27" s="428"/>
      <c r="AX27" s="427"/>
      <c r="AY27" s="429"/>
      <c r="AZ27" s="429"/>
      <c r="BA27" s="429"/>
      <c r="BB27" s="429"/>
      <c r="BC27" s="429"/>
      <c r="BD27" s="429"/>
      <c r="BE27" s="429"/>
      <c r="BF27" s="429"/>
      <c r="BG27" s="428"/>
      <c r="BH27" s="1033"/>
      <c r="BI27" s="1030"/>
      <c r="BJ27" s="1031"/>
      <c r="BK27" s="1031"/>
      <c r="BL27" s="1031"/>
      <c r="BM27" s="1031"/>
      <c r="BN27" s="1031"/>
      <c r="BO27" s="1032"/>
      <c r="BP27" s="1062">
        <f>+F27</f>
        <v>10.23</v>
      </c>
      <c r="BQ27" s="427"/>
      <c r="BR27" s="429"/>
      <c r="BS27" s="429"/>
      <c r="BT27" s="428"/>
      <c r="BU27" s="1293"/>
      <c r="BV27" s="427"/>
      <c r="BW27" s="428"/>
      <c r="BX27" s="427"/>
      <c r="BY27" s="429"/>
      <c r="BZ27" s="1275"/>
      <c r="CA27" s="427">
        <f>+F27</f>
        <v>10.23</v>
      </c>
      <c r="CB27" s="429"/>
      <c r="CC27" s="428"/>
      <c r="CE27" s="427"/>
      <c r="CF27" s="429"/>
      <c r="CG27" s="429">
        <v>1</v>
      </c>
      <c r="CH27" s="429"/>
      <c r="CI27" s="428">
        <v>1</v>
      </c>
      <c r="CJ27" s="1204">
        <v>1</v>
      </c>
      <c r="CK27" s="429"/>
      <c r="CL27" s="429"/>
      <c r="CM27" s="429"/>
      <c r="CN27" s="429"/>
      <c r="CO27" s="429"/>
      <c r="CP27" s="429"/>
      <c r="CQ27" s="429"/>
      <c r="CR27" s="429"/>
      <c r="CS27" s="429"/>
      <c r="CT27" s="429">
        <v>2</v>
      </c>
      <c r="CU27" s="428"/>
      <c r="CV27" s="1377"/>
      <c r="CW27" s="1047"/>
      <c r="CX27" s="1048"/>
      <c r="CY27" s="1048"/>
      <c r="CZ27" s="1049"/>
      <c r="DA27" s="1050"/>
      <c r="DB27" s="1047"/>
      <c r="DC27" s="1048"/>
      <c r="DD27" s="1048"/>
      <c r="DE27" s="1048"/>
      <c r="DF27" s="1050"/>
    </row>
    <row r="28" spans="1:111" ht="13">
      <c r="A28" s="2263"/>
      <c r="B28" s="1038">
        <v>17</v>
      </c>
      <c r="C28" s="847" t="s">
        <v>2159</v>
      </c>
      <c r="D28" s="1039">
        <v>0</v>
      </c>
      <c r="E28" s="1040">
        <v>0</v>
      </c>
      <c r="F28" s="1041">
        <v>52.38</v>
      </c>
      <c r="G28" s="1042">
        <v>39.01</v>
      </c>
      <c r="H28" s="1139">
        <f>2.85*2</f>
        <v>5.7</v>
      </c>
      <c r="I28" s="1044">
        <f>+G28-H28</f>
        <v>33.309999999999995</v>
      </c>
      <c r="J28" s="1045">
        <f>AVERAGE(3,6)</f>
        <v>4.5</v>
      </c>
      <c r="K28" s="1335"/>
      <c r="L28" s="1421"/>
      <c r="M28" s="1027"/>
      <c r="N28" s="1104"/>
      <c r="O28" s="1117"/>
      <c r="P28" s="1117"/>
      <c r="Q28" s="1117"/>
      <c r="R28" s="1117"/>
      <c r="S28" s="1118"/>
      <c r="T28" s="1027"/>
      <c r="U28" s="427"/>
      <c r="V28" s="429"/>
      <c r="W28" s="429"/>
      <c r="X28" s="429"/>
      <c r="Y28" s="428">
        <f t="shared" si="3"/>
        <v>149.89499999999998</v>
      </c>
      <c r="Z28" s="1027"/>
      <c r="AA28" s="1389"/>
      <c r="AB28" s="1390"/>
      <c r="AC28" s="1390"/>
      <c r="AD28" s="1391"/>
      <c r="AE28" s="1028"/>
      <c r="AF28" s="427"/>
      <c r="AG28" s="429"/>
      <c r="AH28" s="429"/>
      <c r="AI28" s="429"/>
      <c r="AJ28" s="429"/>
      <c r="AK28" s="429"/>
      <c r="AL28" s="429"/>
      <c r="AM28" s="429"/>
      <c r="AN28" s="1456">
        <f>8.52*3.3</f>
        <v>28.115999999999996</v>
      </c>
      <c r="AO28" s="1029"/>
      <c r="AP28" s="427"/>
      <c r="AQ28" s="429"/>
      <c r="AR28" s="429"/>
      <c r="AS28" s="429"/>
      <c r="AT28" s="429">
        <v>1</v>
      </c>
      <c r="AU28" s="429"/>
      <c r="AV28" s="429"/>
      <c r="AW28" s="428"/>
      <c r="AX28" s="427"/>
      <c r="AY28" s="429"/>
      <c r="AZ28" s="429"/>
      <c r="BA28" s="429"/>
      <c r="BB28" s="429"/>
      <c r="BC28" s="429"/>
      <c r="BD28" s="429"/>
      <c r="BE28" s="429"/>
      <c r="BF28" s="429"/>
      <c r="BG28" s="428"/>
      <c r="BH28" s="1033"/>
      <c r="BI28" s="1047">
        <f>+F28</f>
        <v>52.38</v>
      </c>
      <c r="BJ28" s="1048"/>
      <c r="BK28" s="1048"/>
      <c r="BL28" s="1048"/>
      <c r="BM28" s="1048"/>
      <c r="BN28" s="1048"/>
      <c r="BO28" s="1049"/>
      <c r="BP28" s="1050"/>
      <c r="BQ28" s="427"/>
      <c r="BR28" s="429"/>
      <c r="BS28" s="429"/>
      <c r="BT28" s="428">
        <f t="shared" ref="BT28" si="13">$G28</f>
        <v>39.01</v>
      </c>
      <c r="BU28" s="1293"/>
      <c r="BV28" s="427"/>
      <c r="BW28" s="428"/>
      <c r="BX28" s="427">
        <f>+I28*J28</f>
        <v>149.89499999999998</v>
      </c>
      <c r="BY28" s="429"/>
      <c r="BZ28" s="1275"/>
      <c r="CA28" s="1317">
        <f>8.52*3.3</f>
        <v>28.115999999999996</v>
      </c>
      <c r="CB28" s="429"/>
      <c r="CC28" s="1455"/>
      <c r="CE28" s="427"/>
      <c r="CF28" s="429"/>
      <c r="CG28" s="429">
        <v>1</v>
      </c>
      <c r="CH28" s="429">
        <f>+CJ28</f>
        <v>5</v>
      </c>
      <c r="CI28" s="428"/>
      <c r="CJ28" s="1204">
        <v>5</v>
      </c>
      <c r="CK28" s="429"/>
      <c r="CL28" s="429"/>
      <c r="CM28" s="429"/>
      <c r="CN28" s="429"/>
      <c r="CO28" s="429"/>
      <c r="CP28" s="429"/>
      <c r="CQ28" s="429"/>
      <c r="CR28" s="429"/>
      <c r="CS28" s="429"/>
      <c r="CT28" s="429"/>
      <c r="CU28" s="428"/>
      <c r="CV28" s="1377"/>
      <c r="CW28" s="1047"/>
      <c r="CX28" s="1048"/>
      <c r="CY28" s="1048"/>
      <c r="CZ28" s="1049"/>
      <c r="DA28" s="1050"/>
      <c r="DB28" s="1047"/>
      <c r="DC28" s="1048"/>
      <c r="DD28" s="1048"/>
      <c r="DE28" s="1048"/>
      <c r="DF28" s="1050"/>
    </row>
    <row r="29" spans="1:111" ht="13">
      <c r="A29" s="2263"/>
      <c r="B29" s="1038">
        <v>18</v>
      </c>
      <c r="C29" s="847" t="s">
        <v>2070</v>
      </c>
      <c r="D29" s="1039">
        <v>2.2999999999999998</v>
      </c>
      <c r="E29" s="1040">
        <v>3</v>
      </c>
      <c r="F29" s="1041">
        <f>D29*E29</f>
        <v>6.8999999999999995</v>
      </c>
      <c r="G29" s="1042">
        <v>11.17</v>
      </c>
      <c r="H29" s="1139">
        <f>(2.05*2)</f>
        <v>4.0999999999999996</v>
      </c>
      <c r="I29" s="1044">
        <f>+G29-H29</f>
        <v>7.07</v>
      </c>
      <c r="J29" s="1045">
        <v>3.2</v>
      </c>
      <c r="K29" s="1335"/>
      <c r="L29" s="1421"/>
      <c r="M29" s="1027"/>
      <c r="N29" s="1104"/>
      <c r="O29" s="1117"/>
      <c r="P29" s="1117">
        <f t="shared" si="2"/>
        <v>6.8999999999999995</v>
      </c>
      <c r="Q29" s="1117"/>
      <c r="R29" s="1117"/>
      <c r="S29" s="1118"/>
      <c r="T29" s="1027"/>
      <c r="U29" s="427"/>
      <c r="V29" s="429"/>
      <c r="W29" s="429"/>
      <c r="X29" s="429"/>
      <c r="Y29" s="428"/>
      <c r="Z29" s="1027"/>
      <c r="AA29" s="1389"/>
      <c r="AB29" s="1393">
        <f>+F29</f>
        <v>6.8999999999999995</v>
      </c>
      <c r="AC29" s="1393"/>
      <c r="AD29" s="1391"/>
      <c r="AE29" s="1028"/>
      <c r="AF29" s="427"/>
      <c r="AG29" s="429">
        <f>+F29</f>
        <v>6.8999999999999995</v>
      </c>
      <c r="AH29" s="429">
        <f>+G29</f>
        <v>11.17</v>
      </c>
      <c r="AI29" s="429"/>
      <c r="AJ29" s="429"/>
      <c r="AK29" s="429"/>
      <c r="AL29" s="429"/>
      <c r="AM29" s="429"/>
      <c r="AN29" s="428"/>
      <c r="AO29" s="1029"/>
      <c r="AP29" s="427"/>
      <c r="AQ29" s="429"/>
      <c r="AR29" s="429"/>
      <c r="AS29" s="429"/>
      <c r="AT29" s="429">
        <v>1</v>
      </c>
      <c r="AU29" s="429"/>
      <c r="AV29" s="429"/>
      <c r="AW29" s="428"/>
      <c r="AX29" s="427"/>
      <c r="AY29" s="429"/>
      <c r="AZ29" s="429"/>
      <c r="BA29" s="429"/>
      <c r="BB29" s="429"/>
      <c r="BC29" s="429"/>
      <c r="BD29" s="429"/>
      <c r="BE29" s="429"/>
      <c r="BF29" s="429"/>
      <c r="BG29" s="428"/>
      <c r="BH29" s="1033"/>
      <c r="BI29" s="1047"/>
      <c r="BJ29" s="1048"/>
      <c r="BK29" s="1048"/>
      <c r="BL29" s="1048"/>
      <c r="BM29" s="1048"/>
      <c r="BN29" s="1048"/>
      <c r="BO29" s="1049"/>
      <c r="BP29" s="1050">
        <f>+F29</f>
        <v>6.8999999999999995</v>
      </c>
      <c r="BQ29" s="427"/>
      <c r="BR29" s="429"/>
      <c r="BS29" s="429"/>
      <c r="BT29" s="428"/>
      <c r="BU29" s="1293"/>
      <c r="BV29" s="427"/>
      <c r="BW29" s="428"/>
      <c r="BX29" s="427"/>
      <c r="BY29" s="429"/>
      <c r="BZ29" s="1275"/>
      <c r="CA29" s="427"/>
      <c r="CB29" s="429"/>
      <c r="CC29" s="428">
        <f>+F29</f>
        <v>6.8999999999999995</v>
      </c>
      <c r="CE29" s="427"/>
      <c r="CF29" s="429"/>
      <c r="CG29" s="429"/>
      <c r="CH29" s="429"/>
      <c r="CI29" s="428">
        <v>4</v>
      </c>
      <c r="CJ29" s="1204">
        <v>4</v>
      </c>
      <c r="CK29" s="429"/>
      <c r="CL29" s="429"/>
      <c r="CM29" s="429"/>
      <c r="CN29" s="429"/>
      <c r="CO29" s="429"/>
      <c r="CP29" s="429"/>
      <c r="CQ29" s="429"/>
      <c r="CR29" s="429"/>
      <c r="CS29" s="429"/>
      <c r="CT29" s="429">
        <v>2</v>
      </c>
      <c r="CU29" s="428"/>
      <c r="CV29" s="1377"/>
      <c r="CW29" s="1047"/>
      <c r="CX29" s="1048"/>
      <c r="CY29" s="1048"/>
      <c r="CZ29" s="1049"/>
      <c r="DA29" s="1050"/>
      <c r="DB29" s="1047"/>
      <c r="DC29" s="1048"/>
      <c r="DD29" s="1048"/>
      <c r="DE29" s="1048"/>
      <c r="DF29" s="1050"/>
    </row>
    <row r="30" spans="1:111" ht="13">
      <c r="A30" s="2263"/>
      <c r="B30" s="1038">
        <v>19</v>
      </c>
      <c r="C30" s="847" t="s">
        <v>2071</v>
      </c>
      <c r="D30" s="1039">
        <v>0</v>
      </c>
      <c r="E30" s="1040">
        <v>0</v>
      </c>
      <c r="F30" s="1041">
        <v>29.36</v>
      </c>
      <c r="G30" s="1042">
        <v>39.380000000000003</v>
      </c>
      <c r="H30" s="1043">
        <f>2.05+1.2</f>
        <v>3.25</v>
      </c>
      <c r="I30" s="1044">
        <f>+G30-H30</f>
        <v>36.130000000000003</v>
      </c>
      <c r="J30" s="1045">
        <v>3.2</v>
      </c>
      <c r="K30" s="1335"/>
      <c r="L30" s="1421"/>
      <c r="M30" s="1027"/>
      <c r="N30" s="1104">
        <f>+F30</f>
        <v>29.36</v>
      </c>
      <c r="O30" s="1117"/>
      <c r="P30" s="1117"/>
      <c r="Q30" s="1117"/>
      <c r="R30" s="1117"/>
      <c r="S30" s="1118"/>
      <c r="T30" s="1027"/>
      <c r="U30" s="427">
        <f>$I30*$J30</f>
        <v>115.61600000000001</v>
      </c>
      <c r="V30" s="429">
        <f>+W30*J30</f>
        <v>22.400000000000002</v>
      </c>
      <c r="W30" s="429">
        <v>7</v>
      </c>
      <c r="X30" s="429"/>
      <c r="Y30" s="428"/>
      <c r="Z30" s="1027"/>
      <c r="AA30" s="1047"/>
      <c r="AB30" s="1388"/>
      <c r="AC30" s="1388"/>
      <c r="AD30" s="1050"/>
      <c r="AE30" s="1028"/>
      <c r="AF30" s="427">
        <f>+F30</f>
        <v>29.36</v>
      </c>
      <c r="AG30" s="429"/>
      <c r="AH30" s="429">
        <f>+G30</f>
        <v>39.380000000000003</v>
      </c>
      <c r="AI30" s="429"/>
      <c r="AJ30" s="429"/>
      <c r="AK30" s="429"/>
      <c r="AL30" s="429"/>
      <c r="AM30" s="429"/>
      <c r="AN30" s="428"/>
      <c r="AO30" s="1029"/>
      <c r="AP30" s="427"/>
      <c r="AQ30" s="429"/>
      <c r="AR30" s="429"/>
      <c r="AS30" s="429">
        <v>1</v>
      </c>
      <c r="AT30" s="429"/>
      <c r="AU30" s="429">
        <v>1</v>
      </c>
      <c r="AV30" s="429"/>
      <c r="AW30" s="428"/>
      <c r="AX30" s="427"/>
      <c r="AY30" s="429"/>
      <c r="AZ30" s="429"/>
      <c r="BA30" s="429"/>
      <c r="BB30" s="429"/>
      <c r="BC30" s="429"/>
      <c r="BD30" s="429"/>
      <c r="BE30" s="429"/>
      <c r="BF30" s="429"/>
      <c r="BG30" s="428"/>
      <c r="BH30" s="1033"/>
      <c r="BI30" s="1047"/>
      <c r="BJ30" s="1048">
        <f t="shared" si="6"/>
        <v>29.36</v>
      </c>
      <c r="BK30" s="1048"/>
      <c r="BL30" s="1048"/>
      <c r="BM30" s="1048"/>
      <c r="BN30" s="1048"/>
      <c r="BO30" s="1049"/>
      <c r="BP30" s="1050"/>
      <c r="BQ30" s="427"/>
      <c r="BR30" s="429">
        <f>$I30</f>
        <v>36.130000000000003</v>
      </c>
      <c r="BS30" s="429"/>
      <c r="BT30" s="428"/>
      <c r="BU30" s="1293"/>
      <c r="BV30" s="427"/>
      <c r="BW30" s="428"/>
      <c r="BX30" s="427"/>
      <c r="BY30" s="429">
        <f>+I30*J30</f>
        <v>115.61600000000001</v>
      </c>
      <c r="BZ30" s="1275"/>
      <c r="CA30" s="427"/>
      <c r="CB30" s="429"/>
      <c r="CC30" s="428">
        <f>+F30</f>
        <v>29.36</v>
      </c>
      <c r="CE30" s="427"/>
      <c r="CF30" s="429"/>
      <c r="CG30" s="429">
        <v>2</v>
      </c>
      <c r="CH30" s="429">
        <v>2</v>
      </c>
      <c r="CI30" s="428">
        <v>9</v>
      </c>
      <c r="CJ30" s="1204">
        <v>9</v>
      </c>
      <c r="CK30" s="429">
        <v>3</v>
      </c>
      <c r="CL30" s="429"/>
      <c r="CM30" s="429">
        <v>1</v>
      </c>
      <c r="CN30" s="429"/>
      <c r="CO30" s="429">
        <v>1</v>
      </c>
      <c r="CP30" s="429"/>
      <c r="CQ30" s="429"/>
      <c r="CR30" s="429"/>
      <c r="CS30" s="429"/>
      <c r="CT30" s="429">
        <v>1</v>
      </c>
      <c r="CU30" s="428"/>
      <c r="CV30" s="1377"/>
      <c r="CW30" s="1047"/>
      <c r="CX30" s="1048"/>
      <c r="CY30" s="1048"/>
      <c r="CZ30" s="1049"/>
      <c r="DA30" s="1050"/>
      <c r="DB30" s="1047"/>
      <c r="DC30" s="1048"/>
      <c r="DD30" s="1048"/>
      <c r="DE30" s="1048"/>
      <c r="DF30" s="1050"/>
    </row>
    <row r="31" spans="1:111" ht="13">
      <c r="A31" s="2263"/>
      <c r="B31" s="1038"/>
      <c r="C31" s="847" t="s">
        <v>404</v>
      </c>
      <c r="D31" s="1039"/>
      <c r="E31" s="1040"/>
      <c r="F31" s="1299">
        <v>9</v>
      </c>
      <c r="G31" s="1042">
        <v>13.74</v>
      </c>
      <c r="H31" s="1043">
        <f>1.25+1.55</f>
        <v>2.8</v>
      </c>
      <c r="I31" s="1044">
        <f>+G31-H31</f>
        <v>10.940000000000001</v>
      </c>
      <c r="J31" s="1042">
        <v>3.2</v>
      </c>
      <c r="K31" s="1335"/>
      <c r="L31" s="1421"/>
      <c r="M31" s="1027"/>
      <c r="N31" s="1104"/>
      <c r="O31" s="1117"/>
      <c r="P31" s="1117"/>
      <c r="Q31" s="1117"/>
      <c r="R31" s="1117"/>
      <c r="S31" s="1118"/>
      <c r="T31" s="1027"/>
      <c r="U31" s="427"/>
      <c r="V31" s="429">
        <f>+W31*J31</f>
        <v>3.2</v>
      </c>
      <c r="W31" s="429">
        <v>1</v>
      </c>
      <c r="X31" s="429"/>
      <c r="Y31" s="428">
        <f>+I31*J31</f>
        <v>35.008000000000003</v>
      </c>
      <c r="Z31" s="1027"/>
      <c r="AA31" s="1047"/>
      <c r="AB31" s="1388"/>
      <c r="AC31" s="1388"/>
      <c r="AD31" s="1050"/>
      <c r="AE31" s="1028"/>
      <c r="AF31" s="427"/>
      <c r="AG31" s="429"/>
      <c r="AH31" s="429"/>
      <c r="AI31" s="429"/>
      <c r="AJ31" s="429"/>
      <c r="AK31" s="429"/>
      <c r="AL31" s="429"/>
      <c r="AM31" s="429"/>
      <c r="AN31" s="428">
        <f>+F31</f>
        <v>9</v>
      </c>
      <c r="AO31" s="1029"/>
      <c r="AP31" s="427"/>
      <c r="AQ31" s="429"/>
      <c r="AR31" s="429"/>
      <c r="AS31" s="429"/>
      <c r="AT31" s="429"/>
      <c r="AU31" s="429"/>
      <c r="AV31" s="429"/>
      <c r="AW31" s="428"/>
      <c r="AX31" s="427"/>
      <c r="AY31" s="429"/>
      <c r="AZ31" s="429"/>
      <c r="BA31" s="429"/>
      <c r="BB31" s="429"/>
      <c r="BC31" s="429"/>
      <c r="BD31" s="429"/>
      <c r="BE31" s="429"/>
      <c r="BF31" s="429"/>
      <c r="BG31" s="428"/>
      <c r="BH31" s="1033"/>
      <c r="BI31" s="1047"/>
      <c r="BJ31" s="1048"/>
      <c r="BK31" s="1048"/>
      <c r="BL31" s="1048"/>
      <c r="BM31" s="1048"/>
      <c r="BN31" s="1048"/>
      <c r="BO31" s="1049"/>
      <c r="BP31" s="1050"/>
      <c r="BQ31" s="427"/>
      <c r="BR31" s="429"/>
      <c r="BS31" s="429"/>
      <c r="BT31" s="428">
        <f>+I31</f>
        <v>10.940000000000001</v>
      </c>
      <c r="BU31" s="1293"/>
      <c r="BV31" s="427"/>
      <c r="BW31" s="428"/>
      <c r="BX31" s="427"/>
      <c r="BY31" s="429">
        <f>+I31*J31</f>
        <v>35.008000000000003</v>
      </c>
      <c r="BZ31" s="1275"/>
      <c r="CA31" s="427">
        <f>+F31</f>
        <v>9</v>
      </c>
      <c r="CB31" s="429"/>
      <c r="CC31" s="428"/>
      <c r="CE31" s="427"/>
      <c r="CF31" s="429"/>
      <c r="CG31" s="429"/>
      <c r="CH31" s="429"/>
      <c r="CI31" s="428"/>
      <c r="CJ31" s="1204"/>
      <c r="CK31" s="429"/>
      <c r="CL31" s="429"/>
      <c r="CM31" s="429"/>
      <c r="CN31" s="429"/>
      <c r="CO31" s="429"/>
      <c r="CP31" s="429"/>
      <c r="CQ31" s="429"/>
      <c r="CR31" s="429"/>
      <c r="CS31" s="429"/>
      <c r="CT31" s="429"/>
      <c r="CU31" s="428"/>
      <c r="CV31" s="1377"/>
      <c r="CW31" s="1047"/>
      <c r="CX31" s="1048"/>
      <c r="CY31" s="1048"/>
      <c r="CZ31" s="1049"/>
      <c r="DA31" s="1050"/>
      <c r="DB31" s="1047"/>
      <c r="DC31" s="1048"/>
      <c r="DD31" s="1048"/>
      <c r="DE31" s="1048"/>
      <c r="DF31" s="1050"/>
    </row>
    <row r="32" spans="1:111" ht="13">
      <c r="A32" s="2263"/>
      <c r="B32" s="1038">
        <v>20</v>
      </c>
      <c r="C32" s="847" t="s">
        <v>2072</v>
      </c>
      <c r="D32" s="1039">
        <v>10.79</v>
      </c>
      <c r="E32" s="1040">
        <v>3.74</v>
      </c>
      <c r="F32" s="1051">
        <f>D32*E32</f>
        <v>40.354599999999998</v>
      </c>
      <c r="G32" s="1042">
        <v>25.05</v>
      </c>
      <c r="H32" s="1043">
        <v>3.54</v>
      </c>
      <c r="I32" s="1044">
        <f t="shared" ref="I32:I57" si="14">+G32-H32</f>
        <v>21.51</v>
      </c>
      <c r="J32" s="1045">
        <v>3.2</v>
      </c>
      <c r="K32" s="1335"/>
      <c r="L32" s="1422"/>
      <c r="M32" s="1095"/>
      <c r="N32" s="1104">
        <f>+F32</f>
        <v>40.354599999999998</v>
      </c>
      <c r="O32" s="1117"/>
      <c r="P32" s="1117"/>
      <c r="Q32" s="1117"/>
      <c r="R32" s="1117"/>
      <c r="S32" s="1118"/>
      <c r="T32" s="1027"/>
      <c r="U32" s="427">
        <f>$I32*$J32</f>
        <v>68.832000000000008</v>
      </c>
      <c r="V32" s="429"/>
      <c r="W32" s="429"/>
      <c r="X32" s="429"/>
      <c r="Y32" s="428"/>
      <c r="Z32" s="1027"/>
      <c r="AA32" s="1047"/>
      <c r="AB32" s="1388"/>
      <c r="AC32" s="1388"/>
      <c r="AD32" s="1050"/>
      <c r="AE32" s="1028"/>
      <c r="AF32" s="427">
        <f>+F32</f>
        <v>40.354599999999998</v>
      </c>
      <c r="AG32" s="429"/>
      <c r="AH32" s="429">
        <f>+G32</f>
        <v>25.05</v>
      </c>
      <c r="AI32" s="429"/>
      <c r="AJ32" s="429"/>
      <c r="AK32" s="429"/>
      <c r="AL32" s="429"/>
      <c r="AM32" s="429"/>
      <c r="AN32" s="428"/>
      <c r="AO32" s="1029"/>
      <c r="AP32" s="427"/>
      <c r="AQ32" s="429"/>
      <c r="AR32" s="429"/>
      <c r="AS32" s="429"/>
      <c r="AT32" s="429"/>
      <c r="AU32" s="429"/>
      <c r="AV32" s="429"/>
      <c r="AW32" s="428"/>
      <c r="AX32" s="427"/>
      <c r="AY32" s="429"/>
      <c r="AZ32" s="429"/>
      <c r="BA32" s="429"/>
      <c r="BB32" s="429"/>
      <c r="BC32" s="429"/>
      <c r="BD32" s="429"/>
      <c r="BE32" s="429"/>
      <c r="BF32" s="429"/>
      <c r="BG32" s="428"/>
      <c r="BH32" s="1033"/>
      <c r="BI32" s="1047"/>
      <c r="BJ32" s="1048"/>
      <c r="BK32" s="1048"/>
      <c r="BL32" s="1048"/>
      <c r="BM32" s="1048"/>
      <c r="BN32" s="1048"/>
      <c r="BO32" s="1049"/>
      <c r="BP32" s="1050"/>
      <c r="BQ32" s="427"/>
      <c r="BR32" s="429"/>
      <c r="BS32" s="429"/>
      <c r="BT32" s="428">
        <f>$I32</f>
        <v>21.51</v>
      </c>
      <c r="BU32" s="1293"/>
      <c r="BV32" s="427"/>
      <c r="BW32" s="428"/>
      <c r="BX32" s="427"/>
      <c r="BY32" s="429">
        <f>+I32*J32</f>
        <v>68.832000000000008</v>
      </c>
      <c r="BZ32" s="1275"/>
      <c r="CA32" s="427"/>
      <c r="CB32" s="429"/>
      <c r="CC32" s="428">
        <f>+F32</f>
        <v>40.354599999999998</v>
      </c>
      <c r="CE32" s="427"/>
      <c r="CF32" s="429"/>
      <c r="CG32" s="429"/>
      <c r="CH32" s="429"/>
      <c r="CI32" s="428"/>
      <c r="CJ32" s="1204">
        <v>10</v>
      </c>
      <c r="CK32" s="429"/>
      <c r="CL32" s="429">
        <v>1</v>
      </c>
      <c r="CM32" s="429"/>
      <c r="CN32" s="429"/>
      <c r="CO32" s="429">
        <v>9</v>
      </c>
      <c r="CP32" s="429"/>
      <c r="CQ32" s="429"/>
      <c r="CR32" s="429">
        <v>1</v>
      </c>
      <c r="CS32" s="429"/>
      <c r="CT32" s="429">
        <v>3</v>
      </c>
      <c r="CU32" s="428"/>
      <c r="CV32" s="1377"/>
      <c r="CW32" s="1047"/>
      <c r="CX32" s="1048"/>
      <c r="CY32" s="1048"/>
      <c r="CZ32" s="1049"/>
      <c r="DA32" s="1050"/>
      <c r="DB32" s="1047"/>
      <c r="DC32" s="1048"/>
      <c r="DD32" s="1048"/>
      <c r="DE32" s="1048"/>
      <c r="DF32" s="1050"/>
    </row>
    <row r="33" spans="1:110" ht="13">
      <c r="A33" s="2263"/>
      <c r="B33" s="1147">
        <v>21</v>
      </c>
      <c r="C33" s="848" t="s">
        <v>2073</v>
      </c>
      <c r="D33" s="1063">
        <v>2.94</v>
      </c>
      <c r="E33" s="1064">
        <v>1.52</v>
      </c>
      <c r="F33" s="1065">
        <f>D33*E33</f>
        <v>4.4687999999999999</v>
      </c>
      <c r="G33" s="1066">
        <v>8.92</v>
      </c>
      <c r="H33" s="1067">
        <v>0</v>
      </c>
      <c r="I33" s="1068">
        <f t="shared" si="14"/>
        <v>8.92</v>
      </c>
      <c r="J33" s="1069">
        <v>3.2</v>
      </c>
      <c r="K33" s="1408">
        <v>3.2</v>
      </c>
      <c r="L33" s="1423"/>
      <c r="M33" s="1095"/>
      <c r="N33" s="1146"/>
      <c r="O33" s="1162"/>
      <c r="P33" s="1162"/>
      <c r="Q33" s="1162"/>
      <c r="R33" s="1162">
        <f>+F33</f>
        <v>4.4687999999999999</v>
      </c>
      <c r="S33" s="1163">
        <f>+F33</f>
        <v>4.4687999999999999</v>
      </c>
      <c r="T33" s="1027"/>
      <c r="U33" s="432"/>
      <c r="V33" s="430"/>
      <c r="W33" s="430"/>
      <c r="X33" s="430">
        <f>$I33*$J33</f>
        <v>28.544</v>
      </c>
      <c r="Y33" s="431"/>
      <c r="Z33" s="1027"/>
      <c r="AA33" s="1052"/>
      <c r="AB33" s="1392"/>
      <c r="AC33" s="1392"/>
      <c r="AD33" s="1054"/>
      <c r="AE33" s="1028"/>
      <c r="AF33" s="432"/>
      <c r="AG33" s="430"/>
      <c r="AH33" s="430"/>
      <c r="AI33" s="430"/>
      <c r="AJ33" s="430"/>
      <c r="AK33" s="430"/>
      <c r="AL33" s="430"/>
      <c r="AM33" s="430"/>
      <c r="AN33" s="431">
        <f>+F33</f>
        <v>4.4687999999999999</v>
      </c>
      <c r="AO33" s="1029"/>
      <c r="AP33" s="432"/>
      <c r="AQ33" s="430">
        <v>1</v>
      </c>
      <c r="AR33" s="430"/>
      <c r="AS33" s="430"/>
      <c r="AT33" s="430"/>
      <c r="AU33" s="430"/>
      <c r="AV33" s="430"/>
      <c r="AW33" s="431"/>
      <c r="AX33" s="432"/>
      <c r="AY33" s="430"/>
      <c r="AZ33" s="430"/>
      <c r="BA33" s="430"/>
      <c r="BB33" s="430"/>
      <c r="BC33" s="430"/>
      <c r="BD33" s="430"/>
      <c r="BE33" s="430"/>
      <c r="BF33" s="430"/>
      <c r="BG33" s="431"/>
      <c r="BH33" s="1033"/>
      <c r="BI33" s="1052"/>
      <c r="BJ33" s="1053"/>
      <c r="BK33" s="1053"/>
      <c r="BL33" s="1053">
        <f t="shared" si="6"/>
        <v>4.4687999999999999</v>
      </c>
      <c r="BM33" s="1053"/>
      <c r="BN33" s="1053"/>
      <c r="BO33" s="1055"/>
      <c r="BP33" s="1054"/>
      <c r="BQ33" s="432"/>
      <c r="BR33" s="430"/>
      <c r="BS33" s="430"/>
      <c r="BT33" s="431">
        <f>$I33</f>
        <v>8.92</v>
      </c>
      <c r="BU33" s="1293"/>
      <c r="BV33" s="1327"/>
      <c r="BW33" s="431">
        <f>+I33*K33</f>
        <v>28.544</v>
      </c>
      <c r="BX33" s="432"/>
      <c r="BY33" s="430"/>
      <c r="BZ33" s="1277"/>
      <c r="CA33" s="432"/>
      <c r="CB33" s="430"/>
      <c r="CC33" s="431">
        <f>+$F33</f>
        <v>4.4687999999999999</v>
      </c>
      <c r="CE33" s="432"/>
      <c r="CF33" s="430"/>
      <c r="CG33" s="430"/>
      <c r="CH33" s="430"/>
      <c r="CI33" s="431"/>
      <c r="CJ33" s="1205">
        <v>2</v>
      </c>
      <c r="CK33" s="430"/>
      <c r="CL33" s="430">
        <v>1</v>
      </c>
      <c r="CM33" s="430"/>
      <c r="CN33" s="430">
        <v>1</v>
      </c>
      <c r="CO33" s="430"/>
      <c r="CP33" s="430"/>
      <c r="CQ33" s="430"/>
      <c r="CR33" s="430"/>
      <c r="CS33" s="430"/>
      <c r="CT33" s="430"/>
      <c r="CU33" s="431"/>
      <c r="CV33" s="1377"/>
      <c r="CW33" s="1052">
        <v>2</v>
      </c>
      <c r="CX33" s="1053"/>
      <c r="CY33" s="1053">
        <v>1</v>
      </c>
      <c r="CZ33" s="1055"/>
      <c r="DA33" s="1054"/>
      <c r="DB33" s="1052"/>
      <c r="DC33" s="1053">
        <v>1</v>
      </c>
      <c r="DD33" s="1053"/>
      <c r="DE33" s="1053"/>
      <c r="DF33" s="1054"/>
    </row>
    <row r="34" spans="1:110" ht="13">
      <c r="A34" s="2263"/>
      <c r="B34" s="1138">
        <v>22</v>
      </c>
      <c r="C34" s="1195" t="s">
        <v>2074</v>
      </c>
      <c r="D34" s="1023">
        <v>0</v>
      </c>
      <c r="E34" s="1024">
        <v>0</v>
      </c>
      <c r="F34" s="1072">
        <v>7.06</v>
      </c>
      <c r="G34" s="1025">
        <v>15.39</v>
      </c>
      <c r="H34" s="1073">
        <f>1.2+3.6+2.25</f>
        <v>7.05</v>
      </c>
      <c r="I34" s="1026">
        <f t="shared" si="14"/>
        <v>8.34</v>
      </c>
      <c r="J34" s="1191">
        <v>2.4</v>
      </c>
      <c r="K34" s="1419"/>
      <c r="L34" s="1424"/>
      <c r="M34" s="1095"/>
      <c r="N34" s="1097">
        <f>+F34</f>
        <v>7.06</v>
      </c>
      <c r="O34" s="1098"/>
      <c r="P34" s="1098"/>
      <c r="Q34" s="1098"/>
      <c r="R34" s="1098"/>
      <c r="S34" s="1099"/>
      <c r="T34" s="1027"/>
      <c r="U34" s="434">
        <f>$I34*$J34</f>
        <v>20.015999999999998</v>
      </c>
      <c r="V34" s="433">
        <f>+W34*J34</f>
        <v>4.8</v>
      </c>
      <c r="W34" s="433">
        <v>2</v>
      </c>
      <c r="X34" s="433"/>
      <c r="Y34" s="426"/>
      <c r="Z34" s="1027"/>
      <c r="AA34" s="1385"/>
      <c r="AB34" s="1386"/>
      <c r="AC34" s="1386"/>
      <c r="AD34" s="1387"/>
      <c r="AE34" s="1028"/>
      <c r="AF34" s="434">
        <f>$F34</f>
        <v>7.06</v>
      </c>
      <c r="AG34" s="433"/>
      <c r="AH34" s="433">
        <f>$G34</f>
        <v>15.39</v>
      </c>
      <c r="AI34" s="433"/>
      <c r="AJ34" s="433"/>
      <c r="AK34" s="433"/>
      <c r="AL34" s="433"/>
      <c r="AM34" s="433"/>
      <c r="AN34" s="426"/>
      <c r="AO34" s="1029"/>
      <c r="AP34" s="434">
        <v>1</v>
      </c>
      <c r="AQ34" s="433"/>
      <c r="AR34" s="433"/>
      <c r="AS34" s="433"/>
      <c r="AT34" s="433"/>
      <c r="AU34" s="433"/>
      <c r="AV34" s="433"/>
      <c r="AW34" s="426"/>
      <c r="AX34" s="434"/>
      <c r="AY34" s="433"/>
      <c r="AZ34" s="433"/>
      <c r="BA34" s="433"/>
      <c r="BB34" s="433"/>
      <c r="BC34" s="433"/>
      <c r="BD34" s="433"/>
      <c r="BE34" s="433"/>
      <c r="BF34" s="433"/>
      <c r="BG34" s="426"/>
      <c r="BH34" s="1033"/>
      <c r="BI34" s="1034"/>
      <c r="BJ34" s="1035"/>
      <c r="BK34" s="1035">
        <f>+F34</f>
        <v>7.06</v>
      </c>
      <c r="BL34" s="1035"/>
      <c r="BM34" s="1035"/>
      <c r="BN34" s="1035"/>
      <c r="BO34" s="1037"/>
      <c r="BP34" s="1036"/>
      <c r="BQ34" s="434">
        <f>+I34</f>
        <v>8.34</v>
      </c>
      <c r="BR34" s="433"/>
      <c r="BS34" s="433"/>
      <c r="BT34" s="426"/>
      <c r="BU34" s="1293"/>
      <c r="BV34" s="434"/>
      <c r="BW34" s="426"/>
      <c r="BX34" s="434"/>
      <c r="BY34" s="433">
        <f>+I34*J34</f>
        <v>20.015999999999998</v>
      </c>
      <c r="BZ34" s="1280"/>
      <c r="CA34" s="434"/>
      <c r="CB34" s="433"/>
      <c r="CC34" s="426">
        <f>+$F34</f>
        <v>7.06</v>
      </c>
      <c r="CE34" s="434"/>
      <c r="CF34" s="433"/>
      <c r="CG34" s="433"/>
      <c r="CH34" s="433"/>
      <c r="CI34" s="426"/>
      <c r="CJ34" s="1203">
        <v>1</v>
      </c>
      <c r="CK34" s="433"/>
      <c r="CL34" s="433">
        <v>1</v>
      </c>
      <c r="CM34" s="433"/>
      <c r="CN34" s="433"/>
      <c r="CO34" s="433">
        <v>1</v>
      </c>
      <c r="CP34" s="433">
        <v>1</v>
      </c>
      <c r="CQ34" s="433">
        <v>1</v>
      </c>
      <c r="CR34" s="433"/>
      <c r="CS34" s="433">
        <v>1</v>
      </c>
      <c r="CT34" s="433"/>
      <c r="CU34" s="426"/>
      <c r="CV34" s="1377"/>
      <c r="CW34" s="1034"/>
      <c r="CX34" s="1035"/>
      <c r="CY34" s="1035"/>
      <c r="CZ34" s="1037"/>
      <c r="DA34" s="1036"/>
      <c r="DB34" s="1034"/>
      <c r="DC34" s="1035"/>
      <c r="DD34" s="1035"/>
      <c r="DE34" s="1035"/>
      <c r="DF34" s="1036"/>
    </row>
    <row r="35" spans="1:110" ht="13">
      <c r="A35" s="2263"/>
      <c r="B35" s="1038">
        <v>23</v>
      </c>
      <c r="C35" s="847" t="s">
        <v>2075</v>
      </c>
      <c r="D35" s="1039">
        <v>0</v>
      </c>
      <c r="E35" s="1040">
        <v>0</v>
      </c>
      <c r="F35" s="1041">
        <v>11.79</v>
      </c>
      <c r="G35" s="1042">
        <v>16.190000000000001</v>
      </c>
      <c r="H35" s="1043">
        <f>2.28+1.2</f>
        <v>3.4799999999999995</v>
      </c>
      <c r="I35" s="1044">
        <f>+G35-H35</f>
        <v>12.71</v>
      </c>
      <c r="J35" s="1045">
        <v>2.4</v>
      </c>
      <c r="K35" s="1335">
        <v>0.6</v>
      </c>
      <c r="L35" s="1325">
        <f>5.25+3.6</f>
        <v>8.85</v>
      </c>
      <c r="M35" s="1326"/>
      <c r="N35" s="1097">
        <f t="shared" ref="N35:N50" si="15">+F35</f>
        <v>11.79</v>
      </c>
      <c r="O35" s="1098"/>
      <c r="P35" s="1098"/>
      <c r="Q35" s="1098"/>
      <c r="R35" s="1117"/>
      <c r="S35" s="1118"/>
      <c r="T35" s="1027"/>
      <c r="U35" s="1317">
        <f>+I35*J35-X35</f>
        <v>9.2640000000000029</v>
      </c>
      <c r="V35" s="429">
        <f>+W35*J35</f>
        <v>14.399999999999999</v>
      </c>
      <c r="W35" s="429">
        <v>6</v>
      </c>
      <c r="X35" s="429">
        <f>+L35*J35</f>
        <v>21.24</v>
      </c>
      <c r="Y35" s="428"/>
      <c r="Z35" s="1027"/>
      <c r="AA35" s="1047"/>
      <c r="AB35" s="1388"/>
      <c r="AC35" s="1388"/>
      <c r="AD35" s="1050"/>
      <c r="AE35" s="1028"/>
      <c r="AF35" s="427">
        <f t="shared" ref="AF35:AF36" si="16">$F35</f>
        <v>11.79</v>
      </c>
      <c r="AG35" s="429"/>
      <c r="AH35" s="429">
        <f>$G35</f>
        <v>16.190000000000001</v>
      </c>
      <c r="AI35" s="1314">
        <v>3.6</v>
      </c>
      <c r="AJ35" s="1314"/>
      <c r="AK35" s="429"/>
      <c r="AL35" s="429"/>
      <c r="AM35" s="429"/>
      <c r="AN35" s="428"/>
      <c r="AO35" s="1029"/>
      <c r="AP35" s="427"/>
      <c r="AQ35" s="429"/>
      <c r="AR35" s="429"/>
      <c r="AS35" s="429"/>
      <c r="AT35" s="429"/>
      <c r="AU35" s="429"/>
      <c r="AV35" s="429"/>
      <c r="AW35" s="428"/>
      <c r="AX35" s="427"/>
      <c r="AY35" s="429"/>
      <c r="AZ35" s="429"/>
      <c r="BA35" s="429"/>
      <c r="BB35" s="429"/>
      <c r="BC35" s="429"/>
      <c r="BD35" s="429"/>
      <c r="BE35" s="429"/>
      <c r="BF35" s="429"/>
      <c r="BG35" s="428"/>
      <c r="BH35" s="1033"/>
      <c r="BI35" s="1047"/>
      <c r="BJ35" s="1048"/>
      <c r="BK35" s="1048">
        <f>+F35</f>
        <v>11.79</v>
      </c>
      <c r="BL35" s="1048"/>
      <c r="BM35" s="1048"/>
      <c r="BN35" s="1048"/>
      <c r="BO35" s="1049"/>
      <c r="BP35" s="1050"/>
      <c r="BQ35" s="427">
        <f>+I35</f>
        <v>12.71</v>
      </c>
      <c r="BR35" s="429"/>
      <c r="BS35" s="429"/>
      <c r="BT35" s="428"/>
      <c r="BU35" s="1293"/>
      <c r="BV35" s="427">
        <f>+K35*L35</f>
        <v>5.31</v>
      </c>
      <c r="BW35" s="428"/>
      <c r="BX35" s="427"/>
      <c r="BY35" s="1314">
        <f>+I35*J35-BV35</f>
        <v>25.194000000000003</v>
      </c>
      <c r="BZ35" s="1275"/>
      <c r="CA35" s="427"/>
      <c r="CB35" s="429"/>
      <c r="CC35" s="428">
        <f>+$F35</f>
        <v>11.79</v>
      </c>
      <c r="CE35" s="427"/>
      <c r="CF35" s="429"/>
      <c r="CG35" s="429"/>
      <c r="CH35" s="429"/>
      <c r="CI35" s="428"/>
      <c r="CJ35" s="1204">
        <v>8</v>
      </c>
      <c r="CK35" s="429">
        <v>2</v>
      </c>
      <c r="CL35" s="429">
        <v>2</v>
      </c>
      <c r="CM35" s="429"/>
      <c r="CN35" s="429">
        <v>1</v>
      </c>
      <c r="CO35" s="429">
        <v>8</v>
      </c>
      <c r="CP35" s="429"/>
      <c r="CQ35" s="429"/>
      <c r="CR35" s="429"/>
      <c r="CS35" s="429"/>
      <c r="CT35" s="429"/>
      <c r="CU35" s="428"/>
      <c r="CV35" s="1377"/>
      <c r="CW35" s="1047"/>
      <c r="CX35" s="1048"/>
      <c r="CY35" s="1048"/>
      <c r="CZ35" s="1049"/>
      <c r="DA35" s="1050">
        <v>1</v>
      </c>
      <c r="DB35" s="1047"/>
      <c r="DC35" s="1048"/>
      <c r="DD35" s="1048"/>
      <c r="DE35" s="1048"/>
      <c r="DF35" s="1050">
        <v>1</v>
      </c>
    </row>
    <row r="36" spans="1:110" ht="13">
      <c r="A36" s="2263"/>
      <c r="B36" s="1074">
        <v>24</v>
      </c>
      <c r="C36" s="847" t="s">
        <v>2076</v>
      </c>
      <c r="D36" s="1039">
        <v>2.94</v>
      </c>
      <c r="E36" s="1040">
        <v>1.5</v>
      </c>
      <c r="F36" s="1051">
        <f>D36*E36</f>
        <v>4.41</v>
      </c>
      <c r="G36" s="1042">
        <v>9.15</v>
      </c>
      <c r="H36" s="1043"/>
      <c r="I36" s="1044">
        <f t="shared" ref="I36:I42" si="17">+G36-H36</f>
        <v>9.15</v>
      </c>
      <c r="J36" s="1045">
        <v>2.4</v>
      </c>
      <c r="K36" s="1335">
        <v>0.6</v>
      </c>
      <c r="L36" s="1325">
        <f>2.7+2.3</f>
        <v>5</v>
      </c>
      <c r="M36" s="1095"/>
      <c r="N36" s="1097">
        <f t="shared" si="15"/>
        <v>4.41</v>
      </c>
      <c r="O36" s="1098"/>
      <c r="P36" s="1098"/>
      <c r="Q36" s="1098"/>
      <c r="R36" s="1117"/>
      <c r="S36" s="1118"/>
      <c r="T36" s="1027"/>
      <c r="U36" s="1317">
        <f>+I36*J36-X36</f>
        <v>9.9600000000000009</v>
      </c>
      <c r="V36" s="429">
        <f>+W36*J36</f>
        <v>2.4</v>
      </c>
      <c r="W36" s="429">
        <v>1</v>
      </c>
      <c r="X36" s="429">
        <f>+L36*J36</f>
        <v>12</v>
      </c>
      <c r="Y36" s="428"/>
      <c r="Z36" s="1027"/>
      <c r="AA36" s="1047"/>
      <c r="AB36" s="1388"/>
      <c r="AC36" s="1388"/>
      <c r="AD36" s="1050"/>
      <c r="AE36" s="1028"/>
      <c r="AF36" s="427">
        <f t="shared" si="16"/>
        <v>4.41</v>
      </c>
      <c r="AG36" s="429"/>
      <c r="AH36" s="429">
        <f>$G36</f>
        <v>9.15</v>
      </c>
      <c r="AI36" s="429"/>
      <c r="AJ36" s="429"/>
      <c r="AK36" s="429"/>
      <c r="AL36" s="429"/>
      <c r="AM36" s="429"/>
      <c r="AN36" s="428"/>
      <c r="AO36" s="1029"/>
      <c r="AP36" s="427"/>
      <c r="AQ36" s="429"/>
      <c r="AR36" s="429"/>
      <c r="AS36" s="429"/>
      <c r="AT36" s="429"/>
      <c r="AU36" s="429"/>
      <c r="AV36" s="429"/>
      <c r="AW36" s="428"/>
      <c r="AX36" s="427"/>
      <c r="AY36" s="429"/>
      <c r="AZ36" s="429"/>
      <c r="BA36" s="429"/>
      <c r="BB36" s="429"/>
      <c r="BC36" s="429">
        <v>1</v>
      </c>
      <c r="BD36" s="429"/>
      <c r="BE36" s="429"/>
      <c r="BF36" s="429"/>
      <c r="BG36" s="428"/>
      <c r="BH36" s="1033"/>
      <c r="BI36" s="1047"/>
      <c r="BJ36" s="1048"/>
      <c r="BK36" s="1048">
        <f>+F36</f>
        <v>4.41</v>
      </c>
      <c r="BL36" s="1048"/>
      <c r="BM36" s="1048"/>
      <c r="BN36" s="1048"/>
      <c r="BO36" s="1049"/>
      <c r="BP36" s="1050"/>
      <c r="BQ36" s="427">
        <f>+I36</f>
        <v>9.15</v>
      </c>
      <c r="BR36" s="429"/>
      <c r="BS36" s="429"/>
      <c r="BT36" s="428"/>
      <c r="BU36" s="1293"/>
      <c r="BV36" s="427">
        <f>+K36*L36</f>
        <v>3</v>
      </c>
      <c r="BW36" s="428"/>
      <c r="BX36" s="427"/>
      <c r="BY36" s="1314">
        <f>+I36*J36-BV36</f>
        <v>18.96</v>
      </c>
      <c r="BZ36" s="1275"/>
      <c r="CA36" s="427"/>
      <c r="CB36" s="429"/>
      <c r="CC36" s="428">
        <f>+$F36</f>
        <v>4.41</v>
      </c>
      <c r="CE36" s="427"/>
      <c r="CF36" s="429"/>
      <c r="CG36" s="429"/>
      <c r="CH36" s="429"/>
      <c r="CI36" s="428"/>
      <c r="CJ36" s="1204">
        <v>1</v>
      </c>
      <c r="CK36" s="429"/>
      <c r="CL36" s="429">
        <v>1</v>
      </c>
      <c r="CM36" s="429"/>
      <c r="CN36" s="429">
        <v>2</v>
      </c>
      <c r="CO36" s="429">
        <v>2</v>
      </c>
      <c r="CP36" s="429"/>
      <c r="CQ36" s="429"/>
      <c r="CR36" s="429"/>
      <c r="CS36" s="429"/>
      <c r="CT36" s="429"/>
      <c r="CU36" s="428"/>
      <c r="CV36" s="1377"/>
      <c r="CW36" s="1047"/>
      <c r="CX36" s="1048"/>
      <c r="CY36" s="1048"/>
      <c r="CZ36" s="1049"/>
      <c r="DA36" s="1050"/>
      <c r="DB36" s="1047"/>
      <c r="DC36" s="1048"/>
      <c r="DD36" s="1048"/>
      <c r="DE36" s="1048"/>
      <c r="DF36" s="1050"/>
    </row>
    <row r="37" spans="1:110" ht="13">
      <c r="A37" s="2263"/>
      <c r="B37" s="1038">
        <v>25</v>
      </c>
      <c r="C37" s="847" t="s">
        <v>2077</v>
      </c>
      <c r="D37" s="1039">
        <v>6.12</v>
      </c>
      <c r="E37" s="1040">
        <v>3.59</v>
      </c>
      <c r="F37" s="1051">
        <f t="shared" ref="F37:F50" si="18">D37*E37</f>
        <v>21.970800000000001</v>
      </c>
      <c r="G37" s="1042">
        <v>19.41</v>
      </c>
      <c r="H37" s="1043">
        <f>3.59</f>
        <v>3.59</v>
      </c>
      <c r="I37" s="1044">
        <f t="shared" si="17"/>
        <v>15.82</v>
      </c>
      <c r="J37" s="1045">
        <v>3</v>
      </c>
      <c r="K37" s="1335"/>
      <c r="L37" s="1422"/>
      <c r="M37" s="1095"/>
      <c r="N37" s="1097">
        <f t="shared" si="15"/>
        <v>21.970800000000001</v>
      </c>
      <c r="O37" s="1098"/>
      <c r="P37" s="1098"/>
      <c r="Q37" s="1098"/>
      <c r="R37" s="1117"/>
      <c r="S37" s="1118"/>
      <c r="T37" s="1027"/>
      <c r="U37" s="427">
        <f t="shared" ref="U37:U50" si="19">$I37*$J37</f>
        <v>47.46</v>
      </c>
      <c r="V37" s="429">
        <f>+W37*J37</f>
        <v>6</v>
      </c>
      <c r="W37" s="429">
        <v>2</v>
      </c>
      <c r="X37" s="429"/>
      <c r="Y37" s="428"/>
      <c r="Z37" s="1027"/>
      <c r="AA37" s="1047"/>
      <c r="AB37" s="1388"/>
      <c r="AC37" s="1388"/>
      <c r="AD37" s="1050"/>
      <c r="AE37" s="1028"/>
      <c r="AF37" s="427"/>
      <c r="AG37" s="429"/>
      <c r="AH37" s="429"/>
      <c r="AI37" s="429"/>
      <c r="AJ37" s="429"/>
      <c r="AK37" s="429">
        <f t="shared" ref="AK37" si="20">$F37</f>
        <v>21.970800000000001</v>
      </c>
      <c r="AL37" s="429">
        <f>+G37</f>
        <v>19.41</v>
      </c>
      <c r="AM37" s="429"/>
      <c r="AN37" s="428"/>
      <c r="AO37" s="1029"/>
      <c r="AP37" s="427"/>
      <c r="AQ37" s="429"/>
      <c r="AR37" s="429"/>
      <c r="AS37" s="429"/>
      <c r="AT37" s="429"/>
      <c r="AU37" s="429"/>
      <c r="AV37" s="429"/>
      <c r="AW37" s="428"/>
      <c r="AX37" s="427">
        <v>1</v>
      </c>
      <c r="AY37" s="429"/>
      <c r="AZ37" s="429"/>
      <c r="BA37" s="429"/>
      <c r="BB37" s="429"/>
      <c r="BC37" s="429"/>
      <c r="BD37" s="429"/>
      <c r="BE37" s="429"/>
      <c r="BF37" s="429"/>
      <c r="BG37" s="428"/>
      <c r="BH37" s="1033"/>
      <c r="BI37" s="1047"/>
      <c r="BJ37" s="1048"/>
      <c r="BK37" s="1048">
        <f>+F37</f>
        <v>21.970800000000001</v>
      </c>
      <c r="BL37" s="1048"/>
      <c r="BM37" s="1048"/>
      <c r="BN37" s="1048"/>
      <c r="BO37" s="1049"/>
      <c r="BP37" s="1050"/>
      <c r="BQ37" s="427">
        <f>+I37</f>
        <v>15.82</v>
      </c>
      <c r="BR37" s="429"/>
      <c r="BS37" s="429"/>
      <c r="BT37" s="428"/>
      <c r="BU37" s="1293"/>
      <c r="BV37" s="427"/>
      <c r="BW37" s="428"/>
      <c r="BX37" s="427"/>
      <c r="BY37" s="429">
        <f>+I37*J37</f>
        <v>47.46</v>
      </c>
      <c r="BZ37" s="1275"/>
      <c r="CA37" s="427"/>
      <c r="CB37" s="429">
        <f>+$F37</f>
        <v>21.970800000000001</v>
      </c>
      <c r="CC37" s="428"/>
      <c r="CE37" s="427"/>
      <c r="CF37" s="429"/>
      <c r="CG37" s="429"/>
      <c r="CH37" s="429"/>
      <c r="CI37" s="428"/>
      <c r="CJ37" s="1204">
        <v>4</v>
      </c>
      <c r="CK37" s="429"/>
      <c r="CL37" s="429">
        <v>2</v>
      </c>
      <c r="CM37" s="429"/>
      <c r="CN37" s="429"/>
      <c r="CO37" s="429">
        <v>5</v>
      </c>
      <c r="CP37" s="429"/>
      <c r="CQ37" s="429"/>
      <c r="CR37" s="429">
        <v>3</v>
      </c>
      <c r="CS37" s="429"/>
      <c r="CT37" s="429"/>
      <c r="CU37" s="428"/>
      <c r="CV37" s="1377"/>
      <c r="CW37" s="1047"/>
      <c r="CX37" s="1048"/>
      <c r="CY37" s="1048"/>
      <c r="CZ37" s="1049"/>
      <c r="DA37" s="1050"/>
      <c r="DB37" s="1047"/>
      <c r="DC37" s="1048"/>
      <c r="DD37" s="1048"/>
      <c r="DE37" s="1048"/>
      <c r="DF37" s="1050"/>
    </row>
    <row r="38" spans="1:110" ht="13">
      <c r="A38" s="2263"/>
      <c r="B38" s="1074">
        <v>26</v>
      </c>
      <c r="C38" s="847" t="s">
        <v>2078</v>
      </c>
      <c r="D38" s="1039">
        <v>1.17</v>
      </c>
      <c r="E38" s="1040">
        <v>2.4300000000000002</v>
      </c>
      <c r="F38" s="1051">
        <f t="shared" si="18"/>
        <v>2.8431000000000002</v>
      </c>
      <c r="G38" s="1042">
        <v>7.19</v>
      </c>
      <c r="H38" s="1043"/>
      <c r="I38" s="1044">
        <f t="shared" si="17"/>
        <v>7.19</v>
      </c>
      <c r="J38" s="1045">
        <v>2.2000000000000002</v>
      </c>
      <c r="K38" s="1335">
        <v>2.2000000000000002</v>
      </c>
      <c r="L38" s="1422"/>
      <c r="M38" s="1095"/>
      <c r="N38" s="1097"/>
      <c r="O38" s="1098"/>
      <c r="P38" s="1098"/>
      <c r="Q38" s="1098"/>
      <c r="R38" s="1117">
        <f>+F38</f>
        <v>2.8431000000000002</v>
      </c>
      <c r="S38" s="1118">
        <f>+F38</f>
        <v>2.8431000000000002</v>
      </c>
      <c r="T38" s="1027"/>
      <c r="U38" s="427"/>
      <c r="V38" s="429"/>
      <c r="W38" s="429"/>
      <c r="X38" s="429">
        <f>+I38*K38</f>
        <v>15.818000000000001</v>
      </c>
      <c r="Y38" s="428"/>
      <c r="Z38" s="1027"/>
      <c r="AA38" s="1047">
        <f>+F38</f>
        <v>2.8431000000000002</v>
      </c>
      <c r="AB38" s="1390"/>
      <c r="AC38" s="1390"/>
      <c r="AD38" s="1391"/>
      <c r="AE38" s="1028"/>
      <c r="AF38" s="427">
        <f>$F38</f>
        <v>2.8431000000000002</v>
      </c>
      <c r="AG38" s="429"/>
      <c r="AH38" s="429">
        <f>+G38</f>
        <v>7.19</v>
      </c>
      <c r="AI38" s="429"/>
      <c r="AJ38" s="429"/>
      <c r="AK38" s="429"/>
      <c r="AL38" s="429"/>
      <c r="AM38" s="429"/>
      <c r="AN38" s="428"/>
      <c r="AO38" s="1029"/>
      <c r="AP38" s="427"/>
      <c r="AQ38" s="429">
        <v>1</v>
      </c>
      <c r="AR38" s="429"/>
      <c r="AS38" s="429"/>
      <c r="AT38" s="429"/>
      <c r="AU38" s="429"/>
      <c r="AV38" s="429"/>
      <c r="AW38" s="428"/>
      <c r="AX38" s="427"/>
      <c r="AY38" s="429"/>
      <c r="AZ38" s="429"/>
      <c r="BA38" s="429"/>
      <c r="BB38" s="429"/>
      <c r="BC38" s="429"/>
      <c r="BD38" s="429"/>
      <c r="BE38" s="429"/>
      <c r="BF38" s="429"/>
      <c r="BG38" s="428"/>
      <c r="BH38" s="1033"/>
      <c r="BI38" s="1047"/>
      <c r="BJ38" s="1048"/>
      <c r="BK38" s="1048"/>
      <c r="BL38" s="1048">
        <f>+F38</f>
        <v>2.8431000000000002</v>
      </c>
      <c r="BM38" s="1048"/>
      <c r="BN38" s="1048"/>
      <c r="BO38" s="1049"/>
      <c r="BP38" s="1050"/>
      <c r="BQ38" s="427"/>
      <c r="BR38" s="429"/>
      <c r="BS38" s="429"/>
      <c r="BT38" s="428"/>
      <c r="BU38" s="1293"/>
      <c r="BV38" s="427"/>
      <c r="BW38" s="428">
        <f>+I38*K38</f>
        <v>15.818000000000001</v>
      </c>
      <c r="BX38" s="427"/>
      <c r="BY38" s="429"/>
      <c r="BZ38" s="1275"/>
      <c r="CA38" s="427"/>
      <c r="CB38" s="429"/>
      <c r="CC38" s="428">
        <f>+$F38</f>
        <v>2.8431000000000002</v>
      </c>
      <c r="CE38" s="427">
        <v>1</v>
      </c>
      <c r="CF38" s="429"/>
      <c r="CG38" s="429"/>
      <c r="CH38" s="429"/>
      <c r="CI38" s="428"/>
      <c r="CJ38" s="1204">
        <v>2</v>
      </c>
      <c r="CK38" s="429"/>
      <c r="CL38" s="429">
        <v>1</v>
      </c>
      <c r="CM38" s="429"/>
      <c r="CN38" s="429">
        <v>1</v>
      </c>
      <c r="CO38" s="429"/>
      <c r="CP38" s="429"/>
      <c r="CQ38" s="429"/>
      <c r="CR38" s="429"/>
      <c r="CS38" s="429"/>
      <c r="CT38" s="429"/>
      <c r="CU38" s="428"/>
      <c r="CV38" s="1377"/>
      <c r="CW38" s="1047">
        <v>1</v>
      </c>
      <c r="CX38" s="1048"/>
      <c r="CY38" s="1048">
        <v>1</v>
      </c>
      <c r="CZ38" s="1049"/>
      <c r="DA38" s="1050"/>
      <c r="DB38" s="1047">
        <v>1</v>
      </c>
      <c r="DC38" s="1048">
        <v>1</v>
      </c>
      <c r="DD38" s="1048"/>
      <c r="DE38" s="1048"/>
      <c r="DF38" s="1050"/>
    </row>
    <row r="39" spans="1:110" ht="13">
      <c r="A39" s="2263"/>
      <c r="B39" s="1074">
        <v>27</v>
      </c>
      <c r="C39" s="847" t="s">
        <v>2079</v>
      </c>
      <c r="D39" s="1039">
        <v>0</v>
      </c>
      <c r="E39" s="1040">
        <v>0</v>
      </c>
      <c r="F39" s="1051">
        <v>7.85</v>
      </c>
      <c r="G39" s="1042">
        <v>17.63</v>
      </c>
      <c r="H39" s="1043"/>
      <c r="I39" s="1044">
        <f t="shared" si="17"/>
        <v>17.63</v>
      </c>
      <c r="J39" s="1045">
        <v>2.4</v>
      </c>
      <c r="K39" s="1335"/>
      <c r="L39" s="1422"/>
      <c r="M39" s="1027"/>
      <c r="N39" s="1097">
        <f t="shared" si="15"/>
        <v>7.85</v>
      </c>
      <c r="O39" s="1098"/>
      <c r="P39" s="1098"/>
      <c r="Q39" s="1098"/>
      <c r="R39" s="1117"/>
      <c r="S39" s="1118"/>
      <c r="T39" s="1027"/>
      <c r="U39" s="427">
        <f t="shared" si="19"/>
        <v>42.311999999999998</v>
      </c>
      <c r="V39" s="429">
        <f>+W39*J39</f>
        <v>9.6</v>
      </c>
      <c r="W39" s="429">
        <v>4</v>
      </c>
      <c r="X39" s="429"/>
      <c r="Y39" s="428"/>
      <c r="Z39" s="1027"/>
      <c r="AA39" s="1047"/>
      <c r="AB39" s="1388"/>
      <c r="AC39" s="1388"/>
      <c r="AD39" s="1050"/>
      <c r="AE39" s="1028"/>
      <c r="AF39" s="427">
        <f t="shared" ref="AF39" si="21">$F39</f>
        <v>7.85</v>
      </c>
      <c r="AG39" s="429"/>
      <c r="AH39" s="429">
        <f>+G39</f>
        <v>17.63</v>
      </c>
      <c r="AI39" s="429"/>
      <c r="AJ39" s="429"/>
      <c r="AK39" s="429"/>
      <c r="AL39" s="429"/>
      <c r="AM39" s="429"/>
      <c r="AN39" s="428"/>
      <c r="AO39" s="1029"/>
      <c r="AP39" s="427"/>
      <c r="AQ39" s="429">
        <v>1</v>
      </c>
      <c r="AR39" s="429"/>
      <c r="AS39" s="429"/>
      <c r="AT39" s="429"/>
      <c r="AU39" s="429"/>
      <c r="AV39" s="429"/>
      <c r="AW39" s="428"/>
      <c r="AX39" s="427"/>
      <c r="AY39" s="429"/>
      <c r="AZ39" s="429"/>
      <c r="BA39" s="429"/>
      <c r="BB39" s="429"/>
      <c r="BC39" s="429"/>
      <c r="BD39" s="429"/>
      <c r="BE39" s="429"/>
      <c r="BF39" s="429"/>
      <c r="BG39" s="428"/>
      <c r="BH39" s="1033"/>
      <c r="BI39" s="1047"/>
      <c r="BJ39" s="1048"/>
      <c r="BK39" s="1048">
        <f>+F39</f>
        <v>7.85</v>
      </c>
      <c r="BL39" s="1048"/>
      <c r="BM39" s="1048"/>
      <c r="BN39" s="1048"/>
      <c r="BO39" s="1049"/>
      <c r="BP39" s="1050"/>
      <c r="BQ39" s="427">
        <f>+I39</f>
        <v>17.63</v>
      </c>
      <c r="BR39" s="429"/>
      <c r="BS39" s="429"/>
      <c r="BT39" s="428"/>
      <c r="BU39" s="1293"/>
      <c r="BV39" s="427"/>
      <c r="BW39" s="428"/>
      <c r="BX39" s="427"/>
      <c r="BY39" s="429">
        <f>+I39*J39</f>
        <v>42.311999999999998</v>
      </c>
      <c r="BZ39" s="1275"/>
      <c r="CA39" s="427"/>
      <c r="CB39" s="429"/>
      <c r="CC39" s="428">
        <f>+$F39</f>
        <v>7.85</v>
      </c>
      <c r="CE39" s="427"/>
      <c r="CF39" s="429"/>
      <c r="CG39" s="429"/>
      <c r="CH39" s="429"/>
      <c r="CI39" s="428"/>
      <c r="CJ39" s="1204">
        <v>4</v>
      </c>
      <c r="CK39" s="429"/>
      <c r="CL39" s="429">
        <v>2</v>
      </c>
      <c r="CM39" s="429"/>
      <c r="CN39" s="429"/>
      <c r="CO39" s="429">
        <v>2</v>
      </c>
      <c r="CP39" s="429"/>
      <c r="CQ39" s="429"/>
      <c r="CR39" s="429"/>
      <c r="CS39" s="429"/>
      <c r="CT39" s="429"/>
      <c r="CU39" s="428"/>
      <c r="CV39" s="1377"/>
      <c r="CW39" s="1047"/>
      <c r="CX39" s="1048"/>
      <c r="CY39" s="1048"/>
      <c r="CZ39" s="1049"/>
      <c r="DA39" s="1050"/>
      <c r="DB39" s="1047"/>
      <c r="DC39" s="1048"/>
      <c r="DD39" s="1048"/>
      <c r="DE39" s="1048"/>
      <c r="DF39" s="1050"/>
    </row>
    <row r="40" spans="1:110" ht="13">
      <c r="A40" s="2263"/>
      <c r="B40" s="1074">
        <v>28</v>
      </c>
      <c r="C40" s="847" t="s">
        <v>2080</v>
      </c>
      <c r="D40" s="1039">
        <v>1.18</v>
      </c>
      <c r="E40" s="1040">
        <v>0.6</v>
      </c>
      <c r="F40" s="1051">
        <f t="shared" si="18"/>
        <v>0.70799999999999996</v>
      </c>
      <c r="G40" s="1042">
        <v>3.56</v>
      </c>
      <c r="H40" s="1043"/>
      <c r="I40" s="1044">
        <f t="shared" si="17"/>
        <v>3.56</v>
      </c>
      <c r="J40" s="1045">
        <v>3</v>
      </c>
      <c r="K40" s="1335"/>
      <c r="L40" s="1422"/>
      <c r="M40" s="1027"/>
      <c r="N40" s="1097">
        <f t="shared" si="15"/>
        <v>0.70799999999999996</v>
      </c>
      <c r="O40" s="1098"/>
      <c r="P40" s="1098"/>
      <c r="Q40" s="1098"/>
      <c r="R40" s="1117"/>
      <c r="S40" s="1118"/>
      <c r="T40" s="1027"/>
      <c r="U40" s="427">
        <f t="shared" si="19"/>
        <v>10.68</v>
      </c>
      <c r="V40" s="429"/>
      <c r="W40" s="429"/>
      <c r="X40" s="429"/>
      <c r="Y40" s="428"/>
      <c r="Z40" s="1027"/>
      <c r="AA40" s="1047"/>
      <c r="AB40" s="1388"/>
      <c r="AC40" s="1388"/>
      <c r="AD40" s="1050"/>
      <c r="AE40" s="1028"/>
      <c r="AF40" s="427"/>
      <c r="AG40" s="429"/>
      <c r="AH40" s="429"/>
      <c r="AI40" s="429"/>
      <c r="AJ40" s="429"/>
      <c r="AK40" s="429">
        <f t="shared" ref="AK40" si="22">$F40</f>
        <v>0.70799999999999996</v>
      </c>
      <c r="AL40" s="429"/>
      <c r="AM40" s="429"/>
      <c r="AN40" s="428"/>
      <c r="AO40" s="1029"/>
      <c r="AP40" s="427"/>
      <c r="AQ40" s="429"/>
      <c r="AR40" s="429"/>
      <c r="AS40" s="429"/>
      <c r="AT40" s="429"/>
      <c r="AU40" s="429"/>
      <c r="AV40" s="429"/>
      <c r="AW40" s="428">
        <v>1</v>
      </c>
      <c r="AX40" s="427"/>
      <c r="AY40" s="429"/>
      <c r="AZ40" s="429"/>
      <c r="BA40" s="429"/>
      <c r="BB40" s="429"/>
      <c r="BC40" s="429"/>
      <c r="BD40" s="429"/>
      <c r="BE40" s="429"/>
      <c r="BF40" s="429"/>
      <c r="BG40" s="428"/>
      <c r="BH40" s="1033"/>
      <c r="BI40" s="1047"/>
      <c r="BJ40" s="1048"/>
      <c r="BK40" s="1048">
        <f>+F40</f>
        <v>0.70799999999999996</v>
      </c>
      <c r="BL40" s="1048"/>
      <c r="BM40" s="1048"/>
      <c r="BN40" s="1048"/>
      <c r="BO40" s="1049"/>
      <c r="BP40" s="1050"/>
      <c r="BQ40" s="427"/>
      <c r="BR40" s="429"/>
      <c r="BS40" s="429"/>
      <c r="BT40" s="428"/>
      <c r="BU40" s="1293"/>
      <c r="BV40" s="427"/>
      <c r="BW40" s="428"/>
      <c r="BX40" s="427"/>
      <c r="BY40" s="429">
        <f>+I40*J40</f>
        <v>10.68</v>
      </c>
      <c r="BZ40" s="1275"/>
      <c r="CA40" s="427"/>
      <c r="CB40" s="429">
        <f>+$F40</f>
        <v>0.70799999999999996</v>
      </c>
      <c r="CC40" s="428"/>
      <c r="CE40" s="427"/>
      <c r="CF40" s="429"/>
      <c r="CG40" s="429"/>
      <c r="CH40" s="429"/>
      <c r="CI40" s="428"/>
      <c r="CJ40" s="1204"/>
      <c r="CK40" s="429"/>
      <c r="CL40" s="429"/>
      <c r="CM40" s="429"/>
      <c r="CN40" s="429"/>
      <c r="CO40" s="429"/>
      <c r="CP40" s="429"/>
      <c r="CQ40" s="429"/>
      <c r="CR40" s="429"/>
      <c r="CS40" s="429"/>
      <c r="CT40" s="429"/>
      <c r="CU40" s="428"/>
      <c r="CV40" s="1377"/>
      <c r="CW40" s="1047"/>
      <c r="CX40" s="1048"/>
      <c r="CY40" s="1048"/>
      <c r="CZ40" s="1049"/>
      <c r="DA40" s="1050"/>
      <c r="DB40" s="1047"/>
      <c r="DC40" s="1048"/>
      <c r="DD40" s="1048"/>
      <c r="DE40" s="1048"/>
      <c r="DF40" s="1050"/>
    </row>
    <row r="41" spans="1:110" ht="13">
      <c r="A41" s="2263"/>
      <c r="B41" s="1038">
        <v>29</v>
      </c>
      <c r="C41" s="847" t="s">
        <v>2081</v>
      </c>
      <c r="D41" s="1039">
        <v>2.48</v>
      </c>
      <c r="E41" s="1040">
        <v>3.41</v>
      </c>
      <c r="F41" s="1051">
        <f t="shared" si="18"/>
        <v>8.4567999999999994</v>
      </c>
      <c r="G41" s="1042">
        <v>11.78</v>
      </c>
      <c r="H41" s="1043"/>
      <c r="I41" s="1044">
        <f t="shared" si="17"/>
        <v>11.78</v>
      </c>
      <c r="J41" s="1045">
        <v>3</v>
      </c>
      <c r="K41" s="1335"/>
      <c r="L41" s="1422"/>
      <c r="M41" s="1027"/>
      <c r="N41" s="1097">
        <f t="shared" si="15"/>
        <v>8.4567999999999994</v>
      </c>
      <c r="O41" s="1098"/>
      <c r="P41" s="1098"/>
      <c r="Q41" s="1098"/>
      <c r="R41" s="1117"/>
      <c r="S41" s="1118"/>
      <c r="T41" s="1027"/>
      <c r="U41" s="427">
        <f t="shared" si="19"/>
        <v>35.339999999999996</v>
      </c>
      <c r="V41" s="429">
        <f>+W41*J41</f>
        <v>3</v>
      </c>
      <c r="W41" s="429">
        <v>1</v>
      </c>
      <c r="X41" s="429"/>
      <c r="Y41" s="428"/>
      <c r="Z41" s="1027"/>
      <c r="AA41" s="1047"/>
      <c r="AB41" s="1388"/>
      <c r="AC41" s="1388"/>
      <c r="AD41" s="1050"/>
      <c r="AE41" s="1028"/>
      <c r="AF41" s="427"/>
      <c r="AG41" s="429"/>
      <c r="AH41" s="429"/>
      <c r="AI41" s="429"/>
      <c r="AJ41" s="429"/>
      <c r="AK41" s="429">
        <f t="shared" ref="AK41:AK42" si="23">$F41</f>
        <v>8.4567999999999994</v>
      </c>
      <c r="AL41" s="429">
        <f>$G41</f>
        <v>11.78</v>
      </c>
      <c r="AM41" s="429"/>
      <c r="AN41" s="428"/>
      <c r="AO41" s="1029"/>
      <c r="AP41" s="427"/>
      <c r="AQ41" s="429">
        <v>1</v>
      </c>
      <c r="AR41" s="429"/>
      <c r="AS41" s="429"/>
      <c r="AT41" s="429"/>
      <c r="AU41" s="429"/>
      <c r="AV41" s="429"/>
      <c r="AW41" s="428"/>
      <c r="AX41" s="427"/>
      <c r="AY41" s="429"/>
      <c r="AZ41" s="429"/>
      <c r="BA41" s="429">
        <v>1</v>
      </c>
      <c r="BB41" s="429"/>
      <c r="BC41" s="429"/>
      <c r="BD41" s="429"/>
      <c r="BE41" s="429"/>
      <c r="BF41" s="429"/>
      <c r="BG41" s="428"/>
      <c r="BH41" s="1033"/>
      <c r="BI41" s="1047"/>
      <c r="BJ41" s="1048"/>
      <c r="BK41" s="1048">
        <f>+F41</f>
        <v>8.4567999999999994</v>
      </c>
      <c r="BL41" s="1048"/>
      <c r="BM41" s="1048"/>
      <c r="BN41" s="1048"/>
      <c r="BO41" s="1049"/>
      <c r="BP41" s="1050"/>
      <c r="BQ41" s="427">
        <f>+I41</f>
        <v>11.78</v>
      </c>
      <c r="BR41" s="429"/>
      <c r="BS41" s="429"/>
      <c r="BT41" s="428"/>
      <c r="BU41" s="1293"/>
      <c r="BV41" s="427"/>
      <c r="BW41" s="428"/>
      <c r="BX41" s="427"/>
      <c r="BY41" s="429">
        <f>+I41*J41</f>
        <v>35.339999999999996</v>
      </c>
      <c r="BZ41" s="1275"/>
      <c r="CA41" s="427"/>
      <c r="CB41" s="429">
        <f>+$F41</f>
        <v>8.4567999999999994</v>
      </c>
      <c r="CC41" s="428"/>
      <c r="CE41" s="427"/>
      <c r="CF41" s="429"/>
      <c r="CG41" s="429"/>
      <c r="CH41" s="429"/>
      <c r="CI41" s="428"/>
      <c r="CJ41" s="1204">
        <v>1</v>
      </c>
      <c r="CK41" s="429"/>
      <c r="CL41" s="429">
        <v>2</v>
      </c>
      <c r="CM41" s="429"/>
      <c r="CN41" s="429"/>
      <c r="CO41" s="429">
        <v>3</v>
      </c>
      <c r="CP41" s="429">
        <v>1</v>
      </c>
      <c r="CQ41" s="429"/>
      <c r="CR41" s="429">
        <v>1</v>
      </c>
      <c r="CS41" s="429"/>
      <c r="CT41" s="429"/>
      <c r="CU41" s="428"/>
      <c r="CV41" s="1377"/>
      <c r="CW41" s="1047"/>
      <c r="CX41" s="1048"/>
      <c r="CY41" s="1048"/>
      <c r="CZ41" s="1049"/>
      <c r="DA41" s="1050"/>
      <c r="DB41" s="1047"/>
      <c r="DC41" s="1048"/>
      <c r="DD41" s="1048"/>
      <c r="DE41" s="1048"/>
      <c r="DF41" s="1050"/>
    </row>
    <row r="42" spans="1:110" ht="13">
      <c r="A42" s="2263"/>
      <c r="B42" s="1071">
        <v>30</v>
      </c>
      <c r="C42" s="847" t="s">
        <v>2082</v>
      </c>
      <c r="D42" s="1039">
        <v>0.6</v>
      </c>
      <c r="E42" s="1040">
        <v>1.7</v>
      </c>
      <c r="F42" s="1051">
        <f t="shared" si="18"/>
        <v>1.02</v>
      </c>
      <c r="G42" s="1042">
        <v>4.5999999999999996</v>
      </c>
      <c r="H42" s="1043"/>
      <c r="I42" s="1044">
        <f t="shared" si="17"/>
        <v>4.5999999999999996</v>
      </c>
      <c r="J42" s="1045">
        <v>3</v>
      </c>
      <c r="K42" s="1335"/>
      <c r="L42" s="1422"/>
      <c r="M42" s="1027"/>
      <c r="N42" s="1097">
        <f t="shared" si="15"/>
        <v>1.02</v>
      </c>
      <c r="O42" s="1098"/>
      <c r="P42" s="1098"/>
      <c r="Q42" s="1098"/>
      <c r="R42" s="1117"/>
      <c r="S42" s="1118"/>
      <c r="T42" s="1027"/>
      <c r="U42" s="427">
        <f t="shared" si="19"/>
        <v>13.799999999999999</v>
      </c>
      <c r="V42" s="429"/>
      <c r="W42" s="429"/>
      <c r="X42" s="429"/>
      <c r="Y42" s="428"/>
      <c r="Z42" s="1027"/>
      <c r="AA42" s="1389"/>
      <c r="AB42" s="1390"/>
      <c r="AC42" s="1390"/>
      <c r="AD42" s="1391"/>
      <c r="AE42" s="1028"/>
      <c r="AF42" s="427"/>
      <c r="AG42" s="429"/>
      <c r="AH42" s="429"/>
      <c r="AI42" s="429"/>
      <c r="AJ42" s="429"/>
      <c r="AK42" s="429">
        <f t="shared" si="23"/>
        <v>1.02</v>
      </c>
      <c r="AL42" s="429"/>
      <c r="AM42" s="429"/>
      <c r="AN42" s="428"/>
      <c r="AO42" s="1029"/>
      <c r="AP42" s="427"/>
      <c r="AQ42" s="429"/>
      <c r="AR42" s="429"/>
      <c r="AS42" s="429"/>
      <c r="AT42" s="429"/>
      <c r="AU42" s="429"/>
      <c r="AV42" s="429"/>
      <c r="AW42" s="428">
        <v>1</v>
      </c>
      <c r="AX42" s="427"/>
      <c r="AY42" s="429"/>
      <c r="AZ42" s="429"/>
      <c r="BA42" s="429"/>
      <c r="BB42" s="429"/>
      <c r="BC42" s="429"/>
      <c r="BD42" s="429"/>
      <c r="BE42" s="429"/>
      <c r="BF42" s="429"/>
      <c r="BG42" s="428"/>
      <c r="BH42" s="1033"/>
      <c r="BI42" s="1047"/>
      <c r="BJ42" s="1048"/>
      <c r="BK42" s="1048">
        <f>+F42</f>
        <v>1.02</v>
      </c>
      <c r="BL42" s="1048"/>
      <c r="BM42" s="1048"/>
      <c r="BN42" s="1048"/>
      <c r="BO42" s="1049"/>
      <c r="BP42" s="1050"/>
      <c r="BQ42" s="427"/>
      <c r="BR42" s="429"/>
      <c r="BS42" s="429"/>
      <c r="BT42" s="428"/>
      <c r="BU42" s="1293"/>
      <c r="BV42" s="427"/>
      <c r="BW42" s="428"/>
      <c r="BX42" s="427"/>
      <c r="BY42" s="429">
        <f>+I42*J42</f>
        <v>13.799999999999999</v>
      </c>
      <c r="BZ42" s="1275"/>
      <c r="CA42" s="427"/>
      <c r="CB42" s="429">
        <f>+$F42</f>
        <v>1.02</v>
      </c>
      <c r="CC42" s="428"/>
      <c r="CE42" s="427"/>
      <c r="CF42" s="429"/>
      <c r="CG42" s="429"/>
      <c r="CH42" s="429"/>
      <c r="CI42" s="428"/>
      <c r="CJ42" s="1204"/>
      <c r="CK42" s="429"/>
      <c r="CL42" s="429"/>
      <c r="CM42" s="429"/>
      <c r="CN42" s="429"/>
      <c r="CO42" s="429"/>
      <c r="CP42" s="429"/>
      <c r="CQ42" s="429"/>
      <c r="CR42" s="429"/>
      <c r="CS42" s="429"/>
      <c r="CT42" s="429"/>
      <c r="CU42" s="428"/>
      <c r="CV42" s="1377"/>
      <c r="CW42" s="1047"/>
      <c r="CX42" s="1048"/>
      <c r="CY42" s="1048"/>
      <c r="CZ42" s="1049"/>
      <c r="DA42" s="1050"/>
      <c r="DB42" s="1047"/>
      <c r="DC42" s="1048"/>
      <c r="DD42" s="1048"/>
      <c r="DE42" s="1048"/>
      <c r="DF42" s="1050"/>
    </row>
    <row r="43" spans="1:110" ht="13">
      <c r="A43" s="2263"/>
      <c r="B43" s="1071">
        <v>31</v>
      </c>
      <c r="C43" s="847" t="s">
        <v>2083</v>
      </c>
      <c r="D43" s="1039">
        <v>0</v>
      </c>
      <c r="E43" s="1040">
        <v>0</v>
      </c>
      <c r="F43" s="1051">
        <v>8.91</v>
      </c>
      <c r="G43" s="1042">
        <v>12.42</v>
      </c>
      <c r="H43" s="1043">
        <v>3.96</v>
      </c>
      <c r="I43" s="1044">
        <f>+G43-H43</f>
        <v>8.4600000000000009</v>
      </c>
      <c r="J43" s="1045">
        <v>3</v>
      </c>
      <c r="K43" s="1335"/>
      <c r="L43" s="1422"/>
      <c r="M43" s="1027"/>
      <c r="N43" s="1097"/>
      <c r="O43" s="1098"/>
      <c r="P43" s="1098"/>
      <c r="Q43" s="1098"/>
      <c r="R43" s="1117">
        <f>+F43</f>
        <v>8.91</v>
      </c>
      <c r="S43" s="1118">
        <f>+F43</f>
        <v>8.91</v>
      </c>
      <c r="T43" s="1027"/>
      <c r="U43" s="427"/>
      <c r="V43" s="429"/>
      <c r="W43" s="429"/>
      <c r="X43" s="429"/>
      <c r="Y43" s="428"/>
      <c r="Z43" s="1027"/>
      <c r="AA43" s="1047"/>
      <c r="AB43" s="1388"/>
      <c r="AC43" s="1388"/>
      <c r="AD43" s="1050">
        <f>+F43</f>
        <v>8.91</v>
      </c>
      <c r="AE43" s="1028"/>
      <c r="AF43" s="427"/>
      <c r="AG43" s="429"/>
      <c r="AH43" s="429"/>
      <c r="AI43" s="429"/>
      <c r="AJ43" s="429"/>
      <c r="AK43" s="429"/>
      <c r="AL43" s="429"/>
      <c r="AM43" s="429"/>
      <c r="AN43" s="428"/>
      <c r="AO43" s="1029"/>
      <c r="AP43" s="427"/>
      <c r="AQ43" s="429"/>
      <c r="AR43" s="429"/>
      <c r="AS43" s="429"/>
      <c r="AT43" s="429"/>
      <c r="AU43" s="429"/>
      <c r="AV43" s="429"/>
      <c r="AW43" s="428"/>
      <c r="AX43" s="427"/>
      <c r="AY43" s="429"/>
      <c r="AZ43" s="429"/>
      <c r="BA43" s="429"/>
      <c r="BB43" s="429"/>
      <c r="BC43" s="429"/>
      <c r="BD43" s="429"/>
      <c r="BE43" s="429"/>
      <c r="BF43" s="429"/>
      <c r="BG43" s="428"/>
      <c r="BH43" s="1033"/>
      <c r="BI43" s="1047"/>
      <c r="BJ43" s="1048"/>
      <c r="BK43" s="1048">
        <f>+F43</f>
        <v>8.91</v>
      </c>
      <c r="BL43" s="1048"/>
      <c r="BM43" s="1048"/>
      <c r="BN43" s="1048"/>
      <c r="BO43" s="1049"/>
      <c r="BP43" s="1050"/>
      <c r="BQ43" s="427">
        <f>+I43</f>
        <v>8.4600000000000009</v>
      </c>
      <c r="BR43" s="429"/>
      <c r="BS43" s="429"/>
      <c r="BT43" s="428"/>
      <c r="BU43" s="1293"/>
      <c r="BV43" s="427"/>
      <c r="BW43" s="428"/>
      <c r="BX43" s="427"/>
      <c r="BY43" s="429"/>
      <c r="BZ43" s="1275"/>
      <c r="CA43" s="427"/>
      <c r="CB43" s="429"/>
      <c r="CC43" s="428"/>
      <c r="CE43" s="427"/>
      <c r="CF43" s="429"/>
      <c r="CG43" s="429"/>
      <c r="CH43" s="429"/>
      <c r="CI43" s="428">
        <v>4</v>
      </c>
      <c r="CJ43" s="1204">
        <v>4</v>
      </c>
      <c r="CK43" s="429"/>
      <c r="CL43" s="429"/>
      <c r="CM43" s="429"/>
      <c r="CN43" s="429"/>
      <c r="CO43" s="429"/>
      <c r="CP43" s="429"/>
      <c r="CQ43" s="429"/>
      <c r="CR43" s="429"/>
      <c r="CS43" s="429"/>
      <c r="CT43" s="429"/>
      <c r="CU43" s="428"/>
      <c r="CV43" s="1377"/>
      <c r="CW43" s="1047"/>
      <c r="CX43" s="1048"/>
      <c r="CY43" s="1048"/>
      <c r="CZ43" s="1049"/>
      <c r="DA43" s="1050"/>
      <c r="DB43" s="1047"/>
      <c r="DC43" s="1048"/>
      <c r="DD43" s="1048"/>
      <c r="DE43" s="1048"/>
      <c r="DF43" s="1050"/>
    </row>
    <row r="44" spans="1:110" ht="12.75" customHeight="1">
      <c r="A44" s="2263"/>
      <c r="B44" s="1071">
        <v>32</v>
      </c>
      <c r="C44" s="847" t="s">
        <v>2084</v>
      </c>
      <c r="D44" s="1039">
        <v>0</v>
      </c>
      <c r="E44" s="1040">
        <v>0</v>
      </c>
      <c r="F44" s="1051">
        <v>4.28</v>
      </c>
      <c r="G44" s="1042">
        <v>9.08</v>
      </c>
      <c r="H44" s="1043"/>
      <c r="I44" s="1044">
        <f>+G44-H44</f>
        <v>9.08</v>
      </c>
      <c r="J44" s="1045">
        <v>2.2000000000000002</v>
      </c>
      <c r="K44" s="1335">
        <v>2.2000000000000002</v>
      </c>
      <c r="L44" s="1422"/>
      <c r="M44" s="1027"/>
      <c r="N44" s="1097"/>
      <c r="O44" s="1098"/>
      <c r="P44" s="1098"/>
      <c r="Q44" s="1098"/>
      <c r="R44" s="1117">
        <f>+F44</f>
        <v>4.28</v>
      </c>
      <c r="S44" s="1118">
        <f>+F44</f>
        <v>4.28</v>
      </c>
      <c r="T44" s="1027"/>
      <c r="U44" s="427"/>
      <c r="V44" s="429"/>
      <c r="W44" s="429"/>
      <c r="X44" s="429">
        <f>+I44*J44</f>
        <v>19.976000000000003</v>
      </c>
      <c r="Y44" s="428"/>
      <c r="Z44" s="1027"/>
      <c r="AA44" s="1047">
        <f>+F44</f>
        <v>4.28</v>
      </c>
      <c r="AB44" s="1388"/>
      <c r="AC44" s="1388"/>
      <c r="AD44" s="1050"/>
      <c r="AE44" s="1028"/>
      <c r="AF44" s="427"/>
      <c r="AG44" s="429">
        <f>$F44</f>
        <v>4.28</v>
      </c>
      <c r="AH44" s="429">
        <f>$G44</f>
        <v>9.08</v>
      </c>
      <c r="AI44" s="429"/>
      <c r="AJ44" s="429"/>
      <c r="AK44" s="429"/>
      <c r="AL44" s="429"/>
      <c r="AM44" s="429"/>
      <c r="AN44" s="428"/>
      <c r="AO44" s="1029"/>
      <c r="AP44" s="427"/>
      <c r="AQ44" s="429">
        <v>1</v>
      </c>
      <c r="AR44" s="429"/>
      <c r="AS44" s="429"/>
      <c r="AT44" s="429"/>
      <c r="AU44" s="429"/>
      <c r="AV44" s="429"/>
      <c r="AW44" s="428"/>
      <c r="AX44" s="427"/>
      <c r="AY44" s="429"/>
      <c r="AZ44" s="429"/>
      <c r="BA44" s="429"/>
      <c r="BB44" s="429"/>
      <c r="BC44" s="429"/>
      <c r="BD44" s="429"/>
      <c r="BE44" s="429"/>
      <c r="BF44" s="429"/>
      <c r="BG44" s="428"/>
      <c r="BH44" s="1033"/>
      <c r="BI44" s="1047"/>
      <c r="BJ44" s="1048"/>
      <c r="BK44" s="1048"/>
      <c r="BL44" s="1048">
        <f>+F44</f>
        <v>4.28</v>
      </c>
      <c r="BM44" s="1048"/>
      <c r="BN44" s="1048"/>
      <c r="BO44" s="1049"/>
      <c r="BP44" s="1050"/>
      <c r="BQ44" s="427"/>
      <c r="BR44" s="429"/>
      <c r="BS44" s="429"/>
      <c r="BT44" s="428"/>
      <c r="BU44" s="1293"/>
      <c r="BV44" s="427"/>
      <c r="BW44" s="428">
        <f>$I44*$K44</f>
        <v>19.976000000000003</v>
      </c>
      <c r="BX44" s="427"/>
      <c r="BY44" s="429"/>
      <c r="BZ44" s="1275"/>
      <c r="CA44" s="427"/>
      <c r="CB44" s="429"/>
      <c r="CC44" s="428">
        <f>+$F44</f>
        <v>4.28</v>
      </c>
      <c r="CE44" s="427">
        <v>1</v>
      </c>
      <c r="CF44" s="429"/>
      <c r="CG44" s="429"/>
      <c r="CH44" s="429"/>
      <c r="CI44" s="428"/>
      <c r="CJ44" s="1204">
        <v>2</v>
      </c>
      <c r="CK44" s="429"/>
      <c r="CL44" s="429">
        <v>1</v>
      </c>
      <c r="CM44" s="429"/>
      <c r="CN44" s="1176">
        <v>1</v>
      </c>
      <c r="CO44" s="429"/>
      <c r="CP44" s="429"/>
      <c r="CQ44" s="429"/>
      <c r="CR44" s="429"/>
      <c r="CS44" s="429"/>
      <c r="CT44" s="429"/>
      <c r="CU44" s="428"/>
      <c r="CV44" s="1377"/>
      <c r="CW44" s="1047">
        <v>1</v>
      </c>
      <c r="CX44" s="1048">
        <v>1</v>
      </c>
      <c r="CY44" s="1048">
        <v>1</v>
      </c>
      <c r="CZ44" s="1049">
        <v>1</v>
      </c>
      <c r="DA44" s="1050"/>
      <c r="DB44" s="1047">
        <v>1</v>
      </c>
      <c r="DC44" s="1048">
        <v>1</v>
      </c>
      <c r="DD44" s="1048">
        <v>1</v>
      </c>
      <c r="DE44" s="1048">
        <v>1</v>
      </c>
      <c r="DF44" s="1050"/>
    </row>
    <row r="45" spans="1:110" ht="13">
      <c r="A45" s="2263"/>
      <c r="B45" s="1071">
        <v>33</v>
      </c>
      <c r="C45" s="847" t="s">
        <v>2085</v>
      </c>
      <c r="D45" s="1039">
        <v>3.3</v>
      </c>
      <c r="E45" s="1040">
        <v>3.04</v>
      </c>
      <c r="F45" s="1051">
        <f t="shared" si="18"/>
        <v>10.032</v>
      </c>
      <c r="G45" s="1042">
        <f>+D45*2+E45*2</f>
        <v>12.68</v>
      </c>
      <c r="H45" s="1043"/>
      <c r="I45" s="1044">
        <f t="shared" ref="I45:I48" si="24">+G45-H45</f>
        <v>12.68</v>
      </c>
      <c r="J45" s="1045">
        <v>3</v>
      </c>
      <c r="K45" s="1335"/>
      <c r="L45" s="1422"/>
      <c r="M45" s="1027"/>
      <c r="N45" s="1097">
        <f t="shared" si="15"/>
        <v>10.032</v>
      </c>
      <c r="O45" s="1098"/>
      <c r="P45" s="1098"/>
      <c r="Q45" s="1098"/>
      <c r="R45" s="1117"/>
      <c r="S45" s="1118"/>
      <c r="T45" s="1027"/>
      <c r="U45" s="427">
        <f t="shared" si="19"/>
        <v>38.04</v>
      </c>
      <c r="V45" s="429">
        <f>+W45*J45</f>
        <v>3</v>
      </c>
      <c r="W45" s="429">
        <v>1</v>
      </c>
      <c r="X45" s="429"/>
      <c r="Y45" s="428"/>
      <c r="Z45" s="1027"/>
      <c r="AA45" s="1047"/>
      <c r="AB45" s="1388"/>
      <c r="AC45" s="1388"/>
      <c r="AD45" s="1050"/>
      <c r="AE45" s="1028"/>
      <c r="AF45" s="427"/>
      <c r="AG45" s="429"/>
      <c r="AH45" s="429"/>
      <c r="AI45" s="429"/>
      <c r="AJ45" s="429"/>
      <c r="AK45" s="429">
        <f t="shared" ref="AK45:AK49" si="25">$F45</f>
        <v>10.032</v>
      </c>
      <c r="AL45" s="429">
        <f>$G45</f>
        <v>12.68</v>
      </c>
      <c r="AM45" s="429"/>
      <c r="AN45" s="428"/>
      <c r="AO45" s="1029"/>
      <c r="AP45" s="427"/>
      <c r="AQ45" s="429">
        <v>1</v>
      </c>
      <c r="AR45" s="429"/>
      <c r="AS45" s="429"/>
      <c r="AT45" s="429"/>
      <c r="AU45" s="429"/>
      <c r="AV45" s="429"/>
      <c r="AW45" s="428"/>
      <c r="AX45" s="427"/>
      <c r="AY45" s="429"/>
      <c r="AZ45" s="429"/>
      <c r="BA45" s="429"/>
      <c r="BB45" s="429"/>
      <c r="BC45" s="429"/>
      <c r="BD45" s="429"/>
      <c r="BE45" s="429"/>
      <c r="BF45" s="429">
        <v>1</v>
      </c>
      <c r="BG45" s="428"/>
      <c r="BH45" s="1033"/>
      <c r="BI45" s="1047"/>
      <c r="BJ45" s="1048"/>
      <c r="BK45" s="1048">
        <f t="shared" ref="BK45:BK50" si="26">+F45</f>
        <v>10.032</v>
      </c>
      <c r="BL45" s="1048"/>
      <c r="BM45" s="1048"/>
      <c r="BN45" s="1048"/>
      <c r="BO45" s="1049"/>
      <c r="BP45" s="1050"/>
      <c r="BQ45" s="427">
        <f>+I45</f>
        <v>12.68</v>
      </c>
      <c r="BR45" s="429"/>
      <c r="BS45" s="429"/>
      <c r="BT45" s="428"/>
      <c r="BU45" s="1293"/>
      <c r="BV45" s="427"/>
      <c r="BW45" s="428"/>
      <c r="BX45" s="427"/>
      <c r="BY45" s="429">
        <f>+I45*J45</f>
        <v>38.04</v>
      </c>
      <c r="BZ45" s="1275"/>
      <c r="CA45" s="427"/>
      <c r="CB45" s="429">
        <f t="shared" ref="CB45:CB50" si="27">+$F45</f>
        <v>10.032</v>
      </c>
      <c r="CC45" s="428"/>
      <c r="CE45" s="427"/>
      <c r="CF45" s="429"/>
      <c r="CG45" s="429"/>
      <c r="CH45" s="429"/>
      <c r="CI45" s="428"/>
      <c r="CJ45" s="1204">
        <v>1</v>
      </c>
      <c r="CK45" s="429"/>
      <c r="CL45" s="429">
        <v>2</v>
      </c>
      <c r="CM45" s="429"/>
      <c r="CN45" s="429"/>
      <c r="CO45" s="429">
        <v>3</v>
      </c>
      <c r="CP45" s="429">
        <v>1</v>
      </c>
      <c r="CQ45" s="429"/>
      <c r="CR45" s="429">
        <v>1</v>
      </c>
      <c r="CS45" s="429"/>
      <c r="CT45" s="429"/>
      <c r="CU45" s="428"/>
      <c r="CV45" s="1377"/>
      <c r="CW45" s="1047"/>
      <c r="CX45" s="1048"/>
      <c r="CY45" s="1048"/>
      <c r="CZ45" s="1049"/>
      <c r="DA45" s="1050"/>
      <c r="DB45" s="1047"/>
      <c r="DC45" s="1048"/>
      <c r="DD45" s="1048"/>
      <c r="DE45" s="1048"/>
      <c r="DF45" s="1050"/>
    </row>
    <row r="46" spans="1:110" ht="13">
      <c r="A46" s="2263"/>
      <c r="B46" s="1071">
        <v>34</v>
      </c>
      <c r="C46" s="847" t="s">
        <v>2086</v>
      </c>
      <c r="D46" s="1039">
        <v>0.6</v>
      </c>
      <c r="E46" s="1040">
        <v>1.96</v>
      </c>
      <c r="F46" s="1051">
        <f t="shared" si="18"/>
        <v>1.1759999999999999</v>
      </c>
      <c r="G46" s="1042">
        <f t="shared" ref="G46:G52" si="28">+D46*2+E46*2</f>
        <v>5.12</v>
      </c>
      <c r="H46" s="1043">
        <v>1.96</v>
      </c>
      <c r="I46" s="1044">
        <f t="shared" si="24"/>
        <v>3.16</v>
      </c>
      <c r="J46" s="1045">
        <v>3</v>
      </c>
      <c r="K46" s="1335"/>
      <c r="L46" s="1422"/>
      <c r="M46" s="1027"/>
      <c r="N46" s="1097">
        <f t="shared" si="15"/>
        <v>1.1759999999999999</v>
      </c>
      <c r="O46" s="1098"/>
      <c r="P46" s="1098"/>
      <c r="Q46" s="1098"/>
      <c r="R46" s="1117"/>
      <c r="S46" s="1118"/>
      <c r="T46" s="1027"/>
      <c r="U46" s="427">
        <f t="shared" si="19"/>
        <v>9.48</v>
      </c>
      <c r="V46" s="429"/>
      <c r="W46" s="429"/>
      <c r="X46" s="429"/>
      <c r="Y46" s="428"/>
      <c r="Z46" s="1027"/>
      <c r="AA46" s="1047"/>
      <c r="AB46" s="1388"/>
      <c r="AC46" s="1388"/>
      <c r="AD46" s="1050"/>
      <c r="AE46" s="1028"/>
      <c r="AF46" s="427"/>
      <c r="AG46" s="429"/>
      <c r="AH46" s="429"/>
      <c r="AI46" s="429"/>
      <c r="AJ46" s="429"/>
      <c r="AK46" s="429">
        <f t="shared" si="25"/>
        <v>1.1759999999999999</v>
      </c>
      <c r="AL46" s="429"/>
      <c r="AM46" s="429"/>
      <c r="AN46" s="428"/>
      <c r="AO46" s="1029"/>
      <c r="AP46" s="427"/>
      <c r="AQ46" s="429"/>
      <c r="AR46" s="429"/>
      <c r="AS46" s="429"/>
      <c r="AT46" s="429"/>
      <c r="AU46" s="429"/>
      <c r="AV46" s="429"/>
      <c r="AW46" s="428">
        <v>1</v>
      </c>
      <c r="AX46" s="427"/>
      <c r="AY46" s="429"/>
      <c r="AZ46" s="429"/>
      <c r="BA46" s="429"/>
      <c r="BB46" s="429"/>
      <c r="BC46" s="429"/>
      <c r="BD46" s="429"/>
      <c r="BE46" s="429"/>
      <c r="BF46" s="429"/>
      <c r="BG46" s="428"/>
      <c r="BH46" s="1033"/>
      <c r="BI46" s="1047"/>
      <c r="BJ46" s="1048"/>
      <c r="BK46" s="1048">
        <f t="shared" si="26"/>
        <v>1.1759999999999999</v>
      </c>
      <c r="BL46" s="1048"/>
      <c r="BM46" s="1048"/>
      <c r="BN46" s="1048"/>
      <c r="BO46" s="1049"/>
      <c r="BP46" s="1050"/>
      <c r="BQ46" s="427"/>
      <c r="BR46" s="429"/>
      <c r="BS46" s="429"/>
      <c r="BT46" s="428"/>
      <c r="BU46" s="1293"/>
      <c r="BV46" s="427"/>
      <c r="BW46" s="428"/>
      <c r="BX46" s="427"/>
      <c r="BY46" s="429">
        <f t="shared" ref="BY46:BY50" si="29">+I46*J46</f>
        <v>9.48</v>
      </c>
      <c r="BZ46" s="1275"/>
      <c r="CA46" s="427"/>
      <c r="CB46" s="429">
        <f t="shared" si="27"/>
        <v>1.1759999999999999</v>
      </c>
      <c r="CC46" s="428"/>
      <c r="CE46" s="427"/>
      <c r="CF46" s="429"/>
      <c r="CG46" s="429"/>
      <c r="CH46" s="429"/>
      <c r="CI46" s="428"/>
      <c r="CJ46" s="1204"/>
      <c r="CK46" s="429"/>
      <c r="CL46" s="429"/>
      <c r="CM46" s="429"/>
      <c r="CN46" s="429"/>
      <c r="CO46" s="429"/>
      <c r="CP46" s="429"/>
      <c r="CQ46" s="429"/>
      <c r="CR46" s="429"/>
      <c r="CS46" s="429"/>
      <c r="CT46" s="429"/>
      <c r="CU46" s="428"/>
      <c r="CV46" s="1377"/>
      <c r="CW46" s="1047"/>
      <c r="CX46" s="1048"/>
      <c r="CY46" s="1048"/>
      <c r="CZ46" s="1049"/>
      <c r="DA46" s="1050"/>
      <c r="DB46" s="1047"/>
      <c r="DC46" s="1048"/>
      <c r="DD46" s="1048"/>
      <c r="DE46" s="1048"/>
      <c r="DF46" s="1050"/>
    </row>
    <row r="47" spans="1:110" ht="13">
      <c r="A47" s="2263"/>
      <c r="B47" s="1071">
        <v>30</v>
      </c>
      <c r="C47" s="847" t="s">
        <v>2087</v>
      </c>
      <c r="D47" s="1039">
        <v>3.3</v>
      </c>
      <c r="E47" s="1040">
        <v>2.81</v>
      </c>
      <c r="F47" s="1051">
        <f t="shared" si="18"/>
        <v>9.2729999999999997</v>
      </c>
      <c r="G47" s="1042">
        <f t="shared" si="28"/>
        <v>12.219999999999999</v>
      </c>
      <c r="H47" s="1043">
        <v>2.2599999999999998</v>
      </c>
      <c r="I47" s="1044">
        <f t="shared" si="24"/>
        <v>9.9599999999999991</v>
      </c>
      <c r="J47" s="1045">
        <v>3</v>
      </c>
      <c r="K47" s="1335"/>
      <c r="L47" s="1422"/>
      <c r="M47" s="1027"/>
      <c r="N47" s="1097">
        <f t="shared" si="15"/>
        <v>9.2729999999999997</v>
      </c>
      <c r="O47" s="1098"/>
      <c r="P47" s="1098"/>
      <c r="Q47" s="1098"/>
      <c r="R47" s="1117"/>
      <c r="S47" s="1118"/>
      <c r="T47" s="1027"/>
      <c r="U47" s="427">
        <f t="shared" si="19"/>
        <v>29.879999999999995</v>
      </c>
      <c r="V47" s="429">
        <f>+W47*J47</f>
        <v>6</v>
      </c>
      <c r="W47" s="429">
        <v>2</v>
      </c>
      <c r="X47" s="429"/>
      <c r="Y47" s="428"/>
      <c r="Z47" s="1027"/>
      <c r="AA47" s="1047"/>
      <c r="AB47" s="1388"/>
      <c r="AC47" s="1388"/>
      <c r="AD47" s="1050"/>
      <c r="AE47" s="1028"/>
      <c r="AF47" s="427"/>
      <c r="AG47" s="429"/>
      <c r="AH47" s="429"/>
      <c r="AI47" s="429"/>
      <c r="AJ47" s="429"/>
      <c r="AK47" s="429">
        <f t="shared" si="25"/>
        <v>9.2729999999999997</v>
      </c>
      <c r="AL47" s="429">
        <f>$G47</f>
        <v>12.219999999999999</v>
      </c>
      <c r="AM47" s="429"/>
      <c r="AN47" s="428"/>
      <c r="AO47" s="1029"/>
      <c r="AP47" s="427"/>
      <c r="AQ47" s="429">
        <v>1</v>
      </c>
      <c r="AR47" s="429"/>
      <c r="AS47" s="429"/>
      <c r="AT47" s="429"/>
      <c r="AU47" s="429"/>
      <c r="AV47" s="429"/>
      <c r="AW47" s="428"/>
      <c r="AX47" s="427"/>
      <c r="AY47" s="429"/>
      <c r="AZ47" s="429"/>
      <c r="BA47" s="429"/>
      <c r="BB47" s="429"/>
      <c r="BC47" s="429"/>
      <c r="BD47" s="429"/>
      <c r="BE47" s="429"/>
      <c r="BF47" s="429"/>
      <c r="BG47" s="428">
        <v>1</v>
      </c>
      <c r="BH47" s="1033"/>
      <c r="BI47" s="1047"/>
      <c r="BJ47" s="1048"/>
      <c r="BK47" s="1048">
        <f t="shared" si="26"/>
        <v>9.2729999999999997</v>
      </c>
      <c r="BL47" s="1048"/>
      <c r="BM47" s="1048"/>
      <c r="BN47" s="1048"/>
      <c r="BO47" s="1049"/>
      <c r="BP47" s="1050"/>
      <c r="BQ47" s="427">
        <f>+I47</f>
        <v>9.9599999999999991</v>
      </c>
      <c r="BR47" s="429"/>
      <c r="BS47" s="429"/>
      <c r="BT47" s="428"/>
      <c r="BU47" s="1293"/>
      <c r="BV47" s="427"/>
      <c r="BW47" s="428"/>
      <c r="BX47" s="427"/>
      <c r="BY47" s="429">
        <f t="shared" si="29"/>
        <v>29.879999999999995</v>
      </c>
      <c r="BZ47" s="1275"/>
      <c r="CA47" s="427"/>
      <c r="CB47" s="429">
        <f t="shared" si="27"/>
        <v>9.2729999999999997</v>
      </c>
      <c r="CC47" s="428"/>
      <c r="CE47" s="427"/>
      <c r="CF47" s="429"/>
      <c r="CG47" s="429"/>
      <c r="CH47" s="429"/>
      <c r="CI47" s="428"/>
      <c r="CJ47" s="1204">
        <v>1</v>
      </c>
      <c r="CK47" s="429"/>
      <c r="CL47" s="429">
        <v>3</v>
      </c>
      <c r="CM47" s="429"/>
      <c r="CN47" s="429"/>
      <c r="CO47" s="429">
        <v>3</v>
      </c>
      <c r="CP47" s="429">
        <v>1</v>
      </c>
      <c r="CQ47" s="429"/>
      <c r="CR47" s="429">
        <v>1</v>
      </c>
      <c r="CS47" s="429"/>
      <c r="CT47" s="429"/>
      <c r="CU47" s="428"/>
      <c r="CV47" s="1377"/>
      <c r="CW47" s="1047"/>
      <c r="CX47" s="1048"/>
      <c r="CY47" s="1048"/>
      <c r="CZ47" s="1049"/>
      <c r="DA47" s="1050"/>
      <c r="DB47" s="1047"/>
      <c r="DC47" s="1048"/>
      <c r="DD47" s="1048"/>
      <c r="DE47" s="1048"/>
      <c r="DF47" s="1050"/>
    </row>
    <row r="48" spans="1:110" ht="13">
      <c r="A48" s="2263"/>
      <c r="B48" s="1071">
        <v>32</v>
      </c>
      <c r="C48" s="847" t="s">
        <v>2088</v>
      </c>
      <c r="D48" s="1039">
        <v>1.58</v>
      </c>
      <c r="E48" s="1040">
        <v>0.46</v>
      </c>
      <c r="F48" s="1051">
        <f t="shared" si="18"/>
        <v>0.72680000000000011</v>
      </c>
      <c r="G48" s="1042">
        <f t="shared" si="28"/>
        <v>4.08</v>
      </c>
      <c r="H48" s="1043">
        <v>1.58</v>
      </c>
      <c r="I48" s="1044">
        <f t="shared" si="24"/>
        <v>2.5</v>
      </c>
      <c r="J48" s="1045">
        <v>3</v>
      </c>
      <c r="K48" s="1335"/>
      <c r="L48" s="1422"/>
      <c r="M48" s="1027"/>
      <c r="N48" s="1104">
        <f t="shared" si="15"/>
        <v>0.72680000000000011</v>
      </c>
      <c r="O48" s="1117"/>
      <c r="P48" s="1117"/>
      <c r="Q48" s="1117"/>
      <c r="R48" s="1117"/>
      <c r="S48" s="1118"/>
      <c r="T48" s="1027"/>
      <c r="U48" s="427">
        <f t="shared" si="19"/>
        <v>7.5</v>
      </c>
      <c r="V48" s="429"/>
      <c r="W48" s="429"/>
      <c r="X48" s="429"/>
      <c r="Y48" s="428"/>
      <c r="Z48" s="1027"/>
      <c r="AA48" s="1389"/>
      <c r="AB48" s="1390"/>
      <c r="AC48" s="1390"/>
      <c r="AD48" s="1391"/>
      <c r="AE48" s="1028"/>
      <c r="AF48" s="427"/>
      <c r="AG48" s="429"/>
      <c r="AH48" s="429"/>
      <c r="AI48" s="429"/>
      <c r="AJ48" s="429"/>
      <c r="AK48" s="429">
        <f t="shared" si="25"/>
        <v>0.72680000000000011</v>
      </c>
      <c r="AL48" s="429"/>
      <c r="AM48" s="429"/>
      <c r="AN48" s="428"/>
      <c r="AO48" s="1029"/>
      <c r="AP48" s="427"/>
      <c r="AQ48" s="429"/>
      <c r="AR48" s="429"/>
      <c r="AS48" s="429"/>
      <c r="AT48" s="429"/>
      <c r="AU48" s="429"/>
      <c r="AV48" s="429"/>
      <c r="AW48" s="428">
        <v>1</v>
      </c>
      <c r="AX48" s="427"/>
      <c r="AY48" s="429"/>
      <c r="AZ48" s="429"/>
      <c r="BA48" s="429"/>
      <c r="BB48" s="429"/>
      <c r="BC48" s="429"/>
      <c r="BD48" s="429"/>
      <c r="BE48" s="429"/>
      <c r="BF48" s="429"/>
      <c r="BG48" s="428"/>
      <c r="BH48" s="1033"/>
      <c r="BI48" s="1047"/>
      <c r="BJ48" s="1048"/>
      <c r="BK48" s="1048">
        <f t="shared" si="26"/>
        <v>0.72680000000000011</v>
      </c>
      <c r="BL48" s="1048"/>
      <c r="BM48" s="1048"/>
      <c r="BN48" s="1048"/>
      <c r="BO48" s="1049"/>
      <c r="BP48" s="1050"/>
      <c r="BQ48" s="427"/>
      <c r="BR48" s="429"/>
      <c r="BS48" s="429"/>
      <c r="BT48" s="428"/>
      <c r="BU48" s="1293"/>
      <c r="BV48" s="427"/>
      <c r="BW48" s="428"/>
      <c r="BX48" s="427"/>
      <c r="BY48" s="429">
        <f t="shared" si="29"/>
        <v>7.5</v>
      </c>
      <c r="BZ48" s="1275"/>
      <c r="CA48" s="427"/>
      <c r="CB48" s="429">
        <f t="shared" si="27"/>
        <v>0.72680000000000011</v>
      </c>
      <c r="CC48" s="428"/>
      <c r="CE48" s="427"/>
      <c r="CF48" s="429"/>
      <c r="CG48" s="429"/>
      <c r="CH48" s="429"/>
      <c r="CI48" s="428"/>
      <c r="CJ48" s="1204"/>
      <c r="CK48" s="429"/>
      <c r="CL48" s="429"/>
      <c r="CM48" s="429"/>
      <c r="CN48" s="429"/>
      <c r="CO48" s="429"/>
      <c r="CP48" s="429"/>
      <c r="CQ48" s="429"/>
      <c r="CR48" s="429"/>
      <c r="CS48" s="429"/>
      <c r="CT48" s="429"/>
      <c r="CU48" s="428"/>
      <c r="CV48" s="1377"/>
      <c r="CW48" s="1047"/>
      <c r="CX48" s="1048"/>
      <c r="CY48" s="1048"/>
      <c r="CZ48" s="1049"/>
      <c r="DA48" s="1050"/>
      <c r="DB48" s="1047"/>
      <c r="DC48" s="1048"/>
      <c r="DD48" s="1048"/>
      <c r="DE48" s="1048"/>
      <c r="DF48" s="1050"/>
    </row>
    <row r="49" spans="1:111" ht="13">
      <c r="A49" s="2263"/>
      <c r="B49" s="1071">
        <v>31</v>
      </c>
      <c r="C49" s="847" t="s">
        <v>2088</v>
      </c>
      <c r="D49" s="1039">
        <v>1.58</v>
      </c>
      <c r="E49" s="1040">
        <v>0.37</v>
      </c>
      <c r="F49" s="1051">
        <f t="shared" si="18"/>
        <v>0.58460000000000001</v>
      </c>
      <c r="G49" s="1042">
        <f t="shared" si="28"/>
        <v>3.9000000000000004</v>
      </c>
      <c r="H49" s="1043">
        <v>1.58</v>
      </c>
      <c r="I49" s="1044">
        <f>+G49-H49</f>
        <v>2.3200000000000003</v>
      </c>
      <c r="J49" s="1045">
        <v>3</v>
      </c>
      <c r="K49" s="1335"/>
      <c r="L49" s="1421"/>
      <c r="M49" s="1027"/>
      <c r="N49" s="1104">
        <f t="shared" si="15"/>
        <v>0.58460000000000001</v>
      </c>
      <c r="O49" s="1117"/>
      <c r="P49" s="1117"/>
      <c r="Q49" s="1117"/>
      <c r="R49" s="1117"/>
      <c r="S49" s="1118"/>
      <c r="T49" s="1027"/>
      <c r="U49" s="427">
        <f t="shared" si="19"/>
        <v>6.9600000000000009</v>
      </c>
      <c r="V49" s="429"/>
      <c r="W49" s="429"/>
      <c r="X49" s="429"/>
      <c r="Y49" s="428"/>
      <c r="Z49" s="1027"/>
      <c r="AA49" s="1047"/>
      <c r="AB49" s="1388"/>
      <c r="AC49" s="1388"/>
      <c r="AD49" s="1050"/>
      <c r="AE49" s="1028"/>
      <c r="AF49" s="427"/>
      <c r="AG49" s="429"/>
      <c r="AH49" s="429"/>
      <c r="AI49" s="429"/>
      <c r="AJ49" s="429"/>
      <c r="AK49" s="429">
        <f t="shared" si="25"/>
        <v>0.58460000000000001</v>
      </c>
      <c r="AL49" s="429"/>
      <c r="AM49" s="429"/>
      <c r="AN49" s="428"/>
      <c r="AO49" s="1029"/>
      <c r="AP49" s="427"/>
      <c r="AQ49" s="429"/>
      <c r="AR49" s="429"/>
      <c r="AS49" s="429"/>
      <c r="AT49" s="429"/>
      <c r="AU49" s="429"/>
      <c r="AV49" s="429"/>
      <c r="AW49" s="428">
        <v>1</v>
      </c>
      <c r="AX49" s="427"/>
      <c r="AY49" s="429"/>
      <c r="AZ49" s="429"/>
      <c r="BA49" s="429"/>
      <c r="BB49" s="429"/>
      <c r="BC49" s="429"/>
      <c r="BD49" s="429"/>
      <c r="BE49" s="429"/>
      <c r="BF49" s="429"/>
      <c r="BG49" s="428"/>
      <c r="BH49" s="1033"/>
      <c r="BI49" s="1047"/>
      <c r="BJ49" s="1048"/>
      <c r="BK49" s="1048">
        <f t="shared" si="26"/>
        <v>0.58460000000000001</v>
      </c>
      <c r="BL49" s="1048"/>
      <c r="BM49" s="1048"/>
      <c r="BN49" s="1048"/>
      <c r="BO49" s="1048"/>
      <c r="BP49" s="1050"/>
      <c r="BQ49" s="427"/>
      <c r="BR49" s="429"/>
      <c r="BS49" s="429"/>
      <c r="BT49" s="428"/>
      <c r="BU49" s="1293"/>
      <c r="BV49" s="427"/>
      <c r="BW49" s="428"/>
      <c r="BX49" s="427"/>
      <c r="BY49" s="429">
        <f t="shared" si="29"/>
        <v>6.9600000000000009</v>
      </c>
      <c r="BZ49" s="1275"/>
      <c r="CA49" s="427"/>
      <c r="CB49" s="429">
        <f t="shared" si="27"/>
        <v>0.58460000000000001</v>
      </c>
      <c r="CC49" s="428"/>
      <c r="CE49" s="427"/>
      <c r="CF49" s="429"/>
      <c r="CG49" s="429"/>
      <c r="CH49" s="429"/>
      <c r="CI49" s="428"/>
      <c r="CJ49" s="1204"/>
      <c r="CK49" s="429"/>
      <c r="CL49" s="429"/>
      <c r="CM49" s="429"/>
      <c r="CN49" s="429"/>
      <c r="CO49" s="429"/>
      <c r="CP49" s="429"/>
      <c r="CQ49" s="429"/>
      <c r="CR49" s="429"/>
      <c r="CS49" s="429"/>
      <c r="CT49" s="429"/>
      <c r="CU49" s="428"/>
      <c r="CV49" s="1377"/>
      <c r="CW49" s="1047"/>
      <c r="CX49" s="1048"/>
      <c r="CY49" s="1048"/>
      <c r="CZ49" s="1049"/>
      <c r="DA49" s="1050"/>
      <c r="DB49" s="1047"/>
      <c r="DC49" s="1048"/>
      <c r="DD49" s="1048"/>
      <c r="DE49" s="1048"/>
      <c r="DF49" s="1050"/>
    </row>
    <row r="50" spans="1:111" ht="13">
      <c r="A50" s="2263"/>
      <c r="B50" s="1071">
        <v>32</v>
      </c>
      <c r="C50" s="847" t="s">
        <v>2089</v>
      </c>
      <c r="D50" s="1039">
        <v>1.58</v>
      </c>
      <c r="E50" s="1040">
        <v>0.87</v>
      </c>
      <c r="F50" s="1051">
        <f t="shared" si="18"/>
        <v>1.3746</v>
      </c>
      <c r="G50" s="1042">
        <f t="shared" si="28"/>
        <v>4.9000000000000004</v>
      </c>
      <c r="H50" s="1043">
        <v>0</v>
      </c>
      <c r="I50" s="1044">
        <f t="shared" ref="I50:I53" si="30">+G50-H50</f>
        <v>4.9000000000000004</v>
      </c>
      <c r="J50" s="1045">
        <v>3</v>
      </c>
      <c r="K50" s="1335"/>
      <c r="L50" s="1422"/>
      <c r="M50" s="1027"/>
      <c r="N50" s="1104">
        <f t="shared" si="15"/>
        <v>1.3746</v>
      </c>
      <c r="O50" s="1117"/>
      <c r="P50" s="1117"/>
      <c r="Q50" s="1117"/>
      <c r="R50" s="1117"/>
      <c r="S50" s="1118"/>
      <c r="T50" s="1027"/>
      <c r="U50" s="427">
        <f t="shared" si="19"/>
        <v>14.700000000000001</v>
      </c>
      <c r="V50" s="429">
        <f>+W50*J50</f>
        <v>6</v>
      </c>
      <c r="W50" s="429">
        <v>2</v>
      </c>
      <c r="X50" s="429"/>
      <c r="Y50" s="428"/>
      <c r="Z50" s="1027"/>
      <c r="AA50" s="1047"/>
      <c r="AB50" s="1388"/>
      <c r="AC50" s="1388"/>
      <c r="AD50" s="1050"/>
      <c r="AE50" s="1028"/>
      <c r="AF50" s="427"/>
      <c r="AG50" s="429"/>
      <c r="AH50" s="429"/>
      <c r="AI50" s="429"/>
      <c r="AJ50" s="429"/>
      <c r="AK50" s="429">
        <f t="shared" ref="AK50" si="31">$F50</f>
        <v>1.3746</v>
      </c>
      <c r="AL50" s="429">
        <f>$G50</f>
        <v>4.9000000000000004</v>
      </c>
      <c r="AM50" s="429"/>
      <c r="AN50" s="428"/>
      <c r="AO50" s="1029"/>
      <c r="AP50" s="427"/>
      <c r="AQ50" s="429"/>
      <c r="AR50" s="429"/>
      <c r="AS50" s="429"/>
      <c r="AT50" s="429"/>
      <c r="AU50" s="429"/>
      <c r="AV50" s="429"/>
      <c r="AW50" s="428"/>
      <c r="AX50" s="427"/>
      <c r="AY50" s="429"/>
      <c r="AZ50" s="429"/>
      <c r="BA50" s="429"/>
      <c r="BB50" s="429"/>
      <c r="BC50" s="429"/>
      <c r="BD50" s="429"/>
      <c r="BE50" s="429"/>
      <c r="BF50" s="429"/>
      <c r="BG50" s="428"/>
      <c r="BH50" s="1033"/>
      <c r="BI50" s="1047"/>
      <c r="BJ50" s="1048"/>
      <c r="BK50" s="1048">
        <f t="shared" si="26"/>
        <v>1.3746</v>
      </c>
      <c r="BL50" s="1048"/>
      <c r="BM50" s="1048"/>
      <c r="BN50" s="1048"/>
      <c r="BO50" s="1048"/>
      <c r="BP50" s="1050"/>
      <c r="BQ50" s="427">
        <f>+I50</f>
        <v>4.9000000000000004</v>
      </c>
      <c r="BR50" s="429"/>
      <c r="BS50" s="429"/>
      <c r="BT50" s="428"/>
      <c r="BU50" s="1293"/>
      <c r="BV50" s="427"/>
      <c r="BW50" s="428"/>
      <c r="BX50" s="427"/>
      <c r="BY50" s="429">
        <f t="shared" si="29"/>
        <v>14.700000000000001</v>
      </c>
      <c r="BZ50" s="1275"/>
      <c r="CA50" s="427"/>
      <c r="CB50" s="429">
        <f t="shared" si="27"/>
        <v>1.3746</v>
      </c>
      <c r="CC50" s="428"/>
      <c r="CE50" s="427"/>
      <c r="CF50" s="429"/>
      <c r="CG50" s="429"/>
      <c r="CH50" s="429"/>
      <c r="CI50" s="428"/>
      <c r="CJ50" s="1204">
        <v>1</v>
      </c>
      <c r="CK50" s="429"/>
      <c r="CL50" s="429"/>
      <c r="CM50" s="429"/>
      <c r="CN50" s="429"/>
      <c r="CO50" s="429"/>
      <c r="CP50" s="429"/>
      <c r="CQ50" s="429"/>
      <c r="CR50" s="429"/>
      <c r="CS50" s="429"/>
      <c r="CT50" s="429"/>
      <c r="CU50" s="428"/>
      <c r="CV50" s="1377"/>
      <c r="CW50" s="1047"/>
      <c r="CX50" s="1048"/>
      <c r="CY50" s="1048"/>
      <c r="CZ50" s="1049"/>
      <c r="DA50" s="1050"/>
      <c r="DB50" s="1047"/>
      <c r="DC50" s="1048"/>
      <c r="DD50" s="1048"/>
      <c r="DE50" s="1048"/>
      <c r="DF50" s="1050"/>
    </row>
    <row r="51" spans="1:111" ht="13">
      <c r="A51" s="2263"/>
      <c r="B51" s="1071">
        <v>33</v>
      </c>
      <c r="C51" s="1196" t="s">
        <v>2090</v>
      </c>
      <c r="D51" s="1075">
        <v>0</v>
      </c>
      <c r="E51" s="1076">
        <v>0</v>
      </c>
      <c r="F51" s="1077">
        <v>3.88</v>
      </c>
      <c r="G51" s="1078">
        <v>8.16</v>
      </c>
      <c r="H51" s="1079">
        <v>0</v>
      </c>
      <c r="I51" s="1080">
        <f t="shared" si="30"/>
        <v>8.16</v>
      </c>
      <c r="J51" s="1081">
        <v>2.2000000000000002</v>
      </c>
      <c r="K51" s="1425"/>
      <c r="L51" s="1426"/>
      <c r="M51" s="1027"/>
      <c r="N51" s="1104"/>
      <c r="O51" s="1117"/>
      <c r="P51" s="1117"/>
      <c r="Q51" s="1117"/>
      <c r="R51" s="1117">
        <f>+F51</f>
        <v>3.88</v>
      </c>
      <c r="S51" s="1118">
        <f>+F51</f>
        <v>3.88</v>
      </c>
      <c r="T51" s="1027"/>
      <c r="U51" s="427"/>
      <c r="V51" s="429"/>
      <c r="W51" s="429"/>
      <c r="X51" s="429">
        <f>+I51*J51</f>
        <v>17.952000000000002</v>
      </c>
      <c r="Y51" s="428"/>
      <c r="Z51" s="1027"/>
      <c r="AA51" s="1047">
        <f>+F51</f>
        <v>3.88</v>
      </c>
      <c r="AB51" s="1388"/>
      <c r="AC51" s="1388"/>
      <c r="AD51" s="1050"/>
      <c r="AE51" s="1028"/>
      <c r="AF51" s="427"/>
      <c r="AG51" s="429">
        <f>$F51</f>
        <v>3.88</v>
      </c>
      <c r="AH51" s="429">
        <f>$I51</f>
        <v>8.16</v>
      </c>
      <c r="AI51" s="429"/>
      <c r="AJ51" s="429"/>
      <c r="AK51" s="429"/>
      <c r="AL51" s="429"/>
      <c r="AM51" s="429"/>
      <c r="AN51" s="428"/>
      <c r="AO51" s="1029"/>
      <c r="AP51" s="427"/>
      <c r="AQ51" s="429">
        <v>1</v>
      </c>
      <c r="AR51" s="429"/>
      <c r="AS51" s="429"/>
      <c r="AT51" s="429"/>
      <c r="AU51" s="429"/>
      <c r="AV51" s="429"/>
      <c r="AW51" s="428"/>
      <c r="AX51" s="427"/>
      <c r="AY51" s="429"/>
      <c r="AZ51" s="429"/>
      <c r="BA51" s="429"/>
      <c r="BB51" s="429"/>
      <c r="BC51" s="429"/>
      <c r="BD51" s="429"/>
      <c r="BE51" s="429"/>
      <c r="BF51" s="429"/>
      <c r="BG51" s="428"/>
      <c r="BH51" s="1033"/>
      <c r="BI51" s="1047"/>
      <c r="BJ51" s="1048"/>
      <c r="BK51" s="1048"/>
      <c r="BL51" s="1048">
        <f>+F51</f>
        <v>3.88</v>
      </c>
      <c r="BM51" s="1048"/>
      <c r="BN51" s="1048"/>
      <c r="BO51" s="1048"/>
      <c r="BP51" s="1050"/>
      <c r="BQ51" s="427"/>
      <c r="BR51" s="429"/>
      <c r="BS51" s="429"/>
      <c r="BT51" s="428"/>
      <c r="BU51" s="1293"/>
      <c r="BV51" s="427"/>
      <c r="BW51" s="428">
        <f t="shared" ref="BW51" si="32">$I51*$J51</f>
        <v>17.952000000000002</v>
      </c>
      <c r="BX51" s="427"/>
      <c r="BY51" s="429"/>
      <c r="BZ51" s="1275"/>
      <c r="CA51" s="427"/>
      <c r="CB51" s="429"/>
      <c r="CC51" s="428">
        <f>+$F51</f>
        <v>3.88</v>
      </c>
      <c r="CE51" s="427">
        <v>1</v>
      </c>
      <c r="CF51" s="429"/>
      <c r="CG51" s="429"/>
      <c r="CH51" s="429"/>
      <c r="CI51" s="428"/>
      <c r="CJ51" s="1204">
        <v>3</v>
      </c>
      <c r="CK51" s="429"/>
      <c r="CL51" s="429">
        <v>1</v>
      </c>
      <c r="CM51" s="429"/>
      <c r="CN51" s="429">
        <v>1</v>
      </c>
      <c r="CO51" s="429"/>
      <c r="CP51" s="429"/>
      <c r="CQ51" s="429"/>
      <c r="CR51" s="429"/>
      <c r="CS51" s="429"/>
      <c r="CT51" s="429"/>
      <c r="CU51" s="428"/>
      <c r="CV51" s="1377"/>
      <c r="CW51" s="1047">
        <v>1</v>
      </c>
      <c r="CX51" s="1048">
        <v>1</v>
      </c>
      <c r="CY51" s="1048">
        <v>1</v>
      </c>
      <c r="CZ51" s="1049">
        <v>1</v>
      </c>
      <c r="DA51" s="1050"/>
      <c r="DB51" s="1047">
        <v>1</v>
      </c>
      <c r="DC51" s="1048">
        <v>1</v>
      </c>
      <c r="DD51" s="1048">
        <v>1</v>
      </c>
      <c r="DE51" s="1048">
        <v>1</v>
      </c>
      <c r="DF51" s="1050"/>
    </row>
    <row r="52" spans="1:111" ht="13">
      <c r="A52" s="2263"/>
      <c r="B52" s="1038"/>
      <c r="C52" s="847" t="s">
        <v>2169</v>
      </c>
      <c r="D52" s="1039">
        <v>3.38</v>
      </c>
      <c r="E52" s="1040">
        <v>1</v>
      </c>
      <c r="F52" s="1051">
        <f t="shared" ref="F52" si="33">D52*E52</f>
        <v>3.38</v>
      </c>
      <c r="G52" s="1042">
        <f t="shared" si="28"/>
        <v>8.76</v>
      </c>
      <c r="H52" s="1043">
        <v>2.78</v>
      </c>
      <c r="I52" s="1044">
        <f t="shared" si="30"/>
        <v>5.98</v>
      </c>
      <c r="J52" s="1045">
        <v>3</v>
      </c>
      <c r="K52" s="1335"/>
      <c r="L52" s="1421"/>
      <c r="M52" s="1027"/>
      <c r="N52" s="1104"/>
      <c r="O52" s="1117"/>
      <c r="P52" s="1117"/>
      <c r="Q52" s="1117"/>
      <c r="R52" s="1117">
        <f>+F52</f>
        <v>3.38</v>
      </c>
      <c r="S52" s="1118">
        <f>+F52</f>
        <v>3.38</v>
      </c>
      <c r="T52" s="1027"/>
      <c r="U52" s="427"/>
      <c r="V52" s="429"/>
      <c r="W52" s="429"/>
      <c r="X52" s="429"/>
      <c r="Y52" s="428"/>
      <c r="Z52" s="1027"/>
      <c r="AA52" s="1047"/>
      <c r="AB52" s="1388"/>
      <c r="AC52" s="1388"/>
      <c r="AD52" s="1050">
        <f>+F52</f>
        <v>3.38</v>
      </c>
      <c r="AE52" s="1028"/>
      <c r="AF52" s="427"/>
      <c r="AG52" s="1314">
        <v>16</v>
      </c>
      <c r="AH52" s="1314">
        <v>25</v>
      </c>
      <c r="AI52" s="429"/>
      <c r="AJ52" s="429"/>
      <c r="AK52" s="429"/>
      <c r="AL52" s="429"/>
      <c r="AM52" s="429"/>
      <c r="AN52" s="428"/>
      <c r="AO52" s="1029"/>
      <c r="AP52" s="427"/>
      <c r="AQ52" s="429"/>
      <c r="AR52" s="429"/>
      <c r="AS52" s="429"/>
      <c r="AT52" s="429"/>
      <c r="AU52" s="429"/>
      <c r="AV52" s="429"/>
      <c r="AW52" s="428"/>
      <c r="AX52" s="427"/>
      <c r="AY52" s="429"/>
      <c r="AZ52" s="429"/>
      <c r="BA52" s="429"/>
      <c r="BB52" s="429"/>
      <c r="BC52" s="429"/>
      <c r="BD52" s="429"/>
      <c r="BE52" s="429"/>
      <c r="BF52" s="429"/>
      <c r="BG52" s="428"/>
      <c r="BH52" s="1033"/>
      <c r="BI52" s="1047"/>
      <c r="BJ52" s="1048"/>
      <c r="BK52" s="1048">
        <f>+G52</f>
        <v>8.76</v>
      </c>
      <c r="BL52" s="1048"/>
      <c r="BM52" s="1048"/>
      <c r="BN52" s="1048"/>
      <c r="BO52" s="1048"/>
      <c r="BP52" s="1050"/>
      <c r="BQ52" s="427"/>
      <c r="BR52" s="429"/>
      <c r="BS52" s="429">
        <f>+I52</f>
        <v>5.98</v>
      </c>
      <c r="BT52" s="428"/>
      <c r="BU52" s="1293"/>
      <c r="BV52" s="427"/>
      <c r="BW52" s="428"/>
      <c r="BX52" s="427"/>
      <c r="BY52" s="429"/>
      <c r="BZ52" s="1275"/>
      <c r="CA52" s="427"/>
      <c r="CB52" s="429"/>
      <c r="CC52" s="1456">
        <f>+AG52</f>
        <v>16</v>
      </c>
      <c r="CE52" s="427"/>
      <c r="CF52" s="429"/>
      <c r="CG52" s="429"/>
      <c r="CH52" s="429"/>
      <c r="CI52" s="428">
        <v>3</v>
      </c>
      <c r="CJ52" s="1204">
        <v>3</v>
      </c>
      <c r="CK52" s="429"/>
      <c r="CL52" s="429"/>
      <c r="CM52" s="429"/>
      <c r="CN52" s="429"/>
      <c r="CO52" s="429">
        <v>1</v>
      </c>
      <c r="CP52" s="429"/>
      <c r="CQ52" s="429"/>
      <c r="CR52" s="429"/>
      <c r="CS52" s="429"/>
      <c r="CT52" s="429"/>
      <c r="CU52" s="428"/>
      <c r="CV52" s="1377"/>
      <c r="CW52" s="1047"/>
      <c r="CX52" s="1048"/>
      <c r="CY52" s="1048"/>
      <c r="CZ52" s="1049"/>
      <c r="DA52" s="1050"/>
      <c r="DB52" s="1047"/>
      <c r="DC52" s="1048"/>
      <c r="DD52" s="1048"/>
      <c r="DE52" s="1048"/>
      <c r="DF52" s="1050"/>
    </row>
    <row r="53" spans="1:111" ht="13.5" thickBot="1">
      <c r="A53" s="2265"/>
      <c r="B53" s="1147"/>
      <c r="C53" s="848" t="s">
        <v>2170</v>
      </c>
      <c r="D53" s="1063"/>
      <c r="E53" s="1064"/>
      <c r="F53" s="1065">
        <v>59.28</v>
      </c>
      <c r="G53" s="1066">
        <v>31.67</v>
      </c>
      <c r="H53" s="1067">
        <f>+H52</f>
        <v>2.78</v>
      </c>
      <c r="I53" s="1068">
        <f t="shared" si="30"/>
        <v>28.89</v>
      </c>
      <c r="J53" s="1069">
        <v>3</v>
      </c>
      <c r="K53" s="1408"/>
      <c r="L53" s="1427"/>
      <c r="M53" s="1027"/>
      <c r="N53" s="1146"/>
      <c r="O53" s="1162"/>
      <c r="P53" s="1162"/>
      <c r="Q53" s="1162"/>
      <c r="R53" s="1162">
        <f>+F53</f>
        <v>59.28</v>
      </c>
      <c r="S53" s="1163">
        <f>+F53</f>
        <v>59.28</v>
      </c>
      <c r="T53" s="1027"/>
      <c r="U53" s="432"/>
      <c r="V53" s="430"/>
      <c r="W53" s="430"/>
      <c r="X53" s="430"/>
      <c r="Y53" s="431"/>
      <c r="Z53" s="1027"/>
      <c r="AA53" s="1052"/>
      <c r="AB53" s="1392"/>
      <c r="AC53" s="1394"/>
      <c r="AD53" s="1050">
        <f>+F53</f>
        <v>59.28</v>
      </c>
      <c r="AE53" s="1028"/>
      <c r="AF53" s="432"/>
      <c r="AG53" s="430"/>
      <c r="AH53" s="430"/>
      <c r="AI53" s="430"/>
      <c r="AJ53" s="430"/>
      <c r="AK53" s="430"/>
      <c r="AL53" s="430"/>
      <c r="AM53" s="430"/>
      <c r="AN53" s="431"/>
      <c r="AO53" s="1029"/>
      <c r="AP53" s="432"/>
      <c r="AQ53" s="430"/>
      <c r="AR53" s="430"/>
      <c r="AS53" s="430"/>
      <c r="AT53" s="430"/>
      <c r="AU53" s="430"/>
      <c r="AV53" s="430"/>
      <c r="AW53" s="431"/>
      <c r="AX53" s="432"/>
      <c r="AY53" s="430"/>
      <c r="AZ53" s="430"/>
      <c r="BA53" s="430"/>
      <c r="BB53" s="430"/>
      <c r="BC53" s="430"/>
      <c r="BD53" s="430"/>
      <c r="BE53" s="430"/>
      <c r="BF53" s="430"/>
      <c r="BG53" s="431"/>
      <c r="BH53" s="1033"/>
      <c r="BI53" s="1052"/>
      <c r="BJ53" s="1053"/>
      <c r="BK53" s="1048">
        <f>+G53</f>
        <v>31.67</v>
      </c>
      <c r="BL53" s="1053"/>
      <c r="BM53" s="1053"/>
      <c r="BN53" s="1053"/>
      <c r="BO53" s="1053"/>
      <c r="BP53" s="1054"/>
      <c r="BQ53" s="432"/>
      <c r="BR53" s="430"/>
      <c r="BS53" s="429">
        <f>+I53</f>
        <v>28.89</v>
      </c>
      <c r="BT53" s="431"/>
      <c r="BU53" s="1293"/>
      <c r="BV53" s="432"/>
      <c r="BW53" s="431"/>
      <c r="BX53" s="432"/>
      <c r="BY53" s="430"/>
      <c r="BZ53" s="1277"/>
      <c r="CA53" s="432"/>
      <c r="CB53" s="430"/>
      <c r="CC53" s="431"/>
      <c r="CE53" s="439"/>
      <c r="CF53" s="436">
        <v>1</v>
      </c>
      <c r="CG53" s="436"/>
      <c r="CH53" s="436"/>
      <c r="CI53" s="437">
        <v>5</v>
      </c>
      <c r="CJ53" s="1206">
        <v>5</v>
      </c>
      <c r="CK53" s="436"/>
      <c r="CL53" s="436"/>
      <c r="CM53" s="436"/>
      <c r="CN53" s="436"/>
      <c r="CO53" s="436"/>
      <c r="CP53" s="436"/>
      <c r="CQ53" s="436"/>
      <c r="CR53" s="436"/>
      <c r="CS53" s="436"/>
      <c r="CT53" s="436"/>
      <c r="CU53" s="437"/>
      <c r="CV53" s="1377"/>
      <c r="CW53" s="1052"/>
      <c r="CX53" s="1053"/>
      <c r="CY53" s="1053"/>
      <c r="CZ53" s="1055"/>
      <c r="DA53" s="1054"/>
      <c r="DB53" s="1052"/>
      <c r="DC53" s="1053"/>
      <c r="DD53" s="1053"/>
      <c r="DE53" s="1053"/>
      <c r="DF53" s="1054"/>
    </row>
    <row r="54" spans="1:111" s="1087" customFormat="1" ht="13">
      <c r="A54" s="2262" t="s">
        <v>2091</v>
      </c>
      <c r="B54" s="1186">
        <v>34</v>
      </c>
      <c r="C54" s="497" t="s">
        <v>2057</v>
      </c>
      <c r="D54" s="1088">
        <v>0</v>
      </c>
      <c r="E54" s="1089">
        <v>0</v>
      </c>
      <c r="F54" s="1215">
        <v>13.1</v>
      </c>
      <c r="G54" s="1091">
        <v>23.73</v>
      </c>
      <c r="H54" s="1092">
        <v>1.29</v>
      </c>
      <c r="I54" s="1093">
        <f t="shared" si="14"/>
        <v>22.44</v>
      </c>
      <c r="J54" s="1091">
        <v>2.6</v>
      </c>
      <c r="K54" s="1419"/>
      <c r="L54" s="1420"/>
      <c r="M54" s="1027"/>
      <c r="N54" s="1149">
        <f>$F54</f>
        <v>13.1</v>
      </c>
      <c r="O54" s="1160"/>
      <c r="P54" s="1160"/>
      <c r="Q54" s="1160"/>
      <c r="R54" s="1160"/>
      <c r="S54" s="1161"/>
      <c r="T54" s="1027"/>
      <c r="U54" s="434">
        <f>+I54*J54</f>
        <v>58.344000000000008</v>
      </c>
      <c r="V54" s="433"/>
      <c r="W54" s="433"/>
      <c r="X54" s="433"/>
      <c r="Y54" s="426"/>
      <c r="Z54" s="1027"/>
      <c r="AA54" s="1149"/>
      <c r="AB54" s="1395"/>
      <c r="AC54" s="1395"/>
      <c r="AD54" s="1161"/>
      <c r="AE54" s="1094"/>
      <c r="AF54" s="434">
        <f t="shared" ref="AF54" si="34">$F54</f>
        <v>13.1</v>
      </c>
      <c r="AG54" s="433"/>
      <c r="AH54" s="1218">
        <f>+G54</f>
        <v>23.73</v>
      </c>
      <c r="AI54" s="1218"/>
      <c r="AJ54" s="1218">
        <v>1.6</v>
      </c>
      <c r="AK54" s="433"/>
      <c r="AL54" s="433"/>
      <c r="AM54" s="433"/>
      <c r="AN54" s="1219"/>
      <c r="AO54" s="1095"/>
      <c r="AP54" s="434"/>
      <c r="AQ54" s="433"/>
      <c r="AR54" s="433"/>
      <c r="AS54" s="433"/>
      <c r="AT54" s="433"/>
      <c r="AU54" s="433">
        <v>1</v>
      </c>
      <c r="AV54" s="433"/>
      <c r="AW54" s="426"/>
      <c r="AX54" s="434"/>
      <c r="AY54" s="433"/>
      <c r="AZ54" s="433"/>
      <c r="BA54" s="433"/>
      <c r="BB54" s="433"/>
      <c r="BC54" s="433"/>
      <c r="BD54" s="433"/>
      <c r="BE54" s="433"/>
      <c r="BF54" s="433"/>
      <c r="BG54" s="426"/>
      <c r="BH54" s="1033"/>
      <c r="BI54" s="1149"/>
      <c r="BJ54" s="1035"/>
      <c r="BK54" s="1035"/>
      <c r="BL54" s="1035"/>
      <c r="BM54" s="1035">
        <f>+F54</f>
        <v>13.1</v>
      </c>
      <c r="BN54" s="1035"/>
      <c r="BO54" s="1035"/>
      <c r="BP54" s="1036"/>
      <c r="BQ54" s="434"/>
      <c r="BR54" s="433"/>
      <c r="BS54" s="433">
        <f>+I54</f>
        <v>22.44</v>
      </c>
      <c r="BT54" s="426"/>
      <c r="BU54" s="1293"/>
      <c r="BV54" s="434"/>
      <c r="BW54" s="426"/>
      <c r="BX54" s="434"/>
      <c r="BY54" s="433">
        <f>+I54*J54</f>
        <v>58.344000000000008</v>
      </c>
      <c r="BZ54" s="1280"/>
      <c r="CA54" s="434"/>
      <c r="CB54" s="433"/>
      <c r="CC54" s="426">
        <f>+F54</f>
        <v>13.1</v>
      </c>
      <c r="CD54" s="1010"/>
      <c r="CE54" s="1217"/>
      <c r="CF54" s="1218"/>
      <c r="CG54" s="1218">
        <v>4</v>
      </c>
      <c r="CH54" s="1218">
        <v>1</v>
      </c>
      <c r="CI54" s="1219">
        <v>4</v>
      </c>
      <c r="CJ54" s="1220">
        <v>4</v>
      </c>
      <c r="CK54" s="1218"/>
      <c r="CL54" s="1218"/>
      <c r="CM54" s="1218">
        <v>4</v>
      </c>
      <c r="CN54" s="1218"/>
      <c r="CO54" s="1218">
        <v>1</v>
      </c>
      <c r="CP54" s="1218"/>
      <c r="CQ54" s="1218"/>
      <c r="CR54" s="1218"/>
      <c r="CS54" s="1218"/>
      <c r="CT54" s="1218"/>
      <c r="CU54" s="1219"/>
      <c r="CV54" s="1378"/>
      <c r="CW54" s="1149"/>
      <c r="CX54" s="1160"/>
      <c r="CY54" s="1160"/>
      <c r="CZ54" s="1449"/>
      <c r="DA54" s="1161"/>
      <c r="DB54" s="1149"/>
      <c r="DC54" s="1160"/>
      <c r="DD54" s="1160"/>
      <c r="DE54" s="1160"/>
      <c r="DF54" s="1161"/>
      <c r="DG54" s="1010"/>
    </row>
    <row r="55" spans="1:111" s="1010" customFormat="1" ht="13">
      <c r="A55" s="2262"/>
      <c r="B55" s="1147"/>
      <c r="C55" s="1199" t="s">
        <v>412</v>
      </c>
      <c r="D55" s="1105">
        <v>4.37</v>
      </c>
      <c r="E55" s="1106">
        <v>2.5</v>
      </c>
      <c r="F55" s="1216">
        <f>+D55*E55</f>
        <v>10.925000000000001</v>
      </c>
      <c r="G55" s="1066">
        <f>+D55*2+E55*2</f>
        <v>13.74</v>
      </c>
      <c r="H55" s="1067">
        <f>+H54</f>
        <v>1.29</v>
      </c>
      <c r="I55" s="1068">
        <f>+G55-H55</f>
        <v>12.45</v>
      </c>
      <c r="J55" s="1066">
        <v>2.6</v>
      </c>
      <c r="K55" s="1408"/>
      <c r="L55" s="1423"/>
      <c r="M55" s="1027"/>
      <c r="N55" s="1146"/>
      <c r="O55" s="1162"/>
      <c r="P55" s="1162"/>
      <c r="Q55" s="1162"/>
      <c r="R55" s="1162"/>
      <c r="S55" s="1163"/>
      <c r="T55" s="1027"/>
      <c r="U55" s="432"/>
      <c r="V55" s="430">
        <f>+W55*J55</f>
        <v>18.2</v>
      </c>
      <c r="W55" s="430">
        <v>7</v>
      </c>
      <c r="X55" s="430"/>
      <c r="Y55" s="431">
        <f>+I55*J55</f>
        <v>32.369999999999997</v>
      </c>
      <c r="Z55" s="1027"/>
      <c r="AA55" s="1146"/>
      <c r="AB55" s="1396"/>
      <c r="AC55" s="1396"/>
      <c r="AD55" s="1163"/>
      <c r="AE55" s="1033"/>
      <c r="AF55" s="432"/>
      <c r="AG55" s="430"/>
      <c r="AH55" s="1222"/>
      <c r="AI55" s="1222"/>
      <c r="AJ55" s="1222"/>
      <c r="AK55" s="430"/>
      <c r="AL55" s="430"/>
      <c r="AM55" s="430"/>
      <c r="AN55" s="1223">
        <f>+F55</f>
        <v>10.925000000000001</v>
      </c>
      <c r="AO55" s="1214"/>
      <c r="AP55" s="432"/>
      <c r="AQ55" s="430"/>
      <c r="AR55" s="430"/>
      <c r="AS55" s="430"/>
      <c r="AT55" s="430"/>
      <c r="AU55" s="430"/>
      <c r="AV55" s="430"/>
      <c r="AW55" s="431"/>
      <c r="AX55" s="432"/>
      <c r="AY55" s="430"/>
      <c r="AZ55" s="430"/>
      <c r="BA55" s="430"/>
      <c r="BB55" s="430"/>
      <c r="BC55" s="430"/>
      <c r="BD55" s="430"/>
      <c r="BE55" s="430"/>
      <c r="BF55" s="430"/>
      <c r="BG55" s="431"/>
      <c r="BH55" s="1033"/>
      <c r="BI55" s="1146"/>
      <c r="BJ55" s="1053"/>
      <c r="BK55" s="1053"/>
      <c r="BL55" s="1053"/>
      <c r="BM55" s="1053"/>
      <c r="BN55" s="1053"/>
      <c r="BO55" s="1053"/>
      <c r="BP55" s="1054"/>
      <c r="BQ55" s="432"/>
      <c r="BR55" s="430"/>
      <c r="BS55" s="430"/>
      <c r="BT55" s="431">
        <f>+I55</f>
        <v>12.45</v>
      </c>
      <c r="BU55" s="1293"/>
      <c r="BV55" s="432"/>
      <c r="BW55" s="431"/>
      <c r="BX55" s="432">
        <f>+I55*J55</f>
        <v>32.369999999999997</v>
      </c>
      <c r="BY55" s="430"/>
      <c r="BZ55" s="1277"/>
      <c r="CA55" s="432">
        <f>+F55</f>
        <v>10.925000000000001</v>
      </c>
      <c r="CB55" s="430"/>
      <c r="CC55" s="431"/>
      <c r="CE55" s="432"/>
      <c r="CF55" s="430"/>
      <c r="CG55" s="430">
        <v>1</v>
      </c>
      <c r="CH55" s="430">
        <v>1</v>
      </c>
      <c r="CI55" s="431">
        <v>2</v>
      </c>
      <c r="CJ55" s="1205">
        <v>2</v>
      </c>
      <c r="CK55" s="430"/>
      <c r="CL55" s="430"/>
      <c r="CM55" s="430"/>
      <c r="CN55" s="430"/>
      <c r="CO55" s="430"/>
      <c r="CP55" s="430"/>
      <c r="CQ55" s="430"/>
      <c r="CR55" s="430"/>
      <c r="CS55" s="430"/>
      <c r="CT55" s="430"/>
      <c r="CU55" s="431"/>
      <c r="CV55" s="1377"/>
      <c r="CW55" s="1146"/>
      <c r="CX55" s="1162"/>
      <c r="CY55" s="1162"/>
      <c r="CZ55" s="1450"/>
      <c r="DA55" s="1163"/>
      <c r="DB55" s="1146"/>
      <c r="DC55" s="1162"/>
      <c r="DD55" s="1162"/>
      <c r="DE55" s="1162"/>
      <c r="DF55" s="1163"/>
    </row>
    <row r="56" spans="1:111" s="1096" customFormat="1" ht="13">
      <c r="A56" s="2262"/>
      <c r="B56" s="1332">
        <v>35</v>
      </c>
      <c r="C56" s="407" t="s">
        <v>2092</v>
      </c>
      <c r="D56" s="1088">
        <v>2.56</v>
      </c>
      <c r="E56" s="1089">
        <v>1.1000000000000001</v>
      </c>
      <c r="F56" s="1090">
        <f t="shared" ref="F56:F73" si="35">D56*E56</f>
        <v>2.8160000000000003</v>
      </c>
      <c r="G56" s="1091">
        <v>7.33</v>
      </c>
      <c r="H56" s="1092">
        <v>1.1000000000000001</v>
      </c>
      <c r="I56" s="1093">
        <f t="shared" si="14"/>
        <v>6.23</v>
      </c>
      <c r="J56" s="1091">
        <v>2.4</v>
      </c>
      <c r="K56" s="1419"/>
      <c r="L56" s="1420"/>
      <c r="M56" s="1027"/>
      <c r="N56" s="1097">
        <f t="shared" ref="N56:N60" si="36">$F56</f>
        <v>2.8160000000000003</v>
      </c>
      <c r="O56" s="1098"/>
      <c r="P56" s="1098"/>
      <c r="Q56" s="1098"/>
      <c r="R56" s="1098"/>
      <c r="S56" s="1099"/>
      <c r="T56" s="1027"/>
      <c r="U56" s="434">
        <f>$I56*$J56</f>
        <v>14.952</v>
      </c>
      <c r="V56" s="433">
        <f>+W56*J56</f>
        <v>7.1999999999999993</v>
      </c>
      <c r="W56" s="433">
        <v>3</v>
      </c>
      <c r="X56" s="433"/>
      <c r="Y56" s="426"/>
      <c r="Z56" s="1027"/>
      <c r="AA56" s="1149"/>
      <c r="AB56" s="1395"/>
      <c r="AC56" s="1395"/>
      <c r="AD56" s="1161"/>
      <c r="AE56" s="1094"/>
      <c r="AF56" s="1272">
        <f>+F56</f>
        <v>2.8160000000000003</v>
      </c>
      <c r="AG56" s="1273"/>
      <c r="AH56" s="429">
        <f>$G56</f>
        <v>7.33</v>
      </c>
      <c r="AI56" s="440"/>
      <c r="AJ56" s="440"/>
      <c r="AK56" s="1273"/>
      <c r="AL56" s="1273"/>
      <c r="AM56" s="1273"/>
      <c r="AN56" s="441"/>
      <c r="AO56" s="1095"/>
      <c r="AP56" s="1272">
        <v>1</v>
      </c>
      <c r="AQ56" s="1273"/>
      <c r="AR56" s="1273"/>
      <c r="AS56" s="1273"/>
      <c r="AT56" s="1273"/>
      <c r="AU56" s="1274"/>
      <c r="AV56" s="1274"/>
      <c r="AW56" s="1274"/>
      <c r="AX56" s="434"/>
      <c r="AY56" s="433"/>
      <c r="AZ56" s="433"/>
      <c r="BA56" s="433"/>
      <c r="BB56" s="433"/>
      <c r="BC56" s="433"/>
      <c r="BD56" s="433"/>
      <c r="BE56" s="433"/>
      <c r="BF56" s="433"/>
      <c r="BG56" s="426"/>
      <c r="BH56" s="1033"/>
      <c r="BI56" s="1149"/>
      <c r="BJ56" s="1035"/>
      <c r="BK56" s="1035">
        <f>+F56</f>
        <v>2.8160000000000003</v>
      </c>
      <c r="BL56" s="1035"/>
      <c r="BM56" s="1035"/>
      <c r="BN56" s="1035"/>
      <c r="BO56" s="1037"/>
      <c r="BP56" s="1036"/>
      <c r="BQ56" s="434">
        <f>+I56</f>
        <v>6.23</v>
      </c>
      <c r="BR56" s="433"/>
      <c r="BS56" s="1280"/>
      <c r="BT56" s="426"/>
      <c r="BU56" s="1293"/>
      <c r="BV56" s="434"/>
      <c r="BW56" s="426"/>
      <c r="BX56" s="434"/>
      <c r="BY56" s="433">
        <f>+I56*J56</f>
        <v>14.952</v>
      </c>
      <c r="BZ56" s="1280"/>
      <c r="CA56" s="434"/>
      <c r="CB56" s="433"/>
      <c r="CC56" s="426">
        <f>+F56</f>
        <v>2.8160000000000003</v>
      </c>
      <c r="CE56" s="1175"/>
      <c r="CF56" s="440"/>
      <c r="CG56" s="440"/>
      <c r="CH56" s="440"/>
      <c r="CI56" s="441"/>
      <c r="CJ56" s="1207">
        <v>2</v>
      </c>
      <c r="CK56" s="440"/>
      <c r="CL56" s="440">
        <v>3</v>
      </c>
      <c r="CM56" s="440"/>
      <c r="CN56" s="440"/>
      <c r="CO56" s="440"/>
      <c r="CP56" s="440"/>
      <c r="CQ56" s="440"/>
      <c r="CR56" s="440"/>
      <c r="CS56" s="440">
        <v>1</v>
      </c>
      <c r="CT56" s="440"/>
      <c r="CU56" s="441">
        <v>1</v>
      </c>
      <c r="CV56" s="1378"/>
      <c r="CW56" s="1097"/>
      <c r="CX56" s="1098"/>
      <c r="CY56" s="1098"/>
      <c r="CZ56" s="1114"/>
      <c r="DA56" s="1099"/>
      <c r="DB56" s="1100"/>
      <c r="DC56" s="1098"/>
      <c r="DD56" s="1098"/>
      <c r="DE56" s="1098"/>
      <c r="DF56" s="1099"/>
    </row>
    <row r="57" spans="1:111" s="1010" customFormat="1" ht="13">
      <c r="A57" s="2262"/>
      <c r="B57" s="1074">
        <v>36</v>
      </c>
      <c r="C57" s="1198" t="s">
        <v>2093</v>
      </c>
      <c r="D57" s="1101">
        <v>1.2</v>
      </c>
      <c r="E57" s="1102">
        <v>0.62</v>
      </c>
      <c r="F57" s="1051">
        <f t="shared" si="35"/>
        <v>0.74399999999999999</v>
      </c>
      <c r="G57" s="1042">
        <v>3.63</v>
      </c>
      <c r="H57" s="1043">
        <v>1.2</v>
      </c>
      <c r="I57" s="1044">
        <f t="shared" si="14"/>
        <v>2.4299999999999997</v>
      </c>
      <c r="J57" s="1042">
        <v>2.4</v>
      </c>
      <c r="K57" s="1335"/>
      <c r="L57" s="1421"/>
      <c r="M57" s="1027"/>
      <c r="N57" s="1097">
        <f t="shared" si="36"/>
        <v>0.74399999999999999</v>
      </c>
      <c r="O57" s="1098"/>
      <c r="P57" s="1098"/>
      <c r="Q57" s="1098"/>
      <c r="R57" s="1117"/>
      <c r="S57" s="1118"/>
      <c r="T57" s="1027"/>
      <c r="U57" s="427">
        <f>$I57*$J57</f>
        <v>5.831999999999999</v>
      </c>
      <c r="V57" s="429"/>
      <c r="W57" s="429">
        <v>0</v>
      </c>
      <c r="X57" s="429"/>
      <c r="Y57" s="428"/>
      <c r="Z57" s="1027"/>
      <c r="AA57" s="1104"/>
      <c r="AB57" s="1397"/>
      <c r="AC57" s="1397"/>
      <c r="AD57" s="1118"/>
      <c r="AE57" s="1028"/>
      <c r="AF57" s="1272">
        <f>+F57</f>
        <v>0.74399999999999999</v>
      </c>
      <c r="AG57" s="1273"/>
      <c r="AH57" s="429">
        <f>$G57</f>
        <v>3.63</v>
      </c>
      <c r="AI57" s="440"/>
      <c r="AJ57" s="440"/>
      <c r="AK57" s="429"/>
      <c r="AL57" s="429"/>
      <c r="AM57" s="429"/>
      <c r="AN57" s="441"/>
      <c r="AO57" s="1029"/>
      <c r="AP57" s="427"/>
      <c r="AQ57" s="429"/>
      <c r="AR57" s="429"/>
      <c r="AS57" s="429"/>
      <c r="AT57" s="429"/>
      <c r="AU57" s="1275"/>
      <c r="AV57" s="1275"/>
      <c r="AW57" s="1275">
        <v>1</v>
      </c>
      <c r="AX57" s="427"/>
      <c r="AY57" s="429"/>
      <c r="AZ57" s="429"/>
      <c r="BA57" s="429"/>
      <c r="BB57" s="429"/>
      <c r="BC57" s="429"/>
      <c r="BD57" s="429"/>
      <c r="BE57" s="429"/>
      <c r="BF57" s="429"/>
      <c r="BG57" s="428"/>
      <c r="BH57" s="1033"/>
      <c r="BI57" s="1104"/>
      <c r="BJ57" s="1048"/>
      <c r="BK57" s="1048">
        <f>+F57</f>
        <v>0.74399999999999999</v>
      </c>
      <c r="BL57" s="1048"/>
      <c r="BM57" s="1048"/>
      <c r="BN57" s="1048"/>
      <c r="BO57" s="1049"/>
      <c r="BP57" s="1050"/>
      <c r="BQ57" s="427"/>
      <c r="BR57" s="429"/>
      <c r="BS57" s="1275"/>
      <c r="BT57" s="428"/>
      <c r="BU57" s="1293"/>
      <c r="BV57" s="427"/>
      <c r="BW57" s="428"/>
      <c r="BX57" s="427"/>
      <c r="BY57" s="429">
        <f t="shared" ref="BY57:BY60" si="37">+I57*J57</f>
        <v>5.831999999999999</v>
      </c>
      <c r="BZ57" s="1275"/>
      <c r="CA57" s="427"/>
      <c r="CB57" s="429"/>
      <c r="CC57" s="428">
        <f t="shared" ref="CC57:CC61" si="38">+F57</f>
        <v>0.74399999999999999</v>
      </c>
      <c r="CE57" s="427"/>
      <c r="CF57" s="429"/>
      <c r="CG57" s="429"/>
      <c r="CH57" s="429"/>
      <c r="CI57" s="428"/>
      <c r="CJ57" s="1204"/>
      <c r="CK57" s="429"/>
      <c r="CL57" s="429"/>
      <c r="CM57" s="429"/>
      <c r="CN57" s="429"/>
      <c r="CO57" s="429"/>
      <c r="CP57" s="429"/>
      <c r="CQ57" s="429"/>
      <c r="CR57" s="429"/>
      <c r="CS57" s="429"/>
      <c r="CT57" s="429"/>
      <c r="CU57" s="428"/>
      <c r="CV57" s="1377"/>
      <c r="CW57" s="1047"/>
      <c r="CX57" s="1048"/>
      <c r="CY57" s="1048"/>
      <c r="CZ57" s="1049"/>
      <c r="DA57" s="1050"/>
      <c r="DB57" s="1046"/>
      <c r="DC57" s="1048"/>
      <c r="DD57" s="1048"/>
      <c r="DE57" s="1048"/>
      <c r="DF57" s="1050"/>
    </row>
    <row r="58" spans="1:111" s="1010" customFormat="1" ht="13">
      <c r="A58" s="2262"/>
      <c r="B58" s="1074">
        <v>37</v>
      </c>
      <c r="C58" s="1197" t="s">
        <v>2094</v>
      </c>
      <c r="D58" s="1101">
        <v>0</v>
      </c>
      <c r="E58" s="1102">
        <v>0</v>
      </c>
      <c r="F58" s="1051">
        <v>4.51</v>
      </c>
      <c r="G58" s="1042">
        <v>9.7899999999999991</v>
      </c>
      <c r="H58" s="1103">
        <v>0</v>
      </c>
      <c r="I58" s="1044">
        <f>+G58-H58</f>
        <v>9.7899999999999991</v>
      </c>
      <c r="J58" s="1042">
        <v>2.2000000000000002</v>
      </c>
      <c r="K58" s="1335">
        <v>2.2000000000000002</v>
      </c>
      <c r="L58" s="1421"/>
      <c r="M58" s="1027"/>
      <c r="N58" s="1097"/>
      <c r="O58" s="1098"/>
      <c r="P58" s="1098"/>
      <c r="Q58" s="1098"/>
      <c r="R58" s="1117">
        <f t="shared" ref="R58:S58" si="39">$F58</f>
        <v>4.51</v>
      </c>
      <c r="S58" s="1118">
        <f t="shared" si="39"/>
        <v>4.51</v>
      </c>
      <c r="T58" s="1027"/>
      <c r="U58" s="427"/>
      <c r="V58" s="429"/>
      <c r="W58" s="429"/>
      <c r="X58" s="429">
        <f>$I58*$J58</f>
        <v>21.538</v>
      </c>
      <c r="Y58" s="428"/>
      <c r="Z58" s="1027"/>
      <c r="AA58" s="1104">
        <f t="shared" ref="AA58" si="40">$F58</f>
        <v>4.51</v>
      </c>
      <c r="AB58" s="1397"/>
      <c r="AC58" s="1397"/>
      <c r="AD58" s="1118"/>
      <c r="AE58" s="1028"/>
      <c r="AF58" s="1272"/>
      <c r="AG58" s="1273">
        <f>+F58</f>
        <v>4.51</v>
      </c>
      <c r="AH58" s="440">
        <f>+G58</f>
        <v>9.7899999999999991</v>
      </c>
      <c r="AI58" s="440"/>
      <c r="AJ58" s="440"/>
      <c r="AK58" s="429"/>
      <c r="AL58" s="429"/>
      <c r="AM58" s="429"/>
      <c r="AN58" s="441"/>
      <c r="AO58" s="1029"/>
      <c r="AP58" s="427"/>
      <c r="AQ58" s="429">
        <v>1</v>
      </c>
      <c r="AR58" s="429"/>
      <c r="AS58" s="429"/>
      <c r="AT58" s="1276"/>
      <c r="AU58" s="1276"/>
      <c r="AV58" s="1275"/>
      <c r="AW58" s="1275"/>
      <c r="AX58" s="427"/>
      <c r="AY58" s="429"/>
      <c r="AZ58" s="429"/>
      <c r="BA58" s="429"/>
      <c r="BB58" s="429"/>
      <c r="BC58" s="429"/>
      <c r="BD58" s="429"/>
      <c r="BE58" s="429"/>
      <c r="BF58" s="429"/>
      <c r="BG58" s="428"/>
      <c r="BH58" s="1033"/>
      <c r="BI58" s="1104"/>
      <c r="BJ58" s="1048"/>
      <c r="BK58" s="1048"/>
      <c r="BL58" s="1048">
        <f>+F58</f>
        <v>4.51</v>
      </c>
      <c r="BM58" s="1048"/>
      <c r="BN58" s="1048"/>
      <c r="BO58" s="1049"/>
      <c r="BP58" s="1050"/>
      <c r="BQ58" s="427"/>
      <c r="BR58" s="429"/>
      <c r="BS58" s="1275"/>
      <c r="BT58" s="428"/>
      <c r="BU58" s="1293"/>
      <c r="BV58" s="427"/>
      <c r="BW58" s="428">
        <f>+K58*I58</f>
        <v>21.538</v>
      </c>
      <c r="BX58" s="427"/>
      <c r="BY58" s="429"/>
      <c r="BZ58" s="1275"/>
      <c r="CA58" s="427"/>
      <c r="CB58" s="429"/>
      <c r="CC58" s="428">
        <f t="shared" si="38"/>
        <v>4.51</v>
      </c>
      <c r="CE58" s="427">
        <v>1</v>
      </c>
      <c r="CF58" s="429"/>
      <c r="CG58" s="429"/>
      <c r="CH58" s="429"/>
      <c r="CI58" s="428"/>
      <c r="CJ58" s="1204">
        <v>3</v>
      </c>
      <c r="CK58" s="429"/>
      <c r="CL58" s="429">
        <v>1</v>
      </c>
      <c r="CM58" s="429"/>
      <c r="CN58" s="429">
        <v>1</v>
      </c>
      <c r="CO58" s="429"/>
      <c r="CP58" s="429"/>
      <c r="CQ58" s="429"/>
      <c r="CR58" s="429"/>
      <c r="CS58" s="429"/>
      <c r="CT58" s="429"/>
      <c r="CU58" s="428"/>
      <c r="CV58" s="1377"/>
      <c r="CW58" s="1047">
        <v>1</v>
      </c>
      <c r="CX58" s="1048">
        <v>1</v>
      </c>
      <c r="CY58" s="1048">
        <v>1</v>
      </c>
      <c r="CZ58" s="1049"/>
      <c r="DA58" s="1050"/>
      <c r="DB58" s="1046">
        <v>1</v>
      </c>
      <c r="DC58" s="1048">
        <v>1</v>
      </c>
      <c r="DD58" s="1048">
        <v>1</v>
      </c>
      <c r="DE58" s="1048">
        <v>1</v>
      </c>
      <c r="DF58" s="1050"/>
    </row>
    <row r="59" spans="1:111" s="1010" customFormat="1" ht="13">
      <c r="A59" s="2262"/>
      <c r="B59" s="1074">
        <v>38</v>
      </c>
      <c r="C59" s="1197" t="s">
        <v>2095</v>
      </c>
      <c r="D59" s="1101">
        <v>1.9</v>
      </c>
      <c r="E59" s="1102">
        <v>3.59</v>
      </c>
      <c r="F59" s="1051">
        <f t="shared" si="35"/>
        <v>6.8209999999999997</v>
      </c>
      <c r="G59" s="1042">
        <v>10.95</v>
      </c>
      <c r="H59" s="1103">
        <f>3.6+1.1</f>
        <v>4.7</v>
      </c>
      <c r="I59" s="1044">
        <f>+G59-H59</f>
        <v>6.2499999999999991</v>
      </c>
      <c r="J59" s="1042">
        <v>2.4</v>
      </c>
      <c r="K59" s="1335">
        <v>0.6</v>
      </c>
      <c r="L59" s="1325">
        <v>3.07</v>
      </c>
      <c r="M59" s="1027"/>
      <c r="N59" s="1097">
        <f t="shared" si="36"/>
        <v>6.8209999999999997</v>
      </c>
      <c r="O59" s="1098"/>
      <c r="P59" s="1098"/>
      <c r="Q59" s="1098"/>
      <c r="R59" s="1117"/>
      <c r="S59" s="1118"/>
      <c r="T59" s="1027"/>
      <c r="U59" s="1317">
        <f>+(I59*J59)-X59</f>
        <v>7.631999999999997</v>
      </c>
      <c r="V59" s="429"/>
      <c r="W59" s="429"/>
      <c r="X59" s="429">
        <f>+L59*J59</f>
        <v>7.3679999999999994</v>
      </c>
      <c r="Y59" s="428"/>
      <c r="Z59" s="1027"/>
      <c r="AA59" s="1104"/>
      <c r="AB59" s="1397"/>
      <c r="AC59" s="1397"/>
      <c r="AD59" s="1118"/>
      <c r="AE59" s="1028"/>
      <c r="AF59" s="1272">
        <f>+F59</f>
        <v>6.8209999999999997</v>
      </c>
      <c r="AG59" s="1273"/>
      <c r="AH59" s="429">
        <f>$G59</f>
        <v>10.95</v>
      </c>
      <c r="AI59" s="1316">
        <v>3.6</v>
      </c>
      <c r="AJ59" s="1316"/>
      <c r="AK59" s="429"/>
      <c r="AL59" s="429"/>
      <c r="AM59" s="429"/>
      <c r="AN59" s="441"/>
      <c r="AO59" s="1029"/>
      <c r="AP59" s="427"/>
      <c r="AQ59" s="429"/>
      <c r="AR59" s="429"/>
      <c r="AS59" s="429"/>
      <c r="AT59" s="429"/>
      <c r="AU59" s="1275"/>
      <c r="AV59" s="1275"/>
      <c r="AW59" s="1275"/>
      <c r="AX59" s="427"/>
      <c r="AY59" s="429"/>
      <c r="AZ59" s="429"/>
      <c r="BA59" s="429"/>
      <c r="BB59" s="429"/>
      <c r="BC59" s="429"/>
      <c r="BD59" s="429"/>
      <c r="BE59" s="429"/>
      <c r="BF59" s="429"/>
      <c r="BG59" s="428"/>
      <c r="BH59" s="1033"/>
      <c r="BI59" s="1104"/>
      <c r="BJ59" s="1048"/>
      <c r="BK59" s="1048">
        <f>+F59</f>
        <v>6.8209999999999997</v>
      </c>
      <c r="BL59" s="1048"/>
      <c r="BM59" s="1048"/>
      <c r="BN59" s="1048"/>
      <c r="BO59" s="1049"/>
      <c r="BP59" s="1050"/>
      <c r="BQ59" s="427">
        <f>+I59</f>
        <v>6.2499999999999991</v>
      </c>
      <c r="BR59" s="429"/>
      <c r="BS59" s="1275"/>
      <c r="BT59" s="428"/>
      <c r="BU59" s="1293"/>
      <c r="BV59" s="427">
        <f>+L59*K59</f>
        <v>1.8419999999999999</v>
      </c>
      <c r="BW59" s="428"/>
      <c r="BX59" s="427"/>
      <c r="BY59" s="1314">
        <f>+I59*J59-BV59</f>
        <v>13.157999999999996</v>
      </c>
      <c r="BZ59" s="1275"/>
      <c r="CA59" s="427"/>
      <c r="CB59" s="429"/>
      <c r="CC59" s="428">
        <f t="shared" si="38"/>
        <v>6.8209999999999997</v>
      </c>
      <c r="CE59" s="427"/>
      <c r="CF59" s="429"/>
      <c r="CG59" s="429"/>
      <c r="CH59" s="429"/>
      <c r="CI59" s="428"/>
      <c r="CJ59" s="1204">
        <v>3</v>
      </c>
      <c r="CK59" s="429">
        <v>1</v>
      </c>
      <c r="CL59" s="429"/>
      <c r="CM59" s="429"/>
      <c r="CN59" s="429">
        <v>2</v>
      </c>
      <c r="CO59" s="429">
        <v>5</v>
      </c>
      <c r="CP59" s="429"/>
      <c r="CQ59" s="429"/>
      <c r="CR59" s="429"/>
      <c r="CS59" s="429"/>
      <c r="CT59" s="429"/>
      <c r="CU59" s="428"/>
      <c r="CV59" s="1377"/>
      <c r="CW59" s="1047"/>
      <c r="CX59" s="1048"/>
      <c r="CY59" s="1048"/>
      <c r="CZ59" s="1049"/>
      <c r="DA59" s="1050">
        <v>1</v>
      </c>
      <c r="DB59" s="1046"/>
      <c r="DC59" s="1048"/>
      <c r="DD59" s="1048"/>
      <c r="DE59" s="1048"/>
      <c r="DF59" s="1050">
        <v>1</v>
      </c>
    </row>
    <row r="60" spans="1:111" s="1010" customFormat="1" ht="13">
      <c r="A60" s="2262"/>
      <c r="B60" s="1074">
        <v>39</v>
      </c>
      <c r="C60" s="1197" t="s">
        <v>2096</v>
      </c>
      <c r="D60" s="1101">
        <v>0</v>
      </c>
      <c r="E60" s="1102">
        <v>0</v>
      </c>
      <c r="F60" s="1051">
        <v>17.47</v>
      </c>
      <c r="G60" s="1042">
        <v>17.11</v>
      </c>
      <c r="H60" s="1043">
        <v>3.6</v>
      </c>
      <c r="I60" s="1044">
        <f>+G60-H60</f>
        <v>13.51</v>
      </c>
      <c r="J60" s="1042">
        <v>2.6</v>
      </c>
      <c r="K60" s="1335"/>
      <c r="L60" s="1421"/>
      <c r="M60" s="1027"/>
      <c r="N60" s="1097">
        <f t="shared" si="36"/>
        <v>17.47</v>
      </c>
      <c r="O60" s="1098"/>
      <c r="P60" s="1098"/>
      <c r="Q60" s="1098"/>
      <c r="R60" s="1098"/>
      <c r="S60" s="1099"/>
      <c r="T60" s="1027"/>
      <c r="U60" s="427">
        <f>$I60*$J60</f>
        <v>35.125999999999998</v>
      </c>
      <c r="V60" s="429">
        <f>+W60*J60</f>
        <v>7.8000000000000007</v>
      </c>
      <c r="W60" s="429">
        <v>3</v>
      </c>
      <c r="X60" s="429"/>
      <c r="Y60" s="428"/>
      <c r="Z60" s="1027"/>
      <c r="AA60" s="1104"/>
      <c r="AB60" s="1397"/>
      <c r="AC60" s="1397"/>
      <c r="AD60" s="1118"/>
      <c r="AE60" s="1028"/>
      <c r="AF60" s="1272"/>
      <c r="AG60" s="1273"/>
      <c r="AH60" s="440"/>
      <c r="AI60" s="440"/>
      <c r="AJ60" s="440"/>
      <c r="AK60" s="429">
        <f>+F60</f>
        <v>17.47</v>
      </c>
      <c r="AL60" s="429">
        <f>+F60</f>
        <v>17.47</v>
      </c>
      <c r="AM60" s="429"/>
      <c r="AN60" s="441"/>
      <c r="AO60" s="1029"/>
      <c r="AP60" s="427"/>
      <c r="AQ60" s="429"/>
      <c r="AR60" s="429"/>
      <c r="AS60" s="429"/>
      <c r="AT60" s="429"/>
      <c r="AU60" s="1275"/>
      <c r="AV60" s="1275"/>
      <c r="AW60" s="1275"/>
      <c r="AX60" s="427"/>
      <c r="AY60" s="429"/>
      <c r="AZ60" s="429"/>
      <c r="BA60" s="429"/>
      <c r="BB60" s="429">
        <v>1</v>
      </c>
      <c r="BC60" s="429"/>
      <c r="BD60" s="429"/>
      <c r="BE60" s="429"/>
      <c r="BF60" s="429"/>
      <c r="BG60" s="428"/>
      <c r="BH60" s="1033"/>
      <c r="BI60" s="1104"/>
      <c r="BJ60" s="1048"/>
      <c r="BK60" s="1048">
        <f>+F60</f>
        <v>17.47</v>
      </c>
      <c r="BL60" s="1048"/>
      <c r="BM60" s="1048"/>
      <c r="BN60" s="1048"/>
      <c r="BO60" s="1049"/>
      <c r="BP60" s="1050"/>
      <c r="BQ60" s="427">
        <f>+I60</f>
        <v>13.51</v>
      </c>
      <c r="BR60" s="429"/>
      <c r="BS60" s="1275"/>
      <c r="BT60" s="428"/>
      <c r="BU60" s="1293"/>
      <c r="BV60" s="427"/>
      <c r="BW60" s="428"/>
      <c r="BX60" s="427"/>
      <c r="BY60" s="429">
        <f t="shared" si="37"/>
        <v>35.125999999999998</v>
      </c>
      <c r="BZ60" s="1275"/>
      <c r="CA60" s="427"/>
      <c r="CB60" s="429">
        <f t="shared" ref="CB60" si="41">+F60</f>
        <v>17.47</v>
      </c>
      <c r="CC60" s="428"/>
      <c r="CE60" s="427"/>
      <c r="CF60" s="429"/>
      <c r="CG60" s="429"/>
      <c r="CH60" s="429"/>
      <c r="CI60" s="428"/>
      <c r="CJ60" s="1204">
        <v>2</v>
      </c>
      <c r="CK60" s="429"/>
      <c r="CL60" s="429">
        <v>2</v>
      </c>
      <c r="CM60" s="429"/>
      <c r="CN60" s="429">
        <v>1</v>
      </c>
      <c r="CO60" s="429">
        <v>5</v>
      </c>
      <c r="CP60" s="429">
        <v>1</v>
      </c>
      <c r="CQ60" s="429">
        <v>1</v>
      </c>
      <c r="CR60" s="429">
        <v>1</v>
      </c>
      <c r="CS60" s="429"/>
      <c r="CT60" s="429"/>
      <c r="CU60" s="428"/>
      <c r="CV60" s="1377"/>
      <c r="CW60" s="1047"/>
      <c r="CX60" s="1048"/>
      <c r="CY60" s="1048"/>
      <c r="CZ60" s="1049"/>
      <c r="DA60" s="1050"/>
      <c r="DB60" s="1046"/>
      <c r="DC60" s="1048"/>
      <c r="DD60" s="1048"/>
      <c r="DE60" s="1048"/>
      <c r="DF60" s="1050"/>
    </row>
    <row r="61" spans="1:111" s="1010" customFormat="1" ht="13">
      <c r="A61" s="2262"/>
      <c r="B61" s="1333">
        <v>40</v>
      </c>
      <c r="C61" s="1199" t="s">
        <v>2097</v>
      </c>
      <c r="D61" s="1105">
        <v>1.4</v>
      </c>
      <c r="E61" s="1106">
        <v>3.48</v>
      </c>
      <c r="F61" s="1065">
        <f t="shared" si="35"/>
        <v>4.8719999999999999</v>
      </c>
      <c r="G61" s="1066">
        <v>9.75</v>
      </c>
      <c r="H61" s="1067">
        <v>0</v>
      </c>
      <c r="I61" s="1068">
        <f t="shared" ref="I61:I74" si="42">+G61-H61</f>
        <v>9.75</v>
      </c>
      <c r="J61" s="1107">
        <v>2.2000000000000002</v>
      </c>
      <c r="K61" s="1408"/>
      <c r="L61" s="1427"/>
      <c r="M61" s="1027"/>
      <c r="N61" s="1146"/>
      <c r="O61" s="1162"/>
      <c r="P61" s="1162"/>
      <c r="Q61" s="1162"/>
      <c r="R61" s="1162">
        <f t="shared" ref="R61:S61" si="43">$F61</f>
        <v>4.8719999999999999</v>
      </c>
      <c r="S61" s="1163">
        <f t="shared" si="43"/>
        <v>4.8719999999999999</v>
      </c>
      <c r="T61" s="1027"/>
      <c r="U61" s="432"/>
      <c r="V61" s="430"/>
      <c r="W61" s="430"/>
      <c r="X61" s="430"/>
      <c r="Y61" s="431"/>
      <c r="Z61" s="1027"/>
      <c r="AA61" s="1146"/>
      <c r="AB61" s="1396"/>
      <c r="AC61" s="1396"/>
      <c r="AD61" s="1163">
        <f t="shared" ref="AD61" si="44">$F61</f>
        <v>4.8719999999999999</v>
      </c>
      <c r="AE61" s="1028"/>
      <c r="AF61" s="1295"/>
      <c r="AG61" s="1296">
        <f>+F61</f>
        <v>4.8719999999999999</v>
      </c>
      <c r="AH61" s="1313">
        <f>+G61</f>
        <v>9.75</v>
      </c>
      <c r="AI61" s="1313"/>
      <c r="AJ61" s="1313"/>
      <c r="AK61" s="430"/>
      <c r="AL61" s="430"/>
      <c r="AM61" s="430"/>
      <c r="AN61" s="1307"/>
      <c r="AO61" s="1029"/>
      <c r="AP61" s="432"/>
      <c r="AQ61" s="430"/>
      <c r="AR61" s="430"/>
      <c r="AS61" s="430"/>
      <c r="AT61" s="430"/>
      <c r="AU61" s="1277"/>
      <c r="AV61" s="1277"/>
      <c r="AW61" s="1277"/>
      <c r="AX61" s="432"/>
      <c r="AY61" s="430"/>
      <c r="AZ61" s="430"/>
      <c r="BA61" s="430"/>
      <c r="BB61" s="430"/>
      <c r="BC61" s="430"/>
      <c r="BD61" s="430"/>
      <c r="BE61" s="430"/>
      <c r="BF61" s="430"/>
      <c r="BG61" s="431"/>
      <c r="BH61" s="1033"/>
      <c r="BI61" s="1146"/>
      <c r="BJ61" s="1053"/>
      <c r="BK61" s="1053">
        <f>+F61</f>
        <v>4.8719999999999999</v>
      </c>
      <c r="BL61" s="1053"/>
      <c r="BM61" s="1053"/>
      <c r="BN61" s="1053"/>
      <c r="BO61" s="1055"/>
      <c r="BP61" s="1054"/>
      <c r="BQ61" s="432"/>
      <c r="BR61" s="430"/>
      <c r="BS61" s="1277">
        <f>+I61</f>
        <v>9.75</v>
      </c>
      <c r="BT61" s="431"/>
      <c r="BU61" s="1293"/>
      <c r="BV61" s="432"/>
      <c r="BW61" s="431"/>
      <c r="BX61" s="432"/>
      <c r="BY61" s="430"/>
      <c r="BZ61" s="1277"/>
      <c r="CA61" s="432"/>
      <c r="CB61" s="430"/>
      <c r="CC61" s="431">
        <f t="shared" si="38"/>
        <v>4.8719999999999999</v>
      </c>
      <c r="CE61" s="432"/>
      <c r="CF61" s="430"/>
      <c r="CG61" s="430"/>
      <c r="CH61" s="430"/>
      <c r="CI61" s="431">
        <v>1</v>
      </c>
      <c r="CJ61" s="1205">
        <v>1</v>
      </c>
      <c r="CK61" s="430"/>
      <c r="CL61" s="430"/>
      <c r="CM61" s="430"/>
      <c r="CN61" s="430"/>
      <c r="CO61" s="430"/>
      <c r="CP61" s="430"/>
      <c r="CQ61" s="430"/>
      <c r="CR61" s="430"/>
      <c r="CS61" s="430"/>
      <c r="CT61" s="430"/>
      <c r="CU61" s="431"/>
      <c r="CV61" s="1377"/>
      <c r="CW61" s="1052"/>
      <c r="CX61" s="1053"/>
      <c r="CY61" s="1053"/>
      <c r="CZ61" s="1055"/>
      <c r="DA61" s="1054"/>
      <c r="DB61" s="1070"/>
      <c r="DC61" s="1053"/>
      <c r="DD61" s="1053"/>
      <c r="DE61" s="1053"/>
      <c r="DF61" s="1054"/>
    </row>
    <row r="62" spans="1:111" s="1010" customFormat="1" ht="13">
      <c r="A62" s="2262"/>
      <c r="B62" s="1074">
        <v>41</v>
      </c>
      <c r="C62" s="9" t="s">
        <v>2098</v>
      </c>
      <c r="D62" s="1109">
        <v>1.1499999999999999</v>
      </c>
      <c r="E62" s="1110">
        <v>1.73</v>
      </c>
      <c r="F62" s="1072">
        <f t="shared" si="35"/>
        <v>1.9894999999999998</v>
      </c>
      <c r="G62" s="1025">
        <v>5.77</v>
      </c>
      <c r="H62" s="1073">
        <v>1.1499999999999999</v>
      </c>
      <c r="I62" s="1026">
        <f t="shared" si="42"/>
        <v>4.6199999999999992</v>
      </c>
      <c r="J62" s="1025">
        <v>2.4</v>
      </c>
      <c r="K62" s="1334"/>
      <c r="L62" s="1428"/>
      <c r="M62" s="1027"/>
      <c r="N62" s="1097">
        <f>$F62</f>
        <v>1.9894999999999998</v>
      </c>
      <c r="O62" s="1098"/>
      <c r="P62" s="1098"/>
      <c r="Q62" s="1098"/>
      <c r="R62" s="1098"/>
      <c r="S62" s="1099"/>
      <c r="T62" s="1027"/>
      <c r="U62" s="434">
        <f>+$I62*$J62</f>
        <v>11.087999999999997</v>
      </c>
      <c r="V62" s="433">
        <f>+W62*J62</f>
        <v>2.4</v>
      </c>
      <c r="W62" s="433">
        <v>1</v>
      </c>
      <c r="X62" s="433"/>
      <c r="Y62" s="426"/>
      <c r="Z62" s="1027"/>
      <c r="AA62" s="1149"/>
      <c r="AB62" s="1395"/>
      <c r="AC62" s="1395"/>
      <c r="AD62" s="1161"/>
      <c r="AE62" s="1028"/>
      <c r="AF62" s="434">
        <f>+F62</f>
        <v>1.9894999999999998</v>
      </c>
      <c r="AG62" s="433"/>
      <c r="AH62" s="429">
        <f>$G62</f>
        <v>5.77</v>
      </c>
      <c r="AI62" s="1218"/>
      <c r="AJ62" s="1218"/>
      <c r="AK62" s="433"/>
      <c r="AL62" s="433"/>
      <c r="AM62" s="433"/>
      <c r="AN62" s="1219"/>
      <c r="AO62" s="1029"/>
      <c r="AP62" s="1272">
        <v>1</v>
      </c>
      <c r="AQ62" s="1273"/>
      <c r="AR62" s="1273"/>
      <c r="AS62" s="1273"/>
      <c r="AT62" s="1273"/>
      <c r="AU62" s="1274"/>
      <c r="AV62" s="1274"/>
      <c r="AW62" s="1274"/>
      <c r="AX62" s="434"/>
      <c r="AY62" s="433"/>
      <c r="AZ62" s="433"/>
      <c r="BA62" s="433"/>
      <c r="BB62" s="433"/>
      <c r="BC62" s="433"/>
      <c r="BD62" s="433"/>
      <c r="BE62" s="433"/>
      <c r="BF62" s="433"/>
      <c r="BG62" s="426"/>
      <c r="BH62" s="1033"/>
      <c r="BI62" s="1149"/>
      <c r="BJ62" s="1035"/>
      <c r="BK62" s="1035">
        <f>+F62</f>
        <v>1.9894999999999998</v>
      </c>
      <c r="BL62" s="1035"/>
      <c r="BM62" s="1035"/>
      <c r="BN62" s="1035"/>
      <c r="BO62" s="1037"/>
      <c r="BP62" s="1036"/>
      <c r="BQ62" s="1292">
        <f>+I62</f>
        <v>4.6199999999999992</v>
      </c>
      <c r="BR62" s="1273"/>
      <c r="BS62" s="1274"/>
      <c r="BT62" s="1294"/>
      <c r="BU62" s="1293"/>
      <c r="BV62" s="434"/>
      <c r="BW62" s="426"/>
      <c r="BX62" s="434"/>
      <c r="BY62" s="433">
        <f>+I62*J62</f>
        <v>11.087999999999997</v>
      </c>
      <c r="BZ62" s="1280"/>
      <c r="CA62" s="434"/>
      <c r="CB62" s="433"/>
      <c r="CC62" s="426">
        <f>+F62</f>
        <v>1.9894999999999998</v>
      </c>
      <c r="CE62" s="434"/>
      <c r="CF62" s="433"/>
      <c r="CG62" s="433"/>
      <c r="CH62" s="433"/>
      <c r="CI62" s="426"/>
      <c r="CJ62" s="1203">
        <v>1</v>
      </c>
      <c r="CK62" s="433"/>
      <c r="CL62" s="433">
        <v>1</v>
      </c>
      <c r="CM62" s="433"/>
      <c r="CN62" s="433"/>
      <c r="CO62" s="433"/>
      <c r="CP62" s="433"/>
      <c r="CQ62" s="433"/>
      <c r="CR62" s="433"/>
      <c r="CS62" s="433">
        <v>1</v>
      </c>
      <c r="CT62" s="433"/>
      <c r="CU62" s="426">
        <v>1</v>
      </c>
      <c r="CV62" s="1377"/>
      <c r="CW62" s="1047"/>
      <c r="CX62" s="1048"/>
      <c r="CY62" s="1048"/>
      <c r="CZ62" s="1049"/>
      <c r="DA62" s="1050"/>
      <c r="DB62" s="1046"/>
      <c r="DC62" s="1048"/>
      <c r="DD62" s="1048"/>
      <c r="DE62" s="1048"/>
      <c r="DF62" s="1050"/>
    </row>
    <row r="63" spans="1:111" s="1010" customFormat="1" ht="13">
      <c r="A63" s="2262"/>
      <c r="B63" s="1074">
        <v>42</v>
      </c>
      <c r="C63" s="1197" t="s">
        <v>2099</v>
      </c>
      <c r="D63" s="1101">
        <v>3.25</v>
      </c>
      <c r="E63" s="1102">
        <v>3</v>
      </c>
      <c r="F63" s="1051">
        <f t="shared" si="35"/>
        <v>9.75</v>
      </c>
      <c r="G63" s="1042">
        <v>12.49</v>
      </c>
      <c r="H63" s="1043">
        <f>3+1.15</f>
        <v>4.1500000000000004</v>
      </c>
      <c r="I63" s="1044">
        <f t="shared" si="42"/>
        <v>8.34</v>
      </c>
      <c r="J63" s="1025">
        <v>2.4</v>
      </c>
      <c r="K63" s="1334">
        <v>0.6</v>
      </c>
      <c r="L63" s="1325">
        <v>3.25</v>
      </c>
      <c r="M63" s="1027"/>
      <c r="N63" s="1097">
        <f t="shared" ref="N63:N92" si="45">$F63</f>
        <v>9.75</v>
      </c>
      <c r="O63" s="1098"/>
      <c r="P63" s="1098"/>
      <c r="Q63" s="1098"/>
      <c r="R63" s="1098"/>
      <c r="S63" s="1099"/>
      <c r="T63" s="1027"/>
      <c r="U63" s="1317">
        <f>+(I63*J63)-X63</f>
        <v>12.215999999999998</v>
      </c>
      <c r="V63" s="429"/>
      <c r="W63" s="429"/>
      <c r="X63" s="429">
        <f>+L63*J63</f>
        <v>7.8</v>
      </c>
      <c r="Y63" s="428"/>
      <c r="Z63" s="1027"/>
      <c r="AA63" s="1104"/>
      <c r="AB63" s="1397"/>
      <c r="AC63" s="1397"/>
      <c r="AD63" s="1118"/>
      <c r="AE63" s="1028"/>
      <c r="AF63" s="427">
        <f>+F63</f>
        <v>9.75</v>
      </c>
      <c r="AG63" s="429"/>
      <c r="AH63" s="429">
        <f>$G63</f>
        <v>12.49</v>
      </c>
      <c r="AI63" s="1318">
        <v>3</v>
      </c>
      <c r="AJ63" s="1318"/>
      <c r="AK63" s="429"/>
      <c r="AL63" s="429"/>
      <c r="AM63" s="429"/>
      <c r="AN63" s="438"/>
      <c r="AO63" s="1029"/>
      <c r="AP63" s="427"/>
      <c r="AQ63" s="429"/>
      <c r="AR63" s="429"/>
      <c r="AS63" s="429"/>
      <c r="AT63" s="429"/>
      <c r="AU63" s="1275"/>
      <c r="AV63" s="1275"/>
      <c r="AW63" s="1275"/>
      <c r="AX63" s="427"/>
      <c r="AY63" s="429"/>
      <c r="AZ63" s="429"/>
      <c r="BA63" s="429"/>
      <c r="BB63" s="429"/>
      <c r="BC63" s="429"/>
      <c r="BD63" s="429">
        <v>1</v>
      </c>
      <c r="BE63" s="429"/>
      <c r="BF63" s="429"/>
      <c r="BG63" s="428"/>
      <c r="BH63" s="1033"/>
      <c r="BI63" s="1104"/>
      <c r="BJ63" s="1048"/>
      <c r="BK63" s="1048">
        <f t="shared" ref="BK63:BL74" si="46">$F63</f>
        <v>9.75</v>
      </c>
      <c r="BL63" s="1048"/>
      <c r="BM63" s="1048"/>
      <c r="BN63" s="1048"/>
      <c r="BO63" s="1049"/>
      <c r="BP63" s="1050"/>
      <c r="BQ63" s="1204">
        <f>+I63</f>
        <v>8.34</v>
      </c>
      <c r="BR63" s="429"/>
      <c r="BS63" s="1275"/>
      <c r="BT63" s="428"/>
      <c r="BU63" s="1293"/>
      <c r="BV63" s="427">
        <f>+L63*K63</f>
        <v>1.95</v>
      </c>
      <c r="BW63" s="428"/>
      <c r="BX63" s="427"/>
      <c r="BY63" s="1314">
        <f>+I63*J63-BV63</f>
        <v>18.065999999999999</v>
      </c>
      <c r="BZ63" s="1275"/>
      <c r="CA63" s="427"/>
      <c r="CB63" s="429"/>
      <c r="CC63" s="428">
        <f t="shared" ref="CC63:CC74" si="47">+F63</f>
        <v>9.75</v>
      </c>
      <c r="CE63" s="427"/>
      <c r="CF63" s="429"/>
      <c r="CG63" s="429"/>
      <c r="CH63" s="429"/>
      <c r="CI63" s="428"/>
      <c r="CJ63" s="1204">
        <v>6</v>
      </c>
      <c r="CK63" s="429">
        <v>1</v>
      </c>
      <c r="CL63" s="429">
        <v>1</v>
      </c>
      <c r="CM63" s="429"/>
      <c r="CN63" s="429">
        <v>2</v>
      </c>
      <c r="CO63" s="429">
        <v>5</v>
      </c>
      <c r="CP63" s="429"/>
      <c r="CQ63" s="429"/>
      <c r="CR63" s="429"/>
      <c r="CS63" s="429"/>
      <c r="CT63" s="429"/>
      <c r="CU63" s="428"/>
      <c r="CV63" s="1377"/>
      <c r="CW63" s="1047"/>
      <c r="CX63" s="1048"/>
      <c r="CY63" s="1048"/>
      <c r="CZ63" s="1049"/>
      <c r="DA63" s="1050">
        <v>1</v>
      </c>
      <c r="DB63" s="1046"/>
      <c r="DC63" s="1048"/>
      <c r="DD63" s="1048"/>
      <c r="DE63" s="1048"/>
      <c r="DF63" s="1050">
        <v>1</v>
      </c>
    </row>
    <row r="64" spans="1:111" s="1010" customFormat="1" ht="13">
      <c r="A64" s="2262"/>
      <c r="B64" s="1074">
        <v>43</v>
      </c>
      <c r="C64" s="1197" t="s">
        <v>2100</v>
      </c>
      <c r="D64" s="1101">
        <v>2.97</v>
      </c>
      <c r="E64" s="1102">
        <v>1.52</v>
      </c>
      <c r="F64" s="1051">
        <f t="shared" si="35"/>
        <v>4.5144000000000002</v>
      </c>
      <c r="G64" s="1042">
        <v>8.98</v>
      </c>
      <c r="H64" s="1043"/>
      <c r="I64" s="1044">
        <f t="shared" si="42"/>
        <v>8.98</v>
      </c>
      <c r="J64" s="1025">
        <v>2.2000000000000002</v>
      </c>
      <c r="K64" s="1334">
        <v>2.2000000000000002</v>
      </c>
      <c r="L64" s="1428"/>
      <c r="M64" s="1027"/>
      <c r="N64" s="1097"/>
      <c r="O64" s="1098"/>
      <c r="P64" s="1098"/>
      <c r="Q64" s="1098"/>
      <c r="R64" s="1098">
        <f t="shared" ref="R64:S64" si="48">$F64</f>
        <v>4.5144000000000002</v>
      </c>
      <c r="S64" s="1099">
        <f t="shared" si="48"/>
        <v>4.5144000000000002</v>
      </c>
      <c r="T64" s="1137"/>
      <c r="U64" s="427"/>
      <c r="V64" s="429"/>
      <c r="W64" s="429"/>
      <c r="X64" s="429">
        <f>+$I64*$J64</f>
        <v>19.756000000000004</v>
      </c>
      <c r="Y64" s="428"/>
      <c r="Z64" s="1027"/>
      <c r="AA64" s="1104">
        <f t="shared" ref="AA64" si="49">$F64</f>
        <v>4.5144000000000002</v>
      </c>
      <c r="AB64" s="1397"/>
      <c r="AC64" s="1397"/>
      <c r="AD64" s="1118"/>
      <c r="AE64" s="1028"/>
      <c r="AF64" s="427"/>
      <c r="AG64" s="429">
        <f>+F64</f>
        <v>4.5144000000000002</v>
      </c>
      <c r="AH64" s="435">
        <f>+G64</f>
        <v>8.98</v>
      </c>
      <c r="AI64" s="435"/>
      <c r="AJ64" s="435"/>
      <c r="AK64" s="429"/>
      <c r="AL64" s="429"/>
      <c r="AM64" s="429"/>
      <c r="AN64" s="438"/>
      <c r="AO64" s="1029"/>
      <c r="AP64" s="427"/>
      <c r="AQ64" s="429">
        <v>1</v>
      </c>
      <c r="AR64" s="429"/>
      <c r="AS64" s="429"/>
      <c r="AT64" s="429"/>
      <c r="AU64" s="1275"/>
      <c r="AV64" s="1275"/>
      <c r="AW64" s="1275"/>
      <c r="AX64" s="427"/>
      <c r="AY64" s="429"/>
      <c r="AZ64" s="429"/>
      <c r="BA64" s="429"/>
      <c r="BB64" s="429"/>
      <c r="BC64" s="429">
        <v>1</v>
      </c>
      <c r="BD64" s="429"/>
      <c r="BE64" s="429"/>
      <c r="BF64" s="429"/>
      <c r="BG64" s="428"/>
      <c r="BH64" s="1033"/>
      <c r="BI64" s="1104"/>
      <c r="BJ64" s="1048"/>
      <c r="BK64" s="1048"/>
      <c r="BL64" s="1048">
        <f t="shared" si="46"/>
        <v>4.5144000000000002</v>
      </c>
      <c r="BM64" s="1048"/>
      <c r="BN64" s="1048"/>
      <c r="BO64" s="1049"/>
      <c r="BP64" s="1050"/>
      <c r="BQ64" s="1204"/>
      <c r="BR64" s="429"/>
      <c r="BS64" s="1275"/>
      <c r="BT64" s="428"/>
      <c r="BU64" s="1293"/>
      <c r="BV64" s="427"/>
      <c r="BW64" s="428">
        <f>+I64*K64</f>
        <v>19.756000000000004</v>
      </c>
      <c r="BX64" s="427"/>
      <c r="BY64" s="429"/>
      <c r="BZ64" s="1275"/>
      <c r="CA64" s="427"/>
      <c r="CB64" s="429"/>
      <c r="CC64" s="428">
        <f t="shared" si="47"/>
        <v>4.5144000000000002</v>
      </c>
      <c r="CE64" s="427"/>
      <c r="CF64" s="429"/>
      <c r="CG64" s="429"/>
      <c r="CH64" s="429"/>
      <c r="CI64" s="428"/>
      <c r="CJ64" s="1204">
        <v>2</v>
      </c>
      <c r="CK64" s="429"/>
      <c r="CL64" s="429">
        <v>1</v>
      </c>
      <c r="CM64" s="429"/>
      <c r="CN64" s="429">
        <v>3</v>
      </c>
      <c r="CO64" s="429">
        <v>1</v>
      </c>
      <c r="CP64" s="429"/>
      <c r="CQ64" s="429"/>
      <c r="CR64" s="429"/>
      <c r="CS64" s="429"/>
      <c r="CT64" s="429"/>
      <c r="CU64" s="428"/>
      <c r="CV64" s="1377"/>
      <c r="CW64" s="1047">
        <v>1</v>
      </c>
      <c r="CX64" s="1048">
        <v>1</v>
      </c>
      <c r="CY64" s="1048">
        <v>1</v>
      </c>
      <c r="CZ64" s="1049"/>
      <c r="DA64" s="1050"/>
      <c r="DB64" s="1046">
        <v>1</v>
      </c>
      <c r="DC64" s="1048">
        <v>1</v>
      </c>
      <c r="DD64" s="1048">
        <v>1</v>
      </c>
      <c r="DE64" s="1048"/>
      <c r="DF64" s="1050"/>
    </row>
    <row r="65" spans="1:110" s="1010" customFormat="1" ht="12.75" customHeight="1">
      <c r="A65" s="2262"/>
      <c r="B65" s="1074">
        <v>44</v>
      </c>
      <c r="C65" s="1197" t="s">
        <v>2101</v>
      </c>
      <c r="D65" s="1101">
        <v>6.47</v>
      </c>
      <c r="E65" s="1102">
        <v>3</v>
      </c>
      <c r="F65" s="1051">
        <f t="shared" si="35"/>
        <v>19.41</v>
      </c>
      <c r="G65" s="1042">
        <v>18.93</v>
      </c>
      <c r="H65" s="1043">
        <v>3</v>
      </c>
      <c r="I65" s="1044">
        <f t="shared" si="42"/>
        <v>15.93</v>
      </c>
      <c r="J65" s="1025">
        <v>2.6</v>
      </c>
      <c r="K65" s="1334"/>
      <c r="L65" s="1428"/>
      <c r="M65" s="1027"/>
      <c r="N65" s="1097">
        <f t="shared" si="45"/>
        <v>19.41</v>
      </c>
      <c r="O65" s="1098"/>
      <c r="P65" s="1098"/>
      <c r="Q65" s="1098"/>
      <c r="R65" s="1098"/>
      <c r="S65" s="1099"/>
      <c r="T65" s="1027"/>
      <c r="U65" s="427">
        <f>+$I65*$J65</f>
        <v>41.417999999999999</v>
      </c>
      <c r="V65" s="429">
        <f>+W65*J65</f>
        <v>5.2</v>
      </c>
      <c r="W65" s="429">
        <v>2</v>
      </c>
      <c r="X65" s="429"/>
      <c r="Y65" s="428"/>
      <c r="Z65" s="1027"/>
      <c r="AA65" s="1047"/>
      <c r="AB65" s="1388"/>
      <c r="AC65" s="1388"/>
      <c r="AD65" s="1050"/>
      <c r="AE65" s="1028"/>
      <c r="AF65" s="427"/>
      <c r="AG65" s="429"/>
      <c r="AH65" s="435"/>
      <c r="AI65" s="435"/>
      <c r="AJ65" s="435"/>
      <c r="AK65" s="429">
        <f>+F65</f>
        <v>19.41</v>
      </c>
      <c r="AL65" s="429">
        <f>+G65</f>
        <v>18.93</v>
      </c>
      <c r="AM65" s="429"/>
      <c r="AN65" s="438"/>
      <c r="AO65" s="1029"/>
      <c r="AP65" s="427"/>
      <c r="AQ65" s="429"/>
      <c r="AR65" s="429"/>
      <c r="AS65" s="429"/>
      <c r="AT65" s="429"/>
      <c r="AU65" s="1275"/>
      <c r="AV65" s="1275"/>
      <c r="AW65" s="1275"/>
      <c r="AX65" s="427"/>
      <c r="AY65" s="429">
        <v>1</v>
      </c>
      <c r="AZ65" s="429"/>
      <c r="BA65" s="429"/>
      <c r="BB65" s="429"/>
      <c r="BC65" s="429"/>
      <c r="BD65" s="429"/>
      <c r="BE65" s="429"/>
      <c r="BF65" s="429"/>
      <c r="BG65" s="428"/>
      <c r="BH65" s="1033"/>
      <c r="BI65" s="1104"/>
      <c r="BJ65" s="1048"/>
      <c r="BK65" s="1048">
        <f t="shared" si="46"/>
        <v>19.41</v>
      </c>
      <c r="BL65" s="1048"/>
      <c r="BM65" s="1048"/>
      <c r="BN65" s="1048"/>
      <c r="BO65" s="1049"/>
      <c r="BP65" s="1050"/>
      <c r="BQ65" s="1204">
        <f>+I65</f>
        <v>15.93</v>
      </c>
      <c r="BR65" s="429"/>
      <c r="BS65" s="1275"/>
      <c r="BT65" s="428"/>
      <c r="BU65" s="1293"/>
      <c r="BV65" s="427"/>
      <c r="BW65" s="428"/>
      <c r="BX65" s="427"/>
      <c r="BY65" s="429">
        <f t="shared" ref="BY65:BY73" si="50">+I65*J65</f>
        <v>41.417999999999999</v>
      </c>
      <c r="BZ65" s="1275"/>
      <c r="CA65" s="427"/>
      <c r="CB65" s="429">
        <f t="shared" ref="CB65:CB73" si="51">+F65</f>
        <v>19.41</v>
      </c>
      <c r="CC65" s="428"/>
      <c r="CE65" s="427"/>
      <c r="CF65" s="429"/>
      <c r="CG65" s="429"/>
      <c r="CH65" s="429"/>
      <c r="CI65" s="428"/>
      <c r="CJ65" s="1204">
        <v>2</v>
      </c>
      <c r="CK65" s="429"/>
      <c r="CL65" s="429">
        <v>2</v>
      </c>
      <c r="CM65" s="429"/>
      <c r="CN65" s="429"/>
      <c r="CO65" s="429">
        <v>5</v>
      </c>
      <c r="CP65" s="429">
        <v>1</v>
      </c>
      <c r="CQ65" s="429"/>
      <c r="CR65" s="429">
        <v>2</v>
      </c>
      <c r="CS65" s="429"/>
      <c r="CT65" s="429"/>
      <c r="CU65" s="428"/>
      <c r="CV65" s="1377"/>
      <c r="CW65" s="1047"/>
      <c r="CX65" s="1048"/>
      <c r="CY65" s="1048"/>
      <c r="CZ65" s="1049"/>
      <c r="DA65" s="1050"/>
      <c r="DB65" s="1046"/>
      <c r="DC65" s="1048"/>
      <c r="DD65" s="1048"/>
      <c r="DE65" s="1048"/>
      <c r="DF65" s="1050"/>
    </row>
    <row r="66" spans="1:110" s="1010" customFormat="1" ht="13">
      <c r="A66" s="2262"/>
      <c r="B66" s="1074">
        <v>45</v>
      </c>
      <c r="C66" s="1197" t="s">
        <v>2102</v>
      </c>
      <c r="D66" s="1101">
        <v>2.5499999999999998</v>
      </c>
      <c r="E66" s="1102">
        <v>1</v>
      </c>
      <c r="F66" s="1051">
        <f t="shared" si="35"/>
        <v>2.5499999999999998</v>
      </c>
      <c r="G66" s="1042">
        <v>7.1</v>
      </c>
      <c r="H66" s="1043">
        <v>0.9</v>
      </c>
      <c r="I66" s="1044">
        <f t="shared" si="42"/>
        <v>6.1999999999999993</v>
      </c>
      <c r="J66" s="1025">
        <v>2.4</v>
      </c>
      <c r="K66" s="1334"/>
      <c r="L66" s="1428"/>
      <c r="M66" s="1027"/>
      <c r="N66" s="1097">
        <f t="shared" si="45"/>
        <v>2.5499999999999998</v>
      </c>
      <c r="O66" s="1098"/>
      <c r="P66" s="1098"/>
      <c r="Q66" s="1098"/>
      <c r="R66" s="1098"/>
      <c r="S66" s="1099"/>
      <c r="T66" s="1027"/>
      <c r="U66" s="427">
        <f>+$I66*$J66</f>
        <v>14.879999999999997</v>
      </c>
      <c r="V66" s="429">
        <f>+W66*J66</f>
        <v>4.8</v>
      </c>
      <c r="W66" s="429">
        <v>2</v>
      </c>
      <c r="X66" s="429"/>
      <c r="Y66" s="428"/>
      <c r="Z66" s="1027"/>
      <c r="AA66" s="1047"/>
      <c r="AB66" s="1388"/>
      <c r="AC66" s="1388"/>
      <c r="AD66" s="1050"/>
      <c r="AE66" s="1028"/>
      <c r="AF66" s="427"/>
      <c r="AG66" s="429">
        <f>+F66</f>
        <v>2.5499999999999998</v>
      </c>
      <c r="AH66" s="429">
        <f>$G66</f>
        <v>7.1</v>
      </c>
      <c r="AI66" s="435"/>
      <c r="AJ66" s="435"/>
      <c r="AK66" s="429"/>
      <c r="AL66" s="429"/>
      <c r="AM66" s="429"/>
      <c r="AN66" s="438"/>
      <c r="AO66" s="1029"/>
      <c r="AP66" s="427"/>
      <c r="AQ66" s="429"/>
      <c r="AR66" s="429"/>
      <c r="AS66" s="429"/>
      <c r="AT66" s="429"/>
      <c r="AU66" s="1275"/>
      <c r="AV66" s="1275"/>
      <c r="AW66" s="1275"/>
      <c r="AX66" s="427"/>
      <c r="AY66" s="429"/>
      <c r="AZ66" s="429"/>
      <c r="BA66" s="429"/>
      <c r="BB66" s="429"/>
      <c r="BC66" s="429"/>
      <c r="BD66" s="429"/>
      <c r="BE66" s="429"/>
      <c r="BF66" s="429"/>
      <c r="BG66" s="428"/>
      <c r="BH66" s="1033"/>
      <c r="BI66" s="1104"/>
      <c r="BJ66" s="1048"/>
      <c r="BK66" s="1048">
        <f t="shared" si="46"/>
        <v>2.5499999999999998</v>
      </c>
      <c r="BL66" s="1048"/>
      <c r="BM66" s="1048"/>
      <c r="BN66" s="1048"/>
      <c r="BO66" s="1049"/>
      <c r="BP66" s="1050"/>
      <c r="BQ66" s="1204">
        <f>+I66</f>
        <v>6.1999999999999993</v>
      </c>
      <c r="BR66" s="429"/>
      <c r="BS66" s="1275"/>
      <c r="BT66" s="428"/>
      <c r="BU66" s="1293"/>
      <c r="BV66" s="427"/>
      <c r="BW66" s="428"/>
      <c r="BX66" s="427"/>
      <c r="BY66" s="429">
        <f t="shared" si="50"/>
        <v>14.879999999999997</v>
      </c>
      <c r="BZ66" s="1275"/>
      <c r="CA66" s="427"/>
      <c r="CB66" s="429"/>
      <c r="CC66" s="428">
        <f t="shared" si="47"/>
        <v>2.5499999999999998</v>
      </c>
      <c r="CE66" s="427"/>
      <c r="CF66" s="429"/>
      <c r="CG66" s="429"/>
      <c r="CH66" s="429"/>
      <c r="CI66" s="428"/>
      <c r="CJ66" s="1204">
        <v>1</v>
      </c>
      <c r="CK66" s="429"/>
      <c r="CL66" s="429">
        <v>1</v>
      </c>
      <c r="CM66" s="429"/>
      <c r="CN66" s="429"/>
      <c r="CO66" s="429"/>
      <c r="CP66" s="429"/>
      <c r="CQ66" s="429">
        <v>1</v>
      </c>
      <c r="CR66" s="429"/>
      <c r="CS66" s="429"/>
      <c r="CT66" s="429"/>
      <c r="CU66" s="428"/>
      <c r="CV66" s="1377"/>
      <c r="CW66" s="1047"/>
      <c r="CX66" s="1048"/>
      <c r="CY66" s="1048"/>
      <c r="CZ66" s="1049"/>
      <c r="DA66" s="1050"/>
      <c r="DB66" s="1046"/>
      <c r="DC66" s="1048"/>
      <c r="DD66" s="1048"/>
      <c r="DE66" s="1048"/>
      <c r="DF66" s="1050"/>
    </row>
    <row r="67" spans="1:110" s="1010" customFormat="1" ht="13">
      <c r="A67" s="2262"/>
      <c r="B67" s="1074">
        <v>46</v>
      </c>
      <c r="C67" s="1197" t="s">
        <v>2103</v>
      </c>
      <c r="D67" s="1101">
        <v>0</v>
      </c>
      <c r="E67" s="1102">
        <v>0</v>
      </c>
      <c r="F67" s="1051">
        <v>8.1199999999999992</v>
      </c>
      <c r="G67" s="1042">
        <v>11.88</v>
      </c>
      <c r="H67" s="1043">
        <v>1.69</v>
      </c>
      <c r="I67" s="1044">
        <f t="shared" si="42"/>
        <v>10.190000000000001</v>
      </c>
      <c r="J67" s="1025">
        <v>2.6</v>
      </c>
      <c r="K67" s="1334"/>
      <c r="L67" s="1428"/>
      <c r="M67" s="1027"/>
      <c r="N67" s="1097">
        <f t="shared" si="45"/>
        <v>8.1199999999999992</v>
      </c>
      <c r="O67" s="1098"/>
      <c r="P67" s="1098"/>
      <c r="Q67" s="1098"/>
      <c r="R67" s="1098"/>
      <c r="S67" s="1099"/>
      <c r="T67" s="1027"/>
      <c r="U67" s="427">
        <f>+$I67*$J67</f>
        <v>26.494000000000003</v>
      </c>
      <c r="V67" s="429">
        <f>+W67*J67</f>
        <v>5.2</v>
      </c>
      <c r="W67" s="429">
        <v>2</v>
      </c>
      <c r="X67" s="429"/>
      <c r="Y67" s="428"/>
      <c r="Z67" s="1027"/>
      <c r="AA67" s="1104"/>
      <c r="AB67" s="1397"/>
      <c r="AC67" s="1397"/>
      <c r="AD67" s="1118"/>
      <c r="AE67" s="1028"/>
      <c r="AF67" s="427"/>
      <c r="AG67" s="429"/>
      <c r="AH67" s="435"/>
      <c r="AI67" s="1318">
        <v>1</v>
      </c>
      <c r="AJ67" s="1318"/>
      <c r="AK67" s="1314">
        <f>2.79*2.79</f>
        <v>7.7841000000000005</v>
      </c>
      <c r="AL67" s="1314">
        <f>2.79*4</f>
        <v>11.16</v>
      </c>
      <c r="AM67" s="429"/>
      <c r="AN67" s="438"/>
      <c r="AO67" s="1029"/>
      <c r="AP67" s="427"/>
      <c r="AQ67" s="429">
        <v>1</v>
      </c>
      <c r="AR67" s="429"/>
      <c r="AS67" s="429"/>
      <c r="AT67" s="429"/>
      <c r="AU67" s="1275"/>
      <c r="AV67" s="1275"/>
      <c r="AW67" s="1275"/>
      <c r="AX67" s="427"/>
      <c r="AY67" s="429">
        <v>1</v>
      </c>
      <c r="AZ67" s="429"/>
      <c r="BA67" s="429"/>
      <c r="BB67" s="429"/>
      <c r="BC67" s="429"/>
      <c r="BD67" s="429"/>
      <c r="BE67" s="429"/>
      <c r="BF67" s="429"/>
      <c r="BG67" s="428"/>
      <c r="BH67" s="1033"/>
      <c r="BI67" s="1104"/>
      <c r="BJ67" s="1048"/>
      <c r="BK67" s="1048">
        <f t="shared" si="46"/>
        <v>8.1199999999999992</v>
      </c>
      <c r="BL67" s="1048"/>
      <c r="BM67" s="1048"/>
      <c r="BN67" s="1048"/>
      <c r="BO67" s="1049"/>
      <c r="BP67" s="1050"/>
      <c r="BQ67" s="1204">
        <f>+I67</f>
        <v>10.190000000000001</v>
      </c>
      <c r="BR67" s="429"/>
      <c r="BS67" s="1275"/>
      <c r="BT67" s="428"/>
      <c r="BU67" s="1293"/>
      <c r="BV67" s="427"/>
      <c r="BW67" s="428"/>
      <c r="BX67" s="427"/>
      <c r="BY67" s="429">
        <f t="shared" si="50"/>
        <v>26.494000000000003</v>
      </c>
      <c r="BZ67" s="1275"/>
      <c r="CA67" s="427"/>
      <c r="CB67" s="429">
        <f t="shared" si="51"/>
        <v>8.1199999999999992</v>
      </c>
      <c r="CC67" s="428"/>
      <c r="CE67" s="427"/>
      <c r="CF67" s="429"/>
      <c r="CG67" s="429"/>
      <c r="CH67" s="429"/>
      <c r="CI67" s="428"/>
      <c r="CJ67" s="1204">
        <v>1</v>
      </c>
      <c r="CK67" s="429"/>
      <c r="CL67" s="429">
        <v>1</v>
      </c>
      <c r="CM67" s="429"/>
      <c r="CN67" s="429"/>
      <c r="CO67" s="429">
        <v>3</v>
      </c>
      <c r="CP67" s="429">
        <v>1</v>
      </c>
      <c r="CQ67" s="429"/>
      <c r="CR67" s="429">
        <v>1</v>
      </c>
      <c r="CS67" s="429"/>
      <c r="CT67" s="429"/>
      <c r="CU67" s="428"/>
      <c r="CV67" s="1377"/>
      <c r="CW67" s="1047"/>
      <c r="CX67" s="1048"/>
      <c r="CY67" s="1048"/>
      <c r="CZ67" s="1049"/>
      <c r="DA67" s="1050"/>
      <c r="DB67" s="1046"/>
      <c r="DC67" s="1048"/>
      <c r="DD67" s="1048"/>
      <c r="DE67" s="1048"/>
      <c r="DF67" s="1050"/>
    </row>
    <row r="68" spans="1:110" s="1010" customFormat="1" ht="13">
      <c r="A68" s="2262"/>
      <c r="B68" s="1074">
        <v>47</v>
      </c>
      <c r="C68" s="1197" t="s">
        <v>2104</v>
      </c>
      <c r="D68" s="1101">
        <v>0.6</v>
      </c>
      <c r="E68" s="1102">
        <v>1.69</v>
      </c>
      <c r="F68" s="1051">
        <f t="shared" si="35"/>
        <v>1.014</v>
      </c>
      <c r="G68" s="1042">
        <v>4.58</v>
      </c>
      <c r="H68" s="1043">
        <v>1.69</v>
      </c>
      <c r="I68" s="1044">
        <f t="shared" si="42"/>
        <v>2.89</v>
      </c>
      <c r="J68" s="1025">
        <v>2.6</v>
      </c>
      <c r="K68" s="1334"/>
      <c r="L68" s="1428"/>
      <c r="M68" s="1027"/>
      <c r="N68" s="1097">
        <f t="shared" si="45"/>
        <v>1.014</v>
      </c>
      <c r="O68" s="1098"/>
      <c r="P68" s="1098"/>
      <c r="Q68" s="1098"/>
      <c r="R68" s="1098"/>
      <c r="S68" s="1099"/>
      <c r="T68" s="1027"/>
      <c r="U68" s="427">
        <f>+$I68*$J68</f>
        <v>7.5140000000000002</v>
      </c>
      <c r="V68" s="429"/>
      <c r="W68" s="429"/>
      <c r="X68" s="429"/>
      <c r="Y68" s="428"/>
      <c r="Z68" s="1027"/>
      <c r="AA68" s="1047"/>
      <c r="AB68" s="1388"/>
      <c r="AC68" s="1388"/>
      <c r="AD68" s="1118"/>
      <c r="AE68" s="1028"/>
      <c r="AF68" s="427"/>
      <c r="AG68" s="429"/>
      <c r="AH68" s="435"/>
      <c r="AI68" s="435"/>
      <c r="AJ68" s="435"/>
      <c r="AK68" s="429">
        <f t="shared" ref="AK68" si="52">$F68</f>
        <v>1.014</v>
      </c>
      <c r="AL68" s="429"/>
      <c r="AM68" s="429"/>
      <c r="AN68" s="438"/>
      <c r="AO68" s="1029"/>
      <c r="AP68" s="427"/>
      <c r="AQ68" s="429"/>
      <c r="AR68" s="429"/>
      <c r="AS68" s="429"/>
      <c r="AT68" s="429"/>
      <c r="AU68" s="1275"/>
      <c r="AV68" s="1275"/>
      <c r="AW68" s="1275">
        <v>1</v>
      </c>
      <c r="AX68" s="427"/>
      <c r="AY68" s="429"/>
      <c r="AZ68" s="429"/>
      <c r="BA68" s="429"/>
      <c r="BB68" s="429"/>
      <c r="BC68" s="429"/>
      <c r="BD68" s="429"/>
      <c r="BE68" s="429"/>
      <c r="BF68" s="429"/>
      <c r="BG68" s="428"/>
      <c r="BH68" s="1033"/>
      <c r="BI68" s="1104"/>
      <c r="BJ68" s="1048"/>
      <c r="BK68" s="1048">
        <f t="shared" si="46"/>
        <v>1.014</v>
      </c>
      <c r="BL68" s="1048"/>
      <c r="BM68" s="1048"/>
      <c r="BN68" s="1048"/>
      <c r="BO68" s="1049"/>
      <c r="BP68" s="1050"/>
      <c r="BQ68" s="1204"/>
      <c r="BR68" s="429"/>
      <c r="BS68" s="1275"/>
      <c r="BT68" s="428"/>
      <c r="BU68" s="1293"/>
      <c r="BV68" s="427"/>
      <c r="BW68" s="428"/>
      <c r="BX68" s="427"/>
      <c r="BY68" s="429">
        <f t="shared" si="50"/>
        <v>7.5140000000000002</v>
      </c>
      <c r="BZ68" s="1275"/>
      <c r="CA68" s="427"/>
      <c r="CB68" s="429">
        <f t="shared" si="51"/>
        <v>1.014</v>
      </c>
      <c r="CC68" s="428"/>
      <c r="CE68" s="427"/>
      <c r="CF68" s="429"/>
      <c r="CG68" s="429"/>
      <c r="CH68" s="429"/>
      <c r="CI68" s="428"/>
      <c r="CJ68" s="1204"/>
      <c r="CK68" s="429"/>
      <c r="CL68" s="429"/>
      <c r="CM68" s="429"/>
      <c r="CN68" s="429"/>
      <c r="CO68" s="429"/>
      <c r="CP68" s="429"/>
      <c r="CQ68" s="429"/>
      <c r="CR68" s="429"/>
      <c r="CS68" s="429"/>
      <c r="CT68" s="429"/>
      <c r="CU68" s="428"/>
      <c r="CV68" s="1377"/>
      <c r="CW68" s="1047"/>
      <c r="CX68" s="1048"/>
      <c r="CY68" s="1048"/>
      <c r="CZ68" s="1049"/>
      <c r="DA68" s="1050"/>
      <c r="DB68" s="1046"/>
      <c r="DC68" s="1048"/>
      <c r="DD68" s="1048"/>
      <c r="DE68" s="1048"/>
      <c r="DF68" s="1050"/>
    </row>
    <row r="69" spans="1:110" s="1010" customFormat="1" ht="13">
      <c r="A69" s="2262"/>
      <c r="B69" s="1074">
        <v>48</v>
      </c>
      <c r="C69" s="1197" t="s">
        <v>2105</v>
      </c>
      <c r="D69" s="1101">
        <v>0</v>
      </c>
      <c r="E69" s="1102">
        <v>0</v>
      </c>
      <c r="F69" s="1051">
        <v>3.65</v>
      </c>
      <c r="G69" s="1042">
        <v>7.9</v>
      </c>
      <c r="H69" s="1043">
        <v>0</v>
      </c>
      <c r="I69" s="1044">
        <f t="shared" si="42"/>
        <v>7.9</v>
      </c>
      <c r="J69" s="1025">
        <v>2.2000000000000002</v>
      </c>
      <c r="K69" s="1334">
        <v>2.2000000000000002</v>
      </c>
      <c r="L69" s="1428"/>
      <c r="M69" s="1027"/>
      <c r="N69" s="1097"/>
      <c r="O69" s="1098"/>
      <c r="P69" s="1098"/>
      <c r="Q69" s="1098"/>
      <c r="R69" s="1098">
        <f t="shared" ref="R69:S69" si="53">$F69</f>
        <v>3.65</v>
      </c>
      <c r="S69" s="1099">
        <f t="shared" si="53"/>
        <v>3.65</v>
      </c>
      <c r="T69" s="1137"/>
      <c r="U69" s="427"/>
      <c r="V69" s="429"/>
      <c r="W69" s="429"/>
      <c r="X69" s="429">
        <f>+$I69*$J69</f>
        <v>17.380000000000003</v>
      </c>
      <c r="Y69" s="428"/>
      <c r="Z69" s="1027"/>
      <c r="AA69" s="1104">
        <f t="shared" ref="AA69" si="54">$F69</f>
        <v>3.65</v>
      </c>
      <c r="AB69" s="1397"/>
      <c r="AC69" s="1397"/>
      <c r="AD69" s="1118"/>
      <c r="AE69" s="1028"/>
      <c r="AF69" s="427"/>
      <c r="AG69" s="429">
        <f>+F69</f>
        <v>3.65</v>
      </c>
      <c r="AH69" s="435">
        <f>+G69</f>
        <v>7.9</v>
      </c>
      <c r="AI69" s="435"/>
      <c r="AJ69" s="435"/>
      <c r="AK69" s="429"/>
      <c r="AL69" s="429"/>
      <c r="AM69" s="429"/>
      <c r="AN69" s="438"/>
      <c r="AO69" s="1029"/>
      <c r="AP69" s="427"/>
      <c r="AQ69" s="429">
        <v>1</v>
      </c>
      <c r="AR69" s="429"/>
      <c r="AS69" s="429"/>
      <c r="AT69" s="429"/>
      <c r="AU69" s="1275"/>
      <c r="AV69" s="1275"/>
      <c r="AW69" s="1275"/>
      <c r="AX69" s="427"/>
      <c r="AY69" s="429"/>
      <c r="AZ69" s="429"/>
      <c r="BA69" s="429"/>
      <c r="BB69" s="429"/>
      <c r="BC69" s="429"/>
      <c r="BD69" s="429"/>
      <c r="BE69" s="429"/>
      <c r="BF69" s="429"/>
      <c r="BG69" s="428"/>
      <c r="BH69" s="1033"/>
      <c r="BI69" s="1104"/>
      <c r="BJ69" s="1048"/>
      <c r="BK69" s="1048"/>
      <c r="BL69" s="1048">
        <f t="shared" ref="BK69:BL93" si="55">$F69</f>
        <v>3.65</v>
      </c>
      <c r="BM69" s="1048"/>
      <c r="BN69" s="1048"/>
      <c r="BO69" s="1049"/>
      <c r="BP69" s="1050"/>
      <c r="BQ69" s="1204"/>
      <c r="BR69" s="429"/>
      <c r="BS69" s="1275"/>
      <c r="BT69" s="428"/>
      <c r="BU69" s="1293"/>
      <c r="BV69" s="427"/>
      <c r="BW69" s="428">
        <f>+I69*K69</f>
        <v>17.380000000000003</v>
      </c>
      <c r="BX69" s="427"/>
      <c r="BY69" s="429"/>
      <c r="BZ69" s="1275"/>
      <c r="CA69" s="427"/>
      <c r="CB69" s="429"/>
      <c r="CC69" s="428">
        <f t="shared" si="47"/>
        <v>3.65</v>
      </c>
      <c r="CE69" s="427">
        <v>1</v>
      </c>
      <c r="CF69" s="429"/>
      <c r="CG69" s="429"/>
      <c r="CH69" s="429"/>
      <c r="CI69" s="428"/>
      <c r="CJ69" s="1204">
        <v>2</v>
      </c>
      <c r="CK69" s="429"/>
      <c r="CL69" s="429">
        <v>1</v>
      </c>
      <c r="CM69" s="429"/>
      <c r="CN69" s="1176">
        <v>1</v>
      </c>
      <c r="CO69" s="429"/>
      <c r="CP69" s="429"/>
      <c r="CQ69" s="429"/>
      <c r="CR69" s="429"/>
      <c r="CS69" s="429"/>
      <c r="CT69" s="429"/>
      <c r="CU69" s="428"/>
      <c r="CV69" s="1377"/>
      <c r="CW69" s="1047">
        <v>1</v>
      </c>
      <c r="CX69" s="1048">
        <v>1</v>
      </c>
      <c r="CY69" s="1048">
        <v>1</v>
      </c>
      <c r="CZ69" s="1049"/>
      <c r="DA69" s="1050"/>
      <c r="DB69" s="1046">
        <v>1</v>
      </c>
      <c r="DC69" s="1048">
        <v>1</v>
      </c>
      <c r="DD69" s="1048">
        <v>1</v>
      </c>
      <c r="DE69" s="1048">
        <v>1</v>
      </c>
      <c r="DF69" s="1050"/>
    </row>
    <row r="70" spans="1:110" s="1010" customFormat="1" ht="13">
      <c r="A70" s="2262"/>
      <c r="B70" s="1074">
        <v>49</v>
      </c>
      <c r="C70" s="1197" t="s">
        <v>2106</v>
      </c>
      <c r="D70" s="1101">
        <v>0</v>
      </c>
      <c r="E70" s="1102">
        <v>0</v>
      </c>
      <c r="F70" s="1051">
        <v>10.67</v>
      </c>
      <c r="G70" s="1042">
        <v>15.21</v>
      </c>
      <c r="H70" s="1043">
        <v>2.06</v>
      </c>
      <c r="I70" s="1044">
        <f t="shared" si="42"/>
        <v>13.15</v>
      </c>
      <c r="J70" s="1025">
        <v>2.6</v>
      </c>
      <c r="K70" s="1334"/>
      <c r="L70" s="1428"/>
      <c r="M70" s="1027"/>
      <c r="N70" s="1097">
        <f t="shared" si="45"/>
        <v>10.67</v>
      </c>
      <c r="O70" s="1098"/>
      <c r="P70" s="1098"/>
      <c r="Q70" s="1098"/>
      <c r="R70" s="1098"/>
      <c r="S70" s="1099"/>
      <c r="T70" s="1027"/>
      <c r="U70" s="427">
        <f>+$I70*$J70</f>
        <v>34.190000000000005</v>
      </c>
      <c r="V70" s="429">
        <f>+W70*J70</f>
        <v>7.8000000000000007</v>
      </c>
      <c r="W70" s="429">
        <v>3</v>
      </c>
      <c r="X70" s="429"/>
      <c r="Y70" s="428"/>
      <c r="Z70" s="1027"/>
      <c r="AA70" s="1104"/>
      <c r="AB70" s="1397"/>
      <c r="AC70" s="1397"/>
      <c r="AD70" s="1118"/>
      <c r="AE70" s="1028"/>
      <c r="AF70" s="1317">
        <f>1*1.5</f>
        <v>1.5</v>
      </c>
      <c r="AG70" s="429"/>
      <c r="AH70" s="1314">
        <f>1.5*2+1*2</f>
        <v>5</v>
      </c>
      <c r="AI70" s="1318">
        <v>1</v>
      </c>
      <c r="AJ70" s="1318"/>
      <c r="AK70" s="1314">
        <f>3.27*2.79</f>
        <v>9.1233000000000004</v>
      </c>
      <c r="AL70" s="1314">
        <f>3.27*2+2.79*2</f>
        <v>12.120000000000001</v>
      </c>
      <c r="AM70" s="429"/>
      <c r="AN70" s="438"/>
      <c r="AO70" s="1029"/>
      <c r="AP70" s="427"/>
      <c r="AQ70" s="429">
        <v>1</v>
      </c>
      <c r="AR70" s="429"/>
      <c r="AS70" s="429"/>
      <c r="AT70" s="429"/>
      <c r="AU70" s="1275"/>
      <c r="AV70" s="1275"/>
      <c r="AW70" s="1275"/>
      <c r="AX70" s="427"/>
      <c r="AY70" s="429">
        <v>1</v>
      </c>
      <c r="AZ70" s="429"/>
      <c r="BA70" s="429"/>
      <c r="BB70" s="429"/>
      <c r="BC70" s="429"/>
      <c r="BD70" s="429"/>
      <c r="BE70" s="429"/>
      <c r="BF70" s="429"/>
      <c r="BG70" s="428"/>
      <c r="BH70" s="1033"/>
      <c r="BI70" s="1104"/>
      <c r="BJ70" s="1048"/>
      <c r="BK70" s="1048">
        <f t="shared" si="46"/>
        <v>10.67</v>
      </c>
      <c r="BL70" s="1048"/>
      <c r="BM70" s="1048"/>
      <c r="BN70" s="1048"/>
      <c r="BO70" s="1049"/>
      <c r="BP70" s="1050"/>
      <c r="BQ70" s="1204">
        <f>+I70</f>
        <v>13.15</v>
      </c>
      <c r="BR70" s="429"/>
      <c r="BS70" s="1275"/>
      <c r="BT70" s="428"/>
      <c r="BU70" s="1293"/>
      <c r="BV70" s="427"/>
      <c r="BW70" s="428"/>
      <c r="BX70" s="427"/>
      <c r="BY70" s="429">
        <f t="shared" si="50"/>
        <v>34.190000000000005</v>
      </c>
      <c r="BZ70" s="1275"/>
      <c r="CA70" s="427"/>
      <c r="CB70" s="429">
        <f t="shared" si="51"/>
        <v>10.67</v>
      </c>
      <c r="CC70" s="428"/>
      <c r="CE70" s="427"/>
      <c r="CF70" s="429"/>
      <c r="CG70" s="429"/>
      <c r="CH70" s="429"/>
      <c r="CI70" s="428"/>
      <c r="CJ70" s="1204">
        <v>1</v>
      </c>
      <c r="CK70" s="429"/>
      <c r="CL70" s="429">
        <v>2</v>
      </c>
      <c r="CM70" s="429"/>
      <c r="CN70" s="429"/>
      <c r="CO70" s="429">
        <v>3</v>
      </c>
      <c r="CP70" s="429">
        <v>1</v>
      </c>
      <c r="CQ70" s="429"/>
      <c r="CR70" s="429">
        <v>1</v>
      </c>
      <c r="CS70" s="429"/>
      <c r="CT70" s="429"/>
      <c r="CU70" s="428"/>
      <c r="CV70" s="1377"/>
      <c r="CW70" s="1047"/>
      <c r="CX70" s="1048"/>
      <c r="CY70" s="1048"/>
      <c r="CZ70" s="1049"/>
      <c r="DA70" s="1050"/>
      <c r="DB70" s="1046"/>
      <c r="DC70" s="1048"/>
      <c r="DD70" s="1048"/>
      <c r="DE70" s="1048"/>
      <c r="DF70" s="1050"/>
    </row>
    <row r="71" spans="1:110" s="1010" customFormat="1" ht="13">
      <c r="A71" s="2262"/>
      <c r="B71" s="1074">
        <v>50</v>
      </c>
      <c r="C71" s="1197" t="s">
        <v>2107</v>
      </c>
      <c r="D71" s="1101">
        <v>1.43</v>
      </c>
      <c r="E71" s="1102">
        <v>0.77</v>
      </c>
      <c r="F71" s="1051">
        <f t="shared" si="35"/>
        <v>1.1011</v>
      </c>
      <c r="G71" s="1042">
        <v>4.5999999999999996</v>
      </c>
      <c r="H71" s="1043">
        <f>+D71*2+E71</f>
        <v>3.63</v>
      </c>
      <c r="I71" s="1044">
        <f t="shared" si="42"/>
        <v>0.96999999999999975</v>
      </c>
      <c r="J71" s="1025">
        <v>2.6</v>
      </c>
      <c r="K71" s="1334"/>
      <c r="L71" s="1428"/>
      <c r="M71" s="1027"/>
      <c r="N71" s="1097">
        <f t="shared" si="45"/>
        <v>1.1011</v>
      </c>
      <c r="O71" s="1098"/>
      <c r="P71" s="1098"/>
      <c r="Q71" s="1098"/>
      <c r="R71" s="1098"/>
      <c r="S71" s="1099"/>
      <c r="T71" s="1027"/>
      <c r="U71" s="427">
        <f t="shared" ref="U71:U73" si="56">+$I71*$J71</f>
        <v>2.5219999999999994</v>
      </c>
      <c r="V71" s="429">
        <f>+W71*J71</f>
        <v>5.2</v>
      </c>
      <c r="W71" s="429">
        <v>2</v>
      </c>
      <c r="X71" s="429"/>
      <c r="Y71" s="428"/>
      <c r="Z71" s="1027"/>
      <c r="AA71" s="1104"/>
      <c r="AB71" s="1397"/>
      <c r="AC71" s="1397"/>
      <c r="AD71" s="1118"/>
      <c r="AE71" s="1028"/>
      <c r="AF71" s="427"/>
      <c r="AG71" s="429">
        <f>+F71</f>
        <v>1.1011</v>
      </c>
      <c r="AH71" s="435">
        <f>+G71</f>
        <v>4.5999999999999996</v>
      </c>
      <c r="AI71" s="435"/>
      <c r="AJ71" s="435"/>
      <c r="AK71" s="429"/>
      <c r="AL71" s="429"/>
      <c r="AM71" s="429"/>
      <c r="AN71" s="438"/>
      <c r="AO71" s="1029"/>
      <c r="AP71" s="427"/>
      <c r="AQ71" s="429"/>
      <c r="AR71" s="429"/>
      <c r="AS71" s="429"/>
      <c r="AT71" s="429"/>
      <c r="AU71" s="1275"/>
      <c r="AV71" s="1275"/>
      <c r="AW71" s="1275"/>
      <c r="AX71" s="427"/>
      <c r="AY71" s="429"/>
      <c r="AZ71" s="429"/>
      <c r="BA71" s="429"/>
      <c r="BB71" s="429"/>
      <c r="BC71" s="429"/>
      <c r="BD71" s="429"/>
      <c r="BE71" s="429"/>
      <c r="BF71" s="429"/>
      <c r="BG71" s="428"/>
      <c r="BH71" s="1033"/>
      <c r="BI71" s="1104"/>
      <c r="BJ71" s="1048"/>
      <c r="BK71" s="1048">
        <f t="shared" si="46"/>
        <v>1.1011</v>
      </c>
      <c r="BL71" s="1048"/>
      <c r="BM71" s="1048"/>
      <c r="BN71" s="1048"/>
      <c r="BO71" s="1049"/>
      <c r="BP71" s="1050"/>
      <c r="BQ71" s="1204"/>
      <c r="BR71" s="429"/>
      <c r="BS71" s="1275"/>
      <c r="BT71" s="428"/>
      <c r="BU71" s="1293"/>
      <c r="BV71" s="427"/>
      <c r="BW71" s="428"/>
      <c r="BX71" s="427"/>
      <c r="BY71" s="429">
        <f t="shared" si="50"/>
        <v>2.5219999999999994</v>
      </c>
      <c r="BZ71" s="1275"/>
      <c r="CA71" s="427"/>
      <c r="CB71" s="429">
        <f t="shared" si="51"/>
        <v>1.1011</v>
      </c>
      <c r="CC71" s="428"/>
      <c r="CE71" s="427"/>
      <c r="CF71" s="429"/>
      <c r="CG71" s="429"/>
      <c r="CH71" s="429"/>
      <c r="CI71" s="428"/>
      <c r="CJ71" s="1204">
        <v>1</v>
      </c>
      <c r="CK71" s="429"/>
      <c r="CL71" s="429"/>
      <c r="CM71" s="429"/>
      <c r="CN71" s="429"/>
      <c r="CO71" s="429"/>
      <c r="CP71" s="429"/>
      <c r="CQ71" s="429"/>
      <c r="CR71" s="429"/>
      <c r="CS71" s="429"/>
      <c r="CT71" s="429"/>
      <c r="CU71" s="428"/>
      <c r="CV71" s="1377"/>
      <c r="CW71" s="1047"/>
      <c r="CX71" s="1048"/>
      <c r="CY71" s="1048"/>
      <c r="CZ71" s="1049"/>
      <c r="DA71" s="1050"/>
      <c r="DB71" s="1046"/>
      <c r="DC71" s="1048"/>
      <c r="DD71" s="1048"/>
      <c r="DE71" s="1048"/>
      <c r="DF71" s="1050"/>
    </row>
    <row r="72" spans="1:110" s="1010" customFormat="1" ht="13">
      <c r="A72" s="2262"/>
      <c r="B72" s="1074">
        <v>51</v>
      </c>
      <c r="C72" s="1197" t="s">
        <v>2108</v>
      </c>
      <c r="D72" s="1101">
        <v>1.43</v>
      </c>
      <c r="E72" s="1102">
        <v>0.43</v>
      </c>
      <c r="F72" s="1051">
        <f t="shared" si="35"/>
        <v>0.6149</v>
      </c>
      <c r="G72" s="1042">
        <v>3.78</v>
      </c>
      <c r="H72" s="1043">
        <f>+D72</f>
        <v>1.43</v>
      </c>
      <c r="I72" s="1044">
        <f t="shared" si="42"/>
        <v>2.3499999999999996</v>
      </c>
      <c r="J72" s="1025">
        <v>2.6</v>
      </c>
      <c r="K72" s="1334"/>
      <c r="L72" s="1428"/>
      <c r="M72" s="1027"/>
      <c r="N72" s="1097">
        <f t="shared" si="45"/>
        <v>0.6149</v>
      </c>
      <c r="O72" s="1098"/>
      <c r="P72" s="1098"/>
      <c r="Q72" s="1098"/>
      <c r="R72" s="1098"/>
      <c r="S72" s="1099"/>
      <c r="T72" s="1027"/>
      <c r="U72" s="427">
        <f t="shared" si="56"/>
        <v>6.1099999999999994</v>
      </c>
      <c r="V72" s="429"/>
      <c r="W72" s="429"/>
      <c r="X72" s="429"/>
      <c r="Y72" s="428"/>
      <c r="Z72" s="1027"/>
      <c r="AA72" s="1104"/>
      <c r="AB72" s="1397"/>
      <c r="AC72" s="1397"/>
      <c r="AD72" s="1118"/>
      <c r="AE72" s="1028"/>
      <c r="AF72" s="427"/>
      <c r="AG72" s="429"/>
      <c r="AH72" s="435"/>
      <c r="AI72" s="435"/>
      <c r="AJ72" s="435"/>
      <c r="AK72" s="429">
        <f t="shared" ref="AK72:AK73" si="57">$F72</f>
        <v>0.6149</v>
      </c>
      <c r="AL72" s="429"/>
      <c r="AM72" s="429"/>
      <c r="AN72" s="438"/>
      <c r="AO72" s="1029"/>
      <c r="AP72" s="427"/>
      <c r="AQ72" s="429"/>
      <c r="AR72" s="429"/>
      <c r="AS72" s="429"/>
      <c r="AT72" s="429"/>
      <c r="AU72" s="1275"/>
      <c r="AV72" s="1275"/>
      <c r="AW72" s="1275">
        <v>1</v>
      </c>
      <c r="AX72" s="427"/>
      <c r="AY72" s="429"/>
      <c r="AZ72" s="429"/>
      <c r="BA72" s="429"/>
      <c r="BB72" s="429"/>
      <c r="BC72" s="429"/>
      <c r="BD72" s="429"/>
      <c r="BE72" s="429"/>
      <c r="BF72" s="429"/>
      <c r="BG72" s="428"/>
      <c r="BH72" s="1033"/>
      <c r="BI72" s="1104"/>
      <c r="BJ72" s="1048"/>
      <c r="BK72" s="1048">
        <f t="shared" si="46"/>
        <v>0.6149</v>
      </c>
      <c r="BL72" s="1048"/>
      <c r="BM72" s="1048"/>
      <c r="BN72" s="1048"/>
      <c r="BO72" s="1049"/>
      <c r="BP72" s="1050"/>
      <c r="BQ72" s="1204"/>
      <c r="BR72" s="429"/>
      <c r="BS72" s="1275"/>
      <c r="BT72" s="428"/>
      <c r="BU72" s="1293"/>
      <c r="BV72" s="427"/>
      <c r="BW72" s="428"/>
      <c r="BX72" s="427"/>
      <c r="BY72" s="429">
        <f t="shared" si="50"/>
        <v>6.1099999999999994</v>
      </c>
      <c r="BZ72" s="1275"/>
      <c r="CA72" s="427"/>
      <c r="CB72" s="429">
        <f t="shared" si="51"/>
        <v>0.6149</v>
      </c>
      <c r="CC72" s="428"/>
      <c r="CE72" s="427"/>
      <c r="CF72" s="429"/>
      <c r="CG72" s="429"/>
      <c r="CH72" s="429"/>
      <c r="CI72" s="428"/>
      <c r="CJ72" s="1204"/>
      <c r="CK72" s="429"/>
      <c r="CL72" s="429"/>
      <c r="CM72" s="429"/>
      <c r="CN72" s="429"/>
      <c r="CO72" s="429"/>
      <c r="CP72" s="429"/>
      <c r="CQ72" s="429"/>
      <c r="CR72" s="429"/>
      <c r="CS72" s="429"/>
      <c r="CT72" s="429"/>
      <c r="CU72" s="428"/>
      <c r="CV72" s="1377"/>
      <c r="CW72" s="1047"/>
      <c r="CX72" s="1048"/>
      <c r="CY72" s="1048"/>
      <c r="CZ72" s="1049"/>
      <c r="DA72" s="1050"/>
      <c r="DB72" s="1046"/>
      <c r="DC72" s="1048"/>
      <c r="DD72" s="1048"/>
      <c r="DE72" s="1048"/>
      <c r="DF72" s="1050"/>
    </row>
    <row r="73" spans="1:110" s="1096" customFormat="1" ht="13">
      <c r="A73" s="2262"/>
      <c r="B73" s="1074">
        <v>52</v>
      </c>
      <c r="C73" s="1197" t="s">
        <v>2108</v>
      </c>
      <c r="D73" s="1101">
        <v>1.43</v>
      </c>
      <c r="E73" s="1102">
        <v>0.43</v>
      </c>
      <c r="F73" s="1051">
        <f t="shared" si="35"/>
        <v>0.6149</v>
      </c>
      <c r="G73" s="1042">
        <v>3.78</v>
      </c>
      <c r="H73" s="1043">
        <f>+D73</f>
        <v>1.43</v>
      </c>
      <c r="I73" s="1044">
        <f t="shared" si="42"/>
        <v>2.3499999999999996</v>
      </c>
      <c r="J73" s="1025">
        <v>2.6</v>
      </c>
      <c r="K73" s="1334"/>
      <c r="L73" s="1428"/>
      <c r="M73" s="1027"/>
      <c r="N73" s="1097">
        <f t="shared" si="45"/>
        <v>0.6149</v>
      </c>
      <c r="O73" s="1098"/>
      <c r="P73" s="1098"/>
      <c r="Q73" s="1098"/>
      <c r="R73" s="1098"/>
      <c r="S73" s="1099"/>
      <c r="T73" s="1027"/>
      <c r="U73" s="427">
        <f t="shared" si="56"/>
        <v>6.1099999999999994</v>
      </c>
      <c r="V73" s="429"/>
      <c r="W73" s="429"/>
      <c r="X73" s="429"/>
      <c r="Y73" s="428"/>
      <c r="Z73" s="1027"/>
      <c r="AA73" s="1104"/>
      <c r="AB73" s="1397"/>
      <c r="AC73" s="1397"/>
      <c r="AD73" s="1118"/>
      <c r="AE73" s="1028"/>
      <c r="AF73" s="427"/>
      <c r="AG73" s="429"/>
      <c r="AH73" s="435"/>
      <c r="AI73" s="435"/>
      <c r="AJ73" s="435"/>
      <c r="AK73" s="429">
        <f t="shared" si="57"/>
        <v>0.6149</v>
      </c>
      <c r="AL73" s="429"/>
      <c r="AM73" s="429"/>
      <c r="AN73" s="438"/>
      <c r="AO73" s="1029"/>
      <c r="AP73" s="427"/>
      <c r="AQ73" s="429"/>
      <c r="AR73" s="429"/>
      <c r="AS73" s="429"/>
      <c r="AT73" s="429"/>
      <c r="AU73" s="1275"/>
      <c r="AV73" s="1275"/>
      <c r="AW73" s="1275">
        <v>1</v>
      </c>
      <c r="AX73" s="427"/>
      <c r="AY73" s="429"/>
      <c r="AZ73" s="429"/>
      <c r="BA73" s="429"/>
      <c r="BB73" s="429"/>
      <c r="BC73" s="429"/>
      <c r="BD73" s="429"/>
      <c r="BE73" s="429"/>
      <c r="BF73" s="429"/>
      <c r="BG73" s="428"/>
      <c r="BH73" s="1033"/>
      <c r="BI73" s="1104"/>
      <c r="BJ73" s="1048"/>
      <c r="BK73" s="1048">
        <f t="shared" si="46"/>
        <v>0.6149</v>
      </c>
      <c r="BL73" s="1048"/>
      <c r="BM73" s="1048"/>
      <c r="BN73" s="1048"/>
      <c r="BO73" s="1049"/>
      <c r="BP73" s="1050"/>
      <c r="BQ73" s="1204"/>
      <c r="BR73" s="429"/>
      <c r="BS73" s="1275"/>
      <c r="BT73" s="428"/>
      <c r="BU73" s="1293"/>
      <c r="BV73" s="427"/>
      <c r="BW73" s="428"/>
      <c r="BX73" s="427"/>
      <c r="BY73" s="429">
        <f t="shared" si="50"/>
        <v>6.1099999999999994</v>
      </c>
      <c r="BZ73" s="1275"/>
      <c r="CA73" s="427"/>
      <c r="CB73" s="429">
        <f t="shared" si="51"/>
        <v>0.6149</v>
      </c>
      <c r="CC73" s="428"/>
      <c r="CE73" s="427"/>
      <c r="CF73" s="429"/>
      <c r="CG73" s="429"/>
      <c r="CH73" s="429"/>
      <c r="CI73" s="428"/>
      <c r="CJ73" s="1204"/>
      <c r="CK73" s="429"/>
      <c r="CL73" s="429"/>
      <c r="CM73" s="429"/>
      <c r="CN73" s="429"/>
      <c r="CO73" s="429"/>
      <c r="CP73" s="429"/>
      <c r="CQ73" s="429"/>
      <c r="CR73" s="429"/>
      <c r="CS73" s="429"/>
      <c r="CT73" s="429"/>
      <c r="CU73" s="428"/>
      <c r="CV73" s="1377"/>
      <c r="CW73" s="1047"/>
      <c r="CX73" s="1048"/>
      <c r="CY73" s="1048"/>
      <c r="CZ73" s="1049"/>
      <c r="DA73" s="1050"/>
      <c r="DB73" s="1046"/>
      <c r="DC73" s="1048"/>
      <c r="DD73" s="1048"/>
      <c r="DE73" s="1048"/>
      <c r="DF73" s="1050"/>
    </row>
    <row r="74" spans="1:110" s="1010" customFormat="1" ht="13">
      <c r="A74" s="2262"/>
      <c r="B74" s="1074">
        <v>53</v>
      </c>
      <c r="C74" s="1199" t="s">
        <v>2109</v>
      </c>
      <c r="D74" s="1105">
        <v>0</v>
      </c>
      <c r="E74" s="1106">
        <v>0</v>
      </c>
      <c r="F74" s="1065">
        <v>10.4</v>
      </c>
      <c r="G74" s="1066">
        <v>16.52</v>
      </c>
      <c r="H74" s="1067">
        <v>0</v>
      </c>
      <c r="I74" s="1068">
        <f t="shared" si="42"/>
        <v>16.52</v>
      </c>
      <c r="J74" s="1107">
        <v>2.2000000000000002</v>
      </c>
      <c r="K74" s="1429"/>
      <c r="L74" s="1430"/>
      <c r="M74" s="1027"/>
      <c r="N74" s="1146"/>
      <c r="O74" s="1162"/>
      <c r="P74" s="1162"/>
      <c r="Q74" s="1162"/>
      <c r="R74" s="1162">
        <f t="shared" ref="R74:S74" si="58">$F74</f>
        <v>10.4</v>
      </c>
      <c r="S74" s="1163">
        <f t="shared" si="58"/>
        <v>10.4</v>
      </c>
      <c r="T74" s="1027"/>
      <c r="U74" s="432"/>
      <c r="V74" s="430"/>
      <c r="W74" s="430"/>
      <c r="X74" s="430"/>
      <c r="Y74" s="431"/>
      <c r="Z74" s="1027"/>
      <c r="AA74" s="1146"/>
      <c r="AB74" s="1396"/>
      <c r="AC74" s="1396"/>
      <c r="AD74" s="1163">
        <f t="shared" ref="AD74" si="59">$F74</f>
        <v>10.4</v>
      </c>
      <c r="AE74" s="1028"/>
      <c r="AF74" s="432"/>
      <c r="AG74" s="430">
        <f>+F74</f>
        <v>10.4</v>
      </c>
      <c r="AH74" s="1222">
        <f>+G74</f>
        <v>16.52</v>
      </c>
      <c r="AI74" s="1222"/>
      <c r="AJ74" s="1222"/>
      <c r="AK74" s="430"/>
      <c r="AL74" s="430"/>
      <c r="AM74" s="430"/>
      <c r="AN74" s="1223"/>
      <c r="AO74" s="1029"/>
      <c r="AP74" s="432"/>
      <c r="AQ74" s="430"/>
      <c r="AR74" s="430"/>
      <c r="AS74" s="430"/>
      <c r="AT74" s="430"/>
      <c r="AU74" s="1277"/>
      <c r="AV74" s="1277"/>
      <c r="AW74" s="1277"/>
      <c r="AX74" s="432"/>
      <c r="AY74" s="430"/>
      <c r="AZ74" s="430"/>
      <c r="BA74" s="430"/>
      <c r="BB74" s="430"/>
      <c r="BC74" s="430"/>
      <c r="BD74" s="430"/>
      <c r="BE74" s="430"/>
      <c r="BF74" s="430"/>
      <c r="BG74" s="431"/>
      <c r="BH74" s="1033"/>
      <c r="BI74" s="1146"/>
      <c r="BJ74" s="1053"/>
      <c r="BK74" s="1053">
        <f t="shared" si="46"/>
        <v>10.4</v>
      </c>
      <c r="BL74" s="1053"/>
      <c r="BM74" s="1053"/>
      <c r="BN74" s="1053"/>
      <c r="BO74" s="1055"/>
      <c r="BP74" s="1054"/>
      <c r="BQ74" s="1205"/>
      <c r="BR74" s="430"/>
      <c r="BS74" s="1277">
        <f>+I74</f>
        <v>16.52</v>
      </c>
      <c r="BT74" s="431"/>
      <c r="BU74" s="1293"/>
      <c r="BV74" s="432"/>
      <c r="BW74" s="431"/>
      <c r="BX74" s="432"/>
      <c r="BY74" s="430"/>
      <c r="BZ74" s="1277"/>
      <c r="CA74" s="432"/>
      <c r="CB74" s="430"/>
      <c r="CC74" s="431">
        <f t="shared" si="47"/>
        <v>10.4</v>
      </c>
      <c r="CE74" s="432"/>
      <c r="CF74" s="430"/>
      <c r="CG74" s="430"/>
      <c r="CH74" s="430"/>
      <c r="CI74" s="431">
        <f>+CJ74</f>
        <v>3</v>
      </c>
      <c r="CJ74" s="1205">
        <v>3</v>
      </c>
      <c r="CK74" s="430"/>
      <c r="CL74" s="430"/>
      <c r="CM74" s="430"/>
      <c r="CN74" s="430"/>
      <c r="CO74" s="430">
        <v>1</v>
      </c>
      <c r="CP74" s="430"/>
      <c r="CQ74" s="430"/>
      <c r="CR74" s="430"/>
      <c r="CS74" s="430"/>
      <c r="CT74" s="430"/>
      <c r="CU74" s="431"/>
      <c r="CV74" s="1377"/>
      <c r="CW74" s="1052"/>
      <c r="CX74" s="1053"/>
      <c r="CY74" s="1053"/>
      <c r="CZ74" s="1055"/>
      <c r="DA74" s="1054"/>
      <c r="DB74" s="1070"/>
      <c r="DC74" s="1053"/>
      <c r="DD74" s="1053"/>
      <c r="DE74" s="1053"/>
      <c r="DF74" s="1054"/>
    </row>
    <row r="75" spans="1:110" s="1010" customFormat="1" ht="13">
      <c r="A75" s="2262"/>
      <c r="B75" s="1074">
        <v>54</v>
      </c>
      <c r="C75" s="1197" t="s">
        <v>2110</v>
      </c>
      <c r="D75" s="1088">
        <v>2.56</v>
      </c>
      <c r="E75" s="1089">
        <v>1.1000000000000001</v>
      </c>
      <c r="F75" s="1090">
        <f t="shared" ref="F75:F76" si="60">D75*E75</f>
        <v>2.8160000000000003</v>
      </c>
      <c r="G75" s="1091">
        <v>7.33</v>
      </c>
      <c r="H75" s="1092">
        <f>1.1+1.2</f>
        <v>2.2999999999999998</v>
      </c>
      <c r="I75" s="1093">
        <f>+G75-H75</f>
        <v>5.03</v>
      </c>
      <c r="J75" s="1091">
        <v>2.4</v>
      </c>
      <c r="K75" s="1419"/>
      <c r="L75" s="1420"/>
      <c r="M75" s="1027"/>
      <c r="N75" s="1149">
        <f t="shared" ref="N75:N79" si="61">$F75</f>
        <v>2.8160000000000003</v>
      </c>
      <c r="O75" s="1160"/>
      <c r="P75" s="1160"/>
      <c r="Q75" s="1160"/>
      <c r="R75" s="1160"/>
      <c r="S75" s="1161"/>
      <c r="T75" s="1027"/>
      <c r="U75" s="434">
        <f>+$I75*$J75</f>
        <v>12.072000000000001</v>
      </c>
      <c r="V75" s="433">
        <f>+W75*J75</f>
        <v>4.8</v>
      </c>
      <c r="W75" s="433">
        <v>2</v>
      </c>
      <c r="X75" s="433"/>
      <c r="Y75" s="426"/>
      <c r="Z75" s="1027"/>
      <c r="AA75" s="1149"/>
      <c r="AB75" s="1395"/>
      <c r="AC75" s="1395"/>
      <c r="AD75" s="1161"/>
      <c r="AE75" s="1028"/>
      <c r="AF75" s="1272">
        <f t="shared" ref="AF75:AF78" si="62">$F75</f>
        <v>2.8160000000000003</v>
      </c>
      <c r="AG75" s="1273"/>
      <c r="AH75" s="429">
        <f>$G75</f>
        <v>7.33</v>
      </c>
      <c r="AI75" s="440"/>
      <c r="AJ75" s="440"/>
      <c r="AK75" s="1273"/>
      <c r="AL75" s="1273"/>
      <c r="AM75" s="1273"/>
      <c r="AN75" s="441"/>
      <c r="AO75" s="1029"/>
      <c r="AP75" s="1272">
        <v>1</v>
      </c>
      <c r="AQ75" s="1273"/>
      <c r="AR75" s="1273"/>
      <c r="AS75" s="1273"/>
      <c r="AT75" s="1273"/>
      <c r="AU75" s="1274"/>
      <c r="AV75" s="1274"/>
      <c r="AW75" s="1274"/>
      <c r="AX75" s="434"/>
      <c r="AY75" s="433"/>
      <c r="AZ75" s="433"/>
      <c r="BA75" s="433"/>
      <c r="BB75" s="433"/>
      <c r="BC75" s="433"/>
      <c r="BD75" s="433"/>
      <c r="BE75" s="433"/>
      <c r="BF75" s="433"/>
      <c r="BG75" s="426"/>
      <c r="BH75" s="1033"/>
      <c r="BI75" s="1149"/>
      <c r="BJ75" s="1035"/>
      <c r="BK75" s="1035">
        <f t="shared" si="55"/>
        <v>2.8160000000000003</v>
      </c>
      <c r="BL75" s="1035"/>
      <c r="BM75" s="1035"/>
      <c r="BN75" s="1035"/>
      <c r="BO75" s="1037"/>
      <c r="BP75" s="1036"/>
      <c r="BQ75" s="1292">
        <f>+I75</f>
        <v>5.03</v>
      </c>
      <c r="BR75" s="1273"/>
      <c r="BS75" s="1274"/>
      <c r="BT75" s="1294"/>
      <c r="BU75" s="1293"/>
      <c r="BV75" s="434"/>
      <c r="BW75" s="426"/>
      <c r="BX75" s="434"/>
      <c r="BY75" s="433">
        <f>+I75*J75</f>
        <v>12.072000000000001</v>
      </c>
      <c r="BZ75" s="1280"/>
      <c r="CA75" s="434"/>
      <c r="CB75" s="433"/>
      <c r="CC75" s="426">
        <f>+F75</f>
        <v>2.8160000000000003</v>
      </c>
      <c r="CE75" s="1175"/>
      <c r="CF75" s="440"/>
      <c r="CG75" s="440"/>
      <c r="CH75" s="440"/>
      <c r="CI75" s="441">
        <v>1</v>
      </c>
      <c r="CJ75" s="1207">
        <v>2</v>
      </c>
      <c r="CK75" s="440"/>
      <c r="CL75" s="440">
        <v>3</v>
      </c>
      <c r="CM75" s="440"/>
      <c r="CN75" s="440"/>
      <c r="CO75" s="440"/>
      <c r="CP75" s="440"/>
      <c r="CQ75" s="440"/>
      <c r="CR75" s="440"/>
      <c r="CS75" s="440">
        <v>1</v>
      </c>
      <c r="CT75" s="440"/>
      <c r="CU75" s="441">
        <v>1</v>
      </c>
      <c r="CV75" s="1378"/>
      <c r="CW75" s="1097"/>
      <c r="CX75" s="1098"/>
      <c r="CY75" s="1098"/>
      <c r="CZ75" s="1114"/>
      <c r="DA75" s="1099"/>
      <c r="DB75" s="1100"/>
      <c r="DC75" s="1098"/>
      <c r="DD75" s="1098"/>
      <c r="DE75" s="1098"/>
      <c r="DF75" s="1099"/>
    </row>
    <row r="76" spans="1:110" s="1010" customFormat="1" ht="13">
      <c r="A76" s="2262"/>
      <c r="B76" s="1074">
        <v>55</v>
      </c>
      <c r="C76" s="1198" t="s">
        <v>2111</v>
      </c>
      <c r="D76" s="1101">
        <v>1.2</v>
      </c>
      <c r="E76" s="1102">
        <v>0.62</v>
      </c>
      <c r="F76" s="1051">
        <f t="shared" si="60"/>
        <v>0.74399999999999999</v>
      </c>
      <c r="G76" s="1042">
        <v>3.63</v>
      </c>
      <c r="H76" s="1043">
        <f>+D76</f>
        <v>1.2</v>
      </c>
      <c r="I76" s="1044">
        <f>+G76-H76</f>
        <v>2.4299999999999997</v>
      </c>
      <c r="J76" s="1025">
        <v>2.4</v>
      </c>
      <c r="K76" s="1334"/>
      <c r="L76" s="1421"/>
      <c r="M76" s="1027"/>
      <c r="N76" s="1097">
        <f t="shared" si="61"/>
        <v>0.74399999999999999</v>
      </c>
      <c r="O76" s="1098"/>
      <c r="P76" s="1098"/>
      <c r="Q76" s="1098"/>
      <c r="R76" s="1117"/>
      <c r="S76" s="1118"/>
      <c r="T76" s="1027"/>
      <c r="U76" s="427">
        <f>+$I76*$J76</f>
        <v>5.831999999999999</v>
      </c>
      <c r="V76" s="429"/>
      <c r="W76" s="429"/>
      <c r="X76" s="429"/>
      <c r="Y76" s="428"/>
      <c r="Z76" s="1027"/>
      <c r="AA76" s="1104"/>
      <c r="AB76" s="1397"/>
      <c r="AC76" s="1397"/>
      <c r="AD76" s="1118"/>
      <c r="AE76" s="1028"/>
      <c r="AF76" s="1272">
        <f t="shared" si="62"/>
        <v>0.74399999999999999</v>
      </c>
      <c r="AG76" s="1273"/>
      <c r="AH76" s="429">
        <f>$G76</f>
        <v>3.63</v>
      </c>
      <c r="AI76" s="440"/>
      <c r="AJ76" s="440"/>
      <c r="AK76" s="429"/>
      <c r="AL76" s="429"/>
      <c r="AM76" s="429"/>
      <c r="AN76" s="441"/>
      <c r="AO76" s="1029"/>
      <c r="AP76" s="427"/>
      <c r="AQ76" s="429"/>
      <c r="AR76" s="429"/>
      <c r="AS76" s="429"/>
      <c r="AT76" s="429"/>
      <c r="AU76" s="1275"/>
      <c r="AV76" s="1275"/>
      <c r="AW76" s="1275">
        <v>1</v>
      </c>
      <c r="AX76" s="427"/>
      <c r="AY76" s="429"/>
      <c r="AZ76" s="429"/>
      <c r="BA76" s="429"/>
      <c r="BB76" s="429"/>
      <c r="BC76" s="429"/>
      <c r="BD76" s="429"/>
      <c r="BE76" s="429"/>
      <c r="BF76" s="429"/>
      <c r="BG76" s="428"/>
      <c r="BH76" s="1033"/>
      <c r="BI76" s="1104"/>
      <c r="BJ76" s="1048"/>
      <c r="BK76" s="1048">
        <f t="shared" si="55"/>
        <v>0.74399999999999999</v>
      </c>
      <c r="BL76" s="1048"/>
      <c r="BM76" s="1048"/>
      <c r="BN76" s="1048"/>
      <c r="BO76" s="1049"/>
      <c r="BP76" s="1050"/>
      <c r="BQ76" s="1204"/>
      <c r="BR76" s="429"/>
      <c r="BS76" s="1275"/>
      <c r="BT76" s="428"/>
      <c r="BU76" s="1293"/>
      <c r="BV76" s="427"/>
      <c r="BW76" s="428"/>
      <c r="BX76" s="427"/>
      <c r="BY76" s="429">
        <f t="shared" ref="BY76:BY79" si="63">+I76*J76</f>
        <v>5.831999999999999</v>
      </c>
      <c r="BZ76" s="1275"/>
      <c r="CA76" s="427"/>
      <c r="CB76" s="429"/>
      <c r="CC76" s="428">
        <f t="shared" ref="CC76:CC80" si="64">+F76</f>
        <v>0.74399999999999999</v>
      </c>
      <c r="CE76" s="427"/>
      <c r="CF76" s="429"/>
      <c r="CG76" s="429"/>
      <c r="CH76" s="429"/>
      <c r="CI76" s="428"/>
      <c r="CJ76" s="1204"/>
      <c r="CK76" s="429"/>
      <c r="CL76" s="429"/>
      <c r="CM76" s="429"/>
      <c r="CN76" s="429"/>
      <c r="CO76" s="429"/>
      <c r="CP76" s="429"/>
      <c r="CQ76" s="429"/>
      <c r="CR76" s="429"/>
      <c r="CS76" s="429"/>
      <c r="CT76" s="429"/>
      <c r="CU76" s="428"/>
      <c r="CV76" s="1377"/>
      <c r="CW76" s="1047"/>
      <c r="CX76" s="1048"/>
      <c r="CY76" s="1048"/>
      <c r="CZ76" s="1049"/>
      <c r="DA76" s="1050"/>
      <c r="DB76" s="1046"/>
      <c r="DC76" s="1048"/>
      <c r="DD76" s="1048"/>
      <c r="DE76" s="1048"/>
      <c r="DF76" s="1050"/>
    </row>
    <row r="77" spans="1:110" s="1010" customFormat="1" ht="13">
      <c r="A77" s="2262"/>
      <c r="B77" s="1022">
        <v>56</v>
      </c>
      <c r="C77" s="1197" t="s">
        <v>2112</v>
      </c>
      <c r="D77" s="1101">
        <v>0</v>
      </c>
      <c r="E77" s="1102">
        <v>0</v>
      </c>
      <c r="F77" s="1051">
        <v>4.51</v>
      </c>
      <c r="G77" s="1042">
        <v>9.7899999999999991</v>
      </c>
      <c r="H77" s="1103">
        <v>0</v>
      </c>
      <c r="I77" s="1044">
        <f>+G77-H77</f>
        <v>9.7899999999999991</v>
      </c>
      <c r="J77" s="1025">
        <v>2.2000000000000002</v>
      </c>
      <c r="K77" s="1334">
        <v>2.2000000000000002</v>
      </c>
      <c r="L77" s="1421"/>
      <c r="M77" s="1027"/>
      <c r="N77" s="1097"/>
      <c r="O77" s="1098"/>
      <c r="P77" s="1098"/>
      <c r="Q77" s="1098"/>
      <c r="R77" s="1117">
        <f t="shared" ref="R77:S77" si="65">$F77</f>
        <v>4.51</v>
      </c>
      <c r="S77" s="1118">
        <f t="shared" si="65"/>
        <v>4.51</v>
      </c>
      <c r="T77" s="1027"/>
      <c r="U77" s="427"/>
      <c r="V77" s="429"/>
      <c r="W77" s="429"/>
      <c r="X77" s="429">
        <f>+$I77*$J77</f>
        <v>21.538</v>
      </c>
      <c r="Y77" s="428"/>
      <c r="Z77" s="1027"/>
      <c r="AA77" s="1104">
        <f t="shared" ref="AA77" si="66">$F77</f>
        <v>4.51</v>
      </c>
      <c r="AB77" s="1397"/>
      <c r="AC77" s="1397"/>
      <c r="AD77" s="1118"/>
      <c r="AE77" s="1028"/>
      <c r="AF77" s="1272"/>
      <c r="AG77" s="1273">
        <f>$F77</f>
        <v>4.51</v>
      </c>
      <c r="AH77" s="440">
        <f>$G77</f>
        <v>9.7899999999999991</v>
      </c>
      <c r="AI77" s="440"/>
      <c r="AJ77" s="440"/>
      <c r="AK77" s="429"/>
      <c r="AL77" s="429"/>
      <c r="AM77" s="429"/>
      <c r="AN77" s="441"/>
      <c r="AO77" s="1029"/>
      <c r="AP77" s="427"/>
      <c r="AQ77" s="429">
        <v>1</v>
      </c>
      <c r="AR77" s="429"/>
      <c r="AS77" s="429"/>
      <c r="AT77" s="1276"/>
      <c r="AU77" s="1276"/>
      <c r="AV77" s="1275"/>
      <c r="AW77" s="1275"/>
      <c r="AX77" s="427"/>
      <c r="AY77" s="429"/>
      <c r="AZ77" s="429"/>
      <c r="BA77" s="429"/>
      <c r="BB77" s="429"/>
      <c r="BC77" s="429"/>
      <c r="BD77" s="429"/>
      <c r="BE77" s="429"/>
      <c r="BF77" s="429"/>
      <c r="BG77" s="428"/>
      <c r="BH77" s="1033"/>
      <c r="BI77" s="1104"/>
      <c r="BJ77" s="1048"/>
      <c r="BK77" s="1048"/>
      <c r="BL77" s="1048">
        <f t="shared" si="55"/>
        <v>4.51</v>
      </c>
      <c r="BM77" s="1048"/>
      <c r="BN77" s="1048"/>
      <c r="BO77" s="1049"/>
      <c r="BP77" s="1050"/>
      <c r="BQ77" s="1204"/>
      <c r="BR77" s="429"/>
      <c r="BS77" s="1275"/>
      <c r="BT77" s="428"/>
      <c r="BU77" s="1293"/>
      <c r="BV77" s="427"/>
      <c r="BW77" s="428">
        <f>+I77*K77</f>
        <v>21.538</v>
      </c>
      <c r="BX77" s="427"/>
      <c r="BY77" s="429"/>
      <c r="BZ77" s="1275"/>
      <c r="CA77" s="427"/>
      <c r="CB77" s="429"/>
      <c r="CC77" s="428">
        <f t="shared" si="64"/>
        <v>4.51</v>
      </c>
      <c r="CE77" s="427">
        <v>1</v>
      </c>
      <c r="CF77" s="429"/>
      <c r="CG77" s="429"/>
      <c r="CH77" s="429"/>
      <c r="CI77" s="428"/>
      <c r="CJ77" s="1204">
        <v>3</v>
      </c>
      <c r="CK77" s="429"/>
      <c r="CL77" s="429">
        <v>1</v>
      </c>
      <c r="CM77" s="429"/>
      <c r="CN77" s="429">
        <v>1</v>
      </c>
      <c r="CO77" s="429"/>
      <c r="CP77" s="429"/>
      <c r="CQ77" s="429"/>
      <c r="CR77" s="429"/>
      <c r="CS77" s="429"/>
      <c r="CT77" s="429"/>
      <c r="CU77" s="428"/>
      <c r="CV77" s="1377"/>
      <c r="CW77" s="1047">
        <v>1</v>
      </c>
      <c r="CX77" s="1048">
        <v>1</v>
      </c>
      <c r="CY77" s="1048">
        <v>1</v>
      </c>
      <c r="CZ77" s="1049"/>
      <c r="DA77" s="1050"/>
      <c r="DB77" s="1046">
        <v>1</v>
      </c>
      <c r="DC77" s="1048">
        <v>1</v>
      </c>
      <c r="DD77" s="1048">
        <v>1</v>
      </c>
      <c r="DE77" s="1048">
        <v>1</v>
      </c>
      <c r="DF77" s="1050"/>
    </row>
    <row r="78" spans="1:110" s="1010" customFormat="1" ht="13">
      <c r="A78" s="2262"/>
      <c r="B78" s="1074">
        <v>57</v>
      </c>
      <c r="C78" s="1197" t="s">
        <v>2113</v>
      </c>
      <c r="D78" s="1101">
        <v>1.9</v>
      </c>
      <c r="E78" s="1102">
        <v>3.59</v>
      </c>
      <c r="F78" s="1051">
        <f t="shared" ref="F78" si="67">D78*E78</f>
        <v>6.8209999999999997</v>
      </c>
      <c r="G78" s="1042">
        <v>10.95</v>
      </c>
      <c r="H78" s="1103">
        <f>3.6+1.1</f>
        <v>4.7</v>
      </c>
      <c r="I78" s="1044">
        <f t="shared" ref="I78:I95" si="68">+G78-H78</f>
        <v>6.2499999999999991</v>
      </c>
      <c r="J78" s="1025">
        <v>2.4</v>
      </c>
      <c r="K78" s="1334">
        <v>0.6</v>
      </c>
      <c r="L78" s="1325">
        <v>3.07</v>
      </c>
      <c r="M78" s="1027"/>
      <c r="N78" s="1104">
        <f t="shared" si="61"/>
        <v>6.8209999999999997</v>
      </c>
      <c r="O78" s="1098"/>
      <c r="P78" s="1098"/>
      <c r="Q78" s="1098"/>
      <c r="R78" s="1117"/>
      <c r="S78" s="1118"/>
      <c r="T78" s="1027"/>
      <c r="U78" s="1317">
        <f>(I78*J78)-X78</f>
        <v>7.631999999999997</v>
      </c>
      <c r="V78" s="429">
        <f>+W78*J78</f>
        <v>2.4</v>
      </c>
      <c r="W78" s="429">
        <v>1</v>
      </c>
      <c r="X78" s="429">
        <f>+L78*J78</f>
        <v>7.3679999999999994</v>
      </c>
      <c r="Y78" s="428"/>
      <c r="Z78" s="1027"/>
      <c r="AA78" s="1104"/>
      <c r="AB78" s="1397"/>
      <c r="AC78" s="1397"/>
      <c r="AD78" s="1118"/>
      <c r="AE78" s="1028"/>
      <c r="AF78" s="1272">
        <f t="shared" si="62"/>
        <v>6.8209999999999997</v>
      </c>
      <c r="AG78" s="1273"/>
      <c r="AH78" s="429">
        <f>$G78</f>
        <v>10.95</v>
      </c>
      <c r="AI78" s="440">
        <v>3.6</v>
      </c>
      <c r="AJ78" s="440"/>
      <c r="AK78" s="429"/>
      <c r="AL78" s="429"/>
      <c r="AM78" s="429"/>
      <c r="AN78" s="441"/>
      <c r="AO78" s="1029"/>
      <c r="AP78" s="427"/>
      <c r="AQ78" s="429"/>
      <c r="AR78" s="429"/>
      <c r="AS78" s="429"/>
      <c r="AT78" s="429"/>
      <c r="AU78" s="1275"/>
      <c r="AV78" s="1275"/>
      <c r="AW78" s="1275"/>
      <c r="AX78" s="427"/>
      <c r="AY78" s="429"/>
      <c r="AZ78" s="429"/>
      <c r="BA78" s="429"/>
      <c r="BB78" s="429"/>
      <c r="BC78" s="429"/>
      <c r="BD78" s="429"/>
      <c r="BE78" s="429"/>
      <c r="BF78" s="429"/>
      <c r="BG78" s="428"/>
      <c r="BH78" s="1033"/>
      <c r="BI78" s="1104"/>
      <c r="BJ78" s="1048"/>
      <c r="BK78" s="1048">
        <f t="shared" si="55"/>
        <v>6.8209999999999997</v>
      </c>
      <c r="BL78" s="1048"/>
      <c r="BM78" s="1048"/>
      <c r="BN78" s="1048"/>
      <c r="BO78" s="1049"/>
      <c r="BP78" s="1050"/>
      <c r="BQ78" s="1204">
        <f>+I78</f>
        <v>6.2499999999999991</v>
      </c>
      <c r="BR78" s="429"/>
      <c r="BS78" s="1275"/>
      <c r="BT78" s="428"/>
      <c r="BU78" s="1293"/>
      <c r="BV78" s="427">
        <f>+K78*L78</f>
        <v>1.8419999999999999</v>
      </c>
      <c r="BW78" s="428"/>
      <c r="BX78" s="427"/>
      <c r="BY78" s="1314">
        <f>+I78*J78-BV78</f>
        <v>13.157999999999996</v>
      </c>
      <c r="BZ78" s="1275"/>
      <c r="CA78" s="427"/>
      <c r="CB78" s="429"/>
      <c r="CC78" s="428">
        <f t="shared" si="64"/>
        <v>6.8209999999999997</v>
      </c>
      <c r="CE78" s="427"/>
      <c r="CF78" s="429"/>
      <c r="CG78" s="429"/>
      <c r="CH78" s="429"/>
      <c r="CI78" s="428"/>
      <c r="CJ78" s="1204">
        <v>3</v>
      </c>
      <c r="CK78" s="429">
        <v>1</v>
      </c>
      <c r="CL78" s="429"/>
      <c r="CM78" s="429"/>
      <c r="CN78" s="429">
        <v>3</v>
      </c>
      <c r="CO78" s="429">
        <v>4</v>
      </c>
      <c r="CP78" s="429"/>
      <c r="CQ78" s="429"/>
      <c r="CR78" s="429"/>
      <c r="CS78" s="429"/>
      <c r="CT78" s="429"/>
      <c r="CU78" s="428"/>
      <c r="CV78" s="1377"/>
      <c r="CW78" s="1047"/>
      <c r="CX78" s="1048"/>
      <c r="CY78" s="1048"/>
      <c r="CZ78" s="1049"/>
      <c r="DA78" s="1050">
        <v>1</v>
      </c>
      <c r="DB78" s="1046"/>
      <c r="DC78" s="1048"/>
      <c r="DD78" s="1048"/>
      <c r="DE78" s="1048"/>
      <c r="DF78" s="1050">
        <v>1</v>
      </c>
    </row>
    <row r="79" spans="1:110" s="1010" customFormat="1" ht="13">
      <c r="A79" s="2262"/>
      <c r="B79" s="1074">
        <v>58</v>
      </c>
      <c r="C79" s="1197" t="s">
        <v>2114</v>
      </c>
      <c r="D79" s="1101">
        <v>0</v>
      </c>
      <c r="E79" s="1102">
        <v>0</v>
      </c>
      <c r="F79" s="1051">
        <v>17.47</v>
      </c>
      <c r="G79" s="1042">
        <v>17.11</v>
      </c>
      <c r="H79" s="1043">
        <v>3.6</v>
      </c>
      <c r="I79" s="1044">
        <f t="shared" si="68"/>
        <v>13.51</v>
      </c>
      <c r="J79" s="1025">
        <v>2.6</v>
      </c>
      <c r="K79" s="1334"/>
      <c r="L79" s="1421"/>
      <c r="M79" s="1027"/>
      <c r="N79" s="1097">
        <f t="shared" si="61"/>
        <v>17.47</v>
      </c>
      <c r="O79" s="1098"/>
      <c r="P79" s="1098"/>
      <c r="Q79" s="1098"/>
      <c r="R79" s="1117"/>
      <c r="S79" s="1118"/>
      <c r="T79" s="1027"/>
      <c r="U79" s="427">
        <f>+$I79*$J79</f>
        <v>35.125999999999998</v>
      </c>
      <c r="V79" s="429">
        <f>+W79*J79</f>
        <v>7.8000000000000007</v>
      </c>
      <c r="W79" s="429">
        <v>3</v>
      </c>
      <c r="X79" s="429"/>
      <c r="Y79" s="428"/>
      <c r="Z79" s="1027"/>
      <c r="AA79" s="1104"/>
      <c r="AB79" s="1397"/>
      <c r="AC79" s="1397"/>
      <c r="AD79" s="1118"/>
      <c r="AE79" s="1028"/>
      <c r="AF79" s="1272"/>
      <c r="AG79" s="1273"/>
      <c r="AH79" s="440"/>
      <c r="AI79" s="440"/>
      <c r="AJ79" s="440"/>
      <c r="AK79" s="429">
        <f t="shared" ref="AK79" si="69">$F79</f>
        <v>17.47</v>
      </c>
      <c r="AL79" s="429">
        <f>+G79</f>
        <v>17.11</v>
      </c>
      <c r="AM79" s="429"/>
      <c r="AN79" s="441"/>
      <c r="AO79" s="1029"/>
      <c r="AP79" s="427"/>
      <c r="AQ79" s="429"/>
      <c r="AR79" s="429"/>
      <c r="AS79" s="429"/>
      <c r="AT79" s="429"/>
      <c r="AU79" s="1275"/>
      <c r="AV79" s="1275"/>
      <c r="AW79" s="1275"/>
      <c r="AX79" s="427"/>
      <c r="AY79" s="429"/>
      <c r="AZ79" s="429"/>
      <c r="BA79" s="429"/>
      <c r="BB79" s="429">
        <v>1</v>
      </c>
      <c r="BC79" s="429"/>
      <c r="BD79" s="429"/>
      <c r="BE79" s="429"/>
      <c r="BF79" s="429"/>
      <c r="BG79" s="428"/>
      <c r="BH79" s="1033"/>
      <c r="BI79" s="1104"/>
      <c r="BJ79" s="1048"/>
      <c r="BK79" s="1048">
        <f t="shared" si="55"/>
        <v>17.47</v>
      </c>
      <c r="BL79" s="1048"/>
      <c r="BM79" s="1048"/>
      <c r="BN79" s="1048"/>
      <c r="BO79" s="1049"/>
      <c r="BP79" s="1050"/>
      <c r="BQ79" s="1204">
        <f>+I79</f>
        <v>13.51</v>
      </c>
      <c r="BR79" s="429"/>
      <c r="BS79" s="1275"/>
      <c r="BT79" s="428"/>
      <c r="BU79" s="1293"/>
      <c r="BV79" s="427"/>
      <c r="BW79" s="428"/>
      <c r="BX79" s="427"/>
      <c r="BY79" s="429">
        <f t="shared" si="63"/>
        <v>35.125999999999998</v>
      </c>
      <c r="BZ79" s="1275"/>
      <c r="CA79" s="427"/>
      <c r="CB79" s="429">
        <f t="shared" ref="CB79" si="70">+F79</f>
        <v>17.47</v>
      </c>
      <c r="CC79" s="428"/>
      <c r="CE79" s="427"/>
      <c r="CF79" s="429"/>
      <c r="CG79" s="429"/>
      <c r="CH79" s="429"/>
      <c r="CI79" s="428"/>
      <c r="CJ79" s="1204">
        <v>2</v>
      </c>
      <c r="CK79" s="429"/>
      <c r="CL79" s="429">
        <v>2</v>
      </c>
      <c r="CM79" s="429"/>
      <c r="CN79" s="429">
        <v>1</v>
      </c>
      <c r="CO79" s="429">
        <v>5</v>
      </c>
      <c r="CP79" s="429">
        <v>1</v>
      </c>
      <c r="CQ79" s="429">
        <v>1</v>
      </c>
      <c r="CR79" s="429">
        <v>1</v>
      </c>
      <c r="CS79" s="429"/>
      <c r="CT79" s="429"/>
      <c r="CU79" s="428"/>
      <c r="CV79" s="1377"/>
      <c r="CW79" s="1047"/>
      <c r="CX79" s="1048"/>
      <c r="CY79" s="1048"/>
      <c r="CZ79" s="1049"/>
      <c r="DA79" s="1050"/>
      <c r="DB79" s="1046"/>
      <c r="DC79" s="1048"/>
      <c r="DD79" s="1048"/>
      <c r="DE79" s="1048"/>
      <c r="DF79" s="1050"/>
    </row>
    <row r="80" spans="1:110" s="1010" customFormat="1" ht="13">
      <c r="A80" s="2262"/>
      <c r="B80" s="1074">
        <v>59</v>
      </c>
      <c r="C80" s="1199" t="s">
        <v>2115</v>
      </c>
      <c r="D80" s="1105">
        <v>1.4</v>
      </c>
      <c r="E80" s="1106">
        <v>3.48</v>
      </c>
      <c r="F80" s="1065">
        <f t="shared" ref="F80:F85" si="71">D80*E80</f>
        <v>4.8719999999999999</v>
      </c>
      <c r="G80" s="1066">
        <v>9.75</v>
      </c>
      <c r="H80" s="1067"/>
      <c r="I80" s="1068">
        <f t="shared" si="68"/>
        <v>9.75</v>
      </c>
      <c r="J80" s="1107">
        <v>2.2000000000000002</v>
      </c>
      <c r="K80" s="1429"/>
      <c r="L80" s="1430"/>
      <c r="M80" s="1027"/>
      <c r="N80" s="1148"/>
      <c r="O80" s="1164"/>
      <c r="P80" s="1164"/>
      <c r="Q80" s="1164"/>
      <c r="R80" s="1162">
        <f t="shared" ref="R80:S80" si="72">$F80</f>
        <v>4.8719999999999999</v>
      </c>
      <c r="S80" s="1163">
        <f t="shared" si="72"/>
        <v>4.8719999999999999</v>
      </c>
      <c r="T80" s="1027"/>
      <c r="U80" s="432"/>
      <c r="V80" s="430"/>
      <c r="W80" s="430"/>
      <c r="X80" s="430"/>
      <c r="Y80" s="431"/>
      <c r="Z80" s="1027"/>
      <c r="AA80" s="1146"/>
      <c r="AB80" s="1396"/>
      <c r="AC80" s="1396"/>
      <c r="AD80" s="1163">
        <f t="shared" ref="AD80" si="73">$F80</f>
        <v>4.8719999999999999</v>
      </c>
      <c r="AE80" s="1028"/>
      <c r="AF80" s="1295"/>
      <c r="AG80" s="1296">
        <f t="shared" ref="AG80" si="74">$F80</f>
        <v>4.8719999999999999</v>
      </c>
      <c r="AH80" s="1313">
        <f t="shared" ref="AH80" si="75">$I80</f>
        <v>9.75</v>
      </c>
      <c r="AI80" s="1313"/>
      <c r="AJ80" s="1313"/>
      <c r="AK80" s="430"/>
      <c r="AL80" s="430"/>
      <c r="AM80" s="430"/>
      <c r="AN80" s="1307"/>
      <c r="AO80" s="1029"/>
      <c r="AP80" s="432"/>
      <c r="AQ80" s="430"/>
      <c r="AR80" s="430"/>
      <c r="AS80" s="430"/>
      <c r="AT80" s="430"/>
      <c r="AU80" s="1277"/>
      <c r="AV80" s="1277"/>
      <c r="AW80" s="1277"/>
      <c r="AX80" s="432"/>
      <c r="AY80" s="430"/>
      <c r="AZ80" s="430"/>
      <c r="BA80" s="430"/>
      <c r="BB80" s="430"/>
      <c r="BC80" s="430"/>
      <c r="BD80" s="430"/>
      <c r="BE80" s="430"/>
      <c r="BF80" s="430"/>
      <c r="BG80" s="431"/>
      <c r="BH80" s="1033"/>
      <c r="BI80" s="1146"/>
      <c r="BJ80" s="1053"/>
      <c r="BK80" s="1053">
        <f t="shared" si="55"/>
        <v>4.8719999999999999</v>
      </c>
      <c r="BL80" s="1053"/>
      <c r="BM80" s="1053"/>
      <c r="BN80" s="1053"/>
      <c r="BO80" s="1055"/>
      <c r="BP80" s="1054"/>
      <c r="BQ80" s="1205"/>
      <c r="BR80" s="430"/>
      <c r="BS80" s="1277">
        <f>+I80</f>
        <v>9.75</v>
      </c>
      <c r="BT80" s="431"/>
      <c r="BU80" s="1293"/>
      <c r="BV80" s="432"/>
      <c r="BW80" s="431"/>
      <c r="BX80" s="432"/>
      <c r="BY80" s="430"/>
      <c r="BZ80" s="1277"/>
      <c r="CA80" s="432"/>
      <c r="CB80" s="430"/>
      <c r="CC80" s="431">
        <f t="shared" si="64"/>
        <v>4.8719999999999999</v>
      </c>
      <c r="CE80" s="432"/>
      <c r="CF80" s="430"/>
      <c r="CG80" s="430"/>
      <c r="CH80" s="430"/>
      <c r="CI80" s="431">
        <v>1</v>
      </c>
      <c r="CJ80" s="1205">
        <v>1</v>
      </c>
      <c r="CK80" s="430"/>
      <c r="CL80" s="430"/>
      <c r="CM80" s="430"/>
      <c r="CN80" s="430"/>
      <c r="CO80" s="430"/>
      <c r="CP80" s="430"/>
      <c r="CQ80" s="430"/>
      <c r="CR80" s="430"/>
      <c r="CS80" s="430"/>
      <c r="CT80" s="430"/>
      <c r="CU80" s="431"/>
      <c r="CV80" s="1377"/>
      <c r="CW80" s="1052"/>
      <c r="CX80" s="1053"/>
      <c r="CY80" s="1053"/>
      <c r="CZ80" s="1055"/>
      <c r="DA80" s="1054"/>
      <c r="DB80" s="1070"/>
      <c r="DC80" s="1053"/>
      <c r="DD80" s="1053"/>
      <c r="DE80" s="1053"/>
      <c r="DF80" s="1054"/>
    </row>
    <row r="81" spans="1:140" s="1010" customFormat="1" ht="13">
      <c r="A81" s="2262"/>
      <c r="B81" s="1074">
        <v>60</v>
      </c>
      <c r="C81" s="1197" t="s">
        <v>2116</v>
      </c>
      <c r="D81" s="1109">
        <v>1.1499999999999999</v>
      </c>
      <c r="E81" s="1110">
        <v>1.73</v>
      </c>
      <c r="F81" s="1072">
        <f t="shared" si="71"/>
        <v>1.9894999999999998</v>
      </c>
      <c r="G81" s="1025">
        <v>5.77</v>
      </c>
      <c r="H81" s="1073">
        <v>1.1499999999999999</v>
      </c>
      <c r="I81" s="1026">
        <f t="shared" si="68"/>
        <v>4.6199999999999992</v>
      </c>
      <c r="J81" s="1025">
        <v>2.4</v>
      </c>
      <c r="K81" s="1334"/>
      <c r="L81" s="1428"/>
      <c r="M81" s="1027"/>
      <c r="N81" s="1097">
        <f>$F81</f>
        <v>1.9894999999999998</v>
      </c>
      <c r="O81" s="1098"/>
      <c r="P81" s="1098"/>
      <c r="Q81" s="1098"/>
      <c r="R81" s="1098"/>
      <c r="S81" s="1099"/>
      <c r="T81" s="1027"/>
      <c r="U81" s="434">
        <f>+$I81*$J81</f>
        <v>11.087999999999997</v>
      </c>
      <c r="V81" s="433">
        <f>+W81*J81</f>
        <v>2.4</v>
      </c>
      <c r="W81" s="429">
        <v>1</v>
      </c>
      <c r="X81" s="433"/>
      <c r="Y81" s="426"/>
      <c r="Z81" s="1027"/>
      <c r="AA81" s="1097"/>
      <c r="AB81" s="1398"/>
      <c r="AC81" s="1398"/>
      <c r="AD81" s="1099"/>
      <c r="AE81" s="1028"/>
      <c r="AF81" s="1272">
        <f t="shared" ref="AF81" si="76">$F81</f>
        <v>1.9894999999999998</v>
      </c>
      <c r="AG81" s="1273"/>
      <c r="AH81" s="429">
        <f>$G81</f>
        <v>5.77</v>
      </c>
      <c r="AI81" s="440"/>
      <c r="AJ81" s="440"/>
      <c r="AK81" s="1273"/>
      <c r="AL81" s="1273"/>
      <c r="AM81" s="1273"/>
      <c r="AN81" s="441"/>
      <c r="AO81" s="1029"/>
      <c r="AP81" s="427">
        <v>1</v>
      </c>
      <c r="AQ81" s="429"/>
      <c r="AR81" s="429"/>
      <c r="AS81" s="429"/>
      <c r="AT81" s="429"/>
      <c r="AU81" s="1275"/>
      <c r="AV81" s="1275"/>
      <c r="AW81" s="1275"/>
      <c r="AX81" s="434"/>
      <c r="AY81" s="433"/>
      <c r="AZ81" s="433"/>
      <c r="BA81" s="433"/>
      <c r="BB81" s="433"/>
      <c r="BC81" s="433"/>
      <c r="BD81" s="433"/>
      <c r="BE81" s="433"/>
      <c r="BF81" s="433"/>
      <c r="BG81" s="426"/>
      <c r="BH81" s="1033"/>
      <c r="BI81" s="1149"/>
      <c r="BJ81" s="1035"/>
      <c r="BK81" s="1035">
        <f t="shared" si="55"/>
        <v>1.9894999999999998</v>
      </c>
      <c r="BL81" s="1035"/>
      <c r="BM81" s="1035"/>
      <c r="BN81" s="1035"/>
      <c r="BO81" s="1037"/>
      <c r="BP81" s="1036"/>
      <c r="BQ81" s="1292">
        <f>+I81</f>
        <v>4.6199999999999992</v>
      </c>
      <c r="BR81" s="1273"/>
      <c r="BS81" s="1274"/>
      <c r="BT81" s="1294"/>
      <c r="BU81" s="1293"/>
      <c r="BV81" s="434"/>
      <c r="BW81" s="426"/>
      <c r="BX81" s="434"/>
      <c r="BY81" s="433">
        <f>+I81*J81</f>
        <v>11.087999999999997</v>
      </c>
      <c r="BZ81" s="1280"/>
      <c r="CA81" s="434"/>
      <c r="CB81" s="433"/>
      <c r="CC81" s="426">
        <f>+F81</f>
        <v>1.9894999999999998</v>
      </c>
      <c r="CE81" s="427"/>
      <c r="CF81" s="429"/>
      <c r="CG81" s="429"/>
      <c r="CH81" s="429"/>
      <c r="CI81" s="428"/>
      <c r="CJ81" s="1204">
        <v>1</v>
      </c>
      <c r="CK81" s="429"/>
      <c r="CL81" s="429">
        <v>1</v>
      </c>
      <c r="CM81" s="429"/>
      <c r="CN81" s="429"/>
      <c r="CO81" s="429"/>
      <c r="CP81" s="429"/>
      <c r="CQ81" s="429"/>
      <c r="CR81" s="429"/>
      <c r="CS81" s="429">
        <v>1</v>
      </c>
      <c r="CT81" s="429"/>
      <c r="CU81" s="428">
        <v>1</v>
      </c>
      <c r="CV81" s="1377"/>
      <c r="CW81" s="1047"/>
      <c r="CX81" s="1048"/>
      <c r="CY81" s="1048"/>
      <c r="CZ81" s="1049"/>
      <c r="DA81" s="1050"/>
      <c r="DB81" s="1046"/>
      <c r="DC81" s="1048"/>
      <c r="DD81" s="1048"/>
      <c r="DE81" s="1048"/>
      <c r="DF81" s="1050"/>
    </row>
    <row r="82" spans="1:140" s="1010" customFormat="1" ht="13">
      <c r="A82" s="2262"/>
      <c r="B82" s="1074">
        <v>61</v>
      </c>
      <c r="C82" s="1197" t="s">
        <v>2117</v>
      </c>
      <c r="D82" s="1101">
        <v>3.25</v>
      </c>
      <c r="E82" s="1102">
        <v>3</v>
      </c>
      <c r="F82" s="1051">
        <f t="shared" si="71"/>
        <v>9.75</v>
      </c>
      <c r="G82" s="1042">
        <v>12.49</v>
      </c>
      <c r="H82" s="1043">
        <f>+H81+3</f>
        <v>4.1500000000000004</v>
      </c>
      <c r="I82" s="1044">
        <f t="shared" si="68"/>
        <v>8.34</v>
      </c>
      <c r="J82" s="1025">
        <v>2.4</v>
      </c>
      <c r="K82" s="1334">
        <v>0.6</v>
      </c>
      <c r="L82" s="1325">
        <f>+D82</f>
        <v>3.25</v>
      </c>
      <c r="M82" s="1027"/>
      <c r="N82" s="1097">
        <f t="shared" si="45"/>
        <v>9.75</v>
      </c>
      <c r="O82" s="1098"/>
      <c r="P82" s="1098"/>
      <c r="Q82" s="1098"/>
      <c r="R82" s="1117"/>
      <c r="S82" s="1118"/>
      <c r="T82" s="1027"/>
      <c r="U82" s="1317">
        <f>+(I82*J82)-X82</f>
        <v>12.215999999999998</v>
      </c>
      <c r="V82" s="429"/>
      <c r="X82" s="429">
        <f>+L82*J82</f>
        <v>7.8</v>
      </c>
      <c r="Y82" s="428"/>
      <c r="Z82" s="1027"/>
      <c r="AA82" s="1104"/>
      <c r="AB82" s="1397"/>
      <c r="AC82" s="1397"/>
      <c r="AD82" s="1118"/>
      <c r="AE82" s="1028"/>
      <c r="AF82" s="1273">
        <f>$F82</f>
        <v>9.75</v>
      </c>
      <c r="AG82" s="1273"/>
      <c r="AH82" s="429">
        <f>$G82</f>
        <v>12.49</v>
      </c>
      <c r="AI82" s="440">
        <v>3</v>
      </c>
      <c r="AJ82" s="440"/>
      <c r="AK82" s="429"/>
      <c r="AL82" s="429"/>
      <c r="AM82" s="429"/>
      <c r="AN82" s="441"/>
      <c r="AO82" s="1029"/>
      <c r="AP82" s="427"/>
      <c r="AQ82" s="429"/>
      <c r="AR82" s="429"/>
      <c r="AS82" s="429"/>
      <c r="AT82" s="429"/>
      <c r="AU82" s="1275"/>
      <c r="AV82" s="1275"/>
      <c r="AW82" s="1275"/>
      <c r="AX82" s="427"/>
      <c r="AY82" s="429"/>
      <c r="AZ82" s="429"/>
      <c r="BA82" s="429"/>
      <c r="BB82" s="429"/>
      <c r="BC82" s="429"/>
      <c r="BD82" s="429">
        <v>1</v>
      </c>
      <c r="BE82" s="429"/>
      <c r="BF82" s="429"/>
      <c r="BG82" s="428"/>
      <c r="BH82" s="1033"/>
      <c r="BI82" s="1104"/>
      <c r="BJ82" s="1048"/>
      <c r="BK82" s="1048">
        <f t="shared" si="55"/>
        <v>9.75</v>
      </c>
      <c r="BL82" s="1048"/>
      <c r="BM82" s="1048"/>
      <c r="BN82" s="1048"/>
      <c r="BO82" s="1049"/>
      <c r="BP82" s="1050"/>
      <c r="BQ82" s="1204">
        <f>+I82</f>
        <v>8.34</v>
      </c>
      <c r="BR82" s="429"/>
      <c r="BS82" s="1275"/>
      <c r="BT82" s="428"/>
      <c r="BU82" s="1293"/>
      <c r="BV82" s="427">
        <f>+K82*L82</f>
        <v>1.95</v>
      </c>
      <c r="BW82" s="428"/>
      <c r="BX82" s="427"/>
      <c r="BY82" s="1314">
        <f>+I82*J82-BV82</f>
        <v>18.065999999999999</v>
      </c>
      <c r="BZ82" s="1275"/>
      <c r="CA82" s="427"/>
      <c r="CB82" s="429"/>
      <c r="CC82" s="428">
        <f t="shared" ref="CC82:CC83" si="77">+F82</f>
        <v>9.75</v>
      </c>
      <c r="CE82" s="427"/>
      <c r="CF82" s="429"/>
      <c r="CG82" s="429"/>
      <c r="CH82" s="429"/>
      <c r="CI82" s="428"/>
      <c r="CJ82" s="1204">
        <v>6</v>
      </c>
      <c r="CK82" s="429">
        <v>1</v>
      </c>
      <c r="CL82" s="429">
        <v>1</v>
      </c>
      <c r="CM82" s="429"/>
      <c r="CN82" s="429">
        <v>2</v>
      </c>
      <c r="CO82" s="429">
        <v>5</v>
      </c>
      <c r="CP82" s="429"/>
      <c r="CQ82" s="429"/>
      <c r="CR82" s="429"/>
      <c r="CS82" s="429"/>
      <c r="CT82" s="429"/>
      <c r="CU82" s="428"/>
      <c r="CV82" s="1377"/>
      <c r="CW82" s="1047"/>
      <c r="CX82" s="1048"/>
      <c r="CY82" s="1048"/>
      <c r="CZ82" s="1049"/>
      <c r="DA82" s="1050">
        <v>1</v>
      </c>
      <c r="DB82" s="1046"/>
      <c r="DC82" s="1048"/>
      <c r="DD82" s="1048"/>
      <c r="DE82" s="1048"/>
      <c r="DF82" s="1050">
        <v>1</v>
      </c>
    </row>
    <row r="83" spans="1:140" s="1010" customFormat="1" ht="13">
      <c r="A83" s="2262"/>
      <c r="B83" s="1074">
        <v>62</v>
      </c>
      <c r="C83" s="1197" t="s">
        <v>2118</v>
      </c>
      <c r="D83" s="1101">
        <v>2.97</v>
      </c>
      <c r="E83" s="1102">
        <v>1.52</v>
      </c>
      <c r="F83" s="1051">
        <f t="shared" si="71"/>
        <v>4.5144000000000002</v>
      </c>
      <c r="G83" s="1042">
        <v>8.98</v>
      </c>
      <c r="H83" s="1043">
        <v>2.06</v>
      </c>
      <c r="I83" s="1044">
        <f t="shared" si="68"/>
        <v>6.92</v>
      </c>
      <c r="J83" s="1025">
        <v>2.2000000000000002</v>
      </c>
      <c r="K83" s="1334">
        <v>2.2000000000000002</v>
      </c>
      <c r="L83" s="1428"/>
      <c r="M83" s="1027"/>
      <c r="N83" s="1097"/>
      <c r="O83" s="1098"/>
      <c r="P83" s="1098"/>
      <c r="Q83" s="1098"/>
      <c r="R83" s="1117">
        <f t="shared" ref="R83:S83" si="78">$F83</f>
        <v>4.5144000000000002</v>
      </c>
      <c r="S83" s="1118">
        <f t="shared" si="78"/>
        <v>4.5144000000000002</v>
      </c>
      <c r="T83" s="1027"/>
      <c r="U83" s="427"/>
      <c r="V83" s="429"/>
      <c r="W83" s="429"/>
      <c r="X83" s="429">
        <f t="shared" ref="X83" si="79">+$I83*$J83</f>
        <v>15.224</v>
      </c>
      <c r="Y83" s="428"/>
      <c r="Z83" s="1027"/>
      <c r="AA83" s="1104">
        <f t="shared" ref="AA83" si="80">$F83</f>
        <v>4.5144000000000002</v>
      </c>
      <c r="AB83" s="1397"/>
      <c r="AC83" s="1397"/>
      <c r="AD83" s="1118"/>
      <c r="AE83" s="1028"/>
      <c r="AF83" s="1272"/>
      <c r="AG83" s="1273">
        <f>$F83</f>
        <v>4.5144000000000002</v>
      </c>
      <c r="AH83" s="440">
        <f>$I83</f>
        <v>6.92</v>
      </c>
      <c r="AI83" s="440"/>
      <c r="AJ83" s="440"/>
      <c r="AK83" s="429"/>
      <c r="AL83" s="429"/>
      <c r="AM83" s="429"/>
      <c r="AN83" s="441"/>
      <c r="AO83" s="1029"/>
      <c r="AP83" s="427"/>
      <c r="AQ83" s="429">
        <v>1</v>
      </c>
      <c r="AR83" s="429"/>
      <c r="AS83" s="429"/>
      <c r="AT83" s="429"/>
      <c r="AU83" s="1275"/>
      <c r="AV83" s="1275"/>
      <c r="AW83" s="1275"/>
      <c r="AX83" s="427"/>
      <c r="AY83" s="429"/>
      <c r="AZ83" s="429"/>
      <c r="BA83" s="429"/>
      <c r="BB83" s="429"/>
      <c r="BC83" s="429">
        <v>1</v>
      </c>
      <c r="BD83" s="429"/>
      <c r="BE83" s="429"/>
      <c r="BF83" s="429"/>
      <c r="BG83" s="428"/>
      <c r="BH83" s="1033"/>
      <c r="BI83" s="1104"/>
      <c r="BJ83" s="1048"/>
      <c r="BK83" s="1048"/>
      <c r="BL83" s="1048">
        <f t="shared" si="55"/>
        <v>4.5144000000000002</v>
      </c>
      <c r="BM83" s="1048"/>
      <c r="BN83" s="1048"/>
      <c r="BO83" s="1049"/>
      <c r="BP83" s="1050"/>
      <c r="BQ83" s="1204"/>
      <c r="BR83" s="429"/>
      <c r="BS83" s="1275"/>
      <c r="BT83" s="428"/>
      <c r="BU83" s="1293"/>
      <c r="BV83" s="427"/>
      <c r="BW83" s="428">
        <f>+I83*K83</f>
        <v>15.224</v>
      </c>
      <c r="BX83" s="427"/>
      <c r="BY83" s="429"/>
      <c r="BZ83" s="1275"/>
      <c r="CA83" s="427"/>
      <c r="CB83" s="429"/>
      <c r="CC83" s="428">
        <f t="shared" si="77"/>
        <v>4.5144000000000002</v>
      </c>
      <c r="CE83" s="427"/>
      <c r="CF83" s="429"/>
      <c r="CG83" s="429"/>
      <c r="CH83" s="429"/>
      <c r="CI83" s="428"/>
      <c r="CJ83" s="1204">
        <v>2</v>
      </c>
      <c r="CK83" s="429"/>
      <c r="CL83" s="429">
        <v>1</v>
      </c>
      <c r="CM83" s="429"/>
      <c r="CN83" s="429">
        <v>3</v>
      </c>
      <c r="CO83" s="429">
        <v>1</v>
      </c>
      <c r="CP83" s="429"/>
      <c r="CQ83" s="429"/>
      <c r="CR83" s="429"/>
      <c r="CS83" s="429"/>
      <c r="CT83" s="429"/>
      <c r="CU83" s="428"/>
      <c r="CV83" s="1377"/>
      <c r="CW83" s="1047">
        <v>1</v>
      </c>
      <c r="CX83" s="1048">
        <v>1</v>
      </c>
      <c r="CY83" s="1048">
        <v>1</v>
      </c>
      <c r="CZ83" s="1049"/>
      <c r="DA83" s="1050"/>
      <c r="DB83" s="1046">
        <v>1</v>
      </c>
      <c r="DC83" s="1048">
        <v>1</v>
      </c>
      <c r="DD83" s="1048">
        <v>1</v>
      </c>
      <c r="DE83" s="1048"/>
      <c r="DF83" s="1050"/>
    </row>
    <row r="84" spans="1:140" s="1010" customFormat="1" ht="13">
      <c r="A84" s="2262"/>
      <c r="B84" s="1071">
        <v>64</v>
      </c>
      <c r="C84" s="1197" t="s">
        <v>2119</v>
      </c>
      <c r="D84" s="1101">
        <v>6.47</v>
      </c>
      <c r="E84" s="1102">
        <v>3</v>
      </c>
      <c r="F84" s="1051">
        <f t="shared" si="71"/>
        <v>19.41</v>
      </c>
      <c r="G84" s="1042">
        <v>18.93</v>
      </c>
      <c r="H84" s="1043">
        <f>3+0.9</f>
        <v>3.9</v>
      </c>
      <c r="I84" s="1044">
        <f t="shared" si="68"/>
        <v>15.03</v>
      </c>
      <c r="J84" s="1025">
        <v>2.6</v>
      </c>
      <c r="K84" s="1334"/>
      <c r="L84" s="1428"/>
      <c r="M84" s="1027"/>
      <c r="N84" s="1097">
        <f t="shared" si="45"/>
        <v>19.41</v>
      </c>
      <c r="O84" s="1098"/>
      <c r="P84" s="1098"/>
      <c r="Q84" s="1098"/>
      <c r="R84" s="1117"/>
      <c r="S84" s="1118"/>
      <c r="T84" s="1027"/>
      <c r="U84" s="427">
        <f>+$I84*$J84</f>
        <v>39.078000000000003</v>
      </c>
      <c r="V84" s="429">
        <f>+W84*J84</f>
        <v>5.2</v>
      </c>
      <c r="W84" s="429">
        <v>2</v>
      </c>
      <c r="X84" s="429"/>
      <c r="Y84" s="428"/>
      <c r="Z84" s="1027"/>
      <c r="AA84" s="1047"/>
      <c r="AB84" s="1388"/>
      <c r="AC84" s="1388"/>
      <c r="AD84" s="1050"/>
      <c r="AE84" s="1028"/>
      <c r="AF84" s="1272"/>
      <c r="AG84" s="1273"/>
      <c r="AH84" s="440"/>
      <c r="AI84" s="440"/>
      <c r="AJ84" s="440"/>
      <c r="AK84" s="429">
        <f t="shared" ref="AK84" si="81">$F84</f>
        <v>19.41</v>
      </c>
      <c r="AL84" s="429">
        <f>G84</f>
        <v>18.93</v>
      </c>
      <c r="AM84" s="429"/>
      <c r="AN84" s="441"/>
      <c r="AO84" s="1029"/>
      <c r="AP84" s="427"/>
      <c r="AQ84" s="429"/>
      <c r="AR84" s="429"/>
      <c r="AS84" s="429"/>
      <c r="AT84" s="429"/>
      <c r="AU84" s="1275"/>
      <c r="AV84" s="1275"/>
      <c r="AW84" s="1275"/>
      <c r="AX84" s="427"/>
      <c r="AY84" s="429">
        <v>1</v>
      </c>
      <c r="AZ84" s="429"/>
      <c r="BA84" s="429"/>
      <c r="BB84" s="429"/>
      <c r="BC84" s="429"/>
      <c r="BD84" s="429"/>
      <c r="BE84" s="429"/>
      <c r="BF84" s="429"/>
      <c r="BG84" s="428"/>
      <c r="BH84" s="1033"/>
      <c r="BI84" s="1104"/>
      <c r="BJ84" s="1048"/>
      <c r="BK84" s="1048">
        <f t="shared" si="55"/>
        <v>19.41</v>
      </c>
      <c r="BL84" s="1048"/>
      <c r="BM84" s="1048"/>
      <c r="BN84" s="1048"/>
      <c r="BO84" s="1049"/>
      <c r="BP84" s="1050"/>
      <c r="BQ84" s="1204">
        <f>+I84</f>
        <v>15.03</v>
      </c>
      <c r="BR84" s="429"/>
      <c r="BS84" s="1275"/>
      <c r="BT84" s="428"/>
      <c r="BU84" s="1293"/>
      <c r="BV84" s="427"/>
      <c r="BW84" s="428"/>
      <c r="BX84" s="427"/>
      <c r="BY84" s="429">
        <f t="shared" ref="BY84:BY87" si="82">+I84*J84</f>
        <v>39.078000000000003</v>
      </c>
      <c r="BZ84" s="1275"/>
      <c r="CA84" s="427"/>
      <c r="CB84" s="429">
        <f t="shared" ref="CB84" si="83">+F84</f>
        <v>19.41</v>
      </c>
      <c r="CC84" s="428"/>
      <c r="CE84" s="427"/>
      <c r="CF84" s="429"/>
      <c r="CG84" s="429"/>
      <c r="CH84" s="429"/>
      <c r="CI84" s="428"/>
      <c r="CJ84" s="1204">
        <v>2</v>
      </c>
      <c r="CK84" s="429"/>
      <c r="CL84" s="429">
        <v>2</v>
      </c>
      <c r="CM84" s="429"/>
      <c r="CN84" s="429"/>
      <c r="CO84" s="429">
        <v>5</v>
      </c>
      <c r="CP84" s="429">
        <v>1</v>
      </c>
      <c r="CQ84" s="429"/>
      <c r="CR84" s="429">
        <v>2</v>
      </c>
      <c r="CS84" s="429"/>
      <c r="CT84" s="429"/>
      <c r="CU84" s="428"/>
      <c r="CV84" s="1377"/>
      <c r="CW84" s="1047"/>
      <c r="CX84" s="1048"/>
      <c r="CY84" s="1048"/>
      <c r="CZ84" s="1049"/>
      <c r="DA84" s="1050"/>
      <c r="DB84" s="1046"/>
      <c r="DC84" s="1048"/>
      <c r="DD84" s="1048"/>
      <c r="DE84" s="1048"/>
      <c r="DF84" s="1050"/>
    </row>
    <row r="85" spans="1:140" s="1010" customFormat="1" ht="13">
      <c r="A85" s="2262"/>
      <c r="B85" s="1071">
        <v>65</v>
      </c>
      <c r="C85" s="1197" t="s">
        <v>2120</v>
      </c>
      <c r="D85" s="1101">
        <v>2.5499999999999998</v>
      </c>
      <c r="E85" s="1102">
        <v>1</v>
      </c>
      <c r="F85" s="1051">
        <f t="shared" si="71"/>
        <v>2.5499999999999998</v>
      </c>
      <c r="G85" s="1042">
        <v>7.1</v>
      </c>
      <c r="H85" s="1043">
        <v>0.9</v>
      </c>
      <c r="I85" s="1044">
        <f t="shared" si="68"/>
        <v>6.1999999999999993</v>
      </c>
      <c r="J85" s="1025">
        <v>2.4</v>
      </c>
      <c r="K85" s="1334"/>
      <c r="L85" s="1428"/>
      <c r="M85" s="1027"/>
      <c r="N85" s="1097">
        <f t="shared" si="45"/>
        <v>2.5499999999999998</v>
      </c>
      <c r="O85" s="1098"/>
      <c r="P85" s="1098"/>
      <c r="Q85" s="1098"/>
      <c r="R85" s="1117"/>
      <c r="S85" s="1118"/>
      <c r="T85" s="1027"/>
      <c r="U85" s="427">
        <f t="shared" ref="U85:U87" si="84">+$I85*$J85</f>
        <v>14.879999999999997</v>
      </c>
      <c r="V85" s="429">
        <f>+W85*J85</f>
        <v>4.8</v>
      </c>
      <c r="W85" s="429">
        <v>2</v>
      </c>
      <c r="X85" s="429"/>
      <c r="Y85" s="428"/>
      <c r="Z85" s="1027"/>
      <c r="AA85" s="1047"/>
      <c r="AB85" s="1388"/>
      <c r="AC85" s="1388"/>
      <c r="AD85" s="1050"/>
      <c r="AE85" s="1028"/>
      <c r="AF85" s="1272">
        <f t="shared" ref="AF85" si="85">$F85</f>
        <v>2.5499999999999998</v>
      </c>
      <c r="AG85" s="1273"/>
      <c r="AH85" s="429">
        <f>$G85</f>
        <v>7.1</v>
      </c>
      <c r="AI85" s="440"/>
      <c r="AJ85" s="440"/>
      <c r="AK85" s="429"/>
      <c r="AL85" s="429"/>
      <c r="AM85" s="429"/>
      <c r="AN85" s="441"/>
      <c r="AO85" s="1029"/>
      <c r="AP85" s="427"/>
      <c r="AQ85" s="429"/>
      <c r="AR85" s="429"/>
      <c r="AS85" s="429"/>
      <c r="AT85" s="429"/>
      <c r="AU85" s="1275"/>
      <c r="AV85" s="1275"/>
      <c r="AW85" s="1275"/>
      <c r="AX85" s="427"/>
      <c r="AY85" s="429"/>
      <c r="AZ85" s="429"/>
      <c r="BA85" s="429"/>
      <c r="BB85" s="429"/>
      <c r="BC85" s="429"/>
      <c r="BD85" s="429"/>
      <c r="BE85" s="429"/>
      <c r="BF85" s="429"/>
      <c r="BG85" s="428"/>
      <c r="BH85" s="1033"/>
      <c r="BI85" s="1104"/>
      <c r="BJ85" s="1048"/>
      <c r="BK85" s="1048">
        <f t="shared" si="55"/>
        <v>2.5499999999999998</v>
      </c>
      <c r="BL85" s="1048"/>
      <c r="BM85" s="1048"/>
      <c r="BN85" s="1048"/>
      <c r="BO85" s="1049"/>
      <c r="BP85" s="1050"/>
      <c r="BQ85" s="1204">
        <f>+I85</f>
        <v>6.1999999999999993</v>
      </c>
      <c r="BR85" s="429"/>
      <c r="BS85" s="1275"/>
      <c r="BT85" s="428"/>
      <c r="BU85" s="1293"/>
      <c r="BV85" s="427"/>
      <c r="BW85" s="428"/>
      <c r="BX85" s="427"/>
      <c r="BY85" s="429">
        <f t="shared" si="82"/>
        <v>14.879999999999997</v>
      </c>
      <c r="BZ85" s="1275"/>
      <c r="CA85" s="427"/>
      <c r="CB85" s="429"/>
      <c r="CC85" s="428">
        <f t="shared" ref="CC85" si="86">+F85</f>
        <v>2.5499999999999998</v>
      </c>
      <c r="CE85" s="427"/>
      <c r="CF85" s="429"/>
      <c r="CG85" s="429"/>
      <c r="CH85" s="429"/>
      <c r="CI85" s="428"/>
      <c r="CJ85" s="1204">
        <v>1</v>
      </c>
      <c r="CK85" s="429"/>
      <c r="CL85" s="429">
        <v>1</v>
      </c>
      <c r="CM85" s="429"/>
      <c r="CN85" s="429"/>
      <c r="CO85" s="429"/>
      <c r="CP85" s="429"/>
      <c r="CQ85" s="429">
        <v>1</v>
      </c>
      <c r="CR85" s="429"/>
      <c r="CS85" s="429"/>
      <c r="CT85" s="429"/>
      <c r="CU85" s="428"/>
      <c r="CV85" s="1377"/>
      <c r="CW85" s="1047"/>
      <c r="CX85" s="1048"/>
      <c r="CY85" s="1048"/>
      <c r="CZ85" s="1049"/>
      <c r="DA85" s="1050"/>
      <c r="DB85" s="1046"/>
      <c r="DC85" s="1048"/>
      <c r="DD85" s="1048"/>
      <c r="DE85" s="1048"/>
      <c r="DF85" s="1050"/>
    </row>
    <row r="86" spans="1:140" s="1010" customFormat="1" ht="13">
      <c r="A86" s="2262"/>
      <c r="B86" s="1071">
        <v>66</v>
      </c>
      <c r="C86" s="1197" t="s">
        <v>2121</v>
      </c>
      <c r="D86" s="1101">
        <v>0</v>
      </c>
      <c r="E86" s="1102">
        <v>0</v>
      </c>
      <c r="F86" s="1051">
        <v>8.1199999999999992</v>
      </c>
      <c r="G86" s="1042">
        <v>11.88</v>
      </c>
      <c r="H86" s="1043">
        <v>1.69</v>
      </c>
      <c r="I86" s="1044">
        <f t="shared" si="68"/>
        <v>10.190000000000001</v>
      </c>
      <c r="J86" s="1025">
        <v>2.6</v>
      </c>
      <c r="K86" s="1334"/>
      <c r="L86" s="1428"/>
      <c r="M86" s="1027"/>
      <c r="N86" s="1097">
        <f t="shared" si="45"/>
        <v>8.1199999999999992</v>
      </c>
      <c r="O86" s="1098"/>
      <c r="P86" s="1098"/>
      <c r="Q86" s="1098"/>
      <c r="R86" s="1117"/>
      <c r="S86" s="1118"/>
      <c r="T86" s="1027"/>
      <c r="U86" s="427">
        <f t="shared" si="84"/>
        <v>26.494000000000003</v>
      </c>
      <c r="V86" s="429">
        <f>+W86*J86</f>
        <v>5.2</v>
      </c>
      <c r="W86" s="429">
        <v>2</v>
      </c>
      <c r="X86" s="429"/>
      <c r="Y86" s="428"/>
      <c r="Z86" s="1027"/>
      <c r="AA86" s="1166"/>
      <c r="AB86" s="1399"/>
      <c r="AC86" s="1399"/>
      <c r="AD86" s="1168"/>
      <c r="AE86" s="1028"/>
      <c r="AF86" s="1272"/>
      <c r="AG86" s="1273"/>
      <c r="AH86" s="440"/>
      <c r="AI86" s="1316">
        <v>1</v>
      </c>
      <c r="AJ86" s="1316"/>
      <c r="AK86" s="1314">
        <f>2.79*2.79</f>
        <v>7.7841000000000005</v>
      </c>
      <c r="AL86" s="1314">
        <f>2.79*4</f>
        <v>11.16</v>
      </c>
      <c r="AM86" s="429"/>
      <c r="AN86" s="441"/>
      <c r="AO86" s="1029"/>
      <c r="AP86" s="427"/>
      <c r="AQ86" s="429">
        <v>1</v>
      </c>
      <c r="AR86" s="429"/>
      <c r="AS86" s="429"/>
      <c r="AT86" s="429"/>
      <c r="AU86" s="1275"/>
      <c r="AV86" s="1275"/>
      <c r="AW86" s="1275"/>
      <c r="AX86" s="427"/>
      <c r="AY86" s="429">
        <v>1</v>
      </c>
      <c r="AZ86" s="429"/>
      <c r="BA86" s="429"/>
      <c r="BB86" s="429"/>
      <c r="BC86" s="429"/>
      <c r="BD86" s="429"/>
      <c r="BE86" s="429"/>
      <c r="BF86" s="429"/>
      <c r="BG86" s="428"/>
      <c r="BH86" s="1033"/>
      <c r="BI86" s="1104"/>
      <c r="BJ86" s="1048"/>
      <c r="BK86" s="1048">
        <f t="shared" si="55"/>
        <v>8.1199999999999992</v>
      </c>
      <c r="BL86" s="1048"/>
      <c r="BM86" s="1048"/>
      <c r="BN86" s="1048"/>
      <c r="BO86" s="1049"/>
      <c r="BP86" s="1050"/>
      <c r="BQ86" s="1204">
        <f>+I86</f>
        <v>10.190000000000001</v>
      </c>
      <c r="BR86" s="429"/>
      <c r="BS86" s="1275"/>
      <c r="BT86" s="428"/>
      <c r="BU86" s="1293"/>
      <c r="BV86" s="427"/>
      <c r="BW86" s="428"/>
      <c r="BX86" s="427"/>
      <c r="BY86" s="429">
        <f t="shared" si="82"/>
        <v>26.494000000000003</v>
      </c>
      <c r="BZ86" s="1275"/>
      <c r="CA86" s="427"/>
      <c r="CB86" s="429">
        <f t="shared" ref="CB86:CB87" si="87">+F86</f>
        <v>8.1199999999999992</v>
      </c>
      <c r="CC86" s="428"/>
      <c r="CE86" s="427"/>
      <c r="CF86" s="429"/>
      <c r="CG86" s="429"/>
      <c r="CH86" s="429"/>
      <c r="CI86" s="428"/>
      <c r="CJ86" s="1204">
        <v>1</v>
      </c>
      <c r="CK86" s="429"/>
      <c r="CL86" s="429">
        <v>1</v>
      </c>
      <c r="CM86" s="429"/>
      <c r="CN86" s="429"/>
      <c r="CO86" s="429">
        <v>3</v>
      </c>
      <c r="CP86" s="429">
        <v>1</v>
      </c>
      <c r="CQ86" s="429"/>
      <c r="CR86" s="429">
        <v>1</v>
      </c>
      <c r="CS86" s="429"/>
      <c r="CT86" s="429"/>
      <c r="CU86" s="428"/>
      <c r="CV86" s="1377"/>
      <c r="CW86" s="1047"/>
      <c r="CX86" s="1048"/>
      <c r="CY86" s="1048"/>
      <c r="CZ86" s="1049"/>
      <c r="DA86" s="1050"/>
      <c r="DB86" s="1046"/>
      <c r="DC86" s="1048"/>
      <c r="DD86" s="1048"/>
      <c r="DE86" s="1048"/>
      <c r="DF86" s="1050"/>
    </row>
    <row r="87" spans="1:140" s="1010" customFormat="1" ht="13">
      <c r="A87" s="2262"/>
      <c r="B87" s="1071">
        <v>67</v>
      </c>
      <c r="C87" s="1197" t="s">
        <v>2122</v>
      </c>
      <c r="D87" s="1101">
        <v>0.6</v>
      </c>
      <c r="E87" s="1102">
        <v>1.69</v>
      </c>
      <c r="F87" s="1051">
        <f t="shared" ref="F87" si="88">D87*E87</f>
        <v>1.014</v>
      </c>
      <c r="G87" s="1042">
        <v>4.58</v>
      </c>
      <c r="H87" s="1043">
        <f>+E87</f>
        <v>1.69</v>
      </c>
      <c r="I87" s="1044">
        <f t="shared" si="68"/>
        <v>2.89</v>
      </c>
      <c r="J87" s="1025">
        <v>2.6</v>
      </c>
      <c r="K87" s="1334"/>
      <c r="L87" s="1428"/>
      <c r="M87" s="1027"/>
      <c r="N87" s="1097">
        <f t="shared" si="45"/>
        <v>1.014</v>
      </c>
      <c r="O87" s="1098"/>
      <c r="P87" s="1098"/>
      <c r="Q87" s="1098"/>
      <c r="R87" s="1117"/>
      <c r="S87" s="1118"/>
      <c r="T87" s="1027"/>
      <c r="U87" s="427">
        <f t="shared" si="84"/>
        <v>7.5140000000000002</v>
      </c>
      <c r="V87" s="429"/>
      <c r="W87" s="429"/>
      <c r="X87" s="429"/>
      <c r="Y87" s="428"/>
      <c r="Z87" s="1027"/>
      <c r="AA87" s="1047"/>
      <c r="AB87" s="1388"/>
      <c r="AC87" s="1388"/>
      <c r="AD87" s="1118"/>
      <c r="AE87" s="1028"/>
      <c r="AF87" s="1272"/>
      <c r="AG87" s="1273"/>
      <c r="AH87" s="440"/>
      <c r="AI87" s="440"/>
      <c r="AJ87" s="440"/>
      <c r="AK87" s="429">
        <f t="shared" ref="AK87" si="89">$F87</f>
        <v>1.014</v>
      </c>
      <c r="AL87" s="429"/>
      <c r="AM87" s="429"/>
      <c r="AN87" s="441"/>
      <c r="AO87" s="1029"/>
      <c r="AP87" s="427"/>
      <c r="AQ87" s="429"/>
      <c r="AR87" s="429"/>
      <c r="AS87" s="429"/>
      <c r="AT87" s="429"/>
      <c r="AU87" s="1275"/>
      <c r="AV87" s="1275"/>
      <c r="AW87" s="1275">
        <v>1</v>
      </c>
      <c r="AX87" s="427"/>
      <c r="AY87" s="429"/>
      <c r="AZ87" s="429"/>
      <c r="BA87" s="429"/>
      <c r="BB87" s="429"/>
      <c r="BC87" s="429"/>
      <c r="BD87" s="429"/>
      <c r="BE87" s="429"/>
      <c r="BF87" s="429"/>
      <c r="BG87" s="428"/>
      <c r="BH87" s="1033"/>
      <c r="BI87" s="1104"/>
      <c r="BJ87" s="1048"/>
      <c r="BK87" s="1048">
        <f t="shared" si="55"/>
        <v>1.014</v>
      </c>
      <c r="BL87" s="1048"/>
      <c r="BM87" s="1048"/>
      <c r="BN87" s="1048"/>
      <c r="BO87" s="1049"/>
      <c r="BP87" s="1050"/>
      <c r="BQ87" s="1204"/>
      <c r="BR87" s="429"/>
      <c r="BS87" s="1275"/>
      <c r="BT87" s="428"/>
      <c r="BU87" s="1293"/>
      <c r="BV87" s="427"/>
      <c r="BW87" s="428"/>
      <c r="BX87" s="427"/>
      <c r="BY87" s="429">
        <f t="shared" si="82"/>
        <v>7.5140000000000002</v>
      </c>
      <c r="BZ87" s="1275"/>
      <c r="CA87" s="427"/>
      <c r="CB87" s="429">
        <f t="shared" si="87"/>
        <v>1.014</v>
      </c>
      <c r="CC87" s="428"/>
      <c r="CE87" s="427"/>
      <c r="CF87" s="429"/>
      <c r="CG87" s="429"/>
      <c r="CH87" s="429"/>
      <c r="CI87" s="428"/>
      <c r="CJ87" s="1204"/>
      <c r="CK87" s="429"/>
      <c r="CL87" s="429"/>
      <c r="CM87" s="429"/>
      <c r="CN87" s="429"/>
      <c r="CO87" s="429"/>
      <c r="CP87" s="429"/>
      <c r="CQ87" s="429"/>
      <c r="CR87" s="429"/>
      <c r="CS87" s="429"/>
      <c r="CT87" s="429"/>
      <c r="CU87" s="428"/>
      <c r="CV87" s="1377"/>
      <c r="CW87" s="1047"/>
      <c r="CX87" s="1048"/>
      <c r="CY87" s="1048"/>
      <c r="CZ87" s="1049"/>
      <c r="DA87" s="1050"/>
      <c r="DB87" s="1046"/>
      <c r="DC87" s="1048"/>
      <c r="DD87" s="1048"/>
      <c r="DE87" s="1048"/>
      <c r="DF87" s="1050"/>
    </row>
    <row r="88" spans="1:140" s="1010" customFormat="1" ht="13">
      <c r="A88" s="2262"/>
      <c r="B88" s="1071">
        <v>68</v>
      </c>
      <c r="C88" s="1197" t="s">
        <v>2123</v>
      </c>
      <c r="D88" s="1101">
        <v>0</v>
      </c>
      <c r="E88" s="1102">
        <v>0</v>
      </c>
      <c r="F88" s="1051">
        <v>3.65</v>
      </c>
      <c r="G88" s="1042">
        <v>7.9</v>
      </c>
      <c r="H88" s="1043"/>
      <c r="I88" s="1044">
        <f t="shared" si="68"/>
        <v>7.9</v>
      </c>
      <c r="J88" s="1025">
        <v>2.2000000000000002</v>
      </c>
      <c r="K88" s="1334">
        <v>2.2000000000000002</v>
      </c>
      <c r="L88" s="1428"/>
      <c r="M88" s="1027"/>
      <c r="N88" s="1097"/>
      <c r="O88" s="1098"/>
      <c r="P88" s="1098"/>
      <c r="Q88" s="1098"/>
      <c r="R88" s="1117">
        <f t="shared" ref="R88:S88" si="90">$F88</f>
        <v>3.65</v>
      </c>
      <c r="S88" s="1118">
        <f t="shared" si="90"/>
        <v>3.65</v>
      </c>
      <c r="T88" s="1027"/>
      <c r="U88" s="427"/>
      <c r="V88" s="429"/>
      <c r="W88" s="429"/>
      <c r="X88" s="429">
        <f t="shared" ref="X88" si="91">+$I88*$J88</f>
        <v>17.380000000000003</v>
      </c>
      <c r="Y88" s="428"/>
      <c r="Z88" s="1027"/>
      <c r="AA88" s="1166">
        <f t="shared" ref="AA88" si="92">$F88</f>
        <v>3.65</v>
      </c>
      <c r="AB88" s="1399"/>
      <c r="AC88" s="1399"/>
      <c r="AD88" s="1168"/>
      <c r="AE88" s="1028"/>
      <c r="AF88" s="1272"/>
      <c r="AG88" s="1273">
        <f>$F88</f>
        <v>3.65</v>
      </c>
      <c r="AH88" s="440">
        <f>$G88</f>
        <v>7.9</v>
      </c>
      <c r="AI88" s="440"/>
      <c r="AJ88" s="440"/>
      <c r="AK88" s="429"/>
      <c r="AL88" s="429"/>
      <c r="AM88" s="429"/>
      <c r="AN88" s="441"/>
      <c r="AO88" s="1029"/>
      <c r="AP88" s="427"/>
      <c r="AQ88" s="429">
        <v>1</v>
      </c>
      <c r="AR88" s="429"/>
      <c r="AS88" s="429"/>
      <c r="AT88" s="429"/>
      <c r="AU88" s="1275"/>
      <c r="AV88" s="1275"/>
      <c r="AW88" s="1275"/>
      <c r="AX88" s="427"/>
      <c r="AY88" s="429"/>
      <c r="AZ88" s="429"/>
      <c r="BA88" s="429"/>
      <c r="BB88" s="429"/>
      <c r="BC88" s="429"/>
      <c r="BD88" s="429"/>
      <c r="BE88" s="429"/>
      <c r="BF88" s="429"/>
      <c r="BG88" s="428"/>
      <c r="BH88" s="1033"/>
      <c r="BI88" s="1104"/>
      <c r="BJ88" s="1048"/>
      <c r="BK88" s="1048"/>
      <c r="BL88" s="1048">
        <f t="shared" si="55"/>
        <v>3.65</v>
      </c>
      <c r="BM88" s="1048"/>
      <c r="BN88" s="1048"/>
      <c r="BO88" s="1049"/>
      <c r="BP88" s="1050"/>
      <c r="BQ88" s="1204"/>
      <c r="BR88" s="429"/>
      <c r="BS88" s="1275"/>
      <c r="BT88" s="428"/>
      <c r="BU88" s="1293"/>
      <c r="BV88" s="427"/>
      <c r="BW88" s="428">
        <f>+I88*K88</f>
        <v>17.380000000000003</v>
      </c>
      <c r="BX88" s="427"/>
      <c r="BY88" s="429"/>
      <c r="BZ88" s="1275"/>
      <c r="CA88" s="427"/>
      <c r="CB88" s="429"/>
      <c r="CC88" s="428">
        <f t="shared" ref="CC88" si="93">+F88</f>
        <v>3.65</v>
      </c>
      <c r="CE88" s="427">
        <v>1</v>
      </c>
      <c r="CF88" s="429"/>
      <c r="CG88" s="429"/>
      <c r="CH88" s="429"/>
      <c r="CI88" s="428"/>
      <c r="CJ88" s="1204">
        <v>3</v>
      </c>
      <c r="CK88" s="429"/>
      <c r="CL88" s="429">
        <v>1</v>
      </c>
      <c r="CM88" s="429"/>
      <c r="CN88" s="1176">
        <v>1</v>
      </c>
      <c r="CO88" s="429"/>
      <c r="CP88" s="429"/>
      <c r="CQ88" s="429"/>
      <c r="CR88" s="429"/>
      <c r="CS88" s="429"/>
      <c r="CT88" s="429"/>
      <c r="CU88" s="428"/>
      <c r="CV88" s="1377"/>
      <c r="CW88" s="1047">
        <v>1</v>
      </c>
      <c r="CX88" s="1048">
        <v>1</v>
      </c>
      <c r="CY88" s="1048">
        <v>1</v>
      </c>
      <c r="CZ88" s="1049"/>
      <c r="DA88" s="1050"/>
      <c r="DB88" s="1046">
        <v>1</v>
      </c>
      <c r="DC88" s="1048">
        <v>1</v>
      </c>
      <c r="DD88" s="1048">
        <v>1</v>
      </c>
      <c r="DE88" s="1048">
        <v>1</v>
      </c>
      <c r="DF88" s="1050"/>
    </row>
    <row r="89" spans="1:140" s="1010" customFormat="1" ht="13">
      <c r="A89" s="2262"/>
      <c r="B89" s="1071">
        <v>69</v>
      </c>
      <c r="C89" s="1197" t="s">
        <v>2124</v>
      </c>
      <c r="D89" s="1101">
        <v>0</v>
      </c>
      <c r="E89" s="1102">
        <v>0</v>
      </c>
      <c r="F89" s="1051">
        <v>10.67</v>
      </c>
      <c r="G89" s="1042">
        <v>15.21</v>
      </c>
      <c r="H89" s="1043"/>
      <c r="I89" s="1044">
        <f t="shared" si="68"/>
        <v>15.21</v>
      </c>
      <c r="J89" s="1025">
        <v>2.6</v>
      </c>
      <c r="K89" s="1334"/>
      <c r="L89" s="1428"/>
      <c r="M89" s="1027"/>
      <c r="N89" s="1097">
        <f t="shared" si="45"/>
        <v>10.67</v>
      </c>
      <c r="O89" s="1098"/>
      <c r="P89" s="1098"/>
      <c r="Q89" s="1098"/>
      <c r="R89" s="1117"/>
      <c r="S89" s="1118"/>
      <c r="T89" s="1027"/>
      <c r="U89" s="427">
        <f t="shared" ref="U89:U92" si="94">+$I89*$J89</f>
        <v>39.546000000000006</v>
      </c>
      <c r="V89" s="429">
        <f>+W89*J89</f>
        <v>7.8000000000000007</v>
      </c>
      <c r="W89" s="429">
        <v>3</v>
      </c>
      <c r="X89" s="429"/>
      <c r="Y89" s="428"/>
      <c r="Z89" s="1027"/>
      <c r="AA89" s="1166"/>
      <c r="AB89" s="1399"/>
      <c r="AC89" s="1399"/>
      <c r="AD89" s="1168"/>
      <c r="AE89" s="1028"/>
      <c r="AF89" s="1315">
        <f>1.5*1</f>
        <v>1.5</v>
      </c>
      <c r="AG89" s="1273"/>
      <c r="AH89" s="1314">
        <f>1.5*2+1*2</f>
        <v>5</v>
      </c>
      <c r="AI89" s="1316">
        <v>1</v>
      </c>
      <c r="AJ89" s="1316"/>
      <c r="AK89" s="1314">
        <f>2.79*3.27</f>
        <v>9.1233000000000004</v>
      </c>
      <c r="AL89" s="1314">
        <f>2.79*2+3.27*2</f>
        <v>12.120000000000001</v>
      </c>
      <c r="AM89" s="429"/>
      <c r="AN89" s="441"/>
      <c r="AO89" s="1029"/>
      <c r="AP89" s="427"/>
      <c r="AQ89" s="429">
        <v>1</v>
      </c>
      <c r="AR89" s="429"/>
      <c r="AS89" s="429"/>
      <c r="AT89" s="429"/>
      <c r="AU89" s="1275"/>
      <c r="AV89" s="1275"/>
      <c r="AW89" s="1275"/>
      <c r="AX89" s="427"/>
      <c r="AY89" s="429">
        <v>1</v>
      </c>
      <c r="AZ89" s="429"/>
      <c r="BA89" s="429"/>
      <c r="BB89" s="429"/>
      <c r="BC89" s="429"/>
      <c r="BD89" s="429"/>
      <c r="BE89" s="429"/>
      <c r="BF89" s="429"/>
      <c r="BG89" s="428"/>
      <c r="BH89" s="1033"/>
      <c r="BI89" s="1104"/>
      <c r="BJ89" s="1048"/>
      <c r="BK89" s="1048">
        <f t="shared" si="55"/>
        <v>10.67</v>
      </c>
      <c r="BL89" s="1048"/>
      <c r="BM89" s="1048"/>
      <c r="BN89" s="1048"/>
      <c r="BO89" s="1049"/>
      <c r="BP89" s="1050"/>
      <c r="BQ89" s="1204">
        <f>+I89</f>
        <v>15.21</v>
      </c>
      <c r="BR89" s="429"/>
      <c r="BS89" s="1275"/>
      <c r="BT89" s="428"/>
      <c r="BU89" s="1293"/>
      <c r="BV89" s="427"/>
      <c r="BW89" s="428"/>
      <c r="BX89" s="427"/>
      <c r="BY89" s="429">
        <f t="shared" ref="BY89:BY92" si="95">+I89*J89</f>
        <v>39.546000000000006</v>
      </c>
      <c r="BZ89" s="1275"/>
      <c r="CA89" s="427"/>
      <c r="CB89" s="429">
        <f t="shared" ref="CB89:CB92" si="96">+F89</f>
        <v>10.67</v>
      </c>
      <c r="CC89" s="428"/>
      <c r="CE89" s="427"/>
      <c r="CF89" s="429"/>
      <c r="CG89" s="429"/>
      <c r="CH89" s="429"/>
      <c r="CI89" s="428"/>
      <c r="CJ89" s="1204">
        <v>1</v>
      </c>
      <c r="CK89" s="429"/>
      <c r="CL89" s="429">
        <v>2</v>
      </c>
      <c r="CM89" s="429"/>
      <c r="CN89" s="429"/>
      <c r="CO89" s="429">
        <v>3</v>
      </c>
      <c r="CP89" s="429">
        <v>1</v>
      </c>
      <c r="CQ89" s="429"/>
      <c r="CR89" s="429">
        <v>1</v>
      </c>
      <c r="CS89" s="429"/>
      <c r="CT89" s="429"/>
      <c r="CU89" s="428"/>
      <c r="CV89" s="1377"/>
      <c r="CW89" s="1047"/>
      <c r="CX89" s="1048"/>
      <c r="CY89" s="1048"/>
      <c r="CZ89" s="1049"/>
      <c r="DA89" s="1050"/>
      <c r="DB89" s="1046"/>
      <c r="DC89" s="1048"/>
      <c r="DD89" s="1048"/>
      <c r="DE89" s="1048"/>
      <c r="DF89" s="1050"/>
    </row>
    <row r="90" spans="1:140" s="1010" customFormat="1" ht="13">
      <c r="A90" s="2262"/>
      <c r="B90" s="1071">
        <v>70</v>
      </c>
      <c r="C90" s="1197" t="s">
        <v>2125</v>
      </c>
      <c r="D90" s="1101">
        <v>1.43</v>
      </c>
      <c r="E90" s="1102">
        <v>0.77</v>
      </c>
      <c r="F90" s="1051">
        <f t="shared" ref="F90:F92" si="97">D90*E90</f>
        <v>1.1011</v>
      </c>
      <c r="G90" s="1042">
        <v>4.5999999999999996</v>
      </c>
      <c r="H90" s="1043">
        <f>+D90*2+E90</f>
        <v>3.63</v>
      </c>
      <c r="I90" s="1044">
        <f t="shared" si="68"/>
        <v>0.96999999999999975</v>
      </c>
      <c r="J90" s="1025">
        <v>2.6</v>
      </c>
      <c r="K90" s="1334"/>
      <c r="L90" s="1428"/>
      <c r="M90" s="1027"/>
      <c r="N90" s="1097">
        <f t="shared" si="45"/>
        <v>1.1011</v>
      </c>
      <c r="O90" s="1098"/>
      <c r="P90" s="1098"/>
      <c r="Q90" s="1098"/>
      <c r="R90" s="1117"/>
      <c r="S90" s="1118"/>
      <c r="T90" s="1027"/>
      <c r="U90" s="427">
        <f t="shared" si="94"/>
        <v>2.5219999999999994</v>
      </c>
      <c r="V90" s="429">
        <f>+W90*J90</f>
        <v>5.2</v>
      </c>
      <c r="W90" s="429">
        <v>2</v>
      </c>
      <c r="X90" s="429"/>
      <c r="Y90" s="428"/>
      <c r="Z90" s="1027"/>
      <c r="AA90" s="1166"/>
      <c r="AB90" s="1399"/>
      <c r="AC90" s="1399"/>
      <c r="AD90" s="1168"/>
      <c r="AE90" s="1028"/>
      <c r="AF90" s="1272"/>
      <c r="AG90" s="1273"/>
      <c r="AH90" s="440"/>
      <c r="AI90" s="440"/>
      <c r="AJ90" s="440"/>
      <c r="AK90" s="429">
        <f t="shared" ref="AK90:AK91" si="98">$F90</f>
        <v>1.1011</v>
      </c>
      <c r="AL90" s="429">
        <f>$G90</f>
        <v>4.5999999999999996</v>
      </c>
      <c r="AM90" s="429"/>
      <c r="AN90" s="441"/>
      <c r="AO90" s="1029"/>
      <c r="AP90" s="427"/>
      <c r="AQ90" s="429"/>
      <c r="AR90" s="429"/>
      <c r="AS90" s="429"/>
      <c r="AT90" s="429"/>
      <c r="AU90" s="1275"/>
      <c r="AV90" s="1275"/>
      <c r="AW90" s="1275"/>
      <c r="AX90" s="427"/>
      <c r="AY90" s="429"/>
      <c r="AZ90" s="429"/>
      <c r="BA90" s="429"/>
      <c r="BB90" s="429"/>
      <c r="BC90" s="429"/>
      <c r="BD90" s="429"/>
      <c r="BE90" s="429"/>
      <c r="BF90" s="429"/>
      <c r="BG90" s="428"/>
      <c r="BH90" s="1033"/>
      <c r="BI90" s="1104"/>
      <c r="BJ90" s="1048"/>
      <c r="BK90" s="1048">
        <f t="shared" si="55"/>
        <v>1.1011</v>
      </c>
      <c r="BL90" s="1048"/>
      <c r="BM90" s="1048"/>
      <c r="BN90" s="1048"/>
      <c r="BO90" s="1049"/>
      <c r="BP90" s="1050"/>
      <c r="BQ90" s="1204"/>
      <c r="BR90" s="429"/>
      <c r="BS90" s="1275"/>
      <c r="BT90" s="428"/>
      <c r="BU90" s="1293"/>
      <c r="BV90" s="427"/>
      <c r="BW90" s="428"/>
      <c r="BX90" s="427"/>
      <c r="BY90" s="429">
        <f t="shared" si="95"/>
        <v>2.5219999999999994</v>
      </c>
      <c r="BZ90" s="1275"/>
      <c r="CA90" s="427"/>
      <c r="CB90" s="429">
        <f t="shared" si="96"/>
        <v>1.1011</v>
      </c>
      <c r="CC90" s="428"/>
      <c r="CE90" s="427"/>
      <c r="CF90" s="429"/>
      <c r="CG90" s="429"/>
      <c r="CH90" s="429"/>
      <c r="CI90" s="428"/>
      <c r="CJ90" s="1204">
        <v>1</v>
      </c>
      <c r="CK90" s="429"/>
      <c r="CL90" s="429"/>
      <c r="CM90" s="429"/>
      <c r="CN90" s="429"/>
      <c r="CO90" s="429"/>
      <c r="CP90" s="429"/>
      <c r="CQ90" s="429"/>
      <c r="CR90" s="429"/>
      <c r="CS90" s="429"/>
      <c r="CT90" s="429"/>
      <c r="CU90" s="428"/>
      <c r="CV90" s="1377"/>
      <c r="CW90" s="1047"/>
      <c r="CX90" s="1048"/>
      <c r="CY90" s="1048"/>
      <c r="CZ90" s="1049"/>
      <c r="DA90" s="1050"/>
      <c r="DB90" s="1046"/>
      <c r="DC90" s="1048"/>
      <c r="DD90" s="1048"/>
      <c r="DE90" s="1048"/>
      <c r="DF90" s="1050"/>
    </row>
    <row r="91" spans="1:140" s="1010" customFormat="1" ht="13">
      <c r="A91" s="2262"/>
      <c r="B91" s="1071">
        <v>71</v>
      </c>
      <c r="C91" s="1197" t="s">
        <v>2126</v>
      </c>
      <c r="D91" s="1101">
        <v>1.43</v>
      </c>
      <c r="E91" s="1102">
        <v>0.43</v>
      </c>
      <c r="F91" s="1051">
        <f t="shared" si="97"/>
        <v>0.6149</v>
      </c>
      <c r="G91" s="1042">
        <v>3.78</v>
      </c>
      <c r="H91" s="1043">
        <f>+D91</f>
        <v>1.43</v>
      </c>
      <c r="I91" s="1044">
        <f t="shared" si="68"/>
        <v>2.3499999999999996</v>
      </c>
      <c r="J91" s="1025">
        <v>2.6</v>
      </c>
      <c r="K91" s="1334"/>
      <c r="L91" s="1428"/>
      <c r="M91" s="1027"/>
      <c r="N91" s="1097">
        <f>$F91</f>
        <v>0.6149</v>
      </c>
      <c r="O91" s="1098"/>
      <c r="P91" s="1098"/>
      <c r="Q91" s="1098"/>
      <c r="R91" s="1117"/>
      <c r="S91" s="1118"/>
      <c r="T91" s="1027"/>
      <c r="U91" s="427">
        <f t="shared" si="94"/>
        <v>6.1099999999999994</v>
      </c>
      <c r="V91" s="429"/>
      <c r="W91" s="429"/>
      <c r="X91" s="429"/>
      <c r="Y91" s="428"/>
      <c r="Z91" s="1027"/>
      <c r="AA91" s="1166"/>
      <c r="AB91" s="1399"/>
      <c r="AC91" s="1399"/>
      <c r="AD91" s="1168"/>
      <c r="AE91" s="1028"/>
      <c r="AF91" s="1272"/>
      <c r="AG91" s="1273"/>
      <c r="AH91" s="440"/>
      <c r="AI91" s="440"/>
      <c r="AJ91" s="440"/>
      <c r="AK91" s="429">
        <f t="shared" si="98"/>
        <v>0.6149</v>
      </c>
      <c r="AL91" s="429"/>
      <c r="AM91" s="429"/>
      <c r="AN91" s="441"/>
      <c r="AO91" s="1029"/>
      <c r="AP91" s="427"/>
      <c r="AQ91" s="429"/>
      <c r="AR91" s="429"/>
      <c r="AS91" s="429"/>
      <c r="AT91" s="429"/>
      <c r="AU91" s="1275"/>
      <c r="AV91" s="1275"/>
      <c r="AW91" s="1275">
        <v>1</v>
      </c>
      <c r="AX91" s="427"/>
      <c r="AY91" s="429"/>
      <c r="AZ91" s="429"/>
      <c r="BA91" s="429"/>
      <c r="BB91" s="429"/>
      <c r="BC91" s="429"/>
      <c r="BD91" s="429"/>
      <c r="BE91" s="429"/>
      <c r="BF91" s="429"/>
      <c r="BG91" s="428"/>
      <c r="BH91" s="1033"/>
      <c r="BI91" s="1104"/>
      <c r="BJ91" s="1048"/>
      <c r="BK91" s="1048">
        <f t="shared" si="55"/>
        <v>0.6149</v>
      </c>
      <c r="BL91" s="1048"/>
      <c r="BM91" s="1048"/>
      <c r="BN91" s="1048"/>
      <c r="BO91" s="1049"/>
      <c r="BP91" s="1050"/>
      <c r="BQ91" s="1204"/>
      <c r="BR91" s="429"/>
      <c r="BS91" s="1275"/>
      <c r="BT91" s="428"/>
      <c r="BU91" s="1293"/>
      <c r="BV91" s="427"/>
      <c r="BW91" s="428"/>
      <c r="BX91" s="427"/>
      <c r="BY91" s="429">
        <f t="shared" si="95"/>
        <v>6.1099999999999994</v>
      </c>
      <c r="BZ91" s="1275"/>
      <c r="CA91" s="427"/>
      <c r="CB91" s="429">
        <f t="shared" si="96"/>
        <v>0.6149</v>
      </c>
      <c r="CC91" s="428"/>
      <c r="CE91" s="427"/>
      <c r="CF91" s="429"/>
      <c r="CG91" s="429"/>
      <c r="CH91" s="429"/>
      <c r="CI91" s="428"/>
      <c r="CJ91" s="1204"/>
      <c r="CK91" s="429"/>
      <c r="CL91" s="429"/>
      <c r="CM91" s="429"/>
      <c r="CN91" s="429"/>
      <c r="CO91" s="429"/>
      <c r="CP91" s="429"/>
      <c r="CQ91" s="429"/>
      <c r="CR91" s="429"/>
      <c r="CS91" s="429"/>
      <c r="CT91" s="429"/>
      <c r="CU91" s="428"/>
      <c r="CV91" s="1377"/>
      <c r="CW91" s="1047"/>
      <c r="CX91" s="1048"/>
      <c r="CY91" s="1048"/>
      <c r="CZ91" s="1049"/>
      <c r="DA91" s="1050"/>
      <c r="DB91" s="1046"/>
      <c r="DC91" s="1048"/>
      <c r="DD91" s="1048"/>
      <c r="DE91" s="1048"/>
      <c r="DF91" s="1050"/>
    </row>
    <row r="92" spans="1:140" s="1010" customFormat="1" ht="13">
      <c r="A92" s="2262"/>
      <c r="B92" s="1071">
        <v>72</v>
      </c>
      <c r="C92" s="1197" t="s">
        <v>2126</v>
      </c>
      <c r="D92" s="1101">
        <v>1.43</v>
      </c>
      <c r="E92" s="1102">
        <v>0.43</v>
      </c>
      <c r="F92" s="1051">
        <f t="shared" si="97"/>
        <v>0.6149</v>
      </c>
      <c r="G92" s="1042">
        <v>3.78</v>
      </c>
      <c r="H92" s="1043">
        <f>+D92</f>
        <v>1.43</v>
      </c>
      <c r="I92" s="1044">
        <f t="shared" si="68"/>
        <v>2.3499999999999996</v>
      </c>
      <c r="J92" s="1025">
        <v>2.6</v>
      </c>
      <c r="K92" s="1334"/>
      <c r="L92" s="1428"/>
      <c r="M92" s="1027"/>
      <c r="N92" s="1097">
        <f t="shared" si="45"/>
        <v>0.6149</v>
      </c>
      <c r="O92" s="1098"/>
      <c r="P92" s="1098"/>
      <c r="Q92" s="1098"/>
      <c r="R92" s="1117"/>
      <c r="S92" s="1118"/>
      <c r="T92" s="1027"/>
      <c r="U92" s="427">
        <f t="shared" si="94"/>
        <v>6.1099999999999994</v>
      </c>
      <c r="V92" s="429"/>
      <c r="W92" s="429"/>
      <c r="X92" s="429"/>
      <c r="Y92" s="428"/>
      <c r="Z92" s="1027"/>
      <c r="AA92" s="1166"/>
      <c r="AB92" s="1399"/>
      <c r="AC92" s="1399"/>
      <c r="AD92" s="1168"/>
      <c r="AE92" s="1028"/>
      <c r="AF92" s="1272"/>
      <c r="AG92" s="1273"/>
      <c r="AH92" s="440"/>
      <c r="AI92" s="440"/>
      <c r="AJ92" s="440"/>
      <c r="AK92" s="429">
        <f t="shared" ref="AK92" si="99">$F92</f>
        <v>0.6149</v>
      </c>
      <c r="AL92" s="429"/>
      <c r="AM92" s="429"/>
      <c r="AN92" s="441"/>
      <c r="AO92" s="1029"/>
      <c r="AP92" s="427"/>
      <c r="AQ92" s="429"/>
      <c r="AR92" s="429"/>
      <c r="AS92" s="429"/>
      <c r="AT92" s="429"/>
      <c r="AU92" s="1275"/>
      <c r="AV92" s="1275"/>
      <c r="AW92" s="1275">
        <v>1</v>
      </c>
      <c r="AX92" s="427"/>
      <c r="AY92" s="429"/>
      <c r="AZ92" s="429"/>
      <c r="BA92" s="429"/>
      <c r="BB92" s="429"/>
      <c r="BC92" s="429"/>
      <c r="BD92" s="429"/>
      <c r="BE92" s="429"/>
      <c r="BF92" s="429"/>
      <c r="BG92" s="428"/>
      <c r="BH92" s="1033"/>
      <c r="BI92" s="1104"/>
      <c r="BJ92" s="1048"/>
      <c r="BK92" s="1048">
        <f t="shared" si="55"/>
        <v>0.6149</v>
      </c>
      <c r="BL92" s="1048"/>
      <c r="BM92" s="1048"/>
      <c r="BN92" s="1048"/>
      <c r="BO92" s="1049"/>
      <c r="BP92" s="1050"/>
      <c r="BQ92" s="1204"/>
      <c r="BR92" s="429"/>
      <c r="BS92" s="1275"/>
      <c r="BT92" s="428"/>
      <c r="BU92" s="1293"/>
      <c r="BV92" s="427"/>
      <c r="BW92" s="428"/>
      <c r="BX92" s="427"/>
      <c r="BY92" s="429">
        <f t="shared" si="95"/>
        <v>6.1099999999999994</v>
      </c>
      <c r="BZ92" s="1275"/>
      <c r="CA92" s="427"/>
      <c r="CB92" s="429">
        <f t="shared" si="96"/>
        <v>0.6149</v>
      </c>
      <c r="CC92" s="428"/>
      <c r="CE92" s="427"/>
      <c r="CF92" s="429"/>
      <c r="CG92" s="429"/>
      <c r="CH92" s="429"/>
      <c r="CI92" s="428"/>
      <c r="CJ92" s="1204"/>
      <c r="CK92" s="429"/>
      <c r="CL92" s="429"/>
      <c r="CM92" s="429"/>
      <c r="CN92" s="429"/>
      <c r="CO92" s="429"/>
      <c r="CP92" s="429"/>
      <c r="CQ92" s="429"/>
      <c r="CR92" s="429"/>
      <c r="CS92" s="429"/>
      <c r="CT92" s="429"/>
      <c r="CU92" s="428"/>
      <c r="CV92" s="1377"/>
      <c r="CW92" s="1047"/>
      <c r="CX92" s="1048"/>
      <c r="CY92" s="1048"/>
      <c r="CZ92" s="1049"/>
      <c r="DA92" s="1050"/>
      <c r="DB92" s="1046"/>
      <c r="DC92" s="1048"/>
      <c r="DD92" s="1048"/>
      <c r="DE92" s="1048"/>
      <c r="DF92" s="1050"/>
    </row>
    <row r="93" spans="1:140" s="1060" customFormat="1" ht="13.5" thickBot="1">
      <c r="A93" s="2262"/>
      <c r="B93" s="1071">
        <v>73</v>
      </c>
      <c r="C93" s="1225" t="s">
        <v>2127</v>
      </c>
      <c r="D93" s="1226">
        <v>0</v>
      </c>
      <c r="E93" s="1227">
        <v>0</v>
      </c>
      <c r="F93" s="1228">
        <v>10.4</v>
      </c>
      <c r="G93" s="1229">
        <v>16.52</v>
      </c>
      <c r="H93" s="1079"/>
      <c r="I93" s="1080">
        <f t="shared" si="68"/>
        <v>16.52</v>
      </c>
      <c r="J93" s="1132">
        <v>2.2000000000000002</v>
      </c>
      <c r="K93" s="1425"/>
      <c r="L93" s="1431"/>
      <c r="M93" s="1027"/>
      <c r="N93" s="1166"/>
      <c r="O93" s="1167"/>
      <c r="P93" s="1167"/>
      <c r="Q93" s="1167"/>
      <c r="R93" s="1167">
        <f t="shared" ref="R93:S93" si="100">$F93</f>
        <v>10.4</v>
      </c>
      <c r="S93" s="1168">
        <f t="shared" si="100"/>
        <v>10.4</v>
      </c>
      <c r="T93" s="1027"/>
      <c r="U93" s="432"/>
      <c r="V93" s="430"/>
      <c r="W93" s="430"/>
      <c r="X93" s="430"/>
      <c r="Y93" s="431"/>
      <c r="Z93" s="1027"/>
      <c r="AA93" s="1166"/>
      <c r="AB93" s="1399"/>
      <c r="AC93" s="1399"/>
      <c r="AD93" s="1168">
        <f t="shared" ref="AD93" si="101">$F93</f>
        <v>10.4</v>
      </c>
      <c r="AE93" s="1028"/>
      <c r="AF93" s="1295"/>
      <c r="AG93" s="1296">
        <f>$F93</f>
        <v>10.4</v>
      </c>
      <c r="AH93" s="1313">
        <f>$G93</f>
        <v>16.52</v>
      </c>
      <c r="AI93" s="1313"/>
      <c r="AJ93" s="1313"/>
      <c r="AK93" s="430"/>
      <c r="AL93" s="430"/>
      <c r="AM93" s="430"/>
      <c r="AN93" s="1307"/>
      <c r="AO93" s="1029"/>
      <c r="AP93" s="439"/>
      <c r="AQ93" s="436"/>
      <c r="AR93" s="436"/>
      <c r="AS93" s="436"/>
      <c r="AT93" s="436"/>
      <c r="AU93" s="1279"/>
      <c r="AV93" s="1279"/>
      <c r="AW93" s="1279"/>
      <c r="AX93" s="432"/>
      <c r="AY93" s="430"/>
      <c r="AZ93" s="430"/>
      <c r="BA93" s="430"/>
      <c r="BB93" s="430"/>
      <c r="BC93" s="430"/>
      <c r="BD93" s="430"/>
      <c r="BE93" s="430"/>
      <c r="BF93" s="430"/>
      <c r="BG93" s="431"/>
      <c r="BH93" s="1033"/>
      <c r="BI93" s="1146"/>
      <c r="BJ93" s="1053"/>
      <c r="BK93" s="1053">
        <f t="shared" si="55"/>
        <v>10.4</v>
      </c>
      <c r="BL93" s="1053"/>
      <c r="BM93" s="1053"/>
      <c r="BN93" s="1053"/>
      <c r="BO93" s="1055"/>
      <c r="BP93" s="1054"/>
      <c r="BQ93" s="1206"/>
      <c r="BR93" s="436"/>
      <c r="BS93" s="1279">
        <f>+I93</f>
        <v>16.52</v>
      </c>
      <c r="BT93" s="437"/>
      <c r="BU93" s="1293"/>
      <c r="BV93" s="432"/>
      <c r="BW93" s="431"/>
      <c r="BX93" s="432"/>
      <c r="BY93" s="430"/>
      <c r="BZ93" s="1277"/>
      <c r="CA93" s="432"/>
      <c r="CB93" s="430"/>
      <c r="CC93" s="431">
        <f t="shared" ref="CC93" si="102">+F93</f>
        <v>10.4</v>
      </c>
      <c r="CD93" s="1010"/>
      <c r="CE93" s="432"/>
      <c r="CF93" s="430"/>
      <c r="CG93" s="430"/>
      <c r="CH93" s="430"/>
      <c r="CI93" s="431">
        <f>+CJ93</f>
        <v>3</v>
      </c>
      <c r="CJ93" s="1205">
        <v>3</v>
      </c>
      <c r="CK93" s="430"/>
      <c r="CL93" s="430"/>
      <c r="CM93" s="430"/>
      <c r="CN93" s="430"/>
      <c r="CO93" s="430">
        <v>1</v>
      </c>
      <c r="CP93" s="430"/>
      <c r="CQ93" s="430"/>
      <c r="CR93" s="430"/>
      <c r="CS93" s="430"/>
      <c r="CT93" s="430"/>
      <c r="CU93" s="431"/>
      <c r="CV93" s="1377"/>
      <c r="CW93" s="1083"/>
      <c r="CX93" s="1084"/>
      <c r="CY93" s="1084"/>
      <c r="CZ93" s="1085"/>
      <c r="DA93" s="1086"/>
      <c r="DB93" s="1082"/>
      <c r="DC93" s="1084"/>
      <c r="DD93" s="1084"/>
      <c r="DE93" s="1084"/>
      <c r="DF93" s="1086"/>
      <c r="DG93" s="1010"/>
      <c r="DH93" s="1010"/>
      <c r="DI93" s="1010"/>
      <c r="DJ93" s="1010"/>
      <c r="DK93" s="1010"/>
      <c r="DL93" s="1010"/>
      <c r="DM93" s="1010"/>
      <c r="DN93" s="1010"/>
      <c r="DO93" s="1010"/>
      <c r="DP93" s="1010"/>
      <c r="DQ93" s="1010"/>
      <c r="DR93" s="1010"/>
      <c r="DS93" s="1010"/>
      <c r="DT93" s="1010"/>
      <c r="DU93" s="1010"/>
      <c r="DV93" s="1010"/>
      <c r="DW93" s="1010"/>
      <c r="DX93" s="1010"/>
      <c r="DY93" s="1010"/>
      <c r="DZ93" s="1010"/>
      <c r="EA93" s="1010"/>
      <c r="EB93" s="1010"/>
      <c r="EC93" s="1010"/>
      <c r="ED93" s="1010"/>
      <c r="EE93" s="1010"/>
      <c r="EF93" s="1010"/>
      <c r="EG93" s="1010"/>
      <c r="EH93" s="1010"/>
      <c r="EI93" s="1010"/>
      <c r="EJ93" s="1010"/>
    </row>
    <row r="94" spans="1:140" s="1010" customFormat="1" ht="13">
      <c r="A94" s="1230"/>
      <c r="B94" s="1231"/>
      <c r="C94" s="1232" t="s">
        <v>2154</v>
      </c>
      <c r="D94" s="1233"/>
      <c r="E94" s="1233"/>
      <c r="F94" s="1234">
        <f>+SUM(F54:F93)*$L$94</f>
        <v>494.5772</v>
      </c>
      <c r="G94" s="1235"/>
      <c r="H94" s="1236"/>
      <c r="I94" s="1235"/>
      <c r="J94" s="1235"/>
      <c r="K94" s="1432"/>
      <c r="L94" s="1433">
        <v>2</v>
      </c>
      <c r="M94" s="1027"/>
      <c r="N94" s="1150">
        <f>+SUM(N54:N93)*$L$94</f>
        <v>360.94160000000005</v>
      </c>
      <c r="O94" s="1151">
        <f t="shared" ref="O94:S94" si="103">+SUM(O54:O93)*$L$94</f>
        <v>0</v>
      </c>
      <c r="P94" s="1151">
        <f t="shared" si="103"/>
        <v>0</v>
      </c>
      <c r="Q94" s="1151">
        <f t="shared" si="103"/>
        <v>0</v>
      </c>
      <c r="R94" s="1151">
        <f t="shared" si="103"/>
        <v>111.78559999999999</v>
      </c>
      <c r="S94" s="1152">
        <f t="shared" si="103"/>
        <v>111.78559999999999</v>
      </c>
      <c r="T94" s="1137"/>
      <c r="U94" s="1336">
        <f t="shared" ref="U94:AQ94" si="104">+SUM(U54:U93)*$L$94</f>
        <v>1021.2960000000003</v>
      </c>
      <c r="V94" s="1337">
        <f t="shared" si="104"/>
        <v>218.80000000000004</v>
      </c>
      <c r="W94" s="1337">
        <f t="shared" si="104"/>
        <v>86</v>
      </c>
      <c r="X94" s="1337">
        <f t="shared" si="104"/>
        <v>286.30400000000003</v>
      </c>
      <c r="Y94" s="1338">
        <f t="shared" si="104"/>
        <v>64.739999999999995</v>
      </c>
      <c r="Z94" s="1182"/>
      <c r="AA94" s="1400">
        <f t="shared" si="104"/>
        <v>50.697599999999994</v>
      </c>
      <c r="AB94" s="1401">
        <f t="shared" si="104"/>
        <v>0</v>
      </c>
      <c r="AC94" s="1401">
        <f t="shared" si="104"/>
        <v>0</v>
      </c>
      <c r="AD94" s="1402">
        <f t="shared" si="104"/>
        <v>61.087999999999994</v>
      </c>
      <c r="AE94" s="1182"/>
      <c r="AF94" s="1365">
        <f t="shared" si="104"/>
        <v>125.782</v>
      </c>
      <c r="AG94" s="1366">
        <f t="shared" si="104"/>
        <v>119.08779999999999</v>
      </c>
      <c r="AH94" s="1366">
        <f t="shared" si="104"/>
        <v>473.38</v>
      </c>
      <c r="AI94" s="1366">
        <f t="shared" si="104"/>
        <v>34.4</v>
      </c>
      <c r="AJ94" s="1366">
        <f t="shared" si="104"/>
        <v>3.2</v>
      </c>
      <c r="AK94" s="1366">
        <f t="shared" si="104"/>
        <v>226.327</v>
      </c>
      <c r="AL94" s="1366">
        <f t="shared" si="104"/>
        <v>247.2</v>
      </c>
      <c r="AM94" s="1366">
        <f t="shared" si="104"/>
        <v>0</v>
      </c>
      <c r="AN94" s="1367">
        <f t="shared" si="104"/>
        <v>21.85</v>
      </c>
      <c r="AO94" s="1133"/>
      <c r="AP94" s="1336">
        <f t="shared" si="104"/>
        <v>8</v>
      </c>
      <c r="AQ94" s="1337">
        <f t="shared" si="104"/>
        <v>20</v>
      </c>
      <c r="AR94" s="1337">
        <f t="shared" ref="AR94" si="105">+SUM(AR54:AR93)*$L$94</f>
        <v>0</v>
      </c>
      <c r="AS94" s="1337">
        <f t="shared" ref="AS94" si="106">+SUM(AS54:AS93)*$L$94</f>
        <v>0</v>
      </c>
      <c r="AT94" s="1337">
        <f t="shared" ref="AT94" si="107">+SUM(AT54:AT93)*$L$94</f>
        <v>0</v>
      </c>
      <c r="AU94" s="1337">
        <f t="shared" ref="AU94" si="108">+SUM(AU54:AU93)*$L$94</f>
        <v>2</v>
      </c>
      <c r="AV94" s="1337">
        <f t="shared" ref="AV94" si="109">+SUM(AV54:AV93)*$L$94</f>
        <v>0</v>
      </c>
      <c r="AW94" s="1368">
        <f t="shared" ref="AW94:BG94" si="110">+SUM(AW54:AW93)*$L$94</f>
        <v>16</v>
      </c>
      <c r="AX94" s="1336">
        <f t="shared" si="110"/>
        <v>0</v>
      </c>
      <c r="AY94" s="1337">
        <f t="shared" si="110"/>
        <v>12</v>
      </c>
      <c r="AZ94" s="1337">
        <f t="shared" ref="AZ94" si="111">+SUM(AZ54:AZ93)*$L$94</f>
        <v>0</v>
      </c>
      <c r="BA94" s="1337">
        <f t="shared" ref="BA94" si="112">+SUM(BA54:BA93)*$L$94</f>
        <v>0</v>
      </c>
      <c r="BB94" s="1337">
        <f t="shared" ref="BB94" si="113">+SUM(BB54:BB93)*$L$94</f>
        <v>4</v>
      </c>
      <c r="BC94" s="1337">
        <f t="shared" ref="BC94" si="114">+SUM(BC54:BC93)*$L$94</f>
        <v>4</v>
      </c>
      <c r="BD94" s="1337">
        <f t="shared" ref="BD94" si="115">+SUM(BD54:BD93)*$L$94</f>
        <v>4</v>
      </c>
      <c r="BE94" s="1337">
        <f t="shared" ref="BE94" si="116">+SUM(BE54:BE93)*$L$94</f>
        <v>0</v>
      </c>
      <c r="BF94" s="1337">
        <f t="shared" ref="BF94" si="117">+SUM(BF54:BF93)*$L$94</f>
        <v>0</v>
      </c>
      <c r="BG94" s="1338">
        <f t="shared" si="110"/>
        <v>0</v>
      </c>
      <c r="BH94" s="1133"/>
      <c r="BI94" s="1369">
        <f t="shared" ref="BI94:BS94" si="118">+SUM(BI54:BI93)*$L$94</f>
        <v>0</v>
      </c>
      <c r="BJ94" s="1370">
        <f t="shared" si="118"/>
        <v>0</v>
      </c>
      <c r="BK94" s="1370">
        <f t="shared" si="118"/>
        <v>395.82960000000008</v>
      </c>
      <c r="BL94" s="1370">
        <f t="shared" si="118"/>
        <v>50.697599999999994</v>
      </c>
      <c r="BM94" s="1370">
        <f t="shared" si="118"/>
        <v>26.2</v>
      </c>
      <c r="BN94" s="1370">
        <f t="shared" si="118"/>
        <v>0</v>
      </c>
      <c r="BO94" s="1371">
        <f t="shared" si="118"/>
        <v>0</v>
      </c>
      <c r="BP94" s="1372">
        <f t="shared" si="118"/>
        <v>0</v>
      </c>
      <c r="BQ94" s="1369">
        <f t="shared" si="118"/>
        <v>337.6</v>
      </c>
      <c r="BR94" s="1370">
        <f t="shared" si="118"/>
        <v>0</v>
      </c>
      <c r="BS94" s="1370">
        <f t="shared" si="118"/>
        <v>149.95999999999998</v>
      </c>
      <c r="BT94" s="1372">
        <f t="shared" ref="BT94:DF94" si="119">+SUM(BT54:BT93)*$L$94</f>
        <v>24.9</v>
      </c>
      <c r="BU94" s="1306"/>
      <c r="BV94" s="1457">
        <f>+SUM(BV54:BV93)*$L$94</f>
        <v>15.167999999999999</v>
      </c>
      <c r="BW94" s="1458">
        <f>+SUM(BW54:BW93)*$L$94</f>
        <v>225.63200000000001</v>
      </c>
      <c r="BX94" s="1457">
        <f t="shared" si="119"/>
        <v>64.739999999999995</v>
      </c>
      <c r="BY94" s="1459">
        <f t="shared" si="119"/>
        <v>1066.8000000000004</v>
      </c>
      <c r="BZ94" s="1465">
        <f t="shared" si="119"/>
        <v>0</v>
      </c>
      <c r="CA94" s="1369">
        <f t="shared" si="119"/>
        <v>21.85</v>
      </c>
      <c r="CB94" s="1370">
        <f t="shared" si="119"/>
        <v>236.05960000000002</v>
      </c>
      <c r="CC94" s="1372">
        <f t="shared" si="119"/>
        <v>236.66760000000002</v>
      </c>
      <c r="CD94" s="1027"/>
      <c r="CE94" s="1177">
        <f t="shared" si="119"/>
        <v>8</v>
      </c>
      <c r="CF94" s="1178">
        <f t="shared" si="119"/>
        <v>0</v>
      </c>
      <c r="CG94" s="1178">
        <f t="shared" si="119"/>
        <v>10</v>
      </c>
      <c r="CH94" s="1178">
        <f t="shared" si="119"/>
        <v>4</v>
      </c>
      <c r="CI94" s="1183">
        <f t="shared" si="119"/>
        <v>30</v>
      </c>
      <c r="CJ94" s="1209">
        <f t="shared" si="119"/>
        <v>138</v>
      </c>
      <c r="CK94" s="1178">
        <f t="shared" si="119"/>
        <v>8</v>
      </c>
      <c r="CL94" s="1178">
        <f t="shared" si="119"/>
        <v>64</v>
      </c>
      <c r="CM94" s="1178">
        <f t="shared" si="119"/>
        <v>8</v>
      </c>
      <c r="CN94" s="1178">
        <f t="shared" si="119"/>
        <v>42</v>
      </c>
      <c r="CO94" s="1178">
        <f t="shared" si="119"/>
        <v>112</v>
      </c>
      <c r="CP94" s="1178">
        <f t="shared" si="119"/>
        <v>16</v>
      </c>
      <c r="CQ94" s="1178">
        <f t="shared" si="119"/>
        <v>8</v>
      </c>
      <c r="CR94" s="1178">
        <f t="shared" si="119"/>
        <v>20</v>
      </c>
      <c r="CS94" s="1178">
        <f t="shared" si="119"/>
        <v>8</v>
      </c>
      <c r="CT94" s="1178">
        <f t="shared" si="119"/>
        <v>0</v>
      </c>
      <c r="CU94" s="1183">
        <f t="shared" si="119"/>
        <v>8</v>
      </c>
      <c r="CV94" s="1377"/>
      <c r="CW94" s="1442">
        <f t="shared" si="119"/>
        <v>12</v>
      </c>
      <c r="CX94" s="1370">
        <f t="shared" si="119"/>
        <v>12</v>
      </c>
      <c r="CY94" s="1370">
        <f t="shared" si="119"/>
        <v>12</v>
      </c>
      <c r="CZ94" s="1370">
        <f t="shared" si="119"/>
        <v>0</v>
      </c>
      <c r="DA94" s="1370">
        <f t="shared" si="119"/>
        <v>8</v>
      </c>
      <c r="DB94" s="1369">
        <f t="shared" si="119"/>
        <v>12</v>
      </c>
      <c r="DC94" s="1370">
        <f t="shared" si="119"/>
        <v>12</v>
      </c>
      <c r="DD94" s="1370">
        <f t="shared" si="119"/>
        <v>12</v>
      </c>
      <c r="DE94" s="1370">
        <f t="shared" si="119"/>
        <v>8</v>
      </c>
      <c r="DF94" s="1372">
        <f t="shared" si="119"/>
        <v>8</v>
      </c>
    </row>
    <row r="95" spans="1:140" s="1010" customFormat="1" ht="13">
      <c r="A95" s="2263" t="s">
        <v>2128</v>
      </c>
      <c r="B95" s="1022">
        <v>74</v>
      </c>
      <c r="C95" s="1195" t="s">
        <v>2057</v>
      </c>
      <c r="D95" s="1109">
        <v>0</v>
      </c>
      <c r="E95" s="1110">
        <v>0</v>
      </c>
      <c r="F95" s="1113">
        <v>15.19</v>
      </c>
      <c r="G95" s="1025">
        <v>23.06</v>
      </c>
      <c r="H95" s="1073">
        <v>0</v>
      </c>
      <c r="I95" s="1026">
        <f t="shared" si="68"/>
        <v>23.06</v>
      </c>
      <c r="J95" s="1025">
        <v>2.6</v>
      </c>
      <c r="K95" s="1334"/>
      <c r="L95" s="1428"/>
      <c r="M95" s="1027"/>
      <c r="N95" s="1149">
        <f>F95</f>
        <v>15.19</v>
      </c>
      <c r="O95" s="1160"/>
      <c r="P95" s="1160"/>
      <c r="Q95" s="1160"/>
      <c r="R95" s="1160"/>
      <c r="S95" s="1161"/>
      <c r="T95" s="1027"/>
      <c r="U95" s="434">
        <f>+I95*J95</f>
        <v>59.955999999999996</v>
      </c>
      <c r="V95" s="433"/>
      <c r="W95" s="433"/>
      <c r="X95" s="433"/>
      <c r="Y95" s="426"/>
      <c r="Z95" s="1027"/>
      <c r="AA95" s="1149"/>
      <c r="AB95" s="1395"/>
      <c r="AC95" s="1395"/>
      <c r="AD95" s="1161"/>
      <c r="AE95" s="1094"/>
      <c r="AF95" s="434">
        <f t="shared" ref="AF95:AF98" si="120">$F95</f>
        <v>15.19</v>
      </c>
      <c r="AG95" s="433"/>
      <c r="AH95" s="1218"/>
      <c r="AI95" s="1218"/>
      <c r="AJ95" s="1218">
        <v>1.6</v>
      </c>
      <c r="AK95" s="433"/>
      <c r="AL95" s="433"/>
      <c r="AM95" s="433"/>
      <c r="AN95" s="1219"/>
      <c r="AO95" s="1095"/>
      <c r="AP95" s="434"/>
      <c r="AQ95" s="433"/>
      <c r="AR95" s="433"/>
      <c r="AS95" s="433"/>
      <c r="AT95" s="433"/>
      <c r="AU95" s="1280">
        <v>1</v>
      </c>
      <c r="AV95" s="1280"/>
      <c r="AW95" s="1280"/>
      <c r="AX95" s="434"/>
      <c r="AY95" s="433"/>
      <c r="AZ95" s="433"/>
      <c r="BA95" s="433"/>
      <c r="BB95" s="433"/>
      <c r="BC95" s="433"/>
      <c r="BD95" s="433"/>
      <c r="BE95" s="433"/>
      <c r="BF95" s="433"/>
      <c r="BG95" s="426"/>
      <c r="BH95" s="1033"/>
      <c r="BI95" s="1149"/>
      <c r="BJ95" s="1035"/>
      <c r="BK95" s="1035"/>
      <c r="BL95" s="1035"/>
      <c r="BM95" s="1035">
        <f t="shared" ref="BK95:BN115" si="121">$F95</f>
        <v>15.19</v>
      </c>
      <c r="BN95" s="1035"/>
      <c r="BO95" s="1035"/>
      <c r="BP95" s="1036"/>
      <c r="BQ95" s="434"/>
      <c r="BR95" s="433"/>
      <c r="BS95" s="433">
        <f>+I95</f>
        <v>23.06</v>
      </c>
      <c r="BT95" s="426"/>
      <c r="BU95" s="1293"/>
      <c r="BV95" s="434"/>
      <c r="BW95" s="426"/>
      <c r="BX95" s="434"/>
      <c r="BY95" s="433">
        <f>+I95*J95</f>
        <v>59.955999999999996</v>
      </c>
      <c r="BZ95" s="1280"/>
      <c r="CA95" s="434"/>
      <c r="CB95" s="433"/>
      <c r="CC95" s="426">
        <f>+F95</f>
        <v>15.19</v>
      </c>
      <c r="CE95" s="1217"/>
      <c r="CF95" s="1218"/>
      <c r="CG95" s="1218">
        <v>3</v>
      </c>
      <c r="CH95" s="1218">
        <v>1</v>
      </c>
      <c r="CI95" s="1219">
        <v>2</v>
      </c>
      <c r="CJ95" s="1220">
        <v>3</v>
      </c>
      <c r="CK95" s="1218"/>
      <c r="CL95" s="1218"/>
      <c r="CM95" s="1218">
        <v>3</v>
      </c>
      <c r="CN95" s="1218"/>
      <c r="CO95" s="1218">
        <v>1</v>
      </c>
      <c r="CP95" s="1218"/>
      <c r="CQ95" s="1218"/>
      <c r="CR95" s="1218"/>
      <c r="CS95" s="1218"/>
      <c r="CT95" s="1218"/>
      <c r="CU95" s="1219"/>
      <c r="CV95" s="1378"/>
      <c r="CW95" s="1149"/>
      <c r="CX95" s="1160"/>
      <c r="CY95" s="1160"/>
      <c r="CZ95" s="1449"/>
      <c r="DA95" s="1161"/>
      <c r="DB95" s="1451"/>
      <c r="DC95" s="1160"/>
      <c r="DD95" s="1160"/>
      <c r="DE95" s="1160"/>
      <c r="DF95" s="1161"/>
    </row>
    <row r="96" spans="1:140" s="1010" customFormat="1" ht="13">
      <c r="A96" s="2263"/>
      <c r="B96" s="1147"/>
      <c r="C96" s="848" t="s">
        <v>412</v>
      </c>
      <c r="D96" s="1105">
        <v>4.37</v>
      </c>
      <c r="E96" s="1106">
        <v>2.5</v>
      </c>
      <c r="F96" s="1216">
        <f>+D96*E96</f>
        <v>10.925000000000001</v>
      </c>
      <c r="G96" s="1066">
        <f>+D96*2+E96*2</f>
        <v>13.74</v>
      </c>
      <c r="H96" s="1067">
        <f>+H95</f>
        <v>0</v>
      </c>
      <c r="I96" s="1068">
        <f>+G96-H96</f>
        <v>13.74</v>
      </c>
      <c r="J96" s="1066">
        <v>2.6</v>
      </c>
      <c r="K96" s="1408"/>
      <c r="L96" s="1427"/>
      <c r="M96" s="1027"/>
      <c r="N96" s="1146"/>
      <c r="O96" s="1162"/>
      <c r="P96" s="1162"/>
      <c r="Q96" s="1162"/>
      <c r="R96" s="1162"/>
      <c r="S96" s="1163"/>
      <c r="T96" s="1027"/>
      <c r="U96" s="432"/>
      <c r="V96" s="430"/>
      <c r="W96" s="430"/>
      <c r="X96" s="430"/>
      <c r="Y96" s="431">
        <f>+I96*J96</f>
        <v>35.724000000000004</v>
      </c>
      <c r="Z96" s="1027"/>
      <c r="AA96" s="1146"/>
      <c r="AB96" s="1396"/>
      <c r="AC96" s="1396"/>
      <c r="AD96" s="1163"/>
      <c r="AE96" s="1094"/>
      <c r="AF96" s="432"/>
      <c r="AG96" s="430"/>
      <c r="AH96" s="1222"/>
      <c r="AI96" s="1222"/>
      <c r="AJ96" s="1222"/>
      <c r="AK96" s="430"/>
      <c r="AL96" s="430"/>
      <c r="AM96" s="430"/>
      <c r="AN96" s="1223">
        <f>+F96</f>
        <v>10.925000000000001</v>
      </c>
      <c r="AO96" s="1095"/>
      <c r="AP96" s="432"/>
      <c r="AQ96" s="430"/>
      <c r="AR96" s="430"/>
      <c r="AS96" s="430"/>
      <c r="AT96" s="430"/>
      <c r="AU96" s="1277"/>
      <c r="AV96" s="1277"/>
      <c r="AW96" s="1277"/>
      <c r="AX96" s="432"/>
      <c r="AY96" s="430"/>
      <c r="AZ96" s="430"/>
      <c r="BA96" s="430"/>
      <c r="BB96" s="430"/>
      <c r="BC96" s="430"/>
      <c r="BD96" s="430"/>
      <c r="BE96" s="430"/>
      <c r="BF96" s="430"/>
      <c r="BG96" s="431"/>
      <c r="BH96" s="1033"/>
      <c r="BI96" s="1146"/>
      <c r="BJ96" s="1053"/>
      <c r="BK96" s="1053"/>
      <c r="BL96" s="1053"/>
      <c r="BM96" s="1053"/>
      <c r="BN96" s="1053"/>
      <c r="BO96" s="1053"/>
      <c r="BP96" s="1054"/>
      <c r="BQ96" s="432"/>
      <c r="BR96" s="430"/>
      <c r="BS96" s="430"/>
      <c r="BT96" s="431">
        <f>+I96</f>
        <v>13.74</v>
      </c>
      <c r="BU96" s="1293"/>
      <c r="BV96" s="432"/>
      <c r="BW96" s="431"/>
      <c r="BX96" s="432">
        <f>+I96*J96</f>
        <v>35.724000000000004</v>
      </c>
      <c r="BY96" s="430"/>
      <c r="BZ96" s="1277"/>
      <c r="CA96" s="432">
        <f>+F96</f>
        <v>10.925000000000001</v>
      </c>
      <c r="CB96" s="430"/>
      <c r="CC96" s="431"/>
      <c r="CE96" s="1221"/>
      <c r="CF96" s="1222"/>
      <c r="CG96" s="1222">
        <v>1</v>
      </c>
      <c r="CH96" s="1222">
        <v>1</v>
      </c>
      <c r="CI96" s="1223">
        <v>2</v>
      </c>
      <c r="CJ96" s="1224">
        <v>2</v>
      </c>
      <c r="CK96" s="1222"/>
      <c r="CL96" s="1222"/>
      <c r="CM96" s="1222"/>
      <c r="CN96" s="1222"/>
      <c r="CO96" s="1222"/>
      <c r="CP96" s="1222"/>
      <c r="CQ96" s="1222"/>
      <c r="CR96" s="1222"/>
      <c r="CS96" s="1222"/>
      <c r="CT96" s="1222"/>
      <c r="CU96" s="1223"/>
      <c r="CV96" s="1378"/>
      <c r="CW96" s="1146"/>
      <c r="CX96" s="1162"/>
      <c r="CY96" s="1162"/>
      <c r="CZ96" s="1450"/>
      <c r="DA96" s="1163"/>
      <c r="DB96" s="1452"/>
      <c r="DC96" s="1162"/>
      <c r="DD96" s="1162"/>
      <c r="DE96" s="1162"/>
      <c r="DF96" s="1163"/>
    </row>
    <row r="97" spans="1:116" s="1010" customFormat="1" ht="13">
      <c r="A97" s="2263"/>
      <c r="B97" s="1138">
        <v>75</v>
      </c>
      <c r="C97" s="9" t="s">
        <v>2110</v>
      </c>
      <c r="D97" s="1109">
        <v>2.56</v>
      </c>
      <c r="E97" s="1110">
        <v>1.1000000000000001</v>
      </c>
      <c r="F97" s="1072">
        <f t="shared" ref="F97:F98" si="122">D97*E97</f>
        <v>2.8160000000000003</v>
      </c>
      <c r="G97" s="1025">
        <v>7.33</v>
      </c>
      <c r="H97" s="1073">
        <f>+E97+D98</f>
        <v>2.2999999999999998</v>
      </c>
      <c r="I97" s="1026">
        <f>+G97-H97</f>
        <v>5.03</v>
      </c>
      <c r="J97" s="1025">
        <v>2.4</v>
      </c>
      <c r="K97" s="1334"/>
      <c r="L97" s="1428"/>
      <c r="M97" s="1027"/>
      <c r="N97" s="1097">
        <f t="shared" ref="N97:N101" si="123">$F97</f>
        <v>2.8160000000000003</v>
      </c>
      <c r="O97" s="1098"/>
      <c r="P97" s="1098"/>
      <c r="Q97" s="1098"/>
      <c r="R97" s="1098"/>
      <c r="S97" s="1099"/>
      <c r="T97" s="1027"/>
      <c r="U97" s="434">
        <f>$I97*$J97</f>
        <v>12.072000000000001</v>
      </c>
      <c r="V97" s="433">
        <f>+W97*J97</f>
        <v>7.1999999999999993</v>
      </c>
      <c r="W97" s="433">
        <v>3</v>
      </c>
      <c r="X97" s="433"/>
      <c r="Y97" s="426"/>
      <c r="Z97" s="1027"/>
      <c r="AA97" s="1149"/>
      <c r="AB97" s="1395"/>
      <c r="AC97" s="1395"/>
      <c r="AD97" s="1161"/>
      <c r="AE97" s="1028"/>
      <c r="AF97" s="1272">
        <f t="shared" si="120"/>
        <v>2.8160000000000003</v>
      </c>
      <c r="AG97" s="1273"/>
      <c r="AH97" s="440">
        <f>+I67</f>
        <v>10.190000000000001</v>
      </c>
      <c r="AI97" s="440"/>
      <c r="AJ97" s="440"/>
      <c r="AK97" s="1273"/>
      <c r="AL97" s="1273"/>
      <c r="AM97" s="1273"/>
      <c r="AN97" s="441"/>
      <c r="AO97" s="1029"/>
      <c r="AP97" s="434">
        <v>1</v>
      </c>
      <c r="AQ97" s="433"/>
      <c r="AR97" s="433"/>
      <c r="AS97" s="433"/>
      <c r="AT97" s="433"/>
      <c r="AU97" s="433"/>
      <c r="AV97" s="433"/>
      <c r="AW97" s="426"/>
      <c r="AX97" s="434"/>
      <c r="AY97" s="433"/>
      <c r="AZ97" s="433"/>
      <c r="BA97" s="433"/>
      <c r="BB97" s="433"/>
      <c r="BC97" s="433"/>
      <c r="BD97" s="433"/>
      <c r="BE97" s="433"/>
      <c r="BF97" s="433"/>
      <c r="BG97" s="426"/>
      <c r="BH97" s="1033"/>
      <c r="BI97" s="1149"/>
      <c r="BJ97" s="1035"/>
      <c r="BK97" s="1035">
        <f t="shared" si="121"/>
        <v>2.8160000000000003</v>
      </c>
      <c r="BL97" s="1035"/>
      <c r="BM97" s="1035"/>
      <c r="BN97" s="1035"/>
      <c r="BO97" s="1037"/>
      <c r="BP97" s="1036"/>
      <c r="BQ97" s="1292">
        <f>+I97</f>
        <v>5.03</v>
      </c>
      <c r="BR97" s="1273"/>
      <c r="BS97" s="1274"/>
      <c r="BT97" s="1294"/>
      <c r="BU97" s="1293"/>
      <c r="BV97" s="434"/>
      <c r="BW97" s="426"/>
      <c r="BX97" s="434"/>
      <c r="BY97" s="433">
        <f>+I97*J97</f>
        <v>12.072000000000001</v>
      </c>
      <c r="BZ97" s="1280"/>
      <c r="CA97" s="434"/>
      <c r="CB97" s="433"/>
      <c r="CC97" s="426">
        <f>+F97</f>
        <v>2.8160000000000003</v>
      </c>
      <c r="CE97" s="1175"/>
      <c r="CF97" s="440"/>
      <c r="CG97" s="440"/>
      <c r="CH97" s="440"/>
      <c r="CI97" s="441"/>
      <c r="CJ97" s="1207">
        <v>2</v>
      </c>
      <c r="CK97" s="440"/>
      <c r="CL97" s="440">
        <v>3</v>
      </c>
      <c r="CM97" s="440"/>
      <c r="CN97" s="440"/>
      <c r="CO97" s="440"/>
      <c r="CP97" s="440"/>
      <c r="CQ97" s="440"/>
      <c r="CR97" s="440"/>
      <c r="CS97" s="440">
        <v>1</v>
      </c>
      <c r="CT97" s="440"/>
      <c r="CU97" s="441">
        <v>1</v>
      </c>
      <c r="CV97" s="1378"/>
      <c r="CW97" s="1097"/>
      <c r="CX97" s="1098"/>
      <c r="CY97" s="1098"/>
      <c r="CZ97" s="1114"/>
      <c r="DA97" s="1099"/>
      <c r="DB97" s="1100"/>
      <c r="DC97" s="1098"/>
      <c r="DD97" s="1098"/>
      <c r="DE97" s="1098"/>
      <c r="DF97" s="1099"/>
    </row>
    <row r="98" spans="1:116" s="1010" customFormat="1" ht="13">
      <c r="A98" s="2263"/>
      <c r="B98" s="1071">
        <v>76</v>
      </c>
      <c r="C98" s="1198" t="s">
        <v>2111</v>
      </c>
      <c r="D98" s="1101">
        <v>1.2</v>
      </c>
      <c r="E98" s="1102">
        <v>0.62</v>
      </c>
      <c r="F98" s="1051">
        <f t="shared" si="122"/>
        <v>0.74399999999999999</v>
      </c>
      <c r="G98" s="1042">
        <v>3.63</v>
      </c>
      <c r="H98" s="1043">
        <f>+D98</f>
        <v>1.2</v>
      </c>
      <c r="I98" s="1044">
        <f>+G98-H98</f>
        <v>2.4299999999999997</v>
      </c>
      <c r="J98" s="1025">
        <v>2.4</v>
      </c>
      <c r="K98" s="1335"/>
      <c r="L98" s="1421"/>
      <c r="M98" s="1027"/>
      <c r="N98" s="1097">
        <f t="shared" si="123"/>
        <v>0.74399999999999999</v>
      </c>
      <c r="O98" s="1098"/>
      <c r="P98" s="1098"/>
      <c r="Q98" s="1098"/>
      <c r="R98" s="1117"/>
      <c r="S98" s="1118"/>
      <c r="T98" s="1027"/>
      <c r="U98" s="427">
        <f>$I98*$J98</f>
        <v>5.831999999999999</v>
      </c>
      <c r="V98" s="429"/>
      <c r="W98" s="429"/>
      <c r="X98" s="429"/>
      <c r="Y98" s="428"/>
      <c r="Z98" s="1027"/>
      <c r="AA98" s="1104"/>
      <c r="AB98" s="1397"/>
      <c r="AC98" s="1397"/>
      <c r="AD98" s="1118"/>
      <c r="AE98" s="1028"/>
      <c r="AF98" s="1272">
        <f t="shared" si="120"/>
        <v>0.74399999999999999</v>
      </c>
      <c r="AG98" s="1273"/>
      <c r="AH98" s="440"/>
      <c r="AI98" s="440"/>
      <c r="AJ98" s="440"/>
      <c r="AK98" s="429"/>
      <c r="AL98" s="429"/>
      <c r="AM98" s="429"/>
      <c r="AN98" s="441"/>
      <c r="AO98" s="1029"/>
      <c r="AP98" s="427"/>
      <c r="AQ98" s="429"/>
      <c r="AR98" s="429"/>
      <c r="AS98" s="429"/>
      <c r="AT98" s="429"/>
      <c r="AU98" s="429"/>
      <c r="AV98" s="429"/>
      <c r="AW98" s="428">
        <v>1</v>
      </c>
      <c r="AX98" s="427"/>
      <c r="AY98" s="429"/>
      <c r="AZ98" s="429"/>
      <c r="BA98" s="429"/>
      <c r="BB98" s="429"/>
      <c r="BC98" s="429"/>
      <c r="BD98" s="429"/>
      <c r="BE98" s="429"/>
      <c r="BF98" s="429"/>
      <c r="BG98" s="428"/>
      <c r="BH98" s="1033"/>
      <c r="BI98" s="1104"/>
      <c r="BJ98" s="1048"/>
      <c r="BK98" s="1048">
        <f t="shared" si="121"/>
        <v>0.74399999999999999</v>
      </c>
      <c r="BL98" s="1048"/>
      <c r="BM98" s="1048"/>
      <c r="BN98" s="1048"/>
      <c r="BO98" s="1049"/>
      <c r="BP98" s="1050"/>
      <c r="BQ98" s="1204"/>
      <c r="BR98" s="429"/>
      <c r="BS98" s="1275"/>
      <c r="BT98" s="428"/>
      <c r="BU98" s="1293"/>
      <c r="BV98" s="427"/>
      <c r="BW98" s="428"/>
      <c r="BX98" s="427"/>
      <c r="BY98" s="429">
        <f t="shared" ref="BY98:BY101" si="124">+I98*J98</f>
        <v>5.831999999999999</v>
      </c>
      <c r="BZ98" s="1275"/>
      <c r="CA98" s="427"/>
      <c r="CB98" s="429"/>
      <c r="CC98" s="428">
        <f t="shared" ref="CC98:CC102" si="125">+F98</f>
        <v>0.74399999999999999</v>
      </c>
      <c r="CE98" s="427"/>
      <c r="CF98" s="429"/>
      <c r="CG98" s="429"/>
      <c r="CH98" s="429"/>
      <c r="CI98" s="428"/>
      <c r="CJ98" s="1204"/>
      <c r="CK98" s="429"/>
      <c r="CL98" s="429"/>
      <c r="CM98" s="429"/>
      <c r="CN98" s="429"/>
      <c r="CO98" s="429"/>
      <c r="CP98" s="429"/>
      <c r="CQ98" s="429"/>
      <c r="CR98" s="429"/>
      <c r="CS98" s="429"/>
      <c r="CT98" s="429"/>
      <c r="CU98" s="428"/>
      <c r="CV98" s="1377"/>
      <c r="CW98" s="1047"/>
      <c r="CX98" s="1048"/>
      <c r="CY98" s="1048"/>
      <c r="CZ98" s="1049"/>
      <c r="DA98" s="1050"/>
      <c r="DB98" s="1046"/>
      <c r="DC98" s="1048"/>
      <c r="DD98" s="1048"/>
      <c r="DE98" s="1048"/>
      <c r="DF98" s="1050"/>
    </row>
    <row r="99" spans="1:116" s="1010" customFormat="1" ht="13">
      <c r="A99" s="2263"/>
      <c r="B99" s="1071">
        <v>77</v>
      </c>
      <c r="C99" s="1197" t="s">
        <v>2112</v>
      </c>
      <c r="D99" s="1101">
        <v>0</v>
      </c>
      <c r="E99" s="1102">
        <v>0</v>
      </c>
      <c r="F99" s="1051">
        <v>4.51</v>
      </c>
      <c r="G99" s="1042">
        <v>9.7899999999999991</v>
      </c>
      <c r="H99" s="1103">
        <v>0</v>
      </c>
      <c r="I99" s="1044">
        <f>+G99-H99</f>
        <v>9.7899999999999991</v>
      </c>
      <c r="J99" s="1025">
        <v>2.2000000000000002</v>
      </c>
      <c r="K99" s="1335">
        <v>2.2000000000000002</v>
      </c>
      <c r="L99" s="1421"/>
      <c r="M99" s="1027"/>
      <c r="N99" s="1097"/>
      <c r="O99" s="1098"/>
      <c r="P99" s="1098"/>
      <c r="Q99" s="1098"/>
      <c r="R99" s="1117">
        <f t="shared" ref="R99:S99" si="126">$F99</f>
        <v>4.51</v>
      </c>
      <c r="S99" s="1118">
        <f t="shared" si="126"/>
        <v>4.51</v>
      </c>
      <c r="T99" s="1027"/>
      <c r="U99" s="427"/>
      <c r="V99" s="429"/>
      <c r="W99" s="429"/>
      <c r="X99" s="429">
        <f>+I99*K99</f>
        <v>21.538</v>
      </c>
      <c r="Y99" s="428"/>
      <c r="Z99" s="1027"/>
      <c r="AA99" s="1104">
        <f t="shared" ref="AA99" si="127">$F99</f>
        <v>4.51</v>
      </c>
      <c r="AB99" s="1397"/>
      <c r="AC99" s="1397"/>
      <c r="AD99" s="1118"/>
      <c r="AE99" s="1028"/>
      <c r="AF99" s="1272"/>
      <c r="AG99" s="1273">
        <f>$F99</f>
        <v>4.51</v>
      </c>
      <c r="AH99" s="440">
        <f>$G99</f>
        <v>9.7899999999999991</v>
      </c>
      <c r="AI99" s="440"/>
      <c r="AJ99" s="440"/>
      <c r="AK99" s="429"/>
      <c r="AL99" s="429"/>
      <c r="AM99" s="429"/>
      <c r="AN99" s="441"/>
      <c r="AO99" s="1029"/>
      <c r="AP99" s="427"/>
      <c r="AQ99" s="429">
        <v>1</v>
      </c>
      <c r="AR99" s="429"/>
      <c r="AS99" s="429"/>
      <c r="AT99" s="1281"/>
      <c r="AU99" s="1281"/>
      <c r="AV99" s="429"/>
      <c r="AW99" s="428"/>
      <c r="AX99" s="427"/>
      <c r="AY99" s="429"/>
      <c r="AZ99" s="429"/>
      <c r="BA99" s="429"/>
      <c r="BB99" s="429"/>
      <c r="BC99" s="429"/>
      <c r="BD99" s="429"/>
      <c r="BE99" s="429"/>
      <c r="BF99" s="429"/>
      <c r="BG99" s="428"/>
      <c r="BH99" s="1033"/>
      <c r="BI99" s="1104"/>
      <c r="BJ99" s="1048"/>
      <c r="BK99" s="1048">
        <f t="shared" si="121"/>
        <v>4.51</v>
      </c>
      <c r="BL99" s="1048">
        <f t="shared" si="121"/>
        <v>4.51</v>
      </c>
      <c r="BM99" s="1048"/>
      <c r="BN99" s="1048"/>
      <c r="BO99" s="1049"/>
      <c r="BP99" s="1050"/>
      <c r="BQ99" s="1204"/>
      <c r="BR99" s="429"/>
      <c r="BS99" s="1275"/>
      <c r="BT99" s="428"/>
      <c r="BU99" s="1293"/>
      <c r="BV99" s="427"/>
      <c r="BW99" s="428">
        <f>+I99*K99</f>
        <v>21.538</v>
      </c>
      <c r="BX99" s="427"/>
      <c r="BY99" s="429"/>
      <c r="BZ99" s="1275"/>
      <c r="CA99" s="427"/>
      <c r="CB99" s="429"/>
      <c r="CC99" s="428">
        <f t="shared" si="125"/>
        <v>4.51</v>
      </c>
      <c r="CE99" s="427">
        <v>1</v>
      </c>
      <c r="CF99" s="429"/>
      <c r="CG99" s="429"/>
      <c r="CH99" s="429"/>
      <c r="CI99" s="428"/>
      <c r="CJ99" s="1204">
        <v>3</v>
      </c>
      <c r="CK99" s="429">
        <v>1</v>
      </c>
      <c r="CL99" s="429">
        <v>1</v>
      </c>
      <c r="CM99" s="429"/>
      <c r="CN99" s="429">
        <v>1</v>
      </c>
      <c r="CO99" s="429"/>
      <c r="CP99" s="429"/>
      <c r="CQ99" s="429"/>
      <c r="CR99" s="429"/>
      <c r="CS99" s="429"/>
      <c r="CT99" s="429"/>
      <c r="CU99" s="428"/>
      <c r="CV99" s="1377"/>
      <c r="CW99" s="1047">
        <v>1</v>
      </c>
      <c r="CX99" s="1048">
        <v>1</v>
      </c>
      <c r="CY99" s="1048">
        <v>1</v>
      </c>
      <c r="CZ99" s="1049"/>
      <c r="DA99" s="1050"/>
      <c r="DB99" s="1046">
        <v>1</v>
      </c>
      <c r="DC99" s="1048">
        <v>1</v>
      </c>
      <c r="DD99" s="1048">
        <v>1</v>
      </c>
      <c r="DE99" s="1048">
        <v>1</v>
      </c>
      <c r="DF99" s="1050"/>
    </row>
    <row r="100" spans="1:116" s="1010" customFormat="1" ht="13">
      <c r="A100" s="2263"/>
      <c r="B100" s="1071">
        <v>78</v>
      </c>
      <c r="C100" s="1197" t="s">
        <v>2113</v>
      </c>
      <c r="D100" s="1101">
        <v>1.9</v>
      </c>
      <c r="E100" s="1102">
        <v>3.6</v>
      </c>
      <c r="F100" s="1051">
        <f t="shared" ref="F100" si="128">D100*E100</f>
        <v>6.84</v>
      </c>
      <c r="G100" s="1042">
        <v>10.95</v>
      </c>
      <c r="H100" s="1103">
        <f>+E100</f>
        <v>3.6</v>
      </c>
      <c r="I100" s="1044">
        <f t="shared" ref="I100:I112" si="129">+G100-H100</f>
        <v>7.35</v>
      </c>
      <c r="J100" s="1025">
        <v>2.4</v>
      </c>
      <c r="K100" s="1335">
        <v>0.6</v>
      </c>
      <c r="L100" s="1325">
        <f>3.6-1.1</f>
        <v>2.5</v>
      </c>
      <c r="M100" s="1027"/>
      <c r="N100" s="1097">
        <f t="shared" si="123"/>
        <v>6.84</v>
      </c>
      <c r="O100" s="1098"/>
      <c r="P100" s="1098"/>
      <c r="Q100" s="1098"/>
      <c r="R100" s="1117"/>
      <c r="S100" s="1118"/>
      <c r="T100" s="1027"/>
      <c r="U100" s="427">
        <f>(I100*J100)-X100</f>
        <v>11.639999999999997</v>
      </c>
      <c r="V100" s="429"/>
      <c r="W100" s="429"/>
      <c r="X100" s="429">
        <f>+L100*J100</f>
        <v>6</v>
      </c>
      <c r="Y100" s="428"/>
      <c r="Z100" s="1027"/>
      <c r="AA100" s="1104"/>
      <c r="AB100" s="1397"/>
      <c r="AC100" s="1397"/>
      <c r="AD100" s="1118"/>
      <c r="AE100" s="1028"/>
      <c r="AF100" s="1272"/>
      <c r="AG100" s="1273">
        <f t="shared" ref="AG100:AG102" si="130">$F100</f>
        <v>6.84</v>
      </c>
      <c r="AH100" s="440">
        <f>$G100</f>
        <v>10.95</v>
      </c>
      <c r="AI100" s="440">
        <v>3.6</v>
      </c>
      <c r="AJ100" s="440"/>
      <c r="AK100" s="429"/>
      <c r="AL100" s="429"/>
      <c r="AM100" s="429"/>
      <c r="AN100" s="441"/>
      <c r="AO100" s="1029"/>
      <c r="AP100" s="427"/>
      <c r="AQ100" s="429"/>
      <c r="AR100" s="429"/>
      <c r="AS100" s="429"/>
      <c r="AT100" s="429"/>
      <c r="AU100" s="429"/>
      <c r="AV100" s="429"/>
      <c r="AW100" s="428"/>
      <c r="AX100" s="427"/>
      <c r="AY100" s="429"/>
      <c r="AZ100" s="429"/>
      <c r="BA100" s="429"/>
      <c r="BB100" s="429"/>
      <c r="BC100" s="429"/>
      <c r="BD100" s="429"/>
      <c r="BE100" s="429"/>
      <c r="BF100" s="429"/>
      <c r="BG100" s="428"/>
      <c r="BH100" s="1033"/>
      <c r="BI100" s="1104"/>
      <c r="BJ100" s="1048"/>
      <c r="BK100" s="1048">
        <f t="shared" si="121"/>
        <v>6.84</v>
      </c>
      <c r="BL100" s="1048"/>
      <c r="BM100" s="1048"/>
      <c r="BN100" s="1048"/>
      <c r="BO100" s="1049"/>
      <c r="BP100" s="1050"/>
      <c r="BQ100" s="1204">
        <f>+I100</f>
        <v>7.35</v>
      </c>
      <c r="BR100" s="429"/>
      <c r="BS100" s="1275"/>
      <c r="BT100" s="428"/>
      <c r="BU100" s="1293"/>
      <c r="BV100" s="427">
        <f>+K100*L100</f>
        <v>1.5</v>
      </c>
      <c r="BW100" s="428"/>
      <c r="BX100" s="427"/>
      <c r="BY100" s="1314">
        <f>+I100*J100-BV100</f>
        <v>16.139999999999997</v>
      </c>
      <c r="BZ100" s="1275"/>
      <c r="CA100" s="427"/>
      <c r="CB100" s="429"/>
      <c r="CC100" s="428">
        <f t="shared" si="125"/>
        <v>6.84</v>
      </c>
      <c r="CE100" s="427"/>
      <c r="CF100" s="429"/>
      <c r="CG100" s="429"/>
      <c r="CH100" s="429"/>
      <c r="CI100" s="428"/>
      <c r="CJ100" s="1204">
        <v>3</v>
      </c>
      <c r="CK100" s="429"/>
      <c r="CL100" s="429"/>
      <c r="CM100" s="429"/>
      <c r="CN100" s="429">
        <v>3</v>
      </c>
      <c r="CO100" s="429">
        <v>4</v>
      </c>
      <c r="CP100" s="429"/>
      <c r="CQ100" s="429"/>
      <c r="CR100" s="429"/>
      <c r="CS100" s="429"/>
      <c r="CT100" s="429"/>
      <c r="CU100" s="428"/>
      <c r="CV100" s="1377"/>
      <c r="CW100" s="1047"/>
      <c r="CX100" s="1048"/>
      <c r="CY100" s="1048"/>
      <c r="CZ100" s="1049"/>
      <c r="DA100" s="1050">
        <v>1</v>
      </c>
      <c r="DB100" s="1046"/>
      <c r="DC100" s="1048"/>
      <c r="DD100" s="1048"/>
      <c r="DE100" s="1048"/>
      <c r="DF100" s="1050">
        <v>1</v>
      </c>
    </row>
    <row r="101" spans="1:116" s="1010" customFormat="1" ht="13">
      <c r="A101" s="2263"/>
      <c r="B101" s="1071">
        <v>79</v>
      </c>
      <c r="C101" s="1197" t="s">
        <v>2114</v>
      </c>
      <c r="D101" s="1101">
        <v>0</v>
      </c>
      <c r="E101" s="1102">
        <v>0</v>
      </c>
      <c r="F101" s="1051">
        <v>17.47</v>
      </c>
      <c r="G101" s="1042">
        <v>17.11</v>
      </c>
      <c r="H101" s="1043">
        <f>+E100</f>
        <v>3.6</v>
      </c>
      <c r="I101" s="1044">
        <f t="shared" si="129"/>
        <v>13.51</v>
      </c>
      <c r="J101" s="1025">
        <v>2.6</v>
      </c>
      <c r="K101" s="1335"/>
      <c r="L101" s="1421"/>
      <c r="M101" s="1027"/>
      <c r="N101" s="1097">
        <f t="shared" si="123"/>
        <v>17.47</v>
      </c>
      <c r="O101" s="1098"/>
      <c r="P101" s="1098"/>
      <c r="Q101" s="1098"/>
      <c r="R101" s="1117"/>
      <c r="S101" s="1118"/>
      <c r="T101" s="1027"/>
      <c r="U101" s="427">
        <f>+I101*J101</f>
        <v>35.125999999999998</v>
      </c>
      <c r="V101" s="429">
        <f>+W101*J101</f>
        <v>7.8000000000000007</v>
      </c>
      <c r="W101" s="429">
        <v>3</v>
      </c>
      <c r="X101" s="429"/>
      <c r="Y101" s="428"/>
      <c r="Z101" s="1027"/>
      <c r="AA101" s="1104"/>
      <c r="AB101" s="1397"/>
      <c r="AC101" s="1397"/>
      <c r="AD101" s="1118"/>
      <c r="AE101" s="1028"/>
      <c r="AF101" s="1272"/>
      <c r="AG101" s="1273"/>
      <c r="AH101" s="440"/>
      <c r="AI101" s="440"/>
      <c r="AJ101" s="440"/>
      <c r="AK101" s="429">
        <f t="shared" ref="AK101" si="131">$F101</f>
        <v>17.47</v>
      </c>
      <c r="AL101" s="429">
        <f>$G101</f>
        <v>17.11</v>
      </c>
      <c r="AM101" s="429"/>
      <c r="AN101" s="441"/>
      <c r="AO101" s="1029"/>
      <c r="AP101" s="427"/>
      <c r="AQ101" s="429"/>
      <c r="AR101" s="429"/>
      <c r="AS101" s="429"/>
      <c r="AT101" s="429"/>
      <c r="AU101" s="429"/>
      <c r="AV101" s="429"/>
      <c r="AW101" s="428"/>
      <c r="AX101" s="427"/>
      <c r="AY101" s="429"/>
      <c r="AZ101" s="429"/>
      <c r="BA101" s="429"/>
      <c r="BB101" s="429">
        <v>1</v>
      </c>
      <c r="BC101" s="429"/>
      <c r="BD101" s="429"/>
      <c r="BE101" s="429"/>
      <c r="BF101" s="429"/>
      <c r="BG101" s="428"/>
      <c r="BH101" s="1033"/>
      <c r="BI101" s="1104"/>
      <c r="BJ101" s="1048"/>
      <c r="BK101" s="1048">
        <f t="shared" si="121"/>
        <v>17.47</v>
      </c>
      <c r="BL101" s="1048"/>
      <c r="BM101" s="1048"/>
      <c r="BN101" s="1048"/>
      <c r="BO101" s="1049"/>
      <c r="BP101" s="1050"/>
      <c r="BQ101" s="1204">
        <f>+I101</f>
        <v>13.51</v>
      </c>
      <c r="BR101" s="429"/>
      <c r="BS101" s="1275"/>
      <c r="BT101" s="428"/>
      <c r="BU101" s="1293"/>
      <c r="BV101" s="427"/>
      <c r="BW101" s="428"/>
      <c r="BX101" s="427"/>
      <c r="BY101" s="429">
        <f t="shared" si="124"/>
        <v>35.125999999999998</v>
      </c>
      <c r="BZ101" s="1275"/>
      <c r="CA101" s="427"/>
      <c r="CB101" s="429">
        <f t="shared" ref="CB101" si="132">+F101</f>
        <v>17.47</v>
      </c>
      <c r="CC101" s="428"/>
      <c r="CE101" s="427"/>
      <c r="CF101" s="429"/>
      <c r="CG101" s="429"/>
      <c r="CH101" s="429"/>
      <c r="CI101" s="428"/>
      <c r="CJ101" s="1204">
        <v>2</v>
      </c>
      <c r="CK101" s="429"/>
      <c r="CL101" s="429">
        <v>2</v>
      </c>
      <c r="CM101" s="429"/>
      <c r="CN101" s="429">
        <v>1</v>
      </c>
      <c r="CO101" s="429">
        <v>5</v>
      </c>
      <c r="CP101" s="429">
        <v>1</v>
      </c>
      <c r="CQ101" s="429">
        <v>1</v>
      </c>
      <c r="CR101" s="429">
        <v>1</v>
      </c>
      <c r="CS101" s="429"/>
      <c r="CT101" s="429"/>
      <c r="CU101" s="428"/>
      <c r="CV101" s="1377"/>
      <c r="CW101" s="1047"/>
      <c r="CX101" s="1048"/>
      <c r="CY101" s="1048"/>
      <c r="CZ101" s="1049"/>
      <c r="DA101" s="1050"/>
      <c r="DB101" s="1046"/>
      <c r="DC101" s="1048"/>
      <c r="DD101" s="1048"/>
      <c r="DE101" s="1048"/>
      <c r="DF101" s="1050"/>
    </row>
    <row r="102" spans="1:116" s="1010" customFormat="1" ht="13">
      <c r="A102" s="2263"/>
      <c r="B102" s="1071">
        <v>80</v>
      </c>
      <c r="C102" s="1225" t="s">
        <v>2115</v>
      </c>
      <c r="D102" s="1226">
        <v>1.4</v>
      </c>
      <c r="E102" s="1227">
        <v>3.48</v>
      </c>
      <c r="F102" s="1237">
        <f t="shared" ref="F102:F107" si="133">D102*E102</f>
        <v>4.8719999999999999</v>
      </c>
      <c r="G102" s="1229">
        <v>9.75</v>
      </c>
      <c r="H102" s="1079">
        <v>0</v>
      </c>
      <c r="I102" s="1080">
        <f t="shared" si="129"/>
        <v>9.75</v>
      </c>
      <c r="J102" s="1132">
        <v>2.6</v>
      </c>
      <c r="K102" s="1408"/>
      <c r="L102" s="1427"/>
      <c r="M102" s="1027"/>
      <c r="N102" s="1148"/>
      <c r="O102" s="1164"/>
      <c r="P102" s="1164"/>
      <c r="Q102" s="1164"/>
      <c r="R102" s="1162">
        <f t="shared" ref="R102:S102" si="134">$F102</f>
        <v>4.8719999999999999</v>
      </c>
      <c r="S102" s="1163">
        <f t="shared" si="134"/>
        <v>4.8719999999999999</v>
      </c>
      <c r="T102" s="1027"/>
      <c r="U102" s="432"/>
      <c r="V102" s="430"/>
      <c r="W102" s="430"/>
      <c r="X102" s="430"/>
      <c r="Y102" s="431"/>
      <c r="Z102" s="1027"/>
      <c r="AA102" s="1146"/>
      <c r="AB102" s="1396"/>
      <c r="AC102" s="1396">
        <f>+F102</f>
        <v>4.8719999999999999</v>
      </c>
      <c r="AD102" s="1163">
        <f t="shared" ref="AD102" si="135">$F102</f>
        <v>4.8719999999999999</v>
      </c>
      <c r="AE102" s="1028"/>
      <c r="AF102" s="1295"/>
      <c r="AG102" s="1296">
        <f t="shared" si="130"/>
        <v>4.8719999999999999</v>
      </c>
      <c r="AH102" s="1313">
        <f>$G102</f>
        <v>9.75</v>
      </c>
      <c r="AI102" s="1313"/>
      <c r="AJ102" s="1313"/>
      <c r="AK102" s="430"/>
      <c r="AL102" s="430"/>
      <c r="AM102" s="430"/>
      <c r="AN102" s="1307"/>
      <c r="AO102" s="1029"/>
      <c r="AP102" s="432"/>
      <c r="AQ102" s="430"/>
      <c r="AR102" s="430"/>
      <c r="AS102" s="430"/>
      <c r="AT102" s="430"/>
      <c r="AU102" s="430"/>
      <c r="AV102" s="430"/>
      <c r="AW102" s="431"/>
      <c r="AX102" s="432"/>
      <c r="AY102" s="430"/>
      <c r="AZ102" s="430"/>
      <c r="BA102" s="430"/>
      <c r="BB102" s="430"/>
      <c r="BC102" s="430"/>
      <c r="BD102" s="430"/>
      <c r="BE102" s="430"/>
      <c r="BF102" s="430"/>
      <c r="BG102" s="431"/>
      <c r="BH102" s="1033"/>
      <c r="BI102" s="1146"/>
      <c r="BJ102" s="1053"/>
      <c r="BK102" s="1053">
        <f t="shared" si="121"/>
        <v>4.8719999999999999</v>
      </c>
      <c r="BL102" s="1053"/>
      <c r="BM102" s="1053"/>
      <c r="BN102" s="1053"/>
      <c r="BO102" s="1055"/>
      <c r="BP102" s="1054"/>
      <c r="BQ102" s="1205"/>
      <c r="BR102" s="430"/>
      <c r="BS102" s="1277">
        <f>+I102</f>
        <v>9.75</v>
      </c>
      <c r="BT102" s="431"/>
      <c r="BU102" s="1293"/>
      <c r="BV102" s="432"/>
      <c r="BW102" s="431"/>
      <c r="BX102" s="432"/>
      <c r="BY102" s="430"/>
      <c r="BZ102" s="1277"/>
      <c r="CA102" s="432"/>
      <c r="CB102" s="430"/>
      <c r="CC102" s="431">
        <f t="shared" si="125"/>
        <v>4.8719999999999999</v>
      </c>
      <c r="CE102" s="432"/>
      <c r="CF102" s="430"/>
      <c r="CG102" s="430"/>
      <c r="CH102" s="430"/>
      <c r="CI102" s="431">
        <v>1</v>
      </c>
      <c r="CJ102" s="1205">
        <v>1</v>
      </c>
      <c r="CK102" s="430"/>
      <c r="CL102" s="430"/>
      <c r="CM102" s="430"/>
      <c r="CN102" s="430"/>
      <c r="CO102" s="430"/>
      <c r="CP102" s="430"/>
      <c r="CQ102" s="430"/>
      <c r="CR102" s="430"/>
      <c r="CS102" s="430"/>
      <c r="CT102" s="430"/>
      <c r="CU102" s="431"/>
      <c r="CV102" s="1377"/>
      <c r="CW102" s="1052"/>
      <c r="CX102" s="1053"/>
      <c r="CY102" s="1053"/>
      <c r="CZ102" s="1055"/>
      <c r="DA102" s="1054"/>
      <c r="DB102" s="1070"/>
      <c r="DC102" s="1053"/>
      <c r="DD102" s="1053"/>
      <c r="DE102" s="1053"/>
      <c r="DF102" s="1054"/>
    </row>
    <row r="103" spans="1:116" ht="13">
      <c r="A103" s="2263"/>
      <c r="B103" s="1238">
        <v>82</v>
      </c>
      <c r="C103" s="407" t="s">
        <v>2116</v>
      </c>
      <c r="D103" s="1088">
        <v>1.1499999999999999</v>
      </c>
      <c r="E103" s="1089">
        <v>1.73</v>
      </c>
      <c r="F103" s="1090">
        <f t="shared" si="133"/>
        <v>1.9894999999999998</v>
      </c>
      <c r="G103" s="1091">
        <v>5.77</v>
      </c>
      <c r="H103" s="1092">
        <f>+D103</f>
        <v>1.1499999999999999</v>
      </c>
      <c r="I103" s="1093">
        <f t="shared" si="129"/>
        <v>4.6199999999999992</v>
      </c>
      <c r="J103" s="1091">
        <v>2.4</v>
      </c>
      <c r="K103" s="1419"/>
      <c r="L103" s="1420"/>
      <c r="M103" s="1027"/>
      <c r="N103" s="1097">
        <f>$F103</f>
        <v>1.9894999999999998</v>
      </c>
      <c r="O103" s="1098"/>
      <c r="P103" s="1098"/>
      <c r="Q103" s="1098"/>
      <c r="R103" s="1098"/>
      <c r="S103" s="1099"/>
      <c r="T103" s="1027"/>
      <c r="U103" s="434">
        <f>+$I103*$J103</f>
        <v>11.087999999999997</v>
      </c>
      <c r="V103" s="433">
        <f>+W103*J103</f>
        <v>2.4</v>
      </c>
      <c r="W103" s="433">
        <v>1</v>
      </c>
      <c r="X103" s="433"/>
      <c r="Y103" s="426"/>
      <c r="Z103" s="1027"/>
      <c r="AA103" s="1104"/>
      <c r="AB103" s="1397"/>
      <c r="AC103" s="1397"/>
      <c r="AD103" s="1118"/>
      <c r="AE103" s="1028"/>
      <c r="AF103" s="1272">
        <f t="shared" ref="AF103" si="136">$F103</f>
        <v>1.9894999999999998</v>
      </c>
      <c r="AG103" s="1273"/>
      <c r="AH103" s="440">
        <f>+I103</f>
        <v>4.6199999999999992</v>
      </c>
      <c r="AI103" s="440"/>
      <c r="AJ103" s="440"/>
      <c r="AK103" s="1273"/>
      <c r="AL103" s="1273"/>
      <c r="AM103" s="1273"/>
      <c r="AN103" s="441"/>
      <c r="AO103" s="1029"/>
      <c r="AP103" s="1272">
        <v>1</v>
      </c>
      <c r="AQ103" s="1273"/>
      <c r="AR103" s="1273"/>
      <c r="AS103" s="1273"/>
      <c r="AT103" s="1273"/>
      <c r="AU103" s="1274"/>
      <c r="AV103" s="1274"/>
      <c r="AW103" s="1274"/>
      <c r="AX103" s="434"/>
      <c r="AY103" s="433"/>
      <c r="AZ103" s="433"/>
      <c r="BA103" s="433"/>
      <c r="BB103" s="433"/>
      <c r="BC103" s="433"/>
      <c r="BD103" s="433"/>
      <c r="BE103" s="433"/>
      <c r="BF103" s="433"/>
      <c r="BG103" s="426"/>
      <c r="BH103" s="1033"/>
      <c r="BI103" s="1149"/>
      <c r="BJ103" s="1035"/>
      <c r="BK103" s="1035">
        <f t="shared" si="121"/>
        <v>1.9894999999999998</v>
      </c>
      <c r="BL103" s="1035"/>
      <c r="BM103" s="1035"/>
      <c r="BN103" s="1035"/>
      <c r="BO103" s="1037"/>
      <c r="BP103" s="1036"/>
      <c r="BQ103" s="1292">
        <f>+I103</f>
        <v>4.6199999999999992</v>
      </c>
      <c r="BR103" s="1273"/>
      <c r="BS103" s="1274"/>
      <c r="BT103" s="1294"/>
      <c r="BU103" s="1293"/>
      <c r="BV103" s="434"/>
      <c r="BW103" s="426"/>
      <c r="BX103" s="434"/>
      <c r="BY103" s="433">
        <f>+I103*J103</f>
        <v>11.087999999999997</v>
      </c>
      <c r="BZ103" s="1280"/>
      <c r="CA103" s="434"/>
      <c r="CB103" s="429"/>
      <c r="CC103" s="428">
        <f t="shared" ref="CC103:CC104" si="137">+F103</f>
        <v>1.9894999999999998</v>
      </c>
      <c r="CE103" s="427"/>
      <c r="CF103" s="429"/>
      <c r="CG103" s="429"/>
      <c r="CH103" s="429"/>
      <c r="CI103" s="428"/>
      <c r="CJ103" s="1204">
        <v>1</v>
      </c>
      <c r="CK103" s="429"/>
      <c r="CL103" s="429">
        <v>1</v>
      </c>
      <c r="CM103" s="429"/>
      <c r="CN103" s="429"/>
      <c r="CO103" s="429"/>
      <c r="CP103" s="429"/>
      <c r="CQ103" s="429"/>
      <c r="CR103" s="429"/>
      <c r="CS103" s="429">
        <v>1</v>
      </c>
      <c r="CT103" s="429"/>
      <c r="CU103" s="428">
        <v>1</v>
      </c>
      <c r="CV103" s="1377"/>
      <c r="CW103" s="1047"/>
      <c r="CX103" s="1048"/>
      <c r="CY103" s="1048"/>
      <c r="CZ103" s="1049"/>
      <c r="DA103" s="1050"/>
      <c r="DB103" s="1046"/>
      <c r="DC103" s="1048"/>
      <c r="DD103" s="1048"/>
      <c r="DE103" s="1048"/>
      <c r="DF103" s="1050"/>
    </row>
    <row r="104" spans="1:116" ht="13">
      <c r="A104" s="2263"/>
      <c r="B104" s="1071">
        <v>83</v>
      </c>
      <c r="C104" s="1197" t="s">
        <v>2117</v>
      </c>
      <c r="D104" s="1101">
        <v>3.25</v>
      </c>
      <c r="E104" s="1102">
        <v>3</v>
      </c>
      <c r="F104" s="1051">
        <f t="shared" si="133"/>
        <v>9.75</v>
      </c>
      <c r="G104" s="1042">
        <v>12.49</v>
      </c>
      <c r="H104" s="1043">
        <f>3+H103</f>
        <v>4.1500000000000004</v>
      </c>
      <c r="I104" s="1044">
        <f t="shared" si="129"/>
        <v>8.34</v>
      </c>
      <c r="J104" s="1025">
        <v>2.4</v>
      </c>
      <c r="K104" s="1335">
        <v>0.6</v>
      </c>
      <c r="L104" s="1339">
        <f>+D104</f>
        <v>3.25</v>
      </c>
      <c r="M104" s="1027"/>
      <c r="N104" s="1097">
        <f t="shared" ref="N104:N129" si="138">$F104</f>
        <v>9.75</v>
      </c>
      <c r="O104" s="1098"/>
      <c r="P104" s="1098"/>
      <c r="Q104" s="1098"/>
      <c r="R104" s="1117"/>
      <c r="S104" s="1118"/>
      <c r="T104" s="1027"/>
      <c r="U104" s="427">
        <f>(I104*J104)-X104</f>
        <v>12.215999999999998</v>
      </c>
      <c r="V104" s="429"/>
      <c r="W104" s="429"/>
      <c r="X104" s="429">
        <f>+L104*J104</f>
        <v>7.8</v>
      </c>
      <c r="Y104" s="428"/>
      <c r="Z104" s="1027"/>
      <c r="AA104" s="1104"/>
      <c r="AB104" s="1397"/>
      <c r="AC104" s="1397"/>
      <c r="AD104" s="1118"/>
      <c r="AE104" s="1028"/>
      <c r="AF104" s="1272"/>
      <c r="AG104" s="1273">
        <f>$F104</f>
        <v>9.75</v>
      </c>
      <c r="AH104" s="440">
        <f>+G104</f>
        <v>12.49</v>
      </c>
      <c r="AI104" s="440"/>
      <c r="AJ104" s="440"/>
      <c r="AK104" s="429"/>
      <c r="AL104" s="429"/>
      <c r="AM104" s="429"/>
      <c r="AN104" s="441"/>
      <c r="AO104" s="1029"/>
      <c r="AP104" s="427"/>
      <c r="AQ104" s="429"/>
      <c r="AR104" s="429"/>
      <c r="AS104" s="429"/>
      <c r="AT104" s="429"/>
      <c r="AU104" s="1275"/>
      <c r="AV104" s="1275"/>
      <c r="AW104" s="1275"/>
      <c r="AX104" s="427"/>
      <c r="AY104" s="429"/>
      <c r="AZ104" s="429"/>
      <c r="BA104" s="429"/>
      <c r="BB104" s="429"/>
      <c r="BC104" s="429"/>
      <c r="BD104" s="429">
        <v>1</v>
      </c>
      <c r="BE104" s="429"/>
      <c r="BF104" s="429"/>
      <c r="BG104" s="428"/>
      <c r="BH104" s="1033"/>
      <c r="BI104" s="1104"/>
      <c r="BJ104" s="1048"/>
      <c r="BK104" s="1048">
        <f t="shared" si="121"/>
        <v>9.75</v>
      </c>
      <c r="BL104" s="1048"/>
      <c r="BM104" s="1048"/>
      <c r="BN104" s="1048"/>
      <c r="BO104" s="1049"/>
      <c r="BP104" s="1050"/>
      <c r="BQ104" s="1204">
        <f>+I104</f>
        <v>8.34</v>
      </c>
      <c r="BR104" s="429"/>
      <c r="BS104" s="1275"/>
      <c r="BT104" s="428"/>
      <c r="BU104" s="1293"/>
      <c r="BV104" s="427">
        <f>+K104*L104</f>
        <v>1.95</v>
      </c>
      <c r="BW104" s="428"/>
      <c r="BX104" s="427"/>
      <c r="BY104" s="1314">
        <f>(I104*J104)-BV104</f>
        <v>18.065999999999999</v>
      </c>
      <c r="BZ104" s="1275"/>
      <c r="CA104" s="427"/>
      <c r="CB104" s="429"/>
      <c r="CC104" s="428">
        <f t="shared" si="137"/>
        <v>9.75</v>
      </c>
      <c r="CE104" s="427"/>
      <c r="CF104" s="429"/>
      <c r="CG104" s="429"/>
      <c r="CH104" s="429"/>
      <c r="CI104" s="428"/>
      <c r="CJ104" s="1204">
        <v>6</v>
      </c>
      <c r="CK104" s="429"/>
      <c r="CL104" s="429">
        <v>1</v>
      </c>
      <c r="CM104" s="429"/>
      <c r="CN104" s="429">
        <v>3</v>
      </c>
      <c r="CO104" s="429">
        <v>5</v>
      </c>
      <c r="CP104" s="429"/>
      <c r="CQ104" s="429"/>
      <c r="CR104" s="429"/>
      <c r="CS104" s="429"/>
      <c r="CT104" s="429"/>
      <c r="CU104" s="428"/>
      <c r="CV104" s="1377"/>
      <c r="CW104" s="1047"/>
      <c r="CX104" s="1048"/>
      <c r="CY104" s="1048"/>
      <c r="CZ104" s="1049"/>
      <c r="DA104" s="1050">
        <v>1</v>
      </c>
      <c r="DB104" s="1046"/>
      <c r="DC104" s="1048"/>
      <c r="DD104" s="1048"/>
      <c r="DE104" s="1048"/>
      <c r="DF104" s="1050">
        <v>1</v>
      </c>
    </row>
    <row r="105" spans="1:116" ht="13">
      <c r="A105" s="2263"/>
      <c r="B105" s="1071">
        <v>84</v>
      </c>
      <c r="C105" s="1197" t="s">
        <v>2129</v>
      </c>
      <c r="D105" s="1101">
        <v>2.97</v>
      </c>
      <c r="E105" s="1102">
        <v>1.52</v>
      </c>
      <c r="F105" s="1051">
        <f t="shared" si="133"/>
        <v>4.5144000000000002</v>
      </c>
      <c r="G105" s="1042">
        <v>8.98</v>
      </c>
      <c r="H105" s="1043"/>
      <c r="I105" s="1044">
        <f t="shared" si="129"/>
        <v>8.98</v>
      </c>
      <c r="J105" s="1025">
        <v>2.6</v>
      </c>
      <c r="K105" s="1335"/>
      <c r="L105" s="1421"/>
      <c r="M105" s="1027"/>
      <c r="N105" s="1097"/>
      <c r="O105" s="1098"/>
      <c r="P105" s="1098"/>
      <c r="Q105" s="1098"/>
      <c r="R105" s="1117">
        <f t="shared" ref="R105:S105" si="139">$F105</f>
        <v>4.5144000000000002</v>
      </c>
      <c r="S105" s="1118">
        <f t="shared" si="139"/>
        <v>4.5144000000000002</v>
      </c>
      <c r="T105" s="1027"/>
      <c r="U105" s="427"/>
      <c r="V105" s="429"/>
      <c r="W105" s="429"/>
      <c r="X105" s="429"/>
      <c r="Y105" s="428"/>
      <c r="Z105" s="1027"/>
      <c r="AA105" s="1104"/>
      <c r="AB105" s="1397"/>
      <c r="AC105" s="1397">
        <f>+F105</f>
        <v>4.5144000000000002</v>
      </c>
      <c r="AD105" s="1118">
        <f>+F105</f>
        <v>4.5144000000000002</v>
      </c>
      <c r="AE105" s="1028"/>
      <c r="AF105" s="1272"/>
      <c r="AG105" s="1273"/>
      <c r="AH105" s="440"/>
      <c r="AI105" s="440"/>
      <c r="AJ105" s="440"/>
      <c r="AK105" s="429"/>
      <c r="AL105" s="429"/>
      <c r="AM105" s="429"/>
      <c r="AN105" s="441">
        <f>+F105</f>
        <v>4.5144000000000002</v>
      </c>
      <c r="AO105" s="1029"/>
      <c r="AP105" s="427"/>
      <c r="AQ105" s="429"/>
      <c r="AR105" s="429">
        <v>1</v>
      </c>
      <c r="AS105" s="429"/>
      <c r="AT105" s="429"/>
      <c r="AU105" s="1275"/>
      <c r="AV105" s="1275"/>
      <c r="AW105" s="1275"/>
      <c r="AX105" s="427"/>
      <c r="AY105" s="429"/>
      <c r="AZ105" s="429"/>
      <c r="BA105" s="429"/>
      <c r="BB105" s="429"/>
      <c r="BC105" s="429"/>
      <c r="BD105" s="429"/>
      <c r="BE105" s="429"/>
      <c r="BF105" s="429"/>
      <c r="BG105" s="428"/>
      <c r="BH105" s="1033"/>
      <c r="BI105" s="1104"/>
      <c r="BJ105" s="1048"/>
      <c r="BK105" s="1048"/>
      <c r="BL105" s="1048"/>
      <c r="BM105" s="1048"/>
      <c r="BN105" s="1048">
        <f t="shared" si="121"/>
        <v>4.5144000000000002</v>
      </c>
      <c r="BO105" s="1049"/>
      <c r="BP105" s="1050"/>
      <c r="BQ105" s="1204"/>
      <c r="BR105" s="429"/>
      <c r="BS105" s="1275">
        <f>+I105</f>
        <v>8.98</v>
      </c>
      <c r="BT105" s="428"/>
      <c r="BU105" s="1293"/>
      <c r="BV105" s="427"/>
      <c r="BW105" s="428"/>
      <c r="BX105" s="427"/>
      <c r="BY105" s="429"/>
      <c r="BZ105" s="1275"/>
      <c r="CA105" s="427">
        <f>+F105</f>
        <v>4.5144000000000002</v>
      </c>
      <c r="CB105" s="429"/>
      <c r="CC105" s="428"/>
      <c r="CE105" s="427"/>
      <c r="CF105" s="429"/>
      <c r="CG105" s="429"/>
      <c r="CH105" s="429"/>
      <c r="CI105" s="428">
        <v>2</v>
      </c>
      <c r="CJ105" s="1204">
        <v>2</v>
      </c>
      <c r="CK105" s="429"/>
      <c r="CL105" s="429"/>
      <c r="CM105" s="429"/>
      <c r="CN105" s="429">
        <v>1</v>
      </c>
      <c r="CO105" s="429"/>
      <c r="CP105" s="429"/>
      <c r="CQ105" s="429"/>
      <c r="CR105" s="429"/>
      <c r="CS105" s="429"/>
      <c r="CT105" s="429"/>
      <c r="CU105" s="428"/>
      <c r="CV105" s="1377"/>
      <c r="CW105" s="1047">
        <v>1</v>
      </c>
      <c r="CX105" s="1048">
        <v>1</v>
      </c>
      <c r="CY105" s="1048">
        <v>1</v>
      </c>
      <c r="CZ105" s="1049"/>
      <c r="DA105" s="1050"/>
      <c r="DB105" s="1046">
        <v>1</v>
      </c>
      <c r="DC105" s="1048">
        <v>1</v>
      </c>
      <c r="DD105" s="1048">
        <v>1</v>
      </c>
      <c r="DE105" s="1048"/>
      <c r="DF105" s="1050"/>
    </row>
    <row r="106" spans="1:116" ht="13">
      <c r="A106" s="2263"/>
      <c r="B106" s="1071">
        <v>85</v>
      </c>
      <c r="C106" s="1197" t="s">
        <v>2119</v>
      </c>
      <c r="D106" s="1101">
        <v>6.47</v>
      </c>
      <c r="E106" s="1102">
        <v>3</v>
      </c>
      <c r="F106" s="1051">
        <f t="shared" si="133"/>
        <v>19.41</v>
      </c>
      <c r="G106" s="1042">
        <v>18.93</v>
      </c>
      <c r="H106" s="1043">
        <f>3+0.9</f>
        <v>3.9</v>
      </c>
      <c r="I106" s="1044">
        <f t="shared" si="129"/>
        <v>15.03</v>
      </c>
      <c r="J106" s="1025">
        <v>2.6</v>
      </c>
      <c r="K106" s="1335"/>
      <c r="L106" s="1421"/>
      <c r="M106" s="1027"/>
      <c r="N106" s="1097">
        <f t="shared" si="138"/>
        <v>19.41</v>
      </c>
      <c r="O106" s="1098"/>
      <c r="P106" s="1098"/>
      <c r="Q106" s="1098"/>
      <c r="R106" s="1117"/>
      <c r="S106" s="1118"/>
      <c r="T106" s="1027"/>
      <c r="U106" s="427">
        <f>+$I106*$J106</f>
        <v>39.078000000000003</v>
      </c>
      <c r="V106" s="429">
        <f>+J106*W106</f>
        <v>5.2</v>
      </c>
      <c r="W106" s="429">
        <v>2</v>
      </c>
      <c r="X106" s="429"/>
      <c r="Y106" s="428"/>
      <c r="Z106" s="1027"/>
      <c r="AA106" s="1104"/>
      <c r="AB106" s="1397"/>
      <c r="AC106" s="1397"/>
      <c r="AD106" s="1118"/>
      <c r="AE106" s="1028"/>
      <c r="AF106" s="1272"/>
      <c r="AG106" s="1273"/>
      <c r="AH106" s="440"/>
      <c r="AI106" s="440"/>
      <c r="AJ106" s="440"/>
      <c r="AK106" s="429">
        <f t="shared" ref="AK106" si="140">$F106</f>
        <v>19.41</v>
      </c>
      <c r="AL106" s="429">
        <f>$G106</f>
        <v>18.93</v>
      </c>
      <c r="AM106" s="429"/>
      <c r="AN106" s="441"/>
      <c r="AO106" s="1029"/>
      <c r="AP106" s="427"/>
      <c r="AQ106" s="429"/>
      <c r="AR106" s="429"/>
      <c r="AS106" s="429"/>
      <c r="AT106" s="429"/>
      <c r="AU106" s="1275"/>
      <c r="AV106" s="1275"/>
      <c r="AW106" s="1275"/>
      <c r="AX106" s="427"/>
      <c r="AY106" s="429">
        <v>1</v>
      </c>
      <c r="AZ106" s="429"/>
      <c r="BA106" s="429"/>
      <c r="BB106" s="429"/>
      <c r="BC106" s="429"/>
      <c r="BD106" s="429"/>
      <c r="BE106" s="429"/>
      <c r="BF106" s="429"/>
      <c r="BG106" s="428"/>
      <c r="BH106" s="1033"/>
      <c r="BI106" s="1104"/>
      <c r="BJ106" s="1048"/>
      <c r="BK106" s="1048">
        <f t="shared" si="121"/>
        <v>19.41</v>
      </c>
      <c r="BL106" s="1048"/>
      <c r="BM106" s="1048"/>
      <c r="BN106" s="1048"/>
      <c r="BO106" s="1049"/>
      <c r="BP106" s="1050"/>
      <c r="BQ106" s="1204">
        <f>+I106</f>
        <v>15.03</v>
      </c>
      <c r="BR106" s="429"/>
      <c r="BS106" s="1275"/>
      <c r="BT106" s="428"/>
      <c r="BU106" s="1293"/>
      <c r="BV106" s="427"/>
      <c r="BW106" s="428"/>
      <c r="BX106" s="427"/>
      <c r="BY106" s="429">
        <f t="shared" ref="BY106:BY114" si="141">+I106*J106</f>
        <v>39.078000000000003</v>
      </c>
      <c r="BZ106" s="1275"/>
      <c r="CA106" s="427"/>
      <c r="CB106" s="429">
        <f t="shared" ref="CB106" si="142">+F106</f>
        <v>19.41</v>
      </c>
      <c r="CC106" s="428"/>
      <c r="CE106" s="427"/>
      <c r="CF106" s="429"/>
      <c r="CG106" s="429"/>
      <c r="CH106" s="429"/>
      <c r="CI106" s="428"/>
      <c r="CJ106" s="1204">
        <v>2</v>
      </c>
      <c r="CK106" s="429"/>
      <c r="CL106" s="429">
        <v>2</v>
      </c>
      <c r="CM106" s="429"/>
      <c r="CN106" s="429"/>
      <c r="CO106" s="429">
        <v>5</v>
      </c>
      <c r="CP106" s="429">
        <v>1</v>
      </c>
      <c r="CQ106" s="429"/>
      <c r="CR106" s="429">
        <v>2</v>
      </c>
      <c r="CS106" s="429"/>
      <c r="CT106" s="429"/>
      <c r="CU106" s="428"/>
      <c r="CV106" s="1377"/>
      <c r="CW106" s="1047"/>
      <c r="CX106" s="1048"/>
      <c r="CY106" s="1048"/>
      <c r="CZ106" s="1049"/>
      <c r="DA106" s="1050"/>
      <c r="DB106" s="1046"/>
      <c r="DC106" s="1048"/>
      <c r="DD106" s="1048"/>
      <c r="DE106" s="1048"/>
      <c r="DF106" s="1050"/>
    </row>
    <row r="107" spans="1:116" ht="13">
      <c r="A107" s="2263"/>
      <c r="B107" s="1071">
        <v>86</v>
      </c>
      <c r="C107" s="1197" t="s">
        <v>2120</v>
      </c>
      <c r="D107" s="1101">
        <v>2.5499999999999998</v>
      </c>
      <c r="E107" s="1102">
        <v>1</v>
      </c>
      <c r="F107" s="1051">
        <f t="shared" si="133"/>
        <v>2.5499999999999998</v>
      </c>
      <c r="G107" s="1042">
        <v>7.1</v>
      </c>
      <c r="H107" s="1043">
        <v>0.9</v>
      </c>
      <c r="I107" s="1044">
        <f t="shared" si="129"/>
        <v>6.1999999999999993</v>
      </c>
      <c r="J107" s="1025">
        <v>2.4</v>
      </c>
      <c r="K107" s="1335"/>
      <c r="L107" s="1421"/>
      <c r="M107" s="1027"/>
      <c r="N107" s="1097">
        <f t="shared" si="138"/>
        <v>2.5499999999999998</v>
      </c>
      <c r="O107" s="1098"/>
      <c r="P107" s="1098"/>
      <c r="Q107" s="1098"/>
      <c r="R107" s="1117"/>
      <c r="S107" s="1118"/>
      <c r="T107" s="1027"/>
      <c r="U107" s="427">
        <f>+$I107*$J107</f>
        <v>14.879999999999997</v>
      </c>
      <c r="V107" s="429">
        <f>+J107*W107</f>
        <v>4.8</v>
      </c>
      <c r="W107" s="429">
        <v>2</v>
      </c>
      <c r="X107" s="429"/>
      <c r="Y107" s="428"/>
      <c r="Z107" s="1027"/>
      <c r="AA107" s="1104"/>
      <c r="AB107" s="1397"/>
      <c r="AC107" s="1397"/>
      <c r="AD107" s="1118"/>
      <c r="AE107" s="1028"/>
      <c r="AF107" s="1272">
        <f t="shared" ref="AF107" si="143">$F107</f>
        <v>2.5499999999999998</v>
      </c>
      <c r="AG107" s="1273"/>
      <c r="AH107" s="440">
        <f>$I107</f>
        <v>6.1999999999999993</v>
      </c>
      <c r="AI107" s="440"/>
      <c r="AJ107" s="440"/>
      <c r="AK107" s="429"/>
      <c r="AL107" s="429"/>
      <c r="AM107" s="429"/>
      <c r="AN107" s="441"/>
      <c r="AO107" s="1029"/>
      <c r="AP107" s="427"/>
      <c r="AQ107" s="429"/>
      <c r="AR107" s="429"/>
      <c r="AS107" s="429"/>
      <c r="AT107" s="429"/>
      <c r="AU107" s="1275"/>
      <c r="AV107" s="1275"/>
      <c r="AW107" s="1275"/>
      <c r="AX107" s="427"/>
      <c r="AY107" s="429"/>
      <c r="AZ107" s="429"/>
      <c r="BA107" s="429"/>
      <c r="BB107" s="429"/>
      <c r="BC107" s="429"/>
      <c r="BD107" s="429"/>
      <c r="BE107" s="429"/>
      <c r="BF107" s="429"/>
      <c r="BG107" s="428"/>
      <c r="BH107" s="1033"/>
      <c r="BI107" s="1104"/>
      <c r="BJ107" s="1048"/>
      <c r="BK107" s="1048">
        <f t="shared" si="121"/>
        <v>2.5499999999999998</v>
      </c>
      <c r="BL107" s="1048"/>
      <c r="BM107" s="1048"/>
      <c r="BN107" s="1048"/>
      <c r="BO107" s="1049"/>
      <c r="BP107" s="1050"/>
      <c r="BQ107" s="1204">
        <f>+I107</f>
        <v>6.1999999999999993</v>
      </c>
      <c r="BR107" s="429"/>
      <c r="BS107" s="1275"/>
      <c r="BT107" s="428"/>
      <c r="BU107" s="1293"/>
      <c r="BV107" s="427"/>
      <c r="BW107" s="428"/>
      <c r="BX107" s="427"/>
      <c r="BY107" s="429">
        <f t="shared" si="141"/>
        <v>14.879999999999997</v>
      </c>
      <c r="BZ107" s="1275"/>
      <c r="CA107" s="427"/>
      <c r="CB107" s="429"/>
      <c r="CC107" s="428">
        <f t="shared" ref="CC107" si="144">+F107</f>
        <v>2.5499999999999998</v>
      </c>
      <c r="CE107" s="427"/>
      <c r="CF107" s="429"/>
      <c r="CG107" s="429"/>
      <c r="CH107" s="429"/>
      <c r="CI107" s="428"/>
      <c r="CJ107" s="1204">
        <v>1</v>
      </c>
      <c r="CK107" s="429"/>
      <c r="CL107" s="429">
        <v>1</v>
      </c>
      <c r="CM107" s="429"/>
      <c r="CN107" s="429"/>
      <c r="CO107" s="429"/>
      <c r="CP107" s="429"/>
      <c r="CQ107" s="429">
        <v>1</v>
      </c>
      <c r="CR107" s="429"/>
      <c r="CS107" s="429"/>
      <c r="CT107" s="429"/>
      <c r="CU107" s="428"/>
      <c r="CV107" s="1377"/>
      <c r="CW107" s="1047"/>
      <c r="CX107" s="1048"/>
      <c r="CY107" s="1048"/>
      <c r="CZ107" s="1049"/>
      <c r="DA107" s="1050"/>
      <c r="DB107" s="1046"/>
      <c r="DC107" s="1048"/>
      <c r="DD107" s="1048"/>
      <c r="DE107" s="1048"/>
      <c r="DF107" s="1050"/>
    </row>
    <row r="108" spans="1:116" ht="13">
      <c r="A108" s="2263"/>
      <c r="B108" s="1071">
        <v>87</v>
      </c>
      <c r="C108" s="1197" t="s">
        <v>2121</v>
      </c>
      <c r="D108" s="1101">
        <v>0</v>
      </c>
      <c r="E108" s="1102">
        <v>0</v>
      </c>
      <c r="F108" s="1051">
        <v>8.1199999999999992</v>
      </c>
      <c r="G108" s="1042">
        <v>11.88</v>
      </c>
      <c r="H108" s="1043">
        <f>+E109</f>
        <v>1.69</v>
      </c>
      <c r="I108" s="1044">
        <f t="shared" si="129"/>
        <v>10.190000000000001</v>
      </c>
      <c r="J108" s="1025">
        <v>2.6</v>
      </c>
      <c r="K108" s="1335"/>
      <c r="L108" s="1421"/>
      <c r="M108" s="1027"/>
      <c r="N108" s="1097">
        <f t="shared" si="138"/>
        <v>8.1199999999999992</v>
      </c>
      <c r="O108" s="1098"/>
      <c r="P108" s="1098"/>
      <c r="Q108" s="1098"/>
      <c r="R108" s="1117"/>
      <c r="S108" s="1118"/>
      <c r="T108" s="1027"/>
      <c r="U108" s="427">
        <f>+$I108*$J108</f>
        <v>26.494000000000003</v>
      </c>
      <c r="V108" s="429">
        <f>+J108*W108</f>
        <v>5.2</v>
      </c>
      <c r="W108" s="429">
        <v>2</v>
      </c>
      <c r="X108" s="429"/>
      <c r="Y108" s="428"/>
      <c r="Z108" s="1027"/>
      <c r="AA108" s="1104"/>
      <c r="AB108" s="1397"/>
      <c r="AC108" s="1397"/>
      <c r="AD108" s="1118"/>
      <c r="AE108" s="1028"/>
      <c r="AF108" s="1272"/>
      <c r="AG108" s="1273"/>
      <c r="AH108" s="440"/>
      <c r="AI108" s="1316">
        <v>1</v>
      </c>
      <c r="AJ108" s="440"/>
      <c r="AK108" s="1314">
        <f>2.79*2.79</f>
        <v>7.7841000000000005</v>
      </c>
      <c r="AL108" s="1314">
        <f>2.79*4</f>
        <v>11.16</v>
      </c>
      <c r="AM108" s="429"/>
      <c r="AN108" s="441"/>
      <c r="AO108" s="1029"/>
      <c r="AP108" s="427"/>
      <c r="AQ108" s="429">
        <v>1</v>
      </c>
      <c r="AR108" s="429"/>
      <c r="AS108" s="429"/>
      <c r="AT108" s="429"/>
      <c r="AU108" s="1275"/>
      <c r="AV108" s="1275"/>
      <c r="AW108" s="1275"/>
      <c r="AX108" s="427"/>
      <c r="AY108" s="429">
        <v>1</v>
      </c>
      <c r="AZ108" s="429"/>
      <c r="BA108" s="429"/>
      <c r="BB108" s="429"/>
      <c r="BC108" s="429"/>
      <c r="BD108" s="429"/>
      <c r="BE108" s="429"/>
      <c r="BF108" s="429"/>
      <c r="BG108" s="428"/>
      <c r="BH108" s="1033"/>
      <c r="BI108" s="1104"/>
      <c r="BJ108" s="1048"/>
      <c r="BK108" s="1048">
        <f t="shared" si="121"/>
        <v>8.1199999999999992</v>
      </c>
      <c r="BL108" s="1048"/>
      <c r="BM108" s="1048"/>
      <c r="BN108" s="1048"/>
      <c r="BO108" s="1049"/>
      <c r="BP108" s="1050"/>
      <c r="BQ108" s="1204">
        <f>+I108</f>
        <v>10.190000000000001</v>
      </c>
      <c r="BR108" s="429"/>
      <c r="BS108" s="1275"/>
      <c r="BT108" s="428"/>
      <c r="BU108" s="1293"/>
      <c r="BV108" s="427"/>
      <c r="BW108" s="428"/>
      <c r="BX108" s="427"/>
      <c r="BY108" s="429">
        <f t="shared" si="141"/>
        <v>26.494000000000003</v>
      </c>
      <c r="BZ108" s="1275"/>
      <c r="CA108" s="427"/>
      <c r="CB108" s="429">
        <f t="shared" ref="CB108:CB109" si="145">+F108</f>
        <v>8.1199999999999992</v>
      </c>
      <c r="CC108" s="428"/>
      <c r="CE108" s="427"/>
      <c r="CF108" s="429"/>
      <c r="CG108" s="429"/>
      <c r="CH108" s="429"/>
      <c r="CI108" s="428"/>
      <c r="CJ108" s="1204">
        <v>1</v>
      </c>
      <c r="CK108" s="429"/>
      <c r="CL108" s="429">
        <v>1</v>
      </c>
      <c r="CM108" s="429"/>
      <c r="CN108" s="429"/>
      <c r="CO108" s="429">
        <v>3</v>
      </c>
      <c r="CP108" s="429">
        <v>1</v>
      </c>
      <c r="CQ108" s="429"/>
      <c r="CR108" s="429">
        <v>1</v>
      </c>
      <c r="CS108" s="429"/>
      <c r="CT108" s="429"/>
      <c r="CU108" s="428"/>
      <c r="CV108" s="1377"/>
      <c r="CW108" s="1047"/>
      <c r="CX108" s="1048"/>
      <c r="CY108" s="1048"/>
      <c r="CZ108" s="1049"/>
      <c r="DA108" s="1050"/>
      <c r="DB108" s="1046"/>
      <c r="DC108" s="1048"/>
      <c r="DD108" s="1048"/>
      <c r="DE108" s="1048"/>
      <c r="DF108" s="1050"/>
    </row>
    <row r="109" spans="1:116" ht="13">
      <c r="A109" s="2263"/>
      <c r="B109" s="1071">
        <v>88</v>
      </c>
      <c r="C109" s="1197" t="s">
        <v>2122</v>
      </c>
      <c r="D109" s="1101">
        <v>0.6</v>
      </c>
      <c r="E109" s="1102">
        <v>1.69</v>
      </c>
      <c r="F109" s="1051">
        <f t="shared" ref="F109" si="146">D109*E109</f>
        <v>1.014</v>
      </c>
      <c r="G109" s="1042">
        <f>+D109*2+E109*2</f>
        <v>4.58</v>
      </c>
      <c r="H109" s="1043">
        <f>+E109</f>
        <v>1.69</v>
      </c>
      <c r="I109" s="1044">
        <f t="shared" si="129"/>
        <v>2.89</v>
      </c>
      <c r="J109" s="1025">
        <v>2.6</v>
      </c>
      <c r="K109" s="1335"/>
      <c r="L109" s="1421"/>
      <c r="M109" s="1027"/>
      <c r="N109" s="1097">
        <f t="shared" si="138"/>
        <v>1.014</v>
      </c>
      <c r="O109" s="1098"/>
      <c r="P109" s="1098"/>
      <c r="Q109" s="1098"/>
      <c r="R109" s="1117"/>
      <c r="S109" s="1118"/>
      <c r="T109" s="1027"/>
      <c r="U109" s="427">
        <f>+$I109*$J109</f>
        <v>7.5140000000000002</v>
      </c>
      <c r="V109" s="429"/>
      <c r="W109" s="429"/>
      <c r="X109" s="429"/>
      <c r="Y109" s="428"/>
      <c r="Z109" s="1027"/>
      <c r="AA109" s="1104"/>
      <c r="AB109" s="1397"/>
      <c r="AC109" s="1397"/>
      <c r="AD109" s="1118"/>
      <c r="AE109" s="1028"/>
      <c r="AF109" s="1272"/>
      <c r="AG109" s="1273"/>
      <c r="AH109" s="440"/>
      <c r="AI109" s="440"/>
      <c r="AJ109" s="440"/>
      <c r="AK109" s="429">
        <f t="shared" ref="AK109:AK112" si="147">$F109</f>
        <v>1.014</v>
      </c>
      <c r="AL109" s="429"/>
      <c r="AM109" s="429"/>
      <c r="AN109" s="441"/>
      <c r="AO109" s="1029"/>
      <c r="AP109" s="427"/>
      <c r="AQ109" s="429"/>
      <c r="AR109" s="429"/>
      <c r="AS109" s="429"/>
      <c r="AT109" s="429"/>
      <c r="AU109" s="1275"/>
      <c r="AV109" s="1275"/>
      <c r="AW109" s="1275">
        <v>1</v>
      </c>
      <c r="AX109" s="427"/>
      <c r="AY109" s="429"/>
      <c r="AZ109" s="429"/>
      <c r="BA109" s="429"/>
      <c r="BB109" s="429"/>
      <c r="BC109" s="429"/>
      <c r="BD109" s="429"/>
      <c r="BE109" s="429"/>
      <c r="BF109" s="429"/>
      <c r="BG109" s="428"/>
      <c r="BH109" s="1033"/>
      <c r="BI109" s="1104"/>
      <c r="BJ109" s="1048"/>
      <c r="BK109" s="1048">
        <f t="shared" si="121"/>
        <v>1.014</v>
      </c>
      <c r="BL109" s="1048"/>
      <c r="BM109" s="1048"/>
      <c r="BN109" s="1048"/>
      <c r="BO109" s="1049"/>
      <c r="BP109" s="1050"/>
      <c r="BQ109" s="1204"/>
      <c r="BR109" s="429"/>
      <c r="BS109" s="1275"/>
      <c r="BT109" s="428"/>
      <c r="BU109" s="1293"/>
      <c r="BV109" s="427"/>
      <c r="BW109" s="428"/>
      <c r="BX109" s="427"/>
      <c r="BY109" s="429">
        <f t="shared" si="141"/>
        <v>7.5140000000000002</v>
      </c>
      <c r="BZ109" s="1275"/>
      <c r="CA109" s="427"/>
      <c r="CB109" s="429">
        <f t="shared" si="145"/>
        <v>1.014</v>
      </c>
      <c r="CC109" s="428"/>
      <c r="CE109" s="427"/>
      <c r="CF109" s="429"/>
      <c r="CG109" s="429"/>
      <c r="CH109" s="429"/>
      <c r="CI109" s="428"/>
      <c r="CJ109" s="1204"/>
      <c r="CK109" s="429"/>
      <c r="CL109" s="429"/>
      <c r="CM109" s="429"/>
      <c r="CN109" s="429"/>
      <c r="CO109" s="429"/>
      <c r="CP109" s="429"/>
      <c r="CQ109" s="429"/>
      <c r="CR109" s="429"/>
      <c r="CS109" s="429"/>
      <c r="CT109" s="429"/>
      <c r="CU109" s="428"/>
      <c r="CV109" s="1377"/>
      <c r="CW109" s="1047"/>
      <c r="CX109" s="1048"/>
      <c r="CY109" s="1048"/>
      <c r="CZ109" s="1049"/>
      <c r="DA109" s="1050"/>
      <c r="DB109" s="1046"/>
      <c r="DC109" s="1048"/>
      <c r="DD109" s="1048"/>
      <c r="DE109" s="1048"/>
      <c r="DF109" s="1050"/>
      <c r="DH109" s="1010"/>
      <c r="DI109" s="1010"/>
      <c r="DJ109" s="1010"/>
      <c r="DK109" s="1010"/>
      <c r="DL109" s="1010"/>
    </row>
    <row r="110" spans="1:116" s="1010" customFormat="1" ht="13">
      <c r="A110" s="2263"/>
      <c r="B110" s="1071">
        <v>89</v>
      </c>
      <c r="C110" s="1197" t="s">
        <v>2123</v>
      </c>
      <c r="D110" s="1101">
        <v>0</v>
      </c>
      <c r="E110" s="1102">
        <v>0</v>
      </c>
      <c r="F110" s="1051">
        <v>3.65</v>
      </c>
      <c r="G110" s="1042">
        <v>7.9</v>
      </c>
      <c r="H110" s="1043">
        <v>0</v>
      </c>
      <c r="I110" s="1044">
        <f t="shared" si="129"/>
        <v>7.9</v>
      </c>
      <c r="J110" s="1025">
        <v>2.2000000000000002</v>
      </c>
      <c r="K110" s="1335">
        <v>2.2000000000000002</v>
      </c>
      <c r="L110" s="1421"/>
      <c r="M110" s="1027"/>
      <c r="N110" s="1097"/>
      <c r="O110" s="1098"/>
      <c r="P110" s="1098"/>
      <c r="Q110" s="1098"/>
      <c r="R110" s="1117">
        <f t="shared" ref="R110:S110" si="148">$F110</f>
        <v>3.65</v>
      </c>
      <c r="S110" s="1118">
        <f t="shared" si="148"/>
        <v>3.65</v>
      </c>
      <c r="T110" s="1027"/>
      <c r="U110" s="427"/>
      <c r="V110" s="429"/>
      <c r="W110" s="429"/>
      <c r="X110" s="429">
        <f>+$I110*$J110</f>
        <v>17.380000000000003</v>
      </c>
      <c r="Y110" s="428"/>
      <c r="Z110" s="1027"/>
      <c r="AA110" s="1104">
        <f t="shared" ref="AA110" si="149">$F110</f>
        <v>3.65</v>
      </c>
      <c r="AB110" s="1397"/>
      <c r="AC110" s="1397"/>
      <c r="AD110" s="1118"/>
      <c r="AE110" s="1028"/>
      <c r="AF110" s="1272"/>
      <c r="AG110" s="1273">
        <f>$F110</f>
        <v>3.65</v>
      </c>
      <c r="AH110" s="440">
        <f>$I110</f>
        <v>7.9</v>
      </c>
      <c r="AI110" s="440"/>
      <c r="AJ110" s="440"/>
      <c r="AK110" s="429"/>
      <c r="AL110" s="429"/>
      <c r="AM110" s="429"/>
      <c r="AN110" s="441"/>
      <c r="AO110" s="1029"/>
      <c r="AP110" s="427"/>
      <c r="AQ110" s="429">
        <v>1</v>
      </c>
      <c r="AR110" s="429"/>
      <c r="AS110" s="429"/>
      <c r="AT110" s="429"/>
      <c r="AU110" s="1275"/>
      <c r="AV110" s="1275"/>
      <c r="AW110" s="1275"/>
      <c r="AX110" s="427"/>
      <c r="AY110" s="429"/>
      <c r="AZ110" s="429"/>
      <c r="BA110" s="429"/>
      <c r="BB110" s="429"/>
      <c r="BC110" s="429"/>
      <c r="BD110" s="429"/>
      <c r="BE110" s="429"/>
      <c r="BF110" s="429"/>
      <c r="BG110" s="428"/>
      <c r="BH110" s="1033"/>
      <c r="BI110" s="1104"/>
      <c r="BJ110" s="1048"/>
      <c r="BK110" s="1048"/>
      <c r="BL110" s="1048">
        <f t="shared" ref="BK110:BL131" si="150">$F110</f>
        <v>3.65</v>
      </c>
      <c r="BM110" s="1048"/>
      <c r="BN110" s="1048"/>
      <c r="BO110" s="1049"/>
      <c r="BP110" s="1050"/>
      <c r="BQ110" s="1204"/>
      <c r="BR110" s="429"/>
      <c r="BS110" s="1275"/>
      <c r="BT110" s="428"/>
      <c r="BU110" s="1293"/>
      <c r="BV110" s="427"/>
      <c r="BW110" s="428">
        <f>+I110*K110</f>
        <v>17.380000000000003</v>
      </c>
      <c r="BX110" s="427"/>
      <c r="BY110" s="429"/>
      <c r="BZ110" s="1275"/>
      <c r="CA110" s="427"/>
      <c r="CB110" s="429"/>
      <c r="CC110" s="428">
        <f t="shared" ref="CC110" si="151">+F110</f>
        <v>3.65</v>
      </c>
      <c r="CE110" s="427">
        <v>1</v>
      </c>
      <c r="CF110" s="429"/>
      <c r="CG110" s="429"/>
      <c r="CH110" s="429"/>
      <c r="CI110" s="428">
        <v>1</v>
      </c>
      <c r="CJ110" s="1204">
        <v>3</v>
      </c>
      <c r="CK110" s="429"/>
      <c r="CL110" s="429">
        <v>1</v>
      </c>
      <c r="CM110" s="429"/>
      <c r="CN110" s="1176">
        <v>1</v>
      </c>
      <c r="CO110" s="429"/>
      <c r="CP110" s="429"/>
      <c r="CQ110" s="429"/>
      <c r="CR110" s="429"/>
      <c r="CS110" s="429"/>
      <c r="CT110" s="429"/>
      <c r="CU110" s="428"/>
      <c r="CV110" s="1377"/>
      <c r="CW110" s="1047">
        <v>1</v>
      </c>
      <c r="CX110" s="1048">
        <v>1</v>
      </c>
      <c r="CY110" s="1048">
        <v>1</v>
      </c>
      <c r="CZ110" s="1049"/>
      <c r="DA110" s="1050"/>
      <c r="DB110" s="1046">
        <v>1</v>
      </c>
      <c r="DC110" s="1048">
        <v>1</v>
      </c>
      <c r="DD110" s="1048">
        <v>1</v>
      </c>
      <c r="DE110" s="1048">
        <v>1</v>
      </c>
      <c r="DF110" s="1050"/>
    </row>
    <row r="111" spans="1:116" s="1096" customFormat="1" ht="13">
      <c r="A111" s="2263"/>
      <c r="B111" s="1071">
        <v>90</v>
      </c>
      <c r="C111" s="1197" t="s">
        <v>2124</v>
      </c>
      <c r="D111" s="1101">
        <v>0</v>
      </c>
      <c r="E111" s="1102">
        <v>0</v>
      </c>
      <c r="F111" s="1051">
        <v>10.67</v>
      </c>
      <c r="G111" s="1042">
        <v>15.21</v>
      </c>
      <c r="H111" s="1043">
        <f>+E112</f>
        <v>0.77</v>
      </c>
      <c r="I111" s="1044">
        <f t="shared" si="129"/>
        <v>14.440000000000001</v>
      </c>
      <c r="J111" s="1025">
        <v>2.6</v>
      </c>
      <c r="K111" s="1335"/>
      <c r="L111" s="1421"/>
      <c r="M111" s="1027"/>
      <c r="N111" s="1097">
        <f t="shared" si="138"/>
        <v>10.67</v>
      </c>
      <c r="O111" s="1098"/>
      <c r="P111" s="1098"/>
      <c r="Q111" s="1098"/>
      <c r="R111" s="1117"/>
      <c r="S111" s="1118"/>
      <c r="T111" s="1027"/>
      <c r="U111" s="427">
        <f>+$I111*$J111</f>
        <v>37.544000000000004</v>
      </c>
      <c r="V111" s="429">
        <f>+W111*J111</f>
        <v>5.2</v>
      </c>
      <c r="W111" s="429">
        <v>2</v>
      </c>
      <c r="X111" s="429"/>
      <c r="Y111" s="428"/>
      <c r="Z111" s="1027"/>
      <c r="AA111" s="1104"/>
      <c r="AB111" s="1397"/>
      <c r="AC111" s="1397"/>
      <c r="AD111" s="1118"/>
      <c r="AE111" s="1028"/>
      <c r="AF111" s="1272"/>
      <c r="AG111" s="1273"/>
      <c r="AH111" s="440"/>
      <c r="AI111" s="1316">
        <v>1</v>
      </c>
      <c r="AJ111" s="440"/>
      <c r="AK111" s="1314">
        <f t="shared" si="147"/>
        <v>10.67</v>
      </c>
      <c r="AL111" s="1314">
        <f>$G111</f>
        <v>15.21</v>
      </c>
      <c r="AM111" s="429"/>
      <c r="AN111" s="441"/>
      <c r="AO111" s="1029"/>
      <c r="AP111" s="427"/>
      <c r="AQ111" s="429">
        <v>1</v>
      </c>
      <c r="AR111" s="429"/>
      <c r="AS111" s="429"/>
      <c r="AT111" s="429"/>
      <c r="AU111" s="1275"/>
      <c r="AV111" s="1275"/>
      <c r="AW111" s="1275"/>
      <c r="AX111" s="427"/>
      <c r="AY111" s="429">
        <v>1</v>
      </c>
      <c r="AZ111" s="429"/>
      <c r="BA111" s="429"/>
      <c r="BB111" s="429"/>
      <c r="BC111" s="429"/>
      <c r="BD111" s="429"/>
      <c r="BE111" s="429"/>
      <c r="BF111" s="429"/>
      <c r="BG111" s="428"/>
      <c r="BH111" s="1033"/>
      <c r="BI111" s="1104"/>
      <c r="BJ111" s="1048"/>
      <c r="BK111" s="1048">
        <f t="shared" si="121"/>
        <v>10.67</v>
      </c>
      <c r="BL111" s="1048"/>
      <c r="BM111" s="1048"/>
      <c r="BN111" s="1048"/>
      <c r="BO111" s="1049"/>
      <c r="BP111" s="1050"/>
      <c r="BQ111" s="1204">
        <f>+I111</f>
        <v>14.440000000000001</v>
      </c>
      <c r="BR111" s="429"/>
      <c r="BS111" s="1275"/>
      <c r="BT111" s="428"/>
      <c r="BU111" s="1293"/>
      <c r="BV111" s="427"/>
      <c r="BW111" s="428"/>
      <c r="BX111" s="427"/>
      <c r="BY111" s="429">
        <f t="shared" si="141"/>
        <v>37.544000000000004</v>
      </c>
      <c r="BZ111" s="1275"/>
      <c r="CA111" s="427"/>
      <c r="CB111" s="429">
        <f t="shared" ref="CB111:CB114" si="152">+F111</f>
        <v>10.67</v>
      </c>
      <c r="CC111" s="428"/>
      <c r="CD111" s="1010"/>
      <c r="CE111" s="427"/>
      <c r="CF111" s="429"/>
      <c r="CG111" s="429"/>
      <c r="CH111" s="429"/>
      <c r="CI111" s="428"/>
      <c r="CJ111" s="1204">
        <v>1</v>
      </c>
      <c r="CK111" s="429"/>
      <c r="CL111" s="429">
        <v>2</v>
      </c>
      <c r="CM111" s="429"/>
      <c r="CN111" s="429"/>
      <c r="CO111" s="429">
        <v>3</v>
      </c>
      <c r="CP111" s="429">
        <v>1</v>
      </c>
      <c r="CQ111" s="429"/>
      <c r="CR111" s="429">
        <v>1</v>
      </c>
      <c r="CS111" s="429"/>
      <c r="CT111" s="429"/>
      <c r="CU111" s="428"/>
      <c r="CV111" s="1377"/>
      <c r="CW111" s="1047"/>
      <c r="CX111" s="1048"/>
      <c r="CY111" s="1048"/>
      <c r="CZ111" s="1049"/>
      <c r="DA111" s="1050"/>
      <c r="DB111" s="1046"/>
      <c r="DC111" s="1048"/>
      <c r="DD111" s="1048"/>
      <c r="DE111" s="1048"/>
      <c r="DF111" s="1050"/>
    </row>
    <row r="112" spans="1:116" ht="13">
      <c r="A112" s="2263"/>
      <c r="B112" s="1071">
        <v>91</v>
      </c>
      <c r="C112" s="1197" t="s">
        <v>2125</v>
      </c>
      <c r="D112" s="1101">
        <v>1.43</v>
      </c>
      <c r="E112" s="1102">
        <v>0.77</v>
      </c>
      <c r="F112" s="1051">
        <f t="shared" ref="F112:F129" si="153">D112*E112</f>
        <v>1.1011</v>
      </c>
      <c r="G112" s="1042">
        <v>4.5999999999999996</v>
      </c>
      <c r="H112" s="1043">
        <f>+D112*2+E112</f>
        <v>3.63</v>
      </c>
      <c r="I112" s="1044">
        <f t="shared" si="129"/>
        <v>0.96999999999999975</v>
      </c>
      <c r="J112" s="1025">
        <v>2.6</v>
      </c>
      <c r="K112" s="1335"/>
      <c r="L112" s="1421"/>
      <c r="M112" s="1027"/>
      <c r="N112" s="1097">
        <f t="shared" si="138"/>
        <v>1.1011</v>
      </c>
      <c r="O112" s="1098"/>
      <c r="P112" s="1098"/>
      <c r="Q112" s="1098"/>
      <c r="R112" s="1117"/>
      <c r="S112" s="1118"/>
      <c r="T112" s="1027"/>
      <c r="U112" s="427">
        <f t="shared" ref="U112:U114" si="154">+$I112*$J112</f>
        <v>2.5219999999999994</v>
      </c>
      <c r="V112" s="429">
        <f>+W112*J112</f>
        <v>5.2</v>
      </c>
      <c r="W112" s="429">
        <v>2</v>
      </c>
      <c r="X112" s="429"/>
      <c r="Y112" s="428"/>
      <c r="Z112" s="1027"/>
      <c r="AA112" s="1104"/>
      <c r="AB112" s="1397"/>
      <c r="AC112" s="1397"/>
      <c r="AD112" s="1118"/>
      <c r="AE112" s="1028"/>
      <c r="AF112" s="1272"/>
      <c r="AG112" s="1273"/>
      <c r="AH112" s="440"/>
      <c r="AI112" s="440"/>
      <c r="AJ112" s="440"/>
      <c r="AK112" s="429">
        <f t="shared" si="147"/>
        <v>1.1011</v>
      </c>
      <c r="AL112" s="429">
        <f>$G112</f>
        <v>4.5999999999999996</v>
      </c>
      <c r="AM112" s="429"/>
      <c r="AN112" s="441"/>
      <c r="AO112" s="1029"/>
      <c r="AP112" s="427"/>
      <c r="AQ112" s="429"/>
      <c r="AR112" s="429"/>
      <c r="AS112" s="429"/>
      <c r="AT112" s="429"/>
      <c r="AU112" s="1275"/>
      <c r="AV112" s="1275"/>
      <c r="AW112" s="1275"/>
      <c r="AX112" s="427"/>
      <c r="AY112" s="429"/>
      <c r="AZ112" s="429"/>
      <c r="BA112" s="429"/>
      <c r="BB112" s="429"/>
      <c r="BC112" s="429"/>
      <c r="BD112" s="429"/>
      <c r="BE112" s="429"/>
      <c r="BF112" s="429"/>
      <c r="BG112" s="428"/>
      <c r="BH112" s="1033"/>
      <c r="BI112" s="1104"/>
      <c r="BJ112" s="1048"/>
      <c r="BK112" s="1048">
        <f t="shared" si="121"/>
        <v>1.1011</v>
      </c>
      <c r="BL112" s="1048"/>
      <c r="BM112" s="1048"/>
      <c r="BN112" s="1048"/>
      <c r="BO112" s="1049"/>
      <c r="BP112" s="1050"/>
      <c r="BQ112" s="1204"/>
      <c r="BR112" s="429"/>
      <c r="BS112" s="1275"/>
      <c r="BT112" s="428"/>
      <c r="BU112" s="1293"/>
      <c r="BV112" s="427"/>
      <c r="BW112" s="428"/>
      <c r="BX112" s="427"/>
      <c r="BY112" s="429">
        <f t="shared" si="141"/>
        <v>2.5219999999999994</v>
      </c>
      <c r="BZ112" s="1275"/>
      <c r="CA112" s="427"/>
      <c r="CB112" s="429">
        <f t="shared" si="152"/>
        <v>1.1011</v>
      </c>
      <c r="CC112" s="428"/>
      <c r="CE112" s="427"/>
      <c r="CF112" s="429"/>
      <c r="CG112" s="429"/>
      <c r="CH112" s="429"/>
      <c r="CI112" s="428"/>
      <c r="CJ112" s="1204">
        <v>1</v>
      </c>
      <c r="CK112" s="429"/>
      <c r="CL112" s="429"/>
      <c r="CM112" s="429"/>
      <c r="CN112" s="429"/>
      <c r="CO112" s="429"/>
      <c r="CP112" s="429"/>
      <c r="CQ112" s="429"/>
      <c r="CR112" s="429"/>
      <c r="CS112" s="429"/>
      <c r="CT112" s="429"/>
      <c r="CU112" s="428"/>
      <c r="CV112" s="1377"/>
      <c r="CW112" s="1047"/>
      <c r="CX112" s="1048"/>
      <c r="CY112" s="1048"/>
      <c r="CZ112" s="1049"/>
      <c r="DA112" s="1050"/>
      <c r="DB112" s="1046"/>
      <c r="DC112" s="1048"/>
      <c r="DD112" s="1048"/>
      <c r="DE112" s="1048"/>
      <c r="DF112" s="1050"/>
    </row>
    <row r="113" spans="1:116" ht="13">
      <c r="A113" s="2263"/>
      <c r="B113" s="1071">
        <v>92</v>
      </c>
      <c r="C113" s="1197" t="s">
        <v>2126</v>
      </c>
      <c r="D113" s="1101">
        <v>1.43</v>
      </c>
      <c r="E113" s="1102">
        <v>0.43</v>
      </c>
      <c r="F113" s="1051">
        <f t="shared" si="153"/>
        <v>0.6149</v>
      </c>
      <c r="G113" s="1042">
        <v>3.78</v>
      </c>
      <c r="H113" s="1043">
        <f>+D113</f>
        <v>1.43</v>
      </c>
      <c r="I113" s="1044">
        <f>+G113-H113</f>
        <v>2.3499999999999996</v>
      </c>
      <c r="J113" s="1025">
        <v>2.6</v>
      </c>
      <c r="K113" s="1335"/>
      <c r="L113" s="1421"/>
      <c r="M113" s="1027"/>
      <c r="N113" s="1097">
        <f t="shared" si="138"/>
        <v>0.6149</v>
      </c>
      <c r="O113" s="1098"/>
      <c r="P113" s="1098"/>
      <c r="Q113" s="1098"/>
      <c r="R113" s="1117"/>
      <c r="S113" s="1118"/>
      <c r="T113" s="1027"/>
      <c r="U113" s="427">
        <f t="shared" si="154"/>
        <v>6.1099999999999994</v>
      </c>
      <c r="V113" s="429"/>
      <c r="W113" s="429"/>
      <c r="X113" s="429"/>
      <c r="Y113" s="428"/>
      <c r="Z113" s="1027"/>
      <c r="AA113" s="1104"/>
      <c r="AB113" s="1397"/>
      <c r="AC113" s="1397"/>
      <c r="AD113" s="1118"/>
      <c r="AE113" s="1028"/>
      <c r="AF113" s="1272"/>
      <c r="AG113" s="1273"/>
      <c r="AH113" s="440"/>
      <c r="AI113" s="440"/>
      <c r="AJ113" s="440"/>
      <c r="AK113" s="429">
        <f>+F113</f>
        <v>0.6149</v>
      </c>
      <c r="AL113" s="429"/>
      <c r="AM113" s="429"/>
      <c r="AN113" s="441"/>
      <c r="AO113" s="1029"/>
      <c r="AP113" s="427"/>
      <c r="AQ113" s="429"/>
      <c r="AR113" s="429"/>
      <c r="AS113" s="429"/>
      <c r="AT113" s="429"/>
      <c r="AU113" s="1275"/>
      <c r="AV113" s="1275"/>
      <c r="AW113" s="1275">
        <v>1</v>
      </c>
      <c r="AX113" s="427"/>
      <c r="AY113" s="429"/>
      <c r="AZ113" s="429"/>
      <c r="BA113" s="429"/>
      <c r="BB113" s="429"/>
      <c r="BC113" s="429"/>
      <c r="BD113" s="429"/>
      <c r="BE113" s="429"/>
      <c r="BF113" s="429"/>
      <c r="BG113" s="428"/>
      <c r="BH113" s="1033"/>
      <c r="BI113" s="1104"/>
      <c r="BJ113" s="1048"/>
      <c r="BK113" s="1048">
        <f t="shared" si="121"/>
        <v>0.6149</v>
      </c>
      <c r="BL113" s="1048"/>
      <c r="BM113" s="1048"/>
      <c r="BN113" s="1048"/>
      <c r="BO113" s="1049"/>
      <c r="BP113" s="1050"/>
      <c r="BQ113" s="1204"/>
      <c r="BR113" s="429"/>
      <c r="BS113" s="1275"/>
      <c r="BT113" s="428"/>
      <c r="BU113" s="1293"/>
      <c r="BV113" s="427"/>
      <c r="BW113" s="428"/>
      <c r="BX113" s="427"/>
      <c r="BY113" s="429">
        <f t="shared" si="141"/>
        <v>6.1099999999999994</v>
      </c>
      <c r="BZ113" s="1275"/>
      <c r="CA113" s="427"/>
      <c r="CB113" s="429">
        <f t="shared" si="152"/>
        <v>0.6149</v>
      </c>
      <c r="CC113" s="428"/>
      <c r="CE113" s="427"/>
      <c r="CF113" s="429"/>
      <c r="CG113" s="429"/>
      <c r="CH113" s="429"/>
      <c r="CI113" s="428"/>
      <c r="CJ113" s="1204"/>
      <c r="CK113" s="429"/>
      <c r="CL113" s="429"/>
      <c r="CM113" s="429"/>
      <c r="CN113" s="429"/>
      <c r="CO113" s="429"/>
      <c r="CP113" s="429"/>
      <c r="CQ113" s="429"/>
      <c r="CR113" s="429"/>
      <c r="CS113" s="429"/>
      <c r="CT113" s="429"/>
      <c r="CU113" s="428"/>
      <c r="CV113" s="1377"/>
      <c r="CW113" s="1047"/>
      <c r="CX113" s="1048"/>
      <c r="CY113" s="1048"/>
      <c r="CZ113" s="1049"/>
      <c r="DA113" s="1050"/>
      <c r="DB113" s="1046"/>
      <c r="DC113" s="1048"/>
      <c r="DD113" s="1048"/>
      <c r="DE113" s="1048"/>
      <c r="DF113" s="1050"/>
    </row>
    <row r="114" spans="1:116" ht="13">
      <c r="A114" s="2263"/>
      <c r="B114" s="1071">
        <v>93</v>
      </c>
      <c r="C114" s="1197" t="s">
        <v>2126</v>
      </c>
      <c r="D114" s="1101">
        <v>1.43</v>
      </c>
      <c r="E114" s="1102">
        <v>0.43</v>
      </c>
      <c r="F114" s="1051">
        <f t="shared" si="153"/>
        <v>0.6149</v>
      </c>
      <c r="G114" s="1042">
        <v>3.78</v>
      </c>
      <c r="H114" s="1043">
        <f>+D114</f>
        <v>1.43</v>
      </c>
      <c r="I114" s="1044">
        <f>+G114-H114</f>
        <v>2.3499999999999996</v>
      </c>
      <c r="J114" s="1025">
        <v>2.6</v>
      </c>
      <c r="K114" s="1335"/>
      <c r="L114" s="1421"/>
      <c r="M114" s="1027"/>
      <c r="N114" s="1097">
        <f t="shared" si="138"/>
        <v>0.6149</v>
      </c>
      <c r="O114" s="1098"/>
      <c r="P114" s="1098"/>
      <c r="Q114" s="1098"/>
      <c r="R114" s="1117"/>
      <c r="S114" s="1118"/>
      <c r="T114" s="1027"/>
      <c r="U114" s="427">
        <f t="shared" si="154"/>
        <v>6.1099999999999994</v>
      </c>
      <c r="V114" s="429"/>
      <c r="W114" s="429"/>
      <c r="X114" s="429"/>
      <c r="Y114" s="428"/>
      <c r="Z114" s="1027"/>
      <c r="AA114" s="1104"/>
      <c r="AB114" s="1397"/>
      <c r="AC114" s="1397"/>
      <c r="AD114" s="1118"/>
      <c r="AE114" s="1028"/>
      <c r="AF114" s="1272"/>
      <c r="AG114" s="1273"/>
      <c r="AH114" s="440"/>
      <c r="AI114" s="440"/>
      <c r="AJ114" s="440"/>
      <c r="AK114" s="429">
        <f>+F114</f>
        <v>0.6149</v>
      </c>
      <c r="AL114" s="429"/>
      <c r="AM114" s="429"/>
      <c r="AN114" s="441"/>
      <c r="AO114" s="1029"/>
      <c r="AP114" s="427"/>
      <c r="AQ114" s="429"/>
      <c r="AR114" s="429"/>
      <c r="AS114" s="429"/>
      <c r="AT114" s="429"/>
      <c r="AU114" s="1275"/>
      <c r="AV114" s="1275"/>
      <c r="AW114" s="1275">
        <v>1</v>
      </c>
      <c r="AX114" s="427"/>
      <c r="AY114" s="429"/>
      <c r="AZ114" s="429"/>
      <c r="BA114" s="429"/>
      <c r="BB114" s="429"/>
      <c r="BC114" s="429"/>
      <c r="BD114" s="429"/>
      <c r="BE114" s="429"/>
      <c r="BF114" s="429"/>
      <c r="BG114" s="428"/>
      <c r="BH114" s="1033"/>
      <c r="BI114" s="1104"/>
      <c r="BJ114" s="1048"/>
      <c r="BK114" s="1048">
        <f t="shared" si="121"/>
        <v>0.6149</v>
      </c>
      <c r="BL114" s="1048"/>
      <c r="BM114" s="1048"/>
      <c r="BN114" s="1048"/>
      <c r="BO114" s="1049"/>
      <c r="BP114" s="1050"/>
      <c r="BQ114" s="1204"/>
      <c r="BR114" s="429"/>
      <c r="BS114" s="1275"/>
      <c r="BT114" s="428"/>
      <c r="BU114" s="1293"/>
      <c r="BV114" s="427"/>
      <c r="BW114" s="428"/>
      <c r="BX114" s="427"/>
      <c r="BY114" s="429">
        <f t="shared" si="141"/>
        <v>6.1099999999999994</v>
      </c>
      <c r="BZ114" s="1275"/>
      <c r="CA114" s="427"/>
      <c r="CB114" s="429">
        <f t="shared" si="152"/>
        <v>0.6149</v>
      </c>
      <c r="CC114" s="428"/>
      <c r="CE114" s="427"/>
      <c r="CF114" s="429"/>
      <c r="CG114" s="429"/>
      <c r="CH114" s="429"/>
      <c r="CI114" s="428"/>
      <c r="CJ114" s="1204"/>
      <c r="CK114" s="429"/>
      <c r="CL114" s="429"/>
      <c r="CM114" s="429"/>
      <c r="CN114" s="429"/>
      <c r="CO114" s="429"/>
      <c r="CP114" s="429"/>
      <c r="CQ114" s="429"/>
      <c r="CR114" s="429"/>
      <c r="CS114" s="429"/>
      <c r="CT114" s="429"/>
      <c r="CU114" s="428"/>
      <c r="CV114" s="1377"/>
      <c r="CW114" s="1047"/>
      <c r="CX114" s="1048"/>
      <c r="CY114" s="1048"/>
      <c r="CZ114" s="1049"/>
      <c r="DA114" s="1050"/>
      <c r="DB114" s="1046"/>
      <c r="DC114" s="1048"/>
      <c r="DD114" s="1048"/>
      <c r="DE114" s="1048"/>
      <c r="DF114" s="1050"/>
    </row>
    <row r="115" spans="1:116" ht="13">
      <c r="A115" s="2263"/>
      <c r="B115" s="1239">
        <v>94</v>
      </c>
      <c r="C115" s="1199" t="s">
        <v>2127</v>
      </c>
      <c r="D115" s="1105">
        <v>0</v>
      </c>
      <c r="E115" s="1106">
        <v>0</v>
      </c>
      <c r="F115" s="1065">
        <v>10.4</v>
      </c>
      <c r="G115" s="1066">
        <v>16.52</v>
      </c>
      <c r="H115" s="1067">
        <v>0</v>
      </c>
      <c r="I115" s="1068">
        <f>+G115-H115</f>
        <v>16.52</v>
      </c>
      <c r="J115" s="1107">
        <v>2.2000000000000002</v>
      </c>
      <c r="K115" s="1408"/>
      <c r="L115" s="1427"/>
      <c r="M115" s="1027"/>
      <c r="N115" s="1146"/>
      <c r="O115" s="1162"/>
      <c r="P115" s="1162"/>
      <c r="Q115" s="1162"/>
      <c r="R115" s="1162">
        <f t="shared" ref="R115:S115" si="155">$F115</f>
        <v>10.4</v>
      </c>
      <c r="S115" s="1163">
        <f t="shared" si="155"/>
        <v>10.4</v>
      </c>
      <c r="T115" s="1027"/>
      <c r="U115" s="432"/>
      <c r="V115" s="430"/>
      <c r="W115" s="430"/>
      <c r="X115" s="430"/>
      <c r="Y115" s="431"/>
      <c r="Z115" s="1027"/>
      <c r="AA115" s="1146"/>
      <c r="AB115" s="1396"/>
      <c r="AC115" s="1396">
        <f>+F115</f>
        <v>10.4</v>
      </c>
      <c r="AD115" s="1163">
        <f t="shared" ref="AD115" si="156">$F115</f>
        <v>10.4</v>
      </c>
      <c r="AE115" s="1028"/>
      <c r="AF115" s="1295"/>
      <c r="AG115" s="1296">
        <f>$F115</f>
        <v>10.4</v>
      </c>
      <c r="AH115" s="1313">
        <f>$I115</f>
        <v>16.52</v>
      </c>
      <c r="AI115" s="1313"/>
      <c r="AJ115" s="1313"/>
      <c r="AK115" s="430"/>
      <c r="AL115" s="430"/>
      <c r="AM115" s="430"/>
      <c r="AN115" s="1307"/>
      <c r="AO115" s="1029"/>
      <c r="AP115" s="432"/>
      <c r="AQ115" s="430"/>
      <c r="AR115" s="430"/>
      <c r="AS115" s="430"/>
      <c r="AT115" s="430"/>
      <c r="AU115" s="1277"/>
      <c r="AV115" s="1277"/>
      <c r="AW115" s="1277"/>
      <c r="AX115" s="432"/>
      <c r="AY115" s="430"/>
      <c r="AZ115" s="430"/>
      <c r="BA115" s="430"/>
      <c r="BB115" s="430"/>
      <c r="BC115" s="430"/>
      <c r="BD115" s="430"/>
      <c r="BE115" s="430"/>
      <c r="BF115" s="430"/>
      <c r="BG115" s="431"/>
      <c r="BH115" s="1033"/>
      <c r="BI115" s="1146"/>
      <c r="BJ115" s="1053"/>
      <c r="BK115" s="1053">
        <f t="shared" si="121"/>
        <v>10.4</v>
      </c>
      <c r="BL115" s="1053"/>
      <c r="BM115" s="1053"/>
      <c r="BN115" s="1053"/>
      <c r="BO115" s="1055"/>
      <c r="BP115" s="1054"/>
      <c r="BQ115" s="1205"/>
      <c r="BR115" s="430"/>
      <c r="BS115" s="1277">
        <f>+I115</f>
        <v>16.52</v>
      </c>
      <c r="BT115" s="431"/>
      <c r="BU115" s="1293"/>
      <c r="BV115" s="432"/>
      <c r="BW115" s="431"/>
      <c r="BX115" s="432"/>
      <c r="BY115" s="430"/>
      <c r="BZ115" s="1277"/>
      <c r="CA115" s="432"/>
      <c r="CB115" s="430"/>
      <c r="CC115" s="428">
        <f t="shared" ref="CC115" si="157">+F115</f>
        <v>10.4</v>
      </c>
      <c r="CE115" s="432"/>
      <c r="CF115" s="430"/>
      <c r="CG115" s="430"/>
      <c r="CH115" s="430"/>
      <c r="CI115" s="431">
        <v>3</v>
      </c>
      <c r="CJ115" s="1205">
        <v>3</v>
      </c>
      <c r="CK115" s="430"/>
      <c r="CL115" s="430"/>
      <c r="CM115" s="430"/>
      <c r="CN115" s="430"/>
      <c r="CO115" s="430">
        <v>1</v>
      </c>
      <c r="CP115" s="430"/>
      <c r="CQ115" s="430"/>
      <c r="CR115" s="430"/>
      <c r="CS115" s="430"/>
      <c r="CT115" s="430"/>
      <c r="CU115" s="431"/>
      <c r="CV115" s="1377"/>
      <c r="CW115" s="1052"/>
      <c r="CX115" s="1053"/>
      <c r="CY115" s="1053"/>
      <c r="CZ115" s="1055"/>
      <c r="DA115" s="1054"/>
      <c r="DB115" s="1070"/>
      <c r="DC115" s="1053"/>
      <c r="DD115" s="1053"/>
      <c r="DE115" s="1053"/>
      <c r="DF115" s="1054"/>
    </row>
    <row r="116" spans="1:116" ht="13">
      <c r="A116" s="2263"/>
      <c r="B116" s="1074">
        <v>95</v>
      </c>
      <c r="C116" s="9" t="s">
        <v>2130</v>
      </c>
      <c r="D116" s="1109">
        <v>2.42</v>
      </c>
      <c r="E116" s="1110">
        <v>1.1499999999999999</v>
      </c>
      <c r="F116" s="1072">
        <f t="shared" si="153"/>
        <v>2.7829999999999999</v>
      </c>
      <c r="G116" s="1025">
        <v>7.13</v>
      </c>
      <c r="H116" s="1111">
        <f>1.15+1.05</f>
        <v>2.2000000000000002</v>
      </c>
      <c r="I116" s="1026">
        <f t="shared" ref="I116:I135" si="158">+G116-H116</f>
        <v>4.93</v>
      </c>
      <c r="J116" s="1025">
        <v>2.6</v>
      </c>
      <c r="K116" s="1334"/>
      <c r="L116" s="1428"/>
      <c r="M116" s="1027"/>
      <c r="N116" s="1097">
        <f t="shared" si="138"/>
        <v>2.7829999999999999</v>
      </c>
      <c r="O116" s="1098"/>
      <c r="P116" s="1098"/>
      <c r="Q116" s="1098"/>
      <c r="R116" s="1098"/>
      <c r="S116" s="1099"/>
      <c r="T116" s="1027"/>
      <c r="U116" s="434">
        <f>+I116*J116</f>
        <v>12.818</v>
      </c>
      <c r="V116" s="433">
        <f>+W116*J116</f>
        <v>5.2</v>
      </c>
      <c r="W116" s="433">
        <v>2</v>
      </c>
      <c r="X116" s="433"/>
      <c r="Y116" s="426"/>
      <c r="Z116" s="1027"/>
      <c r="AA116" s="1097"/>
      <c r="AB116" s="1398"/>
      <c r="AC116" s="1398"/>
      <c r="AD116" s="1099"/>
      <c r="AE116" s="1028"/>
      <c r="AF116" s="1272"/>
      <c r="AG116" s="1273"/>
      <c r="AH116" s="440"/>
      <c r="AI116" s="440"/>
      <c r="AJ116" s="440"/>
      <c r="AK116" s="429">
        <f t="shared" ref="AK116:AK118" si="159">$F116</f>
        <v>2.7829999999999999</v>
      </c>
      <c r="AL116" s="429">
        <f>+G116</f>
        <v>7.13</v>
      </c>
      <c r="AM116" s="429"/>
      <c r="AN116" s="441"/>
      <c r="AO116" s="1029"/>
      <c r="AP116" s="434">
        <v>1</v>
      </c>
      <c r="AQ116" s="433"/>
      <c r="AR116" s="433"/>
      <c r="AS116" s="433"/>
      <c r="AT116" s="433"/>
      <c r="AU116" s="433"/>
      <c r="AV116" s="433"/>
      <c r="AW116" s="426"/>
      <c r="AX116" s="434"/>
      <c r="AY116" s="433"/>
      <c r="AZ116" s="433"/>
      <c r="BA116" s="433"/>
      <c r="BB116" s="433"/>
      <c r="BC116" s="433"/>
      <c r="BD116" s="433"/>
      <c r="BE116" s="433"/>
      <c r="BF116" s="433"/>
      <c r="BG116" s="426"/>
      <c r="BH116" s="1033"/>
      <c r="BI116" s="1149"/>
      <c r="BJ116" s="1035"/>
      <c r="BK116" s="1035">
        <f t="shared" si="150"/>
        <v>2.7829999999999999</v>
      </c>
      <c r="BL116" s="1035"/>
      <c r="BM116" s="1035"/>
      <c r="BN116" s="1035"/>
      <c r="BO116" s="1037"/>
      <c r="BP116" s="1036"/>
      <c r="BQ116" s="1204">
        <f>+I116</f>
        <v>4.93</v>
      </c>
      <c r="BR116" s="429"/>
      <c r="BS116" s="1275"/>
      <c r="BT116" s="428"/>
      <c r="BU116" s="1293"/>
      <c r="BV116" s="434"/>
      <c r="BW116" s="426"/>
      <c r="BX116" s="434"/>
      <c r="BY116" s="433">
        <f>+I116*J116</f>
        <v>12.818</v>
      </c>
      <c r="BZ116" s="1280"/>
      <c r="CA116" s="434"/>
      <c r="CB116" s="433">
        <f>+F116</f>
        <v>2.7829999999999999</v>
      </c>
      <c r="CC116" s="426"/>
      <c r="CE116" s="427"/>
      <c r="CF116" s="429"/>
      <c r="CG116" s="429"/>
      <c r="CH116" s="429"/>
      <c r="CI116" s="428"/>
      <c r="CJ116" s="1204">
        <v>1</v>
      </c>
      <c r="CK116" s="429"/>
      <c r="CL116" s="429">
        <v>3</v>
      </c>
      <c r="CM116" s="429"/>
      <c r="CN116" s="429"/>
      <c r="CO116" s="429"/>
      <c r="CP116" s="429"/>
      <c r="CQ116" s="429"/>
      <c r="CR116" s="429"/>
      <c r="CS116" s="429">
        <v>1</v>
      </c>
      <c r="CT116" s="429"/>
      <c r="CU116" s="428">
        <v>1</v>
      </c>
      <c r="CV116" s="1377"/>
      <c r="CW116" s="1047">
        <v>0</v>
      </c>
      <c r="CX116" s="1048">
        <v>0</v>
      </c>
      <c r="CY116" s="1048">
        <v>0</v>
      </c>
      <c r="CZ116" s="1049"/>
      <c r="DA116" s="1050">
        <v>0</v>
      </c>
      <c r="DB116" s="1046">
        <v>0</v>
      </c>
      <c r="DC116" s="1048">
        <v>0</v>
      </c>
      <c r="DD116" s="1048">
        <v>0</v>
      </c>
      <c r="DE116" s="1048">
        <v>0</v>
      </c>
      <c r="DF116" s="1050">
        <v>0</v>
      </c>
    </row>
    <row r="117" spans="1:116" ht="13">
      <c r="A117" s="2263"/>
      <c r="B117" s="1038">
        <v>96</v>
      </c>
      <c r="C117" s="1197" t="s">
        <v>2131</v>
      </c>
      <c r="D117" s="1101">
        <v>2.3199999999999998</v>
      </c>
      <c r="E117" s="1102">
        <v>4.83</v>
      </c>
      <c r="F117" s="1051">
        <f t="shared" si="153"/>
        <v>11.205599999999999</v>
      </c>
      <c r="G117" s="1042">
        <v>14.29</v>
      </c>
      <c r="H117" s="1103">
        <f>2.28+1.02</f>
        <v>3.3</v>
      </c>
      <c r="I117" s="1044">
        <f t="shared" si="158"/>
        <v>10.989999999999998</v>
      </c>
      <c r="J117" s="1025">
        <v>2.4</v>
      </c>
      <c r="K117" s="1335">
        <v>0.6</v>
      </c>
      <c r="L117" s="1339">
        <f>3.65+5.35</f>
        <v>9</v>
      </c>
      <c r="M117" s="1027"/>
      <c r="N117" s="1097">
        <f t="shared" si="138"/>
        <v>11.205599999999999</v>
      </c>
      <c r="O117" s="1098"/>
      <c r="P117" s="1098"/>
      <c r="Q117" s="1098"/>
      <c r="R117" s="1117"/>
      <c r="S117" s="1118"/>
      <c r="T117" s="1027"/>
      <c r="U117" s="427">
        <f>+(I117*J117)-X117</f>
        <v>4.7759999999999962</v>
      </c>
      <c r="V117" s="429">
        <f>+W117*J117</f>
        <v>4.8</v>
      </c>
      <c r="W117" s="429">
        <v>2</v>
      </c>
      <c r="X117" s="429">
        <f>+L117*J117</f>
        <v>21.599999999999998</v>
      </c>
      <c r="Y117" s="428"/>
      <c r="Z117" s="1027"/>
      <c r="AA117" s="1104"/>
      <c r="AB117" s="1397"/>
      <c r="AC117" s="1397"/>
      <c r="AD117" s="1118"/>
      <c r="AE117" s="1028"/>
      <c r="AF117" s="1272"/>
      <c r="AG117" s="1273">
        <f>$F117</f>
        <v>11.205599999999999</v>
      </c>
      <c r="AH117" s="440">
        <f>+G117</f>
        <v>14.29</v>
      </c>
      <c r="AI117" s="440"/>
      <c r="AJ117" s="440"/>
      <c r="AK117" s="429"/>
      <c r="AL117" s="429"/>
      <c r="AM117" s="429"/>
      <c r="AN117" s="441"/>
      <c r="AO117" s="1029"/>
      <c r="AP117" s="427"/>
      <c r="AQ117" s="429"/>
      <c r="AR117" s="429"/>
      <c r="AS117" s="429"/>
      <c r="AT117" s="429"/>
      <c r="AU117" s="429"/>
      <c r="AV117" s="429"/>
      <c r="AW117" s="428"/>
      <c r="AX117" s="427"/>
      <c r="AY117" s="429"/>
      <c r="AZ117" s="429"/>
      <c r="BA117" s="429"/>
      <c r="BB117" s="429"/>
      <c r="BC117" s="429"/>
      <c r="BD117" s="429"/>
      <c r="BE117" s="429"/>
      <c r="BF117" s="429"/>
      <c r="BG117" s="428"/>
      <c r="BH117" s="1033"/>
      <c r="BI117" s="1104"/>
      <c r="BJ117" s="1048"/>
      <c r="BK117" s="1048">
        <f t="shared" si="150"/>
        <v>11.205599999999999</v>
      </c>
      <c r="BL117" s="1048"/>
      <c r="BM117" s="1048"/>
      <c r="BN117" s="1048"/>
      <c r="BO117" s="1049"/>
      <c r="BP117" s="1050"/>
      <c r="BQ117" s="1204">
        <f>+I117</f>
        <v>10.989999999999998</v>
      </c>
      <c r="BR117" s="429"/>
      <c r="BS117" s="1275"/>
      <c r="BT117" s="428"/>
      <c r="BU117" s="1293"/>
      <c r="BV117" s="427">
        <f>+K117*L117</f>
        <v>5.3999999999999995</v>
      </c>
      <c r="BW117" s="428"/>
      <c r="BX117" s="427"/>
      <c r="BY117" s="1314">
        <f>(I117*J117)-BV117</f>
        <v>20.975999999999996</v>
      </c>
      <c r="BZ117" s="1275"/>
      <c r="CA117" s="427"/>
      <c r="CB117" s="429"/>
      <c r="CC117" s="428">
        <f t="shared" ref="CC117:CC130" si="160">+F117</f>
        <v>11.205599999999999</v>
      </c>
      <c r="CE117" s="427"/>
      <c r="CF117" s="429"/>
      <c r="CG117" s="429"/>
      <c r="CH117" s="429"/>
      <c r="CI117" s="428"/>
      <c r="CJ117" s="1204">
        <v>5</v>
      </c>
      <c r="CK117" s="429">
        <v>1</v>
      </c>
      <c r="CL117" s="429">
        <v>1</v>
      </c>
      <c r="CM117" s="429"/>
      <c r="CN117" s="429">
        <v>3</v>
      </c>
      <c r="CO117" s="429">
        <v>8</v>
      </c>
      <c r="CP117" s="429"/>
      <c r="CQ117" s="429"/>
      <c r="CR117" s="429"/>
      <c r="CS117" s="429"/>
      <c r="CT117" s="429"/>
      <c r="CU117" s="428"/>
      <c r="CV117" s="1377"/>
      <c r="CW117" s="1047">
        <v>0</v>
      </c>
      <c r="CX117" s="1048">
        <v>0</v>
      </c>
      <c r="CY117" s="1048">
        <v>0</v>
      </c>
      <c r="CZ117" s="1049"/>
      <c r="DA117" s="1050">
        <v>1</v>
      </c>
      <c r="DB117" s="1046">
        <v>0</v>
      </c>
      <c r="DC117" s="1048">
        <v>0</v>
      </c>
      <c r="DD117" s="1048">
        <v>0</v>
      </c>
      <c r="DE117" s="1048">
        <v>0</v>
      </c>
      <c r="DF117" s="1050">
        <v>1</v>
      </c>
    </row>
    <row r="118" spans="1:116" ht="13">
      <c r="A118" s="2263"/>
      <c r="B118" s="1074">
        <v>97</v>
      </c>
      <c r="C118" s="1197" t="s">
        <v>2132</v>
      </c>
      <c r="D118" s="1101">
        <v>6.29</v>
      </c>
      <c r="E118" s="1102">
        <v>3.59</v>
      </c>
      <c r="F118" s="1051">
        <f t="shared" si="153"/>
        <v>22.581099999999999</v>
      </c>
      <c r="G118" s="1042">
        <v>19.739999999999998</v>
      </c>
      <c r="H118" s="1103">
        <f>3.6+1.15</f>
        <v>4.75</v>
      </c>
      <c r="I118" s="1044">
        <f t="shared" si="158"/>
        <v>14.989999999999998</v>
      </c>
      <c r="J118" s="1025">
        <v>2.6</v>
      </c>
      <c r="K118" s="1335"/>
      <c r="L118" s="1421"/>
      <c r="M118" s="1027"/>
      <c r="N118" s="1097">
        <f t="shared" si="138"/>
        <v>22.581099999999999</v>
      </c>
      <c r="O118" s="1098"/>
      <c r="P118" s="1098"/>
      <c r="Q118" s="1098"/>
      <c r="R118" s="1117"/>
      <c r="S118" s="1118"/>
      <c r="T118" s="1027"/>
      <c r="U118" s="427">
        <f t="shared" ref="U118:U129" si="161">+$I118*$J118</f>
        <v>38.973999999999997</v>
      </c>
      <c r="V118" s="429">
        <f>+W118*J118</f>
        <v>10.4</v>
      </c>
      <c r="W118" s="429">
        <v>4</v>
      </c>
      <c r="X118" s="429"/>
      <c r="Y118" s="428"/>
      <c r="Z118" s="1027"/>
      <c r="AA118" s="1104"/>
      <c r="AB118" s="1397"/>
      <c r="AC118" s="1397"/>
      <c r="AD118" s="1118"/>
      <c r="AE118" s="1028"/>
      <c r="AF118" s="1272"/>
      <c r="AG118" s="1273"/>
      <c r="AH118" s="440"/>
      <c r="AI118" s="440"/>
      <c r="AJ118" s="440"/>
      <c r="AK118" s="429">
        <f t="shared" si="159"/>
        <v>22.581099999999999</v>
      </c>
      <c r="AL118" s="429">
        <f>+G118</f>
        <v>19.739999999999998</v>
      </c>
      <c r="AM118" s="429"/>
      <c r="AN118" s="441"/>
      <c r="AO118" s="1029"/>
      <c r="AP118" s="427"/>
      <c r="AQ118" s="429"/>
      <c r="AR118" s="429"/>
      <c r="AS118" s="429"/>
      <c r="AT118" s="429"/>
      <c r="AU118" s="429"/>
      <c r="AV118" s="429"/>
      <c r="AW118" s="428"/>
      <c r="AX118" s="427"/>
      <c r="AY118" s="429"/>
      <c r="AZ118" s="429">
        <v>1</v>
      </c>
      <c r="BA118" s="429"/>
      <c r="BB118" s="429"/>
      <c r="BC118" s="429"/>
      <c r="BD118" s="429"/>
      <c r="BE118" s="429"/>
      <c r="BF118" s="429"/>
      <c r="BG118" s="428"/>
      <c r="BH118" s="1033"/>
      <c r="BI118" s="1104"/>
      <c r="BJ118" s="1048"/>
      <c r="BK118" s="1048">
        <f t="shared" si="150"/>
        <v>22.581099999999999</v>
      </c>
      <c r="BL118" s="1048"/>
      <c r="BM118" s="1048"/>
      <c r="BN118" s="1048"/>
      <c r="BO118" s="1049"/>
      <c r="BP118" s="1050"/>
      <c r="BQ118" s="1204">
        <f>+I118</f>
        <v>14.989999999999998</v>
      </c>
      <c r="BR118" s="429"/>
      <c r="BS118" s="1275"/>
      <c r="BT118" s="428"/>
      <c r="BU118" s="1293"/>
      <c r="BV118" s="427"/>
      <c r="BW118" s="428"/>
      <c r="BX118" s="427"/>
      <c r="BY118" s="429">
        <f t="shared" ref="BY118" si="162">+I118*J118</f>
        <v>38.973999999999997</v>
      </c>
      <c r="BZ118" s="1275"/>
      <c r="CA118" s="427"/>
      <c r="CB118" s="429">
        <f t="shared" ref="CB118:CB126" si="163">+F118</f>
        <v>22.581099999999999</v>
      </c>
      <c r="CC118" s="428"/>
      <c r="CE118" s="427"/>
      <c r="CF118" s="429"/>
      <c r="CG118" s="429"/>
      <c r="CH118" s="429"/>
      <c r="CI118" s="428"/>
      <c r="CJ118" s="1204">
        <v>4</v>
      </c>
      <c r="CK118" s="429"/>
      <c r="CL118" s="429">
        <v>1</v>
      </c>
      <c r="CM118" s="429"/>
      <c r="CN118" s="429"/>
      <c r="CO118" s="429">
        <v>4</v>
      </c>
      <c r="CP118" s="429">
        <v>1</v>
      </c>
      <c r="CQ118" s="429"/>
      <c r="CR118" s="429">
        <v>1</v>
      </c>
      <c r="CS118" s="429"/>
      <c r="CT118" s="429"/>
      <c r="CU118" s="428"/>
      <c r="CV118" s="1377"/>
      <c r="CW118" s="1047">
        <v>0</v>
      </c>
      <c r="CX118" s="1048">
        <v>0</v>
      </c>
      <c r="CY118" s="1048">
        <v>0</v>
      </c>
      <c r="CZ118" s="1049"/>
      <c r="DA118" s="1050">
        <v>0</v>
      </c>
      <c r="DB118" s="1046">
        <v>0</v>
      </c>
      <c r="DC118" s="1048">
        <v>0</v>
      </c>
      <c r="DD118" s="1048">
        <v>0</v>
      </c>
      <c r="DE118" s="1048">
        <v>0</v>
      </c>
      <c r="DF118" s="1050">
        <v>0</v>
      </c>
    </row>
    <row r="119" spans="1:116" ht="13">
      <c r="A119" s="2263"/>
      <c r="B119" s="1074">
        <v>98</v>
      </c>
      <c r="C119" s="1197" t="s">
        <v>2133</v>
      </c>
      <c r="D119" s="1101">
        <v>2.96</v>
      </c>
      <c r="E119" s="1102">
        <v>1.52</v>
      </c>
      <c r="F119" s="1051">
        <f t="shared" si="153"/>
        <v>4.4992000000000001</v>
      </c>
      <c r="G119" s="1042">
        <v>8.9600000000000009</v>
      </c>
      <c r="H119" s="1103"/>
      <c r="I119" s="1044">
        <f t="shared" si="158"/>
        <v>8.9600000000000009</v>
      </c>
      <c r="J119" s="1025">
        <v>2.6</v>
      </c>
      <c r="K119" s="1335"/>
      <c r="L119" s="1421"/>
      <c r="M119" s="1027"/>
      <c r="N119" s="1097"/>
      <c r="O119" s="1098"/>
      <c r="P119" s="1098"/>
      <c r="Q119" s="1098"/>
      <c r="R119" s="1117">
        <f>+F119</f>
        <v>4.4992000000000001</v>
      </c>
      <c r="S119" s="1118">
        <f>+F119</f>
        <v>4.4992000000000001</v>
      </c>
      <c r="T119" s="1027"/>
      <c r="U119" s="427"/>
      <c r="V119" s="429"/>
      <c r="W119" s="429"/>
      <c r="X119" s="429"/>
      <c r="Y119" s="428"/>
      <c r="Z119" s="1027"/>
      <c r="AA119" s="1104"/>
      <c r="AB119" s="1397"/>
      <c r="AC119" s="1397"/>
      <c r="AD119" s="1118"/>
      <c r="AE119" s="1028"/>
      <c r="AF119" s="1272"/>
      <c r="AG119" s="1273"/>
      <c r="AH119" s="440"/>
      <c r="AI119" s="440"/>
      <c r="AJ119" s="440"/>
      <c r="AK119" s="429"/>
      <c r="AL119" s="429"/>
      <c r="AM119" s="429"/>
      <c r="AN119" s="441">
        <f>+F119</f>
        <v>4.4992000000000001</v>
      </c>
      <c r="AO119" s="1029"/>
      <c r="AP119" s="427"/>
      <c r="AQ119" s="429"/>
      <c r="AR119" s="429">
        <v>1</v>
      </c>
      <c r="AS119" s="429"/>
      <c r="AT119" s="429"/>
      <c r="AU119" s="429"/>
      <c r="AV119" s="429"/>
      <c r="AW119" s="428"/>
      <c r="AX119" s="427"/>
      <c r="AY119" s="429"/>
      <c r="AZ119" s="429"/>
      <c r="BA119" s="429"/>
      <c r="BB119" s="429"/>
      <c r="BC119" s="429"/>
      <c r="BD119" s="429"/>
      <c r="BE119" s="429"/>
      <c r="BF119" s="429"/>
      <c r="BG119" s="428"/>
      <c r="BH119" s="1033"/>
      <c r="BI119" s="1104"/>
      <c r="BJ119" s="1048"/>
      <c r="BK119" s="1048">
        <f t="shared" si="150"/>
        <v>4.4992000000000001</v>
      </c>
      <c r="BL119" s="1048"/>
      <c r="BM119" s="1048"/>
      <c r="BN119" s="1048"/>
      <c r="BO119" s="1049"/>
      <c r="BP119" s="1050"/>
      <c r="BQ119" s="1204">
        <f>+I119</f>
        <v>8.9600000000000009</v>
      </c>
      <c r="BR119" s="429"/>
      <c r="BS119" s="1275"/>
      <c r="BT119" s="428"/>
      <c r="BU119" s="1293"/>
      <c r="BV119" s="427"/>
      <c r="BW119" s="428"/>
      <c r="BX119" s="427"/>
      <c r="BY119" s="429"/>
      <c r="BZ119" s="1275"/>
      <c r="CA119" s="427">
        <f>+F119</f>
        <v>4.4992000000000001</v>
      </c>
      <c r="CB119" s="429"/>
      <c r="CC119" s="428"/>
      <c r="CE119" s="427"/>
      <c r="CF119" s="429"/>
      <c r="CG119" s="429"/>
      <c r="CH119" s="429"/>
      <c r="CI119" s="428">
        <v>2</v>
      </c>
      <c r="CJ119" s="1204">
        <v>2</v>
      </c>
      <c r="CK119" s="429"/>
      <c r="CL119" s="429"/>
      <c r="CM119" s="429"/>
      <c r="CN119" s="429">
        <v>1</v>
      </c>
      <c r="CO119" s="429"/>
      <c r="CP119" s="429"/>
      <c r="CQ119" s="429"/>
      <c r="CR119" s="429"/>
      <c r="CS119" s="429"/>
      <c r="CT119" s="429"/>
      <c r="CU119" s="428"/>
      <c r="CV119" s="1377"/>
      <c r="CW119" s="1047">
        <v>0</v>
      </c>
      <c r="CX119" s="1048">
        <v>0</v>
      </c>
      <c r="CY119" s="1048">
        <v>0</v>
      </c>
      <c r="CZ119" s="1049"/>
      <c r="DA119" s="1050">
        <v>0</v>
      </c>
      <c r="DB119" s="1046">
        <v>0</v>
      </c>
      <c r="DC119" s="1048">
        <v>0</v>
      </c>
      <c r="DD119" s="1048">
        <v>0</v>
      </c>
      <c r="DE119" s="1048">
        <v>0</v>
      </c>
      <c r="DF119" s="1050">
        <v>0</v>
      </c>
    </row>
    <row r="120" spans="1:116" ht="13">
      <c r="A120" s="2263"/>
      <c r="B120" s="1074">
        <v>99</v>
      </c>
      <c r="C120" s="1197" t="s">
        <v>2134</v>
      </c>
      <c r="D120" s="1101">
        <v>0</v>
      </c>
      <c r="E120" s="1102">
        <v>0</v>
      </c>
      <c r="F120" s="1051">
        <v>5.53</v>
      </c>
      <c r="G120" s="1042">
        <v>11.36</v>
      </c>
      <c r="H120" s="1103">
        <f>1.15+0.7</f>
        <v>1.8499999999999999</v>
      </c>
      <c r="I120" s="1044">
        <f t="shared" si="158"/>
        <v>9.51</v>
      </c>
      <c r="J120" s="1025">
        <v>2.4</v>
      </c>
      <c r="K120" s="1335"/>
      <c r="L120" s="1421"/>
      <c r="M120" s="1027"/>
      <c r="N120" s="1097">
        <f t="shared" si="138"/>
        <v>5.53</v>
      </c>
      <c r="O120" s="1098"/>
      <c r="P120" s="1098"/>
      <c r="Q120" s="1098"/>
      <c r="R120" s="1117"/>
      <c r="S120" s="1118"/>
      <c r="T120" s="1027"/>
      <c r="U120" s="427">
        <f>+I120*J120</f>
        <v>22.823999999999998</v>
      </c>
      <c r="V120" s="429">
        <f>+W120*J120</f>
        <v>7.1999999999999993</v>
      </c>
      <c r="W120" s="429">
        <v>3</v>
      </c>
      <c r="X120" s="429"/>
      <c r="Y120" s="428"/>
      <c r="Z120" s="1027"/>
      <c r="AA120" s="1104"/>
      <c r="AB120" s="1397"/>
      <c r="AC120" s="1397"/>
      <c r="AD120" s="1118"/>
      <c r="AE120" s="1028"/>
      <c r="AF120" s="1272">
        <f t="shared" ref="AF120:AF122" si="164">$F120</f>
        <v>5.53</v>
      </c>
      <c r="AG120" s="1273"/>
      <c r="AH120" s="440">
        <f>+G120</f>
        <v>11.36</v>
      </c>
      <c r="AI120" s="440"/>
      <c r="AJ120" s="440"/>
      <c r="AK120" s="429"/>
      <c r="AL120" s="429"/>
      <c r="AM120" s="429"/>
      <c r="AN120" s="441"/>
      <c r="AO120" s="1029"/>
      <c r="AP120" s="427"/>
      <c r="AQ120" s="429">
        <v>1</v>
      </c>
      <c r="AR120" s="429"/>
      <c r="AS120" s="429"/>
      <c r="AT120" s="429"/>
      <c r="AU120" s="429"/>
      <c r="AV120" s="429"/>
      <c r="AW120" s="428"/>
      <c r="AX120" s="427"/>
      <c r="AY120" s="429"/>
      <c r="AZ120" s="429"/>
      <c r="BA120" s="429"/>
      <c r="BB120" s="429"/>
      <c r="BC120" s="429"/>
      <c r="BD120" s="429"/>
      <c r="BE120" s="429"/>
      <c r="BF120" s="429"/>
      <c r="BG120" s="428"/>
      <c r="BH120" s="1033"/>
      <c r="BI120" s="1104"/>
      <c r="BJ120" s="1048"/>
      <c r="BK120" s="1048">
        <f t="shared" si="150"/>
        <v>5.53</v>
      </c>
      <c r="BL120" s="1048"/>
      <c r="BM120" s="1048"/>
      <c r="BN120" s="1048"/>
      <c r="BO120" s="1049"/>
      <c r="BP120" s="1050"/>
      <c r="BQ120" s="1204">
        <f>+I120</f>
        <v>9.51</v>
      </c>
      <c r="BR120" s="429"/>
      <c r="BS120" s="1275"/>
      <c r="BT120" s="428"/>
      <c r="BU120" s="1293"/>
      <c r="BV120" s="427"/>
      <c r="BW120" s="428"/>
      <c r="BX120" s="427"/>
      <c r="BY120" s="429">
        <f t="shared" ref="BY120:BY129" si="165">+I120*J120</f>
        <v>22.823999999999998</v>
      </c>
      <c r="BZ120" s="1275"/>
      <c r="CA120" s="427"/>
      <c r="CB120" s="429"/>
      <c r="CC120" s="428">
        <f t="shared" si="160"/>
        <v>5.53</v>
      </c>
      <c r="CE120" s="427"/>
      <c r="CF120" s="429"/>
      <c r="CG120" s="429"/>
      <c r="CH120" s="429"/>
      <c r="CI120" s="428"/>
      <c r="CJ120" s="1204">
        <v>3</v>
      </c>
      <c r="CK120" s="429"/>
      <c r="CL120" s="429">
        <v>3</v>
      </c>
      <c r="CM120" s="429"/>
      <c r="CN120" s="429"/>
      <c r="CO120" s="429">
        <v>1</v>
      </c>
      <c r="CP120" s="429"/>
      <c r="CQ120" s="429">
        <v>1</v>
      </c>
      <c r="CR120" s="429"/>
      <c r="CS120" s="429"/>
      <c r="CT120" s="429"/>
      <c r="CU120" s="428"/>
      <c r="CV120" s="1377"/>
      <c r="CW120" s="1047">
        <v>0</v>
      </c>
      <c r="CX120" s="1048">
        <v>0</v>
      </c>
      <c r="CY120" s="1048">
        <v>0</v>
      </c>
      <c r="CZ120" s="1049"/>
      <c r="DA120" s="1050">
        <v>0</v>
      </c>
      <c r="DB120" s="1046">
        <v>0</v>
      </c>
      <c r="DC120" s="1048">
        <v>0</v>
      </c>
      <c r="DD120" s="1048">
        <v>0</v>
      </c>
      <c r="DE120" s="1048">
        <v>0</v>
      </c>
      <c r="DF120" s="1050">
        <v>0</v>
      </c>
    </row>
    <row r="121" spans="1:116" ht="13">
      <c r="A121" s="2263"/>
      <c r="B121" s="1074">
        <v>100</v>
      </c>
      <c r="C121" s="1197" t="s">
        <v>2135</v>
      </c>
      <c r="D121" s="1101">
        <v>0.6</v>
      </c>
      <c r="E121" s="1102">
        <v>0.67</v>
      </c>
      <c r="F121" s="1051">
        <f t="shared" si="153"/>
        <v>0.40200000000000002</v>
      </c>
      <c r="G121" s="1042">
        <v>2.54</v>
      </c>
      <c r="H121" s="1103">
        <f>+E121</f>
        <v>0.67</v>
      </c>
      <c r="I121" s="1044">
        <f t="shared" si="158"/>
        <v>1.87</v>
      </c>
      <c r="J121" s="1025">
        <v>2.4</v>
      </c>
      <c r="K121" s="1335"/>
      <c r="L121" s="1421"/>
      <c r="M121" s="1027"/>
      <c r="N121" s="1097">
        <f t="shared" si="138"/>
        <v>0.40200000000000002</v>
      </c>
      <c r="O121" s="1098"/>
      <c r="P121" s="1098"/>
      <c r="Q121" s="1098"/>
      <c r="R121" s="1117"/>
      <c r="S121" s="1118"/>
      <c r="T121" s="1027"/>
      <c r="U121" s="427">
        <f>+I121*J121</f>
        <v>4.4880000000000004</v>
      </c>
      <c r="V121" s="429"/>
      <c r="W121" s="429"/>
      <c r="X121" s="429"/>
      <c r="Y121" s="428"/>
      <c r="Z121" s="1027"/>
      <c r="AA121" s="1104"/>
      <c r="AB121" s="1397"/>
      <c r="AC121" s="1397"/>
      <c r="AD121" s="1118"/>
      <c r="AE121" s="1028"/>
      <c r="AF121" s="1272">
        <f t="shared" si="164"/>
        <v>0.40200000000000002</v>
      </c>
      <c r="AG121" s="1273"/>
      <c r="AH121" s="440"/>
      <c r="AI121" s="440"/>
      <c r="AJ121" s="440"/>
      <c r="AK121" s="429"/>
      <c r="AL121" s="429"/>
      <c r="AM121" s="429"/>
      <c r="AN121" s="441"/>
      <c r="AO121" s="1029"/>
      <c r="AP121" s="427"/>
      <c r="AQ121" s="429"/>
      <c r="AR121" s="429"/>
      <c r="AS121" s="429"/>
      <c r="AT121" s="429"/>
      <c r="AU121" s="429"/>
      <c r="AV121" s="429"/>
      <c r="AW121" s="428">
        <v>1</v>
      </c>
      <c r="AX121" s="427"/>
      <c r="AY121" s="429"/>
      <c r="AZ121" s="429"/>
      <c r="BA121" s="429"/>
      <c r="BB121" s="429"/>
      <c r="BC121" s="429"/>
      <c r="BD121" s="429"/>
      <c r="BE121" s="429"/>
      <c r="BF121" s="429"/>
      <c r="BG121" s="428"/>
      <c r="BH121" s="1033"/>
      <c r="BI121" s="1104"/>
      <c r="BJ121" s="1048"/>
      <c r="BK121" s="1048">
        <f t="shared" si="150"/>
        <v>0.40200000000000002</v>
      </c>
      <c r="BL121" s="1048"/>
      <c r="BM121" s="1048"/>
      <c r="BN121" s="1048"/>
      <c r="BO121" s="1049"/>
      <c r="BP121" s="1050"/>
      <c r="BQ121" s="1204"/>
      <c r="BR121" s="429"/>
      <c r="BS121" s="1275"/>
      <c r="BT121" s="428"/>
      <c r="BU121" s="1293"/>
      <c r="BV121" s="427"/>
      <c r="BW121" s="428"/>
      <c r="BX121" s="427"/>
      <c r="BY121" s="429">
        <f t="shared" si="165"/>
        <v>4.4880000000000004</v>
      </c>
      <c r="BZ121" s="1275"/>
      <c r="CA121" s="427"/>
      <c r="CB121" s="429"/>
      <c r="CC121" s="428">
        <f t="shared" si="160"/>
        <v>0.40200000000000002</v>
      </c>
      <c r="CE121" s="427"/>
      <c r="CF121" s="429"/>
      <c r="CG121" s="429"/>
      <c r="CH121" s="429"/>
      <c r="CI121" s="428"/>
      <c r="CJ121" s="1204"/>
      <c r="CK121" s="429"/>
      <c r="CL121" s="429"/>
      <c r="CM121" s="429"/>
      <c r="CN121" s="429"/>
      <c r="CO121" s="429"/>
      <c r="CP121" s="429"/>
      <c r="CQ121" s="429"/>
      <c r="CR121" s="429"/>
      <c r="CS121" s="429"/>
      <c r="CT121" s="429"/>
      <c r="CU121" s="428"/>
      <c r="CV121" s="1377"/>
      <c r="CW121" s="1047">
        <v>0</v>
      </c>
      <c r="CX121" s="1048">
        <v>0</v>
      </c>
      <c r="CY121" s="1048">
        <v>0</v>
      </c>
      <c r="CZ121" s="1049"/>
      <c r="DA121" s="1050">
        <v>0</v>
      </c>
      <c r="DB121" s="1046">
        <v>0</v>
      </c>
      <c r="DC121" s="1048">
        <v>0</v>
      </c>
      <c r="DD121" s="1048">
        <v>0</v>
      </c>
      <c r="DE121" s="1048">
        <v>0</v>
      </c>
      <c r="DF121" s="1050">
        <v>0</v>
      </c>
    </row>
    <row r="122" spans="1:116" ht="13">
      <c r="A122" s="2263"/>
      <c r="B122" s="1074">
        <v>101</v>
      </c>
      <c r="C122" s="1197" t="s">
        <v>2136</v>
      </c>
      <c r="D122" s="1101">
        <v>0.6</v>
      </c>
      <c r="E122" s="1102">
        <v>0.84</v>
      </c>
      <c r="F122" s="1051">
        <f t="shared" si="153"/>
        <v>0.504</v>
      </c>
      <c r="G122" s="1042">
        <v>2.87</v>
      </c>
      <c r="H122" s="1103">
        <f>+E122</f>
        <v>0.84</v>
      </c>
      <c r="I122" s="1044">
        <f t="shared" si="158"/>
        <v>2.0300000000000002</v>
      </c>
      <c r="J122" s="1025">
        <v>2.4</v>
      </c>
      <c r="K122" s="1335"/>
      <c r="L122" s="1421"/>
      <c r="M122" s="1027"/>
      <c r="N122" s="1097">
        <f t="shared" si="138"/>
        <v>0.504</v>
      </c>
      <c r="O122" s="1098"/>
      <c r="P122" s="1098"/>
      <c r="Q122" s="1098"/>
      <c r="R122" s="1117"/>
      <c r="S122" s="1118"/>
      <c r="T122" s="1027"/>
      <c r="U122" s="427">
        <f>+I122*J122</f>
        <v>4.8720000000000008</v>
      </c>
      <c r="V122" s="429"/>
      <c r="W122" s="429"/>
      <c r="X122" s="429"/>
      <c r="Y122" s="428"/>
      <c r="Z122" s="1027"/>
      <c r="AA122" s="1104"/>
      <c r="AB122" s="1397"/>
      <c r="AC122" s="1397"/>
      <c r="AD122" s="1118"/>
      <c r="AE122" s="1028"/>
      <c r="AF122" s="1272">
        <f t="shared" si="164"/>
        <v>0.504</v>
      </c>
      <c r="AG122" s="1273"/>
      <c r="AH122" s="440"/>
      <c r="AI122" s="440"/>
      <c r="AJ122" s="440"/>
      <c r="AK122" s="429"/>
      <c r="AL122" s="429"/>
      <c r="AM122" s="429"/>
      <c r="AN122" s="441"/>
      <c r="AO122" s="1029"/>
      <c r="AP122" s="427"/>
      <c r="AQ122" s="429"/>
      <c r="AR122" s="429"/>
      <c r="AS122" s="429"/>
      <c r="AT122" s="429"/>
      <c r="AU122" s="429"/>
      <c r="AV122" s="429"/>
      <c r="AW122" s="428">
        <v>1</v>
      </c>
      <c r="AX122" s="427"/>
      <c r="AY122" s="429"/>
      <c r="AZ122" s="429"/>
      <c r="BA122" s="429"/>
      <c r="BB122" s="429"/>
      <c r="BC122" s="429"/>
      <c r="BD122" s="429"/>
      <c r="BE122" s="429"/>
      <c r="BF122" s="429"/>
      <c r="BG122" s="428"/>
      <c r="BH122" s="1033"/>
      <c r="BI122" s="1104"/>
      <c r="BJ122" s="1048"/>
      <c r="BK122" s="1048">
        <f t="shared" si="150"/>
        <v>0.504</v>
      </c>
      <c r="BL122" s="1048"/>
      <c r="BM122" s="1048"/>
      <c r="BN122" s="1048"/>
      <c r="BO122" s="1049"/>
      <c r="BP122" s="1050"/>
      <c r="BQ122" s="1204"/>
      <c r="BR122" s="429"/>
      <c r="BS122" s="1275"/>
      <c r="BT122" s="428"/>
      <c r="BU122" s="1293"/>
      <c r="BV122" s="427"/>
      <c r="BW122" s="428"/>
      <c r="BX122" s="427"/>
      <c r="BY122" s="429">
        <f t="shared" si="165"/>
        <v>4.8720000000000008</v>
      </c>
      <c r="BZ122" s="1275"/>
      <c r="CA122" s="427"/>
      <c r="CB122" s="429"/>
      <c r="CC122" s="428">
        <f t="shared" si="160"/>
        <v>0.504</v>
      </c>
      <c r="CE122" s="427"/>
      <c r="CF122" s="429"/>
      <c r="CG122" s="429"/>
      <c r="CH122" s="429"/>
      <c r="CI122" s="428"/>
      <c r="CJ122" s="1204"/>
      <c r="CK122" s="429"/>
      <c r="CL122" s="429"/>
      <c r="CM122" s="429"/>
      <c r="CN122" s="429"/>
      <c r="CO122" s="429"/>
      <c r="CP122" s="429"/>
      <c r="CQ122" s="429"/>
      <c r="CR122" s="429"/>
      <c r="CS122" s="429"/>
      <c r="CT122" s="429"/>
      <c r="CU122" s="428"/>
      <c r="CV122" s="1377"/>
      <c r="CW122" s="1047">
        <v>0</v>
      </c>
      <c r="CX122" s="1048">
        <v>0</v>
      </c>
      <c r="CY122" s="1048">
        <v>0</v>
      </c>
      <c r="CZ122" s="1049"/>
      <c r="DA122" s="1050">
        <v>0</v>
      </c>
      <c r="DB122" s="1046">
        <v>0</v>
      </c>
      <c r="DC122" s="1048">
        <v>0</v>
      </c>
      <c r="DD122" s="1048">
        <v>0</v>
      </c>
      <c r="DE122" s="1048">
        <v>0</v>
      </c>
      <c r="DF122" s="1050">
        <v>0</v>
      </c>
      <c r="DH122" s="1010"/>
      <c r="DI122" s="1010"/>
      <c r="DJ122" s="1010"/>
      <c r="DK122" s="1010"/>
      <c r="DL122" s="1010"/>
    </row>
    <row r="123" spans="1:116" ht="12.75" customHeight="1">
      <c r="A123" s="2263"/>
      <c r="B123" s="1074">
        <v>102</v>
      </c>
      <c r="C123" s="1197" t="s">
        <v>2137</v>
      </c>
      <c r="D123" s="1101">
        <v>0</v>
      </c>
      <c r="E123" s="1102">
        <v>0</v>
      </c>
      <c r="F123" s="1051">
        <v>3.38</v>
      </c>
      <c r="G123" s="1042">
        <v>7.82</v>
      </c>
      <c r="H123" s="1103">
        <v>0</v>
      </c>
      <c r="I123" s="1044">
        <f t="shared" si="158"/>
        <v>7.82</v>
      </c>
      <c r="J123" s="1025">
        <v>2.2000000000000002</v>
      </c>
      <c r="K123" s="1335">
        <v>2.2000000000000002</v>
      </c>
      <c r="L123" s="1421"/>
      <c r="M123" s="1027"/>
      <c r="N123" s="1097"/>
      <c r="O123" s="1098"/>
      <c r="P123" s="1098"/>
      <c r="Q123" s="1098"/>
      <c r="R123" s="1117">
        <f t="shared" ref="R123:S123" si="166">$F123</f>
        <v>3.38</v>
      </c>
      <c r="S123" s="1118">
        <f t="shared" si="166"/>
        <v>3.38</v>
      </c>
      <c r="T123" s="1027"/>
      <c r="U123" s="427"/>
      <c r="V123" s="429"/>
      <c r="W123" s="429"/>
      <c r="X123" s="429">
        <f>+$I123*$J123</f>
        <v>17.204000000000001</v>
      </c>
      <c r="Y123" s="428"/>
      <c r="Z123" s="1027"/>
      <c r="AA123" s="1104">
        <f t="shared" ref="AA123" si="167">$F123</f>
        <v>3.38</v>
      </c>
      <c r="AB123" s="1397"/>
      <c r="AC123" s="1397"/>
      <c r="AD123" s="1118"/>
      <c r="AE123" s="1028"/>
      <c r="AF123" s="1272"/>
      <c r="AG123" s="1273">
        <f>$F123</f>
        <v>3.38</v>
      </c>
      <c r="AH123" s="440">
        <f>$I123</f>
        <v>7.82</v>
      </c>
      <c r="AI123" s="440"/>
      <c r="AJ123" s="440"/>
      <c r="AK123" s="429"/>
      <c r="AL123" s="429"/>
      <c r="AM123" s="429"/>
      <c r="AN123" s="441"/>
      <c r="AO123" s="1029"/>
      <c r="AP123" s="427"/>
      <c r="AQ123" s="429">
        <v>1</v>
      </c>
      <c r="AR123" s="429"/>
      <c r="AS123" s="429"/>
      <c r="AT123" s="429"/>
      <c r="AU123" s="429"/>
      <c r="AV123" s="429"/>
      <c r="AW123" s="428"/>
      <c r="AX123" s="427"/>
      <c r="AY123" s="429"/>
      <c r="AZ123" s="429"/>
      <c r="BA123" s="429"/>
      <c r="BB123" s="429"/>
      <c r="BC123" s="429"/>
      <c r="BD123" s="429"/>
      <c r="BE123" s="429">
        <v>1</v>
      </c>
      <c r="BF123" s="429"/>
      <c r="BG123" s="428"/>
      <c r="BH123" s="1033"/>
      <c r="BI123" s="1104"/>
      <c r="BJ123" s="1048"/>
      <c r="BK123" s="1048"/>
      <c r="BL123" s="1048">
        <f t="shared" si="150"/>
        <v>3.38</v>
      </c>
      <c r="BM123" s="1048"/>
      <c r="BN123" s="1048"/>
      <c r="BO123" s="1049"/>
      <c r="BP123" s="1050"/>
      <c r="BQ123" s="1204"/>
      <c r="BR123" s="429"/>
      <c r="BS123" s="1275"/>
      <c r="BT123" s="428"/>
      <c r="BU123" s="1293"/>
      <c r="BV123" s="427"/>
      <c r="BW123" s="428">
        <f>+I123*K123</f>
        <v>17.204000000000001</v>
      </c>
      <c r="BX123" s="427"/>
      <c r="BY123" s="429"/>
      <c r="BZ123" s="1275"/>
      <c r="CA123" s="427"/>
      <c r="CB123" s="429"/>
      <c r="CC123" s="428">
        <f t="shared" si="160"/>
        <v>3.38</v>
      </c>
      <c r="CE123" s="427"/>
      <c r="CF123" s="429"/>
      <c r="CG123" s="429"/>
      <c r="CH123" s="429"/>
      <c r="CI123" s="428"/>
      <c r="CJ123" s="1204">
        <v>1</v>
      </c>
      <c r="CK123" s="429"/>
      <c r="CL123" s="429">
        <v>1</v>
      </c>
      <c r="CM123" s="429"/>
      <c r="CN123" s="429">
        <v>1</v>
      </c>
      <c r="CO123" s="429"/>
      <c r="CP123" s="429"/>
      <c r="CQ123" s="429"/>
      <c r="CR123" s="429"/>
      <c r="CS123" s="429"/>
      <c r="CT123" s="429"/>
      <c r="CU123" s="428"/>
      <c r="CV123" s="1377"/>
      <c r="CW123" s="1047">
        <v>1</v>
      </c>
      <c r="CX123" s="1048">
        <v>1</v>
      </c>
      <c r="CY123" s="1048">
        <v>1</v>
      </c>
      <c r="CZ123" s="1049"/>
      <c r="DA123" s="1050">
        <v>0</v>
      </c>
      <c r="DB123" s="1046">
        <v>1</v>
      </c>
      <c r="DC123" s="1048">
        <v>1</v>
      </c>
      <c r="DD123" s="1048">
        <v>1</v>
      </c>
      <c r="DE123" s="1048">
        <v>1</v>
      </c>
      <c r="DF123" s="1050">
        <v>0</v>
      </c>
    </row>
    <row r="124" spans="1:116" ht="13">
      <c r="A124" s="2263"/>
      <c r="B124" s="1074">
        <v>103</v>
      </c>
      <c r="C124" s="1197" t="s">
        <v>2138</v>
      </c>
      <c r="D124" s="1101">
        <v>0</v>
      </c>
      <c r="E124" s="1102">
        <v>0</v>
      </c>
      <c r="F124" s="1051">
        <v>12.18</v>
      </c>
      <c r="G124" s="1042">
        <v>15.21</v>
      </c>
      <c r="H124" s="1103">
        <v>1.86</v>
      </c>
      <c r="I124" s="1044">
        <f t="shared" si="158"/>
        <v>13.350000000000001</v>
      </c>
      <c r="J124" s="1025">
        <v>2.6</v>
      </c>
      <c r="K124" s="1335"/>
      <c r="L124" s="1421"/>
      <c r="M124" s="1027"/>
      <c r="N124" s="1097">
        <f t="shared" si="138"/>
        <v>12.18</v>
      </c>
      <c r="O124" s="1098"/>
      <c r="P124" s="1098"/>
      <c r="Q124" s="1098"/>
      <c r="R124" s="1117"/>
      <c r="S124" s="1118"/>
      <c r="T124" s="1027"/>
      <c r="U124" s="427">
        <f>+I124*J124</f>
        <v>34.710000000000008</v>
      </c>
      <c r="V124" s="429">
        <f>+W124*J124</f>
        <v>5.2</v>
      </c>
      <c r="W124" s="429">
        <v>2</v>
      </c>
      <c r="X124" s="429"/>
      <c r="Y124" s="428"/>
      <c r="Z124" s="1027"/>
      <c r="AA124" s="1104"/>
      <c r="AB124" s="1397"/>
      <c r="AC124" s="1397"/>
      <c r="AD124" s="1118"/>
      <c r="AE124" s="1028"/>
      <c r="AF124" s="1272"/>
      <c r="AG124" s="1273"/>
      <c r="AH124" s="440"/>
      <c r="AI124" s="440"/>
      <c r="AJ124" s="440"/>
      <c r="AK124" s="429">
        <f t="shared" ref="AK124:AK126" si="168">$F124</f>
        <v>12.18</v>
      </c>
      <c r="AL124" s="429">
        <f>+G124</f>
        <v>15.21</v>
      </c>
      <c r="AM124" s="429"/>
      <c r="AN124" s="441"/>
      <c r="AO124" s="1029"/>
      <c r="AP124" s="427"/>
      <c r="AQ124" s="429">
        <v>1</v>
      </c>
      <c r="AR124" s="429"/>
      <c r="AS124" s="429"/>
      <c r="AT124" s="429"/>
      <c r="AU124" s="429"/>
      <c r="AV124" s="429"/>
      <c r="AW124" s="428"/>
      <c r="AX124" s="427"/>
      <c r="AY124" s="429"/>
      <c r="AZ124" s="429"/>
      <c r="BA124" s="429">
        <v>1</v>
      </c>
      <c r="BB124" s="429"/>
      <c r="BC124" s="429"/>
      <c r="BD124" s="429"/>
      <c r="BE124" s="429"/>
      <c r="BF124" s="429"/>
      <c r="BG124" s="428"/>
      <c r="BH124" s="1033"/>
      <c r="BI124" s="1104"/>
      <c r="BJ124" s="1048"/>
      <c r="BK124" s="1048">
        <f t="shared" si="150"/>
        <v>12.18</v>
      </c>
      <c r="BL124" s="1048"/>
      <c r="BM124" s="1048"/>
      <c r="BN124" s="1048"/>
      <c r="BO124" s="1049"/>
      <c r="BP124" s="1050"/>
      <c r="BQ124" s="1204">
        <f>+I124</f>
        <v>13.350000000000001</v>
      </c>
      <c r="BR124" s="429"/>
      <c r="BS124" s="1275"/>
      <c r="BT124" s="428"/>
      <c r="BU124" s="1293"/>
      <c r="BV124" s="427"/>
      <c r="BW124" s="428"/>
      <c r="BX124" s="427"/>
      <c r="BY124" s="429">
        <f t="shared" si="165"/>
        <v>34.710000000000008</v>
      </c>
      <c r="BZ124" s="1275"/>
      <c r="CA124" s="427"/>
      <c r="CB124" s="429">
        <f t="shared" si="163"/>
        <v>12.18</v>
      </c>
      <c r="CC124" s="428"/>
      <c r="CE124" s="427"/>
      <c r="CF124" s="429"/>
      <c r="CG124" s="429"/>
      <c r="CH124" s="429"/>
      <c r="CI124" s="428"/>
      <c r="CJ124" s="1204">
        <v>1</v>
      </c>
      <c r="CK124" s="429"/>
      <c r="CL124" s="429">
        <v>2</v>
      </c>
      <c r="CM124" s="429"/>
      <c r="CN124" s="429"/>
      <c r="CO124" s="429">
        <v>3</v>
      </c>
      <c r="CP124" s="429">
        <v>1</v>
      </c>
      <c r="CQ124" s="429"/>
      <c r="CR124" s="429">
        <v>1</v>
      </c>
      <c r="CS124" s="429"/>
      <c r="CT124" s="429"/>
      <c r="CU124" s="428"/>
      <c r="CV124" s="1377"/>
      <c r="CW124" s="1047">
        <v>0</v>
      </c>
      <c r="CX124" s="1048">
        <v>0</v>
      </c>
      <c r="CY124" s="1048">
        <v>0</v>
      </c>
      <c r="CZ124" s="1049"/>
      <c r="DA124" s="1050">
        <v>0</v>
      </c>
      <c r="DB124" s="1046">
        <v>0</v>
      </c>
      <c r="DC124" s="1048">
        <v>0</v>
      </c>
      <c r="DD124" s="1048">
        <v>0</v>
      </c>
      <c r="DE124" s="1048">
        <v>0</v>
      </c>
      <c r="DF124" s="1050">
        <v>0</v>
      </c>
    </row>
    <row r="125" spans="1:116" ht="13">
      <c r="A125" s="2263"/>
      <c r="B125" s="1074">
        <v>104</v>
      </c>
      <c r="C125" s="1197" t="s">
        <v>2139</v>
      </c>
      <c r="D125" s="1101">
        <v>0.6</v>
      </c>
      <c r="E125" s="1102">
        <v>1.86</v>
      </c>
      <c r="F125" s="1051">
        <f t="shared" si="153"/>
        <v>1.1160000000000001</v>
      </c>
      <c r="G125" s="1042">
        <v>4.91</v>
      </c>
      <c r="H125" s="1103">
        <f>+E125</f>
        <v>1.86</v>
      </c>
      <c r="I125" s="1044">
        <f t="shared" si="158"/>
        <v>3.05</v>
      </c>
      <c r="J125" s="1025">
        <v>2.4</v>
      </c>
      <c r="K125" s="1335"/>
      <c r="L125" s="1421"/>
      <c r="M125" s="1027"/>
      <c r="N125" s="1097">
        <f t="shared" si="138"/>
        <v>1.1160000000000001</v>
      </c>
      <c r="O125" s="1098"/>
      <c r="P125" s="1098"/>
      <c r="Q125" s="1098"/>
      <c r="R125" s="1117"/>
      <c r="S125" s="1118"/>
      <c r="T125" s="1027"/>
      <c r="U125" s="427">
        <f>+I125*J125</f>
        <v>7.3199999999999994</v>
      </c>
      <c r="V125" s="429"/>
      <c r="W125" s="429"/>
      <c r="X125" s="429"/>
      <c r="Y125" s="428"/>
      <c r="Z125" s="1027"/>
      <c r="AA125" s="1104"/>
      <c r="AB125" s="1397"/>
      <c r="AC125" s="1397"/>
      <c r="AD125" s="1118"/>
      <c r="AE125" s="1028"/>
      <c r="AF125" s="1272"/>
      <c r="AG125" s="1273"/>
      <c r="AH125" s="440"/>
      <c r="AI125" s="440"/>
      <c r="AJ125" s="440"/>
      <c r="AK125" s="429">
        <f t="shared" si="168"/>
        <v>1.1160000000000001</v>
      </c>
      <c r="AL125" s="429"/>
      <c r="AM125" s="429"/>
      <c r="AN125" s="441"/>
      <c r="AO125" s="1029"/>
      <c r="AP125" s="427"/>
      <c r="AQ125" s="429"/>
      <c r="AR125" s="429"/>
      <c r="AS125" s="429"/>
      <c r="AT125" s="429"/>
      <c r="AU125" s="429"/>
      <c r="AV125" s="429"/>
      <c r="AW125" s="428">
        <v>1</v>
      </c>
      <c r="AX125" s="427"/>
      <c r="AY125" s="429"/>
      <c r="AZ125" s="429"/>
      <c r="BA125" s="429"/>
      <c r="BB125" s="429"/>
      <c r="BC125" s="429"/>
      <c r="BD125" s="429"/>
      <c r="BE125" s="429"/>
      <c r="BF125" s="429"/>
      <c r="BG125" s="428"/>
      <c r="BH125" s="1033"/>
      <c r="BI125" s="1104"/>
      <c r="BJ125" s="1048"/>
      <c r="BK125" s="1048">
        <f t="shared" si="150"/>
        <v>1.1160000000000001</v>
      </c>
      <c r="BL125" s="1048"/>
      <c r="BM125" s="1048"/>
      <c r="BN125" s="1048"/>
      <c r="BO125" s="1049"/>
      <c r="BP125" s="1050"/>
      <c r="BQ125" s="1204"/>
      <c r="BR125" s="429"/>
      <c r="BS125" s="1275"/>
      <c r="BT125" s="428"/>
      <c r="BU125" s="1293"/>
      <c r="BV125" s="427"/>
      <c r="BW125" s="428"/>
      <c r="BX125" s="427"/>
      <c r="BY125" s="429">
        <f t="shared" si="165"/>
        <v>7.3199999999999994</v>
      </c>
      <c r="BZ125" s="1275"/>
      <c r="CA125" s="427"/>
      <c r="CB125" s="429"/>
      <c r="CC125" s="428">
        <f t="shared" si="160"/>
        <v>1.1160000000000001</v>
      </c>
      <c r="CE125" s="427"/>
      <c r="CF125" s="429"/>
      <c r="CG125" s="429"/>
      <c r="CH125" s="429"/>
      <c r="CI125" s="428"/>
      <c r="CJ125" s="1204"/>
      <c r="CK125" s="429"/>
      <c r="CL125" s="429"/>
      <c r="CM125" s="429"/>
      <c r="CN125" s="429"/>
      <c r="CO125" s="429"/>
      <c r="CP125" s="429"/>
      <c r="CQ125" s="429"/>
      <c r="CR125" s="429"/>
      <c r="CS125" s="429"/>
      <c r="CT125" s="429"/>
      <c r="CU125" s="428"/>
      <c r="CV125" s="1377"/>
      <c r="CW125" s="1047">
        <v>0</v>
      </c>
      <c r="CX125" s="1048">
        <v>0</v>
      </c>
      <c r="CY125" s="1048">
        <v>0</v>
      </c>
      <c r="CZ125" s="1049"/>
      <c r="DA125" s="1050">
        <v>0</v>
      </c>
      <c r="DB125" s="1046">
        <v>0</v>
      </c>
      <c r="DC125" s="1048">
        <v>0</v>
      </c>
      <c r="DD125" s="1048">
        <v>0</v>
      </c>
      <c r="DE125" s="1048">
        <v>0</v>
      </c>
      <c r="DF125" s="1050">
        <v>0</v>
      </c>
    </row>
    <row r="126" spans="1:116" ht="13">
      <c r="A126" s="2263"/>
      <c r="B126" s="1074">
        <v>105</v>
      </c>
      <c r="C126" s="1197" t="s">
        <v>2140</v>
      </c>
      <c r="D126" s="1101">
        <v>0</v>
      </c>
      <c r="E126" s="1102">
        <v>0</v>
      </c>
      <c r="F126" s="1051">
        <v>11.97</v>
      </c>
      <c r="G126" s="1042">
        <v>15.11</v>
      </c>
      <c r="H126" s="1103">
        <v>2.06</v>
      </c>
      <c r="I126" s="1044">
        <f t="shared" si="158"/>
        <v>13.049999999999999</v>
      </c>
      <c r="J126" s="1025">
        <v>2.6</v>
      </c>
      <c r="K126" s="1335"/>
      <c r="L126" s="1421"/>
      <c r="M126" s="1027"/>
      <c r="N126" s="1097">
        <f t="shared" si="138"/>
        <v>11.97</v>
      </c>
      <c r="O126" s="1098"/>
      <c r="P126" s="1098"/>
      <c r="Q126" s="1098"/>
      <c r="R126" s="1117"/>
      <c r="S126" s="1118"/>
      <c r="T126" s="1027"/>
      <c r="U126" s="427">
        <f>+I126*J126</f>
        <v>33.93</v>
      </c>
      <c r="V126" s="429">
        <f>+W126*J126</f>
        <v>7.8000000000000007</v>
      </c>
      <c r="W126" s="429">
        <v>3</v>
      </c>
      <c r="X126" s="429"/>
      <c r="Y126" s="428"/>
      <c r="Z126" s="1027"/>
      <c r="AA126" s="1104"/>
      <c r="AB126" s="1397"/>
      <c r="AC126" s="1397"/>
      <c r="AD126" s="1118"/>
      <c r="AE126" s="1028"/>
      <c r="AF126" s="1272"/>
      <c r="AG126" s="1273"/>
      <c r="AH126" s="440"/>
      <c r="AI126" s="440"/>
      <c r="AJ126" s="440"/>
      <c r="AK126" s="429">
        <f t="shared" si="168"/>
        <v>11.97</v>
      </c>
      <c r="AL126" s="429">
        <f>+G126</f>
        <v>15.11</v>
      </c>
      <c r="AM126" s="429"/>
      <c r="AN126" s="441"/>
      <c r="AO126" s="1029"/>
      <c r="AP126" s="427"/>
      <c r="AQ126" s="429">
        <v>1</v>
      </c>
      <c r="AR126" s="429"/>
      <c r="AS126" s="429"/>
      <c r="AT126" s="429"/>
      <c r="AU126" s="429"/>
      <c r="AV126" s="429"/>
      <c r="AW126" s="428"/>
      <c r="AX126" s="427"/>
      <c r="AY126" s="429"/>
      <c r="AZ126" s="429"/>
      <c r="BA126" s="429">
        <v>1</v>
      </c>
      <c r="BB126" s="429"/>
      <c r="BC126" s="429"/>
      <c r="BD126" s="429"/>
      <c r="BE126" s="429"/>
      <c r="BF126" s="429"/>
      <c r="BG126" s="428"/>
      <c r="BH126" s="1033"/>
      <c r="BI126" s="1104"/>
      <c r="BJ126" s="1048"/>
      <c r="BK126" s="1048">
        <f t="shared" si="150"/>
        <v>11.97</v>
      </c>
      <c r="BL126" s="1048"/>
      <c r="BM126" s="1048"/>
      <c r="BN126" s="1048"/>
      <c r="BO126" s="1049"/>
      <c r="BP126" s="1050"/>
      <c r="BQ126" s="1204">
        <f>+I126</f>
        <v>13.049999999999999</v>
      </c>
      <c r="BR126" s="429"/>
      <c r="BS126" s="1275"/>
      <c r="BT126" s="428"/>
      <c r="BU126" s="1293"/>
      <c r="BV126" s="427"/>
      <c r="BW126" s="428"/>
      <c r="BX126" s="427"/>
      <c r="BY126" s="429">
        <f t="shared" si="165"/>
        <v>33.93</v>
      </c>
      <c r="BZ126" s="1275"/>
      <c r="CA126" s="427"/>
      <c r="CB126" s="429">
        <f t="shared" si="163"/>
        <v>11.97</v>
      </c>
      <c r="CC126" s="428"/>
      <c r="CE126" s="427"/>
      <c r="CF126" s="429"/>
      <c r="CG126" s="429"/>
      <c r="CH126" s="429"/>
      <c r="CI126" s="428"/>
      <c r="CJ126" s="1204">
        <v>1</v>
      </c>
      <c r="CK126" s="429"/>
      <c r="CL126" s="429">
        <v>3</v>
      </c>
      <c r="CM126" s="429"/>
      <c r="CN126" s="429"/>
      <c r="CO126" s="429">
        <v>3</v>
      </c>
      <c r="CP126" s="429">
        <v>1</v>
      </c>
      <c r="CQ126" s="429"/>
      <c r="CR126" s="429">
        <v>1</v>
      </c>
      <c r="CS126" s="429"/>
      <c r="CT126" s="429"/>
      <c r="CU126" s="428"/>
      <c r="CV126" s="1377"/>
      <c r="CW126" s="1047">
        <v>0</v>
      </c>
      <c r="CX126" s="1048">
        <v>0</v>
      </c>
      <c r="CY126" s="1048">
        <v>0</v>
      </c>
      <c r="CZ126" s="1049"/>
      <c r="DA126" s="1050">
        <v>0</v>
      </c>
      <c r="DB126" s="1046">
        <v>0</v>
      </c>
      <c r="DC126" s="1048">
        <v>0</v>
      </c>
      <c r="DD126" s="1048">
        <v>0</v>
      </c>
      <c r="DE126" s="1048">
        <v>0</v>
      </c>
      <c r="DF126" s="1050">
        <v>0</v>
      </c>
    </row>
    <row r="127" spans="1:116" ht="13">
      <c r="A127" s="2263"/>
      <c r="B127" s="1074">
        <v>106</v>
      </c>
      <c r="C127" s="1197" t="s">
        <v>2141</v>
      </c>
      <c r="D127" s="1101">
        <v>2.14</v>
      </c>
      <c r="E127" s="1102">
        <v>0.87</v>
      </c>
      <c r="F127" s="1051">
        <f t="shared" si="153"/>
        <v>1.8618000000000001</v>
      </c>
      <c r="G127" s="1042">
        <v>6.02</v>
      </c>
      <c r="H127" s="1103">
        <f>0.87+D127*2</f>
        <v>5.15</v>
      </c>
      <c r="I127" s="1044">
        <f t="shared" si="158"/>
        <v>0.86999999999999922</v>
      </c>
      <c r="J127" s="1025">
        <v>2.4</v>
      </c>
      <c r="K127" s="1335"/>
      <c r="L127" s="1421"/>
      <c r="M127" s="1027"/>
      <c r="N127" s="1097">
        <f t="shared" si="138"/>
        <v>1.8618000000000001</v>
      </c>
      <c r="O127" s="1098"/>
      <c r="P127" s="1098"/>
      <c r="Q127" s="1098"/>
      <c r="R127" s="1117"/>
      <c r="S127" s="1118"/>
      <c r="T127" s="1027"/>
      <c r="U127" s="427">
        <f t="shared" si="161"/>
        <v>2.0879999999999979</v>
      </c>
      <c r="V127" s="429">
        <f>+W127*J127</f>
        <v>4.8</v>
      </c>
      <c r="W127" s="429">
        <v>2</v>
      </c>
      <c r="X127" s="429"/>
      <c r="Y127" s="428"/>
      <c r="Z127" s="1027"/>
      <c r="AA127" s="1104"/>
      <c r="AB127" s="1397"/>
      <c r="AC127" s="1397"/>
      <c r="AD127" s="1118"/>
      <c r="AE127" s="1028"/>
      <c r="AF127" s="1272">
        <f t="shared" ref="AF127:AF129" si="169">$F127</f>
        <v>1.8618000000000001</v>
      </c>
      <c r="AG127" s="1273"/>
      <c r="AH127" s="440"/>
      <c r="AI127" s="440"/>
      <c r="AJ127" s="440"/>
      <c r="AK127" s="429"/>
      <c r="AL127" s="429"/>
      <c r="AM127" s="429"/>
      <c r="AN127" s="441"/>
      <c r="AO127" s="1029"/>
      <c r="AP127" s="427"/>
      <c r="AQ127" s="429"/>
      <c r="AR127" s="429"/>
      <c r="AS127" s="429"/>
      <c r="AT127" s="429"/>
      <c r="AU127" s="429"/>
      <c r="AV127" s="429"/>
      <c r="AW127" s="428"/>
      <c r="AX127" s="427"/>
      <c r="AY127" s="429"/>
      <c r="AZ127" s="429"/>
      <c r="BA127" s="429"/>
      <c r="BB127" s="429"/>
      <c r="BC127" s="429"/>
      <c r="BD127" s="429"/>
      <c r="BE127" s="429"/>
      <c r="BF127" s="429"/>
      <c r="BG127" s="428"/>
      <c r="BH127" s="1033"/>
      <c r="BI127" s="1104"/>
      <c r="BJ127" s="1048"/>
      <c r="BK127" s="1048">
        <f t="shared" si="150"/>
        <v>1.8618000000000001</v>
      </c>
      <c r="BL127" s="1048"/>
      <c r="BM127" s="1048"/>
      <c r="BN127" s="1048"/>
      <c r="BO127" s="1049"/>
      <c r="BP127" s="1050"/>
      <c r="BQ127" s="1204"/>
      <c r="BR127" s="429"/>
      <c r="BS127" s="1275"/>
      <c r="BT127" s="428"/>
      <c r="BU127" s="1293"/>
      <c r="BV127" s="427"/>
      <c r="BW127" s="428"/>
      <c r="BX127" s="427"/>
      <c r="BY127" s="429">
        <f t="shared" si="165"/>
        <v>2.0879999999999979</v>
      </c>
      <c r="BZ127" s="1275"/>
      <c r="CA127" s="427"/>
      <c r="CB127" s="429"/>
      <c r="CC127" s="428">
        <f t="shared" si="160"/>
        <v>1.8618000000000001</v>
      </c>
      <c r="CE127" s="427"/>
      <c r="CF127" s="429"/>
      <c r="CG127" s="429"/>
      <c r="CH127" s="429"/>
      <c r="CI127" s="428"/>
      <c r="CJ127" s="1204">
        <v>1</v>
      </c>
      <c r="CK127" s="429"/>
      <c r="CL127" s="429"/>
      <c r="CM127" s="429"/>
      <c r="CN127" s="429"/>
      <c r="CO127" s="429"/>
      <c r="CP127" s="429"/>
      <c r="CQ127" s="429"/>
      <c r="CR127" s="429"/>
      <c r="CS127" s="429"/>
      <c r="CT127" s="429"/>
      <c r="CU127" s="428"/>
      <c r="CV127" s="1377"/>
      <c r="CW127" s="1047">
        <v>0</v>
      </c>
      <c r="CX127" s="1048">
        <v>0</v>
      </c>
      <c r="CY127" s="1048">
        <v>0</v>
      </c>
      <c r="CZ127" s="1049"/>
      <c r="DA127" s="1050">
        <v>0</v>
      </c>
      <c r="DB127" s="1046">
        <v>0</v>
      </c>
      <c r="DC127" s="1048">
        <v>0</v>
      </c>
      <c r="DD127" s="1048">
        <v>0</v>
      </c>
      <c r="DE127" s="1048">
        <v>0</v>
      </c>
      <c r="DF127" s="1050">
        <v>0</v>
      </c>
    </row>
    <row r="128" spans="1:116" ht="13">
      <c r="A128" s="2263"/>
      <c r="B128" s="1074">
        <v>107</v>
      </c>
      <c r="C128" s="1197" t="s">
        <v>2142</v>
      </c>
      <c r="D128" s="1101">
        <v>2.04</v>
      </c>
      <c r="E128" s="1102">
        <v>0.56000000000000005</v>
      </c>
      <c r="F128" s="1051">
        <f t="shared" si="153"/>
        <v>1.1424000000000001</v>
      </c>
      <c r="G128" s="1042">
        <v>5.2</v>
      </c>
      <c r="H128" s="1103">
        <f>+D128</f>
        <v>2.04</v>
      </c>
      <c r="I128" s="1044">
        <f t="shared" si="158"/>
        <v>3.16</v>
      </c>
      <c r="J128" s="1025">
        <v>2.4</v>
      </c>
      <c r="K128" s="1335"/>
      <c r="L128" s="1421"/>
      <c r="M128" s="1027"/>
      <c r="N128" s="1097">
        <f t="shared" si="138"/>
        <v>1.1424000000000001</v>
      </c>
      <c r="O128" s="1098"/>
      <c r="P128" s="1098"/>
      <c r="Q128" s="1098"/>
      <c r="R128" s="1117"/>
      <c r="S128" s="1118"/>
      <c r="T128" s="1027"/>
      <c r="U128" s="427">
        <f t="shared" si="161"/>
        <v>7.5839999999999996</v>
      </c>
      <c r="V128" s="429"/>
      <c r="W128" s="429"/>
      <c r="X128" s="429"/>
      <c r="Y128" s="428"/>
      <c r="Z128" s="1027"/>
      <c r="AA128" s="1104"/>
      <c r="AB128" s="1397"/>
      <c r="AC128" s="1397"/>
      <c r="AD128" s="1118"/>
      <c r="AE128" s="1028"/>
      <c r="AF128" s="1272">
        <f t="shared" si="169"/>
        <v>1.1424000000000001</v>
      </c>
      <c r="AG128" s="1273"/>
      <c r="AH128" s="440"/>
      <c r="AI128" s="440"/>
      <c r="AJ128" s="440"/>
      <c r="AK128" s="429"/>
      <c r="AL128" s="429"/>
      <c r="AM128" s="429"/>
      <c r="AN128" s="441"/>
      <c r="AO128" s="1029"/>
      <c r="AP128" s="427"/>
      <c r="AQ128" s="429"/>
      <c r="AR128" s="429"/>
      <c r="AS128" s="429"/>
      <c r="AT128" s="429"/>
      <c r="AU128" s="429"/>
      <c r="AV128" s="429"/>
      <c r="AW128" s="428">
        <v>1</v>
      </c>
      <c r="AX128" s="427"/>
      <c r="AY128" s="429"/>
      <c r="AZ128" s="429"/>
      <c r="BA128" s="429"/>
      <c r="BB128" s="429"/>
      <c r="BC128" s="429"/>
      <c r="BD128" s="429"/>
      <c r="BE128" s="429"/>
      <c r="BF128" s="429"/>
      <c r="BG128" s="428"/>
      <c r="BH128" s="1033"/>
      <c r="BI128" s="1104"/>
      <c r="BJ128" s="1048"/>
      <c r="BK128" s="1048">
        <f t="shared" si="150"/>
        <v>1.1424000000000001</v>
      </c>
      <c r="BL128" s="1048"/>
      <c r="BM128" s="1048"/>
      <c r="BN128" s="1048"/>
      <c r="BO128" s="1049"/>
      <c r="BP128" s="1050"/>
      <c r="BQ128" s="1204"/>
      <c r="BR128" s="429"/>
      <c r="BS128" s="1275"/>
      <c r="BT128" s="428"/>
      <c r="BU128" s="1293"/>
      <c r="BV128" s="427"/>
      <c r="BW128" s="428"/>
      <c r="BX128" s="427"/>
      <c r="BY128" s="429">
        <f t="shared" si="165"/>
        <v>7.5839999999999996</v>
      </c>
      <c r="BZ128" s="1275"/>
      <c r="CA128" s="427"/>
      <c r="CB128" s="429"/>
      <c r="CC128" s="428">
        <f t="shared" si="160"/>
        <v>1.1424000000000001</v>
      </c>
      <c r="CE128" s="427"/>
      <c r="CF128" s="429"/>
      <c r="CG128" s="429"/>
      <c r="CH128" s="429"/>
      <c r="CI128" s="428"/>
      <c r="CJ128" s="1204"/>
      <c r="CK128" s="429"/>
      <c r="CL128" s="429"/>
      <c r="CM128" s="429"/>
      <c r="CN128" s="429"/>
      <c r="CO128" s="429"/>
      <c r="CP128" s="429"/>
      <c r="CQ128" s="429"/>
      <c r="CR128" s="429"/>
      <c r="CS128" s="429"/>
      <c r="CT128" s="429"/>
      <c r="CU128" s="428"/>
      <c r="CV128" s="1377"/>
      <c r="CW128" s="1047">
        <v>0</v>
      </c>
      <c r="CX128" s="1048">
        <v>0</v>
      </c>
      <c r="CY128" s="1048">
        <v>0</v>
      </c>
      <c r="CZ128" s="1049"/>
      <c r="DA128" s="1050">
        <v>0</v>
      </c>
      <c r="DB128" s="1046">
        <v>0</v>
      </c>
      <c r="DC128" s="1048">
        <v>0</v>
      </c>
      <c r="DD128" s="1048">
        <v>0</v>
      </c>
      <c r="DE128" s="1048">
        <v>0</v>
      </c>
      <c r="DF128" s="1050">
        <v>0</v>
      </c>
    </row>
    <row r="129" spans="1:116" ht="13">
      <c r="A129" s="2263"/>
      <c r="B129" s="1074">
        <v>108</v>
      </c>
      <c r="C129" s="1197" t="s">
        <v>2142</v>
      </c>
      <c r="D129" s="1101">
        <v>2.04</v>
      </c>
      <c r="E129" s="1102">
        <v>0.37</v>
      </c>
      <c r="F129" s="1051">
        <f t="shared" si="153"/>
        <v>0.75480000000000003</v>
      </c>
      <c r="G129" s="1042">
        <v>4.82</v>
      </c>
      <c r="H129" s="1103">
        <f>+D129</f>
        <v>2.04</v>
      </c>
      <c r="I129" s="1044">
        <f t="shared" si="158"/>
        <v>2.7800000000000002</v>
      </c>
      <c r="J129" s="1025">
        <v>2.4</v>
      </c>
      <c r="K129" s="1335"/>
      <c r="L129" s="1421"/>
      <c r="M129" s="1027"/>
      <c r="N129" s="1097">
        <f t="shared" si="138"/>
        <v>0.75480000000000003</v>
      </c>
      <c r="O129" s="1098"/>
      <c r="P129" s="1098"/>
      <c r="Q129" s="1098"/>
      <c r="R129" s="1117"/>
      <c r="S129" s="1118"/>
      <c r="T129" s="1027"/>
      <c r="U129" s="427">
        <f t="shared" si="161"/>
        <v>6.6720000000000006</v>
      </c>
      <c r="V129" s="429"/>
      <c r="W129" s="429"/>
      <c r="X129" s="429"/>
      <c r="Y129" s="428"/>
      <c r="Z129" s="1027"/>
      <c r="AA129" s="1104"/>
      <c r="AB129" s="1397"/>
      <c r="AC129" s="1397"/>
      <c r="AD129" s="1118"/>
      <c r="AE129" s="1028"/>
      <c r="AF129" s="1272">
        <f t="shared" si="169"/>
        <v>0.75480000000000003</v>
      </c>
      <c r="AG129" s="1273"/>
      <c r="AH129" s="440"/>
      <c r="AI129" s="440"/>
      <c r="AJ129" s="440"/>
      <c r="AK129" s="429"/>
      <c r="AL129" s="429"/>
      <c r="AM129" s="429"/>
      <c r="AN129" s="441"/>
      <c r="AO129" s="1029"/>
      <c r="AP129" s="427"/>
      <c r="AQ129" s="429"/>
      <c r="AR129" s="429"/>
      <c r="AS129" s="429"/>
      <c r="AT129" s="429"/>
      <c r="AU129" s="429"/>
      <c r="AV129" s="429"/>
      <c r="AW129" s="428">
        <v>1</v>
      </c>
      <c r="AX129" s="427"/>
      <c r="AY129" s="429"/>
      <c r="AZ129" s="429"/>
      <c r="BA129" s="429"/>
      <c r="BB129" s="429"/>
      <c r="BC129" s="429"/>
      <c r="BD129" s="429"/>
      <c r="BE129" s="429"/>
      <c r="BF129" s="429"/>
      <c r="BG129" s="428"/>
      <c r="BH129" s="1033"/>
      <c r="BI129" s="1104"/>
      <c r="BJ129" s="1048"/>
      <c r="BK129" s="1048">
        <f t="shared" si="150"/>
        <v>0.75480000000000003</v>
      </c>
      <c r="BL129" s="1048"/>
      <c r="BM129" s="1048"/>
      <c r="BN129" s="1048"/>
      <c r="BO129" s="1049"/>
      <c r="BP129" s="1050"/>
      <c r="BQ129" s="1204"/>
      <c r="BR129" s="429"/>
      <c r="BS129" s="1275"/>
      <c r="BT129" s="428"/>
      <c r="BU129" s="1293"/>
      <c r="BV129" s="427"/>
      <c r="BW129" s="428"/>
      <c r="BX129" s="427"/>
      <c r="BY129" s="429">
        <f t="shared" si="165"/>
        <v>6.6720000000000006</v>
      </c>
      <c r="BZ129" s="1275"/>
      <c r="CA129" s="427"/>
      <c r="CB129" s="429"/>
      <c r="CC129" s="428">
        <f t="shared" si="160"/>
        <v>0.75480000000000003</v>
      </c>
      <c r="CE129" s="427"/>
      <c r="CF129" s="429"/>
      <c r="CG129" s="429"/>
      <c r="CH129" s="429"/>
      <c r="CI129" s="428"/>
      <c r="CJ129" s="1204"/>
      <c r="CK129" s="429"/>
      <c r="CL129" s="429"/>
      <c r="CM129" s="429"/>
      <c r="CN129" s="429"/>
      <c r="CO129" s="429"/>
      <c r="CP129" s="429"/>
      <c r="CQ129" s="429"/>
      <c r="CR129" s="429"/>
      <c r="CS129" s="429"/>
      <c r="CT129" s="429"/>
      <c r="CU129" s="428"/>
      <c r="CV129" s="1377"/>
      <c r="CW129" s="1047">
        <v>0</v>
      </c>
      <c r="CX129" s="1048">
        <v>0</v>
      </c>
      <c r="CY129" s="1048">
        <v>0</v>
      </c>
      <c r="CZ129" s="1049"/>
      <c r="DA129" s="1050">
        <v>0</v>
      </c>
      <c r="DB129" s="1046">
        <v>0</v>
      </c>
      <c r="DC129" s="1048">
        <v>0</v>
      </c>
      <c r="DD129" s="1048">
        <v>0</v>
      </c>
      <c r="DE129" s="1048">
        <v>0</v>
      </c>
      <c r="DF129" s="1050">
        <v>0</v>
      </c>
    </row>
    <row r="130" spans="1:116" ht="13">
      <c r="A130" s="2263"/>
      <c r="B130" s="1074">
        <v>109</v>
      </c>
      <c r="C130" s="1197" t="s">
        <v>2143</v>
      </c>
      <c r="D130" s="1101">
        <v>0</v>
      </c>
      <c r="E130" s="1102">
        <v>0</v>
      </c>
      <c r="F130" s="1051">
        <v>4.21</v>
      </c>
      <c r="G130" s="1042">
        <v>8.61</v>
      </c>
      <c r="H130" s="1043">
        <v>0</v>
      </c>
      <c r="I130" s="1044">
        <f t="shared" si="158"/>
        <v>8.61</v>
      </c>
      <c r="J130" s="1025">
        <v>2.2000000000000002</v>
      </c>
      <c r="K130" s="1335">
        <v>2.2000000000000002</v>
      </c>
      <c r="L130" s="1421"/>
      <c r="M130" s="1027"/>
      <c r="N130" s="1097"/>
      <c r="O130" s="1098"/>
      <c r="P130" s="1098"/>
      <c r="Q130" s="1098"/>
      <c r="R130" s="1117">
        <f t="shared" ref="R130:S131" si="170">$F130</f>
        <v>4.21</v>
      </c>
      <c r="S130" s="1118">
        <f t="shared" si="170"/>
        <v>4.21</v>
      </c>
      <c r="T130" s="1027"/>
      <c r="U130" s="427"/>
      <c r="V130" s="429"/>
      <c r="W130" s="429"/>
      <c r="X130" s="429">
        <f>+$I130*$J130</f>
        <v>18.942</v>
      </c>
      <c r="Y130" s="428"/>
      <c r="Z130" s="1027"/>
      <c r="AA130" s="1104">
        <f t="shared" ref="AA130:AD141" si="171">$F130</f>
        <v>4.21</v>
      </c>
      <c r="AB130" s="1397"/>
      <c r="AC130" s="1397"/>
      <c r="AD130" s="1118"/>
      <c r="AE130" s="1028"/>
      <c r="AF130" s="1272"/>
      <c r="AG130" s="1273">
        <f>$F130</f>
        <v>4.21</v>
      </c>
      <c r="AH130" s="440">
        <f>$I130</f>
        <v>8.61</v>
      </c>
      <c r="AI130" s="440"/>
      <c r="AJ130" s="440"/>
      <c r="AK130" s="429"/>
      <c r="AL130" s="429"/>
      <c r="AM130" s="429"/>
      <c r="AN130" s="441"/>
      <c r="AO130" s="1029"/>
      <c r="AP130" s="427"/>
      <c r="AQ130" s="429"/>
      <c r="AR130" s="429"/>
      <c r="AS130" s="429"/>
      <c r="AT130" s="429"/>
      <c r="AU130" s="429"/>
      <c r="AV130" s="429"/>
      <c r="AW130" s="428">
        <v>1</v>
      </c>
      <c r="AX130" s="427"/>
      <c r="AY130" s="429"/>
      <c r="AZ130" s="429"/>
      <c r="BA130" s="429"/>
      <c r="BB130" s="429"/>
      <c r="BC130" s="429"/>
      <c r="BD130" s="429"/>
      <c r="BE130" s="429">
        <v>1</v>
      </c>
      <c r="BF130" s="429"/>
      <c r="BG130" s="428"/>
      <c r="BH130" s="1033"/>
      <c r="BI130" s="1104"/>
      <c r="BJ130" s="1048"/>
      <c r="BK130" s="1048"/>
      <c r="BL130" s="1048">
        <f t="shared" si="150"/>
        <v>4.21</v>
      </c>
      <c r="BM130" s="1048"/>
      <c r="BN130" s="1048"/>
      <c r="BO130" s="1049"/>
      <c r="BP130" s="1050"/>
      <c r="BQ130" s="1204"/>
      <c r="BR130" s="429"/>
      <c r="BS130" s="1275"/>
      <c r="BT130" s="428"/>
      <c r="BU130" s="1293"/>
      <c r="BV130" s="427"/>
      <c r="BW130" s="428">
        <f>+I130*K130</f>
        <v>18.942</v>
      </c>
      <c r="BX130" s="427"/>
      <c r="BY130" s="429"/>
      <c r="BZ130" s="1275"/>
      <c r="CA130" s="427"/>
      <c r="CB130" s="429"/>
      <c r="CC130" s="428">
        <f t="shared" si="160"/>
        <v>4.21</v>
      </c>
      <c r="CE130" s="427"/>
      <c r="CF130" s="429"/>
      <c r="CG130" s="429"/>
      <c r="CH130" s="429"/>
      <c r="CI130" s="428"/>
      <c r="CJ130" s="1204">
        <v>2</v>
      </c>
      <c r="CK130" s="429"/>
      <c r="CL130" s="429">
        <v>1</v>
      </c>
      <c r="CM130" s="429"/>
      <c r="CN130" s="429">
        <v>1</v>
      </c>
      <c r="CO130" s="429"/>
      <c r="CP130" s="429"/>
      <c r="CQ130" s="429"/>
      <c r="CR130" s="429"/>
      <c r="CS130" s="429"/>
      <c r="CT130" s="429"/>
      <c r="CU130" s="428"/>
      <c r="CV130" s="1377"/>
      <c r="CW130" s="1047">
        <v>1</v>
      </c>
      <c r="CX130" s="1048">
        <v>1</v>
      </c>
      <c r="CY130" s="1048">
        <v>1</v>
      </c>
      <c r="CZ130" s="1049"/>
      <c r="DA130" s="1050">
        <v>0</v>
      </c>
      <c r="DB130" s="1046">
        <v>1</v>
      </c>
      <c r="DC130" s="1048">
        <v>1</v>
      </c>
      <c r="DD130" s="1048">
        <v>1</v>
      </c>
      <c r="DE130" s="1048">
        <v>1</v>
      </c>
      <c r="DF130" s="1050">
        <v>0</v>
      </c>
      <c r="DH130" s="1010"/>
      <c r="DI130" s="1010"/>
      <c r="DJ130" s="1010"/>
      <c r="DK130" s="1010"/>
      <c r="DL130" s="1010"/>
    </row>
    <row r="131" spans="1:116" ht="13.5" thickBot="1">
      <c r="A131" s="2263"/>
      <c r="B131" s="1255">
        <v>110</v>
      </c>
      <c r="C131" s="1225" t="s">
        <v>2144</v>
      </c>
      <c r="D131" s="1226">
        <v>0</v>
      </c>
      <c r="E131" s="1227">
        <v>0</v>
      </c>
      <c r="F131" s="1228">
        <v>32.17</v>
      </c>
      <c r="G131" s="1229">
        <v>27.88</v>
      </c>
      <c r="H131" s="1079">
        <v>0</v>
      </c>
      <c r="I131" s="1080">
        <f t="shared" si="158"/>
        <v>27.88</v>
      </c>
      <c r="J131" s="1132">
        <v>2.6</v>
      </c>
      <c r="K131" s="1425"/>
      <c r="L131" s="1256"/>
      <c r="M131" s="1285"/>
      <c r="N131" s="1166"/>
      <c r="O131" s="1167"/>
      <c r="P131" s="1167"/>
      <c r="Q131" s="1167"/>
      <c r="R131" s="1084">
        <f t="shared" si="170"/>
        <v>32.17</v>
      </c>
      <c r="S131" s="1086">
        <f t="shared" si="170"/>
        <v>32.17</v>
      </c>
      <c r="T131" s="1033"/>
      <c r="U131" s="432"/>
      <c r="V131" s="430"/>
      <c r="W131" s="430"/>
      <c r="X131" s="430"/>
      <c r="Y131" s="431"/>
      <c r="Z131" s="1027"/>
      <c r="AA131" s="1166"/>
      <c r="AB131" s="1399"/>
      <c r="AC131" s="1399">
        <f>+F131</f>
        <v>32.17</v>
      </c>
      <c r="AD131" s="1168">
        <f t="shared" si="171"/>
        <v>32.17</v>
      </c>
      <c r="AE131" s="1028"/>
      <c r="AF131" s="439"/>
      <c r="AG131" s="436"/>
      <c r="AH131" s="1319"/>
      <c r="AI131" s="1319"/>
      <c r="AJ131" s="1319"/>
      <c r="AK131" s="436"/>
      <c r="AL131" s="436"/>
      <c r="AM131" s="436"/>
      <c r="AN131" s="1320"/>
      <c r="AO131" s="1028"/>
      <c r="AP131" s="432"/>
      <c r="AQ131" s="430"/>
      <c r="AR131" s="430"/>
      <c r="AS131" s="430"/>
      <c r="AT131" s="430"/>
      <c r="AU131" s="430"/>
      <c r="AV131" s="430"/>
      <c r="AW131" s="431"/>
      <c r="AX131" s="432"/>
      <c r="AY131" s="430"/>
      <c r="AZ131" s="430"/>
      <c r="BA131" s="430"/>
      <c r="BB131" s="430"/>
      <c r="BC131" s="430"/>
      <c r="BD131" s="430"/>
      <c r="BE131" s="430"/>
      <c r="BF131" s="430"/>
      <c r="BG131" s="431"/>
      <c r="BH131" s="1108"/>
      <c r="BI131" s="1052"/>
      <c r="BJ131" s="1053"/>
      <c r="BK131" s="1053">
        <f t="shared" si="150"/>
        <v>32.17</v>
      </c>
      <c r="BL131" s="1053"/>
      <c r="BM131" s="1053"/>
      <c r="BN131" s="1053"/>
      <c r="BO131" s="1055"/>
      <c r="BP131" s="1054"/>
      <c r="BQ131" s="1206"/>
      <c r="BR131" s="436"/>
      <c r="BS131" s="1279">
        <f>+I131</f>
        <v>27.88</v>
      </c>
      <c r="BT131" s="437"/>
      <c r="BU131" s="1293"/>
      <c r="BV131" s="432"/>
      <c r="BW131" s="431"/>
      <c r="BX131" s="432"/>
      <c r="BY131" s="430"/>
      <c r="BZ131" s="1277"/>
      <c r="CA131" s="432"/>
      <c r="CB131" s="430"/>
      <c r="CC131" s="431"/>
      <c r="CD131" s="1033"/>
      <c r="CE131" s="439"/>
      <c r="CF131" s="436"/>
      <c r="CG131" s="436"/>
      <c r="CH131" s="436"/>
      <c r="CI131" s="437">
        <v>3</v>
      </c>
      <c r="CJ131" s="1206">
        <v>3</v>
      </c>
      <c r="CK131" s="436"/>
      <c r="CL131" s="436"/>
      <c r="CM131" s="436"/>
      <c r="CN131" s="436"/>
      <c r="CO131" s="436"/>
      <c r="CP131" s="436"/>
      <c r="CQ131" s="436"/>
      <c r="CR131" s="436"/>
      <c r="CS131" s="436"/>
      <c r="CT131" s="436"/>
      <c r="CU131" s="437"/>
      <c r="CV131" s="1377"/>
      <c r="CW131" s="1057">
        <v>0</v>
      </c>
      <c r="CX131" s="1058">
        <v>0</v>
      </c>
      <c r="CY131" s="1058">
        <v>0</v>
      </c>
      <c r="CZ131" s="1059"/>
      <c r="DA131" s="1061">
        <v>0</v>
      </c>
      <c r="DB131" s="1056">
        <v>0</v>
      </c>
      <c r="DC131" s="1058">
        <v>0</v>
      </c>
      <c r="DD131" s="1058">
        <v>0</v>
      </c>
      <c r="DE131" s="1058">
        <v>0</v>
      </c>
      <c r="DF131" s="1061">
        <v>0</v>
      </c>
      <c r="DH131" s="1010"/>
      <c r="DI131" s="1010"/>
      <c r="DJ131" s="1010"/>
      <c r="DK131" s="1010"/>
      <c r="DL131" s="1010"/>
    </row>
    <row r="132" spans="1:116" s="1115" customFormat="1" ht="13">
      <c r="A132" s="2264" t="s">
        <v>2145</v>
      </c>
      <c r="B132" s="1257">
        <v>111</v>
      </c>
      <c r="C132" s="497" t="s">
        <v>2057</v>
      </c>
      <c r="D132" s="1088">
        <v>0</v>
      </c>
      <c r="E132" s="1089">
        <v>0</v>
      </c>
      <c r="F132" s="1215">
        <v>9.09</v>
      </c>
      <c r="G132" s="1091">
        <v>13.55</v>
      </c>
      <c r="H132" s="1092">
        <v>0</v>
      </c>
      <c r="I132" s="1093">
        <f t="shared" si="158"/>
        <v>13.55</v>
      </c>
      <c r="J132" s="1091">
        <v>2.5</v>
      </c>
      <c r="K132" s="1419"/>
      <c r="L132" s="1420"/>
      <c r="M132" s="1027"/>
      <c r="N132" s="1149">
        <f>F132</f>
        <v>9.09</v>
      </c>
      <c r="O132" s="1160"/>
      <c r="P132" s="1160"/>
      <c r="Q132" s="1160"/>
      <c r="R132" s="1160"/>
      <c r="S132" s="1161"/>
      <c r="T132" s="1027"/>
      <c r="U132" s="434">
        <f t="shared" ref="U132" si="172">+$I132*$J132</f>
        <v>33.875</v>
      </c>
      <c r="V132" s="433">
        <f>+W132*J132</f>
        <v>12.5</v>
      </c>
      <c r="W132" s="433">
        <v>5</v>
      </c>
      <c r="X132" s="433"/>
      <c r="Y132" s="426"/>
      <c r="Z132" s="1027"/>
      <c r="AA132" s="1149"/>
      <c r="AB132" s="1395"/>
      <c r="AC132" s="1395"/>
      <c r="AD132" s="1161"/>
      <c r="AE132" s="1028"/>
      <c r="AF132" s="434">
        <f>+F132</f>
        <v>9.09</v>
      </c>
      <c r="AG132" s="433"/>
      <c r="AH132" s="1218">
        <f>+G132</f>
        <v>13.55</v>
      </c>
      <c r="AI132" s="1218"/>
      <c r="AJ132" s="1218"/>
      <c r="AK132" s="1218"/>
      <c r="AL132" s="1218"/>
      <c r="AM132" s="1218"/>
      <c r="AN132" s="1219"/>
      <c r="AO132" s="1095"/>
      <c r="AP132" s="434"/>
      <c r="AQ132" s="433"/>
      <c r="AR132" s="433">
        <v>2</v>
      </c>
      <c r="AS132" s="433"/>
      <c r="AT132" s="433"/>
      <c r="AU132" s="1280">
        <v>1</v>
      </c>
      <c r="AV132" s="1280"/>
      <c r="AW132" s="1280"/>
      <c r="AX132" s="434"/>
      <c r="AY132" s="433"/>
      <c r="AZ132" s="433"/>
      <c r="BA132" s="433"/>
      <c r="BB132" s="433"/>
      <c r="BC132" s="433"/>
      <c r="BD132" s="433"/>
      <c r="BE132" s="433"/>
      <c r="BF132" s="433"/>
      <c r="BG132" s="426"/>
      <c r="BH132" s="1033"/>
      <c r="BI132" s="1149"/>
      <c r="BJ132" s="1035"/>
      <c r="BK132" s="1035"/>
      <c r="BL132" s="1035"/>
      <c r="BM132" s="1035">
        <f t="shared" ref="BM132:BO141" si="173">$F132</f>
        <v>9.09</v>
      </c>
      <c r="BN132" s="1035"/>
      <c r="BO132" s="1035"/>
      <c r="BP132" s="1036"/>
      <c r="BQ132" s="434"/>
      <c r="BR132" s="433"/>
      <c r="BS132" s="1280">
        <f>+I132</f>
        <v>13.55</v>
      </c>
      <c r="BT132" s="426"/>
      <c r="BU132" s="1293"/>
      <c r="BV132" s="434"/>
      <c r="BW132" s="426"/>
      <c r="BX132" s="434"/>
      <c r="BY132" s="433">
        <f>+I132*J132</f>
        <v>33.875</v>
      </c>
      <c r="BZ132" s="1280"/>
      <c r="CA132" s="434"/>
      <c r="CB132" s="433"/>
      <c r="CC132" s="426">
        <f>+F132</f>
        <v>9.09</v>
      </c>
      <c r="CD132" s="1010"/>
      <c r="CE132" s="1217"/>
      <c r="CF132" s="1218"/>
      <c r="CG132" s="1218">
        <v>2</v>
      </c>
      <c r="CH132" s="1218">
        <v>1</v>
      </c>
      <c r="CI132" s="1219">
        <f t="shared" ref="CI132:CI142" si="174">+CJ132</f>
        <v>2</v>
      </c>
      <c r="CJ132" s="1220">
        <v>2</v>
      </c>
      <c r="CK132" s="1218"/>
      <c r="CL132" s="1218"/>
      <c r="CM132" s="1218"/>
      <c r="CN132" s="1218"/>
      <c r="CO132" s="1218">
        <v>1</v>
      </c>
      <c r="CP132" s="1218"/>
      <c r="CQ132" s="1218"/>
      <c r="CR132" s="1218"/>
      <c r="CS132" s="1218"/>
      <c r="CT132" s="1218"/>
      <c r="CU132" s="1219"/>
      <c r="CV132" s="1378"/>
      <c r="CW132" s="1097">
        <v>0</v>
      </c>
      <c r="CX132" s="1098">
        <v>0</v>
      </c>
      <c r="CY132" s="1098">
        <v>0</v>
      </c>
      <c r="CZ132" s="1114"/>
      <c r="DA132" s="1114">
        <v>0</v>
      </c>
      <c r="DB132" s="1097">
        <v>0</v>
      </c>
      <c r="DC132" s="1098">
        <v>0</v>
      </c>
      <c r="DD132" s="1098">
        <v>0</v>
      </c>
      <c r="DE132" s="1031">
        <v>0</v>
      </c>
      <c r="DF132" s="1062">
        <v>0</v>
      </c>
      <c r="DG132" s="1010"/>
    </row>
    <row r="133" spans="1:116" s="1010" customFormat="1" ht="13">
      <c r="A133" s="2263"/>
      <c r="B133" s="1147"/>
      <c r="C133" s="848" t="s">
        <v>412</v>
      </c>
      <c r="D133" s="1105"/>
      <c r="E133" s="1106"/>
      <c r="F133" s="1216">
        <v>7</v>
      </c>
      <c r="G133" s="1066">
        <v>13.56</v>
      </c>
      <c r="H133" s="1067">
        <v>1.3</v>
      </c>
      <c r="I133" s="1068">
        <f>+G133-H133</f>
        <v>12.26</v>
      </c>
      <c r="J133" s="1066">
        <v>2.5</v>
      </c>
      <c r="K133" s="1408"/>
      <c r="L133" s="1427"/>
      <c r="M133" s="1027"/>
      <c r="N133" s="1146"/>
      <c r="O133" s="1162"/>
      <c r="P133" s="1162"/>
      <c r="Q133" s="1162"/>
      <c r="R133" s="1162"/>
      <c r="S133" s="1163"/>
      <c r="T133" s="1027"/>
      <c r="U133" s="432"/>
      <c r="V133" s="430"/>
      <c r="W133" s="430"/>
      <c r="X133" s="430"/>
      <c r="Y133" s="431">
        <f>+I133*J133</f>
        <v>30.65</v>
      </c>
      <c r="Z133" s="1027"/>
      <c r="AA133" s="1146"/>
      <c r="AB133" s="1396"/>
      <c r="AC133" s="1396"/>
      <c r="AD133" s="1163"/>
      <c r="AE133" s="1028"/>
      <c r="AF133" s="432"/>
      <c r="AG133" s="430"/>
      <c r="AH133" s="1222"/>
      <c r="AI133" s="1222"/>
      <c r="AJ133" s="1222"/>
      <c r="AK133" s="1222"/>
      <c r="AL133" s="1222"/>
      <c r="AM133" s="1222"/>
      <c r="AN133" s="1223">
        <f>+F133</f>
        <v>7</v>
      </c>
      <c r="AO133" s="1095"/>
      <c r="AP133" s="432"/>
      <c r="AQ133" s="430"/>
      <c r="AR133" s="430"/>
      <c r="AS133" s="430"/>
      <c r="AT133" s="430"/>
      <c r="AU133" s="1277"/>
      <c r="AV133" s="1277"/>
      <c r="AW133" s="1277"/>
      <c r="AX133" s="432"/>
      <c r="AY133" s="430"/>
      <c r="AZ133" s="430"/>
      <c r="BA133" s="430"/>
      <c r="BB133" s="430"/>
      <c r="BC133" s="430"/>
      <c r="BD133" s="430"/>
      <c r="BE133" s="430"/>
      <c r="BF133" s="430"/>
      <c r="BG133" s="431"/>
      <c r="BH133" s="1033"/>
      <c r="BI133" s="1146"/>
      <c r="BJ133" s="1053"/>
      <c r="BK133" s="1053"/>
      <c r="BL133" s="1053"/>
      <c r="BM133" s="1053"/>
      <c r="BN133" s="1053"/>
      <c r="BO133" s="1053"/>
      <c r="BP133" s="1054"/>
      <c r="BQ133" s="1295"/>
      <c r="BR133" s="1296"/>
      <c r="BS133" s="1298"/>
      <c r="BT133" s="1297">
        <f>+I133</f>
        <v>12.26</v>
      </c>
      <c r="BU133" s="1293"/>
      <c r="BV133" s="432"/>
      <c r="BW133" s="431"/>
      <c r="BX133" s="432">
        <f>+I133*J133</f>
        <v>30.65</v>
      </c>
      <c r="BY133" s="430"/>
      <c r="BZ133" s="1277"/>
      <c r="CA133" s="432">
        <f>+F133</f>
        <v>7</v>
      </c>
      <c r="CB133" s="430"/>
      <c r="CC133" s="431"/>
      <c r="CE133" s="1221"/>
      <c r="CF133" s="1222"/>
      <c r="CG133" s="1222"/>
      <c r="CH133" s="1222">
        <v>1</v>
      </c>
      <c r="CI133" s="1223">
        <f t="shared" si="174"/>
        <v>2</v>
      </c>
      <c r="CJ133" s="1224">
        <v>2</v>
      </c>
      <c r="CK133" s="1222"/>
      <c r="CL133" s="1222"/>
      <c r="CM133" s="1222"/>
      <c r="CN133" s="1222"/>
      <c r="CO133" s="1222"/>
      <c r="CP133" s="1222"/>
      <c r="CQ133" s="1222"/>
      <c r="CR133" s="1222"/>
      <c r="CS133" s="1222"/>
      <c r="CT133" s="1222"/>
      <c r="CU133" s="1223"/>
      <c r="CV133" s="1378"/>
      <c r="CW133" s="1097"/>
      <c r="CX133" s="1098"/>
      <c r="CY133" s="1098"/>
      <c r="CZ133" s="1114"/>
      <c r="DA133" s="1114"/>
      <c r="DB133" s="1097"/>
      <c r="DC133" s="1098"/>
      <c r="DD133" s="1098"/>
      <c r="DE133" s="1031"/>
      <c r="DF133" s="1062"/>
    </row>
    <row r="134" spans="1:116" s="1096" customFormat="1" ht="13">
      <c r="A134" s="2263"/>
      <c r="B134" s="1112">
        <v>112</v>
      </c>
      <c r="C134" s="9" t="s">
        <v>2146</v>
      </c>
      <c r="D134" s="1109">
        <v>0</v>
      </c>
      <c r="E134" s="1110">
        <v>0</v>
      </c>
      <c r="F134" s="1116">
        <v>18.989999999999998</v>
      </c>
      <c r="G134" s="1025">
        <v>19.73</v>
      </c>
      <c r="H134" s="1073">
        <v>3.86</v>
      </c>
      <c r="I134" s="1026">
        <f t="shared" si="158"/>
        <v>15.870000000000001</v>
      </c>
      <c r="J134" s="1025">
        <v>2.86</v>
      </c>
      <c r="K134" s="1334"/>
      <c r="L134" s="1428"/>
      <c r="M134" s="1027"/>
      <c r="N134" s="1097"/>
      <c r="O134" s="1098">
        <f>$F134</f>
        <v>18.989999999999998</v>
      </c>
      <c r="P134" s="1098"/>
      <c r="Q134" s="1098"/>
      <c r="R134" s="1098">
        <f>$F134</f>
        <v>18.989999999999998</v>
      </c>
      <c r="S134" s="1099">
        <f>$F134</f>
        <v>18.989999999999998</v>
      </c>
      <c r="T134" s="1027"/>
      <c r="U134" s="434"/>
      <c r="V134" s="433"/>
      <c r="W134" s="433"/>
      <c r="X134" s="433"/>
      <c r="Y134" s="426"/>
      <c r="Z134" s="1027"/>
      <c r="AA134" s="1097"/>
      <c r="AB134" s="1398"/>
      <c r="AC134" s="1398">
        <f t="shared" ref="AC134:AC141" si="175">+F134</f>
        <v>18.989999999999998</v>
      </c>
      <c r="AD134" s="1099">
        <f t="shared" si="171"/>
        <v>18.989999999999998</v>
      </c>
      <c r="AE134" s="1028"/>
      <c r="AF134" s="434"/>
      <c r="AG134" s="433"/>
      <c r="AH134" s="1218"/>
      <c r="AI134" s="1218"/>
      <c r="AJ134" s="1218"/>
      <c r="AK134" s="1218"/>
      <c r="AL134" s="1218"/>
      <c r="AM134" s="1218"/>
      <c r="AN134" s="1219"/>
      <c r="AO134" s="1095"/>
      <c r="AP134" s="434"/>
      <c r="AQ134" s="433"/>
      <c r="AR134" s="433"/>
      <c r="AS134" s="433"/>
      <c r="AT134" s="433"/>
      <c r="AU134" s="433"/>
      <c r="AV134" s="433"/>
      <c r="AW134" s="426"/>
      <c r="AX134" s="434"/>
      <c r="AY134" s="433"/>
      <c r="AZ134" s="433"/>
      <c r="BA134" s="433"/>
      <c r="BB134" s="433"/>
      <c r="BC134" s="433"/>
      <c r="BD134" s="433"/>
      <c r="BE134" s="433"/>
      <c r="BF134" s="433"/>
      <c r="BG134" s="426"/>
      <c r="BH134" s="1033"/>
      <c r="BI134" s="1097"/>
      <c r="BJ134" s="1031"/>
      <c r="BK134" s="1031"/>
      <c r="BL134" s="1031"/>
      <c r="BM134" s="1031">
        <f t="shared" si="173"/>
        <v>18.989999999999998</v>
      </c>
      <c r="BN134" s="1031"/>
      <c r="BO134" s="1031"/>
      <c r="BP134" s="1062"/>
      <c r="BQ134" s="434"/>
      <c r="BR134" s="433"/>
      <c r="BS134" s="1280">
        <f>+I134</f>
        <v>15.870000000000001</v>
      </c>
      <c r="BT134" s="426"/>
      <c r="BU134" s="1293"/>
      <c r="BV134" s="434"/>
      <c r="BW134" s="426"/>
      <c r="BX134" s="434"/>
      <c r="BY134" s="433"/>
      <c r="BZ134" s="1280"/>
      <c r="CA134" s="434"/>
      <c r="CB134" s="433"/>
      <c r="CC134" s="426"/>
      <c r="CE134" s="1217"/>
      <c r="CF134" s="1218"/>
      <c r="CG134" s="1218"/>
      <c r="CH134" s="1218"/>
      <c r="CI134" s="1219">
        <f t="shared" si="174"/>
        <v>2</v>
      </c>
      <c r="CJ134" s="1220">
        <v>2</v>
      </c>
      <c r="CK134" s="1218"/>
      <c r="CL134" s="1218"/>
      <c r="CM134" s="1218"/>
      <c r="CN134" s="1218"/>
      <c r="CO134" s="1218">
        <v>1</v>
      </c>
      <c r="CP134" s="1218"/>
      <c r="CQ134" s="1218"/>
      <c r="CR134" s="1218"/>
      <c r="CS134" s="1218"/>
      <c r="CT134" s="1218"/>
      <c r="CU134" s="1219"/>
      <c r="CV134" s="1378"/>
      <c r="CW134" s="1104">
        <v>0</v>
      </c>
      <c r="CX134" s="1117">
        <v>0</v>
      </c>
      <c r="CY134" s="1117">
        <v>0</v>
      </c>
      <c r="CZ134" s="1119"/>
      <c r="DA134" s="1119">
        <v>0</v>
      </c>
      <c r="DB134" s="1104">
        <v>0</v>
      </c>
      <c r="DC134" s="1117">
        <v>0</v>
      </c>
      <c r="DD134" s="1117">
        <v>0</v>
      </c>
      <c r="DE134" s="1048">
        <v>0</v>
      </c>
      <c r="DF134" s="1050">
        <v>0</v>
      </c>
    </row>
    <row r="135" spans="1:116" ht="13">
      <c r="A135" s="2263"/>
      <c r="B135" s="1112">
        <v>113</v>
      </c>
      <c r="C135" s="9" t="s">
        <v>2147</v>
      </c>
      <c r="D135" s="1109">
        <v>0</v>
      </c>
      <c r="E135" s="1110">
        <v>0</v>
      </c>
      <c r="F135" s="1116">
        <v>25.61</v>
      </c>
      <c r="G135" s="1042">
        <v>22.24</v>
      </c>
      <c r="H135" s="1043">
        <v>3.86</v>
      </c>
      <c r="I135" s="1044">
        <f t="shared" si="158"/>
        <v>18.38</v>
      </c>
      <c r="J135" s="1025">
        <v>2.86</v>
      </c>
      <c r="K135" s="1335"/>
      <c r="L135" s="1421"/>
      <c r="M135" s="1027"/>
      <c r="N135" s="1097"/>
      <c r="O135" s="1098">
        <f t="shared" ref="O135:O141" si="176">$F135</f>
        <v>25.61</v>
      </c>
      <c r="P135" s="1098"/>
      <c r="Q135" s="1098"/>
      <c r="R135" s="1117">
        <f t="shared" ref="R135:S141" si="177">$F135</f>
        <v>25.61</v>
      </c>
      <c r="S135" s="1118">
        <f t="shared" si="177"/>
        <v>25.61</v>
      </c>
      <c r="T135" s="1027"/>
      <c r="U135" s="427"/>
      <c r="V135" s="429"/>
      <c r="W135" s="429"/>
      <c r="X135" s="429"/>
      <c r="Y135" s="428"/>
      <c r="Z135" s="1027"/>
      <c r="AA135" s="1104"/>
      <c r="AB135" s="1397"/>
      <c r="AC135" s="1397">
        <f t="shared" si="175"/>
        <v>25.61</v>
      </c>
      <c r="AD135" s="1118">
        <f t="shared" si="171"/>
        <v>25.61</v>
      </c>
      <c r="AE135" s="1028"/>
      <c r="AF135" s="427"/>
      <c r="AG135" s="429"/>
      <c r="AH135" s="429"/>
      <c r="AI135" s="429"/>
      <c r="AJ135" s="429"/>
      <c r="AK135" s="429"/>
      <c r="AL135" s="429"/>
      <c r="AM135" s="429"/>
      <c r="AN135" s="428"/>
      <c r="AO135" s="1029"/>
      <c r="AP135" s="427"/>
      <c r="AQ135" s="429"/>
      <c r="AR135" s="429"/>
      <c r="AS135" s="429"/>
      <c r="AT135" s="429"/>
      <c r="AU135" s="429"/>
      <c r="AV135" s="429"/>
      <c r="AW135" s="428"/>
      <c r="AX135" s="427"/>
      <c r="AY135" s="429"/>
      <c r="AZ135" s="429"/>
      <c r="BA135" s="429"/>
      <c r="BB135" s="429"/>
      <c r="BC135" s="429"/>
      <c r="BD135" s="429"/>
      <c r="BE135" s="429"/>
      <c r="BF135" s="429"/>
      <c r="BG135" s="428"/>
      <c r="BH135" s="1033"/>
      <c r="BI135" s="1104"/>
      <c r="BJ135" s="1048"/>
      <c r="BK135" s="1048"/>
      <c r="BL135" s="1048"/>
      <c r="BM135" s="1048">
        <f t="shared" si="173"/>
        <v>25.61</v>
      </c>
      <c r="BN135" s="1048"/>
      <c r="BO135" s="1048"/>
      <c r="BP135" s="1050"/>
      <c r="BQ135" s="427"/>
      <c r="BR135" s="429"/>
      <c r="BS135" s="1275">
        <f>+I135</f>
        <v>18.38</v>
      </c>
      <c r="BT135" s="428"/>
      <c r="BU135" s="1293"/>
      <c r="BV135" s="427"/>
      <c r="BW135" s="428"/>
      <c r="BX135" s="427"/>
      <c r="BY135" s="429"/>
      <c r="BZ135" s="1275"/>
      <c r="CA135" s="427"/>
      <c r="CB135" s="429"/>
      <c r="CC135" s="428"/>
      <c r="CE135" s="427"/>
      <c r="CF135" s="429"/>
      <c r="CG135" s="429"/>
      <c r="CH135" s="435"/>
      <c r="CI135" s="438">
        <f t="shared" si="174"/>
        <v>2</v>
      </c>
      <c r="CJ135" s="1208">
        <v>2</v>
      </c>
      <c r="CK135" s="435"/>
      <c r="CL135" s="435"/>
      <c r="CM135" s="429"/>
      <c r="CN135" s="435"/>
      <c r="CO135" s="435">
        <v>1</v>
      </c>
      <c r="CP135" s="429"/>
      <c r="CQ135" s="429"/>
      <c r="CR135" s="429"/>
      <c r="CS135" s="429"/>
      <c r="CT135" s="429"/>
      <c r="CU135" s="428"/>
      <c r="CV135" s="1377"/>
      <c r="CW135" s="1047">
        <v>0</v>
      </c>
      <c r="CX135" s="1048">
        <v>0</v>
      </c>
      <c r="CY135" s="1048">
        <v>0</v>
      </c>
      <c r="CZ135" s="1049"/>
      <c r="DA135" s="1049">
        <v>0</v>
      </c>
      <c r="DB135" s="1047">
        <v>0</v>
      </c>
      <c r="DC135" s="1048">
        <v>0</v>
      </c>
      <c r="DD135" s="1048">
        <v>0</v>
      </c>
      <c r="DE135" s="1048">
        <v>0</v>
      </c>
      <c r="DF135" s="1050">
        <v>0</v>
      </c>
    </row>
    <row r="136" spans="1:116" ht="13">
      <c r="A136" s="2263"/>
      <c r="B136" s="1112">
        <v>114</v>
      </c>
      <c r="C136" s="9" t="s">
        <v>2148</v>
      </c>
      <c r="D136" s="1109">
        <v>0</v>
      </c>
      <c r="E136" s="1110">
        <v>0</v>
      </c>
      <c r="F136" s="1116">
        <v>39.03</v>
      </c>
      <c r="G136" s="1042">
        <v>26.92</v>
      </c>
      <c r="H136" s="1103">
        <v>5.63</v>
      </c>
      <c r="I136" s="1044">
        <f>+G136-H136</f>
        <v>21.290000000000003</v>
      </c>
      <c r="J136" s="1025">
        <v>2.86</v>
      </c>
      <c r="K136" s="1335"/>
      <c r="L136" s="1421"/>
      <c r="M136" s="1027"/>
      <c r="N136" s="1097"/>
      <c r="O136" s="1098">
        <f t="shared" si="176"/>
        <v>39.03</v>
      </c>
      <c r="P136" s="1098"/>
      <c r="Q136" s="1098"/>
      <c r="R136" s="1117">
        <f t="shared" si="177"/>
        <v>39.03</v>
      </c>
      <c r="S136" s="1118">
        <f t="shared" si="177"/>
        <v>39.03</v>
      </c>
      <c r="T136" s="1027"/>
      <c r="U136" s="427"/>
      <c r="V136" s="429"/>
      <c r="W136" s="429"/>
      <c r="X136" s="429"/>
      <c r="Y136" s="428"/>
      <c r="Z136" s="1027"/>
      <c r="AA136" s="1104"/>
      <c r="AB136" s="1397"/>
      <c r="AC136" s="1397">
        <f t="shared" si="175"/>
        <v>39.03</v>
      </c>
      <c r="AD136" s="1118">
        <f t="shared" si="171"/>
        <v>39.03</v>
      </c>
      <c r="AE136" s="1028"/>
      <c r="AF136" s="427"/>
      <c r="AG136" s="429"/>
      <c r="AH136" s="429"/>
      <c r="AI136" s="429"/>
      <c r="AJ136" s="429"/>
      <c r="AK136" s="429"/>
      <c r="AL136" s="429"/>
      <c r="AM136" s="429"/>
      <c r="AN136" s="428"/>
      <c r="AO136" s="1029"/>
      <c r="AP136" s="427"/>
      <c r="AQ136" s="429"/>
      <c r="AR136" s="429"/>
      <c r="AS136" s="429"/>
      <c r="AT136" s="429"/>
      <c r="AU136" s="429"/>
      <c r="AV136" s="429"/>
      <c r="AW136" s="428"/>
      <c r="AX136" s="427"/>
      <c r="AY136" s="429"/>
      <c r="AZ136" s="429"/>
      <c r="BA136" s="429"/>
      <c r="BB136" s="429"/>
      <c r="BC136" s="429"/>
      <c r="BD136" s="429"/>
      <c r="BE136" s="429"/>
      <c r="BF136" s="429"/>
      <c r="BG136" s="428"/>
      <c r="BH136" s="1033"/>
      <c r="BI136" s="1104"/>
      <c r="BJ136" s="1048"/>
      <c r="BK136" s="1048"/>
      <c r="BL136" s="1048"/>
      <c r="BM136" s="1048">
        <f t="shared" si="173"/>
        <v>39.03</v>
      </c>
      <c r="BN136" s="1048"/>
      <c r="BO136" s="1048"/>
      <c r="BP136" s="1050"/>
      <c r="BQ136" s="427"/>
      <c r="BR136" s="429"/>
      <c r="BS136" s="1275">
        <f>+I136</f>
        <v>21.290000000000003</v>
      </c>
      <c r="BT136" s="428"/>
      <c r="BU136" s="1293"/>
      <c r="BV136" s="427"/>
      <c r="BW136" s="428"/>
      <c r="BX136" s="427"/>
      <c r="BY136" s="429"/>
      <c r="BZ136" s="1275"/>
      <c r="CA136" s="427"/>
      <c r="CB136" s="429"/>
      <c r="CC136" s="428"/>
      <c r="CE136" s="427"/>
      <c r="CF136" s="429"/>
      <c r="CG136" s="429"/>
      <c r="CH136" s="429"/>
      <c r="CI136" s="428">
        <f t="shared" si="174"/>
        <v>5</v>
      </c>
      <c r="CJ136" s="1204">
        <v>5</v>
      </c>
      <c r="CK136" s="429"/>
      <c r="CL136" s="429"/>
      <c r="CM136" s="429"/>
      <c r="CN136" s="429"/>
      <c r="CO136" s="429">
        <v>1</v>
      </c>
      <c r="CP136" s="429"/>
      <c r="CQ136" s="429"/>
      <c r="CR136" s="429"/>
      <c r="CS136" s="429"/>
      <c r="CT136" s="429"/>
      <c r="CU136" s="428"/>
      <c r="CV136" s="1377"/>
      <c r="CW136" s="1047">
        <v>0</v>
      </c>
      <c r="CX136" s="1048">
        <v>0</v>
      </c>
      <c r="CY136" s="1048">
        <v>0</v>
      </c>
      <c r="CZ136" s="1049"/>
      <c r="DA136" s="1049">
        <v>0</v>
      </c>
      <c r="DB136" s="1047">
        <v>0</v>
      </c>
      <c r="DC136" s="1048">
        <v>0</v>
      </c>
      <c r="DD136" s="1048">
        <v>0</v>
      </c>
      <c r="DE136" s="1048">
        <v>0</v>
      </c>
      <c r="DF136" s="1050">
        <v>0</v>
      </c>
    </row>
    <row r="137" spans="1:116" ht="13">
      <c r="A137" s="2263"/>
      <c r="B137" s="1112">
        <v>115</v>
      </c>
      <c r="C137" s="9" t="s">
        <v>2149</v>
      </c>
      <c r="D137" s="1109">
        <v>0</v>
      </c>
      <c r="E137" s="1110">
        <v>0</v>
      </c>
      <c r="F137" s="1116">
        <v>27.2</v>
      </c>
      <c r="G137" s="1042">
        <v>22.72</v>
      </c>
      <c r="H137" s="1043">
        <v>5.63</v>
      </c>
      <c r="I137" s="1044">
        <f>+G137-H137</f>
        <v>17.09</v>
      </c>
      <c r="J137" s="1025">
        <v>2.86</v>
      </c>
      <c r="K137" s="1335"/>
      <c r="L137" s="1421"/>
      <c r="M137" s="1027"/>
      <c r="N137" s="1097"/>
      <c r="O137" s="1098">
        <f t="shared" si="176"/>
        <v>27.2</v>
      </c>
      <c r="P137" s="1098"/>
      <c r="Q137" s="1098"/>
      <c r="R137" s="1117">
        <f t="shared" si="177"/>
        <v>27.2</v>
      </c>
      <c r="S137" s="1118">
        <f t="shared" si="177"/>
        <v>27.2</v>
      </c>
      <c r="T137" s="1027"/>
      <c r="U137" s="427"/>
      <c r="V137" s="429"/>
      <c r="W137" s="429"/>
      <c r="X137" s="429"/>
      <c r="Y137" s="428"/>
      <c r="Z137" s="1027"/>
      <c r="AA137" s="1104"/>
      <c r="AB137" s="1397"/>
      <c r="AC137" s="1397">
        <f t="shared" si="175"/>
        <v>27.2</v>
      </c>
      <c r="AD137" s="1118">
        <f t="shared" si="171"/>
        <v>27.2</v>
      </c>
      <c r="AE137" s="1028"/>
      <c r="AF137" s="427"/>
      <c r="AG137" s="429"/>
      <c r="AH137" s="429"/>
      <c r="AI137" s="429"/>
      <c r="AJ137" s="429"/>
      <c r="AK137" s="429"/>
      <c r="AL137" s="429"/>
      <c r="AM137" s="429"/>
      <c r="AN137" s="428"/>
      <c r="AO137" s="1029"/>
      <c r="AP137" s="427"/>
      <c r="AQ137" s="429"/>
      <c r="AR137" s="429"/>
      <c r="AS137" s="429"/>
      <c r="AT137" s="429"/>
      <c r="AU137" s="429"/>
      <c r="AV137" s="429"/>
      <c r="AW137" s="428"/>
      <c r="AX137" s="427"/>
      <c r="AY137" s="429"/>
      <c r="AZ137" s="429"/>
      <c r="BA137" s="429"/>
      <c r="BB137" s="429"/>
      <c r="BC137" s="429"/>
      <c r="BD137" s="429"/>
      <c r="BE137" s="429"/>
      <c r="BF137" s="429"/>
      <c r="BG137" s="428"/>
      <c r="BH137" s="1033"/>
      <c r="BI137" s="1104"/>
      <c r="BJ137" s="1048"/>
      <c r="BK137" s="1048"/>
      <c r="BL137" s="1048"/>
      <c r="BM137" s="1048">
        <f t="shared" si="173"/>
        <v>27.2</v>
      </c>
      <c r="BN137" s="1048"/>
      <c r="BO137" s="1048"/>
      <c r="BP137" s="1050"/>
      <c r="BQ137" s="427"/>
      <c r="BR137" s="429"/>
      <c r="BS137" s="1275">
        <f>+I137</f>
        <v>17.09</v>
      </c>
      <c r="BT137" s="428"/>
      <c r="BU137" s="1293"/>
      <c r="BV137" s="427"/>
      <c r="BW137" s="428"/>
      <c r="BX137" s="427"/>
      <c r="BY137" s="429"/>
      <c r="BZ137" s="1275"/>
      <c r="CA137" s="427"/>
      <c r="CB137" s="429"/>
      <c r="CC137" s="428"/>
      <c r="CE137" s="427"/>
      <c r="CF137" s="429"/>
      <c r="CG137" s="429"/>
      <c r="CH137" s="429"/>
      <c r="CI137" s="428">
        <f t="shared" si="174"/>
        <v>5</v>
      </c>
      <c r="CJ137" s="1204">
        <v>5</v>
      </c>
      <c r="CK137" s="429"/>
      <c r="CL137" s="429"/>
      <c r="CM137" s="429"/>
      <c r="CN137" s="429"/>
      <c r="CO137" s="429">
        <v>1</v>
      </c>
      <c r="CP137" s="429"/>
      <c r="CQ137" s="429"/>
      <c r="CR137" s="429"/>
      <c r="CS137" s="429"/>
      <c r="CT137" s="429"/>
      <c r="CU137" s="428"/>
      <c r="CV137" s="1377"/>
      <c r="CW137" s="1047">
        <v>0</v>
      </c>
      <c r="CX137" s="1048">
        <v>0</v>
      </c>
      <c r="CY137" s="1048">
        <v>0</v>
      </c>
      <c r="CZ137" s="1049"/>
      <c r="DA137" s="1049">
        <v>0</v>
      </c>
      <c r="DB137" s="1047">
        <v>0</v>
      </c>
      <c r="DC137" s="1048">
        <v>0</v>
      </c>
      <c r="DD137" s="1048">
        <v>0</v>
      </c>
      <c r="DE137" s="1048">
        <v>0</v>
      </c>
      <c r="DF137" s="1050">
        <v>0</v>
      </c>
    </row>
    <row r="138" spans="1:116" ht="13">
      <c r="A138" s="2263"/>
      <c r="B138" s="1112">
        <v>116</v>
      </c>
      <c r="C138" s="9" t="s">
        <v>2150</v>
      </c>
      <c r="D138" s="1109">
        <v>0</v>
      </c>
      <c r="E138" s="1110">
        <v>0</v>
      </c>
      <c r="F138" s="1051">
        <v>15.24</v>
      </c>
      <c r="G138" s="1042">
        <v>15.61</v>
      </c>
      <c r="H138" s="1043">
        <v>3.86</v>
      </c>
      <c r="I138" s="1044">
        <f t="shared" ref="I138:I142" si="178">+G138-H138</f>
        <v>11.75</v>
      </c>
      <c r="J138" s="1025">
        <v>2.86</v>
      </c>
      <c r="K138" s="1335"/>
      <c r="L138" s="1422"/>
      <c r="M138" s="1027"/>
      <c r="N138" s="1097"/>
      <c r="O138" s="1098">
        <f t="shared" si="176"/>
        <v>15.24</v>
      </c>
      <c r="P138" s="1098"/>
      <c r="Q138" s="1098"/>
      <c r="R138" s="1117">
        <f t="shared" si="177"/>
        <v>15.24</v>
      </c>
      <c r="S138" s="1118"/>
      <c r="T138" s="1027"/>
      <c r="U138" s="427"/>
      <c r="V138" s="429"/>
      <c r="W138" s="429"/>
      <c r="X138" s="429"/>
      <c r="Y138" s="428"/>
      <c r="Z138" s="1027"/>
      <c r="AA138" s="1104"/>
      <c r="AB138" s="1397"/>
      <c r="AC138" s="1397">
        <f t="shared" si="175"/>
        <v>15.24</v>
      </c>
      <c r="AD138" s="1118">
        <f t="shared" si="171"/>
        <v>15.24</v>
      </c>
      <c r="AE138" s="1028"/>
      <c r="AF138" s="427"/>
      <c r="AG138" s="429"/>
      <c r="AH138" s="429"/>
      <c r="AI138" s="429"/>
      <c r="AJ138" s="429"/>
      <c r="AK138" s="429"/>
      <c r="AL138" s="429"/>
      <c r="AM138" s="429"/>
      <c r="AN138" s="428"/>
      <c r="AO138" s="1029"/>
      <c r="AP138" s="427"/>
      <c r="AQ138" s="429"/>
      <c r="AR138" s="429"/>
      <c r="AS138" s="429"/>
      <c r="AT138" s="429"/>
      <c r="AU138" s="429"/>
      <c r="AV138" s="429"/>
      <c r="AW138" s="428"/>
      <c r="AX138" s="427"/>
      <c r="AY138" s="429"/>
      <c r="AZ138" s="429"/>
      <c r="BA138" s="429"/>
      <c r="BB138" s="429"/>
      <c r="BC138" s="429"/>
      <c r="BD138" s="429"/>
      <c r="BE138" s="429"/>
      <c r="BF138" s="429"/>
      <c r="BG138" s="428"/>
      <c r="BH138" s="1033"/>
      <c r="BI138" s="1104"/>
      <c r="BJ138" s="1048"/>
      <c r="BK138" s="1048"/>
      <c r="BL138" s="1048"/>
      <c r="BM138" s="1048"/>
      <c r="BN138" s="1048"/>
      <c r="BO138" s="1048">
        <f t="shared" si="173"/>
        <v>15.24</v>
      </c>
      <c r="BP138" s="1050"/>
      <c r="BQ138" s="427"/>
      <c r="BR138" s="429"/>
      <c r="BS138" s="1275"/>
      <c r="BT138" s="428"/>
      <c r="BU138" s="1293"/>
      <c r="BV138" s="427"/>
      <c r="BW138" s="428"/>
      <c r="BX138" s="427"/>
      <c r="BY138" s="429"/>
      <c r="BZ138" s="1275"/>
      <c r="CA138" s="427"/>
      <c r="CB138" s="429"/>
      <c r="CC138" s="428"/>
      <c r="CE138" s="427"/>
      <c r="CF138" s="429"/>
      <c r="CG138" s="429"/>
      <c r="CH138" s="429"/>
      <c r="CI138" s="428">
        <f t="shared" si="174"/>
        <v>1</v>
      </c>
      <c r="CJ138" s="1204">
        <v>1</v>
      </c>
      <c r="CK138" s="429"/>
      <c r="CL138" s="429"/>
      <c r="CM138" s="429"/>
      <c r="CN138" s="429"/>
      <c r="CO138" s="429"/>
      <c r="CP138" s="429"/>
      <c r="CQ138" s="429"/>
      <c r="CR138" s="429"/>
      <c r="CS138" s="429"/>
      <c r="CT138" s="429"/>
      <c r="CU138" s="428"/>
      <c r="CV138" s="1377"/>
      <c r="CW138" s="1047">
        <v>0</v>
      </c>
      <c r="CX138" s="1048">
        <v>0</v>
      </c>
      <c r="CY138" s="1048">
        <v>0</v>
      </c>
      <c r="CZ138" s="1049"/>
      <c r="DA138" s="1049">
        <v>0</v>
      </c>
      <c r="DB138" s="1047">
        <v>0</v>
      </c>
      <c r="DC138" s="1048">
        <v>0</v>
      </c>
      <c r="DD138" s="1048">
        <v>0</v>
      </c>
      <c r="DE138" s="1048">
        <v>0</v>
      </c>
      <c r="DF138" s="1050">
        <v>0</v>
      </c>
    </row>
    <row r="139" spans="1:116" ht="13">
      <c r="A139" s="2263"/>
      <c r="B139" s="1112">
        <v>117</v>
      </c>
      <c r="C139" s="9" t="s">
        <v>2151</v>
      </c>
      <c r="D139" s="1109">
        <v>0</v>
      </c>
      <c r="E139" s="1110">
        <v>0</v>
      </c>
      <c r="F139" s="1102">
        <v>14.86</v>
      </c>
      <c r="G139" s="1042">
        <v>15.41</v>
      </c>
      <c r="H139" s="1043">
        <v>3.86</v>
      </c>
      <c r="I139" s="1044">
        <f t="shared" si="178"/>
        <v>11.55</v>
      </c>
      <c r="J139" s="1025">
        <v>2.86</v>
      </c>
      <c r="K139" s="1335"/>
      <c r="L139" s="1422"/>
      <c r="M139" s="1027"/>
      <c r="N139" s="1097"/>
      <c r="O139" s="1098">
        <f t="shared" si="176"/>
        <v>14.86</v>
      </c>
      <c r="P139" s="1098"/>
      <c r="Q139" s="1098"/>
      <c r="R139" s="1117">
        <f t="shared" si="177"/>
        <v>14.86</v>
      </c>
      <c r="S139" s="1118"/>
      <c r="T139" s="1027"/>
      <c r="U139" s="427"/>
      <c r="V139" s="429"/>
      <c r="W139" s="429"/>
      <c r="X139" s="429"/>
      <c r="Y139" s="428"/>
      <c r="Z139" s="1027"/>
      <c r="AA139" s="1104"/>
      <c r="AB139" s="1397"/>
      <c r="AC139" s="1397">
        <f t="shared" si="175"/>
        <v>14.86</v>
      </c>
      <c r="AD139" s="1118">
        <f t="shared" si="171"/>
        <v>14.86</v>
      </c>
      <c r="AE139" s="1028"/>
      <c r="AF139" s="427"/>
      <c r="AG139" s="429"/>
      <c r="AH139" s="429"/>
      <c r="AI139" s="429"/>
      <c r="AJ139" s="429"/>
      <c r="AK139" s="429"/>
      <c r="AL139" s="429"/>
      <c r="AM139" s="429"/>
      <c r="AN139" s="428"/>
      <c r="AO139" s="1029"/>
      <c r="AP139" s="427"/>
      <c r="AQ139" s="429"/>
      <c r="AR139" s="429"/>
      <c r="AS139" s="429"/>
      <c r="AT139" s="429"/>
      <c r="AU139" s="429"/>
      <c r="AV139" s="429"/>
      <c r="AW139" s="428"/>
      <c r="AX139" s="427"/>
      <c r="AY139" s="429"/>
      <c r="AZ139" s="429"/>
      <c r="BA139" s="429"/>
      <c r="BB139" s="429"/>
      <c r="BC139" s="429"/>
      <c r="BD139" s="429"/>
      <c r="BE139" s="429"/>
      <c r="BF139" s="429"/>
      <c r="BG139" s="428"/>
      <c r="BH139" s="1033"/>
      <c r="BI139" s="1104"/>
      <c r="BJ139" s="1048"/>
      <c r="BK139" s="1048"/>
      <c r="BL139" s="1048"/>
      <c r="BM139" s="1048"/>
      <c r="BN139" s="1048"/>
      <c r="BO139" s="1048">
        <f t="shared" si="173"/>
        <v>14.86</v>
      </c>
      <c r="BP139" s="1050"/>
      <c r="BQ139" s="427"/>
      <c r="BR139" s="429"/>
      <c r="BS139" s="1275"/>
      <c r="BT139" s="428"/>
      <c r="BU139" s="1293"/>
      <c r="BV139" s="427"/>
      <c r="BW139" s="428"/>
      <c r="BX139" s="427"/>
      <c r="BY139" s="429"/>
      <c r="BZ139" s="1275"/>
      <c r="CA139" s="427"/>
      <c r="CB139" s="429"/>
      <c r="CC139" s="428"/>
      <c r="CE139" s="427"/>
      <c r="CF139" s="429"/>
      <c r="CG139" s="429"/>
      <c r="CH139" s="429"/>
      <c r="CI139" s="428">
        <f t="shared" si="174"/>
        <v>1</v>
      </c>
      <c r="CJ139" s="1204">
        <v>1</v>
      </c>
      <c r="CK139" s="429"/>
      <c r="CL139" s="429"/>
      <c r="CM139" s="429"/>
      <c r="CN139" s="429"/>
      <c r="CO139" s="429"/>
      <c r="CP139" s="429"/>
      <c r="CQ139" s="429"/>
      <c r="CR139" s="429"/>
      <c r="CS139" s="429"/>
      <c r="CT139" s="429"/>
      <c r="CU139" s="428"/>
      <c r="CV139" s="1377"/>
      <c r="CW139" s="1047">
        <v>0</v>
      </c>
      <c r="CX139" s="1048">
        <v>0</v>
      </c>
      <c r="CY139" s="1048">
        <v>0</v>
      </c>
      <c r="CZ139" s="1049"/>
      <c r="DA139" s="1049">
        <v>0</v>
      </c>
      <c r="DB139" s="1047">
        <v>0</v>
      </c>
      <c r="DC139" s="1048">
        <v>0</v>
      </c>
      <c r="DD139" s="1048">
        <v>0</v>
      </c>
      <c r="DE139" s="1048">
        <v>0</v>
      </c>
      <c r="DF139" s="1050">
        <v>0</v>
      </c>
    </row>
    <row r="140" spans="1:116" ht="13">
      <c r="A140" s="2263"/>
      <c r="B140" s="1112">
        <v>118</v>
      </c>
      <c r="C140" s="9" t="s">
        <v>2152</v>
      </c>
      <c r="D140" s="1109">
        <v>0</v>
      </c>
      <c r="E140" s="1110">
        <v>0</v>
      </c>
      <c r="F140" s="1102">
        <v>22.23</v>
      </c>
      <c r="G140" s="1042">
        <v>18.96</v>
      </c>
      <c r="H140" s="1043">
        <v>5.63</v>
      </c>
      <c r="I140" s="1044">
        <f t="shared" si="178"/>
        <v>13.330000000000002</v>
      </c>
      <c r="J140" s="1025">
        <v>2.86</v>
      </c>
      <c r="K140" s="1335"/>
      <c r="L140" s="1422"/>
      <c r="M140" s="1027"/>
      <c r="N140" s="1097"/>
      <c r="O140" s="1098">
        <f t="shared" si="176"/>
        <v>22.23</v>
      </c>
      <c r="P140" s="1098"/>
      <c r="Q140" s="1098"/>
      <c r="R140" s="1117">
        <f t="shared" si="177"/>
        <v>22.23</v>
      </c>
      <c r="S140" s="1118"/>
      <c r="T140" s="1027"/>
      <c r="U140" s="427"/>
      <c r="V140" s="429"/>
      <c r="W140" s="429"/>
      <c r="X140" s="429"/>
      <c r="Y140" s="428"/>
      <c r="Z140" s="1027"/>
      <c r="AA140" s="1104"/>
      <c r="AB140" s="1397"/>
      <c r="AC140" s="1397">
        <f t="shared" si="175"/>
        <v>22.23</v>
      </c>
      <c r="AD140" s="1118">
        <f t="shared" si="171"/>
        <v>22.23</v>
      </c>
      <c r="AE140" s="1028"/>
      <c r="AF140" s="427"/>
      <c r="AG140" s="429"/>
      <c r="AH140" s="429"/>
      <c r="AI140" s="429"/>
      <c r="AJ140" s="429"/>
      <c r="AK140" s="429"/>
      <c r="AL140" s="429"/>
      <c r="AM140" s="429"/>
      <c r="AN140" s="428"/>
      <c r="AO140" s="1029"/>
      <c r="AP140" s="427"/>
      <c r="AQ140" s="429"/>
      <c r="AR140" s="429"/>
      <c r="AS140" s="429"/>
      <c r="AT140" s="429"/>
      <c r="AU140" s="429"/>
      <c r="AV140" s="429"/>
      <c r="AW140" s="428"/>
      <c r="AX140" s="427"/>
      <c r="AY140" s="429"/>
      <c r="AZ140" s="429"/>
      <c r="BA140" s="429"/>
      <c r="BB140" s="429"/>
      <c r="BC140" s="429"/>
      <c r="BD140" s="429"/>
      <c r="BE140" s="429"/>
      <c r="BF140" s="429"/>
      <c r="BG140" s="428"/>
      <c r="BH140" s="1033"/>
      <c r="BI140" s="1104"/>
      <c r="BJ140" s="1048"/>
      <c r="BK140" s="1048"/>
      <c r="BL140" s="1048"/>
      <c r="BM140" s="1048"/>
      <c r="BN140" s="1048"/>
      <c r="BO140" s="1048">
        <f t="shared" si="173"/>
        <v>22.23</v>
      </c>
      <c r="BP140" s="1050"/>
      <c r="BQ140" s="427"/>
      <c r="BR140" s="429"/>
      <c r="BS140" s="1275"/>
      <c r="BT140" s="428"/>
      <c r="BU140" s="1293"/>
      <c r="BV140" s="427"/>
      <c r="BW140" s="428"/>
      <c r="BX140" s="427"/>
      <c r="BY140" s="429"/>
      <c r="BZ140" s="1275"/>
      <c r="CA140" s="427"/>
      <c r="CB140" s="429"/>
      <c r="CC140" s="428"/>
      <c r="CE140" s="427"/>
      <c r="CF140" s="429"/>
      <c r="CG140" s="429"/>
      <c r="CH140" s="429"/>
      <c r="CI140" s="428">
        <f t="shared" si="174"/>
        <v>2</v>
      </c>
      <c r="CJ140" s="1204">
        <v>2</v>
      </c>
      <c r="CK140" s="429"/>
      <c r="CL140" s="429"/>
      <c r="CM140" s="429"/>
      <c r="CN140" s="429"/>
      <c r="CO140" s="429"/>
      <c r="CP140" s="429"/>
      <c r="CQ140" s="429"/>
      <c r="CR140" s="429"/>
      <c r="CS140" s="429"/>
      <c r="CT140" s="429"/>
      <c r="CU140" s="428"/>
      <c r="CV140" s="1377"/>
      <c r="CW140" s="1047">
        <v>0</v>
      </c>
      <c r="CX140" s="1048">
        <v>0</v>
      </c>
      <c r="CY140" s="1048">
        <v>0</v>
      </c>
      <c r="CZ140" s="1049"/>
      <c r="DA140" s="1049">
        <v>0</v>
      </c>
      <c r="DB140" s="1047">
        <v>0</v>
      </c>
      <c r="DC140" s="1048">
        <v>0</v>
      </c>
      <c r="DD140" s="1048">
        <v>0</v>
      </c>
      <c r="DE140" s="1048">
        <v>0</v>
      </c>
      <c r="DF140" s="1050">
        <v>0</v>
      </c>
    </row>
    <row r="141" spans="1:116" ht="13">
      <c r="A141" s="2265"/>
      <c r="B141" s="1112">
        <v>119</v>
      </c>
      <c r="C141" s="1225" t="s">
        <v>2153</v>
      </c>
      <c r="D141" s="1226">
        <v>0</v>
      </c>
      <c r="E141" s="1227">
        <v>0</v>
      </c>
      <c r="F141" s="1227">
        <v>21.67</v>
      </c>
      <c r="G141" s="1229">
        <v>19.16</v>
      </c>
      <c r="H141" s="1079">
        <v>5.63</v>
      </c>
      <c r="I141" s="1080">
        <f t="shared" si="178"/>
        <v>13.530000000000001</v>
      </c>
      <c r="J141" s="1229">
        <v>2.86</v>
      </c>
      <c r="K141" s="1425"/>
      <c r="L141" s="1426"/>
      <c r="M141" s="1027"/>
      <c r="N141" s="1166"/>
      <c r="O141" s="1167">
        <f t="shared" si="176"/>
        <v>21.67</v>
      </c>
      <c r="P141" s="1167"/>
      <c r="Q141" s="1167"/>
      <c r="R141" s="1167">
        <f t="shared" si="177"/>
        <v>21.67</v>
      </c>
      <c r="S141" s="1168"/>
      <c r="T141" s="1027"/>
      <c r="U141" s="432"/>
      <c r="V141" s="430"/>
      <c r="W141" s="430"/>
      <c r="X141" s="430"/>
      <c r="Y141" s="431"/>
      <c r="Z141" s="1027"/>
      <c r="AA141" s="1166"/>
      <c r="AB141" s="1399"/>
      <c r="AC141" s="1399">
        <f t="shared" si="175"/>
        <v>21.67</v>
      </c>
      <c r="AD141" s="1168">
        <f t="shared" si="171"/>
        <v>21.67</v>
      </c>
      <c r="AE141" s="1028"/>
      <c r="AF141" s="432"/>
      <c r="AG141" s="430"/>
      <c r="AH141" s="430"/>
      <c r="AI141" s="430"/>
      <c r="AJ141" s="430"/>
      <c r="AK141" s="1222"/>
      <c r="AL141" s="430"/>
      <c r="AM141" s="1222"/>
      <c r="AN141" s="431"/>
      <c r="AO141" s="1029"/>
      <c r="AP141" s="432"/>
      <c r="AQ141" s="430"/>
      <c r="AR141" s="430"/>
      <c r="AS141" s="430"/>
      <c r="AT141" s="430"/>
      <c r="AU141" s="430"/>
      <c r="AV141" s="430"/>
      <c r="AW141" s="431"/>
      <c r="AX141" s="432"/>
      <c r="AY141" s="430"/>
      <c r="AZ141" s="430"/>
      <c r="BA141" s="430"/>
      <c r="BB141" s="430"/>
      <c r="BC141" s="430"/>
      <c r="BD141" s="430"/>
      <c r="BE141" s="430"/>
      <c r="BF141" s="430"/>
      <c r="BG141" s="431"/>
      <c r="BH141" s="1033"/>
      <c r="BI141" s="1146"/>
      <c r="BJ141" s="1053"/>
      <c r="BK141" s="1053"/>
      <c r="BL141" s="1053"/>
      <c r="BM141" s="1053"/>
      <c r="BN141" s="1053"/>
      <c r="BO141" s="1053">
        <f t="shared" si="173"/>
        <v>21.67</v>
      </c>
      <c r="BP141" s="1054"/>
      <c r="BQ141" s="432"/>
      <c r="BR141" s="430"/>
      <c r="BS141" s="1277"/>
      <c r="BT141" s="431"/>
      <c r="BU141" s="1293"/>
      <c r="BV141" s="432"/>
      <c r="BW141" s="431"/>
      <c r="BX141" s="432"/>
      <c r="BY141" s="430"/>
      <c r="BZ141" s="1277"/>
      <c r="CA141" s="432"/>
      <c r="CB141" s="430"/>
      <c r="CC141" s="431"/>
      <c r="CE141" s="432"/>
      <c r="CF141" s="430"/>
      <c r="CG141" s="430"/>
      <c r="CH141" s="430"/>
      <c r="CI141" s="431">
        <f t="shared" si="174"/>
        <v>2</v>
      </c>
      <c r="CJ141" s="1205">
        <v>2</v>
      </c>
      <c r="CK141" s="430"/>
      <c r="CL141" s="430"/>
      <c r="CM141" s="430"/>
      <c r="CN141" s="430"/>
      <c r="CO141" s="430"/>
      <c r="CP141" s="430"/>
      <c r="CQ141" s="430"/>
      <c r="CR141" s="430"/>
      <c r="CS141" s="430"/>
      <c r="CT141" s="430"/>
      <c r="CU141" s="431"/>
      <c r="CV141" s="1377"/>
      <c r="CW141" s="1047">
        <v>0</v>
      </c>
      <c r="CX141" s="1048">
        <v>0</v>
      </c>
      <c r="CY141" s="1048">
        <v>0</v>
      </c>
      <c r="CZ141" s="1049"/>
      <c r="DA141" s="1049">
        <v>0</v>
      </c>
      <c r="DB141" s="1047">
        <v>0</v>
      </c>
      <c r="DC141" s="1048">
        <v>0</v>
      </c>
      <c r="DD141" s="1048">
        <v>0</v>
      </c>
      <c r="DE141" s="1048">
        <v>0</v>
      </c>
      <c r="DF141" s="1050">
        <v>0</v>
      </c>
    </row>
    <row r="142" spans="1:116" ht="13">
      <c r="A142" s="2254" t="s">
        <v>507</v>
      </c>
      <c r="B142" s="1300"/>
      <c r="C142" s="1245" t="s">
        <v>2171</v>
      </c>
      <c r="D142" s="1246">
        <v>6.4</v>
      </c>
      <c r="E142" s="1247">
        <v>3.86</v>
      </c>
      <c r="F142" s="1247">
        <f>+D142*E142</f>
        <v>24.704000000000001</v>
      </c>
      <c r="G142" s="1248">
        <f>+D142*2+E142*2</f>
        <v>20.52</v>
      </c>
      <c r="H142" s="1249">
        <v>0</v>
      </c>
      <c r="I142" s="1093">
        <f t="shared" si="178"/>
        <v>20.52</v>
      </c>
      <c r="J142" s="1248">
        <v>2.2000000000000002</v>
      </c>
      <c r="K142" s="1434"/>
      <c r="L142" s="1435"/>
      <c r="M142" s="1027"/>
      <c r="N142" s="1149"/>
      <c r="O142" s="1160">
        <f>+F142</f>
        <v>24.704000000000001</v>
      </c>
      <c r="P142" s="1160"/>
      <c r="Q142" s="1160"/>
      <c r="R142" s="1160">
        <f>+F142</f>
        <v>24.704000000000001</v>
      </c>
      <c r="S142" s="1161"/>
      <c r="T142" s="1027"/>
      <c r="U142" s="434"/>
      <c r="V142" s="433"/>
      <c r="W142" s="433"/>
      <c r="X142" s="433"/>
      <c r="Y142" s="426">
        <f t="shared" ref="Y142" si="179">$I142*$J142</f>
        <v>45.144000000000005</v>
      </c>
      <c r="Z142" s="1027"/>
      <c r="AA142" s="1149"/>
      <c r="AB142" s="1395"/>
      <c r="AC142" s="1395"/>
      <c r="AD142" s="1161"/>
      <c r="AE142" s="1028"/>
      <c r="AF142" s="434"/>
      <c r="AG142" s="433"/>
      <c r="AH142" s="433"/>
      <c r="AI142" s="433"/>
      <c r="AJ142" s="433"/>
      <c r="AK142" s="1218"/>
      <c r="AL142" s="433"/>
      <c r="AM142" s="1218"/>
      <c r="AN142" s="426">
        <f>+F142</f>
        <v>24.704000000000001</v>
      </c>
      <c r="AO142" s="1029"/>
      <c r="AP142" s="434"/>
      <c r="AQ142" s="433"/>
      <c r="AR142" s="433"/>
      <c r="AS142" s="433">
        <v>1</v>
      </c>
      <c r="AT142" s="433"/>
      <c r="AU142" s="433"/>
      <c r="AV142" s="433"/>
      <c r="AW142" s="426"/>
      <c r="AX142" s="434"/>
      <c r="AY142" s="433"/>
      <c r="AZ142" s="433"/>
      <c r="BA142" s="433"/>
      <c r="BB142" s="433"/>
      <c r="BC142" s="433"/>
      <c r="BD142" s="433"/>
      <c r="BE142" s="433"/>
      <c r="BF142" s="433"/>
      <c r="BG142" s="426"/>
      <c r="BH142" s="1033"/>
      <c r="BI142" s="1149"/>
      <c r="BJ142" s="1035"/>
      <c r="BK142" s="1035"/>
      <c r="BL142" s="1035"/>
      <c r="BM142" s="1035"/>
      <c r="BN142" s="1035">
        <f>+F142</f>
        <v>24.704000000000001</v>
      </c>
      <c r="BO142" s="1035"/>
      <c r="BP142" s="1036"/>
      <c r="BQ142" s="434"/>
      <c r="BR142" s="433"/>
      <c r="BS142" s="1280"/>
      <c r="BT142" s="426"/>
      <c r="BU142" s="1293"/>
      <c r="BV142" s="1272"/>
      <c r="BW142" s="426"/>
      <c r="BX142" s="434">
        <f>+I142*J142</f>
        <v>45.144000000000005</v>
      </c>
      <c r="BY142" s="433"/>
      <c r="BZ142" s="1280"/>
      <c r="CA142" s="434">
        <f>+F142</f>
        <v>24.704000000000001</v>
      </c>
      <c r="CB142" s="433"/>
      <c r="CC142" s="426"/>
      <c r="CE142" s="434"/>
      <c r="CF142" s="433"/>
      <c r="CG142" s="433"/>
      <c r="CH142" s="433"/>
      <c r="CI142" s="426">
        <f t="shared" si="174"/>
        <v>3</v>
      </c>
      <c r="CJ142" s="1203">
        <v>3</v>
      </c>
      <c r="CK142" s="433"/>
      <c r="CL142" s="433">
        <v>1</v>
      </c>
      <c r="CM142" s="433"/>
      <c r="CN142" s="433"/>
      <c r="CO142" s="433">
        <v>1</v>
      </c>
      <c r="CP142" s="433"/>
      <c r="CQ142" s="433"/>
      <c r="CR142" s="433"/>
      <c r="CS142" s="433"/>
      <c r="CT142" s="433"/>
      <c r="CU142" s="426"/>
      <c r="CV142" s="1377"/>
      <c r="CW142" s="1134"/>
      <c r="CX142" s="1135"/>
      <c r="CY142" s="1135"/>
      <c r="CZ142" s="1136"/>
      <c r="DA142" s="1136"/>
      <c r="DB142" s="1134"/>
      <c r="DC142" s="1135"/>
      <c r="DD142" s="1135"/>
      <c r="DE142" s="1135"/>
      <c r="DF142" s="1444"/>
    </row>
    <row r="143" spans="1:116" ht="13">
      <c r="A143" s="2255"/>
      <c r="B143" s="1301"/>
      <c r="C143" s="1250" t="s">
        <v>2172</v>
      </c>
      <c r="D143" s="1251">
        <v>6.4</v>
      </c>
      <c r="E143" s="1252">
        <v>3.86</v>
      </c>
      <c r="F143" s="1252">
        <f>+D143*E143</f>
        <v>24.704000000000001</v>
      </c>
      <c r="G143" s="1253">
        <f>+D143*2+E143*2</f>
        <v>20.52</v>
      </c>
      <c r="H143" s="1254">
        <v>0</v>
      </c>
      <c r="I143" s="1068">
        <f t="shared" ref="I143" si="180">+G143-H143</f>
        <v>20.52</v>
      </c>
      <c r="J143" s="1253">
        <v>2.2000000000000002</v>
      </c>
      <c r="K143" s="1436"/>
      <c r="L143" s="1437"/>
      <c r="M143" s="1027"/>
      <c r="N143" s="1146"/>
      <c r="O143" s="1162">
        <f>+F143</f>
        <v>24.704000000000001</v>
      </c>
      <c r="P143" s="1162"/>
      <c r="Q143" s="1162"/>
      <c r="R143" s="1162">
        <f>+F143</f>
        <v>24.704000000000001</v>
      </c>
      <c r="S143" s="1163"/>
      <c r="T143" s="1027"/>
      <c r="U143" s="432"/>
      <c r="V143" s="430"/>
      <c r="W143" s="430"/>
      <c r="X143" s="430"/>
      <c r="Y143" s="431"/>
      <c r="Z143" s="1027"/>
      <c r="AA143" s="1146"/>
      <c r="AB143" s="1396"/>
      <c r="AC143" s="1396">
        <f>+F143</f>
        <v>24.704000000000001</v>
      </c>
      <c r="AD143" s="1163">
        <f>+F143</f>
        <v>24.704000000000001</v>
      </c>
      <c r="AE143" s="1028"/>
      <c r="AF143" s="432"/>
      <c r="AG143" s="430"/>
      <c r="AH143" s="430"/>
      <c r="AI143" s="430"/>
      <c r="AJ143" s="430"/>
      <c r="AK143" s="1222"/>
      <c r="AL143" s="430"/>
      <c r="AM143" s="1222"/>
      <c r="AN143" s="431"/>
      <c r="AO143" s="1029"/>
      <c r="AP143" s="432"/>
      <c r="AQ143" s="430"/>
      <c r="AR143" s="430"/>
      <c r="AS143" s="430"/>
      <c r="AT143" s="430"/>
      <c r="AU143" s="430"/>
      <c r="AV143" s="430"/>
      <c r="AW143" s="431"/>
      <c r="AX143" s="432"/>
      <c r="AY143" s="430"/>
      <c r="AZ143" s="430"/>
      <c r="BA143" s="430"/>
      <c r="BB143" s="430"/>
      <c r="BC143" s="430"/>
      <c r="BD143" s="430"/>
      <c r="BE143" s="430"/>
      <c r="BF143" s="430"/>
      <c r="BG143" s="431"/>
      <c r="BH143" s="1033"/>
      <c r="BI143" s="1166"/>
      <c r="BJ143" s="1084"/>
      <c r="BK143" s="1084"/>
      <c r="BL143" s="1084"/>
      <c r="BM143" s="1084"/>
      <c r="BN143" s="1084"/>
      <c r="BO143" s="1084"/>
      <c r="BP143" s="1086"/>
      <c r="BQ143" s="432"/>
      <c r="BR143" s="430"/>
      <c r="BS143" s="1277"/>
      <c r="BT143" s="431"/>
      <c r="BU143" s="1293"/>
      <c r="BV143" s="432"/>
      <c r="BW143" s="431"/>
      <c r="BX143" s="432"/>
      <c r="BY143" s="430"/>
      <c r="BZ143" s="1277"/>
      <c r="CA143" s="432"/>
      <c r="CB143" s="430"/>
      <c r="CC143" s="431"/>
      <c r="CE143" s="432"/>
      <c r="CF143" s="430"/>
      <c r="CG143" s="430"/>
      <c r="CH143" s="430"/>
      <c r="CI143" s="431"/>
      <c r="CJ143" s="1205"/>
      <c r="CK143" s="430"/>
      <c r="CL143" s="430"/>
      <c r="CM143" s="430"/>
      <c r="CN143" s="430"/>
      <c r="CO143" s="430"/>
      <c r="CP143" s="430"/>
      <c r="CQ143" s="430"/>
      <c r="CR143" s="430"/>
      <c r="CS143" s="430"/>
      <c r="CT143" s="430"/>
      <c r="CU143" s="431"/>
      <c r="CV143" s="1377"/>
      <c r="CW143" s="1445"/>
      <c r="CX143" s="1446"/>
      <c r="CY143" s="1446"/>
      <c r="CZ143" s="1447"/>
      <c r="DA143" s="1447"/>
      <c r="DB143" s="1445"/>
      <c r="DC143" s="1446"/>
      <c r="DD143" s="1446"/>
      <c r="DE143" s="1446"/>
      <c r="DF143" s="1448"/>
    </row>
    <row r="144" spans="1:116" ht="13">
      <c r="A144" s="1461"/>
      <c r="B144" s="1240"/>
      <c r="C144" s="1241"/>
      <c r="D144" s="1242"/>
      <c r="E144" s="1243"/>
      <c r="F144" s="1439">
        <f>SUM(F8:F143)</f>
        <v>1890.7940000000001</v>
      </c>
      <c r="G144" s="1461">
        <f>SUM(G8:G141)</f>
        <v>1619.4999999999998</v>
      </c>
      <c r="H144" s="1243"/>
      <c r="I144" s="1244"/>
      <c r="J144" s="1242"/>
      <c r="K144" s="1438"/>
      <c r="L144" s="1439"/>
      <c r="M144" s="1010"/>
      <c r="N144" s="1124">
        <f t="shared" ref="N144:S144" si="181">ROUNDUP(SUM(N8:N143),0)</f>
        <v>878</v>
      </c>
      <c r="O144" s="1120">
        <f t="shared" si="181"/>
        <v>235</v>
      </c>
      <c r="P144" s="1120">
        <f t="shared" si="181"/>
        <v>48</v>
      </c>
      <c r="Q144" s="1120">
        <f t="shared" si="181"/>
        <v>104</v>
      </c>
      <c r="R144" s="1120">
        <f t="shared" si="181"/>
        <v>564</v>
      </c>
      <c r="S144" s="1126">
        <f t="shared" si="181"/>
        <v>438</v>
      </c>
      <c r="T144" s="1155"/>
      <c r="U144" s="1184">
        <f t="shared" ref="U144:X144" si="182">SUM(U8:U143)</f>
        <v>2514.8970000000013</v>
      </c>
      <c r="V144" s="442">
        <f t="shared" si="182"/>
        <v>509.9</v>
      </c>
      <c r="W144" s="442">
        <f t="shared" si="182"/>
        <v>198</v>
      </c>
      <c r="X144" s="442">
        <f t="shared" si="182"/>
        <v>670.322</v>
      </c>
      <c r="Y144" s="1185">
        <f>SUM(Y8:Y143)</f>
        <v>995.85109999999997</v>
      </c>
      <c r="Z144" s="1121"/>
      <c r="AA144" s="1124">
        <f>ROUNDUP(SUM(AA8:AA143),0)</f>
        <v>103</v>
      </c>
      <c r="AB144" s="1120">
        <f t="shared" ref="AB144:AD144" si="183">ROUNDUP(SUM(AB8:AB143),0)</f>
        <v>48</v>
      </c>
      <c r="AC144" s="1120">
        <f t="shared" si="183"/>
        <v>262</v>
      </c>
      <c r="AD144" s="1126">
        <f t="shared" si="183"/>
        <v>425</v>
      </c>
      <c r="AE144" s="1122"/>
      <c r="AF144" s="1184">
        <f>SUM(AF8:AF143)</f>
        <v>334.91519999999997</v>
      </c>
      <c r="AG144" s="442">
        <f t="shared" ref="AG144:AN144" si="184">SUM(AG8:AG143)</f>
        <v>280.3913</v>
      </c>
      <c r="AH144" s="442">
        <f t="shared" si="184"/>
        <v>1058.3799999999997</v>
      </c>
      <c r="AI144" s="442">
        <f t="shared" si="184"/>
        <v>60.8</v>
      </c>
      <c r="AJ144" s="442">
        <f t="shared" si="184"/>
        <v>6.4</v>
      </c>
      <c r="AK144" s="442">
        <f t="shared" si="184"/>
        <v>504.12220000000002</v>
      </c>
      <c r="AL144" s="442">
        <f t="shared" si="184"/>
        <v>555.99</v>
      </c>
      <c r="AM144" s="442">
        <f t="shared" si="184"/>
        <v>0</v>
      </c>
      <c r="AN144" s="1185">
        <f t="shared" si="184"/>
        <v>429.07780000000002</v>
      </c>
      <c r="AO144" s="1123"/>
      <c r="AP144" s="1184">
        <f>SUM(AP8:AP143)</f>
        <v>16</v>
      </c>
      <c r="AQ144" s="442">
        <f t="shared" ref="AQ144:BG144" si="185">SUM(AQ8:AQ143)</f>
        <v>47</v>
      </c>
      <c r="AR144" s="442">
        <f t="shared" si="185"/>
        <v>5</v>
      </c>
      <c r="AS144" s="442">
        <f t="shared" si="185"/>
        <v>2</v>
      </c>
      <c r="AT144" s="442">
        <f t="shared" si="185"/>
        <v>2</v>
      </c>
      <c r="AU144" s="442">
        <f t="shared" si="185"/>
        <v>7</v>
      </c>
      <c r="AV144" s="442">
        <f t="shared" si="185"/>
        <v>10</v>
      </c>
      <c r="AW144" s="1185">
        <f t="shared" si="185"/>
        <v>39</v>
      </c>
      <c r="AX144" s="1184">
        <f t="shared" si="185"/>
        <v>1</v>
      </c>
      <c r="AY144" s="442">
        <f t="shared" si="185"/>
        <v>21</v>
      </c>
      <c r="AZ144" s="442">
        <f t="shared" si="185"/>
        <v>1</v>
      </c>
      <c r="BA144" s="442">
        <f t="shared" si="185"/>
        <v>3</v>
      </c>
      <c r="BB144" s="442">
        <f t="shared" si="185"/>
        <v>7</v>
      </c>
      <c r="BC144" s="442">
        <f t="shared" si="185"/>
        <v>7</v>
      </c>
      <c r="BD144" s="442">
        <f t="shared" si="185"/>
        <v>7</v>
      </c>
      <c r="BE144" s="442">
        <f t="shared" si="185"/>
        <v>2</v>
      </c>
      <c r="BF144" s="442">
        <f t="shared" si="185"/>
        <v>1</v>
      </c>
      <c r="BG144" s="1185">
        <f t="shared" si="185"/>
        <v>1</v>
      </c>
      <c r="BH144" s="1121"/>
      <c r="BI144" s="1124">
        <f t="shared" ref="BI144:BT144" si="186">ROUNDUP(SUM(BI8:BI143),0)</f>
        <v>226</v>
      </c>
      <c r="BJ144" s="1120">
        <f t="shared" si="186"/>
        <v>30</v>
      </c>
      <c r="BK144" s="1120">
        <f t="shared" si="186"/>
        <v>942</v>
      </c>
      <c r="BL144" s="1120">
        <f t="shared" si="186"/>
        <v>110</v>
      </c>
      <c r="BM144" s="1120">
        <f t="shared" si="186"/>
        <v>185</v>
      </c>
      <c r="BN144" s="1120">
        <f t="shared" si="186"/>
        <v>128</v>
      </c>
      <c r="BO144" s="1120">
        <f t="shared" si="186"/>
        <v>74</v>
      </c>
      <c r="BP144" s="1126">
        <f t="shared" si="186"/>
        <v>48</v>
      </c>
      <c r="BQ144" s="1184">
        <f t="shared" si="186"/>
        <v>779</v>
      </c>
      <c r="BR144" s="442">
        <f t="shared" si="186"/>
        <v>37</v>
      </c>
      <c r="BS144" s="442">
        <f t="shared" si="186"/>
        <v>433</v>
      </c>
      <c r="BT144" s="1185">
        <f t="shared" si="186"/>
        <v>155</v>
      </c>
      <c r="BV144" s="1184">
        <f>ROUNDUP(SUM(BV8:BV143),0)</f>
        <v>40</v>
      </c>
      <c r="BW144" s="1308">
        <f t="shared" ref="BW144:CB144" si="187">ROUNDUP(SUM(BW8:BW143),0)</f>
        <v>511</v>
      </c>
      <c r="BX144" s="1453">
        <f t="shared" si="187"/>
        <v>961</v>
      </c>
      <c r="BY144" s="1454">
        <f t="shared" si="187"/>
        <v>2670</v>
      </c>
      <c r="BZ144" s="1321">
        <f t="shared" si="187"/>
        <v>0</v>
      </c>
      <c r="CA144" s="1453">
        <f t="shared" si="187"/>
        <v>422</v>
      </c>
      <c r="CB144" s="1454">
        <f t="shared" si="187"/>
        <v>518</v>
      </c>
      <c r="CC144" s="1308">
        <f>ROUNDUP(SUM(CC8:CC143),0)</f>
        <v>612</v>
      </c>
      <c r="CE144" s="1184">
        <f>SUM(CE8:CE143)</f>
        <v>17</v>
      </c>
      <c r="CF144" s="442">
        <f t="shared" ref="CF144:CU144" si="188">SUM(CF8:CF143)</f>
        <v>1</v>
      </c>
      <c r="CG144" s="442">
        <f t="shared" si="188"/>
        <v>33</v>
      </c>
      <c r="CH144" s="442">
        <f t="shared" si="188"/>
        <v>27</v>
      </c>
      <c r="CI144" s="1185">
        <f t="shared" si="188"/>
        <v>137</v>
      </c>
      <c r="CJ144" s="1181">
        <f t="shared" si="188"/>
        <v>392</v>
      </c>
      <c r="CK144" s="442">
        <f t="shared" si="188"/>
        <v>19</v>
      </c>
      <c r="CL144" s="442">
        <f t="shared" si="188"/>
        <v>150</v>
      </c>
      <c r="CM144" s="442">
        <f t="shared" si="188"/>
        <v>16</v>
      </c>
      <c r="CN144" s="442">
        <f t="shared" si="188"/>
        <v>90</v>
      </c>
      <c r="CO144" s="442">
        <f t="shared" si="188"/>
        <v>259</v>
      </c>
      <c r="CP144" s="442">
        <f t="shared" si="188"/>
        <v>35</v>
      </c>
      <c r="CQ144" s="442">
        <f t="shared" si="188"/>
        <v>16</v>
      </c>
      <c r="CR144" s="442">
        <f t="shared" si="188"/>
        <v>46</v>
      </c>
      <c r="CS144" s="442">
        <f>SUM(CS8:CS143)</f>
        <v>17</v>
      </c>
      <c r="CT144" s="442">
        <f t="shared" si="188"/>
        <v>11</v>
      </c>
      <c r="CU144" s="1185">
        <f t="shared" si="188"/>
        <v>15</v>
      </c>
      <c r="CV144" s="1379"/>
      <c r="CW144" s="1125">
        <f>SUM(CW8:CW143)</f>
        <v>29</v>
      </c>
      <c r="CX144" s="1120">
        <f t="shared" ref="CX144:DF144" si="189">SUM(CX8:CX143)</f>
        <v>25</v>
      </c>
      <c r="CY144" s="1120">
        <f t="shared" si="189"/>
        <v>28</v>
      </c>
      <c r="CZ144" s="1120"/>
      <c r="DA144" s="1120">
        <f t="shared" si="189"/>
        <v>16</v>
      </c>
      <c r="DB144" s="1124">
        <f t="shared" si="189"/>
        <v>27</v>
      </c>
      <c r="DC144" s="1120">
        <f t="shared" si="189"/>
        <v>28</v>
      </c>
      <c r="DD144" s="1120">
        <f t="shared" si="189"/>
        <v>25</v>
      </c>
      <c r="DE144" s="1120">
        <f t="shared" si="189"/>
        <v>18</v>
      </c>
      <c r="DF144" s="1126">
        <f t="shared" si="189"/>
        <v>16</v>
      </c>
    </row>
    <row r="145" spans="1:116" ht="13">
      <c r="U145" s="137"/>
      <c r="V145" s="137"/>
      <c r="W145" s="137"/>
      <c r="X145" s="137"/>
      <c r="Y145" s="137"/>
      <c r="AF145" s="1309"/>
      <c r="AG145" s="1309"/>
      <c r="AH145" s="1309"/>
      <c r="AI145" s="1309"/>
      <c r="AJ145" s="1309"/>
      <c r="AK145" s="1309"/>
      <c r="AL145" s="1309"/>
      <c r="AM145" s="1309"/>
      <c r="AN145" s="1309"/>
      <c r="BB145" s="1278"/>
    </row>
    <row r="146" spans="1:116" ht="13">
      <c r="U146" s="137"/>
      <c r="V146" s="137"/>
      <c r="W146" s="137"/>
      <c r="X146" s="137"/>
      <c r="Y146" s="137"/>
      <c r="AA146" s="1131">
        <v>1.35</v>
      </c>
      <c r="AD146" s="1131">
        <v>1.2</v>
      </c>
      <c r="AG146" s="283">
        <f>+AF144+AG144</f>
        <v>615.30649999999991</v>
      </c>
      <c r="AN146" s="283">
        <f>+AF144+AG144+AK144+AN144</f>
        <v>1548.5065</v>
      </c>
      <c r="BG146" s="137">
        <f>+SUM(AX144:BG144)</f>
        <v>51</v>
      </c>
      <c r="CC146" s="283">
        <f>+SUM(CA144:CC144)</f>
        <v>1552</v>
      </c>
      <c r="CO146" s="324">
        <f>+SUM(CN144:CO144)</f>
        <v>349</v>
      </c>
    </row>
    <row r="147" spans="1:116" s="1130" customFormat="1" ht="13">
      <c r="A147" s="964"/>
      <c r="B147" s="1127"/>
      <c r="C147" s="16"/>
      <c r="D147" s="1011"/>
      <c r="E147" s="1011"/>
      <c r="F147" s="1011"/>
      <c r="G147" s="1011"/>
      <c r="H147" s="1128"/>
      <c r="I147" s="1011"/>
      <c r="J147" s="1011"/>
      <c r="K147" s="1440"/>
      <c r="L147" s="1441"/>
      <c r="M147" s="1129"/>
      <c r="N147" s="1131"/>
      <c r="O147" s="1131"/>
      <c r="P147" s="1131"/>
      <c r="Q147" s="1131"/>
      <c r="R147" s="1131"/>
      <c r="S147" s="1131"/>
      <c r="T147" s="1129"/>
      <c r="U147" s="137">
        <f>+U144+X144+Y144</f>
        <v>4181.0701000000017</v>
      </c>
      <c r="V147" s="137"/>
      <c r="W147" s="137"/>
      <c r="X147" s="137"/>
      <c r="Z147" s="1129"/>
      <c r="AA147" s="1131">
        <f>+AA144*AA146</f>
        <v>139.05000000000001</v>
      </c>
      <c r="AB147" s="1131"/>
      <c r="AC147" s="1131"/>
      <c r="AD147" s="1131">
        <f>+AD144*AD146</f>
        <v>510</v>
      </c>
      <c r="AE147" s="1283"/>
      <c r="AF147" s="283"/>
      <c r="AG147" s="283"/>
      <c r="AH147" s="283"/>
      <c r="AI147" s="283"/>
      <c r="AJ147" s="283"/>
      <c r="AK147" s="283"/>
      <c r="AL147" s="283"/>
      <c r="AM147" s="283"/>
      <c r="AN147" s="283"/>
      <c r="AO147" s="1129"/>
      <c r="AP147" s="137"/>
      <c r="AQ147" s="137"/>
      <c r="AR147" s="137"/>
      <c r="AS147" s="137">
        <f>+AR144+AS144+AP144</f>
        <v>23</v>
      </c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010"/>
      <c r="BI147" s="1127"/>
      <c r="BJ147" s="1127"/>
      <c r="BK147" s="1127"/>
      <c r="BL147" s="1127"/>
      <c r="BM147" s="1127"/>
      <c r="BN147" s="1127"/>
      <c r="BO147" s="1127"/>
      <c r="BP147" s="1127"/>
      <c r="BQ147" s="137"/>
      <c r="BR147" s="137"/>
      <c r="BS147" s="137"/>
      <c r="BT147" s="137"/>
      <c r="BU147" s="443"/>
      <c r="BV147" s="137"/>
      <c r="BW147" s="137"/>
      <c r="BX147" s="137"/>
      <c r="BY147" s="137">
        <f>+SUM(BV144:BY144)</f>
        <v>4182</v>
      </c>
      <c r="BZ147" s="137"/>
      <c r="CA147" s="137"/>
      <c r="CB147" s="137"/>
      <c r="CC147" s="137"/>
      <c r="CD147" s="1010"/>
      <c r="CE147" s="283"/>
      <c r="CF147" s="283"/>
      <c r="CG147" s="283"/>
      <c r="CH147" s="283"/>
      <c r="CI147" s="283"/>
      <c r="CJ147" s="283"/>
      <c r="CK147" s="283"/>
      <c r="CL147" s="283"/>
      <c r="CM147" s="283"/>
      <c r="CN147" s="283"/>
      <c r="CO147" s="283"/>
      <c r="CP147" s="283"/>
      <c r="CQ147" s="283"/>
      <c r="CR147" s="283"/>
      <c r="CS147" s="283"/>
      <c r="CT147" s="283"/>
      <c r="CU147" s="283"/>
      <c r="CV147" s="283"/>
      <c r="CW147" s="1131"/>
      <c r="CX147" s="1131"/>
      <c r="CY147" s="1127"/>
      <c r="CZ147" s="1127"/>
      <c r="DA147" s="1127"/>
      <c r="DB147" s="1127"/>
      <c r="DC147" s="1127"/>
      <c r="DD147" s="1127"/>
      <c r="DE147" s="1127"/>
      <c r="DF147" s="1127"/>
      <c r="DG147" s="1010"/>
      <c r="DH147" s="1011"/>
      <c r="DI147" s="1011"/>
      <c r="DJ147" s="1011"/>
      <c r="DK147" s="1011"/>
      <c r="DL147" s="1011"/>
    </row>
    <row r="148" spans="1:116" s="1130" customFormat="1" ht="13">
      <c r="A148" s="964"/>
      <c r="B148" s="1127"/>
      <c r="C148" s="16"/>
      <c r="D148" s="1011"/>
      <c r="E148" s="1011"/>
      <c r="F148" s="1011"/>
      <c r="G148" s="1011"/>
      <c r="H148" s="1128"/>
      <c r="I148" s="1011"/>
      <c r="J148" s="1011"/>
      <c r="K148" s="1440"/>
      <c r="L148" s="1441"/>
      <c r="M148" s="1129"/>
      <c r="N148" s="1131"/>
      <c r="O148" s="1131"/>
      <c r="P148" s="1131"/>
      <c r="Q148" s="1131"/>
      <c r="R148" s="1131"/>
      <c r="S148" s="1131"/>
      <c r="T148" s="1129"/>
      <c r="U148" s="137"/>
      <c r="V148" s="137"/>
      <c r="W148" s="137"/>
      <c r="X148" s="137"/>
      <c r="Y148" s="137"/>
      <c r="Z148" s="1129"/>
      <c r="AA148" s="1131"/>
      <c r="AB148" s="1131"/>
      <c r="AC148" s="1131"/>
      <c r="AD148" s="1131"/>
      <c r="AE148" s="1283"/>
      <c r="AF148" s="283"/>
      <c r="AG148" s="283"/>
      <c r="AH148" s="283"/>
      <c r="AI148" s="283"/>
      <c r="AJ148" s="283"/>
      <c r="AK148" s="283"/>
      <c r="AL148" s="283"/>
      <c r="AM148" s="283"/>
      <c r="AN148" s="283"/>
      <c r="AO148" s="1129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010"/>
      <c r="BI148" s="1127"/>
      <c r="BJ148" s="1127"/>
      <c r="BK148" s="1127"/>
      <c r="BL148" s="1127"/>
      <c r="BM148" s="1127"/>
      <c r="BN148" s="1127"/>
      <c r="BO148" s="1127"/>
      <c r="BP148" s="1127"/>
      <c r="BQ148" s="137"/>
      <c r="BR148" s="137"/>
      <c r="BS148" s="137"/>
      <c r="BT148" s="137"/>
      <c r="BU148" s="443"/>
      <c r="BV148" s="137"/>
      <c r="BW148" s="137"/>
      <c r="BX148" s="137"/>
      <c r="BY148" s="16"/>
      <c r="BZ148" s="137"/>
      <c r="CA148" s="137"/>
      <c r="CB148" s="137"/>
      <c r="CC148" s="137"/>
      <c r="CD148" s="1010"/>
      <c r="CE148" s="283"/>
      <c r="CF148" s="283"/>
      <c r="CG148" s="283"/>
      <c r="CH148" s="283"/>
      <c r="CI148" s="283"/>
      <c r="CJ148" s="283"/>
      <c r="CK148" s="283"/>
      <c r="CL148" s="283"/>
      <c r="CM148" s="283"/>
      <c r="CN148" s="283"/>
      <c r="CO148" s="283"/>
      <c r="CP148" s="283"/>
      <c r="CQ148" s="283"/>
      <c r="CR148" s="283"/>
      <c r="CS148" s="283"/>
      <c r="CT148" s="283"/>
      <c r="CU148" s="283"/>
      <c r="CV148" s="283"/>
      <c r="CW148" s="1131"/>
      <c r="CX148" s="1131"/>
      <c r="CY148" s="1127"/>
      <c r="CZ148" s="1127"/>
      <c r="DA148" s="1127"/>
      <c r="DB148" s="1127"/>
      <c r="DC148" s="1127"/>
      <c r="DD148" s="1127"/>
      <c r="DE148" s="1127"/>
      <c r="DF148" s="1127"/>
      <c r="DG148" s="1010"/>
      <c r="DH148" s="1011"/>
      <c r="DI148" s="1011"/>
      <c r="DJ148" s="1011"/>
      <c r="DK148" s="1011"/>
      <c r="DL148" s="1011"/>
    </row>
    <row r="149" spans="1:116" s="1130" customFormat="1" ht="13">
      <c r="A149" s="964"/>
      <c r="B149" s="1127"/>
      <c r="C149" s="16"/>
      <c r="D149" s="1011"/>
      <c r="E149" s="1011"/>
      <c r="F149" s="1011"/>
      <c r="G149" s="1011"/>
      <c r="H149" s="1128"/>
      <c r="I149" s="1011"/>
      <c r="J149" s="1011"/>
      <c r="K149" s="1440"/>
      <c r="L149" s="1441"/>
      <c r="M149" s="1129"/>
      <c r="N149" s="1131"/>
      <c r="O149" s="1131"/>
      <c r="P149" s="1131"/>
      <c r="Q149" s="1131"/>
      <c r="R149" s="1131"/>
      <c r="S149" s="1131"/>
      <c r="T149" s="1129"/>
      <c r="U149" s="137"/>
      <c r="V149" s="137"/>
      <c r="W149" s="137"/>
      <c r="X149" s="137"/>
      <c r="Y149" s="137"/>
      <c r="Z149" s="1129"/>
      <c r="AA149" s="1131"/>
      <c r="AB149" s="1131"/>
      <c r="AC149" s="1131"/>
      <c r="AD149" s="1131"/>
      <c r="AE149" s="1283"/>
      <c r="AF149" s="283"/>
      <c r="AG149" s="283"/>
      <c r="AH149" s="283"/>
      <c r="AI149" s="283"/>
      <c r="AJ149" s="283"/>
      <c r="AK149" s="283"/>
      <c r="AL149" s="283"/>
      <c r="AM149" s="283"/>
      <c r="AN149" s="283"/>
      <c r="AO149" s="1129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010"/>
      <c r="BI149" s="1127"/>
      <c r="BJ149" s="1127"/>
      <c r="BK149" s="1127"/>
      <c r="BL149" s="1127"/>
      <c r="BM149" s="1127"/>
      <c r="BN149" s="1127"/>
      <c r="BO149" s="1127"/>
      <c r="BP149" s="1127"/>
      <c r="BQ149" s="137"/>
      <c r="BR149" s="137"/>
      <c r="BS149" s="137"/>
      <c r="BT149" s="137"/>
      <c r="BU149" s="443"/>
      <c r="BV149" s="137"/>
      <c r="BW149" s="137"/>
      <c r="BX149" s="137"/>
      <c r="BY149" s="137"/>
      <c r="BZ149" s="137"/>
      <c r="CA149" s="137"/>
      <c r="CB149" s="137"/>
      <c r="CC149" s="137"/>
      <c r="CD149" s="1010"/>
      <c r="CE149" s="283"/>
      <c r="CF149" s="283"/>
      <c r="CG149" s="283"/>
      <c r="CH149" s="283"/>
      <c r="CI149" s="283"/>
      <c r="CJ149" s="283"/>
      <c r="CK149" s="283"/>
      <c r="CL149" s="283"/>
      <c r="CM149" s="283"/>
      <c r="CN149" s="283"/>
      <c r="CO149" s="283"/>
      <c r="CP149" s="283"/>
      <c r="CQ149" s="283"/>
      <c r="CR149" s="283"/>
      <c r="CS149" s="283"/>
      <c r="CT149" s="283"/>
      <c r="CU149" s="283"/>
      <c r="CV149" s="283"/>
      <c r="CW149" s="1131"/>
      <c r="CX149" s="1131"/>
      <c r="CY149" s="1127"/>
      <c r="CZ149" s="1127"/>
      <c r="DA149" s="1127"/>
      <c r="DB149" s="1127"/>
      <c r="DC149" s="1127"/>
      <c r="DD149" s="1127"/>
      <c r="DE149" s="1127"/>
      <c r="DF149" s="1127"/>
      <c r="DG149" s="1010"/>
      <c r="DH149" s="1011"/>
      <c r="DI149" s="1011"/>
      <c r="DJ149" s="1011"/>
      <c r="DK149" s="1011"/>
      <c r="DL149" s="1011"/>
    </row>
  </sheetData>
  <mergeCells count="29">
    <mergeCell ref="CW2:DA3"/>
    <mergeCell ref="DB2:DF3"/>
    <mergeCell ref="A1:B1"/>
    <mergeCell ref="A2:B2"/>
    <mergeCell ref="AA2:AD3"/>
    <mergeCell ref="AF2:AN3"/>
    <mergeCell ref="AP2:BG2"/>
    <mergeCell ref="A3:B3"/>
    <mergeCell ref="U3:Y3"/>
    <mergeCell ref="AP3:AW3"/>
    <mergeCell ref="CJ3:CU3"/>
    <mergeCell ref="CE3:CI3"/>
    <mergeCell ref="CE2:CU2"/>
    <mergeCell ref="AX3:BG3"/>
    <mergeCell ref="BX3:BZ3"/>
    <mergeCell ref="CA3:CC3"/>
    <mergeCell ref="BV2:CC2"/>
    <mergeCell ref="A142:A143"/>
    <mergeCell ref="N2:S3"/>
    <mergeCell ref="A54:A93"/>
    <mergeCell ref="A95:A131"/>
    <mergeCell ref="A132:A141"/>
    <mergeCell ref="A26:A53"/>
    <mergeCell ref="A8:A25"/>
    <mergeCell ref="A4:B4"/>
    <mergeCell ref="BI2:BP3"/>
    <mergeCell ref="BQ2:BT3"/>
    <mergeCell ref="BV3:BW3"/>
    <mergeCell ref="U2:Y2"/>
  </mergeCells>
  <phoneticPr fontId="74" type="noConversion"/>
  <pageMargins left="0.7" right="0.7" top="0.75" bottom="0.75" header="0.3" footer="0.3"/>
  <pageSetup paperSize="6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E693-E46C-4E9C-B4E5-3D8DB8491751}">
  <sheetPr>
    <tabColor rgb="FF92D050"/>
  </sheetPr>
  <dimension ref="A2:P266"/>
  <sheetViews>
    <sheetView workbookViewId="0"/>
  </sheetViews>
  <sheetFormatPr defaultColWidth="11.54296875" defaultRowHeight="13"/>
  <cols>
    <col min="1" max="1" width="17.26953125" style="1" bestFit="1" customWidth="1"/>
    <col min="2" max="2" width="27.26953125" style="1" bestFit="1" customWidth="1"/>
    <col min="3" max="3" width="7.54296875" style="117" bestFit="1" customWidth="1"/>
    <col min="4" max="4" width="7" style="117" bestFit="1" customWidth="1"/>
    <col min="5" max="5" width="10.26953125" style="117" bestFit="1" customWidth="1"/>
    <col min="6" max="6" width="12.7265625" style="1" bestFit="1" customWidth="1"/>
    <col min="7" max="7" width="10.81640625" style="1" bestFit="1" customWidth="1"/>
    <col min="8" max="8" width="7.54296875" style="1" bestFit="1" customWidth="1"/>
    <col min="9" max="9" width="10.81640625" style="1" bestFit="1" customWidth="1"/>
    <col min="10" max="10" width="19.453125" style="1" bestFit="1" customWidth="1"/>
    <col min="11" max="11" width="6.54296875" style="1" bestFit="1" customWidth="1"/>
    <col min="12" max="12" width="8.7265625" style="1" bestFit="1" customWidth="1"/>
    <col min="13" max="13" width="12.7265625" style="1" bestFit="1" customWidth="1"/>
    <col min="14" max="14" width="8.54296875" style="1" bestFit="1" customWidth="1"/>
    <col min="15" max="15" width="9" style="1" bestFit="1" customWidth="1"/>
    <col min="16" max="16384" width="11.54296875" style="1"/>
  </cols>
  <sheetData>
    <row r="2" spans="2:14">
      <c r="B2" s="3" t="s">
        <v>370</v>
      </c>
    </row>
    <row r="3" spans="2:14">
      <c r="C3" s="119" t="s">
        <v>212</v>
      </c>
      <c r="D3" s="119" t="s">
        <v>215</v>
      </c>
      <c r="E3" s="119" t="s">
        <v>4</v>
      </c>
      <c r="F3" s="414" t="s">
        <v>371</v>
      </c>
      <c r="J3" s="1" t="s">
        <v>372</v>
      </c>
      <c r="K3" s="117" t="s">
        <v>212</v>
      </c>
      <c r="L3" s="117" t="s">
        <v>215</v>
      </c>
      <c r="M3" s="117" t="s">
        <v>4</v>
      </c>
    </row>
    <row r="4" spans="2:14">
      <c r="B4" s="3" t="s">
        <v>14</v>
      </c>
      <c r="C4" s="119"/>
      <c r="D4" s="119"/>
      <c r="E4" s="119"/>
      <c r="F4" s="3">
        <f>+SUM(E5:E27)</f>
        <v>48.325500000000005</v>
      </c>
      <c r="J4" s="1" t="s">
        <v>14</v>
      </c>
      <c r="N4" s="3">
        <f>+SUM(M5:M7)</f>
        <v>130.24800000000002</v>
      </c>
    </row>
    <row r="5" spans="2:14">
      <c r="B5" s="1" t="s">
        <v>373</v>
      </c>
      <c r="C5" s="117">
        <v>0.75</v>
      </c>
      <c r="D5" s="117">
        <v>3.3</v>
      </c>
      <c r="E5" s="117">
        <f>+C5*D5</f>
        <v>2.4749999999999996</v>
      </c>
      <c r="J5" s="1" t="s">
        <v>374</v>
      </c>
      <c r="K5" s="1">
        <v>20.22</v>
      </c>
      <c r="L5" s="1">
        <v>2.7</v>
      </c>
      <c r="M5" s="1">
        <f>+K5*L5</f>
        <v>54.594000000000001</v>
      </c>
    </row>
    <row r="6" spans="2:14">
      <c r="B6" s="1" t="s">
        <v>380</v>
      </c>
      <c r="C6" s="117">
        <v>0.75</v>
      </c>
      <c r="D6" s="117">
        <v>3.3</v>
      </c>
      <c r="E6" s="117">
        <f t="shared" ref="E6:E27" si="0">+C6*D6</f>
        <v>2.4749999999999996</v>
      </c>
      <c r="J6" s="1" t="s">
        <v>376</v>
      </c>
      <c r="K6" s="1">
        <v>19.440000000000001</v>
      </c>
      <c r="L6" s="1">
        <v>2.7</v>
      </c>
      <c r="M6" s="1">
        <f>+K6*L6</f>
        <v>52.488000000000007</v>
      </c>
    </row>
    <row r="7" spans="2:14">
      <c r="B7" s="1" t="s">
        <v>2180</v>
      </c>
      <c r="C7" s="117">
        <v>0.75</v>
      </c>
      <c r="D7" s="117">
        <v>3.3</v>
      </c>
      <c r="E7" s="117">
        <f t="shared" si="0"/>
        <v>2.4749999999999996</v>
      </c>
      <c r="J7" s="1" t="s">
        <v>378</v>
      </c>
      <c r="K7" s="1">
        <v>8.58</v>
      </c>
      <c r="L7" s="1">
        <v>2.7</v>
      </c>
      <c r="M7" s="1">
        <f>+K7*L7</f>
        <v>23.166</v>
      </c>
    </row>
    <row r="8" spans="2:14">
      <c r="B8" s="1" t="s">
        <v>375</v>
      </c>
      <c r="C8" s="117">
        <v>0.75</v>
      </c>
      <c r="D8" s="117">
        <v>3.3</v>
      </c>
      <c r="E8" s="117">
        <f t="shared" si="0"/>
        <v>2.4749999999999996</v>
      </c>
      <c r="J8" s="1" t="s">
        <v>379</v>
      </c>
      <c r="N8" s="3">
        <f>+SUM(M9:M11)</f>
        <v>108.80699999999999</v>
      </c>
    </row>
    <row r="9" spans="2:14">
      <c r="B9" s="1" t="s">
        <v>2181</v>
      </c>
      <c r="C9" s="117">
        <v>0.75</v>
      </c>
      <c r="D9" s="117">
        <v>3.3</v>
      </c>
      <c r="E9" s="117">
        <f t="shared" si="0"/>
        <v>2.4749999999999996</v>
      </c>
      <c r="J9" s="1" t="s">
        <v>374</v>
      </c>
      <c r="K9" s="1">
        <v>20.22</v>
      </c>
      <c r="L9" s="1">
        <f>2.8-0.5</f>
        <v>2.2999999999999998</v>
      </c>
      <c r="M9" s="1">
        <f>+K9*L9</f>
        <v>46.505999999999993</v>
      </c>
    </row>
    <row r="10" spans="2:14">
      <c r="B10" s="1" t="s">
        <v>377</v>
      </c>
      <c r="C10" s="117">
        <v>0.75</v>
      </c>
      <c r="D10" s="117">
        <v>3.3</v>
      </c>
      <c r="E10" s="117">
        <f t="shared" si="0"/>
        <v>2.4749999999999996</v>
      </c>
      <c r="J10" s="1" t="s">
        <v>376</v>
      </c>
      <c r="K10" s="1">
        <v>19.440000000000001</v>
      </c>
      <c r="L10" s="1">
        <f t="shared" ref="L10" si="1">2.8-0.5</f>
        <v>2.2999999999999998</v>
      </c>
      <c r="M10" s="1">
        <f>+K10*L10</f>
        <v>44.711999999999996</v>
      </c>
    </row>
    <row r="11" spans="2:14">
      <c r="B11" s="1" t="s">
        <v>2182</v>
      </c>
      <c r="C11" s="117">
        <v>0.75</v>
      </c>
      <c r="D11" s="117">
        <v>3.3</v>
      </c>
      <c r="E11" s="117">
        <f t="shared" si="0"/>
        <v>2.4749999999999996</v>
      </c>
      <c r="J11" s="1" t="s">
        <v>378</v>
      </c>
      <c r="K11" s="1">
        <v>8.58</v>
      </c>
      <c r="L11" s="1">
        <v>2.0499999999999998</v>
      </c>
      <c r="M11" s="1">
        <f>+K11*L11</f>
        <v>17.588999999999999</v>
      </c>
    </row>
    <row r="12" spans="2:14">
      <c r="B12" s="1" t="s">
        <v>2183</v>
      </c>
      <c r="C12" s="117">
        <v>0.75</v>
      </c>
      <c r="D12" s="117">
        <v>3.3</v>
      </c>
      <c r="E12" s="117">
        <f t="shared" si="0"/>
        <v>2.4749999999999996</v>
      </c>
      <c r="M12" s="3">
        <f>SUM(M4:M11)</f>
        <v>239.05500000000001</v>
      </c>
      <c r="N12" s="415">
        <f>SUM(N4:N11)</f>
        <v>239.05500000000001</v>
      </c>
    </row>
    <row r="13" spans="2:14">
      <c r="B13" s="1" t="s">
        <v>2184</v>
      </c>
      <c r="C13" s="117">
        <v>0.75</v>
      </c>
      <c r="D13" s="117">
        <v>3.3</v>
      </c>
      <c r="E13" s="117">
        <f t="shared" si="0"/>
        <v>2.4749999999999996</v>
      </c>
    </row>
    <row r="14" spans="2:14">
      <c r="B14" s="1" t="s">
        <v>2185</v>
      </c>
      <c r="C14" s="117">
        <v>0.75</v>
      </c>
      <c r="D14" s="117">
        <v>3.3</v>
      </c>
      <c r="E14" s="117">
        <f t="shared" si="0"/>
        <v>2.4749999999999996</v>
      </c>
    </row>
    <row r="15" spans="2:14">
      <c r="B15" s="1" t="s">
        <v>2186</v>
      </c>
      <c r="C15" s="117">
        <v>0.75</v>
      </c>
      <c r="D15" s="117">
        <v>3.3</v>
      </c>
      <c r="E15" s="117">
        <f t="shared" si="0"/>
        <v>2.4749999999999996</v>
      </c>
    </row>
    <row r="16" spans="2:14">
      <c r="B16" s="1" t="s">
        <v>2187</v>
      </c>
      <c r="C16" s="117">
        <v>0.75</v>
      </c>
      <c r="D16" s="117">
        <v>3.3</v>
      </c>
      <c r="E16" s="117">
        <f t="shared" si="0"/>
        <v>2.4749999999999996</v>
      </c>
    </row>
    <row r="17" spans="2:6">
      <c r="B17" s="1" t="s">
        <v>2188</v>
      </c>
      <c r="C17" s="117">
        <v>4.3</v>
      </c>
      <c r="D17" s="117">
        <v>0.45</v>
      </c>
      <c r="E17" s="117">
        <f t="shared" si="0"/>
        <v>1.9350000000000001</v>
      </c>
    </row>
    <row r="18" spans="2:6">
      <c r="B18" s="1" t="s">
        <v>2189</v>
      </c>
      <c r="C18" s="117">
        <v>5.07</v>
      </c>
      <c r="D18" s="117">
        <v>0.45</v>
      </c>
      <c r="E18" s="117">
        <f t="shared" si="0"/>
        <v>2.2815000000000003</v>
      </c>
    </row>
    <row r="19" spans="2:6">
      <c r="B19" s="1" t="s">
        <v>2190</v>
      </c>
      <c r="C19" s="117">
        <v>5.0999999999999996</v>
      </c>
      <c r="D19" s="117">
        <v>0.45</v>
      </c>
      <c r="E19" s="117">
        <f t="shared" si="0"/>
        <v>2.2949999999999999</v>
      </c>
    </row>
    <row r="20" spans="2:6">
      <c r="B20" s="1" t="s">
        <v>2191</v>
      </c>
      <c r="C20" s="117">
        <v>5</v>
      </c>
      <c r="D20" s="117">
        <v>0.45</v>
      </c>
      <c r="E20" s="117">
        <f t="shared" si="0"/>
        <v>2.25</v>
      </c>
    </row>
    <row r="21" spans="2:6">
      <c r="B21" s="1" t="s">
        <v>2192</v>
      </c>
      <c r="C21" s="117">
        <v>3.8</v>
      </c>
      <c r="D21" s="117">
        <v>0.45</v>
      </c>
      <c r="E21" s="117">
        <f t="shared" si="0"/>
        <v>1.71</v>
      </c>
    </row>
    <row r="22" spans="2:6">
      <c r="B22" s="1" t="s">
        <v>2193</v>
      </c>
      <c r="C22" s="117">
        <v>0.6</v>
      </c>
      <c r="D22" s="117">
        <v>0.45</v>
      </c>
      <c r="E22" s="117">
        <f t="shared" si="0"/>
        <v>0.27</v>
      </c>
    </row>
    <row r="23" spans="2:6">
      <c r="B23" s="1" t="s">
        <v>2194</v>
      </c>
      <c r="C23" s="117">
        <v>4.3</v>
      </c>
      <c r="D23" s="117">
        <v>0.45</v>
      </c>
      <c r="E23" s="117">
        <f t="shared" si="0"/>
        <v>1.9350000000000001</v>
      </c>
    </row>
    <row r="24" spans="2:6">
      <c r="B24" s="1" t="s">
        <v>2195</v>
      </c>
      <c r="C24" s="117">
        <v>4.4400000000000004</v>
      </c>
      <c r="D24" s="117">
        <v>0.45</v>
      </c>
      <c r="E24" s="117">
        <f t="shared" si="0"/>
        <v>1.9980000000000002</v>
      </c>
    </row>
    <row r="25" spans="2:6">
      <c r="B25" s="1" t="s">
        <v>2196</v>
      </c>
      <c r="C25" s="117">
        <v>4.38</v>
      </c>
      <c r="D25" s="117">
        <v>0.45</v>
      </c>
      <c r="E25" s="117">
        <f t="shared" si="0"/>
        <v>1.9710000000000001</v>
      </c>
    </row>
    <row r="26" spans="2:6">
      <c r="B26" s="1" t="s">
        <v>2197</v>
      </c>
      <c r="C26" s="117">
        <v>3.8</v>
      </c>
      <c r="D26" s="117">
        <v>0.45</v>
      </c>
      <c r="E26" s="117">
        <f t="shared" si="0"/>
        <v>1.71</v>
      </c>
    </row>
    <row r="27" spans="2:6">
      <c r="B27" s="1" t="s">
        <v>2198</v>
      </c>
      <c r="C27" s="117">
        <v>0.6</v>
      </c>
      <c r="D27" s="117">
        <v>0.45</v>
      </c>
      <c r="E27" s="117">
        <f t="shared" si="0"/>
        <v>0.27</v>
      </c>
    </row>
    <row r="28" spans="2:6">
      <c r="B28" s="3" t="s">
        <v>14</v>
      </c>
      <c r="C28" s="119"/>
      <c r="D28" s="119"/>
      <c r="E28" s="119"/>
      <c r="F28" s="3">
        <f>+SUM(E29:E57)</f>
        <v>43.825500000000005</v>
      </c>
    </row>
    <row r="29" spans="2:6">
      <c r="B29" s="1" t="s">
        <v>373</v>
      </c>
      <c r="C29" s="117">
        <v>0.75</v>
      </c>
      <c r="D29" s="117">
        <v>2.8</v>
      </c>
      <c r="E29" s="117">
        <f>+C29*D29</f>
        <v>2.0999999999999996</v>
      </c>
    </row>
    <row r="30" spans="2:6">
      <c r="B30" s="1" t="s">
        <v>380</v>
      </c>
      <c r="C30" s="117">
        <v>0.75</v>
      </c>
      <c r="D30" s="117">
        <v>2.8</v>
      </c>
      <c r="E30" s="117">
        <f t="shared" ref="E30:E51" si="2">+C30*D30</f>
        <v>2.0999999999999996</v>
      </c>
    </row>
    <row r="31" spans="2:6">
      <c r="B31" s="1" t="s">
        <v>2180</v>
      </c>
      <c r="C31" s="117">
        <v>0.75</v>
      </c>
      <c r="D31" s="117">
        <v>2.8</v>
      </c>
      <c r="E31" s="117">
        <f t="shared" si="2"/>
        <v>2.0999999999999996</v>
      </c>
    </row>
    <row r="32" spans="2:6">
      <c r="B32" s="1" t="s">
        <v>375</v>
      </c>
      <c r="C32" s="117">
        <v>0.75</v>
      </c>
      <c r="D32" s="117">
        <v>2.8</v>
      </c>
      <c r="E32" s="117">
        <f t="shared" si="2"/>
        <v>2.0999999999999996</v>
      </c>
    </row>
    <row r="33" spans="2:5">
      <c r="B33" s="1" t="s">
        <v>2181</v>
      </c>
      <c r="C33" s="117">
        <v>0.75</v>
      </c>
      <c r="D33" s="117">
        <v>2.8</v>
      </c>
      <c r="E33" s="117">
        <f t="shared" si="2"/>
        <v>2.0999999999999996</v>
      </c>
    </row>
    <row r="34" spans="2:5">
      <c r="B34" s="1" t="s">
        <v>377</v>
      </c>
      <c r="C34" s="117">
        <v>0.75</v>
      </c>
      <c r="D34" s="117">
        <v>2.8</v>
      </c>
      <c r="E34" s="117">
        <f t="shared" si="2"/>
        <v>2.0999999999999996</v>
      </c>
    </row>
    <row r="35" spans="2:5">
      <c r="B35" s="1" t="s">
        <v>2182</v>
      </c>
      <c r="C35" s="117">
        <v>0.75</v>
      </c>
      <c r="D35" s="117">
        <v>2.8</v>
      </c>
      <c r="E35" s="117">
        <f t="shared" si="2"/>
        <v>2.0999999999999996</v>
      </c>
    </row>
    <row r="36" spans="2:5">
      <c r="B36" s="1" t="s">
        <v>2183</v>
      </c>
      <c r="C36" s="117">
        <v>0.75</v>
      </c>
      <c r="D36" s="117">
        <v>2.8</v>
      </c>
      <c r="E36" s="117">
        <f t="shared" si="2"/>
        <v>2.0999999999999996</v>
      </c>
    </row>
    <row r="37" spans="2:5">
      <c r="B37" s="1" t="s">
        <v>2184</v>
      </c>
      <c r="C37" s="117">
        <v>0.75</v>
      </c>
      <c r="D37" s="117">
        <v>2.8</v>
      </c>
      <c r="E37" s="117">
        <f t="shared" si="2"/>
        <v>2.0999999999999996</v>
      </c>
    </row>
    <row r="38" spans="2:5">
      <c r="B38" s="1" t="s">
        <v>2185</v>
      </c>
      <c r="C38" s="117">
        <v>0.75</v>
      </c>
      <c r="D38" s="117">
        <v>2.8</v>
      </c>
      <c r="E38" s="117">
        <f t="shared" si="2"/>
        <v>2.0999999999999996</v>
      </c>
    </row>
    <row r="39" spans="2:5">
      <c r="B39" s="1" t="s">
        <v>2186</v>
      </c>
      <c r="C39" s="117">
        <v>0.75</v>
      </c>
      <c r="D39" s="117">
        <v>2.8</v>
      </c>
      <c r="E39" s="117">
        <f t="shared" si="2"/>
        <v>2.0999999999999996</v>
      </c>
    </row>
    <row r="40" spans="2:5">
      <c r="B40" s="1" t="s">
        <v>2187</v>
      </c>
      <c r="C40" s="117">
        <v>0.75</v>
      </c>
      <c r="D40" s="117">
        <v>2.8</v>
      </c>
      <c r="E40" s="117">
        <f t="shared" si="2"/>
        <v>2.0999999999999996</v>
      </c>
    </row>
    <row r="41" spans="2:5">
      <c r="B41" s="1" t="s">
        <v>2199</v>
      </c>
      <c r="C41" s="117">
        <v>4.3</v>
      </c>
      <c r="D41" s="117">
        <v>0.45</v>
      </c>
      <c r="E41" s="117">
        <f t="shared" si="2"/>
        <v>1.9350000000000001</v>
      </c>
    </row>
    <row r="42" spans="2:5">
      <c r="B42" s="1" t="s">
        <v>2200</v>
      </c>
      <c r="C42" s="117">
        <v>5.07</v>
      </c>
      <c r="D42" s="117">
        <v>0.45</v>
      </c>
      <c r="E42" s="117">
        <f t="shared" si="2"/>
        <v>2.2815000000000003</v>
      </c>
    </row>
    <row r="43" spans="2:5">
      <c r="B43" s="1" t="s">
        <v>2201</v>
      </c>
      <c r="C43" s="117">
        <v>5.0999999999999996</v>
      </c>
      <c r="D43" s="117">
        <v>0.45</v>
      </c>
      <c r="E43" s="117">
        <f t="shared" si="2"/>
        <v>2.2949999999999999</v>
      </c>
    </row>
    <row r="44" spans="2:5">
      <c r="B44" s="1" t="s">
        <v>2202</v>
      </c>
      <c r="C44" s="117">
        <v>5</v>
      </c>
      <c r="D44" s="117">
        <v>0.45</v>
      </c>
      <c r="E44" s="117">
        <f t="shared" si="2"/>
        <v>2.25</v>
      </c>
    </row>
    <row r="45" spans="2:5">
      <c r="B45" s="1" t="s">
        <v>2203</v>
      </c>
      <c r="C45" s="117">
        <v>3.8</v>
      </c>
      <c r="D45" s="117">
        <v>0.45</v>
      </c>
      <c r="E45" s="117">
        <f t="shared" si="2"/>
        <v>1.71</v>
      </c>
    </row>
    <row r="46" spans="2:5">
      <c r="B46" s="1" t="s">
        <v>2204</v>
      </c>
      <c r="C46" s="117">
        <v>0.6</v>
      </c>
      <c r="D46" s="117">
        <v>0.45</v>
      </c>
      <c r="E46" s="117">
        <f t="shared" si="2"/>
        <v>0.27</v>
      </c>
    </row>
    <row r="47" spans="2:5">
      <c r="B47" s="1" t="s">
        <v>2205</v>
      </c>
      <c r="C47" s="117">
        <v>4.3</v>
      </c>
      <c r="D47" s="117">
        <v>0.45</v>
      </c>
      <c r="E47" s="117">
        <f t="shared" si="2"/>
        <v>1.9350000000000001</v>
      </c>
    </row>
    <row r="48" spans="2:5">
      <c r="B48" s="1" t="s">
        <v>2206</v>
      </c>
      <c r="C48" s="117">
        <v>4.4400000000000004</v>
      </c>
      <c r="D48" s="117">
        <v>0.45</v>
      </c>
      <c r="E48" s="117">
        <f t="shared" si="2"/>
        <v>1.9980000000000002</v>
      </c>
    </row>
    <row r="49" spans="1:10">
      <c r="B49" s="1" t="s">
        <v>2207</v>
      </c>
      <c r="C49" s="117">
        <v>4.38</v>
      </c>
      <c r="D49" s="117">
        <v>0.45</v>
      </c>
      <c r="E49" s="117">
        <f t="shared" si="2"/>
        <v>1.9710000000000001</v>
      </c>
    </row>
    <row r="50" spans="1:10">
      <c r="B50" s="1" t="s">
        <v>2208</v>
      </c>
      <c r="C50" s="117">
        <v>3.8</v>
      </c>
      <c r="D50" s="117">
        <v>0.45</v>
      </c>
      <c r="E50" s="117">
        <f t="shared" si="2"/>
        <v>1.71</v>
      </c>
    </row>
    <row r="51" spans="1:10">
      <c r="B51" s="1" t="s">
        <v>2209</v>
      </c>
      <c r="C51" s="117">
        <v>0.6</v>
      </c>
      <c r="D51" s="117">
        <v>0.45</v>
      </c>
      <c r="E51" s="117">
        <f t="shared" si="2"/>
        <v>0.27</v>
      </c>
    </row>
    <row r="52" spans="1:10">
      <c r="F52" s="341">
        <f>SUM(F4:F51)</f>
        <v>92.15100000000001</v>
      </c>
    </row>
    <row r="53" spans="1:10" ht="13.5" thickBot="1">
      <c r="A53" s="416"/>
      <c r="B53" s="416"/>
      <c r="C53" s="417"/>
      <c r="D53" s="417"/>
      <c r="E53" s="417"/>
      <c r="F53" s="645">
        <f>+ROUNDUP(F52,0)</f>
        <v>93</v>
      </c>
      <c r="G53" s="416"/>
      <c r="H53" s="416"/>
      <c r="I53" s="416"/>
      <c r="J53" s="416"/>
    </row>
    <row r="54" spans="1:10">
      <c r="A54" s="418"/>
      <c r="B54" s="418"/>
      <c r="C54" s="419"/>
      <c r="D54" s="419"/>
      <c r="E54" s="419"/>
      <c r="F54" s="418"/>
      <c r="G54" s="418"/>
      <c r="H54" s="418"/>
      <c r="I54" s="418"/>
      <c r="J54" s="418"/>
    </row>
    <row r="57" spans="1:10">
      <c r="B57" s="1" t="s">
        <v>1522</v>
      </c>
      <c r="C57" s="117" t="s">
        <v>381</v>
      </c>
      <c r="D57" s="117" t="s">
        <v>215</v>
      </c>
      <c r="E57" s="117" t="s">
        <v>4</v>
      </c>
    </row>
    <row r="58" spans="1:10">
      <c r="B58" s="3" t="s">
        <v>1523</v>
      </c>
    </row>
    <row r="59" spans="1:10">
      <c r="B59" s="1" t="s">
        <v>383</v>
      </c>
      <c r="C59" s="117">
        <v>1.9</v>
      </c>
      <c r="D59" s="117">
        <v>1.5</v>
      </c>
      <c r="E59" s="117">
        <f>+C59*D59</f>
        <v>2.8499999999999996</v>
      </c>
    </row>
    <row r="60" spans="1:10">
      <c r="B60" s="1" t="s">
        <v>384</v>
      </c>
      <c r="C60" s="117">
        <v>1.5</v>
      </c>
      <c r="D60" s="117">
        <v>1.5</v>
      </c>
      <c r="E60" s="117">
        <f>+C60*D60</f>
        <v>2.25</v>
      </c>
    </row>
    <row r="61" spans="1:10">
      <c r="B61" s="1" t="s">
        <v>385</v>
      </c>
      <c r="C61" s="117">
        <v>1.9</v>
      </c>
      <c r="D61" s="117">
        <v>1.5</v>
      </c>
      <c r="E61" s="117">
        <f>+C61*D61</f>
        <v>2.8499999999999996</v>
      </c>
    </row>
    <row r="62" spans="1:10">
      <c r="B62" s="1" t="s">
        <v>386</v>
      </c>
      <c r="C62" s="117">
        <v>1.5</v>
      </c>
      <c r="D62" s="117">
        <v>1.5</v>
      </c>
      <c r="E62" s="117">
        <f>+C62*D62</f>
        <v>2.25</v>
      </c>
    </row>
    <row r="63" spans="1:10">
      <c r="B63" s="1" t="s">
        <v>387</v>
      </c>
      <c r="C63" s="117">
        <v>1.9</v>
      </c>
      <c r="D63" s="117">
        <v>1.5</v>
      </c>
      <c r="E63" s="117">
        <f>+C63*D63</f>
        <v>2.8499999999999996</v>
      </c>
    </row>
    <row r="64" spans="1:10">
      <c r="B64" s="1" t="s">
        <v>2010</v>
      </c>
    </row>
    <row r="65" spans="1:12">
      <c r="B65" s="1" t="s">
        <v>2336</v>
      </c>
      <c r="C65" s="117">
        <v>330</v>
      </c>
      <c r="D65" s="117">
        <v>1</v>
      </c>
      <c r="E65" s="117">
        <f>+C65*D65</f>
        <v>330</v>
      </c>
    </row>
    <row r="66" spans="1:12">
      <c r="B66" s="1" t="s">
        <v>2337</v>
      </c>
      <c r="C66" s="117">
        <v>88</v>
      </c>
      <c r="D66" s="117">
        <v>2.75</v>
      </c>
      <c r="E66" s="117">
        <f>+C66*D66</f>
        <v>242</v>
      </c>
    </row>
    <row r="67" spans="1:12">
      <c r="E67" s="415">
        <f>+SUM(E59:E66)</f>
        <v>585.04999999999995</v>
      </c>
    </row>
    <row r="68" spans="1:12" ht="13.5" thickBot="1"/>
    <row r="69" spans="1:12">
      <c r="A69" s="418"/>
      <c r="B69" s="418"/>
      <c r="C69" s="419"/>
      <c r="D69" s="419"/>
      <c r="E69" s="419"/>
      <c r="F69" s="418"/>
      <c r="G69" s="418"/>
      <c r="H69" s="418"/>
      <c r="I69" s="418"/>
    </row>
    <row r="70" spans="1:12">
      <c r="B70" s="3" t="s">
        <v>389</v>
      </c>
    </row>
    <row r="71" spans="1:12">
      <c r="B71" s="3"/>
      <c r="H71" s="1">
        <v>2</v>
      </c>
    </row>
    <row r="72" spans="1:12">
      <c r="B72" s="3" t="s">
        <v>41</v>
      </c>
      <c r="C72" s="119" t="s">
        <v>43</v>
      </c>
      <c r="D72" s="119" t="s">
        <v>381</v>
      </c>
      <c r="E72" s="119" t="s">
        <v>215</v>
      </c>
      <c r="F72" s="414" t="s">
        <v>390</v>
      </c>
      <c r="G72" s="414" t="s">
        <v>391</v>
      </c>
      <c r="H72" s="414" t="s">
        <v>392</v>
      </c>
      <c r="I72" s="414" t="s">
        <v>393</v>
      </c>
      <c r="J72" s="414" t="s">
        <v>394</v>
      </c>
      <c r="K72" s="414" t="s">
        <v>4</v>
      </c>
      <c r="L72" s="414" t="s">
        <v>13</v>
      </c>
    </row>
    <row r="73" spans="1:12">
      <c r="B73" s="1" t="s">
        <v>395</v>
      </c>
      <c r="C73" s="118">
        <f>+Locales!AQ144</f>
        <v>47</v>
      </c>
      <c r="D73" s="117">
        <v>0.9</v>
      </c>
      <c r="E73" s="117">
        <v>2.0499999999999998</v>
      </c>
      <c r="F73" s="2">
        <v>2</v>
      </c>
      <c r="G73" s="2">
        <f t="shared" ref="G73:G77" si="3">+D73*E73*F73</f>
        <v>3.69</v>
      </c>
      <c r="H73" s="2">
        <f t="shared" ref="H73:H77" si="4">+(E73*$H$71)+D73</f>
        <v>5</v>
      </c>
      <c r="I73" s="2">
        <f t="shared" ref="I73:I77" si="5">0.15+0.04+0.04</f>
        <v>0.23</v>
      </c>
      <c r="J73" s="2">
        <f t="shared" ref="J73:J77" si="6">+H73*I73</f>
        <v>1.1500000000000001</v>
      </c>
      <c r="K73" s="2">
        <f t="shared" ref="K73:K77" si="7">+G73+J73</f>
        <v>4.84</v>
      </c>
      <c r="L73" s="2">
        <f t="shared" ref="L73:L77" si="8">+C73*K73</f>
        <v>227.48</v>
      </c>
    </row>
    <row r="74" spans="1:12">
      <c r="B74" s="1" t="s">
        <v>1483</v>
      </c>
      <c r="C74" s="118">
        <f>+Locales!AS144</f>
        <v>2</v>
      </c>
      <c r="D74" s="117">
        <v>0.9</v>
      </c>
      <c r="E74" s="117">
        <v>2.0499999999999998</v>
      </c>
      <c r="F74" s="1">
        <v>2</v>
      </c>
      <c r="G74" s="1">
        <f t="shared" si="3"/>
        <v>3.69</v>
      </c>
      <c r="H74" s="1">
        <f t="shared" si="4"/>
        <v>5</v>
      </c>
      <c r="I74" s="2">
        <f t="shared" si="5"/>
        <v>0.23</v>
      </c>
      <c r="J74" s="1">
        <f t="shared" si="6"/>
        <v>1.1500000000000001</v>
      </c>
      <c r="K74" s="1">
        <f t="shared" si="7"/>
        <v>4.84</v>
      </c>
      <c r="L74" s="1">
        <f t="shared" si="8"/>
        <v>9.68</v>
      </c>
    </row>
    <row r="75" spans="1:12">
      <c r="B75" s="1" t="s">
        <v>487</v>
      </c>
      <c r="C75" s="118">
        <f>+Locales!AP144</f>
        <v>16</v>
      </c>
      <c r="D75" s="117">
        <v>0.9</v>
      </c>
      <c r="E75" s="117">
        <v>2.0499999999999998</v>
      </c>
      <c r="F75" s="1">
        <v>2</v>
      </c>
      <c r="G75" s="1">
        <f t="shared" si="3"/>
        <v>3.69</v>
      </c>
      <c r="H75" s="1">
        <f t="shared" si="4"/>
        <v>5</v>
      </c>
      <c r="I75" s="1">
        <f t="shared" si="5"/>
        <v>0.23</v>
      </c>
      <c r="J75" s="1">
        <f t="shared" si="6"/>
        <v>1.1500000000000001</v>
      </c>
      <c r="K75" s="1">
        <f t="shared" si="7"/>
        <v>4.84</v>
      </c>
      <c r="L75" s="1">
        <f t="shared" si="8"/>
        <v>77.44</v>
      </c>
    </row>
    <row r="76" spans="1:12">
      <c r="B76" s="1" t="s">
        <v>488</v>
      </c>
      <c r="C76" s="118">
        <f>+Locales!AR144</f>
        <v>5</v>
      </c>
      <c r="D76" s="117">
        <v>0.8</v>
      </c>
      <c r="E76" s="117">
        <v>2.0499999999999998</v>
      </c>
      <c r="F76" s="1">
        <v>2</v>
      </c>
      <c r="G76" s="1">
        <f t="shared" si="3"/>
        <v>3.28</v>
      </c>
      <c r="H76" s="1">
        <f t="shared" si="4"/>
        <v>4.8999999999999995</v>
      </c>
      <c r="I76" s="1">
        <f t="shared" si="5"/>
        <v>0.23</v>
      </c>
      <c r="J76" s="1">
        <f t="shared" ref="J76" si="9">+H76*I76</f>
        <v>1.127</v>
      </c>
      <c r="K76" s="1">
        <f t="shared" ref="K76" si="10">+G76+J76</f>
        <v>4.407</v>
      </c>
      <c r="L76" s="1">
        <f t="shared" ref="L76" si="11">+C76*K76</f>
        <v>22.035</v>
      </c>
    </row>
    <row r="77" spans="1:12">
      <c r="B77" s="1" t="s">
        <v>396</v>
      </c>
      <c r="C77" s="118">
        <f>+Locales!AU144-1</f>
        <v>6</v>
      </c>
      <c r="D77" s="117">
        <v>0.9</v>
      </c>
      <c r="E77" s="117">
        <v>2.0499999999999998</v>
      </c>
      <c r="F77" s="1">
        <v>1</v>
      </c>
      <c r="G77" s="1">
        <f t="shared" si="3"/>
        <v>1.845</v>
      </c>
      <c r="H77" s="1">
        <f t="shared" si="4"/>
        <v>5</v>
      </c>
      <c r="I77" s="1">
        <f t="shared" si="5"/>
        <v>0.23</v>
      </c>
      <c r="J77" s="1">
        <f t="shared" si="6"/>
        <v>1.1500000000000001</v>
      </c>
      <c r="K77" s="1">
        <f t="shared" si="7"/>
        <v>2.9950000000000001</v>
      </c>
      <c r="L77" s="1">
        <f t="shared" si="8"/>
        <v>17.97</v>
      </c>
    </row>
    <row r="78" spans="1:12">
      <c r="C78" s="119">
        <f>SUM(C73:C77)</f>
        <v>76</v>
      </c>
      <c r="L78" s="415">
        <f>SUM(L73:L77)</f>
        <v>354.60500000000002</v>
      </c>
    </row>
    <row r="80" spans="1:12">
      <c r="B80" s="3"/>
    </row>
    <row r="81" spans="2:10">
      <c r="B81" s="3" t="s">
        <v>397</v>
      </c>
      <c r="C81" s="117" t="s">
        <v>43</v>
      </c>
      <c r="D81" s="117" t="s">
        <v>381</v>
      </c>
      <c r="E81" s="117" t="s">
        <v>215</v>
      </c>
      <c r="F81" s="1" t="s">
        <v>4</v>
      </c>
      <c r="G81" s="1" t="s">
        <v>390</v>
      </c>
      <c r="H81" s="1" t="s">
        <v>398</v>
      </c>
      <c r="I81" s="414" t="s">
        <v>13</v>
      </c>
    </row>
    <row r="82" spans="2:10">
      <c r="B82" s="3" t="s">
        <v>399</v>
      </c>
      <c r="I82" s="414"/>
      <c r="J82" s="3">
        <f>+SUM(I83:I83)</f>
        <v>88</v>
      </c>
    </row>
    <row r="83" spans="2:10">
      <c r="B83" s="1" t="s">
        <v>1486</v>
      </c>
      <c r="C83" s="117">
        <v>4</v>
      </c>
      <c r="D83" s="117">
        <v>11</v>
      </c>
      <c r="E83" s="117">
        <v>1</v>
      </c>
      <c r="F83" s="1">
        <f>+D83*E83</f>
        <v>11</v>
      </c>
      <c r="G83" s="1">
        <v>2</v>
      </c>
      <c r="H83" s="1">
        <f>+F83*G83</f>
        <v>22</v>
      </c>
      <c r="I83" s="1">
        <f>+H83*C83</f>
        <v>88</v>
      </c>
    </row>
    <row r="84" spans="2:10">
      <c r="B84" s="3" t="s">
        <v>400</v>
      </c>
      <c r="J84" s="3">
        <f>+SUM(I85:I85)</f>
        <v>66</v>
      </c>
    </row>
    <row r="85" spans="2:10">
      <c r="B85" s="1" t="s">
        <v>1485</v>
      </c>
      <c r="C85" s="117">
        <v>4</v>
      </c>
      <c r="D85" s="117">
        <v>11</v>
      </c>
      <c r="E85" s="117">
        <v>0.75</v>
      </c>
      <c r="F85" s="1">
        <f>+D85*E85</f>
        <v>8.25</v>
      </c>
      <c r="G85" s="1">
        <v>2</v>
      </c>
      <c r="H85" s="1">
        <f t="shared" ref="H85:H87" si="12">+F85*G85</f>
        <v>16.5</v>
      </c>
      <c r="I85" s="1">
        <f t="shared" ref="I85:I87" si="13">+H85*C85</f>
        <v>66</v>
      </c>
    </row>
    <row r="86" spans="2:10">
      <c r="B86" s="3" t="s">
        <v>2350</v>
      </c>
      <c r="J86" s="3">
        <f>+SUM(I87:I87)</f>
        <v>28.729999999999997</v>
      </c>
    </row>
    <row r="87" spans="2:10">
      <c r="C87" s="117">
        <v>2</v>
      </c>
      <c r="D87" s="117">
        <v>8.4499999999999993</v>
      </c>
      <c r="E87" s="117">
        <v>0.85</v>
      </c>
      <c r="F87" s="1">
        <f>+D87*E87</f>
        <v>7.1824999999999992</v>
      </c>
      <c r="G87" s="1">
        <v>2</v>
      </c>
      <c r="H87" s="1">
        <f t="shared" si="12"/>
        <v>14.364999999999998</v>
      </c>
      <c r="I87" s="1">
        <f t="shared" si="13"/>
        <v>28.729999999999997</v>
      </c>
    </row>
    <row r="88" spans="2:10">
      <c r="B88" s="3" t="s">
        <v>1470</v>
      </c>
      <c r="J88" s="3">
        <f>+SUM(I89)</f>
        <v>14.82</v>
      </c>
    </row>
    <row r="89" spans="2:10">
      <c r="B89" s="1" t="s">
        <v>2351</v>
      </c>
      <c r="C89" s="117">
        <v>1</v>
      </c>
      <c r="D89" s="117">
        <v>2.85</v>
      </c>
      <c r="E89" s="117">
        <v>2.6</v>
      </c>
      <c r="F89" s="1">
        <f>+D89*E89</f>
        <v>7.41</v>
      </c>
      <c r="G89" s="1">
        <v>2</v>
      </c>
      <c r="H89" s="1">
        <f>+F89*G89</f>
        <v>14.82</v>
      </c>
      <c r="I89" s="1">
        <f>+H89*C89</f>
        <v>14.82</v>
      </c>
    </row>
    <row r="90" spans="2:10">
      <c r="B90" s="3" t="s">
        <v>402</v>
      </c>
      <c r="J90" s="3">
        <f>+SUM(I91:I92)</f>
        <v>20.54</v>
      </c>
    </row>
    <row r="91" spans="2:10">
      <c r="B91" s="1" t="s">
        <v>403</v>
      </c>
      <c r="C91" s="117">
        <v>1</v>
      </c>
      <c r="D91" s="117">
        <v>1.6</v>
      </c>
      <c r="E91" s="117">
        <v>2.6</v>
      </c>
      <c r="F91" s="1">
        <f>+D91*E91</f>
        <v>4.16</v>
      </c>
      <c r="G91" s="1">
        <v>2</v>
      </c>
      <c r="H91" s="1">
        <f>+F91*G91</f>
        <v>8.32</v>
      </c>
      <c r="I91" s="1">
        <f>+H91*C91</f>
        <v>8.32</v>
      </c>
    </row>
    <row r="92" spans="2:10">
      <c r="B92" s="1" t="s">
        <v>2352</v>
      </c>
      <c r="C92" s="117">
        <v>1</v>
      </c>
      <c r="D92" s="117">
        <v>2.35</v>
      </c>
      <c r="E92" s="117">
        <v>2.6</v>
      </c>
      <c r="F92" s="1">
        <f>+D92*E92</f>
        <v>6.11</v>
      </c>
      <c r="G92" s="1">
        <v>2</v>
      </c>
      <c r="H92" s="1">
        <f>+F92*G92</f>
        <v>12.22</v>
      </c>
      <c r="I92" s="1">
        <f>+H92*C92</f>
        <v>12.22</v>
      </c>
    </row>
    <row r="93" spans="2:10">
      <c r="B93" s="3" t="s">
        <v>404</v>
      </c>
      <c r="J93" s="3">
        <f>+SUM(I94:I98)</f>
        <v>46.63000000000001</v>
      </c>
    </row>
    <row r="94" spans="2:10">
      <c r="B94" s="1" t="s">
        <v>2353</v>
      </c>
      <c r="C94" s="117">
        <f>2*7</f>
        <v>14</v>
      </c>
      <c r="D94" s="117">
        <v>3</v>
      </c>
      <c r="E94" s="117">
        <v>0.05</v>
      </c>
      <c r="F94" s="1">
        <f>+D94*E94</f>
        <v>0.15000000000000002</v>
      </c>
      <c r="G94" s="1">
        <v>4</v>
      </c>
      <c r="H94" s="1">
        <f>+F94*G94</f>
        <v>0.60000000000000009</v>
      </c>
      <c r="I94" s="1">
        <f>+H94*C94</f>
        <v>8.4000000000000021</v>
      </c>
    </row>
    <row r="95" spans="2:10">
      <c r="B95" s="1" t="s">
        <v>2354</v>
      </c>
      <c r="C95" s="117">
        <f>2*7</f>
        <v>14</v>
      </c>
      <c r="D95" s="117">
        <v>1</v>
      </c>
      <c r="E95" s="117">
        <v>0.05</v>
      </c>
      <c r="F95" s="1">
        <f t="shared" ref="F95:F98" si="14">+D95*E95</f>
        <v>0.05</v>
      </c>
      <c r="G95" s="1">
        <v>4</v>
      </c>
      <c r="H95" s="1">
        <f t="shared" ref="H95:H97" si="15">+F95*G95</f>
        <v>0.2</v>
      </c>
      <c r="I95" s="1">
        <f t="shared" ref="I95:I97" si="16">+H95*C95</f>
        <v>2.8000000000000003</v>
      </c>
    </row>
    <row r="96" spans="2:10">
      <c r="B96" s="1" t="s">
        <v>1487</v>
      </c>
      <c r="C96" s="117">
        <f>3*2*7</f>
        <v>42</v>
      </c>
      <c r="D96" s="117">
        <v>2.5</v>
      </c>
      <c r="E96" s="117">
        <v>0.05</v>
      </c>
      <c r="F96" s="1">
        <f t="shared" si="14"/>
        <v>0.125</v>
      </c>
      <c r="G96" s="1">
        <v>4</v>
      </c>
      <c r="H96" s="1">
        <f t="shared" si="15"/>
        <v>0.5</v>
      </c>
      <c r="I96" s="1">
        <f t="shared" si="16"/>
        <v>21</v>
      </c>
    </row>
    <row r="97" spans="1:12">
      <c r="B97" s="1" t="s">
        <v>1374</v>
      </c>
      <c r="C97" s="117">
        <v>2</v>
      </c>
      <c r="D97" s="117">
        <v>0.05</v>
      </c>
      <c r="E97" s="117">
        <v>18</v>
      </c>
      <c r="F97" s="1">
        <f t="shared" si="14"/>
        <v>0.9</v>
      </c>
      <c r="G97" s="1">
        <v>4</v>
      </c>
      <c r="H97" s="1">
        <f t="shared" si="15"/>
        <v>3.6</v>
      </c>
      <c r="I97" s="1">
        <f t="shared" si="16"/>
        <v>7.2</v>
      </c>
    </row>
    <row r="98" spans="1:12">
      <c r="B98" s="1" t="s">
        <v>2355</v>
      </c>
      <c r="C98" s="117">
        <v>3</v>
      </c>
      <c r="D98" s="117">
        <v>2.41</v>
      </c>
      <c r="E98" s="117">
        <v>0.5</v>
      </c>
      <c r="F98" s="1">
        <f t="shared" si="14"/>
        <v>1.2050000000000001</v>
      </c>
      <c r="G98" s="1">
        <v>2</v>
      </c>
      <c r="H98" s="1">
        <f>+F98*G98</f>
        <v>2.41</v>
      </c>
      <c r="I98" s="1">
        <f>+H98*C98</f>
        <v>7.23</v>
      </c>
    </row>
    <row r="99" spans="1:12">
      <c r="I99" s="341">
        <f>SUM(I82:I98)</f>
        <v>264.72000000000003</v>
      </c>
      <c r="J99" s="415">
        <f>SUM(J82:J98)</f>
        <v>264.71999999999997</v>
      </c>
    </row>
    <row r="100" spans="1:12" ht="13.5" thickBot="1">
      <c r="A100" s="416"/>
      <c r="B100" s="416"/>
      <c r="C100" s="417"/>
      <c r="D100" s="417"/>
      <c r="E100" s="417"/>
      <c r="F100" s="416"/>
      <c r="G100" s="416"/>
      <c r="H100" s="416"/>
      <c r="I100" s="416"/>
      <c r="J100" s="416"/>
      <c r="K100" s="416"/>
      <c r="L100" s="416"/>
    </row>
    <row r="101" spans="1:12">
      <c r="A101" s="418"/>
      <c r="B101" s="418"/>
      <c r="C101" s="419"/>
      <c r="D101" s="419"/>
      <c r="E101" s="419"/>
      <c r="F101" s="418"/>
      <c r="G101" s="418"/>
      <c r="H101" s="418"/>
      <c r="I101" s="418"/>
      <c r="J101" s="418"/>
      <c r="K101" s="418"/>
      <c r="L101" s="418"/>
    </row>
    <row r="102" spans="1:12">
      <c r="B102" s="3" t="s">
        <v>405</v>
      </c>
    </row>
    <row r="104" spans="1:12">
      <c r="B104" s="1" t="s">
        <v>406</v>
      </c>
    </row>
    <row r="105" spans="1:12">
      <c r="C105" s="117" t="s">
        <v>407</v>
      </c>
      <c r="D105" s="117" t="s">
        <v>43</v>
      </c>
      <c r="E105" s="117" t="s">
        <v>13</v>
      </c>
    </row>
    <row r="106" spans="1:12">
      <c r="B106" s="1" t="s">
        <v>408</v>
      </c>
      <c r="C106" s="117">
        <v>10</v>
      </c>
      <c r="D106" s="117">
        <v>1</v>
      </c>
      <c r="E106" s="117">
        <f>+C106*D106</f>
        <v>10</v>
      </c>
    </row>
    <row r="107" spans="1:12">
      <c r="B107" s="1" t="s">
        <v>409</v>
      </c>
      <c r="C107" s="117">
        <v>10</v>
      </c>
      <c r="D107" s="117">
        <v>1</v>
      </c>
      <c r="E107" s="117">
        <f>+C107*D107</f>
        <v>10</v>
      </c>
    </row>
    <row r="108" spans="1:12">
      <c r="B108" s="1" t="s">
        <v>410</v>
      </c>
      <c r="C108" s="117">
        <v>31</v>
      </c>
      <c r="D108" s="117">
        <v>2</v>
      </c>
      <c r="E108" s="117">
        <f>+C108*D108</f>
        <v>62</v>
      </c>
    </row>
    <row r="109" spans="1:12">
      <c r="D109" s="119">
        <f>SUM(D106:D108)</f>
        <v>4</v>
      </c>
      <c r="E109" s="297">
        <f>+SUM(E106:E108)</f>
        <v>82</v>
      </c>
    </row>
    <row r="111" spans="1:12">
      <c r="B111" s="3" t="s">
        <v>411</v>
      </c>
    </row>
    <row r="112" spans="1:12">
      <c r="B112" s="3" t="s">
        <v>400</v>
      </c>
    </row>
    <row r="113" spans="1:12">
      <c r="B113" s="1" t="s">
        <v>2008</v>
      </c>
      <c r="C113" s="117">
        <v>12</v>
      </c>
      <c r="D113" s="117">
        <v>4</v>
      </c>
      <c r="E113" s="117">
        <f>+D113*C113</f>
        <v>48</v>
      </c>
    </row>
    <row r="114" spans="1:12">
      <c r="B114" s="1" t="s">
        <v>2009</v>
      </c>
      <c r="C114" s="1">
        <v>8.5</v>
      </c>
      <c r="D114" s="1">
        <v>1</v>
      </c>
      <c r="E114" s="117">
        <f>+D114*C114</f>
        <v>8.5</v>
      </c>
    </row>
    <row r="115" spans="1:12">
      <c r="B115" s="3" t="s">
        <v>1517</v>
      </c>
    </row>
    <row r="116" spans="1:12">
      <c r="B116" s="1" t="s">
        <v>2008</v>
      </c>
      <c r="C116" s="117">
        <v>12</v>
      </c>
      <c r="D116" s="117">
        <v>4</v>
      </c>
      <c r="E116" s="117">
        <f>+D116*C116</f>
        <v>48</v>
      </c>
    </row>
    <row r="117" spans="1:12">
      <c r="B117" s="1" t="s">
        <v>2009</v>
      </c>
      <c r="C117" s="1">
        <v>8.5</v>
      </c>
      <c r="D117" s="1">
        <v>1</v>
      </c>
      <c r="E117" s="117">
        <f>+D117*C117</f>
        <v>8.5</v>
      </c>
      <c r="G117" s="341"/>
    </row>
    <row r="118" spans="1:12">
      <c r="B118" s="3" t="s">
        <v>2010</v>
      </c>
      <c r="C118" s="1"/>
      <c r="D118" s="1"/>
      <c r="G118" s="341"/>
    </row>
    <row r="119" spans="1:12">
      <c r="B119" s="1" t="s">
        <v>2011</v>
      </c>
      <c r="C119" s="1">
        <v>16</v>
      </c>
      <c r="D119" s="1">
        <v>1</v>
      </c>
      <c r="E119" s="117">
        <f>+D119*C119</f>
        <v>16</v>
      </c>
      <c r="G119" s="341"/>
    </row>
    <row r="120" spans="1:12">
      <c r="E120" s="297">
        <f>+SUM(E113:E119)</f>
        <v>129</v>
      </c>
    </row>
    <row r="122" spans="1:12" ht="13.5" thickBot="1">
      <c r="A122" s="416"/>
      <c r="B122" s="416"/>
      <c r="C122" s="417"/>
      <c r="D122" s="417"/>
      <c r="E122" s="417"/>
      <c r="F122" s="416"/>
      <c r="G122" s="416"/>
      <c r="H122" s="416"/>
      <c r="I122" s="416"/>
      <c r="J122" s="416"/>
      <c r="K122" s="416"/>
      <c r="L122" s="416"/>
    </row>
    <row r="123" spans="1:12">
      <c r="A123" s="418"/>
      <c r="B123" s="418"/>
      <c r="C123" s="419"/>
      <c r="D123" s="419"/>
      <c r="E123" s="419"/>
      <c r="F123" s="418"/>
      <c r="G123" s="418"/>
      <c r="H123" s="418"/>
      <c r="I123" s="1">
        <v>0.26</v>
      </c>
      <c r="J123" s="1">
        <v>0.18</v>
      </c>
    </row>
    <row r="124" spans="1:12">
      <c r="B124" s="3" t="s">
        <v>413</v>
      </c>
      <c r="C124" s="119" t="s">
        <v>215</v>
      </c>
      <c r="D124" s="119" t="s">
        <v>414</v>
      </c>
      <c r="E124" s="119" t="s">
        <v>415</v>
      </c>
      <c r="F124" s="119" t="s">
        <v>416</v>
      </c>
      <c r="G124" s="119" t="s">
        <v>212</v>
      </c>
      <c r="H124" s="119" t="s">
        <v>407</v>
      </c>
      <c r="I124" s="119" t="s">
        <v>1478</v>
      </c>
      <c r="J124" s="119" t="s">
        <v>1479</v>
      </c>
      <c r="K124" s="119" t="s">
        <v>4</v>
      </c>
    </row>
    <row r="125" spans="1:12">
      <c r="B125" s="1" t="s">
        <v>2339</v>
      </c>
      <c r="C125" s="117">
        <v>3.05</v>
      </c>
      <c r="D125" s="117">
        <v>0.17499999999999999</v>
      </c>
      <c r="E125" s="117">
        <f>+ROUNDUP(C125/D125,0)</f>
        <v>18</v>
      </c>
      <c r="F125" s="1">
        <v>1</v>
      </c>
      <c r="G125" s="117">
        <v>1.2</v>
      </c>
      <c r="H125" s="117">
        <f>+E125*F125*G125</f>
        <v>21.599999999999998</v>
      </c>
      <c r="I125" s="1">
        <f>+E125*G125*$I$123*F125</f>
        <v>5.6159999999999997</v>
      </c>
      <c r="J125" s="1">
        <f>+E125*G125*$J$123*F125</f>
        <v>3.8879999999999995</v>
      </c>
      <c r="K125" s="1">
        <f>+I125+J125</f>
        <v>9.5039999999999996</v>
      </c>
    </row>
    <row r="126" spans="1:12">
      <c r="B126" s="1" t="s">
        <v>14</v>
      </c>
      <c r="C126" s="117">
        <v>3.2</v>
      </c>
      <c r="D126" s="117">
        <v>0.17499999999999999</v>
      </c>
      <c r="E126" s="117">
        <f>+ROUNDUP(C126/D126,0)</f>
        <v>19</v>
      </c>
      <c r="F126" s="1">
        <v>1</v>
      </c>
      <c r="G126" s="117">
        <v>1.2</v>
      </c>
      <c r="H126" s="117">
        <f>+E126*F126*G126</f>
        <v>22.8</v>
      </c>
      <c r="I126" s="1">
        <f t="shared" ref="I126:I127" si="17">+E126*G126*$I$123*F126</f>
        <v>5.9280000000000008</v>
      </c>
      <c r="J126" s="1">
        <f t="shared" ref="J126:J127" si="18">+E126*G126*$J$123*F126</f>
        <v>4.1040000000000001</v>
      </c>
      <c r="K126" s="1">
        <f>+I126+J126</f>
        <v>10.032</v>
      </c>
    </row>
    <row r="127" spans="1:12">
      <c r="B127" s="1" t="s">
        <v>2338</v>
      </c>
      <c r="C127" s="117">
        <v>2.8</v>
      </c>
      <c r="D127" s="117">
        <v>0.17499999999999999</v>
      </c>
      <c r="E127" s="117">
        <f>+ROUNDUP(C127/D127,0)</f>
        <v>16</v>
      </c>
      <c r="F127" s="1">
        <v>4</v>
      </c>
      <c r="G127" s="117">
        <v>1.2</v>
      </c>
      <c r="H127" s="117">
        <f>+E127*F127*G127</f>
        <v>76.8</v>
      </c>
      <c r="I127" s="1">
        <f t="shared" si="17"/>
        <v>19.968</v>
      </c>
      <c r="J127" s="1">
        <f t="shared" si="18"/>
        <v>13.824</v>
      </c>
      <c r="K127" s="1">
        <f>+I127+J127</f>
        <v>33.792000000000002</v>
      </c>
    </row>
    <row r="128" spans="1:12">
      <c r="F128" s="1">
        <f>SUM(F125:F127)</f>
        <v>6</v>
      </c>
      <c r="G128" s="117"/>
      <c r="H128" s="297">
        <f>ROUNDUP(SUM(H125:H127),0)</f>
        <v>122</v>
      </c>
      <c r="K128" s="415">
        <f>SUM(K125:K127)</f>
        <v>53.328000000000003</v>
      </c>
    </row>
    <row r="130" spans="1:12">
      <c r="B130" s="3" t="s">
        <v>1657</v>
      </c>
      <c r="C130" s="119" t="s">
        <v>407</v>
      </c>
      <c r="D130" s="119" t="s">
        <v>43</v>
      </c>
      <c r="E130" s="119" t="s">
        <v>407</v>
      </c>
      <c r="F130" s="119" t="s">
        <v>1658</v>
      </c>
      <c r="G130" s="3" t="s">
        <v>1659</v>
      </c>
    </row>
    <row r="131" spans="1:12">
      <c r="B131" s="1" t="s">
        <v>1660</v>
      </c>
      <c r="C131" s="117">
        <v>2.6</v>
      </c>
      <c r="D131" s="117">
        <v>12</v>
      </c>
      <c r="E131" s="415">
        <f>+C131*D131</f>
        <v>31.200000000000003</v>
      </c>
      <c r="F131" s="117">
        <v>0.33333333333333331</v>
      </c>
      <c r="G131" s="1">
        <f>+ROUNDUP(D131*F131,0)</f>
        <v>4</v>
      </c>
    </row>
    <row r="132" spans="1:12" ht="13.5" thickBot="1">
      <c r="A132" s="416"/>
      <c r="B132" s="416"/>
      <c r="C132" s="417"/>
      <c r="D132" s="417"/>
      <c r="E132" s="417"/>
      <c r="F132" s="416"/>
      <c r="G132" s="416"/>
      <c r="H132" s="416"/>
      <c r="I132" s="416"/>
      <c r="J132" s="416"/>
      <c r="K132" s="416"/>
      <c r="L132" s="416"/>
    </row>
    <row r="133" spans="1:12">
      <c r="A133" s="418"/>
      <c r="B133" s="418"/>
      <c r="C133" s="419"/>
      <c r="D133" s="419"/>
      <c r="E133" s="419"/>
      <c r="F133" s="418"/>
      <c r="G133" s="418"/>
      <c r="H133" s="418"/>
      <c r="I133" s="418"/>
      <c r="J133" s="418"/>
      <c r="K133" s="418"/>
      <c r="L133" s="418"/>
    </row>
    <row r="134" spans="1:12">
      <c r="B134" s="3" t="s">
        <v>1511</v>
      </c>
    </row>
    <row r="136" spans="1:12">
      <c r="B136" s="3" t="s">
        <v>41</v>
      </c>
      <c r="C136" s="119" t="s">
        <v>43</v>
      </c>
      <c r="D136" s="119" t="s">
        <v>1475</v>
      </c>
      <c r="E136" s="119" t="s">
        <v>13</v>
      </c>
    </row>
    <row r="137" spans="1:12">
      <c r="B137" s="3" t="s">
        <v>14</v>
      </c>
    </row>
    <row r="138" spans="1:12">
      <c r="B138" s="1" t="s">
        <v>2361</v>
      </c>
      <c r="C138" s="117">
        <v>1</v>
      </c>
      <c r="D138" s="117">
        <v>1</v>
      </c>
      <c r="E138" s="117">
        <f>+C138*D138</f>
        <v>1</v>
      </c>
    </row>
    <row r="139" spans="1:12">
      <c r="B139" s="3" t="s">
        <v>2363</v>
      </c>
    </row>
    <row r="140" spans="1:12">
      <c r="B140" s="1" t="s">
        <v>2362</v>
      </c>
      <c r="C140" s="117">
        <v>3</v>
      </c>
      <c r="D140" s="117">
        <v>3</v>
      </c>
      <c r="E140" s="117">
        <f>+C140*D140</f>
        <v>9</v>
      </c>
    </row>
    <row r="141" spans="1:12">
      <c r="B141" s="1" t="s">
        <v>2364</v>
      </c>
      <c r="C141" s="117">
        <v>3</v>
      </c>
      <c r="D141" s="117">
        <v>3</v>
      </c>
      <c r="E141" s="117">
        <f t="shared" ref="E141:E142" si="19">+C141*D141</f>
        <v>9</v>
      </c>
    </row>
    <row r="142" spans="1:12">
      <c r="B142" s="1" t="s">
        <v>2365</v>
      </c>
      <c r="C142" s="117">
        <v>2</v>
      </c>
      <c r="D142" s="117">
        <v>3</v>
      </c>
      <c r="E142" s="117">
        <f t="shared" si="19"/>
        <v>6</v>
      </c>
    </row>
    <row r="143" spans="1:12">
      <c r="B143" s="1" t="s">
        <v>2366</v>
      </c>
      <c r="C143" s="117">
        <v>2</v>
      </c>
      <c r="D143" s="117">
        <v>3</v>
      </c>
      <c r="E143" s="117">
        <f>+C143*D143</f>
        <v>6</v>
      </c>
    </row>
    <row r="144" spans="1:12">
      <c r="B144" s="3" t="s">
        <v>2367</v>
      </c>
    </row>
    <row r="145" spans="1:12">
      <c r="B145" s="1" t="s">
        <v>2368</v>
      </c>
      <c r="C145" s="117">
        <v>3</v>
      </c>
      <c r="D145" s="117">
        <v>1</v>
      </c>
      <c r="E145" s="117">
        <f>+C145*D145</f>
        <v>3</v>
      </c>
    </row>
    <row r="146" spans="1:12">
      <c r="B146" s="1" t="s">
        <v>2369</v>
      </c>
      <c r="C146" s="117">
        <v>3</v>
      </c>
      <c r="D146" s="117">
        <v>1</v>
      </c>
      <c r="E146" s="117">
        <f t="shared" ref="E146:E147" si="20">+C146*D146</f>
        <v>3</v>
      </c>
    </row>
    <row r="147" spans="1:12">
      <c r="B147" s="1" t="s">
        <v>2370</v>
      </c>
      <c r="C147" s="117">
        <v>3</v>
      </c>
      <c r="D147" s="117">
        <v>1</v>
      </c>
      <c r="E147" s="117">
        <f t="shared" si="20"/>
        <v>3</v>
      </c>
    </row>
    <row r="148" spans="1:12">
      <c r="B148" s="1" t="s">
        <v>2371</v>
      </c>
      <c r="C148" s="117">
        <v>1</v>
      </c>
      <c r="D148" s="117">
        <v>1</v>
      </c>
      <c r="E148" s="117">
        <f>+C148*D148</f>
        <v>1</v>
      </c>
    </row>
    <row r="149" spans="1:12">
      <c r="B149" s="3"/>
      <c r="E149" s="297">
        <f>SUM(E138:E148)</f>
        <v>41</v>
      </c>
    </row>
    <row r="150" spans="1:12" ht="13.5" thickBot="1">
      <c r="A150" s="416"/>
      <c r="B150" s="416"/>
      <c r="C150" s="417"/>
      <c r="D150" s="417"/>
      <c r="E150" s="417"/>
      <c r="F150" s="416"/>
      <c r="G150" s="416"/>
      <c r="H150" s="416"/>
      <c r="I150" s="416"/>
      <c r="J150" s="416"/>
      <c r="K150" s="416"/>
      <c r="L150" s="416"/>
    </row>
    <row r="151" spans="1:12">
      <c r="A151" s="418"/>
      <c r="B151" s="418"/>
      <c r="C151" s="419"/>
      <c r="D151" s="419"/>
      <c r="E151" s="419"/>
      <c r="F151" s="418"/>
      <c r="G151" s="418"/>
      <c r="H151" s="418"/>
      <c r="I151" s="418"/>
      <c r="J151" s="418"/>
      <c r="K151" s="418"/>
      <c r="L151" s="418"/>
    </row>
    <row r="152" spans="1:12">
      <c r="B152" s="3" t="s">
        <v>2347</v>
      </c>
    </row>
    <row r="154" spans="1:12">
      <c r="C154" s="119" t="s">
        <v>381</v>
      </c>
      <c r="D154" s="119" t="s">
        <v>212</v>
      </c>
      <c r="E154" s="119" t="s">
        <v>4</v>
      </c>
      <c r="F154" s="414" t="s">
        <v>382</v>
      </c>
      <c r="G154" s="414" t="s">
        <v>66</v>
      </c>
      <c r="H154" s="414" t="s">
        <v>43</v>
      </c>
      <c r="I154" s="414" t="s">
        <v>2342</v>
      </c>
      <c r="J154" s="414" t="s">
        <v>477</v>
      </c>
    </row>
    <row r="155" spans="1:12">
      <c r="B155" s="1" t="s">
        <v>2340</v>
      </c>
      <c r="C155" s="117">
        <v>0.55000000000000004</v>
      </c>
      <c r="D155" s="117">
        <v>1.8</v>
      </c>
      <c r="E155" s="117">
        <f>+C155*D155</f>
        <v>0.9900000000000001</v>
      </c>
      <c r="F155" s="1">
        <v>0.15</v>
      </c>
      <c r="G155" s="1">
        <f>+E155*F155</f>
        <v>0.14850000000000002</v>
      </c>
      <c r="H155" s="1">
        <v>7</v>
      </c>
      <c r="I155" s="1">
        <f>+G155*H155</f>
        <v>1.0395000000000001</v>
      </c>
      <c r="J155" s="1">
        <f>(E155+(E155*F155))*H155</f>
        <v>7.9695</v>
      </c>
    </row>
    <row r="156" spans="1:12">
      <c r="B156" s="1" t="s">
        <v>2341</v>
      </c>
      <c r="C156" s="117">
        <v>0.5</v>
      </c>
      <c r="D156" s="117">
        <v>2.4500000000000002</v>
      </c>
      <c r="E156" s="117">
        <f>+C156*D156</f>
        <v>1.2250000000000001</v>
      </c>
      <c r="F156" s="1">
        <v>0.15</v>
      </c>
      <c r="G156" s="1">
        <f>+E156*F156</f>
        <v>0.18375</v>
      </c>
      <c r="H156" s="1">
        <v>7</v>
      </c>
      <c r="I156" s="1">
        <f>+G156*H156</f>
        <v>1.2862499999999999</v>
      </c>
      <c r="J156" s="1">
        <f>(E156+(E156*F156*2))*H156</f>
        <v>11.147500000000001</v>
      </c>
    </row>
    <row r="157" spans="1:12">
      <c r="B157" s="1" t="s">
        <v>2343</v>
      </c>
      <c r="C157" s="117">
        <v>0.55000000000000004</v>
      </c>
      <c r="D157" s="117">
        <v>2.5</v>
      </c>
      <c r="E157" s="117">
        <f t="shared" ref="E157:E162" si="21">+C157*D157</f>
        <v>1.375</v>
      </c>
      <c r="F157" s="1">
        <v>0.15</v>
      </c>
      <c r="G157" s="1">
        <f t="shared" ref="G157:G162" si="22">+E157*F157</f>
        <v>0.20624999999999999</v>
      </c>
      <c r="H157" s="1">
        <v>7</v>
      </c>
      <c r="I157" s="1">
        <f>+G157*H157</f>
        <v>1.4437499999999999</v>
      </c>
      <c r="J157" s="1">
        <f>(E157+(E157*F157))*H157</f>
        <v>11.06875</v>
      </c>
    </row>
    <row r="158" spans="1:12">
      <c r="B158" s="1" t="s">
        <v>2343</v>
      </c>
      <c r="C158" s="117">
        <v>0.5</v>
      </c>
      <c r="D158" s="117">
        <v>0.85</v>
      </c>
      <c r="E158" s="117">
        <f t="shared" si="21"/>
        <v>0.42499999999999999</v>
      </c>
      <c r="F158" s="1">
        <v>0.15</v>
      </c>
      <c r="G158" s="1">
        <f t="shared" si="22"/>
        <v>6.3750000000000001E-2</v>
      </c>
      <c r="H158" s="1">
        <v>7</v>
      </c>
      <c r="I158" s="1">
        <f t="shared" ref="I158:I162" si="23">+G158*H158</f>
        <v>0.44625000000000004</v>
      </c>
      <c r="J158" s="1">
        <f t="shared" ref="J158:J162" si="24">(E158+(E158*F158*2))*H158</f>
        <v>3.8674999999999997</v>
      </c>
    </row>
    <row r="159" spans="1:12">
      <c r="B159" s="1" t="s">
        <v>2343</v>
      </c>
      <c r="C159" s="117">
        <v>0.5</v>
      </c>
      <c r="D159" s="117">
        <v>2</v>
      </c>
      <c r="E159" s="117">
        <f t="shared" si="21"/>
        <v>1</v>
      </c>
      <c r="F159" s="1">
        <v>0.15</v>
      </c>
      <c r="G159" s="1">
        <f t="shared" si="22"/>
        <v>0.15</v>
      </c>
      <c r="H159" s="1">
        <v>7</v>
      </c>
      <c r="I159" s="1">
        <f t="shared" si="23"/>
        <v>1.05</v>
      </c>
      <c r="J159" s="1">
        <f t="shared" si="24"/>
        <v>9.1</v>
      </c>
    </row>
    <row r="160" spans="1:12">
      <c r="B160" s="1" t="s">
        <v>2344</v>
      </c>
      <c r="C160" s="117">
        <v>0.55000000000000004</v>
      </c>
      <c r="D160" s="117">
        <v>3</v>
      </c>
      <c r="E160" s="117">
        <f t="shared" si="21"/>
        <v>1.6500000000000001</v>
      </c>
      <c r="F160" s="1">
        <v>0.15</v>
      </c>
      <c r="G160" s="1">
        <f t="shared" si="22"/>
        <v>0.2475</v>
      </c>
      <c r="H160" s="1">
        <v>2</v>
      </c>
      <c r="I160" s="1">
        <f t="shared" si="23"/>
        <v>0.495</v>
      </c>
      <c r="J160" s="1">
        <f>(E160+(E160*F160))*H160</f>
        <v>3.7950000000000004</v>
      </c>
    </row>
    <row r="161" spans="1:12">
      <c r="B161" s="1" t="s">
        <v>2345</v>
      </c>
      <c r="C161" s="117">
        <v>0.55000000000000004</v>
      </c>
      <c r="D161" s="117">
        <f>1.75+1.65</f>
        <v>3.4</v>
      </c>
      <c r="E161" s="117">
        <f t="shared" si="21"/>
        <v>1.87</v>
      </c>
      <c r="F161" s="1">
        <v>0.15</v>
      </c>
      <c r="G161" s="1">
        <f t="shared" si="22"/>
        <v>0.28050000000000003</v>
      </c>
      <c r="H161" s="1">
        <v>2</v>
      </c>
      <c r="I161" s="1">
        <f t="shared" si="23"/>
        <v>0.56100000000000005</v>
      </c>
      <c r="J161" s="1">
        <f>(E161+(E161*F161))*H161</f>
        <v>4.3010000000000002</v>
      </c>
    </row>
    <row r="162" spans="1:12">
      <c r="B162" s="1" t="s">
        <v>2346</v>
      </c>
      <c r="C162" s="117">
        <v>0.5</v>
      </c>
      <c r="D162" s="117">
        <v>2.2799999999999998</v>
      </c>
      <c r="E162" s="117">
        <f t="shared" si="21"/>
        <v>1.1399999999999999</v>
      </c>
      <c r="F162" s="1">
        <v>0.15</v>
      </c>
      <c r="G162" s="1">
        <f t="shared" si="22"/>
        <v>0.17099999999999999</v>
      </c>
      <c r="H162" s="1">
        <v>2</v>
      </c>
      <c r="I162" s="1">
        <f t="shared" si="23"/>
        <v>0.34199999999999997</v>
      </c>
      <c r="J162" s="1">
        <f t="shared" si="24"/>
        <v>2.9639999999999995</v>
      </c>
    </row>
    <row r="163" spans="1:12">
      <c r="I163" s="415">
        <f>ROUNDUP(SUM(I155:I162),0)</f>
        <v>7</v>
      </c>
      <c r="J163" s="415">
        <f>ROUNDUP(SUM(J155:J162),0)</f>
        <v>55</v>
      </c>
    </row>
    <row r="164" spans="1:12">
      <c r="B164" s="1" t="s">
        <v>2349</v>
      </c>
    </row>
    <row r="165" spans="1:12">
      <c r="C165" s="117">
        <v>3.2</v>
      </c>
      <c r="D165" s="117">
        <v>2.2000000000000002</v>
      </c>
      <c r="E165" s="117">
        <f>+C165*D165</f>
        <v>7.0400000000000009</v>
      </c>
      <c r="F165" s="1">
        <v>0.15</v>
      </c>
      <c r="G165" s="1">
        <f t="shared" ref="G165" si="25">+E165*F165</f>
        <v>1.056</v>
      </c>
      <c r="H165" s="1">
        <v>1</v>
      </c>
      <c r="I165" s="415">
        <f t="shared" ref="I165" si="26">+G165*H165</f>
        <v>1.056</v>
      </c>
      <c r="J165" s="415">
        <f>+E165+(C165*2)+(D165*2)</f>
        <v>17.840000000000003</v>
      </c>
    </row>
    <row r="166" spans="1:12" ht="13.5" thickBot="1">
      <c r="A166" s="416"/>
      <c r="B166" s="416"/>
      <c r="C166" s="417"/>
      <c r="D166" s="417"/>
      <c r="E166" s="417"/>
      <c r="F166" s="416"/>
      <c r="G166" s="416"/>
      <c r="H166" s="416"/>
      <c r="I166" s="416"/>
      <c r="J166" s="416"/>
      <c r="K166" s="416"/>
      <c r="L166" s="416"/>
    </row>
    <row r="167" spans="1:12">
      <c r="A167" s="418"/>
      <c r="B167" s="418"/>
      <c r="C167" s="419"/>
      <c r="D167" s="419"/>
      <c r="E167" s="419"/>
      <c r="F167" s="418"/>
      <c r="G167" s="418"/>
      <c r="H167" s="418"/>
      <c r="I167" s="418"/>
      <c r="J167" s="418"/>
      <c r="K167" s="418"/>
      <c r="L167" s="418"/>
    </row>
    <row r="168" spans="1:12">
      <c r="C168" s="117" t="s">
        <v>381</v>
      </c>
      <c r="D168" s="117" t="s">
        <v>215</v>
      </c>
      <c r="E168" s="117" t="s">
        <v>4</v>
      </c>
      <c r="F168" s="1" t="s">
        <v>43</v>
      </c>
      <c r="G168" s="1" t="s">
        <v>13</v>
      </c>
    </row>
    <row r="169" spans="1:12">
      <c r="B169" s="3" t="s">
        <v>2378</v>
      </c>
      <c r="H169" s="415">
        <f>+SUM(G170:G179)</f>
        <v>147.60100000000003</v>
      </c>
    </row>
    <row r="170" spans="1:12">
      <c r="B170" s="1" t="s">
        <v>2377</v>
      </c>
      <c r="E170" s="117">
        <v>8.5</v>
      </c>
      <c r="F170" s="1">
        <v>2</v>
      </c>
      <c r="G170" s="1">
        <f t="shared" ref="G170:G179" si="27">+E170*F170</f>
        <v>17</v>
      </c>
    </row>
    <row r="171" spans="1:12">
      <c r="B171" s="1" t="s">
        <v>2379</v>
      </c>
      <c r="C171" s="117">
        <v>2</v>
      </c>
      <c r="D171" s="117">
        <v>9.6999999999999993</v>
      </c>
      <c r="E171" s="117">
        <f>+C171*D171</f>
        <v>19.399999999999999</v>
      </c>
      <c r="F171" s="1">
        <v>2</v>
      </c>
      <c r="G171" s="1">
        <f t="shared" si="27"/>
        <v>38.799999999999997</v>
      </c>
    </row>
    <row r="172" spans="1:12">
      <c r="B172" s="1" t="s">
        <v>2380</v>
      </c>
      <c r="C172" s="117">
        <v>0.75</v>
      </c>
      <c r="D172" s="117">
        <v>16</v>
      </c>
      <c r="E172" s="117">
        <f>+C172*D172</f>
        <v>12</v>
      </c>
      <c r="F172" s="1">
        <v>2</v>
      </c>
      <c r="G172" s="1">
        <f t="shared" si="27"/>
        <v>24</v>
      </c>
    </row>
    <row r="173" spans="1:12">
      <c r="B173" s="1" t="s">
        <v>2381</v>
      </c>
      <c r="C173" s="117">
        <v>1</v>
      </c>
      <c r="D173" s="117">
        <v>13</v>
      </c>
      <c r="E173" s="117">
        <f>+C173*D173</f>
        <v>13</v>
      </c>
      <c r="F173" s="1">
        <v>2</v>
      </c>
      <c r="G173" s="1">
        <f t="shared" si="27"/>
        <v>26</v>
      </c>
    </row>
    <row r="174" spans="1:12">
      <c r="B174" s="1" t="s">
        <v>2386</v>
      </c>
      <c r="C174" s="117">
        <v>0.75</v>
      </c>
      <c r="D174" s="117">
        <v>1.6</v>
      </c>
      <c r="E174" s="117">
        <f>+C174*D174</f>
        <v>1.2000000000000002</v>
      </c>
      <c r="F174" s="1">
        <v>2</v>
      </c>
      <c r="G174" s="1">
        <f t="shared" si="27"/>
        <v>2.4000000000000004</v>
      </c>
    </row>
    <row r="175" spans="1:12">
      <c r="B175" s="1" t="s">
        <v>2387</v>
      </c>
      <c r="C175" s="117">
        <v>0.75</v>
      </c>
      <c r="D175" s="117">
        <v>1.6</v>
      </c>
      <c r="E175" s="117">
        <f>+C175*D175</f>
        <v>1.2000000000000002</v>
      </c>
      <c r="F175" s="1">
        <v>2</v>
      </c>
      <c r="G175" s="1">
        <f t="shared" si="27"/>
        <v>2.4000000000000004</v>
      </c>
    </row>
    <row r="176" spans="1:12">
      <c r="B176" s="1" t="s">
        <v>2384</v>
      </c>
      <c r="E176" s="117">
        <v>12.2</v>
      </c>
      <c r="F176" s="1">
        <v>1</v>
      </c>
      <c r="G176" s="1">
        <f t="shared" si="27"/>
        <v>12.2</v>
      </c>
    </row>
    <row r="177" spans="1:12">
      <c r="B177" s="1" t="s">
        <v>2385</v>
      </c>
      <c r="C177" s="117">
        <v>1.51</v>
      </c>
      <c r="D177" s="117">
        <v>2.1</v>
      </c>
      <c r="E177" s="117">
        <f>+C177*D177</f>
        <v>3.1710000000000003</v>
      </c>
      <c r="F177" s="1">
        <v>1</v>
      </c>
      <c r="G177" s="1">
        <f t="shared" si="27"/>
        <v>3.1710000000000003</v>
      </c>
    </row>
    <row r="178" spans="1:12">
      <c r="B178" s="1" t="s">
        <v>2382</v>
      </c>
      <c r="C178" s="117">
        <v>1.2</v>
      </c>
      <c r="D178" s="117">
        <v>1.05</v>
      </c>
      <c r="E178" s="117">
        <f>+C178*D178</f>
        <v>1.26</v>
      </c>
      <c r="F178" s="1">
        <f>4*2</f>
        <v>8</v>
      </c>
      <c r="G178" s="1">
        <f t="shared" si="27"/>
        <v>10.08</v>
      </c>
    </row>
    <row r="179" spans="1:12">
      <c r="B179" s="1" t="s">
        <v>2383</v>
      </c>
      <c r="C179" s="117">
        <v>2.75</v>
      </c>
      <c r="D179" s="117">
        <v>1.05</v>
      </c>
      <c r="E179" s="117">
        <f>+C179*D179</f>
        <v>2.8875000000000002</v>
      </c>
      <c r="F179" s="1">
        <v>4</v>
      </c>
      <c r="G179" s="1">
        <f t="shared" si="27"/>
        <v>11.55</v>
      </c>
    </row>
    <row r="180" spans="1:12">
      <c r="G180" s="3">
        <f>SUM(G170:G179)</f>
        <v>147.60100000000003</v>
      </c>
      <c r="H180" s="3">
        <f>SUM(H169:H179)</f>
        <v>147.60100000000003</v>
      </c>
    </row>
    <row r="181" spans="1:12" ht="13.5" thickBot="1">
      <c r="A181" s="416"/>
      <c r="B181" s="416"/>
      <c r="C181" s="417"/>
      <c r="D181" s="417"/>
      <c r="E181" s="417"/>
      <c r="F181" s="416"/>
      <c r="G181" s="416"/>
      <c r="H181" s="416"/>
      <c r="I181" s="416"/>
      <c r="J181" s="416"/>
      <c r="K181" s="416"/>
      <c r="L181" s="416"/>
    </row>
    <row r="182" spans="1:12">
      <c r="A182" s="418"/>
      <c r="B182" s="418"/>
      <c r="C182" s="419"/>
      <c r="D182" s="419"/>
      <c r="E182" s="419"/>
      <c r="F182" s="418"/>
      <c r="G182" s="418"/>
      <c r="H182" s="418"/>
      <c r="I182" s="418"/>
      <c r="J182" s="418"/>
      <c r="K182" s="418"/>
      <c r="L182" s="418"/>
    </row>
    <row r="183" spans="1:12">
      <c r="B183" s="3" t="s">
        <v>2388</v>
      </c>
    </row>
    <row r="184" spans="1:12">
      <c r="C184" s="117" t="s">
        <v>381</v>
      </c>
      <c r="D184" s="117" t="s">
        <v>215</v>
      </c>
      <c r="E184" s="117" t="s">
        <v>4</v>
      </c>
      <c r="F184" s="1" t="s">
        <v>43</v>
      </c>
      <c r="G184" s="1" t="s">
        <v>13</v>
      </c>
    </row>
    <row r="185" spans="1:12">
      <c r="H185" s="415">
        <f>+SUM(G186:G187)</f>
        <v>30.053999999999998</v>
      </c>
    </row>
    <row r="186" spans="1:12">
      <c r="B186" s="1" t="s">
        <v>2389</v>
      </c>
      <c r="C186" s="117">
        <v>1.4</v>
      </c>
      <c r="D186" s="117">
        <v>2.1</v>
      </c>
      <c r="E186" s="117">
        <f>+C186*D186</f>
        <v>2.94</v>
      </c>
      <c r="F186" s="1">
        <f>4*2</f>
        <v>8</v>
      </c>
      <c r="G186" s="1">
        <f>+E186*F186</f>
        <v>23.52</v>
      </c>
    </row>
    <row r="187" spans="1:12">
      <c r="B187" s="1" t="s">
        <v>2390</v>
      </c>
      <c r="C187" s="117">
        <v>3.96</v>
      </c>
      <c r="D187" s="117">
        <v>1.65</v>
      </c>
      <c r="E187" s="117">
        <f>+C187*D187</f>
        <v>6.5339999999999998</v>
      </c>
      <c r="F187" s="1">
        <v>1</v>
      </c>
      <c r="G187" s="1">
        <f>+E187*F187</f>
        <v>6.5339999999999998</v>
      </c>
    </row>
    <row r="188" spans="1:12">
      <c r="G188" s="3">
        <f>SUM(G186:G187)</f>
        <v>30.053999999999998</v>
      </c>
      <c r="H188" s="3">
        <f>SUM(H185:H187)</f>
        <v>30.053999999999998</v>
      </c>
    </row>
    <row r="189" spans="1:12" ht="13.5" thickBot="1">
      <c r="A189" s="416"/>
      <c r="B189" s="416"/>
      <c r="C189" s="417"/>
      <c r="D189" s="417"/>
      <c r="E189" s="417"/>
      <c r="F189" s="416"/>
      <c r="G189" s="416"/>
      <c r="H189" s="416"/>
      <c r="I189" s="416"/>
      <c r="J189" s="416"/>
      <c r="K189" s="416"/>
      <c r="L189" s="416"/>
    </row>
    <row r="190" spans="1:12">
      <c r="A190" s="418"/>
      <c r="B190" s="418"/>
      <c r="C190" s="419"/>
      <c r="D190" s="419"/>
      <c r="E190" s="419"/>
      <c r="F190" s="418"/>
      <c r="G190" s="418"/>
      <c r="H190" s="418"/>
      <c r="I190" s="418"/>
      <c r="J190" s="418"/>
      <c r="K190" s="418"/>
      <c r="L190" s="418"/>
    </row>
    <row r="193" spans="2:7">
      <c r="C193" s="117" t="s">
        <v>363</v>
      </c>
      <c r="D193" s="117" t="s">
        <v>367</v>
      </c>
      <c r="E193" s="117" t="s">
        <v>4</v>
      </c>
      <c r="F193" s="117" t="s">
        <v>382</v>
      </c>
      <c r="G193" s="117" t="s">
        <v>66</v>
      </c>
    </row>
    <row r="194" spans="2:7">
      <c r="B194" s="1" t="s">
        <v>2398</v>
      </c>
      <c r="F194" s="117"/>
      <c r="G194" s="117"/>
    </row>
    <row r="195" spans="2:7">
      <c r="B195" s="1" t="s">
        <v>383</v>
      </c>
      <c r="C195" s="117">
        <v>0.8</v>
      </c>
      <c r="D195" s="117">
        <v>1.2</v>
      </c>
      <c r="E195" s="117">
        <f t="shared" ref="E195:E200" si="28">+C195*D195</f>
        <v>0.96</v>
      </c>
      <c r="F195" s="1">
        <v>0.1</v>
      </c>
      <c r="G195" s="1">
        <f t="shared" ref="G195:G200" si="29">+E195*F195</f>
        <v>9.6000000000000002E-2</v>
      </c>
    </row>
    <row r="196" spans="2:7">
      <c r="B196" s="1" t="s">
        <v>384</v>
      </c>
      <c r="C196" s="117">
        <v>0.8</v>
      </c>
      <c r="D196" s="117">
        <v>1.2</v>
      </c>
      <c r="E196" s="117">
        <f t="shared" si="28"/>
        <v>0.96</v>
      </c>
      <c r="F196" s="1">
        <v>0.1</v>
      </c>
      <c r="G196" s="1">
        <f t="shared" si="29"/>
        <v>9.6000000000000002E-2</v>
      </c>
    </row>
    <row r="197" spans="2:7">
      <c r="B197" s="1" t="s">
        <v>385</v>
      </c>
      <c r="C197" s="117">
        <v>1</v>
      </c>
      <c r="D197" s="117">
        <v>1.2</v>
      </c>
      <c r="E197" s="117">
        <f t="shared" si="28"/>
        <v>1.2</v>
      </c>
      <c r="F197" s="1">
        <v>0.1</v>
      </c>
      <c r="G197" s="1">
        <f t="shared" si="29"/>
        <v>0.12</v>
      </c>
    </row>
    <row r="198" spans="2:7">
      <c r="B198" s="1" t="s">
        <v>386</v>
      </c>
      <c r="C198" s="117">
        <v>1</v>
      </c>
      <c r="D198" s="117">
        <v>1.2</v>
      </c>
      <c r="E198" s="117">
        <f t="shared" si="28"/>
        <v>1.2</v>
      </c>
      <c r="F198" s="1">
        <v>0.1</v>
      </c>
      <c r="G198" s="1">
        <f t="shared" si="29"/>
        <v>0.12</v>
      </c>
    </row>
    <row r="199" spans="2:7">
      <c r="B199" s="1" t="s">
        <v>2392</v>
      </c>
      <c r="C199" s="117">
        <v>1</v>
      </c>
      <c r="D199" s="117">
        <v>1</v>
      </c>
      <c r="E199" s="117">
        <f t="shared" si="28"/>
        <v>1</v>
      </c>
      <c r="F199" s="1">
        <v>0.15</v>
      </c>
      <c r="G199" s="1">
        <f t="shared" si="29"/>
        <v>0.15</v>
      </c>
    </row>
    <row r="200" spans="2:7">
      <c r="B200" s="1" t="s">
        <v>2393</v>
      </c>
      <c r="C200" s="117">
        <v>0.8</v>
      </c>
      <c r="D200" s="117">
        <v>0.8</v>
      </c>
      <c r="E200" s="117">
        <f t="shared" si="28"/>
        <v>0.64000000000000012</v>
      </c>
      <c r="F200" s="1">
        <v>0.1</v>
      </c>
      <c r="G200" s="1">
        <f t="shared" si="29"/>
        <v>6.4000000000000015E-2</v>
      </c>
    </row>
    <row r="201" spans="2:7">
      <c r="B201" s="1" t="s">
        <v>2399</v>
      </c>
      <c r="G201" s="341"/>
    </row>
    <row r="202" spans="2:7">
      <c r="B202" s="1" t="s">
        <v>383</v>
      </c>
      <c r="C202" s="117">
        <v>0.6</v>
      </c>
      <c r="D202" s="117">
        <v>0.8</v>
      </c>
      <c r="E202" s="117">
        <f t="shared" ref="E202:E207" si="30">+C202*D202</f>
        <v>0.48</v>
      </c>
      <c r="F202" s="1">
        <v>0.1</v>
      </c>
      <c r="G202" s="1">
        <f t="shared" ref="G202:G207" si="31">+E202*F202</f>
        <v>4.8000000000000001E-2</v>
      </c>
    </row>
    <row r="203" spans="2:7">
      <c r="B203" s="1" t="s">
        <v>384</v>
      </c>
      <c r="C203" s="117">
        <v>0.6</v>
      </c>
      <c r="D203" s="117">
        <v>0.8</v>
      </c>
      <c r="E203" s="117">
        <f t="shared" si="30"/>
        <v>0.48</v>
      </c>
      <c r="F203" s="1">
        <v>0.1</v>
      </c>
      <c r="G203" s="1">
        <f t="shared" si="31"/>
        <v>4.8000000000000001E-2</v>
      </c>
    </row>
    <row r="204" spans="2:7">
      <c r="B204" s="1" t="s">
        <v>385</v>
      </c>
      <c r="C204" s="117">
        <v>0.8</v>
      </c>
      <c r="D204" s="117">
        <v>0.8</v>
      </c>
      <c r="E204" s="117">
        <f t="shared" si="30"/>
        <v>0.64000000000000012</v>
      </c>
      <c r="F204" s="1">
        <v>0.1</v>
      </c>
      <c r="G204" s="1">
        <f t="shared" si="31"/>
        <v>6.4000000000000015E-2</v>
      </c>
    </row>
    <row r="205" spans="2:7">
      <c r="B205" s="1" t="s">
        <v>386</v>
      </c>
      <c r="C205" s="117">
        <v>0.8</v>
      </c>
      <c r="D205" s="117">
        <v>0.8</v>
      </c>
      <c r="E205" s="117">
        <f t="shared" si="30"/>
        <v>0.64000000000000012</v>
      </c>
      <c r="F205" s="1">
        <v>0.1</v>
      </c>
      <c r="G205" s="1">
        <f t="shared" si="31"/>
        <v>6.4000000000000015E-2</v>
      </c>
    </row>
    <row r="206" spans="2:7">
      <c r="B206" s="1" t="s">
        <v>2392</v>
      </c>
      <c r="C206" s="117">
        <v>0.8</v>
      </c>
      <c r="D206" s="117">
        <v>0.8</v>
      </c>
      <c r="E206" s="117">
        <f t="shared" si="30"/>
        <v>0.64000000000000012</v>
      </c>
      <c r="F206" s="1">
        <v>0.15</v>
      </c>
      <c r="G206" s="1">
        <f t="shared" si="31"/>
        <v>9.6000000000000016E-2</v>
      </c>
    </row>
    <row r="207" spans="2:7">
      <c r="B207" s="1" t="s">
        <v>2393</v>
      </c>
      <c r="C207" s="117">
        <v>0.6</v>
      </c>
      <c r="D207" s="117">
        <v>0.6</v>
      </c>
      <c r="E207" s="117">
        <f t="shared" si="30"/>
        <v>0.36</v>
      </c>
      <c r="F207" s="1">
        <v>0.1</v>
      </c>
      <c r="G207" s="1">
        <f t="shared" si="31"/>
        <v>3.5999999999999997E-2</v>
      </c>
    </row>
    <row r="208" spans="2:7">
      <c r="E208" s="117">
        <f>+SUM(E195:E207)</f>
        <v>9.2000000000000028</v>
      </c>
      <c r="G208" s="415">
        <f>SUM(G195:G207)</f>
        <v>1.0020000000000002</v>
      </c>
    </row>
    <row r="209" spans="1:16">
      <c r="E209" s="117">
        <f>1.22*2.44</f>
        <v>2.9767999999999999</v>
      </c>
    </row>
    <row r="210" spans="1:16">
      <c r="E210" s="117">
        <f>+E208/E209</f>
        <v>3.0905670518677786</v>
      </c>
    </row>
    <row r="213" spans="1:16">
      <c r="C213" s="117" t="s">
        <v>4</v>
      </c>
      <c r="D213" s="117" t="s">
        <v>2397</v>
      </c>
      <c r="E213" s="117" t="s">
        <v>257</v>
      </c>
    </row>
    <row r="214" spans="1:16">
      <c r="B214" s="1" t="s">
        <v>2396</v>
      </c>
      <c r="C214" s="117">
        <f>+E208</f>
        <v>9.2000000000000028</v>
      </c>
      <c r="D214" s="117">
        <v>3</v>
      </c>
      <c r="E214" s="117">
        <f>+C214*D214</f>
        <v>27.600000000000009</v>
      </c>
    </row>
    <row r="216" spans="1:16" ht="13.5" thickBot="1">
      <c r="A216" s="416"/>
      <c r="B216" s="416"/>
      <c r="C216" s="417"/>
      <c r="D216" s="417"/>
      <c r="E216" s="417"/>
      <c r="F216" s="416"/>
      <c r="G216" s="416"/>
      <c r="H216" s="416"/>
      <c r="I216" s="416"/>
      <c r="J216" s="416"/>
      <c r="K216" s="416"/>
      <c r="L216" s="416"/>
    </row>
    <row r="217" spans="1:16">
      <c r="A217" s="418"/>
      <c r="B217" s="418"/>
      <c r="C217" s="419"/>
      <c r="D217" s="419"/>
      <c r="E217" s="419"/>
      <c r="F217" s="418"/>
      <c r="G217" s="418"/>
      <c r="H217" s="418"/>
      <c r="I217" s="418"/>
      <c r="J217" s="418"/>
      <c r="K217" s="418"/>
      <c r="L217" s="418"/>
    </row>
    <row r="218" spans="1:16">
      <c r="B218" s="3" t="s">
        <v>2400</v>
      </c>
    </row>
    <row r="219" spans="1:16">
      <c r="C219" s="117" t="s">
        <v>381</v>
      </c>
      <c r="D219" s="117" t="s">
        <v>215</v>
      </c>
      <c r="E219" s="117" t="s">
        <v>4</v>
      </c>
      <c r="F219" s="2" t="s">
        <v>43</v>
      </c>
      <c r="G219" s="2" t="s">
        <v>13</v>
      </c>
      <c r="M219" s="1" t="s">
        <v>2424</v>
      </c>
      <c r="N219" s="1" t="s">
        <v>2425</v>
      </c>
      <c r="O219" s="1" t="s">
        <v>1027</v>
      </c>
    </row>
    <row r="220" spans="1:16">
      <c r="B220" s="3" t="s">
        <v>2404</v>
      </c>
      <c r="H220" s="3">
        <f>+SUM(G221:G223)</f>
        <v>560.54119999999989</v>
      </c>
      <c r="M220" s="1">
        <f>+H233+J260</f>
        <v>1554.3331999999998</v>
      </c>
      <c r="N220" s="1">
        <f>+H169</f>
        <v>147.60100000000003</v>
      </c>
      <c r="O220" s="1">
        <f>+M220-N220</f>
        <v>1406.7321999999997</v>
      </c>
    </row>
    <row r="221" spans="1:16">
      <c r="B221" s="1" t="s">
        <v>2401</v>
      </c>
      <c r="C221" s="117">
        <v>11</v>
      </c>
      <c r="D221" s="117">
        <v>8</v>
      </c>
      <c r="E221" s="117">
        <f>+C221*D221</f>
        <v>88</v>
      </c>
      <c r="F221" s="1">
        <v>2</v>
      </c>
      <c r="G221" s="1">
        <f>+E221*F221</f>
        <v>176</v>
      </c>
    </row>
    <row r="222" spans="1:16">
      <c r="B222" s="1" t="s">
        <v>2402</v>
      </c>
      <c r="C222" s="117">
        <v>28.5</v>
      </c>
      <c r="D222" s="117">
        <v>12.6</v>
      </c>
      <c r="E222" s="117">
        <f>+C222*D222</f>
        <v>359.09999999999997</v>
      </c>
      <c r="F222" s="1">
        <v>1</v>
      </c>
      <c r="G222" s="1">
        <f>+E222*F222</f>
        <v>359.09999999999997</v>
      </c>
      <c r="O222" s="1">
        <f>+H233-N220</f>
        <v>728.48019999999985</v>
      </c>
      <c r="P222" s="1" t="s">
        <v>2431</v>
      </c>
    </row>
    <row r="223" spans="1:16">
      <c r="B223" s="1" t="s">
        <v>2403</v>
      </c>
      <c r="C223" s="117">
        <v>6.66</v>
      </c>
      <c r="D223" s="117">
        <v>3.82</v>
      </c>
      <c r="E223" s="117">
        <f>+C223*D223</f>
        <v>25.441199999999998</v>
      </c>
      <c r="F223" s="1">
        <v>1</v>
      </c>
      <c r="G223" s="1">
        <f>+E223*F223</f>
        <v>25.441199999999998</v>
      </c>
      <c r="O223" s="1">
        <f>+J260</f>
        <v>678.25199999999995</v>
      </c>
      <c r="P223" s="1" t="s">
        <v>2432</v>
      </c>
    </row>
    <row r="224" spans="1:16">
      <c r="B224" s="3" t="s">
        <v>2405</v>
      </c>
      <c r="H224" s="3">
        <f>+SUM(G225)</f>
        <v>24</v>
      </c>
    </row>
    <row r="225" spans="2:10">
      <c r="B225" s="1" t="s">
        <v>401</v>
      </c>
      <c r="C225" s="117">
        <v>0.75</v>
      </c>
      <c r="D225" s="117">
        <v>16</v>
      </c>
      <c r="E225" s="117">
        <f>+C225*D225</f>
        <v>12</v>
      </c>
      <c r="F225" s="1">
        <v>2</v>
      </c>
      <c r="G225" s="1">
        <f>+E225*F225</f>
        <v>24</v>
      </c>
    </row>
    <row r="226" spans="2:10">
      <c r="B226" s="3" t="s">
        <v>2408</v>
      </c>
      <c r="H226" s="3">
        <f>+SUM(G227)</f>
        <v>19.5</v>
      </c>
    </row>
    <row r="227" spans="2:10">
      <c r="B227" s="1" t="s">
        <v>401</v>
      </c>
      <c r="C227" s="117">
        <v>0.75</v>
      </c>
      <c r="D227" s="117">
        <v>13</v>
      </c>
      <c r="E227" s="117">
        <f>+C227*D227</f>
        <v>9.75</v>
      </c>
      <c r="F227" s="1">
        <v>2</v>
      </c>
      <c r="G227" s="1">
        <f>+E227*F227</f>
        <v>19.5</v>
      </c>
    </row>
    <row r="228" spans="2:10">
      <c r="B228" s="3" t="s">
        <v>2410</v>
      </c>
      <c r="H228" s="3">
        <f>+SUM(G229:G231)</f>
        <v>218.25</v>
      </c>
    </row>
    <row r="229" spans="2:10">
      <c r="B229" s="1" t="s">
        <v>2411</v>
      </c>
      <c r="C229" s="117">
        <v>4.1100000000000003</v>
      </c>
      <c r="D229" s="117">
        <v>15</v>
      </c>
      <c r="E229" s="117">
        <f>+C229*D229</f>
        <v>61.650000000000006</v>
      </c>
      <c r="F229" s="1">
        <v>2</v>
      </c>
      <c r="G229" s="1">
        <f>+E229*F229</f>
        <v>123.30000000000001</v>
      </c>
    </row>
    <row r="230" spans="2:10">
      <c r="B230" s="1" t="s">
        <v>319</v>
      </c>
      <c r="C230" s="117">
        <v>6.33</v>
      </c>
      <c r="D230" s="117">
        <v>15</v>
      </c>
      <c r="E230" s="117">
        <f>+C230*D230</f>
        <v>94.95</v>
      </c>
      <c r="F230" s="1">
        <v>1</v>
      </c>
      <c r="G230" s="1">
        <f>+E230*F230</f>
        <v>94.95</v>
      </c>
    </row>
    <row r="231" spans="2:10">
      <c r="B231" s="3" t="s">
        <v>507</v>
      </c>
      <c r="H231" s="3">
        <f>+SUM(G232)</f>
        <v>53.79</v>
      </c>
    </row>
    <row r="232" spans="2:10">
      <c r="B232" s="1" t="s">
        <v>1471</v>
      </c>
      <c r="C232" s="117">
        <v>16.3</v>
      </c>
      <c r="D232" s="117">
        <v>3.3</v>
      </c>
      <c r="E232" s="117">
        <f>+C232*D232</f>
        <v>53.79</v>
      </c>
      <c r="F232" s="1">
        <v>1</v>
      </c>
      <c r="G232" s="1">
        <f>+E232*F232</f>
        <v>53.79</v>
      </c>
    </row>
    <row r="233" spans="2:10">
      <c r="G233" s="3">
        <f>SUM(G220:G232)</f>
        <v>876.08119999999985</v>
      </c>
      <c r="H233" s="3">
        <f>SUM(H220:H232)</f>
        <v>876.08119999999985</v>
      </c>
    </row>
    <row r="236" spans="2:10">
      <c r="B236" s="3" t="s">
        <v>2409</v>
      </c>
    </row>
    <row r="237" spans="2:10">
      <c r="C237" s="117" t="s">
        <v>381</v>
      </c>
      <c r="D237" s="117" t="s">
        <v>215</v>
      </c>
      <c r="E237" s="117" t="s">
        <v>4</v>
      </c>
      <c r="F237" s="2" t="s">
        <v>1472</v>
      </c>
      <c r="G237" s="2" t="s">
        <v>13</v>
      </c>
      <c r="H237" s="2" t="s">
        <v>43</v>
      </c>
      <c r="I237" s="2" t="s">
        <v>13</v>
      </c>
    </row>
    <row r="238" spans="2:10">
      <c r="B238" s="3" t="s">
        <v>1470</v>
      </c>
      <c r="J238" s="3">
        <f>+SUM(I239:I240)</f>
        <v>47.197499999999991</v>
      </c>
    </row>
    <row r="239" spans="2:10">
      <c r="B239" s="1" t="s">
        <v>2406</v>
      </c>
      <c r="C239" s="117">
        <v>8.4499999999999993</v>
      </c>
      <c r="D239" s="117">
        <v>2.6</v>
      </c>
      <c r="E239" s="117">
        <f>+C239*D239</f>
        <v>21.97</v>
      </c>
      <c r="F239" s="1">
        <f>2*2.1*3</f>
        <v>12.600000000000001</v>
      </c>
      <c r="G239" s="1">
        <f>+E239-F239</f>
        <v>9.3699999999999974</v>
      </c>
      <c r="H239" s="1">
        <v>3</v>
      </c>
      <c r="I239" s="1">
        <f t="shared" ref="I239:I248" si="32">+G239*H239</f>
        <v>28.109999999999992</v>
      </c>
    </row>
    <row r="240" spans="2:10">
      <c r="B240" s="1" t="s">
        <v>2407</v>
      </c>
      <c r="C240" s="117">
        <v>8.4499999999999993</v>
      </c>
      <c r="D240" s="117">
        <v>3.75</v>
      </c>
      <c r="E240" s="117">
        <f>+C240*D240</f>
        <v>31.687499999999996</v>
      </c>
      <c r="F240" s="1">
        <f>2*2.1*3</f>
        <v>12.600000000000001</v>
      </c>
      <c r="G240" s="1">
        <f>+E240-F240</f>
        <v>19.087499999999995</v>
      </c>
      <c r="H240" s="1">
        <v>1</v>
      </c>
      <c r="I240" s="1">
        <f t="shared" si="32"/>
        <v>19.087499999999995</v>
      </c>
    </row>
    <row r="241" spans="2:10">
      <c r="B241" s="3" t="s">
        <v>399</v>
      </c>
      <c r="J241" s="3">
        <f>+SUM(I242:I243)</f>
        <v>47.197499999999991</v>
      </c>
    </row>
    <row r="242" spans="2:10">
      <c r="B242" s="1" t="s">
        <v>2406</v>
      </c>
      <c r="C242" s="117">
        <v>8.4499999999999993</v>
      </c>
      <c r="D242" s="117">
        <v>2.6</v>
      </c>
      <c r="E242" s="117">
        <f>+C242*D242</f>
        <v>21.97</v>
      </c>
      <c r="F242" s="1">
        <f>2*2.1*3</f>
        <v>12.600000000000001</v>
      </c>
      <c r="G242" s="1">
        <f>+E242-F242</f>
        <v>9.3699999999999974</v>
      </c>
      <c r="H242" s="1">
        <v>3</v>
      </c>
      <c r="I242" s="1">
        <f t="shared" si="32"/>
        <v>28.109999999999992</v>
      </c>
    </row>
    <row r="243" spans="2:10">
      <c r="B243" s="1" t="s">
        <v>2407</v>
      </c>
      <c r="C243" s="117">
        <v>8.4499999999999993</v>
      </c>
      <c r="D243" s="117">
        <v>3.75</v>
      </c>
      <c r="E243" s="117">
        <f>+C243*D243</f>
        <v>31.687499999999996</v>
      </c>
      <c r="F243" s="1">
        <f>2*2.1*3</f>
        <v>12.600000000000001</v>
      </c>
      <c r="G243" s="1">
        <f>+E243-F243</f>
        <v>19.087499999999995</v>
      </c>
      <c r="H243" s="1">
        <v>1</v>
      </c>
      <c r="I243" s="1">
        <f t="shared" si="32"/>
        <v>19.087499999999995</v>
      </c>
    </row>
    <row r="244" spans="2:10">
      <c r="B244" s="3" t="s">
        <v>2412</v>
      </c>
      <c r="J244" s="3">
        <f>+SUM(I245:I250)</f>
        <v>252.50000000000003</v>
      </c>
    </row>
    <row r="245" spans="2:10">
      <c r="B245" s="1" t="s">
        <v>2413</v>
      </c>
      <c r="C245" s="117">
        <v>16.3</v>
      </c>
      <c r="D245" s="117">
        <v>3</v>
      </c>
      <c r="E245" s="117">
        <f t="shared" ref="E245:E250" si="33">+C245*D245</f>
        <v>48.900000000000006</v>
      </c>
      <c r="F245" s="1">
        <v>0</v>
      </c>
      <c r="G245" s="1">
        <f t="shared" ref="G245:G250" si="34">+E245-F245</f>
        <v>48.900000000000006</v>
      </c>
      <c r="H245" s="1">
        <v>1</v>
      </c>
      <c r="I245" s="1">
        <f t="shared" si="32"/>
        <v>48.900000000000006</v>
      </c>
    </row>
    <row r="246" spans="2:10">
      <c r="B246" s="1" t="s">
        <v>2414</v>
      </c>
      <c r="C246" s="117">
        <f>11.6+9.4</f>
        <v>21</v>
      </c>
      <c r="D246" s="117">
        <v>1.8</v>
      </c>
      <c r="E246" s="117">
        <f t="shared" si="33"/>
        <v>37.800000000000004</v>
      </c>
      <c r="F246" s="1">
        <v>0</v>
      </c>
      <c r="G246" s="1">
        <f t="shared" si="34"/>
        <v>37.800000000000004</v>
      </c>
      <c r="H246" s="1">
        <v>1</v>
      </c>
      <c r="I246" s="1">
        <f t="shared" si="32"/>
        <v>37.800000000000004</v>
      </c>
    </row>
    <row r="247" spans="2:10">
      <c r="B247" s="1" t="s">
        <v>1987</v>
      </c>
      <c r="C247" s="117">
        <f>8.8+10.9</f>
        <v>19.700000000000003</v>
      </c>
      <c r="D247" s="117">
        <v>1.8</v>
      </c>
      <c r="E247" s="117">
        <f t="shared" si="33"/>
        <v>35.460000000000008</v>
      </c>
      <c r="F247" s="1">
        <v>0</v>
      </c>
      <c r="G247" s="1">
        <f t="shared" si="34"/>
        <v>35.460000000000008</v>
      </c>
      <c r="H247" s="1">
        <v>2</v>
      </c>
      <c r="I247" s="1">
        <f t="shared" si="32"/>
        <v>70.920000000000016</v>
      </c>
    </row>
    <row r="248" spans="2:10">
      <c r="B248" s="1" t="s">
        <v>2415</v>
      </c>
      <c r="C248" s="117">
        <v>36</v>
      </c>
      <c r="D248" s="117">
        <v>1.8</v>
      </c>
      <c r="E248" s="117">
        <f t="shared" si="33"/>
        <v>64.8</v>
      </c>
      <c r="F248" s="1">
        <v>0</v>
      </c>
      <c r="G248" s="1">
        <f t="shared" si="34"/>
        <v>64.8</v>
      </c>
      <c r="H248" s="1">
        <v>1</v>
      </c>
      <c r="I248" s="1">
        <f t="shared" si="32"/>
        <v>64.8</v>
      </c>
    </row>
    <row r="249" spans="2:10">
      <c r="B249" s="1" t="s">
        <v>412</v>
      </c>
      <c r="C249" s="117">
        <v>1.5</v>
      </c>
      <c r="D249" s="117">
        <v>1.8</v>
      </c>
      <c r="E249" s="117">
        <f t="shared" si="33"/>
        <v>2.7</v>
      </c>
      <c r="F249" s="1">
        <v>0</v>
      </c>
      <c r="G249" s="1">
        <f t="shared" si="34"/>
        <v>2.7</v>
      </c>
      <c r="H249" s="1">
        <v>4</v>
      </c>
      <c r="I249" s="1">
        <f>+G249*H249</f>
        <v>10.8</v>
      </c>
    </row>
    <row r="250" spans="2:10">
      <c r="B250" s="1" t="s">
        <v>2416</v>
      </c>
      <c r="C250" s="117">
        <f>9.64*2</f>
        <v>19.28</v>
      </c>
      <c r="D250" s="117">
        <v>0.5</v>
      </c>
      <c r="E250" s="117">
        <f t="shared" si="33"/>
        <v>9.64</v>
      </c>
      <c r="F250" s="1">
        <v>0</v>
      </c>
      <c r="G250" s="1">
        <f t="shared" si="34"/>
        <v>9.64</v>
      </c>
      <c r="H250" s="1">
        <v>2</v>
      </c>
      <c r="I250" s="1">
        <f>+G250*H250</f>
        <v>19.28</v>
      </c>
    </row>
    <row r="251" spans="2:10">
      <c r="B251" s="3" t="s">
        <v>2423</v>
      </c>
      <c r="J251" s="3">
        <f>+SUM(I252)</f>
        <v>22.445</v>
      </c>
    </row>
    <row r="252" spans="2:10">
      <c r="B252" s="1" t="s">
        <v>401</v>
      </c>
      <c r="C252" s="117">
        <v>3.35</v>
      </c>
      <c r="D252" s="117">
        <f>1.6+0.15+1.6</f>
        <v>3.35</v>
      </c>
      <c r="E252" s="117">
        <f>+C252*D252</f>
        <v>11.2225</v>
      </c>
      <c r="F252" s="1">
        <v>0</v>
      </c>
      <c r="G252" s="1">
        <f>+E252-F252</f>
        <v>11.2225</v>
      </c>
      <c r="H252" s="1">
        <v>2</v>
      </c>
      <c r="I252" s="1">
        <f>+G252*H252</f>
        <v>22.445</v>
      </c>
    </row>
    <row r="253" spans="2:10">
      <c r="B253" s="3" t="s">
        <v>2417</v>
      </c>
      <c r="J253" s="3">
        <f>+SUM(I254:I255)</f>
        <v>35.200000000000003</v>
      </c>
    </row>
    <row r="254" spans="2:10">
      <c r="B254" s="1" t="s">
        <v>2418</v>
      </c>
      <c r="C254" s="117">
        <v>3</v>
      </c>
      <c r="D254" s="117">
        <v>3.2</v>
      </c>
      <c r="E254" s="117">
        <f>+C254*D254</f>
        <v>9.6000000000000014</v>
      </c>
      <c r="F254" s="1">
        <v>0</v>
      </c>
      <c r="G254" s="1">
        <f>+E254-F254</f>
        <v>9.6000000000000014</v>
      </c>
      <c r="H254" s="1">
        <v>2</v>
      </c>
      <c r="I254" s="1">
        <f>+G254*H254</f>
        <v>19.200000000000003</v>
      </c>
    </row>
    <row r="255" spans="2:10">
      <c r="B255" s="1" t="s">
        <v>2419</v>
      </c>
      <c r="C255" s="117">
        <v>2.5</v>
      </c>
      <c r="D255" s="117">
        <v>3.2</v>
      </c>
      <c r="E255" s="117">
        <f>+C255*D255</f>
        <v>8</v>
      </c>
      <c r="F255" s="1">
        <v>0</v>
      </c>
      <c r="G255" s="1">
        <f>+E255-F255</f>
        <v>8</v>
      </c>
      <c r="H255" s="1">
        <v>2</v>
      </c>
      <c r="I255" s="1">
        <f>+G255*H255</f>
        <v>16</v>
      </c>
    </row>
    <row r="256" spans="2:10">
      <c r="B256" s="3" t="s">
        <v>2422</v>
      </c>
      <c r="J256" s="3">
        <f>+SUM(I257:I259)</f>
        <v>273.71200000000005</v>
      </c>
    </row>
    <row r="257" spans="2:10">
      <c r="B257" s="1" t="s">
        <v>378</v>
      </c>
      <c r="C257" s="117">
        <v>34.880000000000003</v>
      </c>
      <c r="D257" s="117">
        <v>3.2</v>
      </c>
      <c r="E257" s="117">
        <f>+C257*D257</f>
        <v>111.61600000000001</v>
      </c>
      <c r="F257" s="1">
        <f>2*2.1*3</f>
        <v>12.600000000000001</v>
      </c>
      <c r="G257" s="1">
        <f>+E257-F257</f>
        <v>99.01600000000002</v>
      </c>
      <c r="H257" s="1">
        <v>2</v>
      </c>
      <c r="I257" s="1">
        <f>+G257*H257</f>
        <v>198.03200000000004</v>
      </c>
    </row>
    <row r="258" spans="2:10">
      <c r="B258" s="1" t="s">
        <v>2420</v>
      </c>
      <c r="C258" s="117">
        <v>10.95</v>
      </c>
      <c r="D258" s="117">
        <v>3.2</v>
      </c>
      <c r="E258" s="117">
        <f>+C258*D258</f>
        <v>35.04</v>
      </c>
      <c r="F258" s="1">
        <f>2*2.1</f>
        <v>4.2</v>
      </c>
      <c r="G258" s="1">
        <f>+E258-F258</f>
        <v>30.84</v>
      </c>
      <c r="H258" s="1">
        <v>2</v>
      </c>
      <c r="I258" s="1">
        <f>+G258*H258</f>
        <v>61.68</v>
      </c>
    </row>
    <row r="259" spans="2:10">
      <c r="B259" s="1" t="s">
        <v>2421</v>
      </c>
      <c r="C259" s="117">
        <v>8</v>
      </c>
      <c r="D259" s="117">
        <v>1.75</v>
      </c>
      <c r="E259" s="117">
        <f>+C259*D259</f>
        <v>14</v>
      </c>
      <c r="F259" s="1">
        <v>0</v>
      </c>
      <c r="G259" s="1">
        <f>+E259-F259</f>
        <v>14</v>
      </c>
      <c r="H259" s="1">
        <v>1</v>
      </c>
      <c r="I259" s="1">
        <f>+G259*H259</f>
        <v>14</v>
      </c>
    </row>
    <row r="260" spans="2:10">
      <c r="I260" s="3">
        <f>SUM(I239:I259)</f>
        <v>678.25199999999995</v>
      </c>
      <c r="J260" s="3">
        <f>SUM(J238:J259)</f>
        <v>678.25199999999995</v>
      </c>
    </row>
    <row r="262" spans="2:10">
      <c r="B262" s="3" t="s">
        <v>2426</v>
      </c>
    </row>
    <row r="263" spans="2:10">
      <c r="C263" s="117" t="s">
        <v>212</v>
      </c>
      <c r="D263" s="117" t="s">
        <v>43</v>
      </c>
    </row>
    <row r="264" spans="2:10">
      <c r="F264" s="3">
        <f>+ROUNDUP(SUM(E265:E266),0)</f>
        <v>182</v>
      </c>
    </row>
    <row r="265" spans="2:10">
      <c r="B265" s="1" t="s">
        <v>2427</v>
      </c>
      <c r="C265" s="117">
        <v>10</v>
      </c>
      <c r="D265" s="117">
        <v>8</v>
      </c>
      <c r="E265" s="117">
        <f>+C265*D265</f>
        <v>80</v>
      </c>
    </row>
    <row r="266" spans="2:10">
      <c r="B266" s="1" t="s">
        <v>2402</v>
      </c>
      <c r="C266" s="117">
        <v>25.4</v>
      </c>
      <c r="D266" s="117">
        <v>4</v>
      </c>
      <c r="E266" s="117">
        <f>+C266*D266</f>
        <v>101.6</v>
      </c>
    </row>
  </sheetData>
  <phoneticPr fontId="7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878E-57B9-41C8-9834-59D56A75FDA2}">
  <sheetPr>
    <tabColor rgb="FF92D050"/>
  </sheetPr>
  <dimension ref="B1:Q30"/>
  <sheetViews>
    <sheetView workbookViewId="0">
      <selection activeCell="H23" sqref="H23"/>
    </sheetView>
  </sheetViews>
  <sheetFormatPr defaultColWidth="11.54296875" defaultRowHeight="13"/>
  <cols>
    <col min="1" max="1" width="7.54296875" style="1" customWidth="1"/>
    <col min="2" max="2" width="74.54296875" style="1" bestFit="1" customWidth="1"/>
    <col min="3" max="3" width="4.7265625" style="117" customWidth="1"/>
    <col min="4" max="4" width="6.54296875" style="1" bestFit="1" customWidth="1"/>
    <col min="5" max="5" width="12.453125" style="1" bestFit="1" customWidth="1"/>
    <col min="6" max="6" width="12.453125" style="1" customWidth="1"/>
    <col min="7" max="8" width="12.7265625" style="1" bestFit="1" customWidth="1"/>
    <col min="9" max="9" width="11.54296875" style="1"/>
    <col min="10" max="10" width="22.1796875" style="1" bestFit="1" customWidth="1"/>
    <col min="11" max="11" width="6.54296875" style="1" bestFit="1" customWidth="1"/>
    <col min="12" max="15" width="9.81640625" style="1" bestFit="1" customWidth="1"/>
    <col min="16" max="16" width="13.1796875" style="1" bestFit="1" customWidth="1"/>
    <col min="17" max="16384" width="11.54296875" style="1"/>
  </cols>
  <sheetData>
    <row r="1" spans="2:17">
      <c r="B1" s="1" t="s">
        <v>617</v>
      </c>
      <c r="F1" s="1">
        <v>1.05</v>
      </c>
    </row>
    <row r="2" spans="2:17">
      <c r="H2" s="1171">
        <v>0.6</v>
      </c>
      <c r="I2" s="1" t="s">
        <v>2218</v>
      </c>
      <c r="J2" s="344"/>
      <c r="L2" s="831">
        <f>+'P.MO 09.24'!B4</f>
        <v>75113.048226571977</v>
      </c>
      <c r="M2" s="831">
        <f>+'P.MO 09.24'!B5</f>
        <v>65360.248306571972</v>
      </c>
      <c r="N2" s="831">
        <f>+'P.MO 09.24'!B6</f>
        <v>54784.071766571964</v>
      </c>
      <c r="O2" s="831">
        <f>+'P.MO 09.24'!B7</f>
        <v>49934.237226571968</v>
      </c>
      <c r="P2" s="276">
        <v>1.5</v>
      </c>
    </row>
    <row r="3" spans="2:17">
      <c r="B3" s="3" t="s">
        <v>41</v>
      </c>
      <c r="C3" s="119" t="s">
        <v>508</v>
      </c>
      <c r="D3" s="3" t="s">
        <v>43</v>
      </c>
      <c r="E3" s="3" t="s">
        <v>567</v>
      </c>
      <c r="F3" s="3" t="s">
        <v>2217</v>
      </c>
      <c r="G3" s="3" t="s">
        <v>13</v>
      </c>
      <c r="J3" s="295" t="s">
        <v>509</v>
      </c>
      <c r="K3" s="119" t="s">
        <v>510</v>
      </c>
      <c r="L3" s="218" t="s">
        <v>192</v>
      </c>
      <c r="M3" s="218" t="s">
        <v>193</v>
      </c>
      <c r="N3" s="218" t="s">
        <v>194</v>
      </c>
      <c r="O3" s="218" t="s">
        <v>195</v>
      </c>
      <c r="P3" s="318" t="s">
        <v>511</v>
      </c>
    </row>
    <row r="4" spans="2:17">
      <c r="B4" s="523" t="s">
        <v>618</v>
      </c>
      <c r="C4" s="404"/>
      <c r="D4" s="401"/>
      <c r="E4" s="401"/>
      <c r="F4" s="401"/>
      <c r="G4" s="401"/>
      <c r="H4" s="524">
        <f>+SUM(G5:G17)*H2</f>
        <v>2093587.3781549993</v>
      </c>
      <c r="J4" s="469" t="s">
        <v>334</v>
      </c>
      <c r="K4" s="1">
        <v>2</v>
      </c>
      <c r="O4" s="1">
        <v>2</v>
      </c>
      <c r="P4" s="554">
        <f>(+L4*$L$2+M4*$M$2+N4*$N$2+O4*$O$2)*K4</f>
        <v>199736.94890628787</v>
      </c>
      <c r="Q4" s="554"/>
    </row>
    <row r="5" spans="2:17">
      <c r="B5" s="520" t="s">
        <v>619</v>
      </c>
      <c r="C5" s="504" t="s">
        <v>513</v>
      </c>
      <c r="D5" s="521">
        <v>1</v>
      </c>
      <c r="E5" s="522">
        <f>VLOOKUP(B5,Cotizaciones!B:D,3,0)</f>
        <v>191048</v>
      </c>
      <c r="F5" s="522">
        <f>+E5*$F$1</f>
        <v>200600.4</v>
      </c>
      <c r="G5" s="522">
        <f>+D5*F5</f>
        <v>200600.4</v>
      </c>
      <c r="J5" s="469" t="s">
        <v>566</v>
      </c>
      <c r="K5" s="1">
        <v>5</v>
      </c>
      <c r="L5" s="1">
        <v>1</v>
      </c>
      <c r="O5" s="1">
        <v>1</v>
      </c>
      <c r="P5" s="554">
        <f>(+L5*$L$2+M5*$M$2+N5*$N$2+O5*$O$2)*K5</f>
        <v>625236.42726571974</v>
      </c>
      <c r="Q5" s="554"/>
    </row>
    <row r="6" spans="2:17">
      <c r="B6" s="515" t="s">
        <v>620</v>
      </c>
      <c r="C6" s="409" t="s">
        <v>513</v>
      </c>
      <c r="D6" s="516">
        <v>8</v>
      </c>
      <c r="E6" s="12">
        <f>VLOOKUP(B6,Cotizaciones!B:D,3,0)</f>
        <v>266426</v>
      </c>
      <c r="F6" s="12">
        <f t="shared" ref="F6:F25" si="0">+E6*$F$1</f>
        <v>279747.3</v>
      </c>
      <c r="G6" s="12">
        <f t="shared" ref="G6:G25" si="1">+D6*F6</f>
        <v>2237978.4</v>
      </c>
      <c r="J6" s="469" t="s">
        <v>1597</v>
      </c>
      <c r="K6" s="1">
        <v>2</v>
      </c>
      <c r="L6" s="1">
        <v>1</v>
      </c>
      <c r="O6" s="1">
        <v>1</v>
      </c>
      <c r="P6" s="554">
        <f>(+L6*$L$2+M6*$M$2+N6*$N$2+O6*$O$2)*K6</f>
        <v>250094.57090628787</v>
      </c>
      <c r="Q6" s="554"/>
    </row>
    <row r="7" spans="2:17">
      <c r="B7" s="515" t="s">
        <v>621</v>
      </c>
      <c r="C7" s="409" t="s">
        <v>77</v>
      </c>
      <c r="D7" s="516">
        <v>8</v>
      </c>
      <c r="E7" s="12">
        <f>VLOOKUP(B7,Cotizaciones!B:D,3,0)</f>
        <v>18775.3</v>
      </c>
      <c r="F7" s="12">
        <f t="shared" si="0"/>
        <v>19714.064999999999</v>
      </c>
      <c r="G7" s="12">
        <f t="shared" si="1"/>
        <v>157712.51999999999</v>
      </c>
      <c r="J7" s="469" t="s">
        <v>1598</v>
      </c>
      <c r="K7" s="1">
        <v>2</v>
      </c>
      <c r="L7" s="1">
        <v>1</v>
      </c>
      <c r="O7" s="1">
        <v>1</v>
      </c>
      <c r="P7" s="554">
        <f>(+L7*$L$2+M7*$M$2+N7*$N$2+O7*$O$2)*K7</f>
        <v>250094.57090628787</v>
      </c>
      <c r="Q7" s="554"/>
    </row>
    <row r="8" spans="2:17">
      <c r="B8" s="515" t="s">
        <v>622</v>
      </c>
      <c r="C8" s="409" t="s">
        <v>77</v>
      </c>
      <c r="D8" s="516">
        <v>2</v>
      </c>
      <c r="E8" s="12">
        <f>VLOOKUP(B8,Cotizaciones!B:D,3,0)</f>
        <v>16598</v>
      </c>
      <c r="F8" s="12">
        <f t="shared" si="0"/>
        <v>17427.900000000001</v>
      </c>
      <c r="G8" s="12">
        <f t="shared" si="1"/>
        <v>34855.800000000003</v>
      </c>
      <c r="K8" s="1">
        <f>SUM(K4:K7)</f>
        <v>11</v>
      </c>
      <c r="P8" s="1">
        <f>+SUM(P4:P7)</f>
        <v>1325162.5179845835</v>
      </c>
    </row>
    <row r="9" spans="2:17">
      <c r="B9" s="515" t="s">
        <v>623</v>
      </c>
      <c r="C9" s="409" t="s">
        <v>77</v>
      </c>
      <c r="D9" s="516">
        <v>11</v>
      </c>
      <c r="E9" s="12">
        <f>VLOOKUP(B9,Cotizaciones!B:D,3,0)</f>
        <v>13695</v>
      </c>
      <c r="F9" s="12">
        <f t="shared" si="0"/>
        <v>14379.75</v>
      </c>
      <c r="G9" s="12">
        <f t="shared" si="1"/>
        <v>158177.25</v>
      </c>
      <c r="P9" s="415">
        <f>+P8*$P$2</f>
        <v>1987743.7769768753</v>
      </c>
      <c r="Q9" s="1" t="s">
        <v>511</v>
      </c>
    </row>
    <row r="10" spans="2:17">
      <c r="B10" s="515" t="s">
        <v>624</v>
      </c>
      <c r="C10" s="409" t="s">
        <v>77</v>
      </c>
      <c r="D10" s="516">
        <v>8</v>
      </c>
      <c r="E10" s="12">
        <f>VLOOKUP(B10,Cotizaciones!B:D,3,0)</f>
        <v>7191.2</v>
      </c>
      <c r="F10" s="12">
        <f t="shared" si="0"/>
        <v>7550.76</v>
      </c>
      <c r="G10" s="12">
        <f t="shared" si="1"/>
        <v>60406.080000000002</v>
      </c>
    </row>
    <row r="11" spans="2:17">
      <c r="B11" s="515" t="s">
        <v>625</v>
      </c>
      <c r="C11" s="409" t="s">
        <v>77</v>
      </c>
      <c r="D11" s="516">
        <v>8</v>
      </c>
      <c r="E11" s="12">
        <f>VLOOKUP(B11,Cotizaciones!B:D,3,0)</f>
        <v>6723.2</v>
      </c>
      <c r="F11" s="12">
        <f t="shared" si="0"/>
        <v>7059.36</v>
      </c>
      <c r="G11" s="12">
        <f t="shared" si="1"/>
        <v>56474.879999999997</v>
      </c>
    </row>
    <row r="12" spans="2:17">
      <c r="B12" s="517" t="s">
        <v>626</v>
      </c>
      <c r="C12" s="518" t="s">
        <v>77</v>
      </c>
      <c r="D12" s="516">
        <v>18</v>
      </c>
      <c r="E12" s="12">
        <f>VLOOKUP(B12,Cotizaciones!B:D,3,0)</f>
        <v>4383.5</v>
      </c>
      <c r="F12" s="12">
        <f t="shared" si="0"/>
        <v>4602.6750000000002</v>
      </c>
      <c r="G12" s="12">
        <f t="shared" si="1"/>
        <v>82848.150000000009</v>
      </c>
    </row>
    <row r="13" spans="2:17">
      <c r="B13" s="515" t="s">
        <v>627</v>
      </c>
      <c r="C13" s="409" t="s">
        <v>77</v>
      </c>
      <c r="D13" s="516">
        <v>3</v>
      </c>
      <c r="E13" s="12">
        <f>VLOOKUP(B13,Cotizaciones!B:D,3,0)</f>
        <v>11704.5</v>
      </c>
      <c r="F13" s="12">
        <f t="shared" si="0"/>
        <v>12289.725</v>
      </c>
      <c r="G13" s="12">
        <f t="shared" si="1"/>
        <v>36869.175000000003</v>
      </c>
    </row>
    <row r="14" spans="2:17">
      <c r="B14" s="515" t="s">
        <v>628</v>
      </c>
      <c r="C14" s="409" t="s">
        <v>77</v>
      </c>
      <c r="D14" s="516">
        <v>1</v>
      </c>
      <c r="E14" s="12">
        <f>VLOOKUP(B14,Cotizaciones!B:D,3,0)</f>
        <v>5548.6</v>
      </c>
      <c r="F14" s="12">
        <f t="shared" si="0"/>
        <v>5826.0300000000007</v>
      </c>
      <c r="G14" s="12">
        <f t="shared" si="1"/>
        <v>5826.0300000000007</v>
      </c>
    </row>
    <row r="15" spans="2:17">
      <c r="B15" s="515" t="s">
        <v>629</v>
      </c>
      <c r="C15" s="409" t="s">
        <v>263</v>
      </c>
      <c r="D15" s="12">
        <v>1</v>
      </c>
      <c r="E15" s="12">
        <v>100000</v>
      </c>
      <c r="F15" s="12">
        <f t="shared" si="0"/>
        <v>105000</v>
      </c>
      <c r="G15" s="12">
        <f t="shared" si="1"/>
        <v>105000</v>
      </c>
    </row>
    <row r="16" spans="2:17">
      <c r="B16" s="515" t="s">
        <v>630</v>
      </c>
      <c r="C16" s="409" t="s">
        <v>54</v>
      </c>
      <c r="D16" s="12">
        <v>1</v>
      </c>
      <c r="E16" s="12">
        <f>+E15*0.2</f>
        <v>20000</v>
      </c>
      <c r="F16" s="12">
        <f t="shared" si="0"/>
        <v>21000</v>
      </c>
      <c r="G16" s="12">
        <f t="shared" si="1"/>
        <v>21000</v>
      </c>
    </row>
    <row r="17" spans="2:8">
      <c r="B17" s="519" t="s">
        <v>631</v>
      </c>
      <c r="C17" s="410" t="s">
        <v>54</v>
      </c>
      <c r="D17" s="13">
        <v>0.1</v>
      </c>
      <c r="E17" s="13">
        <f>+SUM(G5:G16)</f>
        <v>3157748.6849999991</v>
      </c>
      <c r="F17" s="13">
        <f t="shared" si="0"/>
        <v>3315636.1192499991</v>
      </c>
      <c r="G17" s="13">
        <f t="shared" si="1"/>
        <v>331563.61192499992</v>
      </c>
    </row>
    <row r="18" spans="2:8">
      <c r="B18" s="523" t="s">
        <v>632</v>
      </c>
      <c r="C18" s="404"/>
      <c r="D18" s="401"/>
      <c r="E18" s="401"/>
      <c r="F18" s="401"/>
      <c r="G18" s="401"/>
      <c r="H18" s="524">
        <f>+SUM(G19:G22)</f>
        <v>1796299.6800000002</v>
      </c>
    </row>
    <row r="19" spans="2:8">
      <c r="B19" s="525" t="s">
        <v>179</v>
      </c>
      <c r="C19" s="526" t="s">
        <v>77</v>
      </c>
      <c r="D19" s="527">
        <v>4</v>
      </c>
      <c r="E19" s="528">
        <f>VLOOKUP(B19,Cotizaciones!B:D,3,0)</f>
        <v>46242</v>
      </c>
      <c r="F19" s="528">
        <f t="shared" si="0"/>
        <v>48554.1</v>
      </c>
      <c r="G19" s="528">
        <f t="shared" si="1"/>
        <v>194216.4</v>
      </c>
    </row>
    <row r="20" spans="2:8">
      <c r="B20" s="512" t="s">
        <v>633</v>
      </c>
      <c r="C20" s="514" t="s">
        <v>77</v>
      </c>
      <c r="D20" s="511">
        <v>4</v>
      </c>
      <c r="E20" s="529">
        <f>VLOOKUP(B20,Cotizaciones!B:D,3,0)</f>
        <v>53050</v>
      </c>
      <c r="F20" s="529">
        <f t="shared" si="0"/>
        <v>55702.5</v>
      </c>
      <c r="G20" s="529">
        <f t="shared" si="1"/>
        <v>222810</v>
      </c>
    </row>
    <row r="21" spans="2:8">
      <c r="B21" s="510" t="s">
        <v>181</v>
      </c>
      <c r="C21" s="513" t="s">
        <v>77</v>
      </c>
      <c r="D21" s="511">
        <v>4</v>
      </c>
      <c r="E21" s="529">
        <f>VLOOKUP(B21,Cotizaciones!B:D,3,0)</f>
        <v>300752.09999999998</v>
      </c>
      <c r="F21" s="529">
        <f t="shared" si="0"/>
        <v>315789.70500000002</v>
      </c>
      <c r="G21" s="529">
        <f t="shared" si="1"/>
        <v>1263158.82</v>
      </c>
    </row>
    <row r="22" spans="2:8">
      <c r="B22" s="530" t="s">
        <v>182</v>
      </c>
      <c r="C22" s="531" t="s">
        <v>77</v>
      </c>
      <c r="D22" s="532">
        <v>4</v>
      </c>
      <c r="E22" s="533">
        <f>VLOOKUP(B22,Cotizaciones!B:D,3,0)</f>
        <v>27646.3</v>
      </c>
      <c r="F22" s="533">
        <f t="shared" si="0"/>
        <v>29028.615000000002</v>
      </c>
      <c r="G22" s="533">
        <f t="shared" si="1"/>
        <v>116114.46</v>
      </c>
    </row>
    <row r="23" spans="2:8">
      <c r="B23" s="523" t="s">
        <v>634</v>
      </c>
      <c r="C23" s="404"/>
      <c r="D23" s="401"/>
      <c r="E23" s="401"/>
      <c r="F23" s="401"/>
      <c r="G23" s="401"/>
      <c r="H23" s="524">
        <f>+SUM(G24:G25)</f>
        <v>141426.495</v>
      </c>
    </row>
    <row r="24" spans="2:8">
      <c r="B24" s="525" t="s">
        <v>183</v>
      </c>
      <c r="C24" s="526"/>
      <c r="D24" s="527">
        <v>1</v>
      </c>
      <c r="E24" s="528">
        <f>VLOOKUP(B24,Cotizaciones!B:D,3,0)</f>
        <v>78188.100000000006</v>
      </c>
      <c r="F24" s="528">
        <f t="shared" si="0"/>
        <v>82097.505000000005</v>
      </c>
      <c r="G24" s="528">
        <f t="shared" si="1"/>
        <v>82097.505000000005</v>
      </c>
    </row>
    <row r="25" spans="2:8">
      <c r="B25" s="534" t="s">
        <v>184</v>
      </c>
      <c r="C25" s="535"/>
      <c r="D25" s="536">
        <v>1</v>
      </c>
      <c r="E25" s="537">
        <f>VLOOKUP(B25,Cotizaciones!B:D,3,0)</f>
        <v>56503.8</v>
      </c>
      <c r="F25" s="537">
        <f t="shared" si="0"/>
        <v>59328.990000000005</v>
      </c>
      <c r="G25" s="537">
        <f t="shared" si="1"/>
        <v>59328.990000000005</v>
      </c>
    </row>
    <row r="26" spans="2:8">
      <c r="B26" s="399"/>
      <c r="C26" s="466"/>
      <c r="D26" s="400"/>
      <c r="E26" s="400"/>
      <c r="F26" s="400"/>
      <c r="G26" s="401">
        <f>+SUM(G4:G25)</f>
        <v>5427038.4719249988</v>
      </c>
      <c r="H26" s="524">
        <f>+SUM(H4:H25)</f>
        <v>4031313.5531549994</v>
      </c>
    </row>
    <row r="27" spans="2:8">
      <c r="C27" s="1"/>
    </row>
    <row r="28" spans="2:8">
      <c r="C28" s="1"/>
    </row>
    <row r="29" spans="2:8">
      <c r="C29" s="1"/>
    </row>
    <row r="30" spans="2:8">
      <c r="G30" s="34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A25B-37E3-4C91-A4E6-7E7C9096BC8D}">
  <sheetPr>
    <tabColor rgb="FF92D050"/>
  </sheetPr>
  <dimension ref="B1:U152"/>
  <sheetViews>
    <sheetView topLeftCell="A144" workbookViewId="0">
      <selection activeCell="E128" sqref="E128"/>
    </sheetView>
  </sheetViews>
  <sheetFormatPr defaultColWidth="11.54296875" defaultRowHeight="13"/>
  <cols>
    <col min="1" max="1" width="4" style="16" customWidth="1"/>
    <col min="2" max="2" width="43" style="16" customWidth="1"/>
    <col min="3" max="3" width="30.453125" style="16" bestFit="1" customWidth="1"/>
    <col min="4" max="4" width="5.7265625" style="480" customWidth="1"/>
    <col min="5" max="5" width="9.7265625" style="493" customWidth="1"/>
    <col min="6" max="6" width="14.453125" style="16" bestFit="1" customWidth="1"/>
    <col min="7" max="7" width="14.453125" style="16" customWidth="1"/>
    <col min="8" max="8" width="14.453125" style="16" bestFit="1" customWidth="1"/>
    <col min="9" max="9" width="12.7265625" style="16" bestFit="1" customWidth="1"/>
    <col min="10" max="10" width="16.54296875" style="16" customWidth="1"/>
    <col min="11" max="11" width="11.54296875" style="16"/>
    <col min="12" max="13" width="13.453125" style="16" bestFit="1" customWidth="1"/>
    <col min="14" max="16" width="11.54296875" style="16"/>
    <col min="17" max="17" width="7" style="16" bestFit="1" customWidth="1"/>
    <col min="18" max="18" width="7.54296875" style="16" bestFit="1" customWidth="1"/>
    <col min="19" max="19" width="7" style="16" bestFit="1" customWidth="1"/>
    <col min="20" max="20" width="6.54296875" style="16" bestFit="1" customWidth="1"/>
    <col min="21" max="21" width="6.81640625" style="16" bestFit="1" customWidth="1"/>
    <col min="22" max="16384" width="11.54296875" style="16"/>
  </cols>
  <sheetData>
    <row r="1" spans="2:9">
      <c r="B1" s="478"/>
      <c r="C1" s="478"/>
      <c r="D1" s="479"/>
      <c r="E1" s="479"/>
      <c r="F1" s="1261">
        <v>45505</v>
      </c>
      <c r="G1" s="16">
        <v>16700.7</v>
      </c>
    </row>
    <row r="2" spans="2:9">
      <c r="B2" s="478"/>
      <c r="F2" s="1261">
        <v>45536</v>
      </c>
      <c r="G2" s="16">
        <v>17016.599999999999</v>
      </c>
    </row>
    <row r="3" spans="2:9">
      <c r="B3" s="478"/>
      <c r="G3" s="1262">
        <f>+G2/G1</f>
        <v>1.0189153748046487</v>
      </c>
    </row>
    <row r="4" spans="2:9">
      <c r="B4" s="470"/>
      <c r="C4" s="471" t="s">
        <v>663</v>
      </c>
      <c r="D4" s="471" t="s">
        <v>664</v>
      </c>
      <c r="E4" s="471" t="s">
        <v>43</v>
      </c>
      <c r="F4" s="471" t="s">
        <v>567</v>
      </c>
      <c r="G4" s="471" t="s">
        <v>2262</v>
      </c>
      <c r="H4" s="471" t="s">
        <v>13</v>
      </c>
    </row>
    <row r="5" spans="2:9">
      <c r="B5" s="499" t="s">
        <v>665</v>
      </c>
      <c r="C5" s="500"/>
      <c r="D5" s="500"/>
      <c r="E5" s="500"/>
      <c r="F5" s="501"/>
      <c r="G5" s="501"/>
      <c r="H5" s="501"/>
      <c r="I5" s="502">
        <f>+SUM(H6:H28)</f>
        <v>1524162.9241119854</v>
      </c>
    </row>
    <row r="6" spans="2:9">
      <c r="B6" s="472" t="s">
        <v>666</v>
      </c>
      <c r="C6" s="473"/>
      <c r="D6" s="474"/>
      <c r="E6" s="474"/>
      <c r="F6" s="473"/>
      <c r="G6" s="473"/>
      <c r="H6" s="473"/>
    </row>
    <row r="7" spans="2:9">
      <c r="B7" s="819" t="s">
        <v>667</v>
      </c>
      <c r="C7" s="481" t="s">
        <v>668</v>
      </c>
      <c r="D7" s="482" t="s">
        <v>77</v>
      </c>
      <c r="E7" s="494">
        <v>2</v>
      </c>
      <c r="F7" s="476">
        <f>VLOOKUP(B7,Cotizaciones!B:D,3,0)</f>
        <v>26260.49</v>
      </c>
      <c r="G7" s="476">
        <f>+F7*$G$3</f>
        <v>26757.217010903729</v>
      </c>
      <c r="H7" s="476">
        <f>+E7*G7</f>
        <v>53514.434021807458</v>
      </c>
    </row>
    <row r="8" spans="2:9">
      <c r="B8" s="819" t="s">
        <v>667</v>
      </c>
      <c r="C8" s="481" t="s">
        <v>669</v>
      </c>
      <c r="D8" s="482" t="s">
        <v>77</v>
      </c>
      <c r="E8" s="494">
        <v>2</v>
      </c>
      <c r="F8" s="476">
        <f>VLOOKUP(B8,Cotizaciones!B:D,3,0)</f>
        <v>26260.49</v>
      </c>
      <c r="G8" s="476">
        <f t="shared" ref="G8:G63" si="0">+F8*$G$3</f>
        <v>26757.217010903729</v>
      </c>
      <c r="H8" s="476">
        <f t="shared" ref="H8:H63" si="1">+E8*G8</f>
        <v>53514.434021807458</v>
      </c>
    </row>
    <row r="9" spans="2:9">
      <c r="B9" s="481" t="s">
        <v>670</v>
      </c>
      <c r="C9" s="481" t="s">
        <v>671</v>
      </c>
      <c r="D9" s="482" t="s">
        <v>77</v>
      </c>
      <c r="E9" s="494">
        <v>1</v>
      </c>
      <c r="F9" s="476">
        <f>VLOOKUP(B9,Cotizaciones!B:D,3,0)</f>
        <v>50827.41</v>
      </c>
      <c r="G9" s="476">
        <f t="shared" si="0"/>
        <v>51788.829510499549</v>
      </c>
      <c r="H9" s="476">
        <f t="shared" si="1"/>
        <v>51788.829510499549</v>
      </c>
    </row>
    <row r="10" spans="2:9">
      <c r="B10" s="481" t="s">
        <v>672</v>
      </c>
      <c r="C10" s="481" t="s">
        <v>673</v>
      </c>
      <c r="D10" s="482" t="s">
        <v>77</v>
      </c>
      <c r="E10" s="494">
        <v>1</v>
      </c>
      <c r="F10" s="476">
        <f>VLOOKUP(B10,Cotizaciones!B:D,3,0)</f>
        <v>61558.32</v>
      </c>
      <c r="G10" s="476">
        <f t="shared" si="0"/>
        <v>62722.718695144496</v>
      </c>
      <c r="H10" s="476">
        <f t="shared" si="1"/>
        <v>62722.718695144496</v>
      </c>
    </row>
    <row r="11" spans="2:9">
      <c r="B11" s="475" t="s">
        <v>674</v>
      </c>
      <c r="C11" s="476"/>
      <c r="D11" s="459"/>
      <c r="E11" s="459"/>
      <c r="F11" s="476"/>
      <c r="G11" s="476">
        <f t="shared" si="0"/>
        <v>0</v>
      </c>
      <c r="H11" s="476">
        <f t="shared" si="1"/>
        <v>0</v>
      </c>
    </row>
    <row r="12" spans="2:9">
      <c r="B12" s="821" t="s">
        <v>675</v>
      </c>
      <c r="C12" s="481" t="s">
        <v>676</v>
      </c>
      <c r="D12" s="482" t="s">
        <v>77</v>
      </c>
      <c r="E12" s="494">
        <v>5</v>
      </c>
      <c r="F12" s="476">
        <f>VLOOKUP(B12,Cotizaciones!B:D,3,0)</f>
        <v>7482.76</v>
      </c>
      <c r="G12" s="476">
        <f t="shared" si="0"/>
        <v>7624.2992099732328</v>
      </c>
      <c r="H12" s="476">
        <f t="shared" si="1"/>
        <v>38121.496049866168</v>
      </c>
    </row>
    <row r="13" spans="2:9">
      <c r="B13" s="821" t="s">
        <v>677</v>
      </c>
      <c r="C13" s="481" t="s">
        <v>668</v>
      </c>
      <c r="D13" s="482" t="s">
        <v>77</v>
      </c>
      <c r="E13" s="494">
        <v>10</v>
      </c>
      <c r="F13" s="476">
        <f>VLOOKUP(B13,Cotizaciones!B:D,3,0)</f>
        <v>7482.76</v>
      </c>
      <c r="G13" s="476">
        <f t="shared" si="0"/>
        <v>7624.2992099732328</v>
      </c>
      <c r="H13" s="476">
        <f t="shared" si="1"/>
        <v>76242.992099732335</v>
      </c>
    </row>
    <row r="14" spans="2:9">
      <c r="B14" s="481" t="s">
        <v>678</v>
      </c>
      <c r="C14" s="481" t="s">
        <v>679</v>
      </c>
      <c r="D14" s="482" t="s">
        <v>77</v>
      </c>
      <c r="E14" s="494">
        <v>1</v>
      </c>
      <c r="F14" s="476">
        <f>VLOOKUP(B14,Cotizaciones!B:D,3,0)</f>
        <v>15812.97</v>
      </c>
      <c r="G14" s="476">
        <f t="shared" si="0"/>
        <v>16112.078254324664</v>
      </c>
      <c r="H14" s="476">
        <f t="shared" si="1"/>
        <v>16112.078254324664</v>
      </c>
    </row>
    <row r="15" spans="2:9">
      <c r="B15" s="481" t="s">
        <v>680</v>
      </c>
      <c r="C15" s="481" t="s">
        <v>681</v>
      </c>
      <c r="D15" s="482" t="s">
        <v>77</v>
      </c>
      <c r="E15" s="494">
        <v>1</v>
      </c>
      <c r="F15" s="476">
        <f>VLOOKUP(B15,Cotizaciones!B:D,3,0)</f>
        <v>16942.47</v>
      </c>
      <c r="G15" s="476">
        <f t="shared" si="0"/>
        <v>17262.943170166516</v>
      </c>
      <c r="H15" s="476">
        <f t="shared" si="1"/>
        <v>17262.943170166516</v>
      </c>
    </row>
    <row r="16" spans="2:9">
      <c r="B16" s="821" t="s">
        <v>682</v>
      </c>
      <c r="C16" s="481"/>
      <c r="D16" s="482" t="s">
        <v>77</v>
      </c>
      <c r="E16" s="494">
        <v>1</v>
      </c>
      <c r="F16" s="476">
        <f>VLOOKUP(B16,Cotizaciones!B:D,3,0)</f>
        <v>291510.24</v>
      </c>
      <c r="G16" s="476">
        <f t="shared" si="0"/>
        <v>297024.26544899307</v>
      </c>
      <c r="H16" s="476">
        <f t="shared" si="1"/>
        <v>297024.26544899307</v>
      </c>
    </row>
    <row r="17" spans="2:9">
      <c r="B17" s="481" t="s">
        <v>683</v>
      </c>
      <c r="C17" s="481"/>
      <c r="D17" s="482" t="s">
        <v>77</v>
      </c>
      <c r="E17" s="494">
        <v>1</v>
      </c>
      <c r="F17" s="476">
        <f>VLOOKUP(B17,Cotizaciones!B:D,3,0)</f>
        <v>104750.48</v>
      </c>
      <c r="G17" s="476">
        <f t="shared" si="0"/>
        <v>106731.87459016684</v>
      </c>
      <c r="H17" s="476">
        <f t="shared" si="1"/>
        <v>106731.87459016684</v>
      </c>
    </row>
    <row r="18" spans="2:9">
      <c r="B18" s="481" t="s">
        <v>684</v>
      </c>
      <c r="C18" s="481"/>
      <c r="D18" s="482" t="s">
        <v>77</v>
      </c>
      <c r="E18" s="494">
        <v>4</v>
      </c>
      <c r="F18" s="476">
        <f>VLOOKUP(B18,Cotizaciones!B:D,3,0)</f>
        <v>5557.26</v>
      </c>
      <c r="G18" s="476">
        <f t="shared" si="0"/>
        <v>5662.3776557868823</v>
      </c>
      <c r="H18" s="476">
        <f t="shared" si="1"/>
        <v>22649.510623147529</v>
      </c>
    </row>
    <row r="19" spans="2:9">
      <c r="B19" s="821" t="s">
        <v>685</v>
      </c>
      <c r="C19" s="481"/>
      <c r="D19" s="482" t="s">
        <v>77</v>
      </c>
      <c r="E19" s="494">
        <v>4</v>
      </c>
      <c r="F19" s="476">
        <f>VLOOKUP(B19,Cotizaciones!B:D,3,0)</f>
        <v>16022.49</v>
      </c>
      <c r="G19" s="476">
        <f t="shared" si="0"/>
        <v>16325.561403653735</v>
      </c>
      <c r="H19" s="476">
        <f t="shared" si="1"/>
        <v>65302.245614614942</v>
      </c>
    </row>
    <row r="20" spans="2:9">
      <c r="B20" s="481" t="s">
        <v>686</v>
      </c>
      <c r="C20" s="481"/>
      <c r="D20" s="482" t="s">
        <v>77</v>
      </c>
      <c r="E20" s="494">
        <v>12</v>
      </c>
      <c r="F20" s="476">
        <f>VLOOKUP(B20,Cotizaciones!B:D,3,0)</f>
        <v>10131.370000000001</v>
      </c>
      <c r="G20" s="476">
        <f t="shared" si="0"/>
        <v>10323.008660834574</v>
      </c>
      <c r="H20" s="476">
        <f t="shared" si="1"/>
        <v>123876.10393001488</v>
      </c>
    </row>
    <row r="21" spans="2:9">
      <c r="B21" s="481" t="s">
        <v>687</v>
      </c>
      <c r="C21" s="481" t="s">
        <v>688</v>
      </c>
      <c r="D21" s="482" t="s">
        <v>77</v>
      </c>
      <c r="E21" s="494">
        <v>1</v>
      </c>
      <c r="F21" s="476">
        <f>VLOOKUP(B21,Cotizaciones!B:D,3,0)</f>
        <v>171683.7</v>
      </c>
      <c r="G21" s="476">
        <f t="shared" si="0"/>
        <v>174931.16153334887</v>
      </c>
      <c r="H21" s="476">
        <f t="shared" si="1"/>
        <v>174931.16153334887</v>
      </c>
    </row>
    <row r="22" spans="2:9">
      <c r="B22" s="821" t="s">
        <v>689</v>
      </c>
      <c r="C22" s="481" t="s">
        <v>690</v>
      </c>
      <c r="D22" s="482" t="s">
        <v>77</v>
      </c>
      <c r="E22" s="494">
        <v>1</v>
      </c>
      <c r="F22" s="476">
        <f>VLOOKUP(B22,Cotizaciones!B:D,3,0)</f>
        <v>154788.57</v>
      </c>
      <c r="G22" s="476">
        <f t="shared" si="0"/>
        <v>157716.45381702561</v>
      </c>
      <c r="H22" s="476">
        <f t="shared" si="1"/>
        <v>157716.45381702561</v>
      </c>
    </row>
    <row r="23" spans="2:9">
      <c r="B23" s="481" t="s">
        <v>691</v>
      </c>
      <c r="C23" s="481" t="s">
        <v>692</v>
      </c>
      <c r="D23" s="482" t="s">
        <v>77</v>
      </c>
      <c r="E23" s="494">
        <v>10</v>
      </c>
      <c r="F23" s="476">
        <f>VLOOKUP(B23,Cotizaciones!B:D,3,0)</f>
        <v>5230.67</v>
      </c>
      <c r="G23" s="476">
        <f t="shared" si="0"/>
        <v>5329.6100835294319</v>
      </c>
      <c r="H23" s="476">
        <f t="shared" si="1"/>
        <v>53296.100835294317</v>
      </c>
    </row>
    <row r="24" spans="2:9">
      <c r="B24" s="481" t="s">
        <v>693</v>
      </c>
      <c r="C24" s="481" t="s">
        <v>694</v>
      </c>
      <c r="D24" s="482" t="s">
        <v>77</v>
      </c>
      <c r="E24" s="494">
        <v>3</v>
      </c>
      <c r="F24" s="476">
        <f>VLOOKUP(B24,Cotizaciones!B:D,3,0)</f>
        <v>4061.9834710743803</v>
      </c>
      <c r="G24" s="476">
        <f t="shared" si="0"/>
        <v>4138.8174108800404</v>
      </c>
      <c r="H24" s="476">
        <f t="shared" si="1"/>
        <v>12416.45223264012</v>
      </c>
    </row>
    <row r="25" spans="2:9">
      <c r="B25" s="821" t="s">
        <v>695</v>
      </c>
      <c r="C25" s="481"/>
      <c r="D25" s="482" t="s">
        <v>77</v>
      </c>
      <c r="E25" s="494">
        <v>1</v>
      </c>
      <c r="F25" s="476"/>
      <c r="G25" s="476">
        <f t="shared" si="0"/>
        <v>0</v>
      </c>
      <c r="H25" s="476">
        <f t="shared" si="1"/>
        <v>0</v>
      </c>
    </row>
    <row r="26" spans="2:9">
      <c r="B26" s="821" t="s">
        <v>696</v>
      </c>
      <c r="C26" s="481" t="s">
        <v>697</v>
      </c>
      <c r="D26" s="482" t="s">
        <v>77</v>
      </c>
      <c r="E26" s="494">
        <v>1</v>
      </c>
      <c r="F26" s="476"/>
      <c r="G26" s="476">
        <f t="shared" si="0"/>
        <v>0</v>
      </c>
      <c r="H26" s="476">
        <f t="shared" si="1"/>
        <v>0</v>
      </c>
    </row>
    <row r="27" spans="2:9">
      <c r="B27" s="481" t="s">
        <v>698</v>
      </c>
      <c r="C27" s="481"/>
      <c r="D27" s="482"/>
      <c r="E27" s="494"/>
      <c r="F27" s="476"/>
      <c r="G27" s="476">
        <f t="shared" si="0"/>
        <v>0</v>
      </c>
      <c r="H27" s="476">
        <f t="shared" si="1"/>
        <v>0</v>
      </c>
    </row>
    <row r="28" spans="2:9">
      <c r="B28" s="486" t="s">
        <v>699</v>
      </c>
      <c r="C28" s="486"/>
      <c r="D28" s="487" t="s">
        <v>54</v>
      </c>
      <c r="E28" s="495">
        <v>0.1</v>
      </c>
      <c r="F28" s="477">
        <f>+SUM(H7:H27)</f>
        <v>1383224.0944485944</v>
      </c>
      <c r="G28" s="477">
        <f t="shared" si="0"/>
        <v>1409388.2966339104</v>
      </c>
      <c r="H28" s="477">
        <f t="shared" si="1"/>
        <v>140938.82966339105</v>
      </c>
    </row>
    <row r="29" spans="2:9">
      <c r="B29" s="499" t="s">
        <v>700</v>
      </c>
      <c r="C29" s="500"/>
      <c r="D29" s="500"/>
      <c r="E29" s="500"/>
      <c r="F29" s="501"/>
      <c r="G29" s="501"/>
      <c r="H29" s="501"/>
      <c r="I29" s="502">
        <f>+SUM(H30:H38)</f>
        <v>651921.59563010593</v>
      </c>
    </row>
    <row r="30" spans="2:9">
      <c r="B30" s="490" t="s">
        <v>667</v>
      </c>
      <c r="C30" s="483" t="s">
        <v>701</v>
      </c>
      <c r="D30" s="484" t="s">
        <v>77</v>
      </c>
      <c r="E30" s="496">
        <v>1</v>
      </c>
      <c r="F30" s="473">
        <f>VLOOKUP(B30,Cotizaciones!B:D,3,0)</f>
        <v>26260.49</v>
      </c>
      <c r="G30" s="473">
        <f t="shared" si="0"/>
        <v>26757.217010903729</v>
      </c>
      <c r="H30" s="473">
        <f t="shared" si="1"/>
        <v>26757.217010903729</v>
      </c>
    </row>
    <row r="31" spans="2:9">
      <c r="B31" s="489" t="s">
        <v>677</v>
      </c>
      <c r="C31" s="481" t="s">
        <v>702</v>
      </c>
      <c r="D31" s="482" t="s">
        <v>77</v>
      </c>
      <c r="E31" s="494">
        <v>2</v>
      </c>
      <c r="F31" s="476">
        <f>VLOOKUP(B31,Cotizaciones!B:D,3,0)</f>
        <v>7482.76</v>
      </c>
      <c r="G31" s="476">
        <f t="shared" si="0"/>
        <v>7624.2992099732328</v>
      </c>
      <c r="H31" s="476">
        <f t="shared" si="1"/>
        <v>15248.598419946466</v>
      </c>
    </row>
    <row r="32" spans="2:9">
      <c r="B32" s="489" t="s">
        <v>675</v>
      </c>
      <c r="C32" s="481" t="s">
        <v>703</v>
      </c>
      <c r="D32" s="482" t="s">
        <v>77</v>
      </c>
      <c r="E32" s="494">
        <v>1</v>
      </c>
      <c r="F32" s="476">
        <f>VLOOKUP(B32,Cotizaciones!B:D,3,0)</f>
        <v>7482.76</v>
      </c>
      <c r="G32" s="476">
        <f t="shared" si="0"/>
        <v>7624.2992099732328</v>
      </c>
      <c r="H32" s="476">
        <f t="shared" si="1"/>
        <v>7624.2992099732328</v>
      </c>
    </row>
    <row r="33" spans="2:9">
      <c r="B33" s="489" t="s">
        <v>704</v>
      </c>
      <c r="C33" s="481" t="s">
        <v>705</v>
      </c>
      <c r="D33" s="482" t="s">
        <v>77</v>
      </c>
      <c r="E33" s="494">
        <v>2</v>
      </c>
      <c r="F33" s="476">
        <f>VLOOKUP(B33,Cotizaciones!B:D,3,0)</f>
        <v>97328.45</v>
      </c>
      <c r="G33" s="476">
        <f t="shared" si="0"/>
        <v>99169.454110905499</v>
      </c>
      <c r="H33" s="476">
        <f t="shared" si="1"/>
        <v>198338.908221811</v>
      </c>
    </row>
    <row r="34" spans="2:9">
      <c r="B34" s="489" t="s">
        <v>706</v>
      </c>
      <c r="C34" s="481" t="s">
        <v>707</v>
      </c>
      <c r="D34" s="482" t="s">
        <v>77</v>
      </c>
      <c r="E34" s="494">
        <v>1</v>
      </c>
      <c r="F34" s="476">
        <f>VLOOKUP(B34,Cotizaciones!B:D,3,0)</f>
        <v>140783.76</v>
      </c>
      <c r="G34" s="476">
        <f t="shared" si="0"/>
        <v>143446.73758680772</v>
      </c>
      <c r="H34" s="476">
        <f t="shared" si="1"/>
        <v>143446.73758680772</v>
      </c>
    </row>
    <row r="35" spans="2:9">
      <c r="B35" s="489" t="s">
        <v>693</v>
      </c>
      <c r="C35" s="481"/>
      <c r="D35" s="482" t="s">
        <v>77</v>
      </c>
      <c r="E35" s="494">
        <v>1</v>
      </c>
      <c r="F35" s="476">
        <f>VLOOKUP(B35,Cotizaciones!B:D,3,0)</f>
        <v>4061.9834710743803</v>
      </c>
      <c r="G35" s="476">
        <f t="shared" si="0"/>
        <v>4138.8174108800404</v>
      </c>
      <c r="H35" s="476">
        <f t="shared" si="1"/>
        <v>4138.8174108800404</v>
      </c>
    </row>
    <row r="36" spans="2:9">
      <c r="B36" s="489" t="s">
        <v>708</v>
      </c>
      <c r="C36" s="481" t="s">
        <v>709</v>
      </c>
      <c r="D36" s="482" t="s">
        <v>77</v>
      </c>
      <c r="E36" s="494">
        <v>1</v>
      </c>
      <c r="F36" s="476">
        <f>VLOOKUP(B36,Cotizaciones!B:D,3,0)</f>
        <v>128686.18</v>
      </c>
      <c r="G36" s="476">
        <f t="shared" si="0"/>
        <v>131120.32732687847</v>
      </c>
      <c r="H36" s="476">
        <f t="shared" si="1"/>
        <v>131120.32732687847</v>
      </c>
    </row>
    <row r="37" spans="2:9">
      <c r="B37" s="489" t="s">
        <v>710</v>
      </c>
      <c r="C37" s="481" t="s">
        <v>711</v>
      </c>
      <c r="D37" s="482" t="s">
        <v>77</v>
      </c>
      <c r="E37" s="494">
        <v>1</v>
      </c>
      <c r="F37" s="476">
        <f>VLOOKUP(B37,Cotizaciones!B:D,3,0)</f>
        <v>63757.72</v>
      </c>
      <c r="G37" s="476">
        <f t="shared" si="0"/>
        <v>64963.721170489844</v>
      </c>
      <c r="H37" s="476">
        <f t="shared" si="1"/>
        <v>64963.721170489844</v>
      </c>
    </row>
    <row r="38" spans="2:9">
      <c r="B38" s="486" t="s">
        <v>699</v>
      </c>
      <c r="C38" s="486"/>
      <c r="D38" s="487" t="s">
        <v>54</v>
      </c>
      <c r="E38" s="495">
        <v>0.1</v>
      </c>
      <c r="F38" s="477">
        <f>+SUM(H30:H37)</f>
        <v>591638.62635769055</v>
      </c>
      <c r="G38" s="477">
        <f t="shared" si="0"/>
        <v>602829.69272415375</v>
      </c>
      <c r="H38" s="477">
        <f t="shared" si="1"/>
        <v>60282.969272415379</v>
      </c>
    </row>
    <row r="39" spans="2:9">
      <c r="B39" s="499" t="s">
        <v>717</v>
      </c>
      <c r="C39" s="500"/>
      <c r="D39" s="500"/>
      <c r="E39" s="500"/>
      <c r="F39" s="501"/>
      <c r="G39" s="501"/>
      <c r="H39" s="501"/>
      <c r="I39" s="502">
        <f>+SUM(H40:H45)</f>
        <v>304564.37296813715</v>
      </c>
    </row>
    <row r="40" spans="2:9">
      <c r="B40" s="483" t="s">
        <v>678</v>
      </c>
      <c r="C40" s="483" t="s">
        <v>718</v>
      </c>
      <c r="D40" s="484" t="s">
        <v>77</v>
      </c>
      <c r="E40" s="496">
        <v>1</v>
      </c>
      <c r="F40" s="473">
        <f>VLOOKUP(B40,Cotizaciones!B:D,3,0)</f>
        <v>15812.97</v>
      </c>
      <c r="G40" s="473">
        <f t="shared" si="0"/>
        <v>16112.078254324664</v>
      </c>
      <c r="H40" s="473">
        <f t="shared" si="1"/>
        <v>16112.078254324664</v>
      </c>
    </row>
    <row r="41" spans="2:9">
      <c r="B41" s="481" t="s">
        <v>670</v>
      </c>
      <c r="C41" s="481" t="s">
        <v>719</v>
      </c>
      <c r="D41" s="482" t="s">
        <v>77</v>
      </c>
      <c r="E41" s="494">
        <v>1</v>
      </c>
      <c r="F41" s="476">
        <f>VLOOKUP(B41,Cotizaciones!B:D,3,0)</f>
        <v>50827.41</v>
      </c>
      <c r="G41" s="476">
        <f t="shared" si="0"/>
        <v>51788.829510499549</v>
      </c>
      <c r="H41" s="476">
        <f t="shared" si="1"/>
        <v>51788.829510499549</v>
      </c>
    </row>
    <row r="42" spans="2:9">
      <c r="B42" s="489" t="s">
        <v>693</v>
      </c>
      <c r="C42" s="481"/>
      <c r="D42" s="482" t="s">
        <v>77</v>
      </c>
      <c r="E42" s="494">
        <v>3</v>
      </c>
      <c r="F42" s="476">
        <f>VLOOKUP(B42,Cotizaciones!B:D,3,0)</f>
        <v>4061.9834710743803</v>
      </c>
      <c r="G42" s="476">
        <f t="shared" si="0"/>
        <v>4138.8174108800404</v>
      </c>
      <c r="H42" s="476">
        <f t="shared" si="1"/>
        <v>12416.45223264012</v>
      </c>
    </row>
    <row r="43" spans="2:9">
      <c r="B43" s="481" t="s">
        <v>708</v>
      </c>
      <c r="C43" s="481" t="s">
        <v>709</v>
      </c>
      <c r="D43" s="482" t="s">
        <v>77</v>
      </c>
      <c r="E43" s="494">
        <v>1</v>
      </c>
      <c r="F43" s="476">
        <f>VLOOKUP(B43,Cotizaciones!B:D,3,0)</f>
        <v>128686.18</v>
      </c>
      <c r="G43" s="476">
        <f t="shared" si="0"/>
        <v>131120.32732687847</v>
      </c>
      <c r="H43" s="476">
        <f t="shared" si="1"/>
        <v>131120.32732687847</v>
      </c>
    </row>
    <row r="44" spans="2:9">
      <c r="B44" s="481" t="s">
        <v>710</v>
      </c>
      <c r="C44" s="481" t="s">
        <v>711</v>
      </c>
      <c r="D44" s="482" t="s">
        <v>77</v>
      </c>
      <c r="E44" s="494">
        <v>1</v>
      </c>
      <c r="F44" s="476">
        <f>VLOOKUP(B44,Cotizaciones!B:D,3,0)</f>
        <v>63757.72</v>
      </c>
      <c r="G44" s="476">
        <f t="shared" si="0"/>
        <v>64963.721170489844</v>
      </c>
      <c r="H44" s="476">
        <f t="shared" si="1"/>
        <v>64963.721170489844</v>
      </c>
    </row>
    <row r="45" spans="2:9">
      <c r="B45" s="485" t="s">
        <v>699</v>
      </c>
      <c r="C45" s="486"/>
      <c r="D45" s="487" t="s">
        <v>54</v>
      </c>
      <c r="E45" s="495">
        <v>0.1</v>
      </c>
      <c r="F45" s="477">
        <f>+SUM(H40:H44)</f>
        <v>276401.40849483263</v>
      </c>
      <c r="G45" s="477">
        <f t="shared" si="0"/>
        <v>281629.64473304519</v>
      </c>
      <c r="H45" s="477">
        <f t="shared" si="1"/>
        <v>28162.964473304521</v>
      </c>
    </row>
    <row r="46" spans="2:9">
      <c r="B46" s="499" t="s">
        <v>720</v>
      </c>
      <c r="C46" s="500"/>
      <c r="D46" s="500"/>
      <c r="E46" s="500"/>
      <c r="F46" s="501"/>
      <c r="G46" s="501">
        <f t="shared" si="0"/>
        <v>0</v>
      </c>
      <c r="H46" s="501">
        <f t="shared" si="1"/>
        <v>0</v>
      </c>
      <c r="I46" s="502">
        <f>+SUM(H47:H55)</f>
        <v>540706.66411583603</v>
      </c>
    </row>
    <row r="47" spans="2:9">
      <c r="B47" s="490" t="s">
        <v>677</v>
      </c>
      <c r="C47" s="483" t="s">
        <v>712</v>
      </c>
      <c r="D47" s="484" t="s">
        <v>77</v>
      </c>
      <c r="E47" s="496">
        <v>2</v>
      </c>
      <c r="F47" s="473">
        <f>VLOOKUP(B47,Cotizaciones!B:D,3,0)</f>
        <v>7482.76</v>
      </c>
      <c r="G47" s="473">
        <f t="shared" si="0"/>
        <v>7624.2992099732328</v>
      </c>
      <c r="H47" s="473">
        <f t="shared" si="1"/>
        <v>15248.598419946466</v>
      </c>
    </row>
    <row r="48" spans="2:9">
      <c r="B48" s="489" t="s">
        <v>675</v>
      </c>
      <c r="C48" s="481" t="s">
        <v>721</v>
      </c>
      <c r="D48" s="482" t="s">
        <v>77</v>
      </c>
      <c r="E48" s="494">
        <v>1</v>
      </c>
      <c r="F48" s="476">
        <f>VLOOKUP(B48,Cotizaciones!B:D,3,0)</f>
        <v>7482.76</v>
      </c>
      <c r="G48" s="476">
        <f t="shared" si="0"/>
        <v>7624.2992099732328</v>
      </c>
      <c r="H48" s="476">
        <f t="shared" si="1"/>
        <v>7624.2992099732328</v>
      </c>
    </row>
    <row r="49" spans="2:13">
      <c r="B49" s="489" t="s">
        <v>667</v>
      </c>
      <c r="C49" s="481" t="s">
        <v>713</v>
      </c>
      <c r="D49" s="482" t="s">
        <v>77</v>
      </c>
      <c r="E49" s="494">
        <v>1</v>
      </c>
      <c r="F49" s="476">
        <f>VLOOKUP(B49,Cotizaciones!B:D,3,0)</f>
        <v>26260.49</v>
      </c>
      <c r="G49" s="476">
        <f t="shared" si="0"/>
        <v>26757.217010903729</v>
      </c>
      <c r="H49" s="476">
        <f t="shared" si="1"/>
        <v>26757.217010903729</v>
      </c>
    </row>
    <row r="50" spans="2:13">
      <c r="B50" s="491" t="s">
        <v>693</v>
      </c>
      <c r="C50" s="481"/>
      <c r="D50" s="482" t="s">
        <v>77</v>
      </c>
      <c r="E50" s="494">
        <v>1</v>
      </c>
      <c r="F50" s="476">
        <f>VLOOKUP(B50,Cotizaciones!B:D,3,0)</f>
        <v>4061.9834710743803</v>
      </c>
      <c r="G50" s="476">
        <f t="shared" si="0"/>
        <v>4138.8174108800404</v>
      </c>
      <c r="H50" s="476">
        <f t="shared" si="1"/>
        <v>4138.8174108800404</v>
      </c>
    </row>
    <row r="51" spans="2:13">
      <c r="B51" s="489" t="s">
        <v>704</v>
      </c>
      <c r="C51" s="481" t="s">
        <v>705</v>
      </c>
      <c r="D51" s="482" t="s">
        <v>77</v>
      </c>
      <c r="E51" s="494">
        <v>2</v>
      </c>
      <c r="F51" s="476">
        <f>VLOOKUP(B51,Cotizaciones!B:D,3,0)</f>
        <v>97328.45</v>
      </c>
      <c r="G51" s="476">
        <f t="shared" si="0"/>
        <v>99169.454110905499</v>
      </c>
      <c r="H51" s="476">
        <f t="shared" si="1"/>
        <v>198338.908221811</v>
      </c>
    </row>
    <row r="52" spans="2:13">
      <c r="B52" s="489" t="s">
        <v>706</v>
      </c>
      <c r="C52" s="481" t="s">
        <v>707</v>
      </c>
      <c r="D52" s="482" t="s">
        <v>77</v>
      </c>
      <c r="E52" s="494">
        <v>1</v>
      </c>
      <c r="F52" s="476">
        <f>VLOOKUP(B52,Cotizaciones!B:D,3,0)</f>
        <v>140783.76</v>
      </c>
      <c r="G52" s="476">
        <f t="shared" si="0"/>
        <v>143446.73758680772</v>
      </c>
      <c r="H52" s="476">
        <f t="shared" si="1"/>
        <v>143446.73758680772</v>
      </c>
    </row>
    <row r="53" spans="2:13">
      <c r="B53" s="489" t="s">
        <v>714</v>
      </c>
      <c r="C53" s="481" t="s">
        <v>715</v>
      </c>
      <c r="D53" s="482" t="s">
        <v>77</v>
      </c>
      <c r="E53" s="494">
        <v>1</v>
      </c>
      <c r="F53" s="476">
        <f>VLOOKUP(B53,Cotizaciones!B:D,3,0)</f>
        <v>56497.68</v>
      </c>
      <c r="G53" s="476">
        <f t="shared" si="0"/>
        <v>57566.354792793107</v>
      </c>
      <c r="H53" s="476">
        <f t="shared" si="1"/>
        <v>57566.354792793107</v>
      </c>
    </row>
    <row r="54" spans="2:13">
      <c r="B54" s="489" t="s">
        <v>716</v>
      </c>
      <c r="C54" s="481" t="s">
        <v>711</v>
      </c>
      <c r="D54" s="482" t="s">
        <v>77</v>
      </c>
      <c r="E54" s="494">
        <v>1</v>
      </c>
      <c r="F54" s="476">
        <f>VLOOKUP(B54,Cotizaciones!B:D,3,0)</f>
        <v>36889</v>
      </c>
      <c r="G54" s="476">
        <f t="shared" si="0"/>
        <v>37586.769261168687</v>
      </c>
      <c r="H54" s="476">
        <f t="shared" si="1"/>
        <v>37586.769261168687</v>
      </c>
    </row>
    <row r="55" spans="2:13">
      <c r="B55" s="485" t="s">
        <v>699</v>
      </c>
      <c r="C55" s="486"/>
      <c r="D55" s="487" t="s">
        <v>54</v>
      </c>
      <c r="E55" s="495">
        <v>0.1</v>
      </c>
      <c r="F55" s="477">
        <f>+SUM(H47:H54)</f>
        <v>490707.70191428397</v>
      </c>
      <c r="G55" s="477">
        <f t="shared" si="0"/>
        <v>499989.62201552046</v>
      </c>
      <c r="H55" s="477">
        <f t="shared" si="1"/>
        <v>49998.962201552051</v>
      </c>
    </row>
    <row r="56" spans="2:13">
      <c r="B56" s="499" t="s">
        <v>1547</v>
      </c>
      <c r="C56" s="500"/>
      <c r="D56" s="500"/>
      <c r="E56" s="500"/>
      <c r="F56" s="501"/>
      <c r="G56" s="501"/>
      <c r="H56" s="501"/>
      <c r="I56" s="502">
        <f>+SUM(H57:H63)</f>
        <v>178279.69798522911</v>
      </c>
      <c r="L56" s="16" t="s">
        <v>1567</v>
      </c>
      <c r="M56" s="16" t="s">
        <v>46</v>
      </c>
    </row>
    <row r="57" spans="2:13">
      <c r="B57" s="490" t="s">
        <v>675</v>
      </c>
      <c r="C57" s="483" t="s">
        <v>703</v>
      </c>
      <c r="D57" s="484" t="s">
        <v>77</v>
      </c>
      <c r="E57" s="496">
        <v>1</v>
      </c>
      <c r="F57" s="473">
        <f>VLOOKUP(B57,Cotizaciones!B:D,3,0)</f>
        <v>7482.76</v>
      </c>
      <c r="G57" s="473">
        <f t="shared" si="0"/>
        <v>7624.2992099732328</v>
      </c>
      <c r="H57" s="473">
        <f t="shared" si="1"/>
        <v>7624.2992099732328</v>
      </c>
      <c r="I57" s="814"/>
      <c r="L57" s="16">
        <v>2</v>
      </c>
      <c r="M57" s="16">
        <f>+E57*L57</f>
        <v>2</v>
      </c>
    </row>
    <row r="58" spans="2:13">
      <c r="B58" s="488" t="s">
        <v>677</v>
      </c>
      <c r="C58" s="481" t="s">
        <v>702</v>
      </c>
      <c r="D58" s="482" t="s">
        <v>77</v>
      </c>
      <c r="E58" s="494">
        <v>1</v>
      </c>
      <c r="F58" s="476">
        <f>VLOOKUP(B58,Cotizaciones!B:D,3,0)</f>
        <v>7482.76</v>
      </c>
      <c r="G58" s="476">
        <f t="shared" si="0"/>
        <v>7624.2992099732328</v>
      </c>
      <c r="H58" s="476">
        <f t="shared" si="1"/>
        <v>7624.2992099732328</v>
      </c>
      <c r="I58" s="600"/>
      <c r="L58" s="16">
        <v>2</v>
      </c>
      <c r="M58" s="16">
        <f t="shared" ref="M58:M61" si="2">+E58*L58</f>
        <v>2</v>
      </c>
    </row>
    <row r="59" spans="2:13">
      <c r="B59" s="488" t="s">
        <v>677</v>
      </c>
      <c r="C59" s="481" t="s">
        <v>722</v>
      </c>
      <c r="D59" s="482" t="s">
        <v>77</v>
      </c>
      <c r="E59" s="494">
        <v>2</v>
      </c>
      <c r="F59" s="476">
        <f>VLOOKUP(B59,Cotizaciones!B:D,3,0)</f>
        <v>7482.76</v>
      </c>
      <c r="G59" s="476">
        <f t="shared" si="0"/>
        <v>7624.2992099732328</v>
      </c>
      <c r="H59" s="476">
        <f t="shared" si="1"/>
        <v>15248.598419946466</v>
      </c>
      <c r="I59" s="600"/>
      <c r="L59" s="16">
        <v>2</v>
      </c>
      <c r="M59" s="16">
        <f t="shared" si="2"/>
        <v>4</v>
      </c>
    </row>
    <row r="60" spans="2:13">
      <c r="B60" s="488" t="s">
        <v>667</v>
      </c>
      <c r="C60" s="481" t="s">
        <v>1549</v>
      </c>
      <c r="D60" s="482" t="s">
        <v>77</v>
      </c>
      <c r="E60" s="494">
        <v>2</v>
      </c>
      <c r="F60" s="476">
        <f>VLOOKUP(B60,Cotizaciones!B:D,3,0)</f>
        <v>26260.49</v>
      </c>
      <c r="G60" s="476">
        <f t="shared" si="0"/>
        <v>26757.217010903729</v>
      </c>
      <c r="H60" s="476">
        <f t="shared" si="1"/>
        <v>53514.434021807458</v>
      </c>
      <c r="I60" s="600"/>
      <c r="J60" s="16" t="s">
        <v>1552</v>
      </c>
      <c r="L60" s="16">
        <v>2</v>
      </c>
      <c r="M60" s="16">
        <f t="shared" si="2"/>
        <v>4</v>
      </c>
    </row>
    <row r="61" spans="2:13">
      <c r="B61" s="488" t="s">
        <v>667</v>
      </c>
      <c r="C61" s="481" t="s">
        <v>723</v>
      </c>
      <c r="D61" s="482" t="s">
        <v>77</v>
      </c>
      <c r="E61" s="494">
        <v>2</v>
      </c>
      <c r="F61" s="476">
        <f>VLOOKUP(B61,Cotizaciones!B:D,3,0)</f>
        <v>26260.49</v>
      </c>
      <c r="G61" s="476">
        <f t="shared" si="0"/>
        <v>26757.217010903729</v>
      </c>
      <c r="H61" s="476">
        <f t="shared" si="1"/>
        <v>53514.434021807458</v>
      </c>
      <c r="I61" s="600"/>
      <c r="L61" s="16">
        <v>2</v>
      </c>
      <c r="M61" s="16">
        <f t="shared" si="2"/>
        <v>4</v>
      </c>
    </row>
    <row r="62" spans="2:13">
      <c r="B62" s="488" t="s">
        <v>1550</v>
      </c>
      <c r="C62" s="481"/>
      <c r="D62" s="482" t="s">
        <v>77</v>
      </c>
      <c r="E62" s="494">
        <v>1</v>
      </c>
      <c r="F62" s="476">
        <f>VLOOKUP(B62,Cotizaciones!B:D,3,0)</f>
        <v>23817.65</v>
      </c>
      <c r="G62" s="476">
        <f t="shared" si="0"/>
        <v>24268.169776715942</v>
      </c>
      <c r="H62" s="476">
        <f t="shared" si="1"/>
        <v>24268.169776715942</v>
      </c>
      <c r="I62" s="600"/>
      <c r="M62" s="113">
        <f>+SUM(M57:M61)</f>
        <v>16</v>
      </c>
    </row>
    <row r="63" spans="2:13">
      <c r="B63" s="485" t="s">
        <v>699</v>
      </c>
      <c r="C63" s="486"/>
      <c r="D63" s="487" t="s">
        <v>54</v>
      </c>
      <c r="E63" s="495">
        <v>0.1</v>
      </c>
      <c r="F63" s="477">
        <f>+SUM(H57:H62)</f>
        <v>161794.2346602238</v>
      </c>
      <c r="G63" s="477">
        <f t="shared" si="0"/>
        <v>164854.63325005322</v>
      </c>
      <c r="H63" s="477">
        <f t="shared" si="1"/>
        <v>16485.463325005323</v>
      </c>
      <c r="I63" s="600"/>
    </row>
    <row r="64" spans="2:13">
      <c r="B64" s="499" t="s">
        <v>1548</v>
      </c>
      <c r="C64" s="500"/>
      <c r="D64" s="500"/>
      <c r="E64" s="500"/>
      <c r="F64" s="501"/>
      <c r="G64" s="501"/>
      <c r="H64" s="501"/>
      <c r="I64" s="502">
        <f>+SUM(H65:H73)</f>
        <v>246945.70801345402</v>
      </c>
    </row>
    <row r="65" spans="2:14">
      <c r="B65" s="490" t="s">
        <v>670</v>
      </c>
      <c r="C65" s="483" t="s">
        <v>1562</v>
      </c>
      <c r="D65" s="484" t="s">
        <v>77</v>
      </c>
      <c r="E65" s="496">
        <v>1</v>
      </c>
      <c r="F65" s="473">
        <f>VLOOKUP(B65,Cotizaciones!B:D,3,0)</f>
        <v>50827.41</v>
      </c>
      <c r="G65" s="473">
        <f t="shared" ref="G65:G123" si="3">+F65*$G$3</f>
        <v>51788.829510499549</v>
      </c>
      <c r="H65" s="473">
        <f t="shared" ref="H65:H123" si="4">+E65*G65</f>
        <v>51788.829510499549</v>
      </c>
      <c r="I65" s="814"/>
      <c r="L65" s="16">
        <v>4</v>
      </c>
      <c r="M65" s="16">
        <f t="shared" ref="M65:M71" si="5">+E65*L65</f>
        <v>4</v>
      </c>
    </row>
    <row r="66" spans="2:14">
      <c r="B66" s="488" t="s">
        <v>1563</v>
      </c>
      <c r="C66" s="481" t="s">
        <v>1564</v>
      </c>
      <c r="D66" s="482" t="s">
        <v>77</v>
      </c>
      <c r="E66" s="494">
        <v>1</v>
      </c>
      <c r="F66" s="476">
        <f>VLOOKUP(B66,Cotizaciones!B:D,3,0)</f>
        <v>48568.42</v>
      </c>
      <c r="G66" s="476">
        <f t="shared" si="3"/>
        <v>49487.109867969593</v>
      </c>
      <c r="H66" s="476">
        <f t="shared" si="4"/>
        <v>49487.109867969593</v>
      </c>
      <c r="I66" s="814"/>
      <c r="L66" s="16">
        <v>4</v>
      </c>
      <c r="M66" s="16">
        <f t="shared" si="5"/>
        <v>4</v>
      </c>
    </row>
    <row r="67" spans="2:14">
      <c r="B67" s="488" t="s">
        <v>667</v>
      </c>
      <c r="C67" s="481" t="s">
        <v>723</v>
      </c>
      <c r="D67" s="482" t="s">
        <v>77</v>
      </c>
      <c r="E67" s="494">
        <v>2</v>
      </c>
      <c r="F67" s="476">
        <f>VLOOKUP(B67,Cotizaciones!B:D,3,0)</f>
        <v>26260.49</v>
      </c>
      <c r="G67" s="476">
        <f t="shared" si="3"/>
        <v>26757.217010903729</v>
      </c>
      <c r="H67" s="476">
        <f t="shared" si="4"/>
        <v>53514.434021807458</v>
      </c>
      <c r="I67" s="814"/>
      <c r="L67" s="16">
        <v>2</v>
      </c>
      <c r="M67" s="16">
        <f t="shared" si="5"/>
        <v>4</v>
      </c>
    </row>
    <row r="68" spans="2:14">
      <c r="B68" s="488" t="s">
        <v>1565</v>
      </c>
      <c r="C68" s="481" t="s">
        <v>1566</v>
      </c>
      <c r="D68" s="482" t="s">
        <v>77</v>
      </c>
      <c r="E68" s="494">
        <v>1</v>
      </c>
      <c r="F68" s="476">
        <f>VLOOKUP(B68,Cotizaciones!B:D,3,0)</f>
        <v>15812.97</v>
      </c>
      <c r="G68" s="476">
        <f t="shared" si="3"/>
        <v>16112.078254324664</v>
      </c>
      <c r="H68" s="476">
        <f t="shared" si="4"/>
        <v>16112.078254324664</v>
      </c>
      <c r="I68" s="814"/>
      <c r="L68" s="16">
        <v>4</v>
      </c>
      <c r="M68" s="16">
        <f t="shared" si="5"/>
        <v>4</v>
      </c>
    </row>
    <row r="69" spans="2:14">
      <c r="B69" s="488" t="s">
        <v>677</v>
      </c>
      <c r="C69" s="481" t="s">
        <v>702</v>
      </c>
      <c r="D69" s="482" t="s">
        <v>77</v>
      </c>
      <c r="E69" s="494">
        <v>1</v>
      </c>
      <c r="F69" s="476">
        <f>VLOOKUP(B69,Cotizaciones!B:D,3,0)</f>
        <v>7482.76</v>
      </c>
      <c r="G69" s="476">
        <f t="shared" si="3"/>
        <v>7624.2992099732328</v>
      </c>
      <c r="H69" s="476">
        <f t="shared" si="4"/>
        <v>7624.2992099732328</v>
      </c>
      <c r="I69" s="600"/>
      <c r="L69" s="16">
        <v>2</v>
      </c>
      <c r="M69" s="16">
        <f t="shared" si="5"/>
        <v>2</v>
      </c>
    </row>
    <row r="70" spans="2:14">
      <c r="B70" s="488" t="s">
        <v>675</v>
      </c>
      <c r="C70" s="481" t="s">
        <v>703</v>
      </c>
      <c r="D70" s="482" t="s">
        <v>77</v>
      </c>
      <c r="E70" s="494">
        <v>1</v>
      </c>
      <c r="F70" s="476">
        <f>VLOOKUP(B70,Cotizaciones!B:D,3,0)</f>
        <v>7482.76</v>
      </c>
      <c r="G70" s="476">
        <f t="shared" si="3"/>
        <v>7624.2992099732328</v>
      </c>
      <c r="H70" s="476">
        <f t="shared" si="4"/>
        <v>7624.2992099732328</v>
      </c>
      <c r="I70" s="600"/>
      <c r="L70" s="16">
        <v>2</v>
      </c>
      <c r="M70" s="16">
        <f t="shared" si="5"/>
        <v>2</v>
      </c>
    </row>
    <row r="71" spans="2:14">
      <c r="B71" s="488" t="s">
        <v>677</v>
      </c>
      <c r="C71" s="481" t="s">
        <v>722</v>
      </c>
      <c r="D71" s="482" t="s">
        <v>77</v>
      </c>
      <c r="E71" s="494">
        <v>1</v>
      </c>
      <c r="F71" s="476">
        <f>VLOOKUP(B71,Cotizaciones!B:D,3,0)</f>
        <v>7482.76</v>
      </c>
      <c r="G71" s="476">
        <f t="shared" si="3"/>
        <v>7624.2992099732328</v>
      </c>
      <c r="H71" s="476">
        <f t="shared" si="4"/>
        <v>7624.2992099732328</v>
      </c>
      <c r="I71" s="600"/>
      <c r="L71" s="16">
        <v>2</v>
      </c>
      <c r="M71" s="16">
        <f t="shared" si="5"/>
        <v>2</v>
      </c>
    </row>
    <row r="72" spans="2:14">
      <c r="B72" s="488" t="s">
        <v>724</v>
      </c>
      <c r="C72" s="481"/>
      <c r="D72" s="482" t="s">
        <v>77</v>
      </c>
      <c r="E72" s="494">
        <v>1</v>
      </c>
      <c r="F72" s="476">
        <f>VLOOKUP(B72,Cotizaciones!B:D,3,0)</f>
        <v>29772.22</v>
      </c>
      <c r="G72" s="476">
        <f t="shared" si="3"/>
        <v>30335.372700066458</v>
      </c>
      <c r="H72" s="476">
        <f t="shared" si="4"/>
        <v>30335.372700066458</v>
      </c>
      <c r="I72" s="600"/>
      <c r="M72" s="113">
        <f>+SUM(M65:M71)</f>
        <v>22</v>
      </c>
    </row>
    <row r="73" spans="2:14">
      <c r="B73" s="485" t="s">
        <v>699</v>
      </c>
      <c r="C73" s="486"/>
      <c r="D73" s="487" t="s">
        <v>54</v>
      </c>
      <c r="E73" s="495">
        <v>0.1</v>
      </c>
      <c r="F73" s="477">
        <f>+SUM(H65:H72)</f>
        <v>224110.72198458738</v>
      </c>
      <c r="G73" s="477">
        <f t="shared" si="3"/>
        <v>228349.86028866627</v>
      </c>
      <c r="H73" s="477">
        <f t="shared" si="4"/>
        <v>22834.986028866628</v>
      </c>
      <c r="I73" s="600"/>
    </row>
    <row r="74" spans="2:14">
      <c r="B74" s="499" t="s">
        <v>725</v>
      </c>
      <c r="C74" s="500"/>
      <c r="D74" s="500"/>
      <c r="E74" s="500"/>
      <c r="F74" s="501"/>
      <c r="G74" s="501"/>
      <c r="H74" s="501"/>
      <c r="I74" s="502">
        <f>+SUM(H75:H79)</f>
        <v>1261512.1510117827</v>
      </c>
    </row>
    <row r="75" spans="2:14">
      <c r="B75" s="490" t="s">
        <v>726</v>
      </c>
      <c r="C75" s="483" t="s">
        <v>727</v>
      </c>
      <c r="D75" s="484" t="s">
        <v>59</v>
      </c>
      <c r="E75" s="496">
        <v>100</v>
      </c>
      <c r="F75" s="476">
        <f>VLOOKUP(B75,Cotizaciones!B:D,3,0)</f>
        <v>8408.2350000000006</v>
      </c>
      <c r="G75" s="476">
        <f t="shared" si="3"/>
        <v>8567.2799164705648</v>
      </c>
      <c r="H75" s="476">
        <f t="shared" si="4"/>
        <v>856727.99164705654</v>
      </c>
    </row>
    <row r="76" spans="2:14">
      <c r="B76" s="488" t="s">
        <v>728</v>
      </c>
      <c r="C76" s="481" t="s">
        <v>729</v>
      </c>
      <c r="D76" s="482" t="s">
        <v>77</v>
      </c>
      <c r="E76" s="494">
        <v>5</v>
      </c>
      <c r="F76" s="476">
        <f>VLOOKUP(B76,Cotizaciones!B:D,3,0)</f>
        <v>34242.550000000003</v>
      </c>
      <c r="G76" s="476">
        <f t="shared" si="3"/>
        <v>34890.260667516923</v>
      </c>
      <c r="H76" s="476">
        <f t="shared" si="4"/>
        <v>174451.3033375846</v>
      </c>
    </row>
    <row r="77" spans="2:14">
      <c r="B77" s="488" t="s">
        <v>730</v>
      </c>
      <c r="C77" s="481"/>
      <c r="D77" s="482" t="s">
        <v>77</v>
      </c>
      <c r="E77" s="494">
        <v>5</v>
      </c>
      <c r="F77" s="476">
        <f>VLOOKUP(B77,Cotizaciones!B:D,3,0)</f>
        <v>21131.19</v>
      </c>
      <c r="G77" s="476">
        <f t="shared" si="3"/>
        <v>21530.894378918241</v>
      </c>
      <c r="H77" s="476">
        <f t="shared" si="4"/>
        <v>107654.4718945912</v>
      </c>
    </row>
    <row r="78" spans="2:14">
      <c r="B78" s="491" t="s">
        <v>1551</v>
      </c>
      <c r="C78" s="481"/>
      <c r="D78" s="482" t="s">
        <v>77</v>
      </c>
      <c r="E78" s="494">
        <v>5</v>
      </c>
      <c r="F78" s="476">
        <f>VLOOKUP(B78,Cotizaciones!B:D,3,0)</f>
        <v>1182.98</v>
      </c>
      <c r="G78" s="476">
        <f t="shared" si="3"/>
        <v>1205.3565100864032</v>
      </c>
      <c r="H78" s="476">
        <f t="shared" si="4"/>
        <v>6026.7825504320163</v>
      </c>
    </row>
    <row r="79" spans="2:14">
      <c r="B79" s="488" t="s">
        <v>699</v>
      </c>
      <c r="C79" s="481"/>
      <c r="D79" s="482" t="s">
        <v>54</v>
      </c>
      <c r="E79" s="494">
        <v>0.1</v>
      </c>
      <c r="F79" s="476">
        <f>+SUM(H75:H78)</f>
        <v>1144860.5494296644</v>
      </c>
      <c r="G79" s="476">
        <f t="shared" si="3"/>
        <v>1166516.0158211824</v>
      </c>
      <c r="H79" s="476">
        <f t="shared" si="4"/>
        <v>116651.60158211825</v>
      </c>
    </row>
    <row r="80" spans="2:14">
      <c r="B80" s="499" t="s">
        <v>731</v>
      </c>
      <c r="C80" s="500"/>
      <c r="D80" s="500"/>
      <c r="E80" s="500"/>
      <c r="F80" s="501"/>
      <c r="G80" s="501"/>
      <c r="H80" s="501"/>
      <c r="I80" s="502">
        <f>+SUM(H81:H89)</f>
        <v>5844722.2283497546</v>
      </c>
      <c r="M80" s="16" t="s">
        <v>1570</v>
      </c>
      <c r="N80" s="16" t="s">
        <v>1571</v>
      </c>
    </row>
    <row r="81" spans="2:21">
      <c r="B81" s="818" t="s">
        <v>732</v>
      </c>
      <c r="C81" s="483" t="s">
        <v>733</v>
      </c>
      <c r="D81" s="484" t="s">
        <v>59</v>
      </c>
      <c r="E81" s="496">
        <v>50</v>
      </c>
      <c r="F81" s="476">
        <f>VLOOKUP(B81,Cotizaciones!B:D,3,0)</f>
        <v>26132.22</v>
      </c>
      <c r="G81" s="476">
        <f t="shared" si="3"/>
        <v>26626.520735777536</v>
      </c>
      <c r="H81" s="476">
        <f t="shared" si="4"/>
        <v>1331326.0367888769</v>
      </c>
      <c r="L81" s="16" t="s">
        <v>1572</v>
      </c>
      <c r="N81" s="16">
        <v>1</v>
      </c>
    </row>
    <row r="82" spans="2:21">
      <c r="B82" s="819" t="s">
        <v>924</v>
      </c>
      <c r="C82" s="481"/>
      <c r="D82" s="482" t="s">
        <v>77</v>
      </c>
      <c r="E82" s="494"/>
      <c r="F82" s="476">
        <f>VLOOKUP(B82,Cotizaciones!B:D,3,0)</f>
        <v>968320.03</v>
      </c>
      <c r="G82" s="476">
        <f t="shared" si="3"/>
        <v>986636.16629829863</v>
      </c>
      <c r="H82" s="476">
        <f t="shared" si="4"/>
        <v>0</v>
      </c>
      <c r="L82" s="16" t="s">
        <v>496</v>
      </c>
      <c r="N82" s="16">
        <v>1</v>
      </c>
    </row>
    <row r="83" spans="2:21">
      <c r="B83" s="819" t="s">
        <v>735</v>
      </c>
      <c r="C83" s="481"/>
      <c r="D83" s="482" t="s">
        <v>77</v>
      </c>
      <c r="E83" s="494">
        <v>1</v>
      </c>
      <c r="F83" s="476">
        <f>VLOOKUP(B83,Cotizaciones!B:D,3,0)</f>
        <v>490352.21</v>
      </c>
      <c r="G83" s="476">
        <f t="shared" si="3"/>
        <v>499627.40583843779</v>
      </c>
      <c r="H83" s="476">
        <f t="shared" si="4"/>
        <v>499627.40583843779</v>
      </c>
      <c r="L83" s="16" t="s">
        <v>14</v>
      </c>
      <c r="M83" s="16">
        <v>1</v>
      </c>
    </row>
    <row r="84" spans="2:21">
      <c r="B84" s="491" t="s">
        <v>1554</v>
      </c>
      <c r="C84" s="481"/>
      <c r="D84" s="482" t="s">
        <v>77</v>
      </c>
      <c r="E84" s="494">
        <v>0</v>
      </c>
      <c r="F84" s="476">
        <f>VLOOKUP(B84,Cotizaciones!B:D,3,0)</f>
        <v>1536497.17</v>
      </c>
      <c r="G84" s="476">
        <f t="shared" si="3"/>
        <v>1565560.5898568318</v>
      </c>
      <c r="H84" s="476">
        <f t="shared" si="4"/>
        <v>0</v>
      </c>
      <c r="L84" s="16" t="s">
        <v>2263</v>
      </c>
      <c r="M84" s="16">
        <f>4*3</f>
        <v>12</v>
      </c>
    </row>
    <row r="85" spans="2:21">
      <c r="B85" s="491" t="s">
        <v>1553</v>
      </c>
      <c r="C85" s="481"/>
      <c r="D85" s="482" t="s">
        <v>77</v>
      </c>
      <c r="E85" s="494">
        <v>6</v>
      </c>
      <c r="F85" s="476">
        <f>VLOOKUP(B85,Cotizaciones!B:D,3,0)</f>
        <v>440053.56</v>
      </c>
      <c r="G85" s="476">
        <f t="shared" si="3"/>
        <v>448377.33802151994</v>
      </c>
      <c r="H85" s="476">
        <f t="shared" si="4"/>
        <v>2690264.0281291194</v>
      </c>
      <c r="L85" s="16" t="s">
        <v>2264</v>
      </c>
      <c r="M85" s="16">
        <v>3</v>
      </c>
    </row>
    <row r="86" spans="2:21">
      <c r="B86" s="491" t="s">
        <v>734</v>
      </c>
      <c r="C86" s="481"/>
      <c r="D86" s="482" t="s">
        <v>77</v>
      </c>
      <c r="E86" s="494">
        <v>1</v>
      </c>
      <c r="F86" s="476">
        <f>VLOOKUP(B86,Cotizaciones!B:D,3,0)</f>
        <v>546855.75</v>
      </c>
      <c r="G86" s="476">
        <f t="shared" si="3"/>
        <v>557199.73147532728</v>
      </c>
      <c r="H86" s="476">
        <f t="shared" si="4"/>
        <v>557199.73147532728</v>
      </c>
      <c r="M86" s="16">
        <f>+SUM(M81:M85)</f>
        <v>16</v>
      </c>
      <c r="N86" s="16">
        <f>+SUM(N81:N85)</f>
        <v>2</v>
      </c>
    </row>
    <row r="87" spans="2:21">
      <c r="B87" s="491" t="s">
        <v>1569</v>
      </c>
      <c r="C87" s="481"/>
      <c r="D87" s="482" t="s">
        <v>77</v>
      </c>
      <c r="E87" s="820">
        <f>+O88</f>
        <v>22</v>
      </c>
      <c r="F87" s="476">
        <f>VLOOKUP(B87,Cotizaciones!B:D,3,0)</f>
        <v>4958.6776859504134</v>
      </c>
      <c r="G87" s="476">
        <f t="shared" si="3"/>
        <v>5052.4729329156135</v>
      </c>
      <c r="H87" s="476">
        <f t="shared" si="4"/>
        <v>111154.40452414349</v>
      </c>
      <c r="L87" s="16" t="s">
        <v>1573</v>
      </c>
      <c r="M87" s="16">
        <v>1</v>
      </c>
      <c r="N87" s="16">
        <v>3</v>
      </c>
    </row>
    <row r="88" spans="2:21">
      <c r="B88" s="491" t="s">
        <v>1568</v>
      </c>
      <c r="C88" s="481"/>
      <c r="D88" s="482" t="s">
        <v>77</v>
      </c>
      <c r="E88" s="820">
        <v>6</v>
      </c>
      <c r="F88" s="476">
        <f>VLOOKUP(B88,Cotizaciones!B:D,3,0)</f>
        <v>18760.330578512396</v>
      </c>
      <c r="G88" s="476">
        <f t="shared" si="3"/>
        <v>19115.189262864071</v>
      </c>
      <c r="H88" s="476">
        <f t="shared" si="4"/>
        <v>114691.13557718442</v>
      </c>
      <c r="M88" s="16">
        <f>+M86*M87</f>
        <v>16</v>
      </c>
      <c r="N88" s="16">
        <f>+N86*N87</f>
        <v>6</v>
      </c>
      <c r="O88" s="113">
        <f>+SUM(M88:N88)</f>
        <v>22</v>
      </c>
    </row>
    <row r="89" spans="2:21">
      <c r="B89" s="819" t="s">
        <v>699</v>
      </c>
      <c r="C89" s="481"/>
      <c r="D89" s="482" t="s">
        <v>77</v>
      </c>
      <c r="E89" s="494">
        <v>0.1</v>
      </c>
      <c r="F89" s="476">
        <f>+SUM(H81:H88)</f>
        <v>5304262.742333089</v>
      </c>
      <c r="G89" s="476">
        <f t="shared" si="3"/>
        <v>5404594.8601666531</v>
      </c>
      <c r="H89" s="476">
        <f t="shared" si="4"/>
        <v>540459.48601666535</v>
      </c>
    </row>
    <row r="90" spans="2:21">
      <c r="B90" s="499" t="s">
        <v>736</v>
      </c>
      <c r="C90" s="500"/>
      <c r="D90" s="500"/>
      <c r="E90" s="500"/>
      <c r="F90" s="501"/>
      <c r="G90" s="501"/>
      <c r="H90" s="501"/>
      <c r="I90" s="502">
        <f ca="1">+SUM(H91:H114)</f>
        <v>5773133.123063134</v>
      </c>
      <c r="Q90" s="916"/>
      <c r="R90" s="916">
        <v>3</v>
      </c>
      <c r="S90" s="916">
        <v>5</v>
      </c>
      <c r="T90" s="916">
        <v>5</v>
      </c>
      <c r="U90" s="916">
        <v>5</v>
      </c>
    </row>
    <row r="91" spans="2:21">
      <c r="B91" s="824" t="s">
        <v>1577</v>
      </c>
      <c r="C91" s="445"/>
      <c r="D91" s="776"/>
      <c r="E91" s="825"/>
      <c r="F91" s="445"/>
      <c r="G91" s="445"/>
      <c r="H91" s="826"/>
      <c r="I91" s="502"/>
      <c r="K91" s="16" t="s">
        <v>1574</v>
      </c>
      <c r="L91" s="16" t="s">
        <v>1575</v>
      </c>
      <c r="M91" s="16" t="s">
        <v>215</v>
      </c>
      <c r="N91" s="16" t="s">
        <v>1576</v>
      </c>
      <c r="Q91" s="916" t="s">
        <v>2283</v>
      </c>
      <c r="R91" s="916" t="s">
        <v>2269</v>
      </c>
      <c r="S91" s="916" t="s">
        <v>2282</v>
      </c>
      <c r="T91" s="916" t="s">
        <v>2286</v>
      </c>
      <c r="U91" s="916" t="s">
        <v>2284</v>
      </c>
    </row>
    <row r="92" spans="2:21">
      <c r="B92" s="818" t="s">
        <v>739</v>
      </c>
      <c r="C92" s="473"/>
      <c r="D92" s="498" t="s">
        <v>77</v>
      </c>
      <c r="E92" s="496">
        <f>+N99/3</f>
        <v>50</v>
      </c>
      <c r="F92" s="473">
        <f>VLOOKUP(B92,Cotizaciones!B:D,3,0)</f>
        <v>2000.78</v>
      </c>
      <c r="G92" s="473">
        <f t="shared" si="3"/>
        <v>2038.6255036016448</v>
      </c>
      <c r="H92" s="473">
        <f t="shared" si="4"/>
        <v>101931.27518008224</v>
      </c>
      <c r="K92" s="16">
        <v>1</v>
      </c>
      <c r="L92" s="16">
        <v>16</v>
      </c>
      <c r="M92" s="16">
        <v>3</v>
      </c>
      <c r="N92" s="16">
        <f>+L92*M92</f>
        <v>48</v>
      </c>
      <c r="Q92" s="913" t="s">
        <v>1572</v>
      </c>
      <c r="U92" s="16">
        <f>10+4+2</f>
        <v>16</v>
      </c>
    </row>
    <row r="93" spans="2:21">
      <c r="B93" s="819" t="s">
        <v>740</v>
      </c>
      <c r="C93" s="476"/>
      <c r="D93" s="492" t="s">
        <v>77</v>
      </c>
      <c r="E93" s="494">
        <f ca="1">ROUNDUP(M97/3,0)</f>
        <v>6</v>
      </c>
      <c r="F93" s="476">
        <f>VLOOKUP(B93,Cotizaciones!B:D,3,0)</f>
        <v>5522.38</v>
      </c>
      <c r="G93" s="476">
        <f t="shared" si="3"/>
        <v>5626.8378875136959</v>
      </c>
      <c r="H93" s="476">
        <f t="shared" ca="1" si="4"/>
        <v>33761.027325082177</v>
      </c>
      <c r="K93" s="16">
        <v>2</v>
      </c>
      <c r="L93" s="16">
        <v>12</v>
      </c>
      <c r="M93" s="16">
        <v>3</v>
      </c>
      <c r="N93" s="16">
        <f>+L93*M93</f>
        <v>36</v>
      </c>
      <c r="Q93" s="16" t="s">
        <v>2285</v>
      </c>
      <c r="T93" s="16">
        <v>5</v>
      </c>
    </row>
    <row r="94" spans="2:21">
      <c r="B94" s="819" t="s">
        <v>738</v>
      </c>
      <c r="C94" s="476"/>
      <c r="D94" s="492" t="s">
        <v>77</v>
      </c>
      <c r="E94" s="494">
        <f ca="1">+E93*6/100</f>
        <v>0.36</v>
      </c>
      <c r="F94" s="476">
        <f>VLOOKUP(B94,Cotizaciones!B:D,3,0)</f>
        <v>77112</v>
      </c>
      <c r="G94" s="476">
        <f t="shared" si="3"/>
        <v>78570.602381936071</v>
      </c>
      <c r="H94" s="476">
        <f t="shared" ca="1" si="4"/>
        <v>28285.416857496984</v>
      </c>
      <c r="K94" s="16">
        <v>3</v>
      </c>
      <c r="L94" s="16">
        <v>8</v>
      </c>
      <c r="M94" s="16">
        <v>3</v>
      </c>
      <c r="N94" s="16">
        <f t="shared" ref="N94:N96" si="6">+L94*M94</f>
        <v>24</v>
      </c>
      <c r="Q94" s="480" t="s">
        <v>496</v>
      </c>
      <c r="R94" s="16">
        <f>4+6</f>
        <v>10</v>
      </c>
    </row>
    <row r="95" spans="2:21">
      <c r="B95" s="819" t="s">
        <v>737</v>
      </c>
      <c r="C95" s="476"/>
      <c r="D95" s="492" t="s">
        <v>77</v>
      </c>
      <c r="E95" s="494">
        <f ca="1">E93</f>
        <v>6</v>
      </c>
      <c r="F95" s="476">
        <f>VLOOKUP(B95,Cotizaciones!B:D,3,0)</f>
        <v>1197.8100000000002</v>
      </c>
      <c r="G95" s="476">
        <f t="shared" si="3"/>
        <v>1220.4670250947563</v>
      </c>
      <c r="H95" s="476">
        <f t="shared" ca="1" si="4"/>
        <v>7322.8021505685374</v>
      </c>
      <c r="K95" s="16">
        <v>4</v>
      </c>
      <c r="L95" s="16">
        <v>4</v>
      </c>
      <c r="M95" s="16">
        <v>3</v>
      </c>
      <c r="N95" s="16">
        <f t="shared" si="6"/>
        <v>12</v>
      </c>
      <c r="Q95" s="480" t="s">
        <v>14</v>
      </c>
      <c r="R95" s="16">
        <f>17+2+2</f>
        <v>21</v>
      </c>
    </row>
    <row r="96" spans="2:21">
      <c r="B96" s="819" t="s">
        <v>741</v>
      </c>
      <c r="C96" s="476"/>
      <c r="D96" s="492" t="s">
        <v>77</v>
      </c>
      <c r="E96" s="494">
        <f>+N99</f>
        <v>150</v>
      </c>
      <c r="F96" s="476">
        <f>VLOOKUP(B96,Cotizaciones!B:D,3,0)</f>
        <v>778.4</v>
      </c>
      <c r="G96" s="476">
        <f t="shared" si="3"/>
        <v>793.12372774793846</v>
      </c>
      <c r="H96" s="476">
        <f t="shared" si="4"/>
        <v>118968.55916219077</v>
      </c>
      <c r="K96" s="16" t="s">
        <v>505</v>
      </c>
      <c r="L96" s="16">
        <v>1</v>
      </c>
      <c r="M96" s="16">
        <v>6</v>
      </c>
      <c r="N96" s="16">
        <f t="shared" si="6"/>
        <v>6</v>
      </c>
      <c r="Q96" s="480" t="s">
        <v>2265</v>
      </c>
      <c r="R96" s="16">
        <f>12+4+5+2</f>
        <v>23</v>
      </c>
    </row>
    <row r="97" spans="2:21">
      <c r="B97" s="819" t="s">
        <v>743</v>
      </c>
      <c r="C97" s="476"/>
      <c r="D97" s="492" t="s">
        <v>77</v>
      </c>
      <c r="E97" s="494">
        <v>7</v>
      </c>
      <c r="F97" s="476">
        <f>VLOOKUP(B97,Cotizaciones!B:D,3,0)</f>
        <v>18151.02</v>
      </c>
      <c r="G97" s="476">
        <f t="shared" si="3"/>
        <v>18494.353346386673</v>
      </c>
      <c r="H97" s="476">
        <f t="shared" si="4"/>
        <v>129460.47342470671</v>
      </c>
      <c r="M97" s="16">
        <f ca="1">SUM(M92:M101)</f>
        <v>18</v>
      </c>
      <c r="N97" s="16">
        <f>SUM(N92:N96)</f>
        <v>126</v>
      </c>
      <c r="Q97" s="480" t="s">
        <v>2266</v>
      </c>
      <c r="R97" s="16">
        <f>12+4+6+2</f>
        <v>24</v>
      </c>
    </row>
    <row r="98" spans="2:21">
      <c r="B98" s="819" t="s">
        <v>895</v>
      </c>
      <c r="C98" s="477"/>
      <c r="D98" s="823" t="s">
        <v>77</v>
      </c>
      <c r="E98" s="495">
        <f>+E92*2</f>
        <v>100</v>
      </c>
      <c r="F98" s="476">
        <f>VLOOKUP(B98,Cotizaciones!B:D,3,0)</f>
        <v>258.57</v>
      </c>
      <c r="G98" s="476">
        <f t="shared" si="3"/>
        <v>263.46094846323803</v>
      </c>
      <c r="H98" s="476">
        <f t="shared" si="4"/>
        <v>26346.094846323802</v>
      </c>
      <c r="N98" s="16">
        <f>+N97*O98</f>
        <v>144.89999999999998</v>
      </c>
      <c r="O98" s="16">
        <v>1.1499999999999999</v>
      </c>
      <c r="Q98" s="480" t="s">
        <v>2267</v>
      </c>
      <c r="R98" s="16">
        <f>12+4+6+2</f>
        <v>24</v>
      </c>
    </row>
    <row r="99" spans="2:21">
      <c r="B99" s="824" t="s">
        <v>1578</v>
      </c>
      <c r="C99" s="445"/>
      <c r="D99" s="776"/>
      <c r="E99" s="825"/>
      <c r="F99" s="445"/>
      <c r="G99" s="445"/>
      <c r="H99" s="826"/>
      <c r="N99" s="16">
        <v>150</v>
      </c>
      <c r="Q99" s="480" t="s">
        <v>2268</v>
      </c>
      <c r="R99" s="16">
        <f>12+4+8+2</f>
        <v>26</v>
      </c>
    </row>
    <row r="100" spans="2:21">
      <c r="B100" s="818" t="s">
        <v>739</v>
      </c>
      <c r="C100" s="490"/>
      <c r="D100" s="498" t="s">
        <v>77</v>
      </c>
      <c r="E100" s="496">
        <f>9*L92/3</f>
        <v>48</v>
      </c>
      <c r="F100" s="473">
        <f>VLOOKUP(B100,Cotizaciones!B:D,3,0)</f>
        <v>2000.78</v>
      </c>
      <c r="G100" s="473">
        <f t="shared" si="3"/>
        <v>2038.6255036016448</v>
      </c>
      <c r="H100" s="473">
        <f t="shared" si="4"/>
        <v>97854.024172878955</v>
      </c>
      <c r="Q100" s="480" t="s">
        <v>2270</v>
      </c>
      <c r="R100" s="16">
        <f>12+7+5+2</f>
        <v>26</v>
      </c>
    </row>
    <row r="101" spans="2:21">
      <c r="B101" s="819" t="s">
        <v>740</v>
      </c>
      <c r="C101" s="476"/>
      <c r="D101" s="492" t="s">
        <v>77</v>
      </c>
      <c r="E101" s="494">
        <f>ROUNDUP(9/3,0)</f>
        <v>3</v>
      </c>
      <c r="F101" s="476">
        <f>VLOOKUP(B101,Cotizaciones!B:D,3,0)</f>
        <v>5522.38</v>
      </c>
      <c r="G101" s="476">
        <f t="shared" si="3"/>
        <v>5626.8378875136959</v>
      </c>
      <c r="H101" s="476">
        <f t="shared" si="4"/>
        <v>16880.513662541089</v>
      </c>
      <c r="K101" s="480"/>
      <c r="Q101" s="480" t="s">
        <v>2271</v>
      </c>
      <c r="R101" s="16">
        <f>12+7+6+2</f>
        <v>27</v>
      </c>
    </row>
    <row r="102" spans="2:21">
      <c r="B102" s="819" t="s">
        <v>738</v>
      </c>
      <c r="C102" s="476"/>
      <c r="D102" s="492" t="s">
        <v>77</v>
      </c>
      <c r="E102" s="494">
        <f>+E101*6/100</f>
        <v>0.18</v>
      </c>
      <c r="F102" s="476">
        <f>VLOOKUP(B102,Cotizaciones!B:D,3,0)</f>
        <v>77112</v>
      </c>
      <c r="G102" s="476">
        <f t="shared" si="3"/>
        <v>78570.602381936071</v>
      </c>
      <c r="H102" s="476">
        <f t="shared" si="4"/>
        <v>14142.708428748492</v>
      </c>
      <c r="Q102" s="480" t="s">
        <v>2272</v>
      </c>
      <c r="R102" s="16">
        <f>12+7+6+2</f>
        <v>27</v>
      </c>
    </row>
    <row r="103" spans="2:21">
      <c r="B103" s="819" t="s">
        <v>737</v>
      </c>
      <c r="C103" s="476"/>
      <c r="D103" s="492" t="s">
        <v>77</v>
      </c>
      <c r="E103" s="494">
        <f>E101</f>
        <v>3</v>
      </c>
      <c r="F103" s="476">
        <f>VLOOKUP(B103,Cotizaciones!B:D,3,0)</f>
        <v>1197.8100000000002</v>
      </c>
      <c r="G103" s="476">
        <f t="shared" si="3"/>
        <v>1220.4670250947563</v>
      </c>
      <c r="H103" s="476">
        <f t="shared" si="4"/>
        <v>3661.4010752842687</v>
      </c>
      <c r="Q103" s="480" t="s">
        <v>2273</v>
      </c>
      <c r="R103" s="16">
        <f>12+7+8+2</f>
        <v>29</v>
      </c>
    </row>
    <row r="104" spans="2:21">
      <c r="B104" s="819" t="s">
        <v>741</v>
      </c>
      <c r="C104" s="476"/>
      <c r="D104" s="492" t="s">
        <v>77</v>
      </c>
      <c r="E104" s="494">
        <f>+E100*3</f>
        <v>144</v>
      </c>
      <c r="F104" s="476">
        <f>VLOOKUP(B104,Cotizaciones!B:D,3,0)</f>
        <v>778.4</v>
      </c>
      <c r="G104" s="476">
        <f t="shared" si="3"/>
        <v>793.12372774793846</v>
      </c>
      <c r="H104" s="476">
        <f t="shared" si="4"/>
        <v>114209.81679570314</v>
      </c>
      <c r="Q104" s="480" t="s">
        <v>2274</v>
      </c>
      <c r="R104" s="16">
        <f>12+10+5+2</f>
        <v>29</v>
      </c>
    </row>
    <row r="105" spans="2:21">
      <c r="B105" s="819" t="s">
        <v>743</v>
      </c>
      <c r="C105" s="476"/>
      <c r="D105" s="492" t="s">
        <v>77</v>
      </c>
      <c r="E105" s="494">
        <v>2</v>
      </c>
      <c r="F105" s="476">
        <f>VLOOKUP(B105,Cotizaciones!B:D,3,0)</f>
        <v>18151.02</v>
      </c>
      <c r="G105" s="476">
        <f t="shared" si="3"/>
        <v>18494.353346386673</v>
      </c>
      <c r="H105" s="476">
        <f t="shared" si="4"/>
        <v>36988.706692773347</v>
      </c>
      <c r="Q105" s="480" t="s">
        <v>2275</v>
      </c>
      <c r="R105" s="16">
        <f>12+10+6+2</f>
        <v>30</v>
      </c>
    </row>
    <row r="106" spans="2:21">
      <c r="B106" s="822" t="s">
        <v>1590</v>
      </c>
      <c r="C106" s="477"/>
      <c r="D106" s="823" t="s">
        <v>77</v>
      </c>
      <c r="E106" s="495">
        <f>21*2</f>
        <v>42</v>
      </c>
      <c r="F106" s="477">
        <f>VLOOKUP(B106,Cotizaciones!B:D,3,0)</f>
        <v>258.57</v>
      </c>
      <c r="G106" s="477">
        <f t="shared" si="3"/>
        <v>263.46094846323803</v>
      </c>
      <c r="H106" s="477">
        <f t="shared" si="4"/>
        <v>11065.359835455996</v>
      </c>
      <c r="Q106" s="480" t="s">
        <v>2276</v>
      </c>
      <c r="R106" s="16">
        <f>12+10+6+2</f>
        <v>30</v>
      </c>
    </row>
    <row r="107" spans="2:21">
      <c r="B107" s="824" t="s">
        <v>1038</v>
      </c>
      <c r="C107" s="445"/>
      <c r="D107" s="776"/>
      <c r="E107" s="825"/>
      <c r="F107" s="445"/>
      <c r="G107" s="445"/>
      <c r="H107" s="826"/>
      <c r="Q107" s="480" t="s">
        <v>2277</v>
      </c>
      <c r="R107" s="16">
        <f>12+10+8+2</f>
        <v>32</v>
      </c>
    </row>
    <row r="108" spans="2:21">
      <c r="B108" s="819" t="s">
        <v>1580</v>
      </c>
      <c r="C108" s="488" t="s">
        <v>1582</v>
      </c>
      <c r="D108" s="492" t="s">
        <v>59</v>
      </c>
      <c r="E108" s="494">
        <f>+R112*R90</f>
        <v>1368</v>
      </c>
      <c r="F108" s="476">
        <f>VLOOKUP(B108,Cotizaciones!B:D,3,0)</f>
        <v>2479.3388429752067</v>
      </c>
      <c r="G108" s="476">
        <f t="shared" si="3"/>
        <v>2526.2364664578067</v>
      </c>
      <c r="H108" s="476">
        <f t="shared" si="4"/>
        <v>3455891.4861142798</v>
      </c>
      <c r="K108" s="16">
        <v>360</v>
      </c>
      <c r="Q108" s="480" t="s">
        <v>2278</v>
      </c>
      <c r="R108" s="16">
        <f>12+13+5+2</f>
        <v>32</v>
      </c>
    </row>
    <row r="109" spans="2:21">
      <c r="B109" s="819" t="s">
        <v>1579</v>
      </c>
      <c r="C109" s="488" t="s">
        <v>1581</v>
      </c>
      <c r="D109" s="492" t="s">
        <v>208</v>
      </c>
      <c r="E109" s="494">
        <v>0</v>
      </c>
      <c r="F109" s="476">
        <f>VLOOKUP(B109,Cotizaciones!B:D,3,0)</f>
        <v>132231.40495867768</v>
      </c>
      <c r="G109" s="476">
        <f t="shared" si="3"/>
        <v>134732.61154441634</v>
      </c>
      <c r="H109" s="476">
        <f t="shared" si="4"/>
        <v>0</v>
      </c>
      <c r="K109" s="16">
        <v>235</v>
      </c>
      <c r="Q109" s="480" t="s">
        <v>2279</v>
      </c>
      <c r="R109" s="16">
        <f>12+13+6+2</f>
        <v>33</v>
      </c>
    </row>
    <row r="110" spans="2:21">
      <c r="B110" s="819" t="s">
        <v>1580</v>
      </c>
      <c r="C110" s="488" t="s">
        <v>1584</v>
      </c>
      <c r="D110" s="492" t="s">
        <v>59</v>
      </c>
      <c r="E110" s="494">
        <f>+S112*S90</f>
        <v>160</v>
      </c>
      <c r="F110" s="476">
        <f>VLOOKUP(B110,Cotizaciones!B:D,3,0)</f>
        <v>2479.3388429752067</v>
      </c>
      <c r="G110" s="476">
        <f t="shared" si="3"/>
        <v>2526.2364664578067</v>
      </c>
      <c r="H110" s="476">
        <f t="shared" si="4"/>
        <v>404197.83463324909</v>
      </c>
      <c r="K110" s="16">
        <v>38</v>
      </c>
      <c r="Q110" s="480" t="s">
        <v>2280</v>
      </c>
      <c r="R110" s="16">
        <f>12+13+6+2</f>
        <v>33</v>
      </c>
    </row>
    <row r="111" spans="2:21">
      <c r="B111" s="819" t="s">
        <v>1583</v>
      </c>
      <c r="C111" s="488" t="s">
        <v>1585</v>
      </c>
      <c r="D111" s="492" t="s">
        <v>208</v>
      </c>
      <c r="E111" s="494">
        <f>+T112*T90/100</f>
        <v>0.5</v>
      </c>
      <c r="F111" s="476">
        <f>VLOOKUP(B111,Cotizaciones!B:D,3,0)</f>
        <v>84641.86</v>
      </c>
      <c r="G111" s="476">
        <f t="shared" si="3"/>
        <v>86242.892506062606</v>
      </c>
      <c r="H111" s="476">
        <f t="shared" si="4"/>
        <v>43121.446253031303</v>
      </c>
      <c r="K111" s="16">
        <v>45</v>
      </c>
      <c r="Q111" s="480" t="s">
        <v>2281</v>
      </c>
      <c r="S111" s="16">
        <f>12+18+2</f>
        <v>32</v>
      </c>
      <c r="T111" s="16">
        <v>5</v>
      </c>
    </row>
    <row r="112" spans="2:21">
      <c r="B112" s="819" t="s">
        <v>1586</v>
      </c>
      <c r="C112" s="488"/>
      <c r="D112" s="492" t="s">
        <v>208</v>
      </c>
      <c r="E112" s="494">
        <f>+ROUNDUP(U112*U90/100,0)</f>
        <v>1</v>
      </c>
      <c r="F112" s="476">
        <f>VLOOKUP(B112,Cotizaciones!B:D,3,0)</f>
        <v>341499</v>
      </c>
      <c r="G112" s="476">
        <f t="shared" si="3"/>
        <v>347958.58158041269</v>
      </c>
      <c r="H112" s="476">
        <f t="shared" si="4"/>
        <v>347958.58158041269</v>
      </c>
      <c r="K112" s="113">
        <f>+SUM(K108:K111)</f>
        <v>678</v>
      </c>
      <c r="L112" s="16">
        <v>5</v>
      </c>
      <c r="M112" s="16">
        <f>+K112/L112</f>
        <v>135.6</v>
      </c>
      <c r="R112" s="113">
        <f>+SUM(R92:R111)</f>
        <v>456</v>
      </c>
      <c r="S112" s="113">
        <f>+SUM(S92:S111)</f>
        <v>32</v>
      </c>
      <c r="T112" s="113">
        <f>+SUM(T92:T111)</f>
        <v>10</v>
      </c>
      <c r="U112" s="113">
        <f>+SUM(U92:U111)</f>
        <v>16</v>
      </c>
    </row>
    <row r="113" spans="2:16">
      <c r="B113" s="824" t="s">
        <v>1587</v>
      </c>
      <c r="C113" s="445"/>
      <c r="D113" s="776"/>
      <c r="E113" s="825"/>
      <c r="F113" s="445"/>
      <c r="G113" s="445">
        <f t="shared" si="3"/>
        <v>0</v>
      </c>
      <c r="H113" s="826">
        <f t="shared" si="4"/>
        <v>0</v>
      </c>
      <c r="L113" s="16" t="s">
        <v>1588</v>
      </c>
      <c r="M113" s="16" t="s">
        <v>1589</v>
      </c>
    </row>
    <row r="114" spans="2:16">
      <c r="B114" s="819" t="s">
        <v>699</v>
      </c>
      <c r="C114" s="481"/>
      <c r="D114" s="482" t="s">
        <v>77</v>
      </c>
      <c r="E114" s="494">
        <v>0.1</v>
      </c>
      <c r="F114" s="476">
        <f ca="1">+SUM(H92:H112)</f>
        <v>5239293.4573794063</v>
      </c>
      <c r="G114" s="476">
        <f t="shared" ca="1" si="3"/>
        <v>5338396.6568372818</v>
      </c>
      <c r="H114" s="476">
        <f t="shared" ca="1" si="4"/>
        <v>533839.66568372818</v>
      </c>
    </row>
    <row r="115" spans="2:16">
      <c r="B115" s="499" t="s">
        <v>139</v>
      </c>
      <c r="C115" s="500"/>
      <c r="D115" s="500"/>
      <c r="E115" s="500"/>
      <c r="F115" s="501"/>
      <c r="G115" s="501">
        <f t="shared" si="3"/>
        <v>0</v>
      </c>
      <c r="H115" s="501">
        <f t="shared" si="4"/>
        <v>0</v>
      </c>
      <c r="I115" s="502">
        <f>+SUM(H116:H123)</f>
        <v>607800.87756291637</v>
      </c>
      <c r="K115" s="16" t="s">
        <v>1574</v>
      </c>
      <c r="L115" s="16" t="s">
        <v>1575</v>
      </c>
      <c r="M115" s="16" t="s">
        <v>215</v>
      </c>
      <c r="N115" s="16" t="s">
        <v>1576</v>
      </c>
    </row>
    <row r="116" spans="2:16">
      <c r="B116" s="818" t="s">
        <v>739</v>
      </c>
      <c r="C116" s="473"/>
      <c r="D116" s="498" t="s">
        <v>77</v>
      </c>
      <c r="E116" s="496">
        <f>+N125/3</f>
        <v>33</v>
      </c>
      <c r="F116" s="473">
        <f>VLOOKUP(B116,Cotizaciones!B:D,3,0)</f>
        <v>2000.78</v>
      </c>
      <c r="G116" s="473">
        <f t="shared" si="3"/>
        <v>2038.6255036016448</v>
      </c>
      <c r="H116" s="473">
        <f t="shared" si="4"/>
        <v>67274.641618854279</v>
      </c>
      <c r="K116" s="16">
        <v>1</v>
      </c>
      <c r="L116" s="16">
        <v>7</v>
      </c>
      <c r="M116" s="16">
        <v>3</v>
      </c>
      <c r="N116" s="16">
        <f>+L116*M116</f>
        <v>21</v>
      </c>
    </row>
    <row r="117" spans="2:16">
      <c r="B117" s="819" t="s">
        <v>740</v>
      </c>
      <c r="C117" s="476"/>
      <c r="D117" s="492" t="s">
        <v>77</v>
      </c>
      <c r="E117" s="494">
        <f>ROUNDUP(24/3,0)</f>
        <v>8</v>
      </c>
      <c r="F117" s="476">
        <f>VLOOKUP(B117,Cotizaciones!B:D,3,0)</f>
        <v>5522.38</v>
      </c>
      <c r="G117" s="476">
        <f t="shared" si="3"/>
        <v>5626.8378875136959</v>
      </c>
      <c r="H117" s="476">
        <f t="shared" si="4"/>
        <v>45014.703100109567</v>
      </c>
      <c r="K117" s="16">
        <v>2</v>
      </c>
      <c r="L117" s="16">
        <v>6</v>
      </c>
      <c r="M117" s="16">
        <v>3</v>
      </c>
      <c r="N117" s="16">
        <f>+L117*M117</f>
        <v>18</v>
      </c>
    </row>
    <row r="118" spans="2:16">
      <c r="B118" s="819" t="s">
        <v>738</v>
      </c>
      <c r="C118" s="476"/>
      <c r="D118" s="492" t="s">
        <v>77</v>
      </c>
      <c r="E118" s="494">
        <f>+E117*6/100</f>
        <v>0.48</v>
      </c>
      <c r="F118" s="476">
        <f>VLOOKUP(B118,Cotizaciones!B:D,3,0)</f>
        <v>77112</v>
      </c>
      <c r="G118" s="476">
        <f t="shared" si="3"/>
        <v>78570.602381936071</v>
      </c>
      <c r="H118" s="476">
        <f t="shared" si="4"/>
        <v>37713.88914332931</v>
      </c>
      <c r="K118" s="16">
        <v>3</v>
      </c>
      <c r="L118" s="16">
        <v>5</v>
      </c>
      <c r="M118" s="16">
        <v>3</v>
      </c>
      <c r="N118" s="16">
        <f t="shared" ref="N118:N122" si="7">+L118*M118</f>
        <v>15</v>
      </c>
    </row>
    <row r="119" spans="2:16">
      <c r="B119" s="819" t="s">
        <v>737</v>
      </c>
      <c r="C119" s="476"/>
      <c r="D119" s="492" t="s">
        <v>77</v>
      </c>
      <c r="E119" s="494">
        <f>E117</f>
        <v>8</v>
      </c>
      <c r="F119" s="476">
        <f>VLOOKUP(B119,Cotizaciones!B:D,3,0)</f>
        <v>1197.8100000000002</v>
      </c>
      <c r="G119" s="476">
        <f t="shared" si="3"/>
        <v>1220.4670250947563</v>
      </c>
      <c r="H119" s="476">
        <f t="shared" si="4"/>
        <v>9763.7362007580505</v>
      </c>
      <c r="K119" s="16">
        <v>4</v>
      </c>
      <c r="L119" s="16">
        <v>4</v>
      </c>
      <c r="M119" s="16">
        <v>3</v>
      </c>
      <c r="N119" s="16">
        <f t="shared" si="7"/>
        <v>12</v>
      </c>
    </row>
    <row r="120" spans="2:16">
      <c r="B120" s="819" t="s">
        <v>741</v>
      </c>
      <c r="C120" s="476"/>
      <c r="D120" s="492" t="s">
        <v>77</v>
      </c>
      <c r="E120" s="494">
        <f>+E116*3</f>
        <v>99</v>
      </c>
      <c r="F120" s="476">
        <f>VLOOKUP(B120,Cotizaciones!B:D,3,0)</f>
        <v>778.4</v>
      </c>
      <c r="G120" s="476">
        <f t="shared" si="3"/>
        <v>793.12372774793846</v>
      </c>
      <c r="H120" s="476">
        <f t="shared" si="4"/>
        <v>78519.249047045902</v>
      </c>
      <c r="K120" s="16">
        <v>5</v>
      </c>
      <c r="L120" s="16">
        <v>3</v>
      </c>
      <c r="M120" s="16">
        <v>3</v>
      </c>
      <c r="N120" s="16">
        <f t="shared" si="7"/>
        <v>9</v>
      </c>
    </row>
    <row r="121" spans="2:16">
      <c r="B121" s="819" t="s">
        <v>743</v>
      </c>
      <c r="C121" s="476"/>
      <c r="D121" s="492" t="s">
        <v>77</v>
      </c>
      <c r="E121" s="494">
        <v>8</v>
      </c>
      <c r="F121" s="476">
        <f>VLOOKUP(B121,Cotizaciones!B:D,3,0)</f>
        <v>18151.02</v>
      </c>
      <c r="G121" s="476">
        <f t="shared" si="3"/>
        <v>18494.353346386673</v>
      </c>
      <c r="H121" s="476">
        <f t="shared" si="4"/>
        <v>147954.82677109339</v>
      </c>
      <c r="K121" s="16">
        <v>6</v>
      </c>
      <c r="L121" s="16">
        <v>2</v>
      </c>
      <c r="M121" s="16">
        <v>3</v>
      </c>
      <c r="N121" s="16">
        <f t="shared" si="7"/>
        <v>6</v>
      </c>
    </row>
    <row r="122" spans="2:16">
      <c r="B122" s="819" t="s">
        <v>895</v>
      </c>
      <c r="C122" s="476"/>
      <c r="D122" s="492" t="s">
        <v>77</v>
      </c>
      <c r="E122" s="494">
        <f>+E116*2</f>
        <v>66</v>
      </c>
      <c r="F122" s="476">
        <f>VLOOKUP(B122,Cotizaciones!B:D,3,0)</f>
        <v>258.57</v>
      </c>
      <c r="G122" s="476">
        <f t="shared" si="3"/>
        <v>263.46094846323803</v>
      </c>
      <c r="H122" s="476">
        <f t="shared" si="4"/>
        <v>17388.42259857371</v>
      </c>
      <c r="K122" s="16">
        <v>7</v>
      </c>
      <c r="L122" s="16">
        <v>1</v>
      </c>
      <c r="M122" s="16">
        <v>3</v>
      </c>
      <c r="N122" s="16">
        <f t="shared" si="7"/>
        <v>3</v>
      </c>
    </row>
    <row r="123" spans="2:16">
      <c r="B123" s="822" t="s">
        <v>742</v>
      </c>
      <c r="C123" s="485" t="s">
        <v>1593</v>
      </c>
      <c r="D123" s="823" t="s">
        <v>208</v>
      </c>
      <c r="E123" s="495">
        <f>(360+235)/100</f>
        <v>5.95</v>
      </c>
      <c r="F123" s="477">
        <f>VLOOKUP(B123,Cotizaciones!B:D,3,0)</f>
        <v>33677.5</v>
      </c>
      <c r="G123" s="477">
        <f t="shared" si="3"/>
        <v>34314.522534983553</v>
      </c>
      <c r="H123" s="477">
        <f t="shared" si="4"/>
        <v>204171.40908315213</v>
      </c>
      <c r="N123" s="16">
        <f>SUM(N116:N122)</f>
        <v>84</v>
      </c>
    </row>
    <row r="124" spans="2:16">
      <c r="N124" s="16">
        <f>+N123*O124</f>
        <v>96.6</v>
      </c>
      <c r="O124" s="16">
        <v>1.1499999999999999</v>
      </c>
    </row>
    <row r="125" spans="2:16">
      <c r="K125" s="480"/>
      <c r="N125" s="16">
        <v>99</v>
      </c>
      <c r="O125" s="16">
        <v>5</v>
      </c>
      <c r="P125" s="16">
        <f>+N125/O125</f>
        <v>19.8</v>
      </c>
    </row>
    <row r="126" spans="2:16">
      <c r="O126" s="16" t="s">
        <v>1588</v>
      </c>
      <c r="P126" s="16" t="s">
        <v>1589</v>
      </c>
    </row>
    <row r="128" spans="2:16">
      <c r="B128" s="16" t="s">
        <v>2228</v>
      </c>
      <c r="E128" s="493">
        <f>+Locales!CO144</f>
        <v>259</v>
      </c>
      <c r="I128" s="16">
        <f>+SUM(H129:H131)</f>
        <v>1566798.0536534966</v>
      </c>
      <c r="J128" s="16">
        <f>+I128/E128</f>
        <v>6049.4133345694845</v>
      </c>
    </row>
    <row r="129" spans="2:13">
      <c r="B129" s="818" t="s">
        <v>281</v>
      </c>
      <c r="E129" s="493">
        <f>+$E$128</f>
        <v>259</v>
      </c>
      <c r="F129" s="476">
        <f>VLOOKUP(B129,Cotizaciones!B:D,3,0)</f>
        <v>4297.5206611570247</v>
      </c>
      <c r="G129" s="473">
        <f t="shared" ref="G129" si="8">+F129*$G$3</f>
        <v>4378.8098751935313</v>
      </c>
      <c r="H129" s="473">
        <f t="shared" ref="H129" si="9">+E129*G129</f>
        <v>1134111.7576751246</v>
      </c>
    </row>
    <row r="130" spans="2:13">
      <c r="B130" s="819" t="s">
        <v>2458</v>
      </c>
      <c r="E130" s="493">
        <f>+$E$128</f>
        <v>259</v>
      </c>
      <c r="F130" s="476">
        <f>VLOOKUP(B130,Cotizaciones!B:D,3,0)</f>
        <v>447.16</v>
      </c>
      <c r="G130" s="473">
        <f t="shared" ref="G130:G131" si="10">+F130*$G$3</f>
        <v>455.61819899764674</v>
      </c>
      <c r="H130" s="473">
        <f t="shared" ref="H130:H131" si="11">+E130*G130</f>
        <v>118005.11354039051</v>
      </c>
    </row>
    <row r="131" spans="2:13">
      <c r="B131" s="819" t="s">
        <v>2459</v>
      </c>
      <c r="E131" s="493">
        <f>+$E$128</f>
        <v>259</v>
      </c>
      <c r="F131" s="476">
        <f>VLOOKUP(B131,Cotizaciones!B:D,3,0)</f>
        <v>1192.43</v>
      </c>
      <c r="G131" s="473">
        <f t="shared" si="10"/>
        <v>1214.9852603783072</v>
      </c>
      <c r="H131" s="473">
        <f t="shared" si="11"/>
        <v>314681.18243798154</v>
      </c>
    </row>
    <row r="132" spans="2:13">
      <c r="B132" s="16" t="s">
        <v>2460</v>
      </c>
      <c r="E132" s="493">
        <f>+Locales!CN144</f>
        <v>90</v>
      </c>
      <c r="I132" s="16">
        <f>+SUM(H133:H135)</f>
        <v>347400.75572754478</v>
      </c>
      <c r="J132" s="16">
        <f>+I132/E132</f>
        <v>3860.0083969727198</v>
      </c>
    </row>
    <row r="133" spans="2:13">
      <c r="B133" s="818" t="s">
        <v>2463</v>
      </c>
      <c r="E133" s="493">
        <f>+$E$132</f>
        <v>90</v>
      </c>
      <c r="F133" s="476">
        <f>+F129/2</f>
        <v>2148.7603305785124</v>
      </c>
      <c r="G133" s="473">
        <f t="shared" ref="G133:G135" si="12">+F133*$G$3</f>
        <v>2189.4049375967656</v>
      </c>
      <c r="H133" s="473">
        <f t="shared" ref="H133:H135" si="13">+E133*G133</f>
        <v>197046.44438370891</v>
      </c>
    </row>
    <row r="134" spans="2:13">
      <c r="B134" s="819" t="s">
        <v>2458</v>
      </c>
      <c r="E134" s="493">
        <f t="shared" ref="E134:E135" si="14">+$E$132</f>
        <v>90</v>
      </c>
      <c r="F134" s="476">
        <f>VLOOKUP(B134,Cotizaciones!B:D,3,0)</f>
        <v>447.16</v>
      </c>
      <c r="G134" s="473">
        <f t="shared" si="12"/>
        <v>455.61819899764674</v>
      </c>
      <c r="H134" s="473">
        <f t="shared" si="13"/>
        <v>41005.637909788209</v>
      </c>
    </row>
    <row r="135" spans="2:13">
      <c r="B135" s="819" t="s">
        <v>2459</v>
      </c>
      <c r="E135" s="493">
        <f t="shared" si="14"/>
        <v>90</v>
      </c>
      <c r="F135" s="476">
        <f>VLOOKUP(B135,Cotizaciones!B:D,3,0)</f>
        <v>1192.43</v>
      </c>
      <c r="G135" s="473">
        <f t="shared" si="12"/>
        <v>1214.9852603783072</v>
      </c>
      <c r="H135" s="473">
        <f t="shared" si="13"/>
        <v>109348.67343404765</v>
      </c>
    </row>
    <row r="136" spans="2:13">
      <c r="B136" s="16" t="s">
        <v>2461</v>
      </c>
      <c r="E136" s="493">
        <f>+Locales!CL144</f>
        <v>150</v>
      </c>
      <c r="I136" s="16">
        <f>+SUM(H137:H139)</f>
        <v>873271.10167238477</v>
      </c>
      <c r="J136" s="16">
        <f>+I136/E136</f>
        <v>5821.807344482565</v>
      </c>
    </row>
    <row r="137" spans="2:13">
      <c r="B137" s="818" t="s">
        <v>2462</v>
      </c>
      <c r="E137" s="493">
        <f>+E136*2</f>
        <v>300</v>
      </c>
      <c r="F137" s="476">
        <f>VLOOKUP(B137,Cotizaciones!B:D,3,0)</f>
        <v>2037.07</v>
      </c>
      <c r="G137" s="473">
        <f t="shared" ref="G137:G139" si="15">+F137*$G$3</f>
        <v>2075.6019425533054</v>
      </c>
      <c r="H137" s="473">
        <f t="shared" ref="H137:H139" si="16">+E137*G137</f>
        <v>622680.58276599168</v>
      </c>
    </row>
    <row r="138" spans="2:13">
      <c r="B138" s="819" t="s">
        <v>2458</v>
      </c>
      <c r="E138" s="493">
        <f>+E136</f>
        <v>150</v>
      </c>
      <c r="F138" s="476">
        <f>VLOOKUP(B138,Cotizaciones!B:D,3,0)</f>
        <v>447.16</v>
      </c>
      <c r="G138" s="473">
        <f t="shared" si="15"/>
        <v>455.61819899764674</v>
      </c>
      <c r="H138" s="473">
        <f t="shared" si="16"/>
        <v>68342.729849647018</v>
      </c>
      <c r="M138" s="113"/>
    </row>
    <row r="139" spans="2:13">
      <c r="B139" s="819" t="s">
        <v>2459</v>
      </c>
      <c r="E139" s="493">
        <f>+E136</f>
        <v>150</v>
      </c>
      <c r="F139" s="476">
        <f>VLOOKUP(B139,Cotizaciones!B:D,3,0)</f>
        <v>1192.43</v>
      </c>
      <c r="G139" s="473">
        <f t="shared" si="15"/>
        <v>1214.9852603783072</v>
      </c>
      <c r="H139" s="473">
        <f t="shared" si="16"/>
        <v>182247.78905674609</v>
      </c>
    </row>
    <row r="140" spans="2:13">
      <c r="B140" s="16" t="s">
        <v>2464</v>
      </c>
      <c r="E140" s="493">
        <f>+Locales!CM144</f>
        <v>16</v>
      </c>
      <c r="I140" s="16">
        <f>+SUM(H141:H143)</f>
        <v>62628.407888052578</v>
      </c>
      <c r="J140" s="16">
        <f>+I140/E140</f>
        <v>3914.2754930032861</v>
      </c>
    </row>
    <row r="141" spans="2:13">
      <c r="B141" s="818" t="s">
        <v>916</v>
      </c>
      <c r="E141" s="493">
        <f>+E140</f>
        <v>16</v>
      </c>
      <c r="F141" s="476">
        <f>VLOOKUP(B141,Cotizaciones!B:D,3,0)</f>
        <v>2202.02</v>
      </c>
      <c r="G141" s="473">
        <f t="shared" ref="G141:G143" si="17">+F141*$G$3</f>
        <v>2243.6720336273324</v>
      </c>
      <c r="H141" s="473">
        <f t="shared" ref="H141:H143" si="18">+E141*G141</f>
        <v>35898.752538037319</v>
      </c>
    </row>
    <row r="142" spans="2:13">
      <c r="B142" s="819" t="s">
        <v>2458</v>
      </c>
      <c r="E142" s="493">
        <f>+E140</f>
        <v>16</v>
      </c>
      <c r="F142" s="476">
        <f>VLOOKUP(B142,Cotizaciones!B:D,3,0)</f>
        <v>447.16</v>
      </c>
      <c r="G142" s="473">
        <f t="shared" si="17"/>
        <v>455.61819899764674</v>
      </c>
      <c r="H142" s="473">
        <f t="shared" si="18"/>
        <v>7289.8911839623479</v>
      </c>
    </row>
    <row r="143" spans="2:13">
      <c r="B143" s="819" t="s">
        <v>2459</v>
      </c>
      <c r="E143" s="493">
        <f>+E140</f>
        <v>16</v>
      </c>
      <c r="F143" s="476">
        <f>VLOOKUP(B143,Cotizaciones!B:D,3,0)</f>
        <v>1192.43</v>
      </c>
      <c r="G143" s="473">
        <f t="shared" si="17"/>
        <v>1214.9852603783072</v>
      </c>
      <c r="H143" s="473">
        <f t="shared" si="18"/>
        <v>19439.764166052915</v>
      </c>
    </row>
    <row r="144" spans="2:13">
      <c r="B144" s="16" t="s">
        <v>2465</v>
      </c>
      <c r="E144" s="493">
        <f>+Locales!CK144</f>
        <v>19</v>
      </c>
      <c r="I144" s="16">
        <f>+SUM(H145:H147)</f>
        <v>25777.998579101473</v>
      </c>
      <c r="J144" s="16">
        <f>+I144/E144</f>
        <v>1356.7367673211302</v>
      </c>
    </row>
    <row r="145" spans="2:10">
      <c r="B145" s="818" t="s">
        <v>2466</v>
      </c>
      <c r="E145" s="493">
        <f>+$E$144</f>
        <v>19</v>
      </c>
      <c r="F145" s="476">
        <f>VLOOKUP(B145,Cotizaciones!B:D,3,0)</f>
        <v>437.23</v>
      </c>
      <c r="G145" s="473">
        <f t="shared" ref="G145:G147" si="19">+F145*$G$3</f>
        <v>445.50036932583657</v>
      </c>
      <c r="H145" s="473">
        <f t="shared" ref="H145:H147" si="20">+E145*G145</f>
        <v>8464.5070171908956</v>
      </c>
    </row>
    <row r="146" spans="2:10">
      <c r="B146" s="819" t="s">
        <v>2467</v>
      </c>
      <c r="E146" s="493">
        <v>0</v>
      </c>
      <c r="F146" s="476">
        <f>VLOOKUP(B146,Cotizaciones!B:D,3,0)</f>
        <v>2202.02</v>
      </c>
      <c r="G146" s="473">
        <f t="shared" si="19"/>
        <v>2243.6720336273324</v>
      </c>
      <c r="H146" s="473">
        <f t="shared" si="20"/>
        <v>0</v>
      </c>
    </row>
    <row r="147" spans="2:10">
      <c r="B147" s="819" t="s">
        <v>2468</v>
      </c>
      <c r="E147" s="493">
        <f>+$E$144</f>
        <v>19</v>
      </c>
      <c r="F147" s="476">
        <f>VLOOKUP(B147,Cotizaciones!B:D,3,0)</f>
        <v>894.32</v>
      </c>
      <c r="G147" s="473">
        <f t="shared" si="19"/>
        <v>911.23639799529349</v>
      </c>
      <c r="H147" s="473">
        <f t="shared" si="20"/>
        <v>17313.491561910578</v>
      </c>
    </row>
    <row r="148" spans="2:10">
      <c r="B148" s="16" t="s">
        <v>492</v>
      </c>
      <c r="E148" s="493">
        <f>+Locales!CR144</f>
        <v>46</v>
      </c>
      <c r="I148" s="16">
        <f>+SUM(H149:H151)</f>
        <v>76847.759131293889</v>
      </c>
      <c r="J148" s="16">
        <f>+I148/E148</f>
        <v>1670.6034593759541</v>
      </c>
    </row>
    <row r="149" spans="2:10">
      <c r="B149" s="818" t="s">
        <v>2462</v>
      </c>
      <c r="E149" s="493">
        <v>0</v>
      </c>
      <c r="F149" s="476">
        <f>VLOOKUP(B149,Cotizaciones!B:D,3,0)</f>
        <v>2037.07</v>
      </c>
      <c r="G149" s="473">
        <f t="shared" ref="G149:G151" si="21">+F149*$G$3</f>
        <v>2075.6019425533054</v>
      </c>
      <c r="H149" s="473">
        <f t="shared" ref="H149:H151" si="22">+E149*G149</f>
        <v>0</v>
      </c>
    </row>
    <row r="150" spans="2:10">
      <c r="B150" s="819" t="s">
        <v>2458</v>
      </c>
      <c r="E150" s="493">
        <f>+E148</f>
        <v>46</v>
      </c>
      <c r="F150" s="476">
        <f>VLOOKUP(B150,Cotizaciones!B:D,3,0)</f>
        <v>447.16</v>
      </c>
      <c r="G150" s="473">
        <f t="shared" si="21"/>
        <v>455.61819899764674</v>
      </c>
      <c r="H150" s="473">
        <f t="shared" si="22"/>
        <v>20958.437153891751</v>
      </c>
    </row>
    <row r="151" spans="2:10">
      <c r="B151" s="819" t="s">
        <v>2459</v>
      </c>
      <c r="E151" s="493">
        <f>+E148</f>
        <v>46</v>
      </c>
      <c r="F151" s="476">
        <f>VLOOKUP(B151,Cotizaciones!B:D,3,0)</f>
        <v>1192.43</v>
      </c>
      <c r="G151" s="473">
        <f t="shared" si="21"/>
        <v>1214.9852603783072</v>
      </c>
      <c r="H151" s="473">
        <f t="shared" si="22"/>
        <v>55889.321977402135</v>
      </c>
    </row>
    <row r="152" spans="2:10">
      <c r="I152" s="113">
        <f>+SUM(I128:I151)</f>
        <v>2952724.076651874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0FB9-E396-4351-B348-D625193E8F20}">
  <sheetPr>
    <tabColor rgb="FF92D050"/>
  </sheetPr>
  <dimension ref="A1:K499"/>
  <sheetViews>
    <sheetView topLeftCell="A23" workbookViewId="0">
      <selection activeCell="B16" sqref="B16"/>
    </sheetView>
  </sheetViews>
  <sheetFormatPr defaultColWidth="11.54296875" defaultRowHeight="13" outlineLevelRow="2"/>
  <cols>
    <col min="1" max="1" width="3.1796875" style="276" customWidth="1"/>
    <col min="2" max="2" width="99.7265625" style="276" customWidth="1"/>
    <col min="3" max="3" width="7.7265625" style="318" bestFit="1" customWidth="1"/>
    <col min="4" max="4" width="13.453125" style="1" bestFit="1" customWidth="1"/>
    <col min="5" max="5" width="18.54296875" style="318" customWidth="1"/>
    <col min="6" max="6" width="10.54296875" style="276" bestFit="1" customWidth="1"/>
    <col min="7" max="7" width="17.1796875" style="276" customWidth="1"/>
    <col min="8" max="8" width="12.453125" style="276" customWidth="1"/>
    <col min="9" max="9" width="10.54296875" style="276" bestFit="1" customWidth="1"/>
    <col min="10" max="10" width="11" style="276" bestFit="1" customWidth="1"/>
    <col min="11" max="11" width="10" style="276" bestFit="1" customWidth="1"/>
    <col min="12" max="15" width="102.1796875" style="276" customWidth="1"/>
    <col min="16" max="16384" width="11.54296875" style="276"/>
  </cols>
  <sheetData>
    <row r="1" spans="2:9">
      <c r="I1" s="319">
        <f>+GGBB!H2</f>
        <v>45590</v>
      </c>
    </row>
    <row r="2" spans="2:9">
      <c r="B2" s="623" t="s">
        <v>745</v>
      </c>
      <c r="C2" s="624" t="s">
        <v>508</v>
      </c>
      <c r="D2" s="466" t="s">
        <v>771</v>
      </c>
      <c r="E2" s="624" t="s">
        <v>772</v>
      </c>
      <c r="F2" s="862" t="s">
        <v>21</v>
      </c>
      <c r="H2" s="318" t="s">
        <v>30</v>
      </c>
      <c r="I2" s="318" t="s">
        <v>1</v>
      </c>
    </row>
    <row r="3" spans="2:9">
      <c r="B3" s="623" t="s">
        <v>773</v>
      </c>
      <c r="C3" s="624"/>
      <c r="D3" s="400"/>
      <c r="E3" s="624"/>
      <c r="F3" s="630"/>
      <c r="H3" s="863">
        <f>+GGBB!G4</f>
        <v>1005</v>
      </c>
      <c r="I3" s="863">
        <f>+GGBB!H4</f>
        <v>1170</v>
      </c>
    </row>
    <row r="4" spans="2:9" outlineLevel="1">
      <c r="B4" s="461" t="s">
        <v>774</v>
      </c>
      <c r="C4" s="462" t="s">
        <v>4</v>
      </c>
      <c r="D4" s="853">
        <f>12825.98/1.21</f>
        <v>10599.98347107438</v>
      </c>
      <c r="E4" s="131" t="s">
        <v>777</v>
      </c>
      <c r="F4" s="626">
        <v>45588</v>
      </c>
    </row>
    <row r="5" spans="2:9" outlineLevel="1">
      <c r="B5" s="129" t="s">
        <v>775</v>
      </c>
      <c r="C5" s="131" t="s">
        <v>776</v>
      </c>
      <c r="D5" s="851">
        <f>323093.01/1.21</f>
        <v>267019.01652892563</v>
      </c>
      <c r="E5" s="131" t="s">
        <v>777</v>
      </c>
      <c r="F5" s="627">
        <v>45588</v>
      </c>
    </row>
    <row r="6" spans="2:9" outlineLevel="1">
      <c r="B6" s="129" t="s">
        <v>778</v>
      </c>
      <c r="C6" s="131" t="s">
        <v>776</v>
      </c>
      <c r="D6" s="851">
        <f>31763.25/1.21</f>
        <v>26250.619834710746</v>
      </c>
      <c r="E6" s="131" t="s">
        <v>777</v>
      </c>
      <c r="F6" s="627">
        <v>45588</v>
      </c>
    </row>
    <row r="7" spans="2:9" outlineLevel="1">
      <c r="B7" s="129" t="s">
        <v>204</v>
      </c>
      <c r="C7" s="131" t="s">
        <v>776</v>
      </c>
      <c r="D7" s="851">
        <f>98627.04/1.21</f>
        <v>81509.950413223138</v>
      </c>
      <c r="E7" s="131" t="s">
        <v>777</v>
      </c>
      <c r="F7" s="627">
        <v>45588</v>
      </c>
    </row>
    <row r="8" spans="2:9" outlineLevel="1">
      <c r="B8" s="129" t="s">
        <v>205</v>
      </c>
      <c r="C8" s="131" t="s">
        <v>77</v>
      </c>
      <c r="D8" s="851">
        <f>14679.19/1.21</f>
        <v>12131.561983471076</v>
      </c>
      <c r="E8" s="131" t="s">
        <v>777</v>
      </c>
      <c r="F8" s="627">
        <v>45588</v>
      </c>
    </row>
    <row r="9" spans="2:9" outlineLevel="1">
      <c r="B9" s="129" t="s">
        <v>266</v>
      </c>
      <c r="C9" s="131" t="s">
        <v>77</v>
      </c>
      <c r="D9" s="851">
        <f>55733.05/1.21</f>
        <v>46060.371900826452</v>
      </c>
      <c r="E9" s="131" t="s">
        <v>777</v>
      </c>
      <c r="F9" s="627">
        <v>45588</v>
      </c>
    </row>
    <row r="10" spans="2:9" outlineLevel="1">
      <c r="B10" s="649" t="s">
        <v>779</v>
      </c>
      <c r="C10" s="131" t="s">
        <v>77</v>
      </c>
      <c r="D10" s="851">
        <f>21053.99/1.21</f>
        <v>17399.991735537191</v>
      </c>
      <c r="E10" s="131" t="s">
        <v>777</v>
      </c>
      <c r="F10" s="627">
        <v>45588</v>
      </c>
    </row>
    <row r="11" spans="2:9" outlineLevel="1">
      <c r="B11" s="649" t="s">
        <v>780</v>
      </c>
      <c r="C11" s="131" t="s">
        <v>77</v>
      </c>
      <c r="D11" s="851">
        <f>25642.6/1.21</f>
        <v>21192.231404958678</v>
      </c>
      <c r="E11" s="131" t="s">
        <v>777</v>
      </c>
      <c r="F11" s="627">
        <v>45588</v>
      </c>
    </row>
    <row r="12" spans="2:9" outlineLevel="1">
      <c r="B12" s="649" t="s">
        <v>761</v>
      </c>
      <c r="C12" s="131" t="s">
        <v>77</v>
      </c>
      <c r="D12" s="851">
        <f>24557.6/1.21</f>
        <v>20295.537190082643</v>
      </c>
      <c r="E12" s="131" t="s">
        <v>777</v>
      </c>
      <c r="F12" s="627">
        <v>45588</v>
      </c>
    </row>
    <row r="13" spans="2:9" outlineLevel="1">
      <c r="B13" s="649" t="s">
        <v>753</v>
      </c>
      <c r="C13" s="131" t="s">
        <v>77</v>
      </c>
      <c r="D13" s="851">
        <f>29947.27/1.21</f>
        <v>24749.809917355375</v>
      </c>
      <c r="E13" s="131" t="s">
        <v>777</v>
      </c>
      <c r="F13" s="627">
        <v>45588</v>
      </c>
    </row>
    <row r="14" spans="2:9" outlineLevel="1">
      <c r="B14" s="649" t="s">
        <v>767</v>
      </c>
      <c r="C14" s="131" t="s">
        <v>77</v>
      </c>
      <c r="D14" s="851">
        <f>42498.43/1.21</f>
        <v>35122.669421487604</v>
      </c>
      <c r="E14" s="131" t="s">
        <v>777</v>
      </c>
      <c r="F14" s="627">
        <v>45588</v>
      </c>
    </row>
    <row r="15" spans="2:9" outlineLevel="1">
      <c r="B15" s="649" t="s">
        <v>1508</v>
      </c>
      <c r="C15" s="774" t="s">
        <v>77</v>
      </c>
      <c r="D15" s="851">
        <f>45382.84/1.21</f>
        <v>37506.479338842975</v>
      </c>
      <c r="E15" s="131" t="s">
        <v>777</v>
      </c>
      <c r="F15" s="627">
        <v>45588</v>
      </c>
      <c r="H15" s="296">
        <f>+D15/D13</f>
        <v>1.5154249452454263</v>
      </c>
    </row>
    <row r="16" spans="2:9" outlineLevel="1">
      <c r="B16" s="650" t="s">
        <v>279</v>
      </c>
      <c r="C16" s="628" t="s">
        <v>77</v>
      </c>
      <c r="D16" s="851">
        <f>12662.63/1.21</f>
        <v>10464.98347107438</v>
      </c>
      <c r="E16" s="628" t="s">
        <v>777</v>
      </c>
      <c r="F16" s="627">
        <v>45588</v>
      </c>
    </row>
    <row r="17" spans="2:11">
      <c r="B17" s="623" t="s">
        <v>781</v>
      </c>
      <c r="C17" s="624"/>
      <c r="D17" s="400"/>
      <c r="E17" s="624"/>
      <c r="F17" s="630"/>
    </row>
    <row r="18" spans="2:11" outlineLevel="1">
      <c r="B18" s="261" t="s">
        <v>782</v>
      </c>
      <c r="C18" s="631" t="s">
        <v>783</v>
      </c>
      <c r="D18" s="853">
        <v>26322.68</v>
      </c>
      <c r="E18" s="131" t="s">
        <v>1738</v>
      </c>
      <c r="F18" s="627">
        <v>45586</v>
      </c>
    </row>
    <row r="19" spans="2:11" outlineLevel="1">
      <c r="B19" s="685" t="s">
        <v>784</v>
      </c>
      <c r="C19" s="849" t="s">
        <v>783</v>
      </c>
      <c r="D19" s="851">
        <v>51752.74</v>
      </c>
      <c r="E19" s="131" t="s">
        <v>1738</v>
      </c>
      <c r="F19" s="627">
        <v>45586</v>
      </c>
    </row>
    <row r="20" spans="2:11" outlineLevel="1">
      <c r="B20" s="129" t="s">
        <v>295</v>
      </c>
      <c r="C20" s="131" t="s">
        <v>77</v>
      </c>
      <c r="D20" s="851">
        <f>539.43*3.6</f>
        <v>1941.9479999999999</v>
      </c>
      <c r="E20" s="131" t="s">
        <v>1738</v>
      </c>
      <c r="F20" s="627">
        <v>45586</v>
      </c>
      <c r="K20" s="1"/>
    </row>
    <row r="21" spans="2:11" outlineLevel="1">
      <c r="B21" s="553" t="s">
        <v>296</v>
      </c>
      <c r="C21" s="628" t="s">
        <v>77</v>
      </c>
      <c r="D21" s="852">
        <f>1213.73*3.6</f>
        <v>4369.4279999999999</v>
      </c>
      <c r="E21" s="131" t="s">
        <v>1738</v>
      </c>
      <c r="F21" s="627">
        <v>45586</v>
      </c>
    </row>
    <row r="22" spans="2:11">
      <c r="B22" s="623" t="s">
        <v>786</v>
      </c>
      <c r="C22" s="624"/>
      <c r="D22" s="400"/>
      <c r="E22" s="624"/>
      <c r="F22" s="625"/>
    </row>
    <row r="23" spans="2:11" outlineLevel="1">
      <c r="B23" s="461" t="s">
        <v>1759</v>
      </c>
      <c r="C23" s="462" t="s">
        <v>66</v>
      </c>
      <c r="D23" s="850">
        <v>115100</v>
      </c>
      <c r="E23" s="462" t="s">
        <v>787</v>
      </c>
      <c r="F23" s="626">
        <v>45566</v>
      </c>
    </row>
    <row r="24" spans="2:11" outlineLevel="2">
      <c r="B24" s="129" t="s">
        <v>255</v>
      </c>
      <c r="C24" s="131" t="s">
        <v>66</v>
      </c>
      <c r="D24" s="851">
        <v>125000</v>
      </c>
      <c r="E24" s="131" t="s">
        <v>787</v>
      </c>
      <c r="F24" s="627">
        <v>45566</v>
      </c>
    </row>
    <row r="25" spans="2:11" outlineLevel="2">
      <c r="B25" s="129" t="s">
        <v>788</v>
      </c>
      <c r="C25" s="131" t="s">
        <v>66</v>
      </c>
      <c r="D25" s="851">
        <f>130100-D24</f>
        <v>5100</v>
      </c>
      <c r="E25" s="131" t="s">
        <v>787</v>
      </c>
      <c r="F25" s="627">
        <v>45566</v>
      </c>
    </row>
    <row r="26" spans="2:11" outlineLevel="2">
      <c r="B26" s="129" t="s">
        <v>789</v>
      </c>
      <c r="C26" s="131" t="s">
        <v>54</v>
      </c>
      <c r="D26" s="851">
        <v>533000</v>
      </c>
      <c r="E26" s="131" t="s">
        <v>787</v>
      </c>
      <c r="F26" s="627">
        <v>45566</v>
      </c>
    </row>
    <row r="27" spans="2:11" outlineLevel="2">
      <c r="B27" s="129" t="s">
        <v>790</v>
      </c>
      <c r="C27" s="131" t="s">
        <v>66</v>
      </c>
      <c r="D27" s="851">
        <v>5330</v>
      </c>
      <c r="E27" s="131" t="s">
        <v>787</v>
      </c>
      <c r="F27" s="627">
        <v>45566</v>
      </c>
    </row>
    <row r="28" spans="2:11" outlineLevel="2">
      <c r="B28" s="129" t="s">
        <v>791</v>
      </c>
      <c r="C28" s="131" t="s">
        <v>66</v>
      </c>
      <c r="D28" s="851">
        <v>1500</v>
      </c>
      <c r="E28" s="131" t="s">
        <v>787</v>
      </c>
      <c r="F28" s="627">
        <v>45566</v>
      </c>
    </row>
    <row r="29" spans="2:11" outlineLevel="2">
      <c r="B29" s="553" t="s">
        <v>792</v>
      </c>
      <c r="C29" s="628" t="s">
        <v>66</v>
      </c>
      <c r="D29" s="852">
        <f>147200-D24</f>
        <v>22200</v>
      </c>
      <c r="E29" s="628" t="s">
        <v>787</v>
      </c>
      <c r="F29" s="629">
        <v>45566</v>
      </c>
      <c r="H29" s="318"/>
      <c r="I29" s="318"/>
    </row>
    <row r="30" spans="2:11">
      <c r="B30" s="623" t="s">
        <v>793</v>
      </c>
      <c r="C30" s="624"/>
      <c r="D30" s="400"/>
      <c r="E30" s="624"/>
      <c r="F30" s="625"/>
      <c r="H30" s="318"/>
      <c r="I30" s="318"/>
    </row>
    <row r="31" spans="2:11" outlineLevel="1">
      <c r="B31" s="461" t="s">
        <v>794</v>
      </c>
      <c r="C31" s="462" t="s">
        <v>257</v>
      </c>
      <c r="D31" s="850">
        <v>1704.41</v>
      </c>
      <c r="E31" s="462" t="s">
        <v>1749</v>
      </c>
      <c r="F31" s="626">
        <v>45575</v>
      </c>
      <c r="H31" s="866">
        <f>+D31/D38</f>
        <v>1.2031950415440114</v>
      </c>
      <c r="I31" s="318"/>
    </row>
    <row r="32" spans="2:11" outlineLevel="1">
      <c r="B32" s="129" t="s">
        <v>795</v>
      </c>
      <c r="C32" s="131" t="s">
        <v>257</v>
      </c>
      <c r="D32" s="851">
        <v>1585.51</v>
      </c>
      <c r="E32" s="131" t="s">
        <v>1749</v>
      </c>
      <c r="F32" s="627">
        <v>45575</v>
      </c>
      <c r="H32" s="866">
        <f t="shared" ref="H32:H37" si="0">+D32/D39</f>
        <v>1.1718910528844377</v>
      </c>
      <c r="I32" s="318"/>
    </row>
    <row r="33" spans="2:11" outlineLevel="1">
      <c r="B33" s="129" t="s">
        <v>256</v>
      </c>
      <c r="C33" s="131" t="s">
        <v>257</v>
      </c>
      <c r="D33" s="851">
        <v>1559.02</v>
      </c>
      <c r="E33" s="131" t="s">
        <v>1749</v>
      </c>
      <c r="F33" s="627">
        <v>45575</v>
      </c>
      <c r="H33" s="866">
        <f t="shared" si="0"/>
        <v>1.1523116153590303</v>
      </c>
      <c r="I33" s="318"/>
    </row>
    <row r="34" spans="2:11" outlineLevel="1">
      <c r="B34" s="129" t="s">
        <v>796</v>
      </c>
      <c r="C34" s="131" t="s">
        <v>257</v>
      </c>
      <c r="D34" s="851">
        <v>1522.98</v>
      </c>
      <c r="E34" s="131" t="s">
        <v>1749</v>
      </c>
      <c r="F34" s="627">
        <v>45575</v>
      </c>
      <c r="H34" s="866">
        <f t="shared" si="0"/>
        <v>1.1327735092638735</v>
      </c>
      <c r="I34" s="318"/>
    </row>
    <row r="35" spans="2:11" outlineLevel="1">
      <c r="B35" s="129" t="s">
        <v>797</v>
      </c>
      <c r="C35" s="131" t="s">
        <v>257</v>
      </c>
      <c r="D35" s="851">
        <v>1492.12</v>
      </c>
      <c r="E35" s="131" t="s">
        <v>1749</v>
      </c>
      <c r="F35" s="627">
        <v>45575</v>
      </c>
      <c r="H35" s="866">
        <f t="shared" si="0"/>
        <v>1.1275238786120179</v>
      </c>
      <c r="I35" s="318"/>
    </row>
    <row r="36" spans="2:11" outlineLevel="1">
      <c r="B36" s="129" t="s">
        <v>798</v>
      </c>
      <c r="C36" s="131" t="s">
        <v>257</v>
      </c>
      <c r="D36" s="851">
        <v>1483.53</v>
      </c>
      <c r="E36" s="131" t="s">
        <v>1749</v>
      </c>
      <c r="F36" s="627">
        <v>45575</v>
      </c>
      <c r="H36" s="866">
        <f t="shared" si="0"/>
        <v>1.1211175430376494</v>
      </c>
      <c r="I36" s="318"/>
    </row>
    <row r="37" spans="2:11" outlineLevel="1">
      <c r="B37" s="555" t="s">
        <v>799</v>
      </c>
      <c r="C37" s="774" t="s">
        <v>257</v>
      </c>
      <c r="D37" s="864">
        <f>+D36</f>
        <v>1483.53</v>
      </c>
      <c r="E37" s="774" t="s">
        <v>1749</v>
      </c>
      <c r="F37" s="627">
        <v>45575</v>
      </c>
      <c r="H37" s="866">
        <f t="shared" si="0"/>
        <v>1.1211175430376494</v>
      </c>
      <c r="I37" s="318"/>
    </row>
    <row r="38" spans="2:11" outlineLevel="1">
      <c r="B38" s="461" t="s">
        <v>794</v>
      </c>
      <c r="C38" s="462" t="s">
        <v>257</v>
      </c>
      <c r="D38" s="850">
        <v>1416.57</v>
      </c>
      <c r="E38" s="462" t="s">
        <v>1760</v>
      </c>
      <c r="F38" s="626">
        <v>45572</v>
      </c>
    </row>
    <row r="39" spans="2:11" outlineLevel="1">
      <c r="B39" s="129" t="s">
        <v>795</v>
      </c>
      <c r="C39" s="131" t="s">
        <v>257</v>
      </c>
      <c r="D39" s="851">
        <v>1352.95</v>
      </c>
      <c r="E39" s="131" t="s">
        <v>1760</v>
      </c>
      <c r="F39" s="627">
        <v>45572</v>
      </c>
    </row>
    <row r="40" spans="2:11" outlineLevel="1">
      <c r="B40" s="129" t="s">
        <v>256</v>
      </c>
      <c r="C40" s="131" t="s">
        <v>257</v>
      </c>
      <c r="D40" s="851">
        <v>1352.95</v>
      </c>
      <c r="E40" s="131" t="s">
        <v>1760</v>
      </c>
      <c r="F40" s="627">
        <v>45572</v>
      </c>
    </row>
    <row r="41" spans="2:11" outlineLevel="1">
      <c r="B41" s="129" t="s">
        <v>796</v>
      </c>
      <c r="C41" s="131" t="s">
        <v>257</v>
      </c>
      <c r="D41" s="851">
        <v>1344.47</v>
      </c>
      <c r="E41" s="131" t="s">
        <v>1760</v>
      </c>
      <c r="F41" s="627">
        <v>45572</v>
      </c>
    </row>
    <row r="42" spans="2:11" outlineLevel="1">
      <c r="B42" s="129" t="s">
        <v>797</v>
      </c>
      <c r="C42" s="131" t="s">
        <v>257</v>
      </c>
      <c r="D42" s="851">
        <v>1323.36</v>
      </c>
      <c r="E42" s="131" t="s">
        <v>1760</v>
      </c>
      <c r="F42" s="627">
        <v>45572</v>
      </c>
    </row>
    <row r="43" spans="2:11" outlineLevel="1">
      <c r="B43" s="129" t="s">
        <v>798</v>
      </c>
      <c r="C43" s="131" t="s">
        <v>257</v>
      </c>
      <c r="D43" s="851">
        <v>1323.26</v>
      </c>
      <c r="E43" s="131" t="s">
        <v>1760</v>
      </c>
      <c r="F43" s="627">
        <v>45572</v>
      </c>
    </row>
    <row r="44" spans="2:11" outlineLevel="1">
      <c r="B44" s="553" t="s">
        <v>799</v>
      </c>
      <c r="C44" s="628" t="s">
        <v>257</v>
      </c>
      <c r="D44" s="852">
        <f>+D43</f>
        <v>1323.26</v>
      </c>
      <c r="E44" s="131" t="s">
        <v>1760</v>
      </c>
      <c r="F44" s="629">
        <v>45572</v>
      </c>
    </row>
    <row r="45" spans="2:11">
      <c r="B45" s="623" t="s">
        <v>800</v>
      </c>
      <c r="C45" s="624"/>
      <c r="D45" s="400"/>
      <c r="E45" s="624"/>
      <c r="F45" s="625"/>
      <c r="K45" s="318" t="s">
        <v>801</v>
      </c>
    </row>
    <row r="46" spans="2:11" outlineLevel="1">
      <c r="B46" s="461" t="s">
        <v>802</v>
      </c>
      <c r="C46" s="462" t="s">
        <v>77</v>
      </c>
      <c r="D46" s="850">
        <f>+G46*$K$48</f>
        <v>73872.139857742732</v>
      </c>
      <c r="E46" s="462" t="s">
        <v>803</v>
      </c>
      <c r="F46" s="626">
        <v>45588</v>
      </c>
      <c r="G46" s="1">
        <v>60000</v>
      </c>
      <c r="H46" s="319">
        <v>45387</v>
      </c>
      <c r="J46" s="865">
        <v>45352</v>
      </c>
      <c r="K46" s="117">
        <v>11669</v>
      </c>
    </row>
    <row r="47" spans="2:11" outlineLevel="1">
      <c r="B47" s="553" t="s">
        <v>804</v>
      </c>
      <c r="C47" s="628" t="s">
        <v>77</v>
      </c>
      <c r="D47" s="851">
        <f>+G47*$K$48</f>
        <v>12312.02330962379</v>
      </c>
      <c r="E47" s="628" t="s">
        <v>803</v>
      </c>
      <c r="F47" s="629">
        <v>45588</v>
      </c>
      <c r="G47" s="1">
        <v>10000</v>
      </c>
      <c r="H47" s="319">
        <v>45387</v>
      </c>
      <c r="J47" s="865">
        <v>45536</v>
      </c>
      <c r="K47" s="117">
        <v>14366.9</v>
      </c>
    </row>
    <row r="48" spans="2:11">
      <c r="B48" s="623" t="s">
        <v>191</v>
      </c>
      <c r="C48" s="624"/>
      <c r="D48" s="400"/>
      <c r="E48" s="624"/>
      <c r="F48" s="625"/>
      <c r="J48" s="277"/>
      <c r="K48" s="119">
        <f>+K47/K46</f>
        <v>1.231202330962379</v>
      </c>
    </row>
    <row r="49" spans="2:11" outlineLevel="1">
      <c r="B49" s="461" t="s">
        <v>805</v>
      </c>
      <c r="C49" s="462" t="s">
        <v>77</v>
      </c>
      <c r="D49" s="850">
        <v>3502.8</v>
      </c>
      <c r="E49" s="462" t="s">
        <v>806</v>
      </c>
      <c r="F49" s="626">
        <v>45572</v>
      </c>
      <c r="G49" s="1"/>
    </row>
    <row r="50" spans="2:11" outlineLevel="1">
      <c r="B50" s="129" t="s">
        <v>807</v>
      </c>
      <c r="C50" s="131" t="s">
        <v>208</v>
      </c>
      <c r="D50" s="851">
        <v>35708.400000000001</v>
      </c>
      <c r="E50" s="131" t="s">
        <v>806</v>
      </c>
      <c r="F50" s="627">
        <v>45572</v>
      </c>
      <c r="J50" s="1"/>
      <c r="K50" s="643"/>
    </row>
    <row r="51" spans="2:11" outlineLevel="1">
      <c r="B51" s="129" t="s">
        <v>808</v>
      </c>
      <c r="C51" s="131" t="s">
        <v>77</v>
      </c>
      <c r="D51" s="658">
        <v>417.3</v>
      </c>
      <c r="E51" s="131" t="s">
        <v>806</v>
      </c>
      <c r="F51" s="627">
        <v>45461</v>
      </c>
    </row>
    <row r="52" spans="2:11" outlineLevel="1">
      <c r="B52" s="129" t="s">
        <v>809</v>
      </c>
      <c r="C52" s="131" t="s">
        <v>253</v>
      </c>
      <c r="D52" s="851">
        <v>15474.06</v>
      </c>
      <c r="E52" s="131" t="s">
        <v>806</v>
      </c>
      <c r="F52" s="627">
        <v>45572</v>
      </c>
    </row>
    <row r="53" spans="2:11" outlineLevel="1">
      <c r="B53" s="129" t="s">
        <v>810</v>
      </c>
      <c r="C53" s="131" t="s">
        <v>253</v>
      </c>
      <c r="D53" s="851">
        <v>6694.38</v>
      </c>
      <c r="E53" s="131" t="s">
        <v>806</v>
      </c>
      <c r="F53" s="627">
        <v>45572</v>
      </c>
    </row>
    <row r="54" spans="2:11" outlineLevel="1">
      <c r="B54" s="129" t="s">
        <v>811</v>
      </c>
      <c r="C54" s="131" t="s">
        <v>77</v>
      </c>
      <c r="D54" s="851">
        <v>1159.2</v>
      </c>
      <c r="E54" s="131" t="s">
        <v>806</v>
      </c>
      <c r="F54" s="627">
        <v>45572</v>
      </c>
    </row>
    <row r="55" spans="2:11" outlineLevel="1">
      <c r="B55" s="129" t="s">
        <v>812</v>
      </c>
      <c r="C55" s="131" t="s">
        <v>263</v>
      </c>
      <c r="D55" s="851">
        <v>124738</v>
      </c>
      <c r="E55" s="131" t="s">
        <v>1761</v>
      </c>
      <c r="F55" s="627">
        <v>45588</v>
      </c>
      <c r="H55" s="276" t="s">
        <v>813</v>
      </c>
    </row>
    <row r="56" spans="2:11" outlineLevel="1">
      <c r="B56" s="129" t="s">
        <v>269</v>
      </c>
      <c r="C56" s="131" t="s">
        <v>56</v>
      </c>
      <c r="D56" s="851">
        <v>2532.6</v>
      </c>
      <c r="E56" s="131" t="s">
        <v>806</v>
      </c>
      <c r="F56" s="627">
        <v>45572</v>
      </c>
    </row>
    <row r="57" spans="2:11" outlineLevel="1">
      <c r="B57" s="651" t="s">
        <v>615</v>
      </c>
      <c r="C57" s="131" t="s">
        <v>56</v>
      </c>
      <c r="D57" s="851">
        <v>10337.35</v>
      </c>
      <c r="E57" s="131" t="s">
        <v>806</v>
      </c>
      <c r="F57" s="627">
        <v>45572</v>
      </c>
    </row>
    <row r="58" spans="2:11" outlineLevel="1">
      <c r="B58" s="129" t="s">
        <v>614</v>
      </c>
      <c r="C58" s="131" t="s">
        <v>208</v>
      </c>
      <c r="D58" s="851">
        <v>27000</v>
      </c>
      <c r="E58" s="131" t="s">
        <v>806</v>
      </c>
      <c r="F58" s="627">
        <v>45572</v>
      </c>
    </row>
    <row r="59" spans="2:11" outlineLevel="1">
      <c r="B59" s="129" t="s">
        <v>612</v>
      </c>
      <c r="C59" s="131" t="s">
        <v>208</v>
      </c>
      <c r="D59" s="851">
        <v>70192.210000000006</v>
      </c>
      <c r="E59" s="131" t="s">
        <v>806</v>
      </c>
      <c r="F59" s="627">
        <v>45572</v>
      </c>
    </row>
    <row r="60" spans="2:11" outlineLevel="1">
      <c r="B60" s="129" t="s">
        <v>613</v>
      </c>
      <c r="C60" s="131" t="s">
        <v>253</v>
      </c>
      <c r="D60" s="851">
        <v>53805.78</v>
      </c>
      <c r="E60" s="131" t="s">
        <v>806</v>
      </c>
      <c r="F60" s="627">
        <v>45572</v>
      </c>
    </row>
    <row r="61" spans="2:11" outlineLevel="1">
      <c r="B61" s="129" t="s">
        <v>287</v>
      </c>
      <c r="C61" s="131" t="s">
        <v>77</v>
      </c>
      <c r="D61" s="851">
        <v>75473.119999999995</v>
      </c>
      <c r="E61" s="131" t="s">
        <v>806</v>
      </c>
      <c r="F61" s="627">
        <v>45572</v>
      </c>
    </row>
    <row r="62" spans="2:11" outlineLevel="1">
      <c r="B62" s="129" t="s">
        <v>289</v>
      </c>
      <c r="C62" s="131" t="s">
        <v>253</v>
      </c>
      <c r="D62" s="851">
        <v>15474.06</v>
      </c>
      <c r="E62" s="131" t="s">
        <v>806</v>
      </c>
      <c r="F62" s="627">
        <v>45572</v>
      </c>
    </row>
    <row r="63" spans="2:11" outlineLevel="1">
      <c r="B63" s="129" t="s">
        <v>814</v>
      </c>
      <c r="C63" s="131" t="s">
        <v>77</v>
      </c>
      <c r="D63" s="658">
        <v>417.3</v>
      </c>
      <c r="E63" s="131" t="s">
        <v>806</v>
      </c>
      <c r="F63" s="627">
        <v>45366</v>
      </c>
    </row>
    <row r="64" spans="2:11" outlineLevel="1">
      <c r="B64" s="553" t="s">
        <v>252</v>
      </c>
      <c r="C64" s="628" t="s">
        <v>253</v>
      </c>
      <c r="D64" s="851">
        <v>7233.47</v>
      </c>
      <c r="E64" s="628" t="s">
        <v>806</v>
      </c>
      <c r="F64" s="629">
        <v>45572</v>
      </c>
    </row>
    <row r="65" spans="1:7">
      <c r="B65" s="623" t="s">
        <v>815</v>
      </c>
      <c r="C65" s="624"/>
      <c r="D65" s="400"/>
      <c r="E65" s="624"/>
      <c r="F65" s="625"/>
    </row>
    <row r="66" spans="1:7" outlineLevel="1">
      <c r="B66" s="461" t="s">
        <v>816</v>
      </c>
      <c r="C66" s="462" t="s">
        <v>208</v>
      </c>
      <c r="D66" s="851">
        <f>494587/1.21</f>
        <v>408749.58677685953</v>
      </c>
      <c r="E66" s="462" t="s">
        <v>785</v>
      </c>
      <c r="F66" s="626">
        <v>45588</v>
      </c>
    </row>
    <row r="67" spans="1:7" outlineLevel="1">
      <c r="B67" s="129" t="s">
        <v>817</v>
      </c>
      <c r="C67" s="131" t="s">
        <v>77</v>
      </c>
      <c r="D67" s="851">
        <f>140000/1.21</f>
        <v>115702.47933884298</v>
      </c>
      <c r="E67" s="131" t="s">
        <v>785</v>
      </c>
      <c r="F67" s="627">
        <v>45588</v>
      </c>
    </row>
    <row r="68" spans="1:7" outlineLevel="1">
      <c r="B68" s="553" t="s">
        <v>818</v>
      </c>
      <c r="C68" s="628" t="s">
        <v>77</v>
      </c>
      <c r="D68" s="851">
        <f>18957/1.21</f>
        <v>15666.94214876033</v>
      </c>
      <c r="E68" s="628" t="s">
        <v>819</v>
      </c>
      <c r="F68" s="627">
        <v>45588</v>
      </c>
    </row>
    <row r="69" spans="1:7">
      <c r="B69" s="623" t="s">
        <v>820</v>
      </c>
      <c r="C69" s="624"/>
      <c r="D69" s="400"/>
      <c r="E69" s="624"/>
      <c r="F69" s="625"/>
    </row>
    <row r="70" spans="1:7" outlineLevel="1">
      <c r="B70" s="461" t="s">
        <v>768</v>
      </c>
      <c r="C70" s="462" t="s">
        <v>77</v>
      </c>
      <c r="D70" s="851">
        <f>26800/1.21</f>
        <v>22148.760330578512</v>
      </c>
      <c r="E70" s="462" t="s">
        <v>785</v>
      </c>
      <c r="F70" s="627">
        <v>45588</v>
      </c>
    </row>
    <row r="71" spans="1:7" outlineLevel="1">
      <c r="B71" s="129" t="s">
        <v>764</v>
      </c>
      <c r="C71" s="131" t="s">
        <v>59</v>
      </c>
      <c r="D71" s="851">
        <f>7204/1.21</f>
        <v>5953.7190082644629</v>
      </c>
      <c r="E71" s="131" t="s">
        <v>1510</v>
      </c>
      <c r="F71" s="627">
        <v>45588</v>
      </c>
    </row>
    <row r="72" spans="1:7" outlineLevel="1">
      <c r="B72" s="809" t="s">
        <v>1719</v>
      </c>
      <c r="C72" s="131" t="s">
        <v>77</v>
      </c>
      <c r="D72" s="851">
        <f>58814/1.21</f>
        <v>48606.611570247936</v>
      </c>
      <c r="E72" s="131" t="s">
        <v>1717</v>
      </c>
      <c r="F72" s="627">
        <v>45588</v>
      </c>
      <c r="G72" s="844" t="s">
        <v>1716</v>
      </c>
    </row>
    <row r="73" spans="1:7" outlineLevel="1">
      <c r="B73" s="809" t="s">
        <v>1718</v>
      </c>
      <c r="C73" s="628" t="s">
        <v>77</v>
      </c>
      <c r="D73" s="851">
        <f>150282/1.21</f>
        <v>124200</v>
      </c>
      <c r="E73" s="131" t="s">
        <v>1721</v>
      </c>
      <c r="F73" s="627">
        <v>45588</v>
      </c>
      <c r="G73" s="844" t="s">
        <v>1720</v>
      </c>
    </row>
    <row r="74" spans="1:7">
      <c r="B74" s="652" t="s">
        <v>419</v>
      </c>
      <c r="C74" s="725"/>
      <c r="D74" s="726"/>
      <c r="E74" s="725"/>
      <c r="F74" s="727"/>
    </row>
    <row r="75" spans="1:7" outlineLevel="1">
      <c r="A75" s="620"/>
      <c r="B75" s="653" t="s">
        <v>822</v>
      </c>
      <c r="C75" s="654" t="s">
        <v>59</v>
      </c>
      <c r="D75" s="647">
        <v>31318.27</v>
      </c>
      <c r="E75" s="462" t="s">
        <v>823</v>
      </c>
      <c r="F75" s="626">
        <v>45510</v>
      </c>
    </row>
    <row r="76" spans="1:7" outlineLevel="1">
      <c r="A76" s="621"/>
      <c r="B76" s="655" t="s">
        <v>824</v>
      </c>
      <c r="C76" s="656" t="s">
        <v>59</v>
      </c>
      <c r="D76" s="647">
        <v>20265.34</v>
      </c>
      <c r="E76" s="131" t="s">
        <v>823</v>
      </c>
      <c r="F76" s="627">
        <v>45510</v>
      </c>
    </row>
    <row r="77" spans="1:7" outlineLevel="1">
      <c r="A77" s="621"/>
      <c r="B77" s="655" t="s">
        <v>825</v>
      </c>
      <c r="C77" s="656" t="s">
        <v>59</v>
      </c>
      <c r="D77" s="647">
        <v>13067.1</v>
      </c>
      <c r="E77" s="131" t="s">
        <v>823</v>
      </c>
      <c r="F77" s="627">
        <v>45510</v>
      </c>
    </row>
    <row r="78" spans="1:7" outlineLevel="1">
      <c r="A78" s="621"/>
      <c r="B78" s="655" t="s">
        <v>826</v>
      </c>
      <c r="C78" s="656" t="s">
        <v>59</v>
      </c>
      <c r="D78" s="647">
        <v>7679.26</v>
      </c>
      <c r="E78" s="131" t="s">
        <v>823</v>
      </c>
      <c r="F78" s="627">
        <v>45510</v>
      </c>
    </row>
    <row r="79" spans="1:7" outlineLevel="1">
      <c r="A79" s="621"/>
      <c r="B79" s="655" t="s">
        <v>827</v>
      </c>
      <c r="C79" s="656" t="s">
        <v>59</v>
      </c>
      <c r="D79" s="647">
        <v>19909.93</v>
      </c>
      <c r="E79" s="131" t="s">
        <v>823</v>
      </c>
      <c r="F79" s="627">
        <v>45510</v>
      </c>
    </row>
    <row r="80" spans="1:7" outlineLevel="1">
      <c r="A80" s="621"/>
      <c r="B80" s="655" t="s">
        <v>828</v>
      </c>
      <c r="C80" s="656" t="s">
        <v>59</v>
      </c>
      <c r="D80" s="647">
        <v>4705.5600000000004</v>
      </c>
      <c r="E80" s="131" t="s">
        <v>823</v>
      </c>
      <c r="F80" s="627">
        <v>45510</v>
      </c>
    </row>
    <row r="81" spans="1:8" outlineLevel="1">
      <c r="A81" s="621"/>
      <c r="B81" s="655" t="s">
        <v>829</v>
      </c>
      <c r="C81" s="656" t="s">
        <v>59</v>
      </c>
      <c r="D81" s="647">
        <v>3424.42</v>
      </c>
      <c r="E81" s="131" t="s">
        <v>823</v>
      </c>
      <c r="F81" s="627">
        <v>45510</v>
      </c>
    </row>
    <row r="82" spans="1:8" outlineLevel="1">
      <c r="A82" s="621"/>
      <c r="B82" s="655" t="s">
        <v>830</v>
      </c>
      <c r="C82" s="656" t="s">
        <v>59</v>
      </c>
      <c r="D82" s="647">
        <v>2257.38</v>
      </c>
      <c r="E82" s="131" t="s">
        <v>823</v>
      </c>
      <c r="F82" s="627">
        <v>45510</v>
      </c>
    </row>
    <row r="83" spans="1:8" outlineLevel="1">
      <c r="A83" s="621"/>
      <c r="B83" s="655" t="s">
        <v>831</v>
      </c>
      <c r="C83" s="656" t="s">
        <v>59</v>
      </c>
      <c r="D83" s="647">
        <v>26132.22</v>
      </c>
      <c r="E83" s="131" t="s">
        <v>823</v>
      </c>
      <c r="F83" s="627">
        <v>45510</v>
      </c>
    </row>
    <row r="84" spans="1:8" outlineLevel="1">
      <c r="A84" s="621"/>
      <c r="B84" s="655" t="s">
        <v>832</v>
      </c>
      <c r="C84" s="656" t="s">
        <v>59</v>
      </c>
      <c r="D84" s="660">
        <v>8408.2350000000006</v>
      </c>
      <c r="E84" s="131" t="s">
        <v>823</v>
      </c>
      <c r="F84" s="627">
        <v>45386</v>
      </c>
    </row>
    <row r="85" spans="1:8" outlineLevel="1">
      <c r="A85" s="621"/>
      <c r="B85" s="655" t="s">
        <v>833</v>
      </c>
      <c r="C85" s="656" t="s">
        <v>208</v>
      </c>
      <c r="D85" s="647">
        <v>341499</v>
      </c>
      <c r="E85" s="131" t="s">
        <v>823</v>
      </c>
      <c r="F85" s="627">
        <v>45510</v>
      </c>
    </row>
    <row r="86" spans="1:8" outlineLevel="1">
      <c r="A86" s="621"/>
      <c r="B86" s="655" t="s">
        <v>834</v>
      </c>
      <c r="C86" s="656" t="s">
        <v>208</v>
      </c>
      <c r="D86" s="647">
        <v>54203.67</v>
      </c>
      <c r="E86" s="131" t="s">
        <v>823</v>
      </c>
      <c r="F86" s="627">
        <v>45510</v>
      </c>
    </row>
    <row r="87" spans="1:8" outlineLevel="1">
      <c r="A87" s="621"/>
      <c r="B87" s="655" t="s">
        <v>835</v>
      </c>
      <c r="C87" s="656" t="s">
        <v>208</v>
      </c>
      <c r="D87" s="647">
        <v>33677.5</v>
      </c>
      <c r="E87" s="131" t="s">
        <v>823</v>
      </c>
      <c r="F87" s="627">
        <v>45510</v>
      </c>
    </row>
    <row r="88" spans="1:8" outlineLevel="1">
      <c r="A88" s="621"/>
      <c r="B88" s="655" t="s">
        <v>836</v>
      </c>
      <c r="C88" s="656" t="s">
        <v>208</v>
      </c>
      <c r="D88" s="647">
        <v>84641.86</v>
      </c>
      <c r="E88" s="131" t="s">
        <v>823</v>
      </c>
      <c r="F88" s="627">
        <v>45510</v>
      </c>
    </row>
    <row r="89" spans="1:8" outlineLevel="1">
      <c r="A89" s="621"/>
      <c r="B89" s="815" t="s">
        <v>1579</v>
      </c>
      <c r="C89" s="656" t="s">
        <v>208</v>
      </c>
      <c r="D89" s="647">
        <f>160000/1.21</f>
        <v>132231.40495867768</v>
      </c>
      <c r="E89" s="131" t="s">
        <v>785</v>
      </c>
      <c r="F89" s="627">
        <v>45531</v>
      </c>
    </row>
    <row r="90" spans="1:8" outlineLevel="1">
      <c r="A90" s="621"/>
      <c r="B90" s="815" t="s">
        <v>1580</v>
      </c>
      <c r="C90" s="656" t="s">
        <v>59</v>
      </c>
      <c r="D90" s="647">
        <f>30000/1.21/10</f>
        <v>2479.3388429752067</v>
      </c>
      <c r="E90" s="131" t="s">
        <v>785</v>
      </c>
      <c r="F90" s="627">
        <v>45531</v>
      </c>
    </row>
    <row r="91" spans="1:8" outlineLevel="1">
      <c r="A91" s="621"/>
      <c r="B91" s="655" t="s">
        <v>837</v>
      </c>
      <c r="C91" s="656" t="s">
        <v>77</v>
      </c>
      <c r="D91" s="647">
        <v>34242.550000000003</v>
      </c>
      <c r="E91" s="131" t="s">
        <v>823</v>
      </c>
      <c r="F91" s="627">
        <v>45510</v>
      </c>
    </row>
    <row r="92" spans="1:8" outlineLevel="1">
      <c r="A92" s="621"/>
      <c r="B92" s="655" t="s">
        <v>838</v>
      </c>
      <c r="C92" s="656" t="s">
        <v>77</v>
      </c>
      <c r="D92" s="647">
        <v>21131.19</v>
      </c>
      <c r="E92" s="131" t="s">
        <v>823</v>
      </c>
      <c r="F92" s="627">
        <v>45510</v>
      </c>
    </row>
    <row r="93" spans="1:8" outlineLevel="1">
      <c r="A93" s="621"/>
      <c r="B93" s="815" t="s">
        <v>1551</v>
      </c>
      <c r="C93" s="656" t="s">
        <v>77</v>
      </c>
      <c r="D93" s="647">
        <v>1182.98</v>
      </c>
      <c r="E93" s="131" t="s">
        <v>823</v>
      </c>
      <c r="F93" s="627">
        <v>45510</v>
      </c>
    </row>
    <row r="94" spans="1:8" outlineLevel="1">
      <c r="A94" s="621"/>
      <c r="B94" s="655" t="s">
        <v>839</v>
      </c>
      <c r="C94" s="656" t="s">
        <v>77</v>
      </c>
      <c r="D94" s="647">
        <v>17891.14</v>
      </c>
      <c r="E94" s="131" t="s">
        <v>823</v>
      </c>
      <c r="F94" s="627">
        <v>45510</v>
      </c>
    </row>
    <row r="95" spans="1:8" outlineLevel="1">
      <c r="A95" s="621"/>
      <c r="B95" s="655" t="s">
        <v>840</v>
      </c>
      <c r="C95" s="656" t="s">
        <v>77</v>
      </c>
      <c r="D95" s="647">
        <v>17891.14</v>
      </c>
      <c r="E95" s="131" t="s">
        <v>823</v>
      </c>
      <c r="F95" s="627">
        <v>45510</v>
      </c>
      <c r="H95" s="296"/>
    </row>
    <row r="96" spans="1:8" outlineLevel="1">
      <c r="A96" s="621"/>
      <c r="B96" s="655" t="s">
        <v>841</v>
      </c>
      <c r="C96" s="656" t="s">
        <v>77</v>
      </c>
      <c r="D96" s="647">
        <v>17891.14</v>
      </c>
      <c r="E96" s="131" t="s">
        <v>823</v>
      </c>
      <c r="F96" s="627">
        <v>45510</v>
      </c>
    </row>
    <row r="97" spans="1:6" outlineLevel="1">
      <c r="A97" s="621"/>
      <c r="B97" s="655" t="s">
        <v>842</v>
      </c>
      <c r="C97" s="656" t="s">
        <v>77</v>
      </c>
      <c r="D97" s="647">
        <v>22988.05</v>
      </c>
      <c r="E97" s="131" t="s">
        <v>823</v>
      </c>
      <c r="F97" s="627">
        <v>45510</v>
      </c>
    </row>
    <row r="98" spans="1:6" outlineLevel="1">
      <c r="A98" s="621"/>
      <c r="B98" s="655" t="s">
        <v>843</v>
      </c>
      <c r="C98" s="656" t="s">
        <v>77</v>
      </c>
      <c r="D98" s="647">
        <v>73476.75</v>
      </c>
      <c r="E98" s="131" t="s">
        <v>823</v>
      </c>
      <c r="F98" s="627">
        <v>45510</v>
      </c>
    </row>
    <row r="99" spans="1:6" outlineLevel="1">
      <c r="A99" s="621"/>
      <c r="B99" s="655" t="s">
        <v>844</v>
      </c>
      <c r="C99" s="656" t="s">
        <v>77</v>
      </c>
      <c r="D99" s="647">
        <v>80300.97</v>
      </c>
      <c r="E99" s="131" t="s">
        <v>823</v>
      </c>
      <c r="F99" s="627">
        <v>45510</v>
      </c>
    </row>
    <row r="100" spans="1:6" outlineLevel="1">
      <c r="A100" s="621"/>
      <c r="B100" s="655" t="s">
        <v>845</v>
      </c>
      <c r="C100" s="656" t="s">
        <v>77</v>
      </c>
      <c r="D100" s="647">
        <v>23817.65</v>
      </c>
      <c r="E100" s="131" t="s">
        <v>823</v>
      </c>
      <c r="F100" s="627">
        <v>45510</v>
      </c>
    </row>
    <row r="101" spans="1:6" outlineLevel="1">
      <c r="A101" s="621"/>
      <c r="B101" s="655" t="s">
        <v>846</v>
      </c>
      <c r="C101" s="656" t="s">
        <v>77</v>
      </c>
      <c r="D101" s="647">
        <v>171683.7</v>
      </c>
      <c r="E101" s="131" t="s">
        <v>823</v>
      </c>
      <c r="F101" s="627">
        <v>45510</v>
      </c>
    </row>
    <row r="102" spans="1:6" outlineLevel="1">
      <c r="A102" s="621"/>
      <c r="B102" s="655" t="s">
        <v>847</v>
      </c>
      <c r="C102" s="656" t="s">
        <v>77</v>
      </c>
      <c r="D102" s="647">
        <v>154788.57</v>
      </c>
      <c r="E102" s="131" t="s">
        <v>823</v>
      </c>
      <c r="F102" s="627">
        <v>45510</v>
      </c>
    </row>
    <row r="103" spans="1:6" outlineLevel="1">
      <c r="A103" s="621"/>
      <c r="B103" s="655" t="s">
        <v>848</v>
      </c>
      <c r="C103" s="656" t="s">
        <v>77</v>
      </c>
      <c r="D103" s="647">
        <v>15812.97</v>
      </c>
      <c r="E103" s="131" t="s">
        <v>823</v>
      </c>
      <c r="F103" s="627">
        <v>45510</v>
      </c>
    </row>
    <row r="104" spans="1:6" outlineLevel="1">
      <c r="A104" s="621"/>
      <c r="B104" s="655" t="s">
        <v>849</v>
      </c>
      <c r="C104" s="656" t="s">
        <v>77</v>
      </c>
      <c r="D104" s="647">
        <v>15812.97</v>
      </c>
      <c r="E104" s="131" t="s">
        <v>823</v>
      </c>
      <c r="F104" s="627">
        <v>45510</v>
      </c>
    </row>
    <row r="105" spans="1:6" outlineLevel="1">
      <c r="A105" s="621"/>
      <c r="B105" s="655" t="s">
        <v>850</v>
      </c>
      <c r="C105" s="656" t="s">
        <v>77</v>
      </c>
      <c r="D105" s="647">
        <v>16942.47</v>
      </c>
      <c r="E105" s="131" t="s">
        <v>823</v>
      </c>
      <c r="F105" s="627">
        <v>45510</v>
      </c>
    </row>
    <row r="106" spans="1:6" outlineLevel="1">
      <c r="A106" s="621"/>
      <c r="B106" s="655" t="s">
        <v>851</v>
      </c>
      <c r="C106" s="656" t="s">
        <v>77</v>
      </c>
      <c r="D106" s="647">
        <v>7482.76</v>
      </c>
      <c r="E106" s="131" t="s">
        <v>823</v>
      </c>
      <c r="F106" s="627">
        <v>45510</v>
      </c>
    </row>
    <row r="107" spans="1:6" outlineLevel="1">
      <c r="A107" s="621"/>
      <c r="B107" s="655" t="s">
        <v>852</v>
      </c>
      <c r="C107" s="656" t="s">
        <v>77</v>
      </c>
      <c r="D107" s="647">
        <v>7482.76</v>
      </c>
      <c r="E107" s="131" t="s">
        <v>823</v>
      </c>
      <c r="F107" s="627">
        <v>45510</v>
      </c>
    </row>
    <row r="108" spans="1:6" outlineLevel="1">
      <c r="A108" s="621"/>
      <c r="B108" s="655" t="s">
        <v>853</v>
      </c>
      <c r="C108" s="656" t="s">
        <v>77</v>
      </c>
      <c r="D108" s="647">
        <v>50827.41</v>
      </c>
      <c r="E108" s="131" t="s">
        <v>823</v>
      </c>
      <c r="F108" s="627">
        <v>45510</v>
      </c>
    </row>
    <row r="109" spans="1:6" outlineLevel="1">
      <c r="A109" s="621"/>
      <c r="B109" s="655" t="s">
        <v>854</v>
      </c>
      <c r="C109" s="656" t="s">
        <v>77</v>
      </c>
      <c r="D109" s="647">
        <v>61558.32</v>
      </c>
      <c r="E109" s="131" t="s">
        <v>823</v>
      </c>
      <c r="F109" s="627">
        <v>45510</v>
      </c>
    </row>
    <row r="110" spans="1:6" outlineLevel="1">
      <c r="A110" s="621"/>
      <c r="B110" s="655" t="s">
        <v>855</v>
      </c>
      <c r="C110" s="656" t="s">
        <v>77</v>
      </c>
      <c r="D110" s="647">
        <v>48568.42</v>
      </c>
      <c r="E110" s="131" t="s">
        <v>823</v>
      </c>
      <c r="F110" s="627">
        <v>45510</v>
      </c>
    </row>
    <row r="111" spans="1:6" outlineLevel="1">
      <c r="A111" s="621"/>
      <c r="B111" s="655" t="s">
        <v>856</v>
      </c>
      <c r="C111" s="656" t="s">
        <v>77</v>
      </c>
      <c r="D111" s="647">
        <v>26260.49</v>
      </c>
      <c r="E111" s="131" t="s">
        <v>823</v>
      </c>
      <c r="F111" s="627">
        <v>45510</v>
      </c>
    </row>
    <row r="112" spans="1:6" outlineLevel="1">
      <c r="A112" s="621"/>
      <c r="B112" s="655" t="s">
        <v>857</v>
      </c>
      <c r="C112" s="656" t="s">
        <v>77</v>
      </c>
      <c r="D112" s="647">
        <v>291510.24</v>
      </c>
      <c r="E112" s="131" t="s">
        <v>823</v>
      </c>
      <c r="F112" s="627">
        <v>45510</v>
      </c>
    </row>
    <row r="113" spans="1:6" outlineLevel="1">
      <c r="A113" s="621"/>
      <c r="B113" s="655" t="s">
        <v>858</v>
      </c>
      <c r="C113" s="656" t="s">
        <v>77</v>
      </c>
      <c r="D113" s="647">
        <v>104750.48</v>
      </c>
      <c r="E113" s="131" t="s">
        <v>823</v>
      </c>
      <c r="F113" s="627">
        <v>45510</v>
      </c>
    </row>
    <row r="114" spans="1:6" outlineLevel="1">
      <c r="A114" s="621"/>
      <c r="B114" s="655" t="s">
        <v>859</v>
      </c>
      <c r="C114" s="656" t="s">
        <v>77</v>
      </c>
      <c r="D114" s="647">
        <v>10131.370000000001</v>
      </c>
      <c r="E114" s="131" t="s">
        <v>823</v>
      </c>
      <c r="F114" s="627">
        <v>45510</v>
      </c>
    </row>
    <row r="115" spans="1:6" outlineLevel="1">
      <c r="A115" s="621"/>
      <c r="B115" s="655" t="s">
        <v>860</v>
      </c>
      <c r="C115" s="656" t="s">
        <v>77</v>
      </c>
      <c r="D115" s="647">
        <v>5557.26</v>
      </c>
      <c r="E115" s="131" t="s">
        <v>823</v>
      </c>
      <c r="F115" s="627">
        <v>45510</v>
      </c>
    </row>
    <row r="116" spans="1:6" outlineLevel="1">
      <c r="A116" s="621"/>
      <c r="B116" s="655" t="s">
        <v>861</v>
      </c>
      <c r="C116" s="656" t="s">
        <v>77</v>
      </c>
      <c r="D116" s="647">
        <v>16022.49</v>
      </c>
      <c r="E116" s="131" t="s">
        <v>823</v>
      </c>
      <c r="F116" s="627">
        <v>45510</v>
      </c>
    </row>
    <row r="117" spans="1:6" outlineLevel="1">
      <c r="A117" s="621"/>
      <c r="B117" s="655" t="s">
        <v>862</v>
      </c>
      <c r="C117" s="656" t="s">
        <v>77</v>
      </c>
      <c r="D117" s="647">
        <v>7892.18</v>
      </c>
      <c r="E117" s="131" t="s">
        <v>823</v>
      </c>
      <c r="F117" s="627">
        <v>45510</v>
      </c>
    </row>
    <row r="118" spans="1:6" outlineLevel="1">
      <c r="A118" s="621"/>
      <c r="B118" s="655" t="s">
        <v>863</v>
      </c>
      <c r="C118" s="656" t="s">
        <v>77</v>
      </c>
      <c r="D118" s="647">
        <v>152840.98000000001</v>
      </c>
      <c r="E118" s="131" t="s">
        <v>823</v>
      </c>
      <c r="F118" s="627">
        <v>45510</v>
      </c>
    </row>
    <row r="119" spans="1:6" outlineLevel="1">
      <c r="A119" s="621"/>
      <c r="B119" s="655" t="s">
        <v>864</v>
      </c>
      <c r="C119" s="656" t="s">
        <v>77</v>
      </c>
      <c r="D119" s="647">
        <v>73783.28</v>
      </c>
      <c r="E119" s="131" t="s">
        <v>823</v>
      </c>
      <c r="F119" s="627">
        <v>45510</v>
      </c>
    </row>
    <row r="120" spans="1:6" outlineLevel="1">
      <c r="A120" s="621"/>
      <c r="B120" s="655" t="s">
        <v>865</v>
      </c>
      <c r="C120" s="656" t="s">
        <v>77</v>
      </c>
      <c r="D120" s="647">
        <v>128686.18</v>
      </c>
      <c r="E120" s="131" t="s">
        <v>823</v>
      </c>
      <c r="F120" s="627">
        <v>45510</v>
      </c>
    </row>
    <row r="121" spans="1:6" outlineLevel="1">
      <c r="A121" s="621"/>
      <c r="B121" s="655" t="s">
        <v>866</v>
      </c>
      <c r="C121" s="656" t="s">
        <v>77</v>
      </c>
      <c r="D121" s="647">
        <v>63757.72</v>
      </c>
      <c r="E121" s="131" t="s">
        <v>823</v>
      </c>
      <c r="F121" s="627">
        <v>45510</v>
      </c>
    </row>
    <row r="122" spans="1:6" outlineLevel="1">
      <c r="A122" s="621"/>
      <c r="B122" s="655" t="s">
        <v>867</v>
      </c>
      <c r="C122" s="656" t="s">
        <v>77</v>
      </c>
      <c r="D122" s="647">
        <v>56497.68</v>
      </c>
      <c r="E122" s="131" t="s">
        <v>823</v>
      </c>
      <c r="F122" s="627">
        <v>45510</v>
      </c>
    </row>
    <row r="123" spans="1:6" outlineLevel="1">
      <c r="A123" s="621"/>
      <c r="B123" s="655" t="s">
        <v>868</v>
      </c>
      <c r="C123" s="656" t="s">
        <v>77</v>
      </c>
      <c r="D123" s="647">
        <v>36889</v>
      </c>
      <c r="E123" s="131" t="s">
        <v>823</v>
      </c>
      <c r="F123" s="627">
        <v>45510</v>
      </c>
    </row>
    <row r="124" spans="1:6" outlineLevel="1">
      <c r="A124" s="621"/>
      <c r="B124" s="655" t="s">
        <v>869</v>
      </c>
      <c r="C124" s="656" t="s">
        <v>77</v>
      </c>
      <c r="D124" s="647">
        <v>29772.22</v>
      </c>
      <c r="E124" s="131" t="s">
        <v>823</v>
      </c>
      <c r="F124" s="627">
        <v>45510</v>
      </c>
    </row>
    <row r="125" spans="1:6" outlineLevel="1">
      <c r="A125" s="621"/>
      <c r="B125" s="655" t="s">
        <v>870</v>
      </c>
      <c r="C125" s="656" t="s">
        <v>77</v>
      </c>
      <c r="D125" s="647">
        <v>23942.15</v>
      </c>
      <c r="E125" s="131" t="s">
        <v>823</v>
      </c>
      <c r="F125" s="627">
        <v>45510</v>
      </c>
    </row>
    <row r="126" spans="1:6" outlineLevel="1">
      <c r="A126" s="621"/>
      <c r="B126" s="655" t="s">
        <v>871</v>
      </c>
      <c r="C126" s="656" t="s">
        <v>77</v>
      </c>
      <c r="D126" s="647">
        <v>38310.15</v>
      </c>
      <c r="E126" s="131" t="s">
        <v>823</v>
      </c>
      <c r="F126" s="627">
        <v>45510</v>
      </c>
    </row>
    <row r="127" spans="1:6" outlineLevel="1">
      <c r="A127" s="621"/>
      <c r="B127" s="655" t="s">
        <v>872</v>
      </c>
      <c r="C127" s="656" t="s">
        <v>77</v>
      </c>
      <c r="D127" s="647">
        <v>5339.9870000000001</v>
      </c>
      <c r="E127" s="131" t="s">
        <v>823</v>
      </c>
      <c r="F127" s="627">
        <v>45510</v>
      </c>
    </row>
    <row r="128" spans="1:6" outlineLevel="1">
      <c r="A128" s="621"/>
      <c r="B128" s="655" t="s">
        <v>873</v>
      </c>
      <c r="C128" s="656" t="s">
        <v>77</v>
      </c>
      <c r="D128" s="647">
        <v>6314.125</v>
      </c>
      <c r="E128" s="131" t="s">
        <v>823</v>
      </c>
      <c r="F128" s="627">
        <v>45510</v>
      </c>
    </row>
    <row r="129" spans="1:6" outlineLevel="1">
      <c r="A129" s="621"/>
      <c r="B129" s="655" t="s">
        <v>874</v>
      </c>
      <c r="C129" s="656" t="s">
        <v>77</v>
      </c>
      <c r="D129" s="647">
        <v>6408.1940000000004</v>
      </c>
      <c r="E129" s="131" t="s">
        <v>823</v>
      </c>
      <c r="F129" s="627">
        <v>45510</v>
      </c>
    </row>
    <row r="130" spans="1:6" outlineLevel="1">
      <c r="A130" s="621"/>
      <c r="B130" s="655" t="s">
        <v>875</v>
      </c>
      <c r="C130" s="656" t="s">
        <v>77</v>
      </c>
      <c r="D130" s="647">
        <v>3488.395</v>
      </c>
      <c r="E130" s="131" t="s">
        <v>823</v>
      </c>
      <c r="F130" s="627">
        <v>45510</v>
      </c>
    </row>
    <row r="131" spans="1:6" outlineLevel="1">
      <c r="A131" s="621"/>
      <c r="B131" s="655" t="s">
        <v>876</v>
      </c>
      <c r="C131" s="656" t="s">
        <v>77</v>
      </c>
      <c r="D131" s="647">
        <v>5107.4279999999999</v>
      </c>
      <c r="E131" s="131" t="s">
        <v>823</v>
      </c>
      <c r="F131" s="627">
        <v>45510</v>
      </c>
    </row>
    <row r="132" spans="1:6" outlineLevel="1">
      <c r="A132" s="621"/>
      <c r="B132" s="655" t="s">
        <v>877</v>
      </c>
      <c r="C132" s="656" t="s">
        <v>77</v>
      </c>
      <c r="D132" s="647">
        <v>1844.799</v>
      </c>
      <c r="E132" s="131" t="s">
        <v>823</v>
      </c>
      <c r="F132" s="627">
        <v>45510</v>
      </c>
    </row>
    <row r="133" spans="1:6" outlineLevel="1">
      <c r="A133" s="621"/>
      <c r="B133" s="655" t="s">
        <v>878</v>
      </c>
      <c r="C133" s="656" t="s">
        <v>77</v>
      </c>
      <c r="D133" s="647">
        <f>1136.67+26.39+34.75</f>
        <v>1197.8100000000002</v>
      </c>
      <c r="E133" s="131" t="s">
        <v>823</v>
      </c>
      <c r="F133" s="627">
        <v>45510</v>
      </c>
    </row>
    <row r="134" spans="1:6" outlineLevel="1">
      <c r="A134" s="621"/>
      <c r="B134" s="655" t="s">
        <v>879</v>
      </c>
      <c r="C134" s="656" t="s">
        <v>77</v>
      </c>
      <c r="D134" s="660">
        <v>6340.41</v>
      </c>
      <c r="E134" s="131" t="s">
        <v>823</v>
      </c>
      <c r="F134" s="627">
        <v>45386</v>
      </c>
    </row>
    <row r="135" spans="1:6" outlineLevel="1">
      <c r="A135" s="621"/>
      <c r="B135" s="655" t="s">
        <v>880</v>
      </c>
      <c r="C135" s="656" t="s">
        <v>77</v>
      </c>
      <c r="D135" s="647">
        <f>77112</f>
        <v>77112</v>
      </c>
      <c r="E135" s="131" t="s">
        <v>823</v>
      </c>
      <c r="F135" s="627">
        <v>45510</v>
      </c>
    </row>
    <row r="136" spans="1:6" outlineLevel="1">
      <c r="A136" s="621"/>
      <c r="B136" s="655" t="s">
        <v>881</v>
      </c>
      <c r="C136" s="656" t="s">
        <v>77</v>
      </c>
      <c r="D136" s="647">
        <v>10329.306</v>
      </c>
      <c r="E136" s="131" t="s">
        <v>823</v>
      </c>
      <c r="F136" s="627">
        <v>45510</v>
      </c>
    </row>
    <row r="137" spans="1:6" outlineLevel="1">
      <c r="A137" s="621"/>
      <c r="B137" s="655" t="s">
        <v>882</v>
      </c>
      <c r="C137" s="656" t="s">
        <v>77</v>
      </c>
      <c r="D137" s="647">
        <v>15710.58</v>
      </c>
      <c r="E137" s="131" t="s">
        <v>823</v>
      </c>
      <c r="F137" s="627">
        <v>45510</v>
      </c>
    </row>
    <row r="138" spans="1:6" outlineLevel="1">
      <c r="A138" s="621"/>
      <c r="B138" s="655" t="s">
        <v>883</v>
      </c>
      <c r="C138" s="656" t="s">
        <v>77</v>
      </c>
      <c r="D138" s="647">
        <v>97328.45</v>
      </c>
      <c r="E138" s="131" t="s">
        <v>823</v>
      </c>
      <c r="F138" s="627">
        <v>45510</v>
      </c>
    </row>
    <row r="139" spans="1:6" outlineLevel="1">
      <c r="A139" s="621"/>
      <c r="B139" s="655" t="s">
        <v>884</v>
      </c>
      <c r="C139" s="656" t="s">
        <v>77</v>
      </c>
      <c r="D139" s="647">
        <v>140783.76</v>
      </c>
      <c r="E139" s="131" t="s">
        <v>823</v>
      </c>
      <c r="F139" s="627">
        <v>45510</v>
      </c>
    </row>
    <row r="140" spans="1:6" outlineLevel="1">
      <c r="A140" s="621"/>
      <c r="B140" s="655" t="s">
        <v>885</v>
      </c>
      <c r="C140" s="656" t="s">
        <v>77</v>
      </c>
      <c r="D140" s="647">
        <v>1416.54</v>
      </c>
      <c r="E140" s="131" t="s">
        <v>823</v>
      </c>
      <c r="F140" s="627">
        <v>45510</v>
      </c>
    </row>
    <row r="141" spans="1:6" outlineLevel="1">
      <c r="A141" s="621"/>
      <c r="B141" s="655" t="s">
        <v>886</v>
      </c>
      <c r="C141" s="656" t="s">
        <v>77</v>
      </c>
      <c r="D141" s="647">
        <v>2000.78</v>
      </c>
      <c r="E141" s="131" t="s">
        <v>823</v>
      </c>
      <c r="F141" s="627">
        <v>45510</v>
      </c>
    </row>
    <row r="142" spans="1:6" outlineLevel="1">
      <c r="A142" s="621"/>
      <c r="B142" s="655" t="s">
        <v>887</v>
      </c>
      <c r="C142" s="656" t="s">
        <v>77</v>
      </c>
      <c r="D142" s="647">
        <v>6341.61</v>
      </c>
      <c r="E142" s="131" t="s">
        <v>823</v>
      </c>
      <c r="F142" s="627">
        <v>45510</v>
      </c>
    </row>
    <row r="143" spans="1:6" outlineLevel="1">
      <c r="A143" s="621"/>
      <c r="B143" s="655" t="s">
        <v>888</v>
      </c>
      <c r="C143" s="656" t="s">
        <v>77</v>
      </c>
      <c r="D143" s="647">
        <v>9708.15</v>
      </c>
      <c r="E143" s="131" t="s">
        <v>823</v>
      </c>
      <c r="F143" s="627">
        <v>45510</v>
      </c>
    </row>
    <row r="144" spans="1:6" outlineLevel="1">
      <c r="A144" s="621"/>
      <c r="B144" s="655" t="s">
        <v>889</v>
      </c>
      <c r="C144" s="656" t="s">
        <v>77</v>
      </c>
      <c r="D144" s="647">
        <v>270.72000000000003</v>
      </c>
      <c r="E144" s="131" t="s">
        <v>823</v>
      </c>
      <c r="F144" s="627">
        <v>45510</v>
      </c>
    </row>
    <row r="145" spans="1:6" outlineLevel="1">
      <c r="A145" s="621"/>
      <c r="B145" s="655" t="s">
        <v>890</v>
      </c>
      <c r="C145" s="656" t="s">
        <v>77</v>
      </c>
      <c r="D145" s="647">
        <v>347.03</v>
      </c>
      <c r="E145" s="131" t="s">
        <v>823</v>
      </c>
      <c r="F145" s="627">
        <v>45510</v>
      </c>
    </row>
    <row r="146" spans="1:6" outlineLevel="1">
      <c r="A146" s="622"/>
      <c r="B146" s="655" t="s">
        <v>891</v>
      </c>
      <c r="C146" s="656" t="s">
        <v>77</v>
      </c>
      <c r="D146" s="647">
        <v>229</v>
      </c>
      <c r="E146" s="131" t="s">
        <v>823</v>
      </c>
      <c r="F146" s="627">
        <v>45510</v>
      </c>
    </row>
    <row r="147" spans="1:6" outlineLevel="1">
      <c r="A147" s="622"/>
      <c r="B147" s="655" t="s">
        <v>892</v>
      </c>
      <c r="C147" s="656" t="s">
        <v>77</v>
      </c>
      <c r="D147" s="647">
        <v>229</v>
      </c>
      <c r="E147" s="131" t="s">
        <v>823</v>
      </c>
      <c r="F147" s="627">
        <v>45510</v>
      </c>
    </row>
    <row r="148" spans="1:6" outlineLevel="1">
      <c r="A148" s="622"/>
      <c r="B148" s="655" t="s">
        <v>893</v>
      </c>
      <c r="C148" s="656" t="s">
        <v>77</v>
      </c>
      <c r="D148" s="647">
        <v>229</v>
      </c>
      <c r="E148" s="131" t="s">
        <v>823</v>
      </c>
      <c r="F148" s="627">
        <v>45510</v>
      </c>
    </row>
    <row r="149" spans="1:6" outlineLevel="1">
      <c r="A149" s="621"/>
      <c r="B149" s="655" t="s">
        <v>894</v>
      </c>
      <c r="C149" s="656" t="s">
        <v>77</v>
      </c>
      <c r="D149" s="647">
        <v>121.23</v>
      </c>
      <c r="E149" s="131" t="s">
        <v>823</v>
      </c>
      <c r="F149" s="627">
        <v>45510</v>
      </c>
    </row>
    <row r="150" spans="1:6" outlineLevel="1">
      <c r="A150" s="621"/>
      <c r="B150" s="655" t="s">
        <v>895</v>
      </c>
      <c r="C150" s="656" t="s">
        <v>77</v>
      </c>
      <c r="D150" s="647">
        <v>258.57</v>
      </c>
      <c r="E150" s="131" t="s">
        <v>823</v>
      </c>
      <c r="F150" s="627">
        <v>45510</v>
      </c>
    </row>
    <row r="151" spans="1:6" outlineLevel="1">
      <c r="A151" s="621"/>
      <c r="B151" s="655" t="s">
        <v>896</v>
      </c>
      <c r="C151" s="656" t="s">
        <v>77</v>
      </c>
      <c r="D151" s="647">
        <v>90.33</v>
      </c>
      <c r="E151" s="131" t="s">
        <v>823</v>
      </c>
      <c r="F151" s="627">
        <v>45510</v>
      </c>
    </row>
    <row r="152" spans="1:6" outlineLevel="1">
      <c r="A152" s="621"/>
      <c r="B152" s="655" t="s">
        <v>897</v>
      </c>
      <c r="C152" s="656" t="s">
        <v>77</v>
      </c>
      <c r="D152" s="647">
        <v>130.22</v>
      </c>
      <c r="E152" s="131" t="s">
        <v>823</v>
      </c>
      <c r="F152" s="627">
        <v>45510</v>
      </c>
    </row>
    <row r="153" spans="1:6" outlineLevel="1">
      <c r="A153" s="621"/>
      <c r="B153" s="655" t="s">
        <v>898</v>
      </c>
      <c r="C153" s="656" t="s">
        <v>77</v>
      </c>
      <c r="D153" s="647">
        <v>3067.35</v>
      </c>
      <c r="E153" s="131" t="s">
        <v>823</v>
      </c>
      <c r="F153" s="627">
        <v>45510</v>
      </c>
    </row>
    <row r="154" spans="1:6" outlineLevel="1">
      <c r="A154" s="621"/>
      <c r="B154" s="655" t="s">
        <v>899</v>
      </c>
      <c r="C154" s="656" t="s">
        <v>77</v>
      </c>
      <c r="D154" s="647">
        <v>4842.75</v>
      </c>
      <c r="E154" s="131" t="s">
        <v>823</v>
      </c>
      <c r="F154" s="627">
        <v>45510</v>
      </c>
    </row>
    <row r="155" spans="1:6" outlineLevel="1">
      <c r="A155" s="621"/>
      <c r="B155" s="655" t="s">
        <v>900</v>
      </c>
      <c r="C155" s="656" t="s">
        <v>77</v>
      </c>
      <c r="D155" s="647">
        <v>5866.0820000000003</v>
      </c>
      <c r="E155" s="131" t="s">
        <v>823</v>
      </c>
      <c r="F155" s="627">
        <v>45510</v>
      </c>
    </row>
    <row r="156" spans="1:6" outlineLevel="1">
      <c r="A156" s="621"/>
      <c r="B156" s="655" t="s">
        <v>901</v>
      </c>
      <c r="C156" s="656" t="s">
        <v>77</v>
      </c>
      <c r="D156" s="647">
        <v>8553.36</v>
      </c>
      <c r="E156" s="131" t="s">
        <v>823</v>
      </c>
      <c r="F156" s="627">
        <v>45510</v>
      </c>
    </row>
    <row r="157" spans="1:6" outlineLevel="1">
      <c r="A157" s="621"/>
      <c r="B157" s="655" t="s">
        <v>902</v>
      </c>
      <c r="C157" s="656" t="s">
        <v>77</v>
      </c>
      <c r="D157" s="647">
        <v>18151.02</v>
      </c>
      <c r="E157" s="131" t="s">
        <v>823</v>
      </c>
      <c r="F157" s="627">
        <v>45510</v>
      </c>
    </row>
    <row r="158" spans="1:6" outlineLevel="1">
      <c r="A158" s="621"/>
      <c r="B158" s="655" t="s">
        <v>903</v>
      </c>
      <c r="C158" s="656" t="s">
        <v>77</v>
      </c>
      <c r="D158" s="647">
        <v>778.4</v>
      </c>
      <c r="E158" s="131" t="s">
        <v>823</v>
      </c>
      <c r="F158" s="627">
        <v>45510</v>
      </c>
    </row>
    <row r="159" spans="1:6" outlineLevel="1">
      <c r="A159" s="621"/>
      <c r="B159" s="655" t="s">
        <v>904</v>
      </c>
      <c r="C159" s="656" t="s">
        <v>77</v>
      </c>
      <c r="D159" s="647">
        <v>718.55</v>
      </c>
      <c r="E159" s="131" t="s">
        <v>823</v>
      </c>
      <c r="F159" s="627">
        <v>45510</v>
      </c>
    </row>
    <row r="160" spans="1:6" outlineLevel="1">
      <c r="A160" s="621"/>
      <c r="B160" s="655" t="s">
        <v>905</v>
      </c>
      <c r="C160" s="656" t="s">
        <v>77</v>
      </c>
      <c r="D160" s="647">
        <v>110</v>
      </c>
      <c r="E160" s="131" t="s">
        <v>823</v>
      </c>
      <c r="F160" s="627">
        <v>45510</v>
      </c>
    </row>
    <row r="161" spans="1:6" outlineLevel="1">
      <c r="A161" s="621"/>
      <c r="B161" s="655" t="s">
        <v>906</v>
      </c>
      <c r="C161" s="656" t="s">
        <v>77</v>
      </c>
      <c r="D161" s="647">
        <v>67.45</v>
      </c>
      <c r="E161" s="131" t="s">
        <v>823</v>
      </c>
      <c r="F161" s="627">
        <v>45510</v>
      </c>
    </row>
    <row r="162" spans="1:6" outlineLevel="1">
      <c r="A162" s="621"/>
      <c r="B162" s="655" t="s">
        <v>907</v>
      </c>
      <c r="C162" s="656" t="s">
        <v>77</v>
      </c>
      <c r="D162" s="647">
        <v>5522.38</v>
      </c>
      <c r="E162" s="131" t="s">
        <v>823</v>
      </c>
      <c r="F162" s="627">
        <v>45510</v>
      </c>
    </row>
    <row r="163" spans="1:6" outlineLevel="1">
      <c r="A163" s="621"/>
      <c r="B163" s="655" t="s">
        <v>908</v>
      </c>
      <c r="C163" s="656" t="s">
        <v>77</v>
      </c>
      <c r="D163" s="647">
        <v>2037.07</v>
      </c>
      <c r="E163" s="131" t="s">
        <v>823</v>
      </c>
      <c r="F163" s="627">
        <v>45510</v>
      </c>
    </row>
    <row r="164" spans="1:6" outlineLevel="1">
      <c r="A164" s="621"/>
      <c r="B164" s="655" t="s">
        <v>909</v>
      </c>
      <c r="C164" s="656" t="s">
        <v>77</v>
      </c>
      <c r="D164" s="647">
        <v>447.16</v>
      </c>
      <c r="E164" s="131" t="s">
        <v>823</v>
      </c>
      <c r="F164" s="627">
        <v>45510</v>
      </c>
    </row>
    <row r="165" spans="1:6" outlineLevel="1">
      <c r="A165" s="621"/>
      <c r="B165" s="655" t="s">
        <v>910</v>
      </c>
      <c r="C165" s="656" t="s">
        <v>77</v>
      </c>
      <c r="D165" s="647">
        <v>1192.43</v>
      </c>
      <c r="E165" s="131" t="s">
        <v>823</v>
      </c>
      <c r="F165" s="627">
        <v>45510</v>
      </c>
    </row>
    <row r="166" spans="1:6" outlineLevel="1">
      <c r="A166" s="621"/>
      <c r="B166" s="655" t="s">
        <v>911</v>
      </c>
      <c r="C166" s="656" t="s">
        <v>77</v>
      </c>
      <c r="D166" s="647">
        <v>1192.43</v>
      </c>
      <c r="E166" s="131" t="s">
        <v>823</v>
      </c>
      <c r="F166" s="627">
        <v>45510</v>
      </c>
    </row>
    <row r="167" spans="1:6" outlineLevel="1">
      <c r="A167" s="621"/>
      <c r="B167" s="655" t="s">
        <v>912</v>
      </c>
      <c r="C167" s="656" t="s">
        <v>77</v>
      </c>
      <c r="D167" s="647">
        <v>2202.02</v>
      </c>
      <c r="E167" s="131" t="s">
        <v>823</v>
      </c>
      <c r="F167" s="627">
        <v>45510</v>
      </c>
    </row>
    <row r="168" spans="1:6" outlineLevel="1">
      <c r="A168" s="621"/>
      <c r="B168" s="655" t="s">
        <v>913</v>
      </c>
      <c r="C168" s="656" t="s">
        <v>77</v>
      </c>
      <c r="D168" s="647">
        <v>1960.35</v>
      </c>
      <c r="E168" s="131" t="s">
        <v>823</v>
      </c>
      <c r="F168" s="627">
        <v>45510</v>
      </c>
    </row>
    <row r="169" spans="1:6" outlineLevel="1">
      <c r="A169" s="621"/>
      <c r="B169" s="655" t="s">
        <v>914</v>
      </c>
      <c r="C169" s="656" t="s">
        <v>77</v>
      </c>
      <c r="D169" s="647">
        <v>1456.09</v>
      </c>
      <c r="E169" s="131" t="s">
        <v>823</v>
      </c>
      <c r="F169" s="627">
        <v>45510</v>
      </c>
    </row>
    <row r="170" spans="1:6" outlineLevel="1">
      <c r="A170" s="621"/>
      <c r="B170" s="792" t="s">
        <v>1730</v>
      </c>
      <c r="C170" s="656" t="s">
        <v>77</v>
      </c>
      <c r="D170" s="647">
        <v>14661.88</v>
      </c>
      <c r="E170" s="131" t="s">
        <v>823</v>
      </c>
      <c r="F170" s="627">
        <v>45510</v>
      </c>
    </row>
    <row r="171" spans="1:6" outlineLevel="1">
      <c r="A171" s="621"/>
      <c r="B171" s="655" t="s">
        <v>915</v>
      </c>
      <c r="C171" s="656" t="s">
        <v>77</v>
      </c>
      <c r="D171" s="647">
        <v>437.23</v>
      </c>
      <c r="E171" s="131" t="s">
        <v>823</v>
      </c>
      <c r="F171" s="627">
        <v>45510</v>
      </c>
    </row>
    <row r="172" spans="1:6" outlineLevel="1">
      <c r="A172" s="621"/>
      <c r="B172" s="655" t="s">
        <v>916</v>
      </c>
      <c r="C172" s="656" t="s">
        <v>77</v>
      </c>
      <c r="D172" s="647">
        <v>2202.02</v>
      </c>
      <c r="E172" s="131" t="s">
        <v>823</v>
      </c>
      <c r="F172" s="627">
        <v>45510</v>
      </c>
    </row>
    <row r="173" spans="1:6" outlineLevel="1">
      <c r="A173" s="621"/>
      <c r="B173" s="655" t="s">
        <v>917</v>
      </c>
      <c r="C173" s="656" t="s">
        <v>77</v>
      </c>
      <c r="D173" s="647">
        <v>894.32</v>
      </c>
      <c r="E173" s="131" t="s">
        <v>823</v>
      </c>
      <c r="F173" s="627">
        <v>45510</v>
      </c>
    </row>
    <row r="174" spans="1:6" outlineLevel="1">
      <c r="A174" s="621"/>
      <c r="B174" s="815" t="s">
        <v>1731</v>
      </c>
      <c r="C174" s="656" t="s">
        <v>77</v>
      </c>
      <c r="D174" s="647">
        <v>11783.49</v>
      </c>
      <c r="E174" s="131" t="s">
        <v>823</v>
      </c>
      <c r="F174" s="627">
        <v>45510</v>
      </c>
    </row>
    <row r="175" spans="1:6" outlineLevel="1">
      <c r="A175" s="621"/>
      <c r="B175" s="655" t="s">
        <v>918</v>
      </c>
      <c r="C175" s="656" t="s">
        <v>77</v>
      </c>
      <c r="D175" s="647">
        <v>1416.93</v>
      </c>
      <c r="E175" s="131" t="s">
        <v>823</v>
      </c>
      <c r="F175" s="627">
        <v>45510</v>
      </c>
    </row>
    <row r="176" spans="1:6" outlineLevel="1">
      <c r="A176" s="621"/>
      <c r="B176" s="655" t="s">
        <v>919</v>
      </c>
      <c r="C176" s="656" t="s">
        <v>77</v>
      </c>
      <c r="D176" s="647">
        <v>110.65</v>
      </c>
      <c r="E176" s="131" t="s">
        <v>823</v>
      </c>
      <c r="F176" s="627">
        <v>45510</v>
      </c>
    </row>
    <row r="177" spans="1:6" outlineLevel="1">
      <c r="A177" s="620"/>
      <c r="B177" s="655" t="s">
        <v>920</v>
      </c>
      <c r="C177" s="656" t="s">
        <v>77</v>
      </c>
      <c r="D177" s="647">
        <v>1686.83</v>
      </c>
      <c r="E177" s="131" t="s">
        <v>823</v>
      </c>
      <c r="F177" s="627">
        <v>45510</v>
      </c>
    </row>
    <row r="178" spans="1:6" outlineLevel="1">
      <c r="A178" s="621"/>
      <c r="B178" s="655" t="s">
        <v>921</v>
      </c>
      <c r="C178" s="656" t="s">
        <v>77</v>
      </c>
      <c r="D178" s="647">
        <v>456.29</v>
      </c>
      <c r="E178" s="131" t="s">
        <v>823</v>
      </c>
      <c r="F178" s="627">
        <v>45510</v>
      </c>
    </row>
    <row r="179" spans="1:6" outlineLevel="1">
      <c r="A179" s="621"/>
      <c r="B179" s="655" t="s">
        <v>922</v>
      </c>
      <c r="C179" s="656" t="s">
        <v>77</v>
      </c>
      <c r="D179" s="647">
        <v>5230.67</v>
      </c>
      <c r="E179" s="131" t="s">
        <v>823</v>
      </c>
      <c r="F179" s="627">
        <v>45510</v>
      </c>
    </row>
    <row r="180" spans="1:6" outlineLevel="1">
      <c r="B180" s="129" t="s">
        <v>693</v>
      </c>
      <c r="C180" s="131" t="s">
        <v>77</v>
      </c>
      <c r="D180" s="647">
        <f>4915/1.21</f>
        <v>4061.9834710743803</v>
      </c>
      <c r="E180" s="131" t="s">
        <v>923</v>
      </c>
      <c r="F180" s="627">
        <v>45531</v>
      </c>
    </row>
    <row r="181" spans="1:6" outlineLevel="1">
      <c r="B181" s="129" t="s">
        <v>924</v>
      </c>
      <c r="C181" s="131" t="s">
        <v>77</v>
      </c>
      <c r="D181" s="647">
        <v>968320.03</v>
      </c>
      <c r="E181" s="131" t="s">
        <v>823</v>
      </c>
      <c r="F181" s="627">
        <v>45510</v>
      </c>
    </row>
    <row r="182" spans="1:6" outlineLevel="1">
      <c r="B182" s="129" t="s">
        <v>735</v>
      </c>
      <c r="C182" s="131" t="s">
        <v>77</v>
      </c>
      <c r="D182" s="647">
        <v>490352.21</v>
      </c>
      <c r="E182" s="131" t="s">
        <v>823</v>
      </c>
      <c r="F182" s="627">
        <v>45510</v>
      </c>
    </row>
    <row r="183" spans="1:6" outlineLevel="1">
      <c r="B183" s="129" t="s">
        <v>1554</v>
      </c>
      <c r="C183" s="131" t="s">
        <v>77</v>
      </c>
      <c r="D183" s="647">
        <v>1536497.17</v>
      </c>
      <c r="E183" s="131" t="s">
        <v>823</v>
      </c>
      <c r="F183" s="627">
        <v>45510</v>
      </c>
    </row>
    <row r="184" spans="1:6" outlineLevel="1">
      <c r="B184" s="129" t="s">
        <v>1553</v>
      </c>
      <c r="C184" s="131" t="s">
        <v>77</v>
      </c>
      <c r="D184" s="647">
        <v>440053.56</v>
      </c>
      <c r="E184" s="131" t="s">
        <v>823</v>
      </c>
      <c r="F184" s="627">
        <v>45510</v>
      </c>
    </row>
    <row r="185" spans="1:6" outlineLevel="1">
      <c r="B185" s="129" t="s">
        <v>734</v>
      </c>
      <c r="C185" s="131" t="s">
        <v>77</v>
      </c>
      <c r="D185" s="647">
        <v>546855.75</v>
      </c>
      <c r="E185" s="131" t="s">
        <v>823</v>
      </c>
      <c r="F185" s="627">
        <v>45510</v>
      </c>
    </row>
    <row r="186" spans="1:6" outlineLevel="1">
      <c r="B186" s="129" t="s">
        <v>1569</v>
      </c>
      <c r="C186" s="774" t="s">
        <v>77</v>
      </c>
      <c r="D186" s="647">
        <f>6000/1.21</f>
        <v>4958.6776859504134</v>
      </c>
      <c r="E186" s="774" t="s">
        <v>785</v>
      </c>
      <c r="F186" s="817">
        <v>45531</v>
      </c>
    </row>
    <row r="187" spans="1:6" outlineLevel="1">
      <c r="B187" s="129" t="s">
        <v>1568</v>
      </c>
      <c r="C187" s="774" t="s">
        <v>77</v>
      </c>
      <c r="D187" s="647">
        <f>22700/1.21</f>
        <v>18760.330578512396</v>
      </c>
      <c r="E187" s="774" t="s">
        <v>785</v>
      </c>
      <c r="F187" s="817">
        <v>45531</v>
      </c>
    </row>
    <row r="188" spans="1:6" outlineLevel="1">
      <c r="B188" s="816" t="s">
        <v>281</v>
      </c>
      <c r="C188" s="774" t="s">
        <v>77</v>
      </c>
      <c r="D188" s="647">
        <f>5200/1.21</f>
        <v>4297.5206611570247</v>
      </c>
      <c r="E188" s="774" t="s">
        <v>785</v>
      </c>
      <c r="F188" s="817">
        <v>45531</v>
      </c>
    </row>
    <row r="189" spans="1:6" outlineLevel="1">
      <c r="B189" s="815" t="s">
        <v>1555</v>
      </c>
      <c r="C189" s="131" t="s">
        <v>77</v>
      </c>
      <c r="D189" s="647">
        <v>506.1</v>
      </c>
      <c r="E189" s="131" t="s">
        <v>823</v>
      </c>
      <c r="F189" s="627">
        <v>45511</v>
      </c>
    </row>
    <row r="190" spans="1:6" outlineLevel="1">
      <c r="B190" s="815" t="s">
        <v>1557</v>
      </c>
      <c r="C190" s="131" t="s">
        <v>77</v>
      </c>
      <c r="D190" s="647">
        <v>474.1</v>
      </c>
      <c r="E190" s="131" t="s">
        <v>823</v>
      </c>
      <c r="F190" s="627">
        <v>45511</v>
      </c>
    </row>
    <row r="191" spans="1:6" outlineLevel="1">
      <c r="B191" s="815" t="s">
        <v>1556</v>
      </c>
      <c r="C191" s="131" t="s">
        <v>77</v>
      </c>
      <c r="D191" s="647">
        <v>1033.69</v>
      </c>
      <c r="E191" s="131" t="s">
        <v>823</v>
      </c>
      <c r="F191" s="627">
        <v>45511</v>
      </c>
    </row>
    <row r="192" spans="1:6" outlineLevel="1">
      <c r="B192" s="815" t="s">
        <v>1558</v>
      </c>
      <c r="C192" s="131" t="s">
        <v>77</v>
      </c>
      <c r="D192" s="647">
        <v>2463.0100000000002</v>
      </c>
      <c r="E192" s="131" t="s">
        <v>823</v>
      </c>
      <c r="F192" s="627">
        <v>45511</v>
      </c>
    </row>
    <row r="193" spans="2:6" outlineLevel="1">
      <c r="B193" s="815" t="s">
        <v>1559</v>
      </c>
      <c r="C193" s="131" t="s">
        <v>77</v>
      </c>
      <c r="D193" s="647">
        <v>941.51</v>
      </c>
      <c r="E193" s="131" t="s">
        <v>823</v>
      </c>
      <c r="F193" s="627">
        <v>45511</v>
      </c>
    </row>
    <row r="194" spans="2:6" outlineLevel="1">
      <c r="B194" s="815" t="s">
        <v>1560</v>
      </c>
      <c r="C194" s="131" t="s">
        <v>77</v>
      </c>
      <c r="D194" s="647">
        <v>2395.37</v>
      </c>
      <c r="E194" s="131" t="s">
        <v>823</v>
      </c>
      <c r="F194" s="627">
        <v>45511</v>
      </c>
    </row>
    <row r="195" spans="2:6" outlineLevel="1">
      <c r="B195" s="815" t="s">
        <v>1561</v>
      </c>
      <c r="C195" s="131" t="s">
        <v>77</v>
      </c>
      <c r="D195" s="647">
        <v>123.2</v>
      </c>
      <c r="E195" s="131" t="s">
        <v>823</v>
      </c>
      <c r="F195" s="627">
        <v>45511</v>
      </c>
    </row>
    <row r="196" spans="2:6" outlineLevel="1">
      <c r="B196" s="832" t="s">
        <v>1708</v>
      </c>
      <c r="C196" s="131" t="s">
        <v>77</v>
      </c>
      <c r="D196" s="647">
        <f>+D189+D190+D191+D191+D195</f>
        <v>3170.7799999999997</v>
      </c>
      <c r="E196" s="131" t="s">
        <v>823</v>
      </c>
      <c r="F196" s="627">
        <v>45511</v>
      </c>
    </row>
    <row r="197" spans="2:6" outlineLevel="1">
      <c r="B197" s="832" t="s">
        <v>1709</v>
      </c>
      <c r="C197" s="131" t="s">
        <v>77</v>
      </c>
      <c r="D197" s="647">
        <f>+D189+D190+D192</f>
        <v>3443.21</v>
      </c>
      <c r="E197" s="131" t="s">
        <v>823</v>
      </c>
      <c r="F197" s="627">
        <v>45511</v>
      </c>
    </row>
    <row r="198" spans="2:6" outlineLevel="1">
      <c r="B198" s="832" t="s">
        <v>1710</v>
      </c>
      <c r="C198" s="131" t="s">
        <v>77</v>
      </c>
      <c r="D198" s="647">
        <f>+D189+D190+D193+D195+D195</f>
        <v>2168.11</v>
      </c>
      <c r="E198" s="131" t="s">
        <v>823</v>
      </c>
      <c r="F198" s="627">
        <v>45511</v>
      </c>
    </row>
    <row r="199" spans="2:6" outlineLevel="1">
      <c r="B199" s="832" t="s">
        <v>1711</v>
      </c>
      <c r="C199" s="131" t="s">
        <v>77</v>
      </c>
      <c r="D199" s="647">
        <f>+D189+D190+D194+D195+D195</f>
        <v>3621.9699999999993</v>
      </c>
      <c r="E199" s="131" t="s">
        <v>823</v>
      </c>
      <c r="F199" s="627">
        <v>45511</v>
      </c>
    </row>
    <row r="200" spans="2:6" outlineLevel="1">
      <c r="B200" s="800" t="s">
        <v>1712</v>
      </c>
      <c r="C200" s="628" t="s">
        <v>77</v>
      </c>
      <c r="D200" s="648">
        <f>+D189+D190+D195*3</f>
        <v>1349.8000000000002</v>
      </c>
      <c r="E200" s="131" t="s">
        <v>823</v>
      </c>
      <c r="F200" s="627">
        <v>45511</v>
      </c>
    </row>
    <row r="201" spans="2:6">
      <c r="B201" s="623" t="s">
        <v>925</v>
      </c>
      <c r="C201" s="624"/>
      <c r="D201" s="400"/>
      <c r="E201" s="624"/>
      <c r="F201" s="625"/>
    </row>
    <row r="202" spans="2:6" outlineLevel="1">
      <c r="B202" s="461" t="s">
        <v>635</v>
      </c>
      <c r="C202" s="462" t="s">
        <v>513</v>
      </c>
      <c r="D202" s="657">
        <v>8700.93</v>
      </c>
      <c r="E202" s="462" t="s">
        <v>821</v>
      </c>
      <c r="F202" s="626">
        <v>45386</v>
      </c>
    </row>
    <row r="203" spans="2:6" outlineLevel="1">
      <c r="B203" s="129" t="s">
        <v>636</v>
      </c>
      <c r="C203" s="131" t="s">
        <v>513</v>
      </c>
      <c r="D203" s="658">
        <v>11275.8</v>
      </c>
      <c r="E203" s="131" t="s">
        <v>821</v>
      </c>
      <c r="F203" s="627">
        <v>45386</v>
      </c>
    </row>
    <row r="204" spans="2:6" outlineLevel="1">
      <c r="B204" s="129" t="s">
        <v>637</v>
      </c>
      <c r="C204" s="131" t="s">
        <v>513</v>
      </c>
      <c r="D204" s="658">
        <v>17189.07</v>
      </c>
      <c r="E204" s="131" t="s">
        <v>821</v>
      </c>
      <c r="F204" s="627">
        <v>45386</v>
      </c>
    </row>
    <row r="205" spans="2:6" outlineLevel="1">
      <c r="B205" s="129" t="s">
        <v>638</v>
      </c>
      <c r="C205" s="131" t="s">
        <v>77</v>
      </c>
      <c r="D205" s="658">
        <v>790.58</v>
      </c>
      <c r="E205" s="131" t="s">
        <v>821</v>
      </c>
      <c r="F205" s="627">
        <v>45386</v>
      </c>
    </row>
    <row r="206" spans="2:6" outlineLevel="1">
      <c r="B206" s="129" t="s">
        <v>639</v>
      </c>
      <c r="C206" s="131" t="s">
        <v>77</v>
      </c>
      <c r="D206" s="658">
        <v>892.21</v>
      </c>
      <c r="E206" s="131" t="s">
        <v>821</v>
      </c>
      <c r="F206" s="627">
        <v>45386</v>
      </c>
    </row>
    <row r="207" spans="2:6" outlineLevel="1">
      <c r="B207" s="129" t="s">
        <v>640</v>
      </c>
      <c r="C207" s="131" t="s">
        <v>77</v>
      </c>
      <c r="D207" s="658">
        <v>1012.83</v>
      </c>
      <c r="E207" s="131" t="s">
        <v>821</v>
      </c>
      <c r="F207" s="627">
        <v>45386</v>
      </c>
    </row>
    <row r="208" spans="2:6" outlineLevel="1">
      <c r="B208" s="129" t="s">
        <v>641</v>
      </c>
      <c r="C208" s="131" t="s">
        <v>77</v>
      </c>
      <c r="D208" s="658">
        <v>11214.27</v>
      </c>
      <c r="E208" s="131" t="s">
        <v>821</v>
      </c>
      <c r="F208" s="627">
        <v>45386</v>
      </c>
    </row>
    <row r="209" spans="2:6" outlineLevel="1">
      <c r="B209" s="129" t="s">
        <v>642</v>
      </c>
      <c r="C209" s="131" t="s">
        <v>77</v>
      </c>
      <c r="D209" s="658">
        <v>11223.8</v>
      </c>
      <c r="E209" s="131" t="s">
        <v>821</v>
      </c>
      <c r="F209" s="627">
        <v>45386</v>
      </c>
    </row>
    <row r="210" spans="2:6" outlineLevel="1">
      <c r="B210" s="129" t="s">
        <v>643</v>
      </c>
      <c r="C210" s="131" t="s">
        <v>77</v>
      </c>
      <c r="D210" s="658">
        <v>27137.16</v>
      </c>
      <c r="E210" s="131" t="s">
        <v>821</v>
      </c>
      <c r="F210" s="627">
        <v>45386</v>
      </c>
    </row>
    <row r="211" spans="2:6" outlineLevel="1">
      <c r="B211" s="129" t="s">
        <v>644</v>
      </c>
      <c r="C211" s="131" t="s">
        <v>77</v>
      </c>
      <c r="D211" s="658">
        <v>2130.4699999999998</v>
      </c>
      <c r="E211" s="131" t="s">
        <v>821</v>
      </c>
      <c r="F211" s="627">
        <v>45386</v>
      </c>
    </row>
    <row r="212" spans="2:6" outlineLevel="1">
      <c r="B212" s="129" t="s">
        <v>645</v>
      </c>
      <c r="C212" s="131" t="s">
        <v>77</v>
      </c>
      <c r="D212" s="658">
        <v>2803.58</v>
      </c>
      <c r="E212" s="131" t="s">
        <v>821</v>
      </c>
      <c r="F212" s="627">
        <v>45386</v>
      </c>
    </row>
    <row r="213" spans="2:6" outlineLevel="1">
      <c r="B213" s="129" t="s">
        <v>646</v>
      </c>
      <c r="C213" s="131" t="s">
        <v>77</v>
      </c>
      <c r="D213" s="658">
        <v>755.65</v>
      </c>
      <c r="E213" s="131" t="s">
        <v>821</v>
      </c>
      <c r="F213" s="627">
        <v>45386</v>
      </c>
    </row>
    <row r="214" spans="2:6" outlineLevel="1">
      <c r="B214" s="129" t="s">
        <v>647</v>
      </c>
      <c r="C214" s="131" t="s">
        <v>77</v>
      </c>
      <c r="D214" s="658">
        <v>889.01</v>
      </c>
      <c r="E214" s="131" t="s">
        <v>821</v>
      </c>
      <c r="F214" s="627">
        <v>45386</v>
      </c>
    </row>
    <row r="215" spans="2:6" outlineLevel="1">
      <c r="B215" s="129" t="s">
        <v>648</v>
      </c>
      <c r="C215" s="131" t="s">
        <v>77</v>
      </c>
      <c r="D215" s="658">
        <v>2984.54</v>
      </c>
      <c r="E215" s="131" t="s">
        <v>821</v>
      </c>
      <c r="F215" s="627">
        <v>45386</v>
      </c>
    </row>
    <row r="216" spans="2:6" outlineLevel="1">
      <c r="B216" s="129" t="s">
        <v>649</v>
      </c>
      <c r="C216" s="131" t="s">
        <v>77</v>
      </c>
      <c r="D216" s="658">
        <v>2009.81</v>
      </c>
      <c r="E216" s="131" t="s">
        <v>821</v>
      </c>
      <c r="F216" s="627">
        <v>45386</v>
      </c>
    </row>
    <row r="217" spans="2:6" outlineLevel="1">
      <c r="B217" s="129" t="s">
        <v>650</v>
      </c>
      <c r="C217" s="131" t="s">
        <v>77</v>
      </c>
      <c r="D217" s="658">
        <v>4638.74</v>
      </c>
      <c r="E217" s="131" t="s">
        <v>821</v>
      </c>
      <c r="F217" s="627">
        <v>45386</v>
      </c>
    </row>
    <row r="218" spans="2:6" outlineLevel="1">
      <c r="B218" s="129" t="s">
        <v>651</v>
      </c>
      <c r="C218" s="131" t="s">
        <v>77</v>
      </c>
      <c r="D218" s="658">
        <v>1054.0999999999999</v>
      </c>
      <c r="E218" s="131" t="s">
        <v>821</v>
      </c>
      <c r="F218" s="627">
        <v>45386</v>
      </c>
    </row>
    <row r="219" spans="2:6" outlineLevel="1">
      <c r="B219" s="129" t="s">
        <v>652</v>
      </c>
      <c r="C219" s="131" t="s">
        <v>77</v>
      </c>
      <c r="D219" s="658">
        <v>1149.3699999999999</v>
      </c>
      <c r="E219" s="131" t="s">
        <v>821</v>
      </c>
      <c r="F219" s="627">
        <v>45386</v>
      </c>
    </row>
    <row r="220" spans="2:6" outlineLevel="1">
      <c r="B220" s="129" t="s">
        <v>653</v>
      </c>
      <c r="C220" s="131" t="s">
        <v>77</v>
      </c>
      <c r="D220" s="658">
        <v>1765.33</v>
      </c>
      <c r="E220" s="131" t="s">
        <v>821</v>
      </c>
      <c r="F220" s="627">
        <v>45386</v>
      </c>
    </row>
    <row r="221" spans="2:6" outlineLevel="1">
      <c r="B221" s="129" t="s">
        <v>654</v>
      </c>
      <c r="C221" s="131" t="s">
        <v>77</v>
      </c>
      <c r="D221" s="658">
        <v>2914.69</v>
      </c>
      <c r="E221" s="131" t="s">
        <v>821</v>
      </c>
      <c r="F221" s="627">
        <v>45386</v>
      </c>
    </row>
    <row r="222" spans="2:6" outlineLevel="1">
      <c r="B222" s="129" t="s">
        <v>655</v>
      </c>
      <c r="C222" s="131" t="s">
        <v>77</v>
      </c>
      <c r="D222" s="658">
        <v>96999.1</v>
      </c>
      <c r="E222" s="131" t="s">
        <v>821</v>
      </c>
      <c r="F222" s="627">
        <v>45386</v>
      </c>
    </row>
    <row r="223" spans="2:6" outlineLevel="1">
      <c r="B223" s="129" t="s">
        <v>656</v>
      </c>
      <c r="C223" s="131" t="s">
        <v>77</v>
      </c>
      <c r="D223" s="658">
        <v>47915.33</v>
      </c>
      <c r="E223" s="131" t="s">
        <v>821</v>
      </c>
      <c r="F223" s="627">
        <v>45386</v>
      </c>
    </row>
    <row r="224" spans="2:6" outlineLevel="1">
      <c r="B224" s="129" t="s">
        <v>657</v>
      </c>
      <c r="C224" s="131" t="s">
        <v>77</v>
      </c>
      <c r="D224" s="658">
        <v>9687.35</v>
      </c>
      <c r="E224" s="131" t="s">
        <v>821</v>
      </c>
      <c r="F224" s="627">
        <v>45386</v>
      </c>
    </row>
    <row r="225" spans="2:6" outlineLevel="1">
      <c r="B225" s="129" t="s">
        <v>658</v>
      </c>
      <c r="C225" s="131" t="s">
        <v>77</v>
      </c>
      <c r="D225" s="658">
        <v>2277.37</v>
      </c>
      <c r="E225" s="131" t="s">
        <v>821</v>
      </c>
      <c r="F225" s="627">
        <v>45386</v>
      </c>
    </row>
    <row r="226" spans="2:6" outlineLevel="1">
      <c r="B226" s="129" t="s">
        <v>659</v>
      </c>
      <c r="C226" s="131" t="s">
        <v>77</v>
      </c>
      <c r="D226" s="658">
        <v>45245.06</v>
      </c>
      <c r="E226" s="131" t="s">
        <v>821</v>
      </c>
      <c r="F226" s="627">
        <v>45386</v>
      </c>
    </row>
    <row r="227" spans="2:6" outlineLevel="1">
      <c r="B227" s="129" t="s">
        <v>616</v>
      </c>
      <c r="C227" s="131" t="s">
        <v>77</v>
      </c>
      <c r="D227" s="658">
        <v>79936.2</v>
      </c>
      <c r="E227" s="131" t="s">
        <v>821</v>
      </c>
      <c r="F227" s="627">
        <v>45386</v>
      </c>
    </row>
    <row r="228" spans="2:6" outlineLevel="1">
      <c r="B228" s="129" t="s">
        <v>660</v>
      </c>
      <c r="C228" s="131" t="s">
        <v>77</v>
      </c>
      <c r="D228" s="658">
        <v>17172.13</v>
      </c>
      <c r="E228" s="131" t="s">
        <v>821</v>
      </c>
      <c r="F228" s="627">
        <v>45386</v>
      </c>
    </row>
    <row r="229" spans="2:6" outlineLevel="1">
      <c r="B229" s="129" t="s">
        <v>661</v>
      </c>
      <c r="C229" s="131" t="s">
        <v>77</v>
      </c>
      <c r="D229" s="658">
        <v>21998.63</v>
      </c>
      <c r="E229" s="131" t="s">
        <v>821</v>
      </c>
      <c r="F229" s="627">
        <v>45386</v>
      </c>
    </row>
    <row r="230" spans="2:6" outlineLevel="1">
      <c r="B230" s="553" t="s">
        <v>662</v>
      </c>
      <c r="C230" s="628" t="s">
        <v>77</v>
      </c>
      <c r="D230" s="659">
        <v>927.95</v>
      </c>
      <c r="E230" s="628" t="s">
        <v>821</v>
      </c>
      <c r="F230" s="629">
        <v>45386</v>
      </c>
    </row>
    <row r="231" spans="2:6">
      <c r="B231" s="623" t="s">
        <v>926</v>
      </c>
      <c r="C231" s="624"/>
      <c r="D231" s="400"/>
      <c r="E231" s="624"/>
      <c r="F231" s="625"/>
    </row>
    <row r="232" spans="2:6" outlineLevel="1">
      <c r="B232" s="461" t="s">
        <v>179</v>
      </c>
      <c r="C232" s="462" t="s">
        <v>77</v>
      </c>
      <c r="D232" s="646">
        <v>46242</v>
      </c>
      <c r="E232" s="462" t="s">
        <v>927</v>
      </c>
      <c r="F232" s="626">
        <v>45505</v>
      </c>
    </row>
    <row r="233" spans="2:6" outlineLevel="1">
      <c r="B233" s="129" t="s">
        <v>180</v>
      </c>
      <c r="C233" s="131" t="s">
        <v>77</v>
      </c>
      <c r="D233" s="647">
        <v>53050</v>
      </c>
      <c r="E233" s="131" t="s">
        <v>927</v>
      </c>
      <c r="F233" s="627">
        <v>45505</v>
      </c>
    </row>
    <row r="234" spans="2:6" outlineLevel="1">
      <c r="B234" s="129" t="s">
        <v>181</v>
      </c>
      <c r="C234" s="131" t="s">
        <v>77</v>
      </c>
      <c r="D234" s="647">
        <v>300752.09999999998</v>
      </c>
      <c r="E234" s="131" t="s">
        <v>927</v>
      </c>
      <c r="F234" s="627">
        <v>45505</v>
      </c>
    </row>
    <row r="235" spans="2:6" outlineLevel="1">
      <c r="B235" s="129" t="s">
        <v>182</v>
      </c>
      <c r="C235" s="131" t="s">
        <v>77</v>
      </c>
      <c r="D235" s="647">
        <v>27646.3</v>
      </c>
      <c r="E235" s="131" t="s">
        <v>927</v>
      </c>
      <c r="F235" s="627">
        <v>45505</v>
      </c>
    </row>
    <row r="236" spans="2:6" outlineLevel="1">
      <c r="B236" s="129" t="s">
        <v>183</v>
      </c>
      <c r="C236" s="131" t="s">
        <v>77</v>
      </c>
      <c r="D236" s="647">
        <v>78188.100000000006</v>
      </c>
      <c r="E236" s="131" t="s">
        <v>927</v>
      </c>
      <c r="F236" s="627">
        <v>45505</v>
      </c>
    </row>
    <row r="237" spans="2:6" outlineLevel="1">
      <c r="B237" s="129" t="s">
        <v>184</v>
      </c>
      <c r="C237" s="131" t="s">
        <v>77</v>
      </c>
      <c r="D237" s="647">
        <v>56503.8</v>
      </c>
      <c r="E237" s="131" t="s">
        <v>927</v>
      </c>
      <c r="F237" s="627">
        <v>45505</v>
      </c>
    </row>
    <row r="238" spans="2:6" outlineLevel="1">
      <c r="B238" s="129" t="s">
        <v>619</v>
      </c>
      <c r="C238" s="131" t="s">
        <v>513</v>
      </c>
      <c r="D238" s="647">
        <v>191048</v>
      </c>
      <c r="E238" s="131" t="s">
        <v>927</v>
      </c>
      <c r="F238" s="627">
        <v>45505</v>
      </c>
    </row>
    <row r="239" spans="2:6" outlineLevel="1">
      <c r="B239" s="129" t="s">
        <v>620</v>
      </c>
      <c r="C239" s="131" t="s">
        <v>513</v>
      </c>
      <c r="D239" s="647">
        <v>266426</v>
      </c>
      <c r="E239" s="131" t="s">
        <v>927</v>
      </c>
      <c r="F239" s="627">
        <v>45505</v>
      </c>
    </row>
    <row r="240" spans="2:6" outlineLevel="1">
      <c r="B240" s="129" t="s">
        <v>621</v>
      </c>
      <c r="C240" s="131" t="s">
        <v>77</v>
      </c>
      <c r="D240" s="647">
        <v>18775.3</v>
      </c>
      <c r="E240" s="131" t="s">
        <v>927</v>
      </c>
      <c r="F240" s="627">
        <v>45505</v>
      </c>
    </row>
    <row r="241" spans="2:6" outlineLevel="1">
      <c r="B241" s="129" t="s">
        <v>622</v>
      </c>
      <c r="C241" s="131" t="s">
        <v>77</v>
      </c>
      <c r="D241" s="647">
        <v>16598</v>
      </c>
      <c r="E241" s="131" t="s">
        <v>927</v>
      </c>
      <c r="F241" s="627">
        <v>45505</v>
      </c>
    </row>
    <row r="242" spans="2:6" outlineLevel="1">
      <c r="B242" s="129" t="s">
        <v>623</v>
      </c>
      <c r="C242" s="131" t="s">
        <v>77</v>
      </c>
      <c r="D242" s="647">
        <v>13695</v>
      </c>
      <c r="E242" s="131" t="s">
        <v>927</v>
      </c>
      <c r="F242" s="627">
        <v>45505</v>
      </c>
    </row>
    <row r="243" spans="2:6" outlineLevel="1">
      <c r="B243" s="129" t="s">
        <v>624</v>
      </c>
      <c r="C243" s="131" t="s">
        <v>77</v>
      </c>
      <c r="D243" s="647">
        <v>7191.2</v>
      </c>
      <c r="E243" s="131" t="s">
        <v>927</v>
      </c>
      <c r="F243" s="627">
        <v>45505</v>
      </c>
    </row>
    <row r="244" spans="2:6" outlineLevel="1">
      <c r="B244" s="129" t="s">
        <v>625</v>
      </c>
      <c r="C244" s="131" t="s">
        <v>77</v>
      </c>
      <c r="D244" s="647">
        <v>6723.2</v>
      </c>
      <c r="E244" s="131" t="s">
        <v>927</v>
      </c>
      <c r="F244" s="627">
        <v>45505</v>
      </c>
    </row>
    <row r="245" spans="2:6" outlineLevel="1">
      <c r="B245" s="129" t="s">
        <v>928</v>
      </c>
      <c r="C245" s="131" t="s">
        <v>77</v>
      </c>
      <c r="D245" s="647">
        <v>4383.5</v>
      </c>
      <c r="E245" s="131" t="s">
        <v>927</v>
      </c>
      <c r="F245" s="627">
        <v>45505</v>
      </c>
    </row>
    <row r="246" spans="2:6" outlineLevel="1">
      <c r="B246" s="129" t="s">
        <v>627</v>
      </c>
      <c r="C246" s="131" t="s">
        <v>77</v>
      </c>
      <c r="D246" s="647">
        <v>11704.5</v>
      </c>
      <c r="E246" s="131" t="s">
        <v>927</v>
      </c>
      <c r="F246" s="627">
        <v>45505</v>
      </c>
    </row>
    <row r="247" spans="2:6" outlineLevel="1">
      <c r="B247" s="129" t="s">
        <v>628</v>
      </c>
      <c r="C247" s="131" t="s">
        <v>77</v>
      </c>
      <c r="D247" s="647">
        <v>5548.6</v>
      </c>
      <c r="E247" s="131" t="s">
        <v>927</v>
      </c>
      <c r="F247" s="627">
        <v>45505</v>
      </c>
    </row>
    <row r="248" spans="2:6" outlineLevel="1">
      <c r="B248" s="129" t="s">
        <v>929</v>
      </c>
      <c r="C248" s="131" t="s">
        <v>77</v>
      </c>
      <c r="D248" s="647">
        <v>90012</v>
      </c>
      <c r="E248" s="131" t="s">
        <v>927</v>
      </c>
      <c r="F248" s="627">
        <v>45505</v>
      </c>
    </row>
    <row r="249" spans="2:6" outlineLevel="1">
      <c r="B249" s="129" t="s">
        <v>930</v>
      </c>
      <c r="C249" s="628" t="s">
        <v>77</v>
      </c>
      <c r="D249" s="648">
        <v>313703</v>
      </c>
      <c r="E249" s="628" t="s">
        <v>927</v>
      </c>
      <c r="F249" s="629">
        <v>45505</v>
      </c>
    </row>
    <row r="250" spans="2:6">
      <c r="B250" s="623" t="s">
        <v>931</v>
      </c>
      <c r="C250" s="624"/>
      <c r="D250" s="400"/>
      <c r="E250" s="624"/>
      <c r="F250" s="625"/>
    </row>
    <row r="251" spans="2:6" outlineLevel="1">
      <c r="B251" s="461" t="s">
        <v>512</v>
      </c>
      <c r="C251" s="462" t="s">
        <v>513</v>
      </c>
      <c r="D251" s="657">
        <v>3413.01</v>
      </c>
      <c r="E251" s="462" t="s">
        <v>821</v>
      </c>
      <c r="F251" s="626">
        <v>45386</v>
      </c>
    </row>
    <row r="252" spans="2:6" outlineLevel="1">
      <c r="B252" s="129" t="s">
        <v>514</v>
      </c>
      <c r="C252" s="131" t="s">
        <v>77</v>
      </c>
      <c r="D252" s="658">
        <v>1053.01</v>
      </c>
      <c r="E252" s="131" t="s">
        <v>821</v>
      </c>
      <c r="F252" s="627">
        <v>45386</v>
      </c>
    </row>
    <row r="253" spans="2:6" outlineLevel="1">
      <c r="B253" s="129" t="s">
        <v>515</v>
      </c>
      <c r="C253" s="131" t="s">
        <v>77</v>
      </c>
      <c r="D253" s="658">
        <v>170.54</v>
      </c>
      <c r="E253" s="131" t="s">
        <v>821</v>
      </c>
      <c r="F253" s="627">
        <v>45386</v>
      </c>
    </row>
    <row r="254" spans="2:6" outlineLevel="1">
      <c r="B254" s="129" t="s">
        <v>516</v>
      </c>
      <c r="C254" s="131" t="s">
        <v>77</v>
      </c>
      <c r="D254" s="658">
        <v>221.09</v>
      </c>
      <c r="E254" s="131" t="s">
        <v>821</v>
      </c>
      <c r="F254" s="627">
        <v>45386</v>
      </c>
    </row>
    <row r="255" spans="2:6" outlineLevel="1">
      <c r="B255" s="129" t="s">
        <v>517</v>
      </c>
      <c r="C255" s="131" t="s">
        <v>77</v>
      </c>
      <c r="D255" s="658">
        <v>1113.46</v>
      </c>
      <c r="E255" s="131" t="s">
        <v>821</v>
      </c>
      <c r="F255" s="627">
        <v>45386</v>
      </c>
    </row>
    <row r="256" spans="2:6" outlineLevel="1">
      <c r="B256" s="129" t="s">
        <v>518</v>
      </c>
      <c r="C256" s="131" t="s">
        <v>77</v>
      </c>
      <c r="D256" s="658">
        <v>749.31</v>
      </c>
      <c r="E256" s="131" t="s">
        <v>821</v>
      </c>
      <c r="F256" s="627">
        <v>45386</v>
      </c>
    </row>
    <row r="257" spans="2:6" outlineLevel="1">
      <c r="B257" s="129" t="s">
        <v>519</v>
      </c>
      <c r="C257" s="131" t="s">
        <v>77</v>
      </c>
      <c r="D257" s="658">
        <v>1249.6199999999999</v>
      </c>
      <c r="E257" s="131" t="s">
        <v>821</v>
      </c>
      <c r="F257" s="627">
        <v>45386</v>
      </c>
    </row>
    <row r="258" spans="2:6" outlineLevel="1">
      <c r="B258" s="129" t="s">
        <v>520</v>
      </c>
      <c r="C258" s="131" t="s">
        <v>77</v>
      </c>
      <c r="D258" s="658">
        <v>1473.75</v>
      </c>
      <c r="E258" s="131" t="s">
        <v>821</v>
      </c>
      <c r="F258" s="627">
        <v>45386</v>
      </c>
    </row>
    <row r="259" spans="2:6" outlineLevel="1">
      <c r="B259" s="129" t="s">
        <v>521</v>
      </c>
      <c r="C259" s="131" t="s">
        <v>77</v>
      </c>
      <c r="D259" s="658">
        <v>8218.11</v>
      </c>
      <c r="E259" s="131" t="s">
        <v>821</v>
      </c>
      <c r="F259" s="627">
        <v>45386</v>
      </c>
    </row>
    <row r="260" spans="2:6" outlineLevel="1">
      <c r="B260" s="129" t="s">
        <v>522</v>
      </c>
      <c r="C260" s="131" t="s">
        <v>77</v>
      </c>
      <c r="D260" s="658">
        <v>269.5</v>
      </c>
      <c r="E260" s="131" t="s">
        <v>821</v>
      </c>
      <c r="F260" s="627">
        <v>45386</v>
      </c>
    </row>
    <row r="261" spans="2:6" outlineLevel="1">
      <c r="B261" s="129" t="s">
        <v>523</v>
      </c>
      <c r="C261" s="131" t="s">
        <v>77</v>
      </c>
      <c r="D261" s="658">
        <v>5556.4</v>
      </c>
      <c r="E261" s="131" t="s">
        <v>821</v>
      </c>
      <c r="F261" s="627">
        <v>45386</v>
      </c>
    </row>
    <row r="262" spans="2:6" outlineLevel="1">
      <c r="B262" s="129" t="s">
        <v>524</v>
      </c>
      <c r="C262" s="131" t="s">
        <v>513</v>
      </c>
      <c r="D262" s="658">
        <v>8112.67</v>
      </c>
      <c r="E262" s="131" t="s">
        <v>821</v>
      </c>
      <c r="F262" s="627">
        <v>45386</v>
      </c>
    </row>
    <row r="263" spans="2:6" outlineLevel="1">
      <c r="B263" s="129" t="s">
        <v>525</v>
      </c>
      <c r="C263" s="131" t="s">
        <v>513</v>
      </c>
      <c r="D263" s="658">
        <v>8739.92</v>
      </c>
      <c r="E263" s="131" t="s">
        <v>821</v>
      </c>
      <c r="F263" s="627">
        <v>45386</v>
      </c>
    </row>
    <row r="264" spans="2:6" outlineLevel="1">
      <c r="B264" s="129" t="s">
        <v>526</v>
      </c>
      <c r="C264" s="131" t="s">
        <v>77</v>
      </c>
      <c r="D264" s="658">
        <v>1317.34</v>
      </c>
      <c r="E264" s="131" t="s">
        <v>821</v>
      </c>
      <c r="F264" s="627">
        <v>45386</v>
      </c>
    </row>
    <row r="265" spans="2:6" outlineLevel="1">
      <c r="B265" s="129" t="s">
        <v>527</v>
      </c>
      <c r="C265" s="131" t="s">
        <v>77</v>
      </c>
      <c r="D265" s="658">
        <v>286.35000000000002</v>
      </c>
      <c r="E265" s="131" t="s">
        <v>821</v>
      </c>
      <c r="F265" s="627">
        <v>45386</v>
      </c>
    </row>
    <row r="266" spans="2:6" outlineLevel="1">
      <c r="B266" s="129" t="s">
        <v>528</v>
      </c>
      <c r="C266" s="131" t="s">
        <v>77</v>
      </c>
      <c r="D266" s="658">
        <v>360.04</v>
      </c>
      <c r="E266" s="131" t="s">
        <v>821</v>
      </c>
      <c r="F266" s="627">
        <v>45386</v>
      </c>
    </row>
    <row r="267" spans="2:6" outlineLevel="1">
      <c r="B267" s="129" t="s">
        <v>529</v>
      </c>
      <c r="C267" s="131" t="s">
        <v>77</v>
      </c>
      <c r="D267" s="658">
        <v>1649.9</v>
      </c>
      <c r="E267" s="131" t="s">
        <v>821</v>
      </c>
      <c r="F267" s="627">
        <v>45386</v>
      </c>
    </row>
    <row r="268" spans="2:6" outlineLevel="1">
      <c r="B268" s="129" t="s">
        <v>530</v>
      </c>
      <c r="C268" s="131" t="s">
        <v>77</v>
      </c>
      <c r="D268" s="658">
        <v>539.02</v>
      </c>
      <c r="E268" s="131" t="s">
        <v>821</v>
      </c>
      <c r="F268" s="627">
        <v>45386</v>
      </c>
    </row>
    <row r="269" spans="2:6" outlineLevel="1">
      <c r="B269" s="129" t="s">
        <v>531</v>
      </c>
      <c r="C269" s="131" t="s">
        <v>77</v>
      </c>
      <c r="D269" s="658">
        <v>5952.25</v>
      </c>
      <c r="E269" s="131" t="s">
        <v>821</v>
      </c>
      <c r="F269" s="627">
        <v>45386</v>
      </c>
    </row>
    <row r="270" spans="2:6" outlineLevel="1">
      <c r="B270" s="129" t="s">
        <v>562</v>
      </c>
      <c r="C270" s="131" t="s">
        <v>513</v>
      </c>
      <c r="D270" s="658">
        <v>10578.97</v>
      </c>
      <c r="E270" s="131" t="s">
        <v>821</v>
      </c>
      <c r="F270" s="627">
        <v>45386</v>
      </c>
    </row>
    <row r="271" spans="2:6" outlineLevel="1">
      <c r="B271" s="129" t="s">
        <v>564</v>
      </c>
      <c r="C271" s="131" t="s">
        <v>77</v>
      </c>
      <c r="D271" s="658">
        <v>416.89</v>
      </c>
      <c r="E271" s="131" t="s">
        <v>821</v>
      </c>
      <c r="F271" s="627">
        <v>45386</v>
      </c>
    </row>
    <row r="272" spans="2:6" outlineLevel="1">
      <c r="B272" s="129" t="s">
        <v>563</v>
      </c>
      <c r="C272" s="131" t="s">
        <v>77</v>
      </c>
      <c r="D272" s="658">
        <v>547.13</v>
      </c>
      <c r="E272" s="131" t="s">
        <v>821</v>
      </c>
      <c r="F272" s="627">
        <v>45386</v>
      </c>
    </row>
    <row r="273" spans="2:6" outlineLevel="1">
      <c r="B273" s="129" t="s">
        <v>579</v>
      </c>
      <c r="C273" s="131" t="s">
        <v>77</v>
      </c>
      <c r="D273" s="658">
        <v>797.99</v>
      </c>
      <c r="E273" s="131" t="s">
        <v>821</v>
      </c>
      <c r="F273" s="627">
        <v>45386</v>
      </c>
    </row>
    <row r="274" spans="2:6" outlineLevel="1">
      <c r="B274" s="129" t="s">
        <v>532</v>
      </c>
      <c r="C274" s="131" t="s">
        <v>77</v>
      </c>
      <c r="D274" s="658">
        <v>11458.51</v>
      </c>
      <c r="E274" s="131" t="s">
        <v>821</v>
      </c>
      <c r="F274" s="627">
        <v>45386</v>
      </c>
    </row>
    <row r="275" spans="2:6" outlineLevel="1">
      <c r="B275" s="129" t="s">
        <v>565</v>
      </c>
      <c r="C275" s="131" t="s">
        <v>77</v>
      </c>
      <c r="D275" s="658">
        <v>13719.62</v>
      </c>
      <c r="E275" s="131" t="s">
        <v>821</v>
      </c>
      <c r="F275" s="627">
        <v>45386</v>
      </c>
    </row>
    <row r="276" spans="2:6" outlineLevel="1">
      <c r="B276" s="129" t="s">
        <v>543</v>
      </c>
      <c r="C276" s="131" t="s">
        <v>513</v>
      </c>
      <c r="D276" s="658">
        <v>14923.79</v>
      </c>
      <c r="E276" s="131" t="s">
        <v>821</v>
      </c>
      <c r="F276" s="627">
        <v>45386</v>
      </c>
    </row>
    <row r="277" spans="2:6" outlineLevel="1">
      <c r="B277" s="129" t="s">
        <v>555</v>
      </c>
      <c r="C277" s="131" t="s">
        <v>77</v>
      </c>
      <c r="D277" s="658">
        <v>983.08</v>
      </c>
      <c r="E277" s="131" t="s">
        <v>821</v>
      </c>
      <c r="F277" s="627">
        <v>45386</v>
      </c>
    </row>
    <row r="278" spans="2:6" outlineLevel="1">
      <c r="B278" s="129" t="s">
        <v>547</v>
      </c>
      <c r="C278" s="131" t="s">
        <v>77</v>
      </c>
      <c r="D278" s="658">
        <v>1216.04</v>
      </c>
      <c r="E278" s="131" t="s">
        <v>821</v>
      </c>
      <c r="F278" s="627">
        <v>45386</v>
      </c>
    </row>
    <row r="279" spans="2:6" outlineLevel="1">
      <c r="B279" s="129" t="s">
        <v>544</v>
      </c>
      <c r="C279" s="131" t="s">
        <v>77</v>
      </c>
      <c r="D279" s="658">
        <v>1724.68</v>
      </c>
      <c r="E279" s="131" t="s">
        <v>821</v>
      </c>
      <c r="F279" s="627">
        <v>45386</v>
      </c>
    </row>
    <row r="280" spans="2:6" outlineLevel="1">
      <c r="B280" s="129" t="s">
        <v>548</v>
      </c>
      <c r="C280" s="131" t="s">
        <v>77</v>
      </c>
      <c r="D280" s="658">
        <v>23190.09</v>
      </c>
      <c r="E280" s="131" t="s">
        <v>821</v>
      </c>
      <c r="F280" s="627">
        <v>45386</v>
      </c>
    </row>
    <row r="281" spans="2:6" outlineLevel="1">
      <c r="B281" s="129" t="s">
        <v>556</v>
      </c>
      <c r="C281" s="131" t="s">
        <v>513</v>
      </c>
      <c r="D281" s="658">
        <v>25838.28</v>
      </c>
      <c r="E281" s="131" t="s">
        <v>821</v>
      </c>
      <c r="F281" s="627">
        <v>45386</v>
      </c>
    </row>
    <row r="282" spans="2:6" outlineLevel="1">
      <c r="B282" s="129" t="s">
        <v>558</v>
      </c>
      <c r="C282" s="131" t="s">
        <v>77</v>
      </c>
      <c r="D282" s="658">
        <v>2897.99</v>
      </c>
      <c r="E282" s="131" t="s">
        <v>821</v>
      </c>
      <c r="F282" s="627">
        <v>45386</v>
      </c>
    </row>
    <row r="283" spans="2:6" outlineLevel="1">
      <c r="B283" s="129" t="s">
        <v>557</v>
      </c>
      <c r="C283" s="131" t="s">
        <v>77</v>
      </c>
      <c r="D283" s="658">
        <v>3447.24</v>
      </c>
      <c r="E283" s="131" t="s">
        <v>821</v>
      </c>
      <c r="F283" s="627">
        <v>45386</v>
      </c>
    </row>
    <row r="284" spans="2:6" outlineLevel="1">
      <c r="B284" s="129" t="s">
        <v>560</v>
      </c>
      <c r="C284" s="131" t="s">
        <v>77</v>
      </c>
      <c r="D284" s="658">
        <v>4842.8</v>
      </c>
      <c r="E284" s="131" t="s">
        <v>821</v>
      </c>
      <c r="F284" s="627">
        <v>45386</v>
      </c>
    </row>
    <row r="285" spans="2:6" outlineLevel="1">
      <c r="B285" s="129" t="s">
        <v>551</v>
      </c>
      <c r="C285" s="131" t="s">
        <v>77</v>
      </c>
      <c r="D285" s="658">
        <v>60034.81</v>
      </c>
      <c r="E285" s="131" t="s">
        <v>821</v>
      </c>
      <c r="F285" s="627">
        <v>45386</v>
      </c>
    </row>
    <row r="286" spans="2:6" outlineLevel="1">
      <c r="B286" s="129" t="s">
        <v>552</v>
      </c>
      <c r="C286" s="131" t="s">
        <v>77</v>
      </c>
      <c r="D286" s="658">
        <v>30025.37</v>
      </c>
      <c r="E286" s="131" t="s">
        <v>821</v>
      </c>
      <c r="F286" s="627">
        <v>45386</v>
      </c>
    </row>
    <row r="287" spans="2:6" outlineLevel="1">
      <c r="B287" s="129" t="s">
        <v>549</v>
      </c>
      <c r="C287" s="131" t="s">
        <v>77</v>
      </c>
      <c r="D287" s="658">
        <v>14475.62</v>
      </c>
      <c r="E287" s="131" t="s">
        <v>821</v>
      </c>
      <c r="F287" s="627">
        <v>45386</v>
      </c>
    </row>
    <row r="288" spans="2:6" outlineLevel="1">
      <c r="B288" s="129" t="s">
        <v>550</v>
      </c>
      <c r="C288" s="131" t="s">
        <v>77</v>
      </c>
      <c r="D288" s="658">
        <v>33128.06</v>
      </c>
      <c r="E288" s="131" t="s">
        <v>821</v>
      </c>
      <c r="F288" s="627">
        <v>45386</v>
      </c>
    </row>
    <row r="289" spans="2:6" outlineLevel="1">
      <c r="B289" s="129" t="s">
        <v>932</v>
      </c>
      <c r="C289" s="131" t="s">
        <v>77</v>
      </c>
      <c r="D289" s="658">
        <v>44160.56</v>
      </c>
      <c r="E289" s="131" t="s">
        <v>821</v>
      </c>
      <c r="F289" s="627">
        <v>45386</v>
      </c>
    </row>
    <row r="290" spans="2:6" outlineLevel="1">
      <c r="B290" s="129" t="s">
        <v>554</v>
      </c>
      <c r="C290" s="131" t="s">
        <v>77</v>
      </c>
      <c r="D290" s="658">
        <v>8495.82</v>
      </c>
      <c r="E290" s="131" t="s">
        <v>821</v>
      </c>
      <c r="F290" s="627">
        <v>45386</v>
      </c>
    </row>
    <row r="291" spans="2:6" outlineLevel="1">
      <c r="B291" s="129" t="s">
        <v>559</v>
      </c>
      <c r="C291" s="131" t="s">
        <v>77</v>
      </c>
      <c r="D291" s="658">
        <v>39516.019999999997</v>
      </c>
      <c r="E291" s="131" t="s">
        <v>821</v>
      </c>
      <c r="F291" s="627">
        <v>45386</v>
      </c>
    </row>
    <row r="292" spans="2:6" outlineLevel="1">
      <c r="B292" s="129" t="s">
        <v>533</v>
      </c>
      <c r="C292" s="131" t="s">
        <v>77</v>
      </c>
      <c r="D292" s="658">
        <v>192.35</v>
      </c>
      <c r="E292" s="131" t="s">
        <v>821</v>
      </c>
      <c r="F292" s="627">
        <v>45386</v>
      </c>
    </row>
    <row r="293" spans="2:6" outlineLevel="1">
      <c r="B293" s="129" t="s">
        <v>546</v>
      </c>
      <c r="C293" s="131" t="s">
        <v>77</v>
      </c>
      <c r="D293" s="658">
        <v>230.82</v>
      </c>
      <c r="E293" s="131" t="s">
        <v>821</v>
      </c>
      <c r="F293" s="627">
        <v>45386</v>
      </c>
    </row>
    <row r="294" spans="2:6" outlineLevel="1">
      <c r="B294" s="129" t="s">
        <v>933</v>
      </c>
      <c r="C294" s="131" t="s">
        <v>77</v>
      </c>
      <c r="D294" s="658">
        <v>839.87</v>
      </c>
      <c r="E294" s="131" t="s">
        <v>821</v>
      </c>
      <c r="F294" s="627">
        <v>45386</v>
      </c>
    </row>
    <row r="295" spans="2:6" outlineLevel="1">
      <c r="B295" s="129" t="s">
        <v>561</v>
      </c>
      <c r="C295" s="131" t="s">
        <v>77</v>
      </c>
      <c r="D295" s="658">
        <v>939.39</v>
      </c>
      <c r="E295" s="131" t="s">
        <v>821</v>
      </c>
      <c r="F295" s="627">
        <v>45386</v>
      </c>
    </row>
    <row r="296" spans="2:6" outlineLevel="1">
      <c r="B296" s="129" t="s">
        <v>545</v>
      </c>
      <c r="C296" s="131" t="s">
        <v>77</v>
      </c>
      <c r="D296" s="658">
        <v>312.41000000000003</v>
      </c>
      <c r="E296" s="131" t="s">
        <v>821</v>
      </c>
      <c r="F296" s="627">
        <v>45386</v>
      </c>
    </row>
    <row r="297" spans="2:6" outlineLevel="1">
      <c r="B297" s="129" t="s">
        <v>535</v>
      </c>
      <c r="C297" s="131" t="s">
        <v>77</v>
      </c>
      <c r="D297" s="658">
        <v>6836.03</v>
      </c>
      <c r="E297" s="131" t="s">
        <v>821</v>
      </c>
      <c r="F297" s="627">
        <v>45386</v>
      </c>
    </row>
    <row r="298" spans="2:6" outlineLevel="1">
      <c r="B298" s="129" t="s">
        <v>934</v>
      </c>
      <c r="C298" s="131" t="s">
        <v>77</v>
      </c>
      <c r="D298" s="658">
        <v>7629.5</v>
      </c>
      <c r="E298" s="131" t="s">
        <v>821</v>
      </c>
      <c r="F298" s="627">
        <v>45386</v>
      </c>
    </row>
    <row r="299" spans="2:6" outlineLevel="1">
      <c r="B299" s="129" t="s">
        <v>536</v>
      </c>
      <c r="C299" s="131" t="s">
        <v>77</v>
      </c>
      <c r="D299" s="658">
        <v>322.27999999999997</v>
      </c>
      <c r="E299" s="131" t="s">
        <v>821</v>
      </c>
      <c r="F299" s="627">
        <v>45386</v>
      </c>
    </row>
    <row r="300" spans="2:6" outlineLevel="1">
      <c r="B300" s="553" t="s">
        <v>553</v>
      </c>
      <c r="C300" s="628" t="s">
        <v>77</v>
      </c>
      <c r="D300" s="659">
        <v>7808.52</v>
      </c>
      <c r="E300" s="628" t="s">
        <v>821</v>
      </c>
      <c r="F300" s="629">
        <v>45386</v>
      </c>
    </row>
    <row r="301" spans="2:6">
      <c r="B301" s="623" t="s">
        <v>935</v>
      </c>
      <c r="C301" s="624"/>
      <c r="D301" s="400"/>
      <c r="E301" s="624"/>
      <c r="F301" s="625"/>
    </row>
    <row r="302" spans="2:6" outlineLevel="1">
      <c r="B302" s="461" t="s">
        <v>936</v>
      </c>
      <c r="C302" s="462" t="s">
        <v>513</v>
      </c>
      <c r="D302" s="657">
        <v>8719.3700000000008</v>
      </c>
      <c r="E302" s="462" t="s">
        <v>821</v>
      </c>
      <c r="F302" s="626">
        <v>45386</v>
      </c>
    </row>
    <row r="303" spans="2:6" outlineLevel="1">
      <c r="B303" s="129" t="s">
        <v>937</v>
      </c>
      <c r="C303" s="131" t="s">
        <v>77</v>
      </c>
      <c r="D303" s="658">
        <v>3358.21</v>
      </c>
      <c r="E303" s="131" t="s">
        <v>821</v>
      </c>
      <c r="F303" s="627">
        <v>45386</v>
      </c>
    </row>
    <row r="304" spans="2:6" outlineLevel="1">
      <c r="B304" s="129" t="s">
        <v>938</v>
      </c>
      <c r="C304" s="131" t="s">
        <v>77</v>
      </c>
      <c r="D304" s="658">
        <v>1459.61</v>
      </c>
      <c r="E304" s="131" t="s">
        <v>821</v>
      </c>
      <c r="F304" s="627">
        <v>45386</v>
      </c>
    </row>
    <row r="305" spans="2:6" outlineLevel="1">
      <c r="B305" s="129" t="s">
        <v>611</v>
      </c>
      <c r="C305" s="131" t="s">
        <v>513</v>
      </c>
      <c r="D305" s="658">
        <v>13427.08</v>
      </c>
      <c r="E305" s="131" t="s">
        <v>821</v>
      </c>
      <c r="F305" s="627">
        <v>45386</v>
      </c>
    </row>
    <row r="306" spans="2:6" outlineLevel="1">
      <c r="B306" s="129" t="s">
        <v>568</v>
      </c>
      <c r="C306" s="131" t="s">
        <v>513</v>
      </c>
      <c r="D306" s="658">
        <v>10683.07</v>
      </c>
      <c r="E306" s="131" t="s">
        <v>821</v>
      </c>
      <c r="F306" s="627">
        <v>45386</v>
      </c>
    </row>
    <row r="307" spans="2:6" outlineLevel="1">
      <c r="B307" s="129" t="s">
        <v>586</v>
      </c>
      <c r="C307" s="131" t="s">
        <v>513</v>
      </c>
      <c r="D307" s="658">
        <v>5862.76</v>
      </c>
      <c r="E307" s="131" t="s">
        <v>821</v>
      </c>
      <c r="F307" s="627">
        <v>45386</v>
      </c>
    </row>
    <row r="308" spans="2:6" outlineLevel="1">
      <c r="B308" s="129" t="s">
        <v>939</v>
      </c>
      <c r="C308" s="131" t="s">
        <v>77</v>
      </c>
      <c r="D308" s="658">
        <v>2432.62</v>
      </c>
      <c r="E308" s="131" t="s">
        <v>821</v>
      </c>
      <c r="F308" s="627">
        <v>45386</v>
      </c>
    </row>
    <row r="309" spans="2:6" outlineLevel="1">
      <c r="B309" s="129" t="s">
        <v>592</v>
      </c>
      <c r="C309" s="131" t="s">
        <v>513</v>
      </c>
      <c r="D309" s="658">
        <v>4732.4399999999996</v>
      </c>
      <c r="E309" s="131" t="s">
        <v>821</v>
      </c>
      <c r="F309" s="627">
        <v>45386</v>
      </c>
    </row>
    <row r="310" spans="2:6" outlineLevel="1">
      <c r="B310" s="129" t="s">
        <v>596</v>
      </c>
      <c r="C310" s="131" t="s">
        <v>513</v>
      </c>
      <c r="D310" s="658">
        <v>3738.7</v>
      </c>
      <c r="E310" s="131" t="s">
        <v>821</v>
      </c>
      <c r="F310" s="627">
        <v>45386</v>
      </c>
    </row>
    <row r="311" spans="2:6" outlineLevel="1">
      <c r="B311" s="129" t="s">
        <v>588</v>
      </c>
      <c r="C311" s="131" t="s">
        <v>77</v>
      </c>
      <c r="D311" s="658">
        <v>1126.0899999999999</v>
      </c>
      <c r="E311" s="131" t="s">
        <v>821</v>
      </c>
      <c r="F311" s="627">
        <v>45386</v>
      </c>
    </row>
    <row r="312" spans="2:6" outlineLevel="1">
      <c r="B312" s="129" t="s">
        <v>595</v>
      </c>
      <c r="C312" s="131" t="s">
        <v>77</v>
      </c>
      <c r="D312" s="658">
        <v>422.65</v>
      </c>
      <c r="E312" s="131" t="s">
        <v>821</v>
      </c>
      <c r="F312" s="627">
        <v>45386</v>
      </c>
    </row>
    <row r="313" spans="2:6" outlineLevel="1">
      <c r="B313" s="129" t="s">
        <v>600</v>
      </c>
      <c r="C313" s="131" t="s">
        <v>77</v>
      </c>
      <c r="D313" s="658">
        <v>261.10000000000002</v>
      </c>
      <c r="E313" s="131" t="s">
        <v>821</v>
      </c>
      <c r="F313" s="627">
        <v>45386</v>
      </c>
    </row>
    <row r="314" spans="2:6" outlineLevel="1">
      <c r="B314" s="129" t="s">
        <v>607</v>
      </c>
      <c r="C314" s="131" t="s">
        <v>77</v>
      </c>
      <c r="D314" s="658">
        <v>7119.73</v>
      </c>
      <c r="E314" s="131" t="s">
        <v>821</v>
      </c>
      <c r="F314" s="627">
        <v>45386</v>
      </c>
    </row>
    <row r="315" spans="2:6" outlineLevel="1">
      <c r="B315" s="129" t="s">
        <v>608</v>
      </c>
      <c r="C315" s="131" t="s">
        <v>77</v>
      </c>
      <c r="D315" s="658">
        <v>5043.1400000000003</v>
      </c>
      <c r="E315" s="131" t="s">
        <v>821</v>
      </c>
      <c r="F315" s="627">
        <v>45386</v>
      </c>
    </row>
    <row r="316" spans="2:6" outlineLevel="1">
      <c r="B316" s="129" t="s">
        <v>609</v>
      </c>
      <c r="C316" s="131" t="s">
        <v>77</v>
      </c>
      <c r="D316" s="658">
        <v>1744.36</v>
      </c>
      <c r="E316" s="131" t="s">
        <v>821</v>
      </c>
      <c r="F316" s="627">
        <v>45386</v>
      </c>
    </row>
    <row r="317" spans="2:6" outlineLevel="1">
      <c r="B317" s="129" t="s">
        <v>572</v>
      </c>
      <c r="C317" s="131" t="s">
        <v>77</v>
      </c>
      <c r="D317" s="658">
        <v>3343.16</v>
      </c>
      <c r="E317" s="131" t="s">
        <v>821</v>
      </c>
      <c r="F317" s="627">
        <v>45386</v>
      </c>
    </row>
    <row r="318" spans="2:6" outlineLevel="1">
      <c r="B318" s="129" t="s">
        <v>603</v>
      </c>
      <c r="C318" s="131" t="s">
        <v>77</v>
      </c>
      <c r="D318" s="658">
        <v>2368.12</v>
      </c>
      <c r="E318" s="131" t="s">
        <v>821</v>
      </c>
      <c r="F318" s="627">
        <v>45386</v>
      </c>
    </row>
    <row r="319" spans="2:6" outlineLevel="1">
      <c r="B319" s="129" t="s">
        <v>585</v>
      </c>
      <c r="C319" s="131" t="s">
        <v>77</v>
      </c>
      <c r="D319" s="658">
        <v>1613.61</v>
      </c>
      <c r="E319" s="131" t="s">
        <v>821</v>
      </c>
      <c r="F319" s="627">
        <v>45386</v>
      </c>
    </row>
    <row r="320" spans="2:6" outlineLevel="1">
      <c r="B320" s="129" t="s">
        <v>587</v>
      </c>
      <c r="C320" s="131" t="s">
        <v>77</v>
      </c>
      <c r="D320" s="658">
        <v>1509.23</v>
      </c>
      <c r="E320" s="131" t="s">
        <v>821</v>
      </c>
      <c r="F320" s="627">
        <v>45386</v>
      </c>
    </row>
    <row r="321" spans="2:6" outlineLevel="1">
      <c r="B321" s="129" t="s">
        <v>591</v>
      </c>
      <c r="C321" s="131" t="s">
        <v>77</v>
      </c>
      <c r="D321" s="658">
        <v>688.29</v>
      </c>
      <c r="E321" s="131" t="s">
        <v>821</v>
      </c>
      <c r="F321" s="627">
        <v>45386</v>
      </c>
    </row>
    <row r="322" spans="2:6" outlineLevel="1">
      <c r="B322" s="129" t="s">
        <v>594</v>
      </c>
      <c r="C322" s="131" t="s">
        <v>77</v>
      </c>
      <c r="D322" s="658">
        <v>522.04999999999995</v>
      </c>
      <c r="E322" s="131" t="s">
        <v>821</v>
      </c>
      <c r="F322" s="627">
        <v>45386</v>
      </c>
    </row>
    <row r="323" spans="2:6" outlineLevel="1">
      <c r="B323" s="129" t="s">
        <v>599</v>
      </c>
      <c r="C323" s="131" t="s">
        <v>77</v>
      </c>
      <c r="D323" s="658">
        <v>474.69</v>
      </c>
      <c r="E323" s="131" t="s">
        <v>821</v>
      </c>
      <c r="F323" s="627">
        <v>45386</v>
      </c>
    </row>
    <row r="324" spans="2:6" outlineLevel="1">
      <c r="B324" s="129" t="s">
        <v>570</v>
      </c>
      <c r="C324" s="131" t="s">
        <v>77</v>
      </c>
      <c r="D324" s="658">
        <v>1578.77</v>
      </c>
      <c r="E324" s="131" t="s">
        <v>821</v>
      </c>
      <c r="F324" s="627">
        <v>45386</v>
      </c>
    </row>
    <row r="325" spans="2:6" outlineLevel="1">
      <c r="B325" s="129" t="s">
        <v>589</v>
      </c>
      <c r="C325" s="131" t="s">
        <v>77</v>
      </c>
      <c r="D325" s="658">
        <v>735.85</v>
      </c>
      <c r="E325" s="131" t="s">
        <v>821</v>
      </c>
      <c r="F325" s="627">
        <v>45386</v>
      </c>
    </row>
    <row r="326" spans="2:6" outlineLevel="1">
      <c r="B326" s="129" t="s">
        <v>593</v>
      </c>
      <c r="C326" s="131" t="s">
        <v>77</v>
      </c>
      <c r="D326" s="658">
        <v>415.31</v>
      </c>
      <c r="E326" s="131" t="s">
        <v>821</v>
      </c>
      <c r="F326" s="627">
        <v>45386</v>
      </c>
    </row>
    <row r="327" spans="2:6" outlineLevel="1">
      <c r="B327" s="129" t="s">
        <v>597</v>
      </c>
      <c r="C327" s="131" t="s">
        <v>77</v>
      </c>
      <c r="D327" s="658">
        <v>311.56</v>
      </c>
      <c r="E327" s="131" t="s">
        <v>821</v>
      </c>
      <c r="F327" s="627">
        <v>45386</v>
      </c>
    </row>
    <row r="328" spans="2:6" outlineLevel="1">
      <c r="B328" s="129" t="s">
        <v>571</v>
      </c>
      <c r="C328" s="131" t="s">
        <v>77</v>
      </c>
      <c r="D328" s="658">
        <v>1462.66</v>
      </c>
      <c r="E328" s="131" t="s">
        <v>821</v>
      </c>
      <c r="F328" s="627">
        <v>45386</v>
      </c>
    </row>
    <row r="329" spans="2:6" outlineLevel="1">
      <c r="B329" s="129" t="s">
        <v>590</v>
      </c>
      <c r="C329" s="131" t="s">
        <v>77</v>
      </c>
      <c r="D329" s="658">
        <v>688.29</v>
      </c>
      <c r="E329" s="131" t="s">
        <v>821</v>
      </c>
      <c r="F329" s="627">
        <v>45386</v>
      </c>
    </row>
    <row r="330" spans="2:6" outlineLevel="1">
      <c r="B330" s="129" t="s">
        <v>573</v>
      </c>
      <c r="C330" s="131" t="s">
        <v>77</v>
      </c>
      <c r="D330" s="658">
        <v>498.38</v>
      </c>
      <c r="E330" s="131" t="s">
        <v>821</v>
      </c>
      <c r="F330" s="627">
        <v>45386</v>
      </c>
    </row>
    <row r="331" spans="2:6" outlineLevel="1">
      <c r="B331" s="129" t="s">
        <v>584</v>
      </c>
      <c r="C331" s="131" t="s">
        <v>77</v>
      </c>
      <c r="D331" s="658">
        <v>319.83999999999997</v>
      </c>
      <c r="E331" s="131" t="s">
        <v>821</v>
      </c>
      <c r="F331" s="627">
        <v>45386</v>
      </c>
    </row>
    <row r="332" spans="2:6" outlineLevel="1">
      <c r="B332" s="129" t="s">
        <v>575</v>
      </c>
      <c r="C332" s="131" t="s">
        <v>77</v>
      </c>
      <c r="D332" s="658">
        <v>474.69</v>
      </c>
      <c r="E332" s="131" t="s">
        <v>821</v>
      </c>
      <c r="F332" s="627">
        <v>45386</v>
      </c>
    </row>
    <row r="333" spans="2:6" outlineLevel="1">
      <c r="B333" s="129" t="s">
        <v>602</v>
      </c>
      <c r="C333" s="131" t="s">
        <v>77</v>
      </c>
      <c r="D333" s="658">
        <v>3192.34</v>
      </c>
      <c r="E333" s="131" t="s">
        <v>821</v>
      </c>
      <c r="F333" s="627">
        <v>45386</v>
      </c>
    </row>
    <row r="334" spans="2:6" outlineLevel="1">
      <c r="B334" s="129" t="s">
        <v>610</v>
      </c>
      <c r="C334" s="131" t="s">
        <v>77</v>
      </c>
      <c r="D334" s="658">
        <v>415.31</v>
      </c>
      <c r="E334" s="131" t="s">
        <v>821</v>
      </c>
      <c r="F334" s="627">
        <v>45386</v>
      </c>
    </row>
    <row r="335" spans="2:6" outlineLevel="1">
      <c r="B335" s="129" t="s">
        <v>598</v>
      </c>
      <c r="C335" s="131" t="s">
        <v>77</v>
      </c>
      <c r="D335" s="658">
        <v>288.02</v>
      </c>
      <c r="E335" s="131" t="s">
        <v>821</v>
      </c>
      <c r="F335" s="627">
        <v>45386</v>
      </c>
    </row>
    <row r="336" spans="2:6" outlineLevel="1">
      <c r="B336" s="129" t="s">
        <v>569</v>
      </c>
      <c r="C336" s="131" t="s">
        <v>513</v>
      </c>
      <c r="D336" s="658">
        <v>3551.63</v>
      </c>
      <c r="E336" s="131" t="s">
        <v>821</v>
      </c>
      <c r="F336" s="627">
        <v>45386</v>
      </c>
    </row>
    <row r="337" spans="2:6" outlineLevel="1">
      <c r="B337" s="129" t="s">
        <v>604</v>
      </c>
      <c r="C337" s="131" t="s">
        <v>77</v>
      </c>
      <c r="D337" s="658">
        <v>4331.28</v>
      </c>
      <c r="E337" s="131" t="s">
        <v>821</v>
      </c>
      <c r="F337" s="627">
        <v>45386</v>
      </c>
    </row>
    <row r="338" spans="2:6" outlineLevel="1">
      <c r="B338" s="129" t="s">
        <v>605</v>
      </c>
      <c r="C338" s="131" t="s">
        <v>77</v>
      </c>
      <c r="D338" s="658">
        <v>5600.99</v>
      </c>
      <c r="E338" s="131" t="s">
        <v>821</v>
      </c>
      <c r="F338" s="627">
        <v>45386</v>
      </c>
    </row>
    <row r="339" spans="2:6" outlineLevel="1">
      <c r="B339" s="129" t="s">
        <v>581</v>
      </c>
      <c r="C339" s="131" t="s">
        <v>513</v>
      </c>
      <c r="D339" s="658">
        <v>2336.25</v>
      </c>
      <c r="E339" s="131" t="s">
        <v>821</v>
      </c>
      <c r="F339" s="627">
        <v>45386</v>
      </c>
    </row>
    <row r="340" spans="2:6" outlineLevel="1">
      <c r="B340" s="129" t="s">
        <v>582</v>
      </c>
      <c r="C340" s="131" t="s">
        <v>77</v>
      </c>
      <c r="D340" s="658">
        <v>338.41</v>
      </c>
      <c r="E340" s="131" t="s">
        <v>821</v>
      </c>
      <c r="F340" s="627">
        <v>45386</v>
      </c>
    </row>
    <row r="341" spans="2:6" outlineLevel="1">
      <c r="B341" s="129" t="s">
        <v>538</v>
      </c>
      <c r="C341" s="131" t="s">
        <v>77</v>
      </c>
      <c r="D341" s="658">
        <v>7115.14</v>
      </c>
      <c r="E341" s="131" t="s">
        <v>821</v>
      </c>
      <c r="F341" s="627">
        <v>45386</v>
      </c>
    </row>
    <row r="342" spans="2:6" outlineLevel="1">
      <c r="B342" s="129" t="s">
        <v>576</v>
      </c>
      <c r="C342" s="131" t="s">
        <v>77</v>
      </c>
      <c r="D342" s="658">
        <v>1881.41</v>
      </c>
      <c r="E342" s="131" t="s">
        <v>821</v>
      </c>
      <c r="F342" s="627">
        <v>45386</v>
      </c>
    </row>
    <row r="343" spans="2:6" outlineLevel="1">
      <c r="B343" s="129" t="s">
        <v>606</v>
      </c>
      <c r="C343" s="131" t="s">
        <v>77</v>
      </c>
      <c r="D343" s="658">
        <v>3369.13</v>
      </c>
      <c r="E343" s="131" t="s">
        <v>821</v>
      </c>
      <c r="F343" s="627">
        <v>45386</v>
      </c>
    </row>
    <row r="344" spans="2:6" outlineLevel="1">
      <c r="B344" s="129" t="s">
        <v>537</v>
      </c>
      <c r="C344" s="131" t="s">
        <v>77</v>
      </c>
      <c r="D344" s="658">
        <v>426.64</v>
      </c>
      <c r="E344" s="131" t="s">
        <v>821</v>
      </c>
      <c r="F344" s="627">
        <v>45386</v>
      </c>
    </row>
    <row r="345" spans="2:6" outlineLevel="1">
      <c r="B345" s="129" t="s">
        <v>541</v>
      </c>
      <c r="C345" s="131" t="s">
        <v>77</v>
      </c>
      <c r="D345" s="658">
        <v>2668.33</v>
      </c>
      <c r="E345" s="131" t="s">
        <v>821</v>
      </c>
      <c r="F345" s="627">
        <v>45386</v>
      </c>
    </row>
    <row r="346" spans="2:6" outlineLevel="1">
      <c r="B346" s="129" t="s">
        <v>542</v>
      </c>
      <c r="C346" s="131" t="s">
        <v>77</v>
      </c>
      <c r="D346" s="658">
        <v>3345.86</v>
      </c>
      <c r="E346" s="131" t="s">
        <v>821</v>
      </c>
      <c r="F346" s="627">
        <v>45386</v>
      </c>
    </row>
    <row r="347" spans="2:6" outlineLevel="1">
      <c r="B347" s="129" t="s">
        <v>583</v>
      </c>
      <c r="C347" s="131" t="s">
        <v>77</v>
      </c>
      <c r="D347" s="658">
        <v>338.41</v>
      </c>
      <c r="E347" s="131" t="s">
        <v>821</v>
      </c>
      <c r="F347" s="627">
        <v>45386</v>
      </c>
    </row>
    <row r="348" spans="2:6" outlineLevel="1">
      <c r="B348" s="129" t="s">
        <v>540</v>
      </c>
      <c r="C348" s="131" t="s">
        <v>77</v>
      </c>
      <c r="D348" s="658">
        <v>7070.41</v>
      </c>
      <c r="E348" s="131" t="s">
        <v>821</v>
      </c>
      <c r="F348" s="627">
        <v>45386</v>
      </c>
    </row>
    <row r="349" spans="2:6" outlineLevel="1">
      <c r="B349" s="129" t="s">
        <v>539</v>
      </c>
      <c r="C349" s="131" t="s">
        <v>77</v>
      </c>
      <c r="D349" s="658">
        <v>2377.19</v>
      </c>
      <c r="E349" s="131" t="s">
        <v>821</v>
      </c>
      <c r="F349" s="627">
        <v>45386</v>
      </c>
    </row>
    <row r="350" spans="2:6" outlineLevel="1">
      <c r="B350" s="129" t="s">
        <v>577</v>
      </c>
      <c r="C350" s="131" t="s">
        <v>77</v>
      </c>
      <c r="D350" s="658">
        <v>4791.2</v>
      </c>
      <c r="E350" s="131" t="s">
        <v>821</v>
      </c>
      <c r="F350" s="627">
        <v>45386</v>
      </c>
    </row>
    <row r="351" spans="2:6" outlineLevel="1">
      <c r="B351" s="129" t="s">
        <v>580</v>
      </c>
      <c r="C351" s="131" t="s">
        <v>77</v>
      </c>
      <c r="D351" s="658">
        <v>252.44</v>
      </c>
      <c r="E351" s="131" t="s">
        <v>821</v>
      </c>
      <c r="F351" s="627">
        <v>45386</v>
      </c>
    </row>
    <row r="352" spans="2:6" outlineLevel="1">
      <c r="B352" s="129" t="s">
        <v>578</v>
      </c>
      <c r="C352" s="131" t="s">
        <v>77</v>
      </c>
      <c r="D352" s="658">
        <v>25816.34</v>
      </c>
      <c r="E352" s="131" t="s">
        <v>821</v>
      </c>
      <c r="F352" s="627">
        <v>45386</v>
      </c>
    </row>
    <row r="353" spans="2:8" outlineLevel="1">
      <c r="B353" s="553" t="s">
        <v>574</v>
      </c>
      <c r="C353" s="628" t="s">
        <v>77</v>
      </c>
      <c r="D353" s="659">
        <v>2480.09</v>
      </c>
      <c r="E353" s="628" t="s">
        <v>821</v>
      </c>
      <c r="F353" s="629">
        <v>45386</v>
      </c>
    </row>
    <row r="354" spans="2:8">
      <c r="B354" s="623" t="s">
        <v>940</v>
      </c>
      <c r="C354" s="624"/>
      <c r="D354" s="400"/>
      <c r="E354" s="624"/>
      <c r="F354" s="625"/>
    </row>
    <row r="355" spans="2:8" outlineLevel="1">
      <c r="B355" s="461" t="s">
        <v>941</v>
      </c>
      <c r="C355" s="462" t="s">
        <v>56</v>
      </c>
      <c r="D355" s="657">
        <v>395817.08</v>
      </c>
      <c r="E355" s="462" t="s">
        <v>942</v>
      </c>
      <c r="F355" s="626">
        <v>45509</v>
      </c>
    </row>
    <row r="356" spans="2:8" outlineLevel="1">
      <c r="B356" s="129" t="s">
        <v>943</v>
      </c>
      <c r="C356" s="131" t="s">
        <v>56</v>
      </c>
      <c r="D356" s="658">
        <v>133011.45000000001</v>
      </c>
      <c r="E356" s="131" t="s">
        <v>942</v>
      </c>
      <c r="F356" s="627">
        <v>45509</v>
      </c>
    </row>
    <row r="357" spans="2:8" outlineLevel="1">
      <c r="B357" s="129" t="s">
        <v>944</v>
      </c>
      <c r="C357" s="131" t="s">
        <v>56</v>
      </c>
      <c r="D357" s="658">
        <v>243492.79</v>
      </c>
      <c r="E357" s="131" t="s">
        <v>942</v>
      </c>
      <c r="F357" s="627">
        <v>45509</v>
      </c>
    </row>
    <row r="358" spans="2:8" outlineLevel="1">
      <c r="B358" s="129" t="s">
        <v>945</v>
      </c>
      <c r="C358" s="131" t="s">
        <v>56</v>
      </c>
      <c r="D358" s="658">
        <v>2464301.91</v>
      </c>
      <c r="E358" s="131" t="s">
        <v>942</v>
      </c>
      <c r="F358" s="627">
        <v>45509</v>
      </c>
    </row>
    <row r="359" spans="2:8" outlineLevel="1">
      <c r="B359" s="129" t="s">
        <v>946</v>
      </c>
      <c r="C359" s="131" t="s">
        <v>56</v>
      </c>
      <c r="D359" s="658">
        <v>387427.56</v>
      </c>
      <c r="E359" s="131" t="s">
        <v>942</v>
      </c>
      <c r="F359" s="627">
        <v>45509</v>
      </c>
    </row>
    <row r="360" spans="2:8" outlineLevel="1">
      <c r="B360" s="129" t="s">
        <v>947</v>
      </c>
      <c r="C360" s="131" t="s">
        <v>56</v>
      </c>
      <c r="D360" s="658">
        <v>813504.37</v>
      </c>
      <c r="E360" s="131" t="s">
        <v>942</v>
      </c>
      <c r="F360" s="627">
        <v>45509</v>
      </c>
    </row>
    <row r="361" spans="2:8" outlineLevel="1">
      <c r="B361" s="129" t="s">
        <v>941</v>
      </c>
      <c r="C361" s="131" t="s">
        <v>56</v>
      </c>
      <c r="D361" s="658">
        <v>378354.37</v>
      </c>
      <c r="E361" s="131" t="s">
        <v>948</v>
      </c>
      <c r="F361" s="627">
        <v>45509</v>
      </c>
    </row>
    <row r="362" spans="2:8" outlineLevel="1">
      <c r="B362" s="129" t="s">
        <v>949</v>
      </c>
      <c r="C362" s="131" t="s">
        <v>56</v>
      </c>
      <c r="D362" s="658">
        <v>307368.84000000003</v>
      </c>
      <c r="E362" s="131" t="s">
        <v>948</v>
      </c>
      <c r="F362" s="627">
        <v>45509</v>
      </c>
    </row>
    <row r="363" spans="2:8" outlineLevel="1">
      <c r="B363" s="129" t="s">
        <v>944</v>
      </c>
      <c r="C363" s="131" t="s">
        <v>56</v>
      </c>
      <c r="D363" s="658">
        <v>232750.16</v>
      </c>
      <c r="E363" s="131" t="s">
        <v>948</v>
      </c>
      <c r="F363" s="627">
        <v>45509</v>
      </c>
    </row>
    <row r="364" spans="2:8" outlineLevel="1">
      <c r="B364" s="129" t="s">
        <v>950</v>
      </c>
      <c r="C364" s="131" t="s">
        <v>56</v>
      </c>
      <c r="D364" s="658">
        <v>2401004.42</v>
      </c>
      <c r="E364" s="131" t="s">
        <v>948</v>
      </c>
      <c r="F364" s="627">
        <v>45509</v>
      </c>
    </row>
    <row r="365" spans="2:8" outlineLevel="1">
      <c r="B365" s="129" t="s">
        <v>951</v>
      </c>
      <c r="C365" s="131" t="s">
        <v>56</v>
      </c>
      <c r="D365" s="658">
        <v>394424.92</v>
      </c>
      <c r="E365" s="131" t="s">
        <v>948</v>
      </c>
      <c r="F365" s="627">
        <v>45509</v>
      </c>
    </row>
    <row r="366" spans="2:8" outlineLevel="1">
      <c r="B366" s="129" t="s">
        <v>952</v>
      </c>
      <c r="C366" s="131" t="s">
        <v>56</v>
      </c>
      <c r="D366" s="658">
        <v>638378.67000000004</v>
      </c>
      <c r="E366" s="131" t="s">
        <v>948</v>
      </c>
      <c r="F366" s="627">
        <v>45509</v>
      </c>
      <c r="H366" s="276" t="s">
        <v>953</v>
      </c>
    </row>
    <row r="367" spans="2:8" outlineLevel="1">
      <c r="B367" s="129" t="s">
        <v>954</v>
      </c>
      <c r="C367" s="131" t="s">
        <v>77</v>
      </c>
      <c r="D367" s="658">
        <f t="shared" ref="D367:D378" si="1">+H367*$H$3</f>
        <v>12663000</v>
      </c>
      <c r="E367" s="131" t="s">
        <v>955</v>
      </c>
      <c r="F367" s="627">
        <v>45518</v>
      </c>
      <c r="G367" s="619"/>
      <c r="H367" s="276">
        <v>12600</v>
      </c>
    </row>
    <row r="368" spans="2:8" outlineLevel="1">
      <c r="B368" s="129" t="s">
        <v>956</v>
      </c>
      <c r="C368" s="131" t="s">
        <v>77</v>
      </c>
      <c r="D368" s="658">
        <f t="shared" si="1"/>
        <v>21105000</v>
      </c>
      <c r="E368" s="131" t="s">
        <v>955</v>
      </c>
      <c r="F368" s="627">
        <v>45518</v>
      </c>
      <c r="G368" s="619"/>
      <c r="H368" s="276">
        <v>21000</v>
      </c>
    </row>
    <row r="369" spans="2:8" outlineLevel="1">
      <c r="B369" s="129" t="s">
        <v>1639</v>
      </c>
      <c r="C369" s="131" t="s">
        <v>77</v>
      </c>
      <c r="D369" s="658">
        <f t="shared" si="1"/>
        <v>5384287.5</v>
      </c>
      <c r="E369" s="131" t="s">
        <v>1641</v>
      </c>
      <c r="F369" s="627">
        <v>45520</v>
      </c>
      <c r="G369" s="619"/>
      <c r="H369" s="276">
        <v>5357.5</v>
      </c>
    </row>
    <row r="370" spans="2:8" outlineLevel="1">
      <c r="B370" s="129" t="s">
        <v>1640</v>
      </c>
      <c r="C370" s="131" t="s">
        <v>77</v>
      </c>
      <c r="D370" s="658">
        <f t="shared" si="1"/>
        <v>1278862.5</v>
      </c>
      <c r="E370" s="131" t="s">
        <v>1641</v>
      </c>
      <c r="F370" s="627">
        <v>45520</v>
      </c>
      <c r="G370" s="619"/>
      <c r="H370" s="276">
        <v>1272.5</v>
      </c>
    </row>
    <row r="371" spans="2:8" outlineLevel="1">
      <c r="B371" s="129" t="s">
        <v>1642</v>
      </c>
      <c r="C371" s="131" t="s">
        <v>77</v>
      </c>
      <c r="D371" s="658">
        <f t="shared" si="1"/>
        <v>175875</v>
      </c>
      <c r="E371" s="131" t="s">
        <v>1641</v>
      </c>
      <c r="F371" s="627">
        <v>45520</v>
      </c>
      <c r="G371" s="619"/>
      <c r="H371" s="276">
        <v>175</v>
      </c>
    </row>
    <row r="372" spans="2:8" outlineLevel="1">
      <c r="B372" s="129" t="s">
        <v>1643</v>
      </c>
      <c r="C372" s="131" t="s">
        <v>77</v>
      </c>
      <c r="D372" s="658">
        <f t="shared" si="1"/>
        <v>99243.75</v>
      </c>
      <c r="E372" s="131" t="s">
        <v>1641</v>
      </c>
      <c r="F372" s="627">
        <v>45520</v>
      </c>
      <c r="G372" s="619"/>
      <c r="H372" s="276">
        <v>98.75</v>
      </c>
    </row>
    <row r="373" spans="2:8" outlineLevel="1">
      <c r="B373" s="129" t="s">
        <v>1644</v>
      </c>
      <c r="C373" s="131" t="s">
        <v>77</v>
      </c>
      <c r="D373" s="658">
        <f t="shared" si="1"/>
        <v>190950</v>
      </c>
      <c r="E373" s="632" t="s">
        <v>785</v>
      </c>
      <c r="F373" s="627">
        <v>45532</v>
      </c>
      <c r="G373" s="619"/>
      <c r="H373" s="276">
        <v>190</v>
      </c>
    </row>
    <row r="374" spans="2:8" outlineLevel="1">
      <c r="B374" s="129" t="s">
        <v>1645</v>
      </c>
      <c r="C374" s="131" t="s">
        <v>77</v>
      </c>
      <c r="D374" s="658">
        <f t="shared" si="1"/>
        <v>312806.25</v>
      </c>
      <c r="E374" s="131" t="s">
        <v>1641</v>
      </c>
      <c r="F374" s="627">
        <v>45520</v>
      </c>
      <c r="G374" s="619"/>
      <c r="H374" s="276">
        <v>311.25</v>
      </c>
    </row>
    <row r="375" spans="2:8" outlineLevel="1">
      <c r="B375" s="129" t="s">
        <v>1646</v>
      </c>
      <c r="C375" s="131" t="s">
        <v>77</v>
      </c>
      <c r="D375" s="658">
        <f t="shared" si="1"/>
        <v>2185875</v>
      </c>
      <c r="E375" s="131" t="s">
        <v>1641</v>
      </c>
      <c r="F375" s="627">
        <v>45520</v>
      </c>
      <c r="G375" s="619"/>
      <c r="H375" s="276">
        <v>2175</v>
      </c>
    </row>
    <row r="376" spans="2:8" outlineLevel="1">
      <c r="B376" s="129" t="s">
        <v>1647</v>
      </c>
      <c r="C376" s="131" t="s">
        <v>77</v>
      </c>
      <c r="D376" s="658">
        <f t="shared" si="1"/>
        <v>336675</v>
      </c>
      <c r="E376" s="131" t="s">
        <v>1641</v>
      </c>
      <c r="F376" s="627">
        <v>45520</v>
      </c>
      <c r="G376" s="619"/>
      <c r="H376" s="276">
        <v>335</v>
      </c>
    </row>
    <row r="377" spans="2:8" outlineLevel="1">
      <c r="B377" s="129" t="s">
        <v>1648</v>
      </c>
      <c r="C377" s="131" t="s">
        <v>77</v>
      </c>
      <c r="D377" s="658">
        <f t="shared" si="1"/>
        <v>605512.5</v>
      </c>
      <c r="E377" s="131" t="s">
        <v>1641</v>
      </c>
      <c r="F377" s="627">
        <v>45520</v>
      </c>
      <c r="G377" s="619"/>
      <c r="H377" s="276">
        <v>602.5</v>
      </c>
    </row>
    <row r="378" spans="2:8" outlineLevel="1">
      <c r="B378" s="553" t="s">
        <v>1649</v>
      </c>
      <c r="C378" s="628" t="s">
        <v>77</v>
      </c>
      <c r="D378" s="659">
        <f t="shared" si="1"/>
        <v>80400</v>
      </c>
      <c r="E378" s="628" t="s">
        <v>1641</v>
      </c>
      <c r="F378" s="629">
        <v>45520</v>
      </c>
      <c r="G378" s="619"/>
      <c r="H378" s="276">
        <v>80</v>
      </c>
    </row>
    <row r="379" spans="2:8">
      <c r="B379" s="623" t="s">
        <v>1697</v>
      </c>
      <c r="C379" s="624"/>
      <c r="D379" s="907"/>
      <c r="E379" s="624"/>
      <c r="F379" s="625"/>
    </row>
    <row r="380" spans="2:8" outlineLevel="1">
      <c r="B380" s="461" t="s">
        <v>1676</v>
      </c>
      <c r="C380" s="462" t="s">
        <v>77</v>
      </c>
      <c r="D380" s="657">
        <v>193203.29</v>
      </c>
      <c r="E380" s="462" t="s">
        <v>957</v>
      </c>
      <c r="F380" s="626">
        <v>45506</v>
      </c>
      <c r="H380" s="342"/>
    </row>
    <row r="381" spans="2:8" outlineLevel="1">
      <c r="B381" s="129" t="s">
        <v>1677</v>
      </c>
      <c r="C381" s="131" t="s">
        <v>77</v>
      </c>
      <c r="D381" s="658">
        <v>307691.49</v>
      </c>
      <c r="E381" s="131" t="s">
        <v>957</v>
      </c>
      <c r="F381" s="627">
        <v>45506</v>
      </c>
      <c r="H381" s="342"/>
    </row>
    <row r="382" spans="2:8" outlineLevel="1">
      <c r="B382" s="129" t="s">
        <v>1678</v>
      </c>
      <c r="C382" s="131" t="s">
        <v>77</v>
      </c>
      <c r="D382" s="658">
        <v>442302.62</v>
      </c>
      <c r="E382" s="131" t="s">
        <v>957</v>
      </c>
      <c r="F382" s="627">
        <v>45506</v>
      </c>
      <c r="H382" s="342"/>
    </row>
    <row r="383" spans="2:8" outlineLevel="1">
      <c r="B383" s="129" t="s">
        <v>1694</v>
      </c>
      <c r="C383" s="131" t="s">
        <v>77</v>
      </c>
      <c r="D383" s="658">
        <v>127143.14</v>
      </c>
      <c r="E383" s="131" t="s">
        <v>957</v>
      </c>
      <c r="F383" s="627">
        <v>45506</v>
      </c>
      <c r="H383" s="342"/>
    </row>
    <row r="384" spans="2:8" outlineLevel="1">
      <c r="B384" s="129" t="s">
        <v>1695</v>
      </c>
      <c r="C384" s="131" t="s">
        <v>77</v>
      </c>
      <c r="D384" s="658">
        <f>28456.75/1.21</f>
        <v>23517.975206611573</v>
      </c>
      <c r="E384" s="131" t="s">
        <v>785</v>
      </c>
      <c r="F384" s="627">
        <v>45532</v>
      </c>
      <c r="H384" s="342"/>
    </row>
    <row r="385" spans="2:8" outlineLevel="1">
      <c r="B385" s="129" t="s">
        <v>1693</v>
      </c>
      <c r="C385" s="131" t="s">
        <v>77</v>
      </c>
      <c r="D385" s="658">
        <f>1445000/1.21</f>
        <v>1194214.8760330579</v>
      </c>
      <c r="E385" s="131" t="s">
        <v>785</v>
      </c>
      <c r="F385" s="627">
        <v>45532</v>
      </c>
      <c r="G385" s="845" t="s">
        <v>1696</v>
      </c>
    </row>
    <row r="386" spans="2:8" outlineLevel="1">
      <c r="B386" s="129" t="s">
        <v>1698</v>
      </c>
      <c r="C386" s="131" t="s">
        <v>77</v>
      </c>
      <c r="D386" s="658">
        <f>16715/1.21</f>
        <v>13814.04958677686</v>
      </c>
      <c r="E386" s="131" t="s">
        <v>785</v>
      </c>
      <c r="F386" s="627">
        <v>45532</v>
      </c>
      <c r="G386" s="845" t="s">
        <v>1699</v>
      </c>
    </row>
    <row r="387" spans="2:8" outlineLevel="1">
      <c r="B387" s="792" t="s">
        <v>1701</v>
      </c>
      <c r="C387" s="131" t="s">
        <v>77</v>
      </c>
      <c r="D387" s="658">
        <f>11500/1.21</f>
        <v>9504.1322314049594</v>
      </c>
      <c r="E387" s="131" t="s">
        <v>785</v>
      </c>
      <c r="F387" s="627">
        <v>45532</v>
      </c>
      <c r="G387" s="845" t="s">
        <v>1700</v>
      </c>
    </row>
    <row r="388" spans="2:8" outlineLevel="1">
      <c r="B388" s="792" t="s">
        <v>1702</v>
      </c>
      <c r="C388" s="131" t="s">
        <v>77</v>
      </c>
      <c r="D388" s="658">
        <f>65000/10/1.21</f>
        <v>5371.9008264462809</v>
      </c>
      <c r="E388" s="131" t="s">
        <v>785</v>
      </c>
      <c r="F388" s="627">
        <v>45532</v>
      </c>
      <c r="G388" s="845"/>
    </row>
    <row r="389" spans="2:8" outlineLevel="1">
      <c r="B389" s="792" t="s">
        <v>1703</v>
      </c>
      <c r="C389" s="131" t="s">
        <v>77</v>
      </c>
      <c r="D389" s="658">
        <f>15000/1.21</f>
        <v>12396.694214876034</v>
      </c>
      <c r="E389" s="131" t="s">
        <v>785</v>
      </c>
      <c r="F389" s="627">
        <v>45532</v>
      </c>
      <c r="G389" s="845" t="s">
        <v>1704</v>
      </c>
    </row>
    <row r="390" spans="2:8" outlineLevel="1">
      <c r="B390" s="838" t="s">
        <v>1705</v>
      </c>
      <c r="C390" s="628" t="s">
        <v>77</v>
      </c>
      <c r="D390" s="659">
        <f>9600/1.21/10</f>
        <v>793.38842975206614</v>
      </c>
      <c r="E390" s="628" t="s">
        <v>785</v>
      </c>
      <c r="F390" s="629">
        <v>45532</v>
      </c>
      <c r="G390" s="845" t="s">
        <v>1706</v>
      </c>
    </row>
    <row r="391" spans="2:8">
      <c r="B391" s="623" t="s">
        <v>958</v>
      </c>
      <c r="C391" s="624"/>
      <c r="D391" s="907"/>
      <c r="E391" s="624"/>
      <c r="F391" s="625"/>
    </row>
    <row r="392" spans="2:8" outlineLevel="1">
      <c r="B392" s="623" t="s">
        <v>959</v>
      </c>
      <c r="C392" s="624"/>
      <c r="D392" s="907"/>
      <c r="E392" s="624"/>
      <c r="F392" s="625"/>
    </row>
    <row r="393" spans="2:8" outlineLevel="1">
      <c r="B393" s="461" t="s">
        <v>960</v>
      </c>
      <c r="C393" s="462" t="s">
        <v>77</v>
      </c>
      <c r="D393" s="657">
        <v>104100</v>
      </c>
      <c r="E393" s="462" t="s">
        <v>961</v>
      </c>
      <c r="F393" s="626">
        <v>45504</v>
      </c>
    </row>
    <row r="394" spans="2:8" outlineLevel="1">
      <c r="B394" s="553" t="s">
        <v>962</v>
      </c>
      <c r="C394" s="628" t="s">
        <v>77</v>
      </c>
      <c r="D394" s="658">
        <v>152400</v>
      </c>
      <c r="E394" s="628" t="s">
        <v>961</v>
      </c>
      <c r="F394" s="629">
        <v>45504</v>
      </c>
    </row>
    <row r="395" spans="2:8" outlineLevel="1">
      <c r="B395" s="623" t="s">
        <v>963</v>
      </c>
      <c r="C395" s="624"/>
      <c r="D395" s="907"/>
      <c r="E395" s="624"/>
      <c r="F395" s="625"/>
    </row>
    <row r="396" spans="2:8" outlineLevel="1">
      <c r="B396" s="461" t="s">
        <v>964</v>
      </c>
      <c r="C396" s="462" t="s">
        <v>77</v>
      </c>
      <c r="D396" s="657">
        <v>599100</v>
      </c>
      <c r="E396" s="462" t="s">
        <v>965</v>
      </c>
      <c r="F396" s="626">
        <v>45505</v>
      </c>
    </row>
    <row r="397" spans="2:8" outlineLevel="1">
      <c r="B397" s="129" t="s">
        <v>966</v>
      </c>
      <c r="C397" s="131" t="s">
        <v>77</v>
      </c>
      <c r="D397" s="658">
        <v>328000</v>
      </c>
      <c r="E397" s="131" t="s">
        <v>965</v>
      </c>
      <c r="F397" s="627">
        <v>45505</v>
      </c>
    </row>
    <row r="398" spans="2:8" outlineLevel="1">
      <c r="B398" s="129" t="s">
        <v>967</v>
      </c>
      <c r="C398" s="131" t="s">
        <v>77</v>
      </c>
      <c r="D398" s="658">
        <v>360000</v>
      </c>
      <c r="E398" s="131" t="s">
        <v>965</v>
      </c>
      <c r="F398" s="627">
        <v>45505</v>
      </c>
    </row>
    <row r="399" spans="2:8" outlineLevel="1">
      <c r="B399" s="129" t="s">
        <v>968</v>
      </c>
      <c r="C399" s="131" t="s">
        <v>77</v>
      </c>
      <c r="D399" s="658">
        <v>230000</v>
      </c>
      <c r="E399" s="131" t="s">
        <v>965</v>
      </c>
      <c r="F399" s="627">
        <v>45505</v>
      </c>
    </row>
    <row r="400" spans="2:8" outlineLevel="1">
      <c r="B400" s="129" t="s">
        <v>969</v>
      </c>
      <c r="C400" s="131" t="s">
        <v>77</v>
      </c>
      <c r="D400" s="658">
        <v>256000</v>
      </c>
      <c r="E400" s="131" t="s">
        <v>965</v>
      </c>
      <c r="F400" s="627">
        <v>45505</v>
      </c>
      <c r="H400" s="276" t="s">
        <v>953</v>
      </c>
    </row>
    <row r="401" spans="2:8" outlineLevel="1">
      <c r="B401" s="129" t="s">
        <v>970</v>
      </c>
      <c r="C401" s="131" t="s">
        <v>77</v>
      </c>
      <c r="D401" s="658">
        <f>+H401*$H$3</f>
        <v>551845.5</v>
      </c>
      <c r="E401" s="131" t="s">
        <v>971</v>
      </c>
      <c r="F401" s="627">
        <v>45509</v>
      </c>
      <c r="H401" s="276">
        <v>549.1</v>
      </c>
    </row>
    <row r="402" spans="2:8" outlineLevel="1">
      <c r="B402" s="129" t="s">
        <v>972</v>
      </c>
      <c r="C402" s="131" t="s">
        <v>77</v>
      </c>
      <c r="D402" s="658">
        <f>+H402*$H$3</f>
        <v>84470.25</v>
      </c>
      <c r="E402" s="131" t="s">
        <v>971</v>
      </c>
      <c r="F402" s="627">
        <v>45509</v>
      </c>
      <c r="H402" s="276">
        <v>84.05</v>
      </c>
    </row>
    <row r="403" spans="2:8" outlineLevel="1">
      <c r="B403" s="129" t="s">
        <v>973</v>
      </c>
      <c r="C403" s="131" t="s">
        <v>77</v>
      </c>
      <c r="D403" s="658">
        <f>+H403*$H$3</f>
        <v>41808</v>
      </c>
      <c r="E403" s="131" t="s">
        <v>971</v>
      </c>
      <c r="F403" s="627">
        <v>45509</v>
      </c>
      <c r="H403" s="276">
        <v>41.6</v>
      </c>
    </row>
    <row r="404" spans="2:8" outlineLevel="1">
      <c r="B404" s="129" t="s">
        <v>974</v>
      </c>
      <c r="C404" s="131" t="s">
        <v>77</v>
      </c>
      <c r="D404" s="658">
        <f>+SUM(D401:D403)</f>
        <v>678123.75</v>
      </c>
      <c r="E404" s="131" t="s">
        <v>971</v>
      </c>
      <c r="F404" s="627">
        <v>45509</v>
      </c>
    </row>
    <row r="405" spans="2:8" outlineLevel="1">
      <c r="B405" s="129" t="s">
        <v>975</v>
      </c>
      <c r="C405" s="131" t="s">
        <v>77</v>
      </c>
      <c r="D405" s="658">
        <f>+H405*$H$3</f>
        <v>566367.75</v>
      </c>
      <c r="E405" s="131" t="s">
        <v>971</v>
      </c>
      <c r="F405" s="627">
        <v>45509</v>
      </c>
      <c r="H405" s="276">
        <v>563.54999999999995</v>
      </c>
    </row>
    <row r="406" spans="2:8" outlineLevel="1">
      <c r="B406" s="129" t="s">
        <v>976</v>
      </c>
      <c r="C406" s="131" t="s">
        <v>77</v>
      </c>
      <c r="D406" s="658">
        <f>+H406*$H$3</f>
        <v>558086.54999999993</v>
      </c>
      <c r="E406" s="131" t="s">
        <v>971</v>
      </c>
      <c r="F406" s="627">
        <v>45509</v>
      </c>
      <c r="H406" s="276">
        <v>555.30999999999995</v>
      </c>
    </row>
    <row r="407" spans="2:8" outlineLevel="1">
      <c r="B407" s="129" t="s">
        <v>977</v>
      </c>
      <c r="C407" s="131" t="s">
        <v>77</v>
      </c>
      <c r="D407" s="658">
        <f>+H407*$H$3</f>
        <v>472872.6</v>
      </c>
      <c r="E407" s="131" t="s">
        <v>971</v>
      </c>
      <c r="F407" s="627">
        <v>45509</v>
      </c>
      <c r="H407" s="276">
        <v>470.52</v>
      </c>
    </row>
    <row r="408" spans="2:8" outlineLevel="1">
      <c r="B408" s="553" t="s">
        <v>978</v>
      </c>
      <c r="C408" s="628" t="s">
        <v>77</v>
      </c>
      <c r="D408" s="658">
        <f>+H408*$H$3</f>
        <v>519866.39999999997</v>
      </c>
      <c r="E408" s="628" t="s">
        <v>971</v>
      </c>
      <c r="F408" s="629">
        <v>45509</v>
      </c>
      <c r="H408" s="276">
        <v>517.28</v>
      </c>
    </row>
    <row r="409" spans="2:8">
      <c r="B409" s="623" t="s">
        <v>979</v>
      </c>
      <c r="C409" s="624"/>
      <c r="D409" s="907"/>
      <c r="E409" s="624"/>
      <c r="F409" s="625"/>
    </row>
    <row r="410" spans="2:8" outlineLevel="1">
      <c r="B410" s="461" t="s">
        <v>980</v>
      </c>
      <c r="C410" s="462" t="s">
        <v>77</v>
      </c>
      <c r="D410" s="657">
        <v>129359.21</v>
      </c>
      <c r="E410" s="462" t="s">
        <v>981</v>
      </c>
      <c r="F410" s="626">
        <v>45510</v>
      </c>
    </row>
    <row r="411" spans="2:8" outlineLevel="1">
      <c r="B411" s="129" t="s">
        <v>982</v>
      </c>
      <c r="C411" s="131" t="s">
        <v>77</v>
      </c>
      <c r="D411" s="658">
        <v>82106.7</v>
      </c>
      <c r="E411" s="131" t="s">
        <v>981</v>
      </c>
      <c r="F411" s="627">
        <v>45510</v>
      </c>
    </row>
    <row r="412" spans="2:8" outlineLevel="1">
      <c r="B412" s="129" t="s">
        <v>983</v>
      </c>
      <c r="C412" s="131" t="s">
        <v>77</v>
      </c>
      <c r="D412" s="658">
        <v>280203.07</v>
      </c>
      <c r="E412" s="131" t="s">
        <v>981</v>
      </c>
      <c r="F412" s="627">
        <v>45510</v>
      </c>
    </row>
    <row r="413" spans="2:8" outlineLevel="1">
      <c r="B413" s="129" t="s">
        <v>984</v>
      </c>
      <c r="C413" s="131" t="s">
        <v>77</v>
      </c>
      <c r="D413" s="658">
        <v>51568.800000000003</v>
      </c>
      <c r="E413" s="131" t="s">
        <v>981</v>
      </c>
      <c r="F413" s="627">
        <v>45510</v>
      </c>
    </row>
    <row r="414" spans="2:8" outlineLevel="1">
      <c r="B414" s="129" t="s">
        <v>985</v>
      </c>
      <c r="C414" s="131" t="s">
        <v>77</v>
      </c>
      <c r="D414" s="658">
        <v>112783.16</v>
      </c>
      <c r="E414" s="131" t="s">
        <v>981</v>
      </c>
      <c r="F414" s="627">
        <v>45510</v>
      </c>
    </row>
    <row r="415" spans="2:8" outlineLevel="1">
      <c r="B415" s="129" t="s">
        <v>986</v>
      </c>
      <c r="C415" s="131" t="s">
        <v>77</v>
      </c>
      <c r="D415" s="658">
        <v>98000.81</v>
      </c>
      <c r="E415" s="131" t="s">
        <v>981</v>
      </c>
      <c r="F415" s="627">
        <v>45510</v>
      </c>
    </row>
    <row r="416" spans="2:8" outlineLevel="1">
      <c r="B416" s="129" t="s">
        <v>987</v>
      </c>
      <c r="C416" s="131" t="s">
        <v>77</v>
      </c>
      <c r="D416" s="658">
        <v>75604.38</v>
      </c>
      <c r="E416" s="131" t="s">
        <v>981</v>
      </c>
      <c r="F416" s="627">
        <v>45510</v>
      </c>
    </row>
    <row r="417" spans="2:6" outlineLevel="1">
      <c r="B417" s="129" t="s">
        <v>988</v>
      </c>
      <c r="C417" s="131" t="s">
        <v>77</v>
      </c>
      <c r="D417" s="658">
        <v>30128.81</v>
      </c>
      <c r="E417" s="131" t="s">
        <v>981</v>
      </c>
      <c r="F417" s="627">
        <v>45510</v>
      </c>
    </row>
    <row r="418" spans="2:6" outlineLevel="1">
      <c r="B418" s="129" t="s">
        <v>989</v>
      </c>
      <c r="C418" s="131" t="s">
        <v>77</v>
      </c>
      <c r="D418" s="658">
        <v>42822.63</v>
      </c>
      <c r="E418" s="131" t="s">
        <v>981</v>
      </c>
      <c r="F418" s="627">
        <v>45510</v>
      </c>
    </row>
    <row r="419" spans="2:6" outlineLevel="1">
      <c r="B419" s="129" t="s">
        <v>990</v>
      </c>
      <c r="C419" s="131" t="s">
        <v>77</v>
      </c>
      <c r="D419" s="658">
        <v>48891.74</v>
      </c>
      <c r="E419" s="131" t="s">
        <v>981</v>
      </c>
      <c r="F419" s="627">
        <v>45510</v>
      </c>
    </row>
    <row r="420" spans="2:6" outlineLevel="1">
      <c r="B420" s="129" t="s">
        <v>991</v>
      </c>
      <c r="C420" s="131" t="s">
        <v>77</v>
      </c>
      <c r="D420" s="658">
        <v>109872.13</v>
      </c>
      <c r="E420" s="131" t="s">
        <v>981</v>
      </c>
      <c r="F420" s="627">
        <v>45510</v>
      </c>
    </row>
    <row r="421" spans="2:6" outlineLevel="1">
      <c r="B421" s="129" t="s">
        <v>1638</v>
      </c>
      <c r="C421" s="131" t="s">
        <v>77</v>
      </c>
      <c r="D421" s="658">
        <f>55000/1.21</f>
        <v>45454.545454545456</v>
      </c>
      <c r="E421" s="131" t="s">
        <v>1635</v>
      </c>
      <c r="F421" s="627">
        <v>45532</v>
      </c>
    </row>
    <row r="422" spans="2:6" outlineLevel="1">
      <c r="B422" s="129" t="s">
        <v>992</v>
      </c>
      <c r="C422" s="131" t="s">
        <v>77</v>
      </c>
      <c r="D422" s="658">
        <v>47366.82</v>
      </c>
      <c r="E422" s="131" t="s">
        <v>981</v>
      </c>
      <c r="F422" s="627">
        <v>45510</v>
      </c>
    </row>
    <row r="423" spans="2:6" outlineLevel="1">
      <c r="B423" s="129" t="s">
        <v>993</v>
      </c>
      <c r="C423" s="131" t="s">
        <v>77</v>
      </c>
      <c r="D423" s="658">
        <v>54848</v>
      </c>
      <c r="E423" s="131" t="s">
        <v>981</v>
      </c>
      <c r="F423" s="627">
        <v>45510</v>
      </c>
    </row>
    <row r="424" spans="2:6" outlineLevel="1">
      <c r="B424" s="129" t="s">
        <v>1632</v>
      </c>
      <c r="C424" s="131" t="s">
        <v>77</v>
      </c>
      <c r="D424" s="658">
        <f>96000/1.21</f>
        <v>79338.842975206615</v>
      </c>
      <c r="E424" s="131" t="s">
        <v>1635</v>
      </c>
      <c r="F424" s="627">
        <v>45532</v>
      </c>
    </row>
    <row r="425" spans="2:6" outlineLevel="1">
      <c r="B425" s="129" t="s">
        <v>1633</v>
      </c>
      <c r="C425" s="131" t="s">
        <v>77</v>
      </c>
      <c r="D425" s="658">
        <f>98000/1.21</f>
        <v>80991.735537190092</v>
      </c>
      <c r="E425" s="131" t="s">
        <v>1635</v>
      </c>
      <c r="F425" s="627">
        <v>45532</v>
      </c>
    </row>
    <row r="426" spans="2:6" outlineLevel="1">
      <c r="B426" s="129" t="s">
        <v>1636</v>
      </c>
      <c r="C426" s="131" t="s">
        <v>77</v>
      </c>
      <c r="D426" s="658">
        <f>21150/1.21</f>
        <v>17479.338842975209</v>
      </c>
      <c r="E426" s="131" t="s">
        <v>1634</v>
      </c>
      <c r="F426" s="627">
        <v>45532</v>
      </c>
    </row>
    <row r="427" spans="2:6" outlineLevel="1">
      <c r="B427" s="129" t="s">
        <v>1637</v>
      </c>
      <c r="C427" s="131" t="s">
        <v>77</v>
      </c>
      <c r="D427" s="658">
        <f>72700/1.21</f>
        <v>60082.644628099173</v>
      </c>
      <c r="E427" s="131" t="s">
        <v>1635</v>
      </c>
      <c r="F427" s="627">
        <v>45532</v>
      </c>
    </row>
    <row r="428" spans="2:6" outlineLevel="1">
      <c r="B428" s="129" t="s">
        <v>1656</v>
      </c>
      <c r="C428" s="131" t="s">
        <v>77</v>
      </c>
      <c r="D428" s="658">
        <f>266720/1.21</f>
        <v>220429.7520661157</v>
      </c>
      <c r="E428" s="131" t="s">
        <v>1650</v>
      </c>
      <c r="F428" s="627">
        <v>45532</v>
      </c>
    </row>
    <row r="429" spans="2:6" outlineLevel="1">
      <c r="B429" s="129" t="s">
        <v>1653</v>
      </c>
      <c r="C429" s="131" t="s">
        <v>77</v>
      </c>
      <c r="D429" s="658">
        <f>15560/1.21</f>
        <v>12859.504132231405</v>
      </c>
      <c r="E429" s="131" t="s">
        <v>1650</v>
      </c>
      <c r="F429" s="627">
        <v>45532</v>
      </c>
    </row>
    <row r="430" spans="2:6" outlineLevel="1">
      <c r="B430" s="129" t="s">
        <v>1654</v>
      </c>
      <c r="C430" s="131" t="s">
        <v>77</v>
      </c>
      <c r="D430" s="658">
        <f>174000/1.21</f>
        <v>143801.65289256198</v>
      </c>
      <c r="E430" s="131" t="s">
        <v>1650</v>
      </c>
      <c r="F430" s="627">
        <v>45532</v>
      </c>
    </row>
    <row r="431" spans="2:6" outlineLevel="1">
      <c r="B431" s="792" t="s">
        <v>1655</v>
      </c>
      <c r="C431" s="131" t="s">
        <v>77</v>
      </c>
      <c r="D431" s="658">
        <f>63230/1.21</f>
        <v>52256.198347107442</v>
      </c>
      <c r="E431" s="131" t="s">
        <v>1650</v>
      </c>
      <c r="F431" s="627">
        <v>45532</v>
      </c>
    </row>
    <row r="432" spans="2:6" outlineLevel="1">
      <c r="B432" s="792" t="s">
        <v>1651</v>
      </c>
      <c r="C432" s="131" t="s">
        <v>77</v>
      </c>
      <c r="D432" s="658">
        <f>2350/1.21</f>
        <v>1942.1487603305786</v>
      </c>
      <c r="E432" s="131" t="s">
        <v>1650</v>
      </c>
      <c r="F432" s="627">
        <v>45532</v>
      </c>
    </row>
    <row r="433" spans="2:9" outlineLevel="1">
      <c r="B433" s="838" t="s">
        <v>1652</v>
      </c>
      <c r="C433" s="628" t="s">
        <v>77</v>
      </c>
      <c r="D433" s="659">
        <f>3260/1.21</f>
        <v>2694.2148760330579</v>
      </c>
      <c r="E433" s="131" t="s">
        <v>1650</v>
      </c>
      <c r="F433" s="627">
        <v>45532</v>
      </c>
    </row>
    <row r="434" spans="2:9">
      <c r="B434" s="556" t="s">
        <v>1531</v>
      </c>
      <c r="C434" s="624"/>
      <c r="D434" s="907"/>
      <c r="E434" s="624"/>
      <c r="F434" s="625"/>
    </row>
    <row r="435" spans="2:9" outlineLevel="1">
      <c r="B435" s="777" t="s">
        <v>1533</v>
      </c>
      <c r="C435" s="778"/>
      <c r="D435" s="908"/>
      <c r="E435" s="778"/>
      <c r="F435" s="779"/>
      <c r="I435" s="276">
        <v>1.21</v>
      </c>
    </row>
    <row r="436" spans="2:9" outlineLevel="1">
      <c r="B436" s="461" t="s">
        <v>1527</v>
      </c>
      <c r="C436" s="462" t="s">
        <v>263</v>
      </c>
      <c r="D436" s="657">
        <f>+H436/$I$435</f>
        <v>53925.619834710742</v>
      </c>
      <c r="E436" s="462" t="s">
        <v>1532</v>
      </c>
      <c r="F436" s="626">
        <v>45509</v>
      </c>
      <c r="H436" s="1">
        <v>65250</v>
      </c>
    </row>
    <row r="437" spans="2:9" outlineLevel="1">
      <c r="B437" s="129" t="s">
        <v>1528</v>
      </c>
      <c r="C437" s="131" t="s">
        <v>263</v>
      </c>
      <c r="D437" s="658">
        <f t="shared" ref="D437:D446" si="2">+H437/$I$435</f>
        <v>93388.42975206612</v>
      </c>
      <c r="E437" s="131" t="s">
        <v>1532</v>
      </c>
      <c r="F437" s="627">
        <v>45509</v>
      </c>
      <c r="H437" s="1">
        <v>113000</v>
      </c>
    </row>
    <row r="438" spans="2:9" outlineLevel="1">
      <c r="B438" s="129" t="s">
        <v>1525</v>
      </c>
      <c r="C438" s="131" t="s">
        <v>263</v>
      </c>
      <c r="D438" s="658">
        <f t="shared" si="2"/>
        <v>57033.884297520664</v>
      </c>
      <c r="E438" s="131" t="s">
        <v>1532</v>
      </c>
      <c r="F438" s="627">
        <v>45509</v>
      </c>
      <c r="H438" s="1">
        <v>69011</v>
      </c>
    </row>
    <row r="439" spans="2:9" outlineLevel="1">
      <c r="B439" s="129" t="s">
        <v>1526</v>
      </c>
      <c r="C439" s="131" t="s">
        <v>263</v>
      </c>
      <c r="D439" s="658">
        <f t="shared" si="2"/>
        <v>90216.52892561983</v>
      </c>
      <c r="E439" s="131" t="s">
        <v>1532</v>
      </c>
      <c r="F439" s="627">
        <v>45509</v>
      </c>
      <c r="H439" s="1">
        <v>109162</v>
      </c>
    </row>
    <row r="440" spans="2:9" outlineLevel="1">
      <c r="B440" s="553" t="s">
        <v>1529</v>
      </c>
      <c r="C440" s="628" t="s">
        <v>263</v>
      </c>
      <c r="D440" s="659">
        <f t="shared" si="2"/>
        <v>56625.619834710742</v>
      </c>
      <c r="E440" s="628" t="s">
        <v>1532</v>
      </c>
      <c r="F440" s="629">
        <v>45509</v>
      </c>
      <c r="H440" s="1">
        <v>68517</v>
      </c>
    </row>
    <row r="441" spans="2:9" outlineLevel="1">
      <c r="B441" s="777" t="s">
        <v>489</v>
      </c>
      <c r="C441" s="778"/>
      <c r="D441" s="908"/>
      <c r="E441" s="778"/>
      <c r="F441" s="779"/>
      <c r="H441" s="1"/>
    </row>
    <row r="442" spans="2:9" outlineLevel="1">
      <c r="B442" s="461" t="s">
        <v>1534</v>
      </c>
      <c r="C442" s="462" t="s">
        <v>1539</v>
      </c>
      <c r="D442" s="657">
        <f t="shared" si="2"/>
        <v>16413.223140495869</v>
      </c>
      <c r="E442" s="462" t="s">
        <v>1532</v>
      </c>
      <c r="F442" s="626">
        <v>45509</v>
      </c>
      <c r="H442" s="1">
        <v>19860</v>
      </c>
    </row>
    <row r="443" spans="2:9" outlineLevel="1">
      <c r="B443" s="129" t="s">
        <v>1535</v>
      </c>
      <c r="C443" s="131" t="s">
        <v>4</v>
      </c>
      <c r="D443" s="658">
        <f t="shared" si="2"/>
        <v>2417.3553719008264</v>
      </c>
      <c r="E443" s="131" t="s">
        <v>1532</v>
      </c>
      <c r="F443" s="627">
        <v>45509</v>
      </c>
      <c r="H443" s="1">
        <v>2925</v>
      </c>
    </row>
    <row r="444" spans="2:9" outlineLevel="1">
      <c r="B444" s="129" t="s">
        <v>1536</v>
      </c>
      <c r="C444" s="131" t="s">
        <v>263</v>
      </c>
      <c r="D444" s="658">
        <f t="shared" si="2"/>
        <v>54132.231404958678</v>
      </c>
      <c r="E444" s="131" t="s">
        <v>1532</v>
      </c>
      <c r="F444" s="627">
        <v>45509</v>
      </c>
      <c r="H444" s="1">
        <v>65500</v>
      </c>
    </row>
    <row r="445" spans="2:9" outlineLevel="1">
      <c r="B445" s="129" t="s">
        <v>1537</v>
      </c>
      <c r="C445" s="131" t="s">
        <v>263</v>
      </c>
      <c r="D445" s="658">
        <f t="shared" si="2"/>
        <v>70022.314049586785</v>
      </c>
      <c r="E445" s="131" t="s">
        <v>1532</v>
      </c>
      <c r="F445" s="627">
        <v>45509</v>
      </c>
      <c r="H445" s="1">
        <v>84727</v>
      </c>
    </row>
    <row r="446" spans="2:9" outlineLevel="1">
      <c r="B446" s="553" t="s">
        <v>1538</v>
      </c>
      <c r="C446" s="628" t="s">
        <v>1539</v>
      </c>
      <c r="D446" s="659">
        <f t="shared" si="2"/>
        <v>57851.239669421491</v>
      </c>
      <c r="E446" s="628" t="s">
        <v>1532</v>
      </c>
      <c r="F446" s="629">
        <v>45509</v>
      </c>
      <c r="H446" s="1">
        <v>70000</v>
      </c>
    </row>
    <row r="447" spans="2:9">
      <c r="B447" s="556" t="s">
        <v>1595</v>
      </c>
      <c r="C447" s="624"/>
      <c r="D447" s="907"/>
      <c r="E447" s="624"/>
      <c r="F447" s="625"/>
      <c r="I447" s="276">
        <v>1.21</v>
      </c>
    </row>
    <row r="448" spans="2:9" ht="26" outlineLevel="1">
      <c r="B448" s="836" t="s">
        <v>1601</v>
      </c>
      <c r="C448" s="408" t="s">
        <v>77</v>
      </c>
      <c r="D448" s="909">
        <f>+H448/$I$447</f>
        <v>2115796.2231404963</v>
      </c>
      <c r="E448" s="408" t="s">
        <v>1612</v>
      </c>
      <c r="F448" s="833">
        <v>45505</v>
      </c>
      <c r="H448" s="117">
        <v>2560113.4300000002</v>
      </c>
    </row>
    <row r="449" spans="2:8" ht="26" outlineLevel="1">
      <c r="B449" s="715" t="s">
        <v>1602</v>
      </c>
      <c r="C449" s="409" t="s">
        <v>77</v>
      </c>
      <c r="D449" s="910">
        <f>+H449/$I$447</f>
        <v>1920542.6942148763</v>
      </c>
      <c r="E449" s="409" t="s">
        <v>1612</v>
      </c>
      <c r="F449" s="834">
        <v>45505</v>
      </c>
      <c r="H449" s="117">
        <v>2323856.66</v>
      </c>
    </row>
    <row r="450" spans="2:8" ht="26" outlineLevel="1">
      <c r="B450" s="715" t="s">
        <v>1609</v>
      </c>
      <c r="C450" s="409" t="s">
        <v>77</v>
      </c>
      <c r="D450" s="910">
        <f t="shared" ref="D450:D460" si="3">+H450/$I$447</f>
        <v>553394.4628099174</v>
      </c>
      <c r="E450" s="409" t="s">
        <v>1612</v>
      </c>
      <c r="F450" s="834">
        <v>45505</v>
      </c>
      <c r="H450" s="117">
        <v>669607.30000000005</v>
      </c>
    </row>
    <row r="451" spans="2:8" outlineLevel="1">
      <c r="B451" s="715" t="s">
        <v>1610</v>
      </c>
      <c r="C451" s="409" t="s">
        <v>77</v>
      </c>
      <c r="D451" s="910">
        <f t="shared" si="3"/>
        <v>56009.247933884304</v>
      </c>
      <c r="E451" s="409" t="s">
        <v>1612</v>
      </c>
      <c r="F451" s="834">
        <v>45505</v>
      </c>
      <c r="H451" s="117">
        <v>67771.19</v>
      </c>
    </row>
    <row r="452" spans="2:8" ht="26" outlineLevel="1">
      <c r="B452" s="715" t="s">
        <v>1603</v>
      </c>
      <c r="C452" s="409" t="s">
        <v>77</v>
      </c>
      <c r="D452" s="910">
        <f t="shared" si="3"/>
        <v>1135506.5289256198</v>
      </c>
      <c r="E452" s="409" t="s">
        <v>1612</v>
      </c>
      <c r="F452" s="834">
        <v>45505</v>
      </c>
      <c r="H452" s="117">
        <v>1373962.9</v>
      </c>
    </row>
    <row r="453" spans="2:8" ht="26" outlineLevel="1">
      <c r="B453" s="715" t="s">
        <v>1604</v>
      </c>
      <c r="C453" s="409" t="s">
        <v>77</v>
      </c>
      <c r="D453" s="910">
        <f t="shared" si="3"/>
        <v>1909915.4132231404</v>
      </c>
      <c r="E453" s="409" t="s">
        <v>1612</v>
      </c>
      <c r="F453" s="834">
        <v>45505</v>
      </c>
      <c r="H453" s="117">
        <v>2310997.65</v>
      </c>
    </row>
    <row r="454" spans="2:8" ht="26" outlineLevel="1">
      <c r="B454" s="715" t="s">
        <v>1605</v>
      </c>
      <c r="C454" s="409" t="s">
        <v>77</v>
      </c>
      <c r="D454" s="910">
        <f t="shared" si="3"/>
        <v>1733960.6611570248</v>
      </c>
      <c r="E454" s="409" t="s">
        <v>1612</v>
      </c>
      <c r="F454" s="834">
        <v>45505</v>
      </c>
      <c r="H454" s="117">
        <v>2098092.4</v>
      </c>
    </row>
    <row r="455" spans="2:8" ht="26" outlineLevel="1">
      <c r="B455" s="715" t="s">
        <v>1611</v>
      </c>
      <c r="C455" s="409" t="s">
        <v>77</v>
      </c>
      <c r="D455" s="910">
        <f t="shared" si="3"/>
        <v>471472.19008264464</v>
      </c>
      <c r="E455" s="409" t="s">
        <v>1612</v>
      </c>
      <c r="F455" s="834">
        <v>45505</v>
      </c>
      <c r="H455" s="117">
        <v>570481.35</v>
      </c>
    </row>
    <row r="456" spans="2:8" outlineLevel="1">
      <c r="B456" s="715" t="s">
        <v>1613</v>
      </c>
      <c r="C456" s="409" t="s">
        <v>77</v>
      </c>
      <c r="D456" s="910">
        <f t="shared" si="3"/>
        <v>47444.198347107442</v>
      </c>
      <c r="E456" s="409" t="s">
        <v>1612</v>
      </c>
      <c r="F456" s="834">
        <v>45505</v>
      </c>
      <c r="H456" s="117">
        <v>57407.48</v>
      </c>
    </row>
    <row r="457" spans="2:8" ht="26" outlineLevel="1">
      <c r="B457" s="715" t="s">
        <v>1606</v>
      </c>
      <c r="C457" s="409" t="s">
        <v>77</v>
      </c>
      <c r="D457" s="910">
        <f t="shared" si="3"/>
        <v>961666.28099173552</v>
      </c>
      <c r="E457" s="409" t="s">
        <v>1612</v>
      </c>
      <c r="F457" s="834">
        <v>45505</v>
      </c>
      <c r="H457" s="117">
        <v>1163616.2</v>
      </c>
    </row>
    <row r="458" spans="2:8" ht="26" outlineLevel="1">
      <c r="B458" s="715" t="s">
        <v>1607</v>
      </c>
      <c r="C458" s="409" t="s">
        <v>77</v>
      </c>
      <c r="D458" s="910">
        <f t="shared" si="3"/>
        <v>1616620.3388429754</v>
      </c>
      <c r="E458" s="409" t="s">
        <v>1612</v>
      </c>
      <c r="F458" s="834">
        <v>45505</v>
      </c>
      <c r="H458" s="117">
        <v>1956110.61</v>
      </c>
    </row>
    <row r="459" spans="2:8" outlineLevel="1">
      <c r="B459" s="715" t="s">
        <v>1600</v>
      </c>
      <c r="C459" s="409" t="s">
        <v>77</v>
      </c>
      <c r="D459" s="910">
        <f t="shared" si="3"/>
        <v>232504.03305785125</v>
      </c>
      <c r="E459" s="409" t="s">
        <v>1612</v>
      </c>
      <c r="F459" s="834">
        <v>45505</v>
      </c>
      <c r="H459" s="117">
        <v>281329.88</v>
      </c>
    </row>
    <row r="460" spans="2:8" ht="26" outlineLevel="1">
      <c r="B460" s="837" t="s">
        <v>1608</v>
      </c>
      <c r="C460" s="410" t="s">
        <v>77</v>
      </c>
      <c r="D460" s="911">
        <f t="shared" si="3"/>
        <v>1141998.6859504131</v>
      </c>
      <c r="E460" s="410" t="s">
        <v>1612</v>
      </c>
      <c r="F460" s="835">
        <v>45505</v>
      </c>
      <c r="H460" s="117">
        <v>1381818.41</v>
      </c>
    </row>
    <row r="461" spans="2:8">
      <c r="B461" s="556" t="s">
        <v>1596</v>
      </c>
      <c r="C461" s="624"/>
      <c r="D461" s="907"/>
      <c r="E461" s="624"/>
      <c r="F461" s="625"/>
    </row>
    <row r="462" spans="2:8" outlineLevel="1">
      <c r="B462" s="461" t="s">
        <v>1620</v>
      </c>
      <c r="C462" s="462" t="s">
        <v>54</v>
      </c>
      <c r="D462" s="909">
        <f>+H462*$H$3</f>
        <v>38190000</v>
      </c>
      <c r="E462" s="462" t="s">
        <v>1614</v>
      </c>
      <c r="F462" s="626">
        <v>45509</v>
      </c>
      <c r="H462" s="1">
        <v>38000</v>
      </c>
    </row>
    <row r="463" spans="2:8" outlineLevel="1">
      <c r="B463" s="129" t="s">
        <v>1616</v>
      </c>
      <c r="C463" s="131" t="s">
        <v>54</v>
      </c>
      <c r="D463" s="910">
        <f>+H463*$H$3</f>
        <v>854250</v>
      </c>
      <c r="E463" s="131" t="s">
        <v>1614</v>
      </c>
      <c r="F463" s="627">
        <v>45509</v>
      </c>
      <c r="H463" s="1">
        <v>850</v>
      </c>
    </row>
    <row r="464" spans="2:8" outlineLevel="1">
      <c r="B464" s="129" t="s">
        <v>1620</v>
      </c>
      <c r="C464" s="131" t="s">
        <v>54</v>
      </c>
      <c r="D464" s="910">
        <v>36227819</v>
      </c>
      <c r="E464" s="131" t="s">
        <v>1617</v>
      </c>
      <c r="F464" s="627">
        <v>45509</v>
      </c>
      <c r="H464" s="1"/>
    </row>
    <row r="465" spans="2:10" outlineLevel="1">
      <c r="B465" s="129" t="s">
        <v>1615</v>
      </c>
      <c r="C465" s="131" t="s">
        <v>54</v>
      </c>
      <c r="D465" s="910">
        <f>+H465*$H$3</f>
        <v>32059500</v>
      </c>
      <c r="E465" s="131" t="s">
        <v>1618</v>
      </c>
      <c r="F465" s="627">
        <v>45493</v>
      </c>
      <c r="H465" s="1">
        <v>31900</v>
      </c>
    </row>
    <row r="466" spans="2:10" outlineLevel="1">
      <c r="B466" s="839" t="s">
        <v>1619</v>
      </c>
      <c r="C466" s="840" t="s">
        <v>54</v>
      </c>
      <c r="D466" s="659">
        <f>+H466*$H$3</f>
        <v>1005000</v>
      </c>
      <c r="E466" s="840" t="s">
        <v>1621</v>
      </c>
      <c r="F466" s="841">
        <v>45532</v>
      </c>
      <c r="H466" s="276">
        <v>1000</v>
      </c>
    </row>
    <row r="467" spans="2:10">
      <c r="B467" s="556" t="s">
        <v>1622</v>
      </c>
      <c r="C467" s="624"/>
      <c r="D467" s="907"/>
      <c r="E467" s="624"/>
      <c r="F467" s="625"/>
      <c r="I467" s="276" t="s">
        <v>4</v>
      </c>
    </row>
    <row r="468" spans="2:10" outlineLevel="1">
      <c r="B468" s="461" t="s">
        <v>1624</v>
      </c>
      <c r="C468" s="462" t="s">
        <v>77</v>
      </c>
      <c r="D468" s="909">
        <v>410200</v>
      </c>
      <c r="E468" s="462" t="s">
        <v>1623</v>
      </c>
      <c r="F468" s="626">
        <v>45516</v>
      </c>
      <c r="I468" s="1">
        <f>1.8*0.6</f>
        <v>1.08</v>
      </c>
      <c r="J468" s="1">
        <f t="shared" ref="J468:J475" si="4">+D468/I468</f>
        <v>379814.81481481477</v>
      </c>
    </row>
    <row r="469" spans="2:10" outlineLevel="1">
      <c r="B469" s="129" t="s">
        <v>1625</v>
      </c>
      <c r="C469" s="131" t="s">
        <v>77</v>
      </c>
      <c r="D469" s="910">
        <f>667870</f>
        <v>667870</v>
      </c>
      <c r="E469" s="131" t="s">
        <v>1623</v>
      </c>
      <c r="F469" s="627">
        <v>45516</v>
      </c>
      <c r="I469" s="1">
        <v>1.82</v>
      </c>
      <c r="J469" s="1">
        <f t="shared" si="4"/>
        <v>366961.53846153844</v>
      </c>
    </row>
    <row r="470" spans="2:10" outlineLevel="1">
      <c r="B470" s="129" t="s">
        <v>1626</v>
      </c>
      <c r="C470" s="131" t="s">
        <v>77</v>
      </c>
      <c r="D470" s="910">
        <v>422800</v>
      </c>
      <c r="E470" s="131" t="s">
        <v>1623</v>
      </c>
      <c r="F470" s="627">
        <v>45516</v>
      </c>
      <c r="I470" s="1">
        <f>1.8*0.6</f>
        <v>1.08</v>
      </c>
      <c r="J470" s="1">
        <f t="shared" si="4"/>
        <v>391481.48148148146</v>
      </c>
    </row>
    <row r="471" spans="2:10" outlineLevel="1">
      <c r="B471" s="129" t="s">
        <v>1627</v>
      </c>
      <c r="C471" s="131" t="s">
        <v>77</v>
      </c>
      <c r="D471" s="910">
        <v>435400</v>
      </c>
      <c r="E471" s="131" t="s">
        <v>1623</v>
      </c>
      <c r="F471" s="627">
        <v>45516</v>
      </c>
      <c r="I471" s="1">
        <f>1.8*0.6</f>
        <v>1.08</v>
      </c>
      <c r="J471" s="1">
        <f t="shared" si="4"/>
        <v>403148.14814814815</v>
      </c>
    </row>
    <row r="472" spans="2:10" outlineLevel="1">
      <c r="B472" s="129" t="s">
        <v>1630</v>
      </c>
      <c r="C472" s="131" t="s">
        <v>77</v>
      </c>
      <c r="D472" s="910">
        <v>422800</v>
      </c>
      <c r="E472" s="131" t="s">
        <v>1623</v>
      </c>
      <c r="F472" s="627">
        <v>45516</v>
      </c>
      <c r="I472" s="1">
        <f>1.8*0.6</f>
        <v>1.08</v>
      </c>
      <c r="J472" s="1">
        <f t="shared" si="4"/>
        <v>391481.48148148146</v>
      </c>
    </row>
    <row r="473" spans="2:10" outlineLevel="1">
      <c r="B473" s="129" t="s">
        <v>1631</v>
      </c>
      <c r="C473" s="131" t="s">
        <v>77</v>
      </c>
      <c r="D473" s="910">
        <v>407680</v>
      </c>
      <c r="E473" s="131" t="s">
        <v>1623</v>
      </c>
      <c r="F473" s="627">
        <v>45516</v>
      </c>
      <c r="I473" s="1">
        <f>1.72*0.6</f>
        <v>1.032</v>
      </c>
      <c r="J473" s="1">
        <f t="shared" si="4"/>
        <v>395038.75968992244</v>
      </c>
    </row>
    <row r="474" spans="2:10" outlineLevel="1">
      <c r="B474" s="129" t="s">
        <v>1628</v>
      </c>
      <c r="C474" s="131" t="s">
        <v>77</v>
      </c>
      <c r="D474" s="910">
        <v>154350</v>
      </c>
      <c r="E474" s="131" t="s">
        <v>1623</v>
      </c>
      <c r="F474" s="627">
        <v>45516</v>
      </c>
      <c r="I474" s="1">
        <f>1.5*0.35</f>
        <v>0.52499999999999991</v>
      </c>
      <c r="J474" s="1">
        <f t="shared" si="4"/>
        <v>294000.00000000006</v>
      </c>
    </row>
    <row r="475" spans="2:10" outlineLevel="1">
      <c r="B475" s="555" t="s">
        <v>1629</v>
      </c>
      <c r="C475" s="774" t="s">
        <v>77</v>
      </c>
      <c r="D475" s="912">
        <v>343700</v>
      </c>
      <c r="E475" s="774" t="s">
        <v>1623</v>
      </c>
      <c r="F475" s="817">
        <v>45516</v>
      </c>
      <c r="I475" s="1">
        <f>1.5*0.6</f>
        <v>0.89999999999999991</v>
      </c>
      <c r="J475" s="1">
        <f t="shared" si="4"/>
        <v>381888.88888888893</v>
      </c>
    </row>
    <row r="476" spans="2:10">
      <c r="B476" s="556" t="s">
        <v>1665</v>
      </c>
      <c r="C476" s="624"/>
      <c r="D476" s="907"/>
      <c r="E476" s="624"/>
      <c r="F476" s="552"/>
      <c r="G476" s="842"/>
    </row>
    <row r="477" spans="2:10" outlineLevel="1">
      <c r="B477" s="461" t="s">
        <v>1663</v>
      </c>
      <c r="C477" s="462" t="s">
        <v>4</v>
      </c>
      <c r="D477" s="909">
        <f>39790/1.21</f>
        <v>32884.297520661159</v>
      </c>
      <c r="E477" s="462" t="s">
        <v>1666</v>
      </c>
      <c r="F477" s="626">
        <v>45506</v>
      </c>
      <c r="I477" s="1"/>
      <c r="J477" s="296"/>
    </row>
    <row r="478" spans="2:10" outlineLevel="1">
      <c r="B478" s="129" t="s">
        <v>1664</v>
      </c>
      <c r="C478" s="131" t="s">
        <v>4</v>
      </c>
      <c r="D478" s="910">
        <f>49260/1.21</f>
        <v>40710.74380165289</v>
      </c>
      <c r="E478" s="131" t="s">
        <v>1666</v>
      </c>
      <c r="F478" s="627">
        <v>45506</v>
      </c>
      <c r="I478" s="1"/>
      <c r="J478" s="296"/>
    </row>
    <row r="479" spans="2:10" outlineLevel="1">
      <c r="B479" s="129" t="s">
        <v>1670</v>
      </c>
      <c r="C479" s="131" t="s">
        <v>4</v>
      </c>
      <c r="D479" s="910">
        <v>4472.37</v>
      </c>
      <c r="E479" s="131" t="s">
        <v>981</v>
      </c>
      <c r="F479" s="627">
        <v>45494</v>
      </c>
      <c r="I479" s="1"/>
      <c r="J479" s="296"/>
    </row>
    <row r="480" spans="2:10" outlineLevel="1">
      <c r="B480" s="129" t="s">
        <v>1669</v>
      </c>
      <c r="C480" s="131" t="s">
        <v>4</v>
      </c>
      <c r="D480" s="910">
        <v>4105.9799999999996</v>
      </c>
      <c r="E480" s="131" t="s">
        <v>981</v>
      </c>
      <c r="F480" s="627">
        <v>45494</v>
      </c>
      <c r="I480" s="1"/>
      <c r="J480" s="296"/>
    </row>
    <row r="481" spans="2:11" outlineLevel="1">
      <c r="B481" s="129" t="s">
        <v>1667</v>
      </c>
      <c r="C481" s="131" t="s">
        <v>4</v>
      </c>
      <c r="D481" s="910">
        <v>4267.29</v>
      </c>
      <c r="E481" s="131" t="s">
        <v>981</v>
      </c>
      <c r="F481" s="627">
        <v>45494</v>
      </c>
      <c r="I481" s="1"/>
      <c r="J481" s="296"/>
    </row>
    <row r="482" spans="2:11" outlineLevel="1">
      <c r="B482" s="129" t="s">
        <v>1668</v>
      </c>
      <c r="C482" s="131" t="s">
        <v>4</v>
      </c>
      <c r="D482" s="910">
        <v>5836.01</v>
      </c>
      <c r="E482" s="131" t="s">
        <v>981</v>
      </c>
      <c r="F482" s="627">
        <v>45494</v>
      </c>
      <c r="J482" s="296"/>
    </row>
    <row r="483" spans="2:11" outlineLevel="1">
      <c r="B483" s="843" t="s">
        <v>1682</v>
      </c>
      <c r="C483" s="632" t="s">
        <v>4</v>
      </c>
      <c r="D483" s="658">
        <f>9785.04/1.21</f>
        <v>8086.8099173553728</v>
      </c>
      <c r="E483" s="632" t="s">
        <v>1681</v>
      </c>
      <c r="F483" s="633">
        <v>45532</v>
      </c>
      <c r="J483" s="296"/>
    </row>
    <row r="484" spans="2:11" outlineLevel="1">
      <c r="B484" s="129" t="s">
        <v>1671</v>
      </c>
      <c r="C484" s="131" t="s">
        <v>4</v>
      </c>
      <c r="D484" s="910">
        <v>21560.78</v>
      </c>
      <c r="E484" s="131" t="s">
        <v>981</v>
      </c>
      <c r="F484" s="627">
        <v>45494</v>
      </c>
    </row>
    <row r="485" spans="2:11" outlineLevel="1">
      <c r="B485" s="129" t="s">
        <v>1672</v>
      </c>
      <c r="C485" s="131" t="s">
        <v>4</v>
      </c>
      <c r="D485" s="910">
        <v>21560.77</v>
      </c>
      <c r="E485" s="131" t="s">
        <v>981</v>
      </c>
      <c r="F485" s="627">
        <v>45494</v>
      </c>
    </row>
    <row r="486" spans="2:11" outlineLevel="1">
      <c r="B486" s="129" t="s">
        <v>1673</v>
      </c>
      <c r="C486" s="131" t="s">
        <v>4</v>
      </c>
      <c r="D486" s="910">
        <v>16204.12</v>
      </c>
      <c r="E486" s="131" t="s">
        <v>981</v>
      </c>
      <c r="F486" s="627">
        <v>45494</v>
      </c>
    </row>
    <row r="487" spans="2:11" outlineLevel="1">
      <c r="B487" s="129" t="s">
        <v>1674</v>
      </c>
      <c r="C487" s="131" t="s">
        <v>4</v>
      </c>
      <c r="D487" s="910">
        <v>9968.75</v>
      </c>
      <c r="E487" s="131" t="s">
        <v>981</v>
      </c>
      <c r="F487" s="627">
        <v>45494</v>
      </c>
    </row>
    <row r="488" spans="2:11" outlineLevel="1">
      <c r="B488" s="129" t="s">
        <v>1675</v>
      </c>
      <c r="C488" s="131" t="s">
        <v>4</v>
      </c>
      <c r="D488" s="910">
        <v>16118.43</v>
      </c>
      <c r="E488" s="131" t="s">
        <v>981</v>
      </c>
      <c r="F488" s="627">
        <v>45494</v>
      </c>
    </row>
    <row r="489" spans="2:11" outlineLevel="1">
      <c r="B489" s="553" t="s">
        <v>1679</v>
      </c>
      <c r="C489" s="628" t="s">
        <v>4</v>
      </c>
      <c r="D489" s="911">
        <f>50100</f>
        <v>50100</v>
      </c>
      <c r="E489" s="628" t="s">
        <v>1680</v>
      </c>
      <c r="F489" s="629">
        <v>45532</v>
      </c>
      <c r="K489" s="1"/>
    </row>
    <row r="490" spans="2:11">
      <c r="B490" s="556" t="s">
        <v>1707</v>
      </c>
      <c r="C490" s="624"/>
      <c r="D490" s="907"/>
      <c r="E490" s="624"/>
      <c r="F490" s="625"/>
    </row>
    <row r="491" spans="2:11" outlineLevel="1">
      <c r="B491" s="794" t="s">
        <v>1686</v>
      </c>
      <c r="C491" s="462" t="s">
        <v>77</v>
      </c>
      <c r="D491" s="910">
        <f>40540/1.21</f>
        <v>33504.132231404961</v>
      </c>
      <c r="E491" s="131" t="s">
        <v>1691</v>
      </c>
      <c r="F491" s="626">
        <v>45532</v>
      </c>
      <c r="G491" s="844" t="s">
        <v>1683</v>
      </c>
    </row>
    <row r="492" spans="2:11" outlineLevel="1">
      <c r="B492" s="129" t="s">
        <v>1685</v>
      </c>
      <c r="C492" s="131" t="s">
        <v>77</v>
      </c>
      <c r="D492" s="910">
        <f>38850/4/1.21</f>
        <v>8026.8595041322315</v>
      </c>
      <c r="E492" s="131" t="s">
        <v>1691</v>
      </c>
      <c r="F492" s="627">
        <v>45532</v>
      </c>
      <c r="G492" s="844" t="s">
        <v>1684</v>
      </c>
    </row>
    <row r="493" spans="2:11" outlineLevel="1">
      <c r="B493" s="129" t="s">
        <v>1715</v>
      </c>
      <c r="C493" s="131" t="s">
        <v>77</v>
      </c>
      <c r="D493" s="910">
        <f>48000/1.21</f>
        <v>39669.421487603307</v>
      </c>
      <c r="E493" s="131" t="s">
        <v>1714</v>
      </c>
      <c r="F493" s="627">
        <v>45533</v>
      </c>
      <c r="G493" s="844" t="s">
        <v>1713</v>
      </c>
    </row>
    <row r="494" spans="2:11" outlineLevel="1">
      <c r="B494" s="129" t="s">
        <v>1687</v>
      </c>
      <c r="C494" s="131" t="s">
        <v>77</v>
      </c>
      <c r="D494" s="910">
        <f>27850/1.21</f>
        <v>23016.528925619834</v>
      </c>
      <c r="E494" s="131" t="s">
        <v>1691</v>
      </c>
      <c r="F494" s="627">
        <v>45532</v>
      </c>
      <c r="G494" s="844" t="s">
        <v>1688</v>
      </c>
    </row>
    <row r="495" spans="2:11" outlineLevel="1">
      <c r="B495" s="553" t="s">
        <v>1692</v>
      </c>
      <c r="C495" s="628" t="s">
        <v>77</v>
      </c>
      <c r="D495" s="911">
        <f>8085/1.21</f>
        <v>6681.818181818182</v>
      </c>
      <c r="E495" s="628" t="s">
        <v>1690</v>
      </c>
      <c r="F495" s="629">
        <v>45532</v>
      </c>
      <c r="G495" s="844" t="s">
        <v>1689</v>
      </c>
    </row>
    <row r="497" spans="2:9">
      <c r="B497" s="897" t="s">
        <v>1818</v>
      </c>
      <c r="H497" s="276">
        <v>15</v>
      </c>
      <c r="I497" s="276">
        <v>1.1000000000000001</v>
      </c>
    </row>
    <row r="498" spans="2:9">
      <c r="B498" s="276" t="s">
        <v>1819</v>
      </c>
      <c r="C498" s="318" t="s">
        <v>208</v>
      </c>
      <c r="D498" s="1">
        <f>408750/1.21</f>
        <v>337809.91735537193</v>
      </c>
      <c r="E498" s="318" t="s">
        <v>1820</v>
      </c>
      <c r="F498" s="319">
        <v>45588</v>
      </c>
      <c r="H498" s="1">
        <f>+D498/$H$497</f>
        <v>22520.661157024795</v>
      </c>
      <c r="I498" s="1">
        <f>+H498*$I$497</f>
        <v>24772.727272727276</v>
      </c>
    </row>
    <row r="499" spans="2:9">
      <c r="B499" s="276" t="s">
        <v>1821</v>
      </c>
      <c r="C499" s="318" t="s">
        <v>208</v>
      </c>
      <c r="D499" s="1">
        <f>547230/1.21</f>
        <v>452256.19834710745</v>
      </c>
      <c r="E499" s="318" t="s">
        <v>1820</v>
      </c>
      <c r="F499" s="319">
        <v>45588</v>
      </c>
      <c r="H499" s="1">
        <f>+D499/$H$497</f>
        <v>30150.413223140498</v>
      </c>
      <c r="I499" s="1">
        <f>+H499*$I$497</f>
        <v>33165.454545454551</v>
      </c>
    </row>
  </sheetData>
  <autoFilter ref="B2:F495" xr:uid="{12500FB9-E396-4351-B348-D625193E8F20}"/>
  <hyperlinks>
    <hyperlink ref="G491" r:id="rId1" location="position%3D35%26search_layout%3Dgrid%26type%3Ditem%26tracking_id%3D6611fc6c-a12c-4a2e-ad96-e61a857fba79" xr:uid="{1009DEC1-1F7B-4C26-8088-698C8901B8BE}"/>
    <hyperlink ref="G492" r:id="rId2" location="position%3D34%26search_layout%3Dgrid%26type%3Ditem%26tracking_id%3Da5849249-9dde-4093-902b-e909a5e6182e" xr:uid="{D0FBCE3A-EC79-44E5-979D-7C87375A90F9}"/>
    <hyperlink ref="G494" r:id="rId3" location="position=1&amp;search_layout=grid&amp;type=item&amp;tracking_id=2c1ce423-9e28-4800-ad26-b46d0df1282d" xr:uid="{EB55F7A0-33B2-42CB-9613-1D85F73E2CC4}"/>
    <hyperlink ref="G495" r:id="rId4" xr:uid="{FC5C7298-4008-4D8E-8810-4576516BBD65}"/>
    <hyperlink ref="G385" r:id="rId5" display="https://articulo.mercadolibre.com.ar/MLA-607550702-portero-electrico-commax-30-pulsadores-29-porteros-completo-_JM?matt_tool=92724942&amp;matt_word=&amp;matt_source=google&amp;matt_campaign_id=14508409196&amp;matt_ad_group_id=162589498932&amp;matt_match_type=&amp;matt_network=g&amp;matt_device=c&amp;matt_creative=686475006469&amp;matt_keyword=&amp;matt_ad_position=&amp;matt_ad_type=pla&amp;matt_merchant_id=114368600&amp;matt_product_id=MLA607550702&amp;matt_product_partition_id=2267523913386&amp;matt_target_id=aud-1930507555360:pla-2267523913386&amp;cq_src=google_ads&amp;cq_cmp=14508409196&amp;cq_net=g&amp;cq_plt=gp&amp;cq_med=pla&amp;gad_source=1&amp;gclid=CjwKCAjwlbu2BhA3EiwA3yXyuxNaDfL96VON04gJCW-Mi7QeiJutyXHL5bPpa9p757nRPuboEpaTWBoCI90QAvD_BwE" xr:uid="{384AF7D8-F761-4788-8747-7D3673CD4337}"/>
    <hyperlink ref="G387" r:id="rId6" location="polycard_client=search-nordic&amp;wid=MLA1895940506&amp;sid=search&amp;searchVariation=MLA21805046&amp;position=27&amp;search_layout=grid&amp;type=product&amp;tracking_id=0417dcf8-99a6-4bb8-a3d6-55b4925479a3" display="https://www.mercadolibre.com.ar/plafon-led-18w-candil-circular-aplicar-negro-luz-calida-3000k/p/MLA21805046#polycard_client=search-nordic&amp;wid=MLA1895940506&amp;sid=search&amp;searchVariation=MLA21805046&amp;position=27&amp;search_layout=grid&amp;type=product&amp;tracking_id=0417dcf8-99a6-4bb8-a3d6-55b4925479a3" xr:uid="{5727C6E4-64DB-4E13-8CC6-A2A04706C0ED}"/>
    <hyperlink ref="G389" r:id="rId7" location="polycard_client=search-nordic&amp;position=29&amp;search_layout=grid&amp;type=item&amp;tracking_id=52e8b524-4ac4-45fb-ba73-faf3ae1f1412" xr:uid="{6EF3C029-AC1E-474C-9EAD-6F2B3FC122E3}"/>
    <hyperlink ref="G390" r:id="rId8" location="polycard_client=search-nordic&amp;position=33&amp;search_layout=grid&amp;type=item&amp;tracking_id=4b703957-3360-437a-a286-84d6e650f86c" xr:uid="{B972846C-DCB1-4F61-8E7E-5E96135C9D35}"/>
    <hyperlink ref="G493" r:id="rId9" location="position%3D7%26search_layout%3Dstack%26type%3Ditem%26tracking_id%3D4f5f0db9-b941-4d5d-984c-9dc0dcb3107f" xr:uid="{BDD2D6DD-7ADC-4E93-84F7-0898E07FB73F}"/>
    <hyperlink ref="G72" r:id="rId10" xr:uid="{1A427E8B-68D1-4B48-ADD5-61C5F6EDDD7A}"/>
    <hyperlink ref="G73" r:id="rId11" xr:uid="{1D7DE0DD-A0BA-4282-B3A4-BDC7F92E6930}"/>
  </hyperlinks>
  <pageMargins left="0.7" right="0.7" top="0.75" bottom="0.75" header="0.3" footer="0.3"/>
  <pageSetup paperSize="9" orientation="portrait" verticalDpi="0" r:id="rId1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F970-ECD0-4C33-A0A8-92AB59D420B1}">
  <sheetPr>
    <tabColor rgb="FF92D050"/>
  </sheetPr>
  <dimension ref="B2:O67"/>
  <sheetViews>
    <sheetView topLeftCell="A32" workbookViewId="0"/>
  </sheetViews>
  <sheetFormatPr defaultColWidth="11.54296875" defaultRowHeight="13" outlineLevelRow="1"/>
  <cols>
    <col min="1" max="1" width="4.54296875" style="276" customWidth="1"/>
    <col min="2" max="2" width="49.26953125" style="344" bestFit="1" customWidth="1"/>
    <col min="3" max="3" width="3.453125" style="318" bestFit="1" customWidth="1"/>
    <col min="4" max="4" width="13.453125" style="117" bestFit="1" customWidth="1"/>
    <col min="5" max="5" width="10.54296875" style="117" bestFit="1" customWidth="1"/>
    <col min="6" max="6" width="19.1796875" style="117" bestFit="1" customWidth="1"/>
    <col min="7" max="7" width="35.26953125" style="1" bestFit="1" customWidth="1"/>
    <col min="8" max="8" width="43" style="1" bestFit="1" customWidth="1"/>
    <col min="9" max="9" width="13.81640625" style="1" bestFit="1" customWidth="1"/>
    <col min="10" max="10" width="12.81640625" style="276" bestFit="1" customWidth="1"/>
    <col min="11" max="11" width="16.1796875" style="276" bestFit="1" customWidth="1"/>
    <col min="12" max="13" width="13.453125" style="276" bestFit="1" customWidth="1"/>
    <col min="14" max="16384" width="11.54296875" style="276"/>
  </cols>
  <sheetData>
    <row r="2" spans="2:14">
      <c r="J2" s="1">
        <v>10331</v>
      </c>
      <c r="K2" s="643">
        <v>45292</v>
      </c>
      <c r="M2" s="295" t="s">
        <v>30</v>
      </c>
      <c r="N2" s="295" t="s">
        <v>1</v>
      </c>
    </row>
    <row r="3" spans="2:14">
      <c r="B3" s="664" t="s">
        <v>745</v>
      </c>
      <c r="C3" s="665" t="s">
        <v>508</v>
      </c>
      <c r="D3" s="207" t="s">
        <v>994</v>
      </c>
      <c r="E3" s="218" t="s">
        <v>995</v>
      </c>
      <c r="F3" s="218" t="s">
        <v>996</v>
      </c>
      <c r="H3" s="341" t="s">
        <v>997</v>
      </c>
      <c r="J3" s="1">
        <v>14366.9</v>
      </c>
      <c r="K3" s="643">
        <v>45536</v>
      </c>
      <c r="M3" s="276">
        <f>+GGBB!G4</f>
        <v>1005</v>
      </c>
      <c r="N3" s="276">
        <f>+GGBB!H4</f>
        <v>1170</v>
      </c>
    </row>
    <row r="4" spans="2:14">
      <c r="B4" s="623" t="s">
        <v>998</v>
      </c>
      <c r="C4" s="624"/>
      <c r="D4" s="400"/>
      <c r="E4" s="624"/>
      <c r="F4" s="625"/>
      <c r="H4" s="341"/>
      <c r="J4" s="1">
        <f>+J3/J2</f>
        <v>1.3906591811054108</v>
      </c>
      <c r="K4" s="468" t="s">
        <v>999</v>
      </c>
    </row>
    <row r="5" spans="2:14" outlineLevel="1">
      <c r="B5" s="461" t="s">
        <v>1000</v>
      </c>
      <c r="C5" s="462" t="s">
        <v>54</v>
      </c>
      <c r="D5" s="646">
        <f t="shared" ref="D5:D12" si="0">+H5*$J$4</f>
        <v>1126433.9366953827</v>
      </c>
      <c r="E5" s="661">
        <v>45511</v>
      </c>
      <c r="F5" s="833" t="s">
        <v>1001</v>
      </c>
      <c r="H5" s="1">
        <v>810000</v>
      </c>
      <c r="I5" s="123">
        <v>45356</v>
      </c>
      <c r="J5" s="1"/>
    </row>
    <row r="6" spans="2:14" outlineLevel="1">
      <c r="B6" s="339" t="s">
        <v>1002</v>
      </c>
      <c r="C6" s="131" t="s">
        <v>54</v>
      </c>
      <c r="D6" s="409">
        <f t="shared" si="0"/>
        <v>45891.752976478558</v>
      </c>
      <c r="E6" s="661">
        <v>45511</v>
      </c>
      <c r="F6" s="409" t="s">
        <v>1001</v>
      </c>
      <c r="H6" s="1">
        <v>33000</v>
      </c>
      <c r="I6" s="123">
        <v>45356</v>
      </c>
    </row>
    <row r="7" spans="2:14" outlineLevel="1">
      <c r="B7" s="339" t="s">
        <v>1003</v>
      </c>
      <c r="C7" s="131" t="s">
        <v>54</v>
      </c>
      <c r="D7" s="409">
        <f t="shared" si="0"/>
        <v>102908.77940180039</v>
      </c>
      <c r="E7" s="661">
        <v>45511</v>
      </c>
      <c r="F7" s="409" t="s">
        <v>1001</v>
      </c>
      <c r="H7" s="342">
        <v>74000</v>
      </c>
      <c r="I7" s="123">
        <v>45356</v>
      </c>
    </row>
    <row r="8" spans="2:14" outlineLevel="1">
      <c r="B8" s="339" t="s">
        <v>1004</v>
      </c>
      <c r="C8" s="131" t="s">
        <v>54</v>
      </c>
      <c r="D8" s="409">
        <f t="shared" si="0"/>
        <v>126549.98548059238</v>
      </c>
      <c r="E8" s="661">
        <v>45511</v>
      </c>
      <c r="F8" s="409" t="s">
        <v>1001</v>
      </c>
      <c r="H8" s="342">
        <v>91000</v>
      </c>
      <c r="I8" s="123">
        <v>45356</v>
      </c>
    </row>
    <row r="9" spans="2:14" outlineLevel="1">
      <c r="B9" s="339" t="s">
        <v>1005</v>
      </c>
      <c r="C9" s="131" t="s">
        <v>54</v>
      </c>
      <c r="D9" s="409">
        <f t="shared" si="0"/>
        <v>107080.75694511663</v>
      </c>
      <c r="E9" s="661">
        <v>45511</v>
      </c>
      <c r="F9" s="409" t="s">
        <v>1001</v>
      </c>
      <c r="H9" s="342">
        <v>77000</v>
      </c>
      <c r="I9" s="123">
        <v>45356</v>
      </c>
    </row>
    <row r="10" spans="2:14" outlineLevel="1">
      <c r="B10" s="339" t="s">
        <v>1006</v>
      </c>
      <c r="C10" s="131" t="s">
        <v>54</v>
      </c>
      <c r="D10" s="409">
        <f t="shared" si="0"/>
        <v>229458.76488239277</v>
      </c>
      <c r="E10" s="661">
        <v>45511</v>
      </c>
      <c r="F10" s="409" t="s">
        <v>1001</v>
      </c>
      <c r="H10" s="342">
        <v>165000</v>
      </c>
      <c r="I10" s="123">
        <v>45356</v>
      </c>
    </row>
    <row r="11" spans="2:14" outlineLevel="1">
      <c r="B11" s="339" t="s">
        <v>1007</v>
      </c>
      <c r="C11" s="131" t="s">
        <v>54</v>
      </c>
      <c r="D11" s="409">
        <f t="shared" si="0"/>
        <v>139065.91811054107</v>
      </c>
      <c r="E11" s="661">
        <v>45511</v>
      </c>
      <c r="F11" s="409" t="s">
        <v>1001</v>
      </c>
      <c r="H11" s="342">
        <v>100000</v>
      </c>
      <c r="I11" s="123">
        <v>45356</v>
      </c>
    </row>
    <row r="12" spans="2:14" outlineLevel="1">
      <c r="B12" s="339" t="s">
        <v>1008</v>
      </c>
      <c r="C12" s="131" t="s">
        <v>54</v>
      </c>
      <c r="D12" s="409">
        <f t="shared" si="0"/>
        <v>486730.71338689374</v>
      </c>
      <c r="E12" s="661">
        <v>45511</v>
      </c>
      <c r="F12" s="409" t="s">
        <v>1001</v>
      </c>
      <c r="H12" s="342">
        <v>350000</v>
      </c>
      <c r="I12" s="123">
        <v>45356</v>
      </c>
    </row>
    <row r="13" spans="2:14" outlineLevel="1">
      <c r="B13" s="666" t="s">
        <v>1009</v>
      </c>
      <c r="C13" s="667"/>
      <c r="D13" s="668"/>
      <c r="E13" s="669"/>
      <c r="F13" s="670"/>
      <c r="G13" s="3"/>
      <c r="H13" s="3"/>
      <c r="I13" s="343"/>
    </row>
    <row r="14" spans="2:14" outlineLevel="1">
      <c r="B14" s="339" t="s">
        <v>250</v>
      </c>
      <c r="C14" s="131" t="s">
        <v>77</v>
      </c>
      <c r="D14" s="409">
        <f t="shared" ref="D14:D19" si="1">+H14*$J$4</f>
        <v>100127.46103958957</v>
      </c>
      <c r="E14" s="661">
        <v>45511</v>
      </c>
      <c r="F14" s="409" t="s">
        <v>1001</v>
      </c>
      <c r="H14" s="342">
        <v>72000</v>
      </c>
      <c r="I14" s="123">
        <v>45356</v>
      </c>
    </row>
    <row r="15" spans="2:14" outlineLevel="1">
      <c r="B15" s="339" t="s">
        <v>1010</v>
      </c>
      <c r="C15" s="131" t="s">
        <v>77</v>
      </c>
      <c r="D15" s="409">
        <f t="shared" si="1"/>
        <v>100127.46103958957</v>
      </c>
      <c r="E15" s="661">
        <v>45511</v>
      </c>
      <c r="F15" s="409" t="s">
        <v>1001</v>
      </c>
      <c r="H15" s="1">
        <v>72000</v>
      </c>
      <c r="I15" s="123">
        <v>45356</v>
      </c>
    </row>
    <row r="16" spans="2:14" outlineLevel="1">
      <c r="B16" s="339" t="s">
        <v>1011</v>
      </c>
      <c r="C16" s="131" t="s">
        <v>77</v>
      </c>
      <c r="D16" s="409">
        <f t="shared" si="1"/>
        <v>147409.87319717355</v>
      </c>
      <c r="E16" s="661">
        <v>45511</v>
      </c>
      <c r="F16" s="409" t="s">
        <v>1001</v>
      </c>
      <c r="H16" s="1">
        <v>106000</v>
      </c>
      <c r="I16" s="123">
        <v>45356</v>
      </c>
    </row>
    <row r="17" spans="2:15" outlineLevel="1">
      <c r="B17" s="339" t="s">
        <v>1012</v>
      </c>
      <c r="C17" s="131" t="s">
        <v>77</v>
      </c>
      <c r="D17" s="409">
        <f t="shared" si="1"/>
        <v>69532.959055270534</v>
      </c>
      <c r="E17" s="661">
        <v>45511</v>
      </c>
      <c r="F17" s="409" t="s">
        <v>1001</v>
      </c>
      <c r="H17" s="1">
        <v>50000</v>
      </c>
      <c r="I17" s="123">
        <v>45356</v>
      </c>
    </row>
    <row r="18" spans="2:15" outlineLevel="1">
      <c r="B18" s="339" t="s">
        <v>251</v>
      </c>
      <c r="C18" s="131" t="s">
        <v>77</v>
      </c>
      <c r="D18" s="409">
        <f t="shared" si="1"/>
        <v>87611.528409640872</v>
      </c>
      <c r="E18" s="661">
        <v>45511</v>
      </c>
      <c r="F18" s="409" t="s">
        <v>1001</v>
      </c>
      <c r="H18" s="1">
        <v>63000</v>
      </c>
      <c r="I18" s="123">
        <v>45356</v>
      </c>
    </row>
    <row r="19" spans="2:15" outlineLevel="1">
      <c r="B19" s="662" t="s">
        <v>1013</v>
      </c>
      <c r="C19" s="628" t="s">
        <v>77</v>
      </c>
      <c r="D19" s="410">
        <f t="shared" si="1"/>
        <v>43805.764204820436</v>
      </c>
      <c r="E19" s="663">
        <v>45511</v>
      </c>
      <c r="F19" s="410" t="s">
        <v>1001</v>
      </c>
      <c r="H19" s="1">
        <v>31500</v>
      </c>
      <c r="I19" s="123">
        <v>45356</v>
      </c>
    </row>
    <row r="20" spans="2:15">
      <c r="B20" s="623" t="s">
        <v>1014</v>
      </c>
      <c r="C20" s="624"/>
      <c r="D20" s="400"/>
      <c r="E20" s="624"/>
      <c r="F20" s="861"/>
      <c r="I20" s="123"/>
    </row>
    <row r="21" spans="2:15" outlineLevel="1">
      <c r="B21" s="673" t="s">
        <v>1831</v>
      </c>
      <c r="C21" s="674" t="s">
        <v>54</v>
      </c>
      <c r="D21" s="558">
        <v>33900</v>
      </c>
      <c r="E21" s="675">
        <v>45581</v>
      </c>
      <c r="F21" s="558" t="s">
        <v>1830</v>
      </c>
    </row>
    <row r="22" spans="2:15">
      <c r="B22" s="623" t="s">
        <v>1015</v>
      </c>
      <c r="C22" s="624"/>
      <c r="D22" s="400"/>
      <c r="E22" s="624"/>
      <c r="F22" s="625"/>
      <c r="I22" s="277">
        <v>45383</v>
      </c>
      <c r="J22" s="276">
        <v>10084.9</v>
      </c>
    </row>
    <row r="23" spans="2:15" outlineLevel="1">
      <c r="B23" s="671" t="s">
        <v>1016</v>
      </c>
      <c r="C23" s="462" t="s">
        <v>66</v>
      </c>
      <c r="D23" s="408">
        <v>16000</v>
      </c>
      <c r="E23" s="672">
        <v>45572</v>
      </c>
      <c r="F23" s="408" t="s">
        <v>1017</v>
      </c>
      <c r="I23" s="277">
        <v>45536</v>
      </c>
      <c r="J23" s="276">
        <v>10483.299999999999</v>
      </c>
      <c r="L23" s="276">
        <v>0.66500000000000004</v>
      </c>
    </row>
    <row r="24" spans="2:15" outlineLevel="1">
      <c r="B24" s="662" t="s">
        <v>1750</v>
      </c>
      <c r="C24" s="628" t="s">
        <v>54</v>
      </c>
      <c r="D24" s="410">
        <v>20000000</v>
      </c>
      <c r="E24" s="663">
        <v>45572</v>
      </c>
      <c r="F24" s="410" t="s">
        <v>1017</v>
      </c>
      <c r="I24" s="276"/>
      <c r="J24" s="1">
        <f>+J23/J22</f>
        <v>1.0395046058959434</v>
      </c>
    </row>
    <row r="25" spans="2:15">
      <c r="B25" s="623" t="s">
        <v>1018</v>
      </c>
      <c r="C25" s="624"/>
      <c r="D25" s="400"/>
      <c r="E25" s="624"/>
      <c r="F25" s="625"/>
      <c r="H25" s="1" t="s">
        <v>1019</v>
      </c>
      <c r="J25" s="1" t="s">
        <v>2287</v>
      </c>
      <c r="K25" s="3"/>
      <c r="L25" s="276" t="s">
        <v>1020</v>
      </c>
    </row>
    <row r="26" spans="2:15" outlineLevel="1">
      <c r="B26" s="671" t="s">
        <v>1021</v>
      </c>
      <c r="C26" s="462" t="s">
        <v>4</v>
      </c>
      <c r="D26" s="408">
        <f>+L26</f>
        <v>7034.2416940326984</v>
      </c>
      <c r="E26" s="672">
        <v>45510</v>
      </c>
      <c r="F26" s="408" t="s">
        <v>1022</v>
      </c>
      <c r="H26" s="1">
        <v>4500</v>
      </c>
      <c r="I26" s="123">
        <v>45510</v>
      </c>
      <c r="J26" s="296">
        <f>+H26*$J$24</f>
        <v>4677.7707265317449</v>
      </c>
      <c r="L26" s="1">
        <f>+J26/$L$23</f>
        <v>7034.2416940326984</v>
      </c>
      <c r="N26" s="296"/>
      <c r="O26" s="296"/>
    </row>
    <row r="27" spans="2:15" outlineLevel="1">
      <c r="B27" s="339" t="s">
        <v>1023</v>
      </c>
      <c r="C27" s="131" t="s">
        <v>4</v>
      </c>
      <c r="D27" s="409">
        <f t="shared" ref="D27:D32" si="2">+L27</f>
        <v>6252.6592835846213</v>
      </c>
      <c r="E27" s="661">
        <v>45510</v>
      </c>
      <c r="F27" s="409" t="s">
        <v>1022</v>
      </c>
      <c r="H27" s="1">
        <v>4000</v>
      </c>
      <c r="I27" s="123">
        <v>45510</v>
      </c>
      <c r="J27" s="296">
        <f t="shared" ref="J27:J35" si="3">+H27*$J$24</f>
        <v>4158.0184235837733</v>
      </c>
      <c r="L27" s="1">
        <f>+J27/$L$23</f>
        <v>6252.6592835846213</v>
      </c>
    </row>
    <row r="28" spans="2:15" outlineLevel="1">
      <c r="B28" s="339" t="s">
        <v>479</v>
      </c>
      <c r="C28" s="131" t="s">
        <v>4</v>
      </c>
      <c r="D28" s="409">
        <f t="shared" si="2"/>
        <v>12817.951531348474</v>
      </c>
      <c r="E28" s="661">
        <v>45510</v>
      </c>
      <c r="F28" s="409" t="s">
        <v>1022</v>
      </c>
      <c r="H28" s="1">
        <v>8200</v>
      </c>
      <c r="I28" s="123">
        <v>45510</v>
      </c>
      <c r="J28" s="296">
        <f t="shared" si="3"/>
        <v>8523.9377683467355</v>
      </c>
      <c r="L28" s="1">
        <f t="shared" ref="L28:L35" si="4">+J28/$L$23</f>
        <v>12817.951531348474</v>
      </c>
    </row>
    <row r="29" spans="2:15" outlineLevel="1">
      <c r="B29" s="339" t="s">
        <v>1024</v>
      </c>
      <c r="C29" s="131" t="s">
        <v>59</v>
      </c>
      <c r="D29" s="409">
        <f t="shared" si="2"/>
        <v>10160.57133582501</v>
      </c>
      <c r="E29" s="661">
        <v>45510</v>
      </c>
      <c r="F29" s="409" t="s">
        <v>1022</v>
      </c>
      <c r="H29" s="1">
        <v>6500</v>
      </c>
      <c r="I29" s="123">
        <v>45510</v>
      </c>
      <c r="J29" s="296">
        <f t="shared" si="3"/>
        <v>6756.7799383236325</v>
      </c>
      <c r="L29" s="1">
        <f t="shared" si="4"/>
        <v>10160.57133582501</v>
      </c>
    </row>
    <row r="30" spans="2:15" outlineLevel="1">
      <c r="B30" s="339" t="s">
        <v>486</v>
      </c>
      <c r="C30" s="131" t="s">
        <v>77</v>
      </c>
      <c r="D30" s="409">
        <f t="shared" si="2"/>
        <v>10160.57133582501</v>
      </c>
      <c r="E30" s="661">
        <v>45510</v>
      </c>
      <c r="F30" s="409" t="s">
        <v>1022</v>
      </c>
      <c r="H30" s="1">
        <v>6500</v>
      </c>
      <c r="I30" s="123">
        <v>45510</v>
      </c>
      <c r="J30" s="296">
        <f t="shared" si="3"/>
        <v>6756.7799383236325</v>
      </c>
      <c r="L30" s="1">
        <f t="shared" si="4"/>
        <v>10160.57133582501</v>
      </c>
    </row>
    <row r="31" spans="2:15" outlineLevel="1">
      <c r="B31" s="339" t="s">
        <v>1025</v>
      </c>
      <c r="C31" s="131" t="s">
        <v>4</v>
      </c>
      <c r="D31" s="409">
        <f t="shared" si="2"/>
        <v>17194.813029857713</v>
      </c>
      <c r="E31" s="661">
        <v>45510</v>
      </c>
      <c r="F31" s="409" t="s">
        <v>1022</v>
      </c>
      <c r="H31" s="1">
        <v>11000</v>
      </c>
      <c r="I31" s="123">
        <v>45510</v>
      </c>
      <c r="J31" s="296">
        <f t="shared" si="3"/>
        <v>11434.550664855378</v>
      </c>
      <c r="L31" s="1">
        <f t="shared" si="4"/>
        <v>17194.813029857713</v>
      </c>
    </row>
    <row r="32" spans="2:15" outlineLevel="1">
      <c r="B32" s="662" t="s">
        <v>1026</v>
      </c>
      <c r="C32" s="628" t="s">
        <v>59</v>
      </c>
      <c r="D32" s="410">
        <f t="shared" si="2"/>
        <v>8597.4065149288563</v>
      </c>
      <c r="E32" s="663">
        <v>45510</v>
      </c>
      <c r="F32" s="410" t="s">
        <v>1022</v>
      </c>
      <c r="H32" s="1">
        <v>5500</v>
      </c>
      <c r="I32" s="123">
        <v>45510</v>
      </c>
      <c r="J32" s="296">
        <f t="shared" si="3"/>
        <v>5717.2753324276891</v>
      </c>
      <c r="L32" s="1">
        <f t="shared" si="4"/>
        <v>8597.4065149288563</v>
      </c>
    </row>
    <row r="33" spans="2:14">
      <c r="B33" s="623" t="s">
        <v>1027</v>
      </c>
      <c r="C33" s="624"/>
      <c r="D33" s="400"/>
      <c r="E33" s="624"/>
      <c r="F33" s="625"/>
      <c r="I33" s="123"/>
      <c r="J33" s="296">
        <f t="shared" si="3"/>
        <v>0</v>
      </c>
      <c r="L33" s="1">
        <f t="shared" si="4"/>
        <v>0</v>
      </c>
    </row>
    <row r="34" spans="2:14" outlineLevel="1">
      <c r="B34" s="671" t="s">
        <v>1028</v>
      </c>
      <c r="C34" s="462" t="s">
        <v>4</v>
      </c>
      <c r="D34" s="408">
        <f>+L34</f>
        <v>7815.8241044807764</v>
      </c>
      <c r="E34" s="672">
        <v>45510</v>
      </c>
      <c r="F34" s="408" t="s">
        <v>1029</v>
      </c>
      <c r="H34" s="1">
        <v>5000</v>
      </c>
      <c r="I34" s="123">
        <v>45510</v>
      </c>
      <c r="J34" s="296">
        <f t="shared" si="3"/>
        <v>5197.5230294797166</v>
      </c>
      <c r="L34" s="1">
        <f t="shared" si="4"/>
        <v>7815.8241044807764</v>
      </c>
    </row>
    <row r="35" spans="2:14" outlineLevel="1">
      <c r="B35" s="662" t="s">
        <v>1028</v>
      </c>
      <c r="C35" s="628" t="s">
        <v>4</v>
      </c>
      <c r="D35" s="410">
        <f>+L35</f>
        <v>10942.153746273088</v>
      </c>
      <c r="E35" s="663">
        <v>45510</v>
      </c>
      <c r="F35" s="410" t="s">
        <v>1029</v>
      </c>
      <c r="G35" s="1" t="s">
        <v>1530</v>
      </c>
      <c r="H35" s="1">
        <f>+H34*1.4</f>
        <v>7000</v>
      </c>
      <c r="I35" s="123">
        <v>45510</v>
      </c>
      <c r="J35" s="296">
        <f t="shared" si="3"/>
        <v>7276.5322412716041</v>
      </c>
      <c r="L35" s="1">
        <f t="shared" si="4"/>
        <v>10942.153746273088</v>
      </c>
      <c r="M35" s="1" t="s">
        <v>1530</v>
      </c>
      <c r="N35" s="1"/>
    </row>
    <row r="36" spans="2:14">
      <c r="B36" s="623" t="s">
        <v>2288</v>
      </c>
      <c r="C36" s="624"/>
      <c r="D36" s="400"/>
      <c r="E36" s="624"/>
      <c r="F36" s="625"/>
      <c r="G36" s="1">
        <v>36</v>
      </c>
      <c r="I36" s="123"/>
    </row>
    <row r="37" spans="2:14" outlineLevel="1">
      <c r="B37" s="671" t="s">
        <v>1030</v>
      </c>
      <c r="C37" s="462" t="s">
        <v>77</v>
      </c>
      <c r="D37" s="408">
        <f>+G37/$G$36</f>
        <v>375000</v>
      </c>
      <c r="E37" s="672">
        <v>45580</v>
      </c>
      <c r="F37" s="408" t="s">
        <v>1031</v>
      </c>
      <c r="G37" s="1">
        <v>13500000</v>
      </c>
      <c r="I37" s="123"/>
    </row>
    <row r="38" spans="2:14" outlineLevel="1">
      <c r="B38" s="339" t="s">
        <v>1032</v>
      </c>
      <c r="C38" s="131" t="s">
        <v>77</v>
      </c>
      <c r="D38" s="409">
        <f>+G38/$G$36</f>
        <v>213888.88888888888</v>
      </c>
      <c r="E38" s="661">
        <v>45580</v>
      </c>
      <c r="F38" s="409" t="s">
        <v>1031</v>
      </c>
      <c r="G38" s="1">
        <v>7700000</v>
      </c>
      <c r="I38" s="123"/>
    </row>
    <row r="39" spans="2:14" outlineLevel="1">
      <c r="B39" s="662" t="s">
        <v>1033</v>
      </c>
      <c r="C39" s="628" t="s">
        <v>77</v>
      </c>
      <c r="D39" s="410">
        <f>+G39/$G$36</f>
        <v>189000</v>
      </c>
      <c r="E39" s="663">
        <v>45580</v>
      </c>
      <c r="F39" s="410" t="s">
        <v>1031</v>
      </c>
      <c r="G39" s="1">
        <v>6804000</v>
      </c>
      <c r="I39" s="123"/>
    </row>
    <row r="40" spans="2:14">
      <c r="B40" s="623" t="s">
        <v>128</v>
      </c>
      <c r="C40" s="624"/>
      <c r="D40" s="400"/>
      <c r="E40" s="624"/>
      <c r="F40" s="625"/>
      <c r="G40" s="1" t="s">
        <v>1034</v>
      </c>
    </row>
    <row r="41" spans="2:14" outlineLevel="1">
      <c r="B41" s="671" t="s">
        <v>1035</v>
      </c>
      <c r="C41" s="462" t="s">
        <v>1036</v>
      </c>
      <c r="D41" s="408">
        <f>+G41*0.7</f>
        <v>22868.3</v>
      </c>
      <c r="E41" s="672">
        <v>45536</v>
      </c>
      <c r="F41" s="408" t="s">
        <v>1037</v>
      </c>
      <c r="G41" s="1">
        <v>32669</v>
      </c>
    </row>
    <row r="42" spans="2:14" outlineLevel="1">
      <c r="B42" s="339" t="s">
        <v>1038</v>
      </c>
      <c r="C42" s="131" t="s">
        <v>1036</v>
      </c>
      <c r="D42" s="409">
        <f>+G42*0.7</f>
        <v>10018.4</v>
      </c>
      <c r="E42" s="661">
        <v>45536</v>
      </c>
      <c r="F42" s="409" t="s">
        <v>1037</v>
      </c>
      <c r="G42" s="1">
        <v>14312</v>
      </c>
    </row>
    <row r="43" spans="2:14" outlineLevel="1">
      <c r="B43" s="339" t="s">
        <v>1039</v>
      </c>
      <c r="C43" s="131"/>
      <c r="D43" s="409">
        <f>+D41+D42</f>
        <v>32886.699999999997</v>
      </c>
      <c r="E43" s="661">
        <v>45536</v>
      </c>
      <c r="F43" s="409" t="s">
        <v>1037</v>
      </c>
    </row>
    <row r="44" spans="2:14" outlineLevel="1">
      <c r="B44" s="339" t="s">
        <v>1040</v>
      </c>
      <c r="C44" s="131" t="s">
        <v>1036</v>
      </c>
      <c r="D44" s="409">
        <f t="shared" ref="D44:D58" si="5">+G44*0.7</f>
        <v>40714.799999999996</v>
      </c>
      <c r="E44" s="661">
        <v>45536</v>
      </c>
      <c r="F44" s="409" t="s">
        <v>1037</v>
      </c>
      <c r="G44" s="1">
        <v>58164</v>
      </c>
    </row>
    <row r="45" spans="2:14" outlineLevel="1">
      <c r="B45" s="339" t="s">
        <v>1041</v>
      </c>
      <c r="C45" s="131" t="s">
        <v>1036</v>
      </c>
      <c r="D45" s="409">
        <f t="shared" si="5"/>
        <v>7270.9</v>
      </c>
      <c r="E45" s="661">
        <v>45536</v>
      </c>
      <c r="F45" s="409" t="s">
        <v>1037</v>
      </c>
      <c r="G45" s="1">
        <v>10387</v>
      </c>
    </row>
    <row r="46" spans="2:14" outlineLevel="1">
      <c r="B46" s="339" t="s">
        <v>1042</v>
      </c>
      <c r="C46" s="131" t="s">
        <v>77</v>
      </c>
      <c r="D46" s="409">
        <f t="shared" si="5"/>
        <v>11158</v>
      </c>
      <c r="E46" s="661">
        <v>45536</v>
      </c>
      <c r="F46" s="409" t="s">
        <v>1037</v>
      </c>
      <c r="G46" s="1">
        <v>15940</v>
      </c>
    </row>
    <row r="47" spans="2:14" outlineLevel="1">
      <c r="B47" s="676" t="s">
        <v>1043</v>
      </c>
      <c r="C47" s="677" t="s">
        <v>77</v>
      </c>
      <c r="D47" s="678">
        <f t="shared" si="5"/>
        <v>64399.999999999993</v>
      </c>
      <c r="E47" s="679">
        <v>45566</v>
      </c>
      <c r="F47" s="678" t="s">
        <v>1044</v>
      </c>
      <c r="G47" s="644">
        <v>92000</v>
      </c>
    </row>
    <row r="48" spans="2:14" outlineLevel="1">
      <c r="B48" s="676" t="s">
        <v>1045</v>
      </c>
      <c r="C48" s="677" t="s">
        <v>77</v>
      </c>
      <c r="D48" s="678">
        <f t="shared" si="5"/>
        <v>59849.999999999993</v>
      </c>
      <c r="E48" s="679">
        <v>45566</v>
      </c>
      <c r="F48" s="678" t="s">
        <v>1044</v>
      </c>
      <c r="G48" s="644">
        <v>85500</v>
      </c>
    </row>
    <row r="49" spans="2:13" outlineLevel="1">
      <c r="B49" s="676" t="s">
        <v>1046</v>
      </c>
      <c r="C49" s="677" t="s">
        <v>77</v>
      </c>
      <c r="D49" s="678">
        <f t="shared" si="5"/>
        <v>17500</v>
      </c>
      <c r="E49" s="679">
        <v>45566</v>
      </c>
      <c r="F49" s="678" t="s">
        <v>1044</v>
      </c>
      <c r="G49" s="644">
        <v>25000</v>
      </c>
    </row>
    <row r="50" spans="2:13" outlineLevel="1">
      <c r="B50" s="339" t="s">
        <v>1047</v>
      </c>
      <c r="C50" s="131" t="s">
        <v>77</v>
      </c>
      <c r="D50" s="409">
        <f>+G50*0.45</f>
        <v>219841.65</v>
      </c>
      <c r="E50" s="661">
        <v>45536</v>
      </c>
      <c r="F50" s="409" t="s">
        <v>1037</v>
      </c>
      <c r="G50" s="1">
        <v>488537</v>
      </c>
    </row>
    <row r="51" spans="2:13" outlineLevel="1">
      <c r="B51" s="339" t="s">
        <v>1048</v>
      </c>
      <c r="C51" s="131" t="s">
        <v>77</v>
      </c>
      <c r="D51" s="409">
        <f>+G51*0.45</f>
        <v>329747.40000000002</v>
      </c>
      <c r="E51" s="661">
        <v>45536</v>
      </c>
      <c r="F51" s="409" t="s">
        <v>1037</v>
      </c>
      <c r="G51" s="1">
        <v>732772</v>
      </c>
    </row>
    <row r="52" spans="2:13" outlineLevel="1">
      <c r="B52" s="676" t="s">
        <v>1049</v>
      </c>
      <c r="C52" s="677" t="s">
        <v>77</v>
      </c>
      <c r="D52" s="678">
        <f t="shared" si="5"/>
        <v>22190</v>
      </c>
      <c r="E52" s="679">
        <v>45566</v>
      </c>
      <c r="F52" s="678" t="s">
        <v>1044</v>
      </c>
      <c r="G52" s="644">
        <v>31700</v>
      </c>
    </row>
    <row r="53" spans="2:13" outlineLevel="1">
      <c r="B53" s="339" t="s">
        <v>1050</v>
      </c>
      <c r="C53" s="131" t="s">
        <v>59</v>
      </c>
      <c r="D53" s="409">
        <f t="shared" si="5"/>
        <v>20374.899999999998</v>
      </c>
      <c r="E53" s="661">
        <v>45536</v>
      </c>
      <c r="F53" s="409" t="s">
        <v>1037</v>
      </c>
      <c r="G53" s="1">
        <v>29107</v>
      </c>
    </row>
    <row r="54" spans="2:13" outlineLevel="1">
      <c r="B54" s="339" t="s">
        <v>1051</v>
      </c>
      <c r="C54" s="131" t="s">
        <v>77</v>
      </c>
      <c r="D54" s="409">
        <f t="shared" si="5"/>
        <v>292642.69999999995</v>
      </c>
      <c r="E54" s="661">
        <v>45536</v>
      </c>
      <c r="F54" s="409" t="s">
        <v>1037</v>
      </c>
      <c r="G54" s="1">
        <v>418061</v>
      </c>
    </row>
    <row r="55" spans="2:13" outlineLevel="1">
      <c r="B55" s="339" t="s">
        <v>1052</v>
      </c>
      <c r="C55" s="131" t="s">
        <v>77</v>
      </c>
      <c r="D55" s="409">
        <f t="shared" si="5"/>
        <v>92822.099999999991</v>
      </c>
      <c r="E55" s="661">
        <v>45536</v>
      </c>
      <c r="F55" s="409" t="s">
        <v>1037</v>
      </c>
      <c r="G55" s="1">
        <v>132603</v>
      </c>
    </row>
    <row r="56" spans="2:13" outlineLevel="1">
      <c r="B56" s="339" t="s">
        <v>283</v>
      </c>
      <c r="C56" s="131" t="s">
        <v>77</v>
      </c>
      <c r="D56" s="409">
        <f t="shared" si="5"/>
        <v>85483.299999999988</v>
      </c>
      <c r="E56" s="661">
        <v>45536</v>
      </c>
      <c r="F56" s="409" t="s">
        <v>1037</v>
      </c>
      <c r="G56" s="1">
        <v>122119</v>
      </c>
      <c r="K56" s="277">
        <v>45383</v>
      </c>
      <c r="L56" s="276">
        <v>7803.5</v>
      </c>
    </row>
    <row r="57" spans="2:13" outlineLevel="1">
      <c r="B57" s="339" t="s">
        <v>284</v>
      </c>
      <c r="C57" s="131" t="s">
        <v>77</v>
      </c>
      <c r="D57" s="409">
        <f t="shared" si="5"/>
        <v>122165.4</v>
      </c>
      <c r="E57" s="661">
        <v>45536</v>
      </c>
      <c r="F57" s="409" t="s">
        <v>1037</v>
      </c>
      <c r="G57" s="1">
        <v>174522</v>
      </c>
      <c r="K57" s="277">
        <v>45536</v>
      </c>
      <c r="L57" s="276">
        <v>10483.299999999999</v>
      </c>
    </row>
    <row r="58" spans="2:13" outlineLevel="1">
      <c r="B58" s="662" t="s">
        <v>1053</v>
      </c>
      <c r="C58" s="628" t="s">
        <v>77</v>
      </c>
      <c r="D58" s="410">
        <f t="shared" si="5"/>
        <v>61050.499999999993</v>
      </c>
      <c r="E58" s="661">
        <v>45536</v>
      </c>
      <c r="F58" s="410" t="s">
        <v>1037</v>
      </c>
      <c r="G58" s="1">
        <v>87215</v>
      </c>
      <c r="L58" s="1">
        <f>+L57/L56</f>
        <v>1.3434100083295957</v>
      </c>
      <c r="M58" s="413">
        <v>0.7</v>
      </c>
    </row>
    <row r="59" spans="2:13">
      <c r="B59" s="623" t="s">
        <v>178</v>
      </c>
      <c r="C59" s="624"/>
      <c r="D59" s="400"/>
      <c r="E59" s="624"/>
      <c r="F59" s="625"/>
      <c r="H59" s="672">
        <v>45385</v>
      </c>
      <c r="J59" s="276" t="s">
        <v>2255</v>
      </c>
      <c r="K59" s="276" t="s">
        <v>2254</v>
      </c>
      <c r="L59" s="276" t="s">
        <v>2257</v>
      </c>
      <c r="M59" s="276" t="s">
        <v>2256</v>
      </c>
    </row>
    <row r="60" spans="2:13" outlineLevel="1">
      <c r="B60" s="671" t="s">
        <v>1054</v>
      </c>
      <c r="C60" s="462" t="s">
        <v>54</v>
      </c>
      <c r="D60" s="408">
        <f>+M60</f>
        <v>16174656.500288332</v>
      </c>
      <c r="F60" s="408" t="s">
        <v>1055</v>
      </c>
      <c r="H60" s="1">
        <v>17200</v>
      </c>
      <c r="I60" s="117" t="s">
        <v>1056</v>
      </c>
      <c r="J60" s="276">
        <v>1000</v>
      </c>
      <c r="K60" s="1">
        <f>+H60*J60</f>
        <v>17200000</v>
      </c>
      <c r="L60" s="1">
        <f>+K60*L58</f>
        <v>23106652.143269047</v>
      </c>
      <c r="M60" s="1">
        <f>+L60*M58</f>
        <v>16174656.500288332</v>
      </c>
    </row>
    <row r="61" spans="2:13" outlineLevel="1">
      <c r="B61" s="339"/>
      <c r="C61" s="131"/>
      <c r="D61" s="409"/>
      <c r="E61" s="409"/>
      <c r="F61" s="409"/>
      <c r="G61" s="1">
        <v>1</v>
      </c>
    </row>
    <row r="62" spans="2:13" outlineLevel="1">
      <c r="B62" s="339" t="s">
        <v>2252</v>
      </c>
      <c r="C62" s="131" t="s">
        <v>77</v>
      </c>
      <c r="D62" s="409">
        <f>+$D$60/$G$61*G62</f>
        <v>8896061.075158583</v>
      </c>
      <c r="E62" s="661"/>
      <c r="F62" s="409" t="s">
        <v>1055</v>
      </c>
      <c r="G62" s="413">
        <v>0.55000000000000004</v>
      </c>
      <c r="H62" s="1">
        <f>+D62/16</f>
        <v>556003.81719741144</v>
      </c>
      <c r="I62" s="1" t="s">
        <v>2259</v>
      </c>
      <c r="J62" s="1"/>
      <c r="K62" s="1"/>
      <c r="L62" s="1"/>
    </row>
    <row r="63" spans="2:13" outlineLevel="1">
      <c r="B63" s="1258" t="s">
        <v>2253</v>
      </c>
      <c r="C63" s="774" t="s">
        <v>77</v>
      </c>
      <c r="D63" s="409">
        <f>+$D$60/$G$61*G63</f>
        <v>4852396.9500864996</v>
      </c>
      <c r="E63" s="1260"/>
      <c r="F63" s="1259"/>
      <c r="G63" s="413">
        <v>0.3</v>
      </c>
      <c r="H63" s="1">
        <f>+D63/81</f>
        <v>59906.135186253079</v>
      </c>
      <c r="I63" s="1" t="s">
        <v>2261</v>
      </c>
    </row>
    <row r="64" spans="2:13" outlineLevel="1">
      <c r="B64" s="662" t="s">
        <v>1057</v>
      </c>
      <c r="C64" s="628" t="s">
        <v>77</v>
      </c>
      <c r="D64" s="410">
        <f>+$D$60/$G$61*G64</f>
        <v>2426198.4750432498</v>
      </c>
      <c r="E64" s="663"/>
      <c r="F64" s="410" t="s">
        <v>1055</v>
      </c>
      <c r="G64" s="413">
        <v>0.15</v>
      </c>
      <c r="H64" s="1">
        <f>+D64/16</f>
        <v>151637.40469020311</v>
      </c>
      <c r="I64" s="1" t="s">
        <v>2258</v>
      </c>
    </row>
    <row r="65" spans="2:6">
      <c r="B65" s="623" t="s">
        <v>1752</v>
      </c>
      <c r="C65" s="624"/>
      <c r="D65" s="466"/>
      <c r="E65" s="466"/>
      <c r="F65" s="1263"/>
    </row>
    <row r="66" spans="2:6" outlineLevel="1">
      <c r="B66" s="671" t="s">
        <v>1754</v>
      </c>
      <c r="C66" s="462" t="s">
        <v>54</v>
      </c>
      <c r="D66" s="408">
        <v>2600000</v>
      </c>
      <c r="E66" s="672">
        <v>45569</v>
      </c>
      <c r="F66" s="408" t="s">
        <v>1753</v>
      </c>
    </row>
    <row r="67" spans="2:6" outlineLevel="1">
      <c r="B67" s="662" t="s">
        <v>1755</v>
      </c>
      <c r="C67" s="628" t="s">
        <v>54</v>
      </c>
      <c r="D67" s="410">
        <f>+D66*3</f>
        <v>7800000</v>
      </c>
      <c r="E67" s="663">
        <v>45569</v>
      </c>
      <c r="F67" s="410" t="s">
        <v>1753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A89"/>
  <sheetViews>
    <sheetView topLeftCell="A22" workbookViewId="0"/>
  </sheetViews>
  <sheetFormatPr defaultColWidth="11.54296875" defaultRowHeight="13" outlineLevelCol="1"/>
  <cols>
    <col min="1" max="1" width="13.26953125" style="18" bestFit="1" customWidth="1"/>
    <col min="2" max="2" width="13.54296875" style="19" customWidth="1"/>
    <col min="3" max="3" width="90.81640625" style="18" bestFit="1" customWidth="1"/>
    <col min="4" max="4" width="4.7265625" style="18" customWidth="1"/>
    <col min="5" max="5" width="13.54296875" style="18" customWidth="1"/>
    <col min="6" max="7" width="2.7265625" style="18" hidden="1" customWidth="1" outlineLevel="1"/>
    <col min="8" max="8" width="11.26953125" style="18" customWidth="1" collapsed="1"/>
    <col min="9" max="10" width="2.26953125" style="18" hidden="1" customWidth="1" outlineLevel="1"/>
    <col min="11" max="11" width="15.54296875" style="18" bestFit="1" customWidth="1" collapsed="1"/>
    <col min="12" max="12" width="12" style="18" bestFit="1" customWidth="1"/>
    <col min="13" max="13" width="10.7265625" style="18" bestFit="1" customWidth="1"/>
    <col min="14" max="14" width="42.1796875" style="18" bestFit="1" customWidth="1"/>
    <col min="15" max="26" width="11.453125" style="18"/>
    <col min="27" max="27" width="12.453125" style="18" bestFit="1" customWidth="1"/>
    <col min="28" max="261" width="11.453125" style="18"/>
    <col min="262" max="262" width="8.81640625" style="18" bestFit="1" customWidth="1"/>
    <col min="263" max="263" width="65.81640625" style="18" customWidth="1"/>
    <col min="264" max="269" width="11.453125" style="18"/>
    <col min="270" max="270" width="42.1796875" style="18" bestFit="1" customWidth="1"/>
    <col min="271" max="517" width="11.453125" style="18"/>
    <col min="518" max="518" width="8.81640625" style="18" bestFit="1" customWidth="1"/>
    <col min="519" max="519" width="65.81640625" style="18" customWidth="1"/>
    <col min="520" max="525" width="11.453125" style="18"/>
    <col min="526" max="526" width="42.1796875" style="18" bestFit="1" customWidth="1"/>
    <col min="527" max="773" width="11.453125" style="18"/>
    <col min="774" max="774" width="8.81640625" style="18" bestFit="1" customWidth="1"/>
    <col min="775" max="775" width="65.81640625" style="18" customWidth="1"/>
    <col min="776" max="781" width="11.453125" style="18"/>
    <col min="782" max="782" width="42.1796875" style="18" bestFit="1" customWidth="1"/>
    <col min="783" max="1029" width="11.453125" style="18"/>
    <col min="1030" max="1030" width="8.81640625" style="18" bestFit="1" customWidth="1"/>
    <col min="1031" max="1031" width="65.81640625" style="18" customWidth="1"/>
    <col min="1032" max="1037" width="11.453125" style="18"/>
    <col min="1038" max="1038" width="42.1796875" style="18" bestFit="1" customWidth="1"/>
    <col min="1039" max="1285" width="11.453125" style="18"/>
    <col min="1286" max="1286" width="8.81640625" style="18" bestFit="1" customWidth="1"/>
    <col min="1287" max="1287" width="65.81640625" style="18" customWidth="1"/>
    <col min="1288" max="1293" width="11.453125" style="18"/>
    <col min="1294" max="1294" width="42.1796875" style="18" bestFit="1" customWidth="1"/>
    <col min="1295" max="1541" width="11.453125" style="18"/>
    <col min="1542" max="1542" width="8.81640625" style="18" bestFit="1" customWidth="1"/>
    <col min="1543" max="1543" width="65.81640625" style="18" customWidth="1"/>
    <col min="1544" max="1549" width="11.453125" style="18"/>
    <col min="1550" max="1550" width="42.1796875" style="18" bestFit="1" customWidth="1"/>
    <col min="1551" max="1797" width="11.453125" style="18"/>
    <col min="1798" max="1798" width="8.81640625" style="18" bestFit="1" customWidth="1"/>
    <col min="1799" max="1799" width="65.81640625" style="18" customWidth="1"/>
    <col min="1800" max="1805" width="11.453125" style="18"/>
    <col min="1806" max="1806" width="42.1796875" style="18" bestFit="1" customWidth="1"/>
    <col min="1807" max="2053" width="11.453125" style="18"/>
    <col min="2054" max="2054" width="8.81640625" style="18" bestFit="1" customWidth="1"/>
    <col min="2055" max="2055" width="65.81640625" style="18" customWidth="1"/>
    <col min="2056" max="2061" width="11.453125" style="18"/>
    <col min="2062" max="2062" width="42.1796875" style="18" bestFit="1" customWidth="1"/>
    <col min="2063" max="2309" width="11.453125" style="18"/>
    <col min="2310" max="2310" width="8.81640625" style="18" bestFit="1" customWidth="1"/>
    <col min="2311" max="2311" width="65.81640625" style="18" customWidth="1"/>
    <col min="2312" max="2317" width="11.453125" style="18"/>
    <col min="2318" max="2318" width="42.1796875" style="18" bestFit="1" customWidth="1"/>
    <col min="2319" max="2565" width="11.453125" style="18"/>
    <col min="2566" max="2566" width="8.81640625" style="18" bestFit="1" customWidth="1"/>
    <col min="2567" max="2567" width="65.81640625" style="18" customWidth="1"/>
    <col min="2568" max="2573" width="11.453125" style="18"/>
    <col min="2574" max="2574" width="42.1796875" style="18" bestFit="1" customWidth="1"/>
    <col min="2575" max="2821" width="11.453125" style="18"/>
    <col min="2822" max="2822" width="8.81640625" style="18" bestFit="1" customWidth="1"/>
    <col min="2823" max="2823" width="65.81640625" style="18" customWidth="1"/>
    <col min="2824" max="2829" width="11.453125" style="18"/>
    <col min="2830" max="2830" width="42.1796875" style="18" bestFit="1" customWidth="1"/>
    <col min="2831" max="3077" width="11.453125" style="18"/>
    <col min="3078" max="3078" width="8.81640625" style="18" bestFit="1" customWidth="1"/>
    <col min="3079" max="3079" width="65.81640625" style="18" customWidth="1"/>
    <col min="3080" max="3085" width="11.453125" style="18"/>
    <col min="3086" max="3086" width="42.1796875" style="18" bestFit="1" customWidth="1"/>
    <col min="3087" max="3333" width="11.453125" style="18"/>
    <col min="3334" max="3334" width="8.81640625" style="18" bestFit="1" customWidth="1"/>
    <col min="3335" max="3335" width="65.81640625" style="18" customWidth="1"/>
    <col min="3336" max="3341" width="11.453125" style="18"/>
    <col min="3342" max="3342" width="42.1796875" style="18" bestFit="1" customWidth="1"/>
    <col min="3343" max="3589" width="11.453125" style="18"/>
    <col min="3590" max="3590" width="8.81640625" style="18" bestFit="1" customWidth="1"/>
    <col min="3591" max="3591" width="65.81640625" style="18" customWidth="1"/>
    <col min="3592" max="3597" width="11.453125" style="18"/>
    <col min="3598" max="3598" width="42.1796875" style="18" bestFit="1" customWidth="1"/>
    <col min="3599" max="3845" width="11.453125" style="18"/>
    <col min="3846" max="3846" width="8.81640625" style="18" bestFit="1" customWidth="1"/>
    <col min="3847" max="3847" width="65.81640625" style="18" customWidth="1"/>
    <col min="3848" max="3853" width="11.453125" style="18"/>
    <col min="3854" max="3854" width="42.1796875" style="18" bestFit="1" customWidth="1"/>
    <col min="3855" max="4101" width="11.453125" style="18"/>
    <col min="4102" max="4102" width="8.81640625" style="18" bestFit="1" customWidth="1"/>
    <col min="4103" max="4103" width="65.81640625" style="18" customWidth="1"/>
    <col min="4104" max="4109" width="11.453125" style="18"/>
    <col min="4110" max="4110" width="42.1796875" style="18" bestFit="1" customWidth="1"/>
    <col min="4111" max="4357" width="11.453125" style="18"/>
    <col min="4358" max="4358" width="8.81640625" style="18" bestFit="1" customWidth="1"/>
    <col min="4359" max="4359" width="65.81640625" style="18" customWidth="1"/>
    <col min="4360" max="4365" width="11.453125" style="18"/>
    <col min="4366" max="4366" width="42.1796875" style="18" bestFit="1" customWidth="1"/>
    <col min="4367" max="4613" width="11.453125" style="18"/>
    <col min="4614" max="4614" width="8.81640625" style="18" bestFit="1" customWidth="1"/>
    <col min="4615" max="4615" width="65.81640625" style="18" customWidth="1"/>
    <col min="4616" max="4621" width="11.453125" style="18"/>
    <col min="4622" max="4622" width="42.1796875" style="18" bestFit="1" customWidth="1"/>
    <col min="4623" max="4869" width="11.453125" style="18"/>
    <col min="4870" max="4870" width="8.81640625" style="18" bestFit="1" customWidth="1"/>
    <col min="4871" max="4871" width="65.81640625" style="18" customWidth="1"/>
    <col min="4872" max="4877" width="11.453125" style="18"/>
    <col min="4878" max="4878" width="42.1796875" style="18" bestFit="1" customWidth="1"/>
    <col min="4879" max="5125" width="11.453125" style="18"/>
    <col min="5126" max="5126" width="8.81640625" style="18" bestFit="1" customWidth="1"/>
    <col min="5127" max="5127" width="65.81640625" style="18" customWidth="1"/>
    <col min="5128" max="5133" width="11.453125" style="18"/>
    <col min="5134" max="5134" width="42.1796875" style="18" bestFit="1" customWidth="1"/>
    <col min="5135" max="5381" width="11.453125" style="18"/>
    <col min="5382" max="5382" width="8.81640625" style="18" bestFit="1" customWidth="1"/>
    <col min="5383" max="5383" width="65.81640625" style="18" customWidth="1"/>
    <col min="5384" max="5389" width="11.453125" style="18"/>
    <col min="5390" max="5390" width="42.1796875" style="18" bestFit="1" customWidth="1"/>
    <col min="5391" max="5637" width="11.453125" style="18"/>
    <col min="5638" max="5638" width="8.81640625" style="18" bestFit="1" customWidth="1"/>
    <col min="5639" max="5639" width="65.81640625" style="18" customWidth="1"/>
    <col min="5640" max="5645" width="11.453125" style="18"/>
    <col min="5646" max="5646" width="42.1796875" style="18" bestFit="1" customWidth="1"/>
    <col min="5647" max="5893" width="11.453125" style="18"/>
    <col min="5894" max="5894" width="8.81640625" style="18" bestFit="1" customWidth="1"/>
    <col min="5895" max="5895" width="65.81640625" style="18" customWidth="1"/>
    <col min="5896" max="5901" width="11.453125" style="18"/>
    <col min="5902" max="5902" width="42.1796875" style="18" bestFit="1" customWidth="1"/>
    <col min="5903" max="6149" width="11.453125" style="18"/>
    <col min="6150" max="6150" width="8.81640625" style="18" bestFit="1" customWidth="1"/>
    <col min="6151" max="6151" width="65.81640625" style="18" customWidth="1"/>
    <col min="6152" max="6157" width="11.453125" style="18"/>
    <col min="6158" max="6158" width="42.1796875" style="18" bestFit="1" customWidth="1"/>
    <col min="6159" max="6405" width="11.453125" style="18"/>
    <col min="6406" max="6406" width="8.81640625" style="18" bestFit="1" customWidth="1"/>
    <col min="6407" max="6407" width="65.81640625" style="18" customWidth="1"/>
    <col min="6408" max="6413" width="11.453125" style="18"/>
    <col min="6414" max="6414" width="42.1796875" style="18" bestFit="1" customWidth="1"/>
    <col min="6415" max="6661" width="11.453125" style="18"/>
    <col min="6662" max="6662" width="8.81640625" style="18" bestFit="1" customWidth="1"/>
    <col min="6663" max="6663" width="65.81640625" style="18" customWidth="1"/>
    <col min="6664" max="6669" width="11.453125" style="18"/>
    <col min="6670" max="6670" width="42.1796875" style="18" bestFit="1" customWidth="1"/>
    <col min="6671" max="6917" width="11.453125" style="18"/>
    <col min="6918" max="6918" width="8.81640625" style="18" bestFit="1" customWidth="1"/>
    <col min="6919" max="6919" width="65.81640625" style="18" customWidth="1"/>
    <col min="6920" max="6925" width="11.453125" style="18"/>
    <col min="6926" max="6926" width="42.1796875" style="18" bestFit="1" customWidth="1"/>
    <col min="6927" max="7173" width="11.453125" style="18"/>
    <col min="7174" max="7174" width="8.81640625" style="18" bestFit="1" customWidth="1"/>
    <col min="7175" max="7175" width="65.81640625" style="18" customWidth="1"/>
    <col min="7176" max="7181" width="11.453125" style="18"/>
    <col min="7182" max="7182" width="42.1796875" style="18" bestFit="1" customWidth="1"/>
    <col min="7183" max="7429" width="11.453125" style="18"/>
    <col min="7430" max="7430" width="8.81640625" style="18" bestFit="1" customWidth="1"/>
    <col min="7431" max="7431" width="65.81640625" style="18" customWidth="1"/>
    <col min="7432" max="7437" width="11.453125" style="18"/>
    <col min="7438" max="7438" width="42.1796875" style="18" bestFit="1" customWidth="1"/>
    <col min="7439" max="7685" width="11.453125" style="18"/>
    <col min="7686" max="7686" width="8.81640625" style="18" bestFit="1" customWidth="1"/>
    <col min="7687" max="7687" width="65.81640625" style="18" customWidth="1"/>
    <col min="7688" max="7693" width="11.453125" style="18"/>
    <col min="7694" max="7694" width="42.1796875" style="18" bestFit="1" customWidth="1"/>
    <col min="7695" max="7941" width="11.453125" style="18"/>
    <col min="7942" max="7942" width="8.81640625" style="18" bestFit="1" customWidth="1"/>
    <col min="7943" max="7943" width="65.81640625" style="18" customWidth="1"/>
    <col min="7944" max="7949" width="11.453125" style="18"/>
    <col min="7950" max="7950" width="42.1796875" style="18" bestFit="1" customWidth="1"/>
    <col min="7951" max="8197" width="11.453125" style="18"/>
    <col min="8198" max="8198" width="8.81640625" style="18" bestFit="1" customWidth="1"/>
    <col min="8199" max="8199" width="65.81640625" style="18" customWidth="1"/>
    <col min="8200" max="8205" width="11.453125" style="18"/>
    <col min="8206" max="8206" width="42.1796875" style="18" bestFit="1" customWidth="1"/>
    <col min="8207" max="8453" width="11.453125" style="18"/>
    <col min="8454" max="8454" width="8.81640625" style="18" bestFit="1" customWidth="1"/>
    <col min="8455" max="8455" width="65.81640625" style="18" customWidth="1"/>
    <col min="8456" max="8461" width="11.453125" style="18"/>
    <col min="8462" max="8462" width="42.1796875" style="18" bestFit="1" customWidth="1"/>
    <col min="8463" max="8709" width="11.453125" style="18"/>
    <col min="8710" max="8710" width="8.81640625" style="18" bestFit="1" customWidth="1"/>
    <col min="8711" max="8711" width="65.81640625" style="18" customWidth="1"/>
    <col min="8712" max="8717" width="11.453125" style="18"/>
    <col min="8718" max="8718" width="42.1796875" style="18" bestFit="1" customWidth="1"/>
    <col min="8719" max="8965" width="11.453125" style="18"/>
    <col min="8966" max="8966" width="8.81640625" style="18" bestFit="1" customWidth="1"/>
    <col min="8967" max="8967" width="65.81640625" style="18" customWidth="1"/>
    <col min="8968" max="8973" width="11.453125" style="18"/>
    <col min="8974" max="8974" width="42.1796875" style="18" bestFit="1" customWidth="1"/>
    <col min="8975" max="9221" width="11.453125" style="18"/>
    <col min="9222" max="9222" width="8.81640625" style="18" bestFit="1" customWidth="1"/>
    <col min="9223" max="9223" width="65.81640625" style="18" customWidth="1"/>
    <col min="9224" max="9229" width="11.453125" style="18"/>
    <col min="9230" max="9230" width="42.1796875" style="18" bestFit="1" customWidth="1"/>
    <col min="9231" max="9477" width="11.453125" style="18"/>
    <col min="9478" max="9478" width="8.81640625" style="18" bestFit="1" customWidth="1"/>
    <col min="9479" max="9479" width="65.81640625" style="18" customWidth="1"/>
    <col min="9480" max="9485" width="11.453125" style="18"/>
    <col min="9486" max="9486" width="42.1796875" style="18" bestFit="1" customWidth="1"/>
    <col min="9487" max="9733" width="11.453125" style="18"/>
    <col min="9734" max="9734" width="8.81640625" style="18" bestFit="1" customWidth="1"/>
    <col min="9735" max="9735" width="65.81640625" style="18" customWidth="1"/>
    <col min="9736" max="9741" width="11.453125" style="18"/>
    <col min="9742" max="9742" width="42.1796875" style="18" bestFit="1" customWidth="1"/>
    <col min="9743" max="9989" width="11.453125" style="18"/>
    <col min="9990" max="9990" width="8.81640625" style="18" bestFit="1" customWidth="1"/>
    <col min="9991" max="9991" width="65.81640625" style="18" customWidth="1"/>
    <col min="9992" max="9997" width="11.453125" style="18"/>
    <col min="9998" max="9998" width="42.1796875" style="18" bestFit="1" customWidth="1"/>
    <col min="9999" max="10245" width="11.453125" style="18"/>
    <col min="10246" max="10246" width="8.81640625" style="18" bestFit="1" customWidth="1"/>
    <col min="10247" max="10247" width="65.81640625" style="18" customWidth="1"/>
    <col min="10248" max="10253" width="11.453125" style="18"/>
    <col min="10254" max="10254" width="42.1796875" style="18" bestFit="1" customWidth="1"/>
    <col min="10255" max="10501" width="11.453125" style="18"/>
    <col min="10502" max="10502" width="8.81640625" style="18" bestFit="1" customWidth="1"/>
    <col min="10503" max="10503" width="65.81640625" style="18" customWidth="1"/>
    <col min="10504" max="10509" width="11.453125" style="18"/>
    <col min="10510" max="10510" width="42.1796875" style="18" bestFit="1" customWidth="1"/>
    <col min="10511" max="10757" width="11.453125" style="18"/>
    <col min="10758" max="10758" width="8.81640625" style="18" bestFit="1" customWidth="1"/>
    <col min="10759" max="10759" width="65.81640625" style="18" customWidth="1"/>
    <col min="10760" max="10765" width="11.453125" style="18"/>
    <col min="10766" max="10766" width="42.1796875" style="18" bestFit="1" customWidth="1"/>
    <col min="10767" max="11013" width="11.453125" style="18"/>
    <col min="11014" max="11014" width="8.81640625" style="18" bestFit="1" customWidth="1"/>
    <col min="11015" max="11015" width="65.81640625" style="18" customWidth="1"/>
    <col min="11016" max="11021" width="11.453125" style="18"/>
    <col min="11022" max="11022" width="42.1796875" style="18" bestFit="1" customWidth="1"/>
    <col min="11023" max="11269" width="11.453125" style="18"/>
    <col min="11270" max="11270" width="8.81640625" style="18" bestFit="1" customWidth="1"/>
    <col min="11271" max="11271" width="65.81640625" style="18" customWidth="1"/>
    <col min="11272" max="11277" width="11.453125" style="18"/>
    <col min="11278" max="11278" width="42.1796875" style="18" bestFit="1" customWidth="1"/>
    <col min="11279" max="11525" width="11.453125" style="18"/>
    <col min="11526" max="11526" width="8.81640625" style="18" bestFit="1" customWidth="1"/>
    <col min="11527" max="11527" width="65.81640625" style="18" customWidth="1"/>
    <col min="11528" max="11533" width="11.453125" style="18"/>
    <col min="11534" max="11534" width="42.1796875" style="18" bestFit="1" customWidth="1"/>
    <col min="11535" max="11781" width="11.453125" style="18"/>
    <col min="11782" max="11782" width="8.81640625" style="18" bestFit="1" customWidth="1"/>
    <col min="11783" max="11783" width="65.81640625" style="18" customWidth="1"/>
    <col min="11784" max="11789" width="11.453125" style="18"/>
    <col min="11790" max="11790" width="42.1796875" style="18" bestFit="1" customWidth="1"/>
    <col min="11791" max="12037" width="11.453125" style="18"/>
    <col min="12038" max="12038" width="8.81640625" style="18" bestFit="1" customWidth="1"/>
    <col min="12039" max="12039" width="65.81640625" style="18" customWidth="1"/>
    <col min="12040" max="12045" width="11.453125" style="18"/>
    <col min="12046" max="12046" width="42.1796875" style="18" bestFit="1" customWidth="1"/>
    <col min="12047" max="12293" width="11.453125" style="18"/>
    <col min="12294" max="12294" width="8.81640625" style="18" bestFit="1" customWidth="1"/>
    <col min="12295" max="12295" width="65.81640625" style="18" customWidth="1"/>
    <col min="12296" max="12301" width="11.453125" style="18"/>
    <col min="12302" max="12302" width="42.1796875" style="18" bestFit="1" customWidth="1"/>
    <col min="12303" max="12549" width="11.453125" style="18"/>
    <col min="12550" max="12550" width="8.81640625" style="18" bestFit="1" customWidth="1"/>
    <col min="12551" max="12551" width="65.81640625" style="18" customWidth="1"/>
    <col min="12552" max="12557" width="11.453125" style="18"/>
    <col min="12558" max="12558" width="42.1796875" style="18" bestFit="1" customWidth="1"/>
    <col min="12559" max="12805" width="11.453125" style="18"/>
    <col min="12806" max="12806" width="8.81640625" style="18" bestFit="1" customWidth="1"/>
    <col min="12807" max="12807" width="65.81640625" style="18" customWidth="1"/>
    <col min="12808" max="12813" width="11.453125" style="18"/>
    <col min="12814" max="12814" width="42.1796875" style="18" bestFit="1" customWidth="1"/>
    <col min="12815" max="13061" width="11.453125" style="18"/>
    <col min="13062" max="13062" width="8.81640625" style="18" bestFit="1" customWidth="1"/>
    <col min="13063" max="13063" width="65.81640625" style="18" customWidth="1"/>
    <col min="13064" max="13069" width="11.453125" style="18"/>
    <col min="13070" max="13070" width="42.1796875" style="18" bestFit="1" customWidth="1"/>
    <col min="13071" max="13317" width="11.453125" style="18"/>
    <col min="13318" max="13318" width="8.81640625" style="18" bestFit="1" customWidth="1"/>
    <col min="13319" max="13319" width="65.81640625" style="18" customWidth="1"/>
    <col min="13320" max="13325" width="11.453125" style="18"/>
    <col min="13326" max="13326" width="42.1796875" style="18" bestFit="1" customWidth="1"/>
    <col min="13327" max="13573" width="11.453125" style="18"/>
    <col min="13574" max="13574" width="8.81640625" style="18" bestFit="1" customWidth="1"/>
    <col min="13575" max="13575" width="65.81640625" style="18" customWidth="1"/>
    <col min="13576" max="13581" width="11.453125" style="18"/>
    <col min="13582" max="13582" width="42.1796875" style="18" bestFit="1" customWidth="1"/>
    <col min="13583" max="13829" width="11.453125" style="18"/>
    <col min="13830" max="13830" width="8.81640625" style="18" bestFit="1" customWidth="1"/>
    <col min="13831" max="13831" width="65.81640625" style="18" customWidth="1"/>
    <col min="13832" max="13837" width="11.453125" style="18"/>
    <col min="13838" max="13838" width="42.1796875" style="18" bestFit="1" customWidth="1"/>
    <col min="13839" max="14085" width="11.453125" style="18"/>
    <col min="14086" max="14086" width="8.81640625" style="18" bestFit="1" customWidth="1"/>
    <col min="14087" max="14087" width="65.81640625" style="18" customWidth="1"/>
    <col min="14088" max="14093" width="11.453125" style="18"/>
    <col min="14094" max="14094" width="42.1796875" style="18" bestFit="1" customWidth="1"/>
    <col min="14095" max="14341" width="11.453125" style="18"/>
    <col min="14342" max="14342" width="8.81640625" style="18" bestFit="1" customWidth="1"/>
    <col min="14343" max="14343" width="65.81640625" style="18" customWidth="1"/>
    <col min="14344" max="14349" width="11.453125" style="18"/>
    <col min="14350" max="14350" width="42.1796875" style="18" bestFit="1" customWidth="1"/>
    <col min="14351" max="14597" width="11.453125" style="18"/>
    <col min="14598" max="14598" width="8.81640625" style="18" bestFit="1" customWidth="1"/>
    <col min="14599" max="14599" width="65.81640625" style="18" customWidth="1"/>
    <col min="14600" max="14605" width="11.453125" style="18"/>
    <col min="14606" max="14606" width="42.1796875" style="18" bestFit="1" customWidth="1"/>
    <col min="14607" max="14853" width="11.453125" style="18"/>
    <col min="14854" max="14854" width="8.81640625" style="18" bestFit="1" customWidth="1"/>
    <col min="14855" max="14855" width="65.81640625" style="18" customWidth="1"/>
    <col min="14856" max="14861" width="11.453125" style="18"/>
    <col min="14862" max="14862" width="42.1796875" style="18" bestFit="1" customWidth="1"/>
    <col min="14863" max="15109" width="11.453125" style="18"/>
    <col min="15110" max="15110" width="8.81640625" style="18" bestFit="1" customWidth="1"/>
    <col min="15111" max="15111" width="65.81640625" style="18" customWidth="1"/>
    <col min="15112" max="15117" width="11.453125" style="18"/>
    <col min="15118" max="15118" width="42.1796875" style="18" bestFit="1" customWidth="1"/>
    <col min="15119" max="15365" width="11.453125" style="18"/>
    <col min="15366" max="15366" width="8.81640625" style="18" bestFit="1" customWidth="1"/>
    <col min="15367" max="15367" width="65.81640625" style="18" customWidth="1"/>
    <col min="15368" max="15373" width="11.453125" style="18"/>
    <col min="15374" max="15374" width="42.1796875" style="18" bestFit="1" customWidth="1"/>
    <col min="15375" max="15621" width="11.453125" style="18"/>
    <col min="15622" max="15622" width="8.81640625" style="18" bestFit="1" customWidth="1"/>
    <col min="15623" max="15623" width="65.81640625" style="18" customWidth="1"/>
    <col min="15624" max="15629" width="11.453125" style="18"/>
    <col min="15630" max="15630" width="42.1796875" style="18" bestFit="1" customWidth="1"/>
    <col min="15631" max="15877" width="11.453125" style="18"/>
    <col min="15878" max="15878" width="8.81640625" style="18" bestFit="1" customWidth="1"/>
    <col min="15879" max="15879" width="65.81640625" style="18" customWidth="1"/>
    <col min="15880" max="15885" width="11.453125" style="18"/>
    <col min="15886" max="15886" width="42.1796875" style="18" bestFit="1" customWidth="1"/>
    <col min="15887" max="16133" width="11.453125" style="18"/>
    <col min="16134" max="16134" width="8.81640625" style="18" bestFit="1" customWidth="1"/>
    <col min="16135" max="16135" width="65.81640625" style="18" customWidth="1"/>
    <col min="16136" max="16141" width="11.453125" style="18"/>
    <col min="16142" max="16142" width="42.1796875" style="18" bestFit="1" customWidth="1"/>
    <col min="16143" max="16384" width="11.453125" style="18"/>
  </cols>
  <sheetData>
    <row r="1" spans="1:14">
      <c r="A1" s="18" t="s">
        <v>1076</v>
      </c>
      <c r="K1" s="110" t="s">
        <v>1077</v>
      </c>
      <c r="L1" s="111" t="s">
        <v>1847</v>
      </c>
      <c r="N1" s="20"/>
    </row>
    <row r="2" spans="1:14">
      <c r="K2" s="110" t="s">
        <v>1078</v>
      </c>
      <c r="L2" s="112">
        <v>2024</v>
      </c>
      <c r="N2" s="20"/>
    </row>
    <row r="3" spans="1:14">
      <c r="K3" s="110" t="s">
        <v>1079</v>
      </c>
      <c r="L3" s="111" t="s">
        <v>475</v>
      </c>
      <c r="N3" s="20"/>
    </row>
    <row r="4" spans="1:14">
      <c r="N4" s="20"/>
    </row>
    <row r="5" spans="1:14" s="22" customFormat="1" ht="15.5">
      <c r="A5" s="235"/>
      <c r="B5" s="236"/>
      <c r="C5" s="2284" t="s">
        <v>1080</v>
      </c>
      <c r="D5" s="2284"/>
      <c r="E5" s="2284"/>
      <c r="F5" s="237"/>
      <c r="G5" s="237"/>
      <c r="H5" s="238"/>
      <c r="I5" s="238"/>
      <c r="J5" s="238"/>
      <c r="K5" s="239"/>
      <c r="L5" s="240"/>
    </row>
    <row r="6" spans="1:14">
      <c r="N6" s="23"/>
    </row>
    <row r="7" spans="1:14" s="22" customFormat="1" ht="15.5">
      <c r="A7" s="235"/>
      <c r="B7" s="236"/>
      <c r="C7" s="2284" t="s">
        <v>1081</v>
      </c>
      <c r="D7" s="2284"/>
      <c r="E7" s="2284"/>
      <c r="F7" s="237"/>
      <c r="G7" s="237"/>
      <c r="H7" s="238"/>
      <c r="I7" s="238"/>
      <c r="J7" s="238"/>
      <c r="K7" s="239"/>
      <c r="L7" s="240"/>
    </row>
    <row r="8" spans="1:14">
      <c r="E8" s="2285" t="s">
        <v>1082</v>
      </c>
      <c r="F8" s="2285"/>
      <c r="G8" s="2285"/>
      <c r="H8" s="2285"/>
      <c r="I8" s="2285"/>
      <c r="J8" s="2285"/>
      <c r="K8" s="2285"/>
      <c r="L8" s="21"/>
      <c r="N8" s="20"/>
    </row>
    <row r="9" spans="1:14">
      <c r="E9" s="24" t="s">
        <v>1083</v>
      </c>
      <c r="F9" s="24"/>
      <c r="G9" s="24"/>
      <c r="H9" s="24" t="s">
        <v>1084</v>
      </c>
      <c r="I9" s="24"/>
      <c r="J9" s="24"/>
      <c r="K9" s="24" t="s">
        <v>1085</v>
      </c>
      <c r="M9" s="43" t="s">
        <v>1086</v>
      </c>
    </row>
    <row r="10" spans="1:14">
      <c r="A10" s="241" t="s">
        <v>1087</v>
      </c>
      <c r="B10" s="241" t="s">
        <v>1088</v>
      </c>
      <c r="C10" s="241" t="s">
        <v>1089</v>
      </c>
      <c r="D10" s="241"/>
      <c r="E10" s="241" t="s">
        <v>285</v>
      </c>
      <c r="F10" s="241"/>
      <c r="G10" s="241"/>
      <c r="H10" s="241" t="s">
        <v>751</v>
      </c>
      <c r="I10" s="241"/>
      <c r="J10" s="241"/>
      <c r="K10" s="241" t="s">
        <v>48</v>
      </c>
      <c r="L10" s="241" t="s">
        <v>185</v>
      </c>
      <c r="M10" s="44" t="s">
        <v>1090</v>
      </c>
    </row>
    <row r="11" spans="1:14">
      <c r="A11" s="245"/>
      <c r="B11" s="242">
        <v>32</v>
      </c>
      <c r="C11" s="209" t="s">
        <v>1091</v>
      </c>
      <c r="D11" s="243" t="s">
        <v>66</v>
      </c>
      <c r="E11" s="209">
        <v>12754.6733337154</v>
      </c>
      <c r="F11" s="209"/>
      <c r="G11" s="209"/>
      <c r="H11" s="209">
        <v>5195.8847997257581</v>
      </c>
      <c r="I11" s="209"/>
      <c r="J11" s="209"/>
      <c r="K11" s="209">
        <v>33014.25</v>
      </c>
      <c r="L11" s="244">
        <v>50964.808133441154</v>
      </c>
      <c r="M11" s="41">
        <v>25</v>
      </c>
      <c r="N11" s="144"/>
    </row>
    <row r="12" spans="1:14">
      <c r="A12" s="37" t="s">
        <v>1092</v>
      </c>
      <c r="B12" s="38">
        <v>33</v>
      </c>
      <c r="C12" s="12" t="s">
        <v>1093</v>
      </c>
      <c r="D12" s="142" t="s">
        <v>4</v>
      </c>
      <c r="E12" s="12">
        <v>11614.317938669499</v>
      </c>
      <c r="F12" s="12"/>
      <c r="G12" s="12"/>
      <c r="H12" s="12">
        <v>17863.897921877706</v>
      </c>
      <c r="I12" s="12"/>
      <c r="J12" s="12"/>
      <c r="K12" s="12">
        <v>491.0742091256746</v>
      </c>
      <c r="L12" s="14">
        <v>29969.290069672883</v>
      </c>
      <c r="M12" s="41">
        <v>7</v>
      </c>
      <c r="N12" s="115"/>
    </row>
    <row r="13" spans="1:14">
      <c r="A13" s="37" t="s">
        <v>1092</v>
      </c>
      <c r="B13" s="38">
        <v>34</v>
      </c>
      <c r="C13" s="12" t="s">
        <v>1094</v>
      </c>
      <c r="D13" s="142" t="s">
        <v>4</v>
      </c>
      <c r="E13" s="12">
        <v>6545.2009385010006</v>
      </c>
      <c r="F13" s="12"/>
      <c r="G13" s="12"/>
      <c r="H13" s="12">
        <v>8336.4856968762633</v>
      </c>
      <c r="I13" s="12"/>
      <c r="J13" s="12"/>
      <c r="K13" s="12">
        <v>229.16796425864814</v>
      </c>
      <c r="L13" s="14">
        <v>15110.854599635912</v>
      </c>
      <c r="M13" s="41">
        <v>15</v>
      </c>
      <c r="N13" s="115"/>
    </row>
    <row r="14" spans="1:14">
      <c r="A14" s="37" t="s">
        <v>1092</v>
      </c>
      <c r="B14" s="38">
        <v>35</v>
      </c>
      <c r="C14" s="12" t="s">
        <v>1095</v>
      </c>
      <c r="D14" s="142" t="s">
        <v>4</v>
      </c>
      <c r="E14" s="12">
        <v>8229.0499349999991</v>
      </c>
      <c r="F14" s="12"/>
      <c r="G14" s="12"/>
      <c r="H14" s="12">
        <v>8336.4856968762633</v>
      </c>
      <c r="I14" s="12"/>
      <c r="J14" s="12"/>
      <c r="K14" s="12">
        <v>229.16796425864814</v>
      </c>
      <c r="L14" s="14">
        <v>16794.703596134914</v>
      </c>
      <c r="M14" s="41">
        <v>15</v>
      </c>
      <c r="N14" s="115"/>
    </row>
    <row r="15" spans="1:14">
      <c r="A15" s="37" t="s">
        <v>1092</v>
      </c>
      <c r="B15" s="38">
        <v>36</v>
      </c>
      <c r="C15" s="12" t="s">
        <v>1096</v>
      </c>
      <c r="D15" s="142" t="s">
        <v>4</v>
      </c>
      <c r="E15" s="12">
        <v>11365.579184160002</v>
      </c>
      <c r="F15" s="12"/>
      <c r="G15" s="12"/>
      <c r="H15" s="12">
        <v>8336.4856968762633</v>
      </c>
      <c r="I15" s="12"/>
      <c r="J15" s="12"/>
      <c r="K15" s="12">
        <v>229.16796425864814</v>
      </c>
      <c r="L15" s="14">
        <v>19931.232845294915</v>
      </c>
      <c r="M15" s="41">
        <v>15</v>
      </c>
      <c r="N15" s="115"/>
    </row>
    <row r="16" spans="1:14">
      <c r="A16" s="37" t="s">
        <v>1092</v>
      </c>
      <c r="B16" s="38">
        <v>37</v>
      </c>
      <c r="C16" s="12" t="s">
        <v>1097</v>
      </c>
      <c r="D16" s="142" t="s">
        <v>4</v>
      </c>
      <c r="E16" s="12">
        <v>24204.421731972932</v>
      </c>
      <c r="F16" s="12"/>
      <c r="G16" s="12"/>
      <c r="H16" s="12">
        <v>30138.301025688117</v>
      </c>
      <c r="I16" s="12"/>
      <c r="J16" s="12"/>
      <c r="K16" s="12">
        <v>859.37986596993051</v>
      </c>
      <c r="L16" s="14">
        <v>55202.102623630977</v>
      </c>
      <c r="M16" s="41">
        <v>4</v>
      </c>
      <c r="N16" s="115"/>
    </row>
    <row r="17" spans="1:23">
      <c r="A17" s="37" t="s">
        <v>1092</v>
      </c>
      <c r="B17" s="38">
        <v>38</v>
      </c>
      <c r="C17" s="12" t="s">
        <v>1098</v>
      </c>
      <c r="D17" s="142" t="s">
        <v>4</v>
      </c>
      <c r="E17" s="12">
        <v>11461.565498830503</v>
      </c>
      <c r="F17" s="12"/>
      <c r="G17" s="12"/>
      <c r="H17" s="12">
        <v>8336.4856968762633</v>
      </c>
      <c r="I17" s="12"/>
      <c r="J17" s="12"/>
      <c r="K17" s="12">
        <v>229.16796425864814</v>
      </c>
      <c r="L17" s="14">
        <v>20027.219159965414</v>
      </c>
      <c r="M17" s="41">
        <v>15</v>
      </c>
      <c r="N17" s="115"/>
    </row>
    <row r="18" spans="1:23">
      <c r="A18" s="39" t="s">
        <v>1092</v>
      </c>
      <c r="B18" s="38">
        <v>39</v>
      </c>
      <c r="C18" s="12" t="s">
        <v>1099</v>
      </c>
      <c r="D18" s="142" t="s">
        <v>77</v>
      </c>
      <c r="E18" s="12">
        <v>3816.1086480000004</v>
      </c>
      <c r="F18" s="12"/>
      <c r="G18" s="12"/>
      <c r="H18" s="12">
        <v>46892.732044928976</v>
      </c>
      <c r="I18" s="12"/>
      <c r="J18" s="12"/>
      <c r="K18" s="12">
        <v>394.92625606475576</v>
      </c>
      <c r="L18" s="14">
        <v>51103.766948993733</v>
      </c>
      <c r="M18" s="41">
        <v>2</v>
      </c>
      <c r="N18" s="115"/>
    </row>
    <row r="19" spans="1:23">
      <c r="A19" s="37" t="s">
        <v>1092</v>
      </c>
      <c r="B19" s="38">
        <v>40</v>
      </c>
      <c r="C19" s="12" t="s">
        <v>1100</v>
      </c>
      <c r="D19" s="142" t="s">
        <v>77</v>
      </c>
      <c r="E19" s="12">
        <v>1396.3488462000003</v>
      </c>
      <c r="F19" s="12"/>
      <c r="G19" s="12"/>
      <c r="H19" s="12">
        <v>31261.821363285984</v>
      </c>
      <c r="I19" s="12"/>
      <c r="J19" s="12"/>
      <c r="K19" s="12">
        <v>197.46312803237788</v>
      </c>
      <c r="L19" s="14">
        <v>32855.63333751836</v>
      </c>
      <c r="M19" s="41">
        <v>4</v>
      </c>
      <c r="N19" s="115"/>
    </row>
    <row r="20" spans="1:23">
      <c r="A20" s="37" t="s">
        <v>1092</v>
      </c>
      <c r="B20" s="38">
        <v>41</v>
      </c>
      <c r="C20" s="12" t="s">
        <v>1101</v>
      </c>
      <c r="D20" s="142" t="s">
        <v>59</v>
      </c>
      <c r="E20" s="12">
        <v>289.07023008600004</v>
      </c>
      <c r="F20" s="12"/>
      <c r="G20" s="12"/>
      <c r="H20" s="12">
        <v>25009.457090628788</v>
      </c>
      <c r="I20" s="12"/>
      <c r="J20" s="12"/>
      <c r="K20" s="12">
        <v>269.33199123382025</v>
      </c>
      <c r="L20" s="14">
        <v>25567.859311948607</v>
      </c>
      <c r="M20" s="41">
        <v>5</v>
      </c>
      <c r="N20" s="115"/>
    </row>
    <row r="21" spans="1:23">
      <c r="A21" s="37" t="s">
        <v>1092</v>
      </c>
      <c r="B21" s="38">
        <v>42</v>
      </c>
      <c r="C21" s="12" t="s">
        <v>1102</v>
      </c>
      <c r="D21" s="142" t="s">
        <v>4</v>
      </c>
      <c r="E21" s="12">
        <v>758.10738300000003</v>
      </c>
      <c r="F21" s="12"/>
      <c r="G21" s="12"/>
      <c r="H21" s="12">
        <v>3395.9551113285988</v>
      </c>
      <c r="I21" s="12"/>
      <c r="J21" s="12"/>
      <c r="K21" s="12">
        <v>122.76855228141865</v>
      </c>
      <c r="L21" s="14">
        <v>4276.8310466100174</v>
      </c>
      <c r="M21" s="41">
        <v>28</v>
      </c>
      <c r="N21" s="115"/>
    </row>
    <row r="22" spans="1:23">
      <c r="A22" s="37" t="s">
        <v>1092</v>
      </c>
      <c r="B22" s="38">
        <v>43</v>
      </c>
      <c r="C22" s="12" t="s">
        <v>1103</v>
      </c>
      <c r="D22" s="142" t="s">
        <v>4</v>
      </c>
      <c r="E22" s="12">
        <v>2606.0755930000005</v>
      </c>
      <c r="F22" s="12"/>
      <c r="G22" s="12"/>
      <c r="H22" s="12">
        <v>17928.383737307293</v>
      </c>
      <c r="I22" s="12"/>
      <c r="J22" s="12"/>
      <c r="K22" s="12">
        <v>572.91991064662034</v>
      </c>
      <c r="L22" s="14">
        <v>21107.379240953916</v>
      </c>
      <c r="M22" s="41">
        <v>6</v>
      </c>
      <c r="N22" s="115"/>
    </row>
    <row r="23" spans="1:23">
      <c r="A23" s="37" t="s">
        <v>1092</v>
      </c>
      <c r="B23" s="38">
        <v>44</v>
      </c>
      <c r="C23" s="12" t="s">
        <v>1104</v>
      </c>
      <c r="D23" s="142" t="s">
        <v>4</v>
      </c>
      <c r="E23" s="12">
        <v>3747.8693230000003</v>
      </c>
      <c r="F23" s="12"/>
      <c r="G23" s="12"/>
      <c r="H23" s="12">
        <v>9136.8339619578401</v>
      </c>
      <c r="I23" s="12"/>
      <c r="J23" s="12"/>
      <c r="K23" s="12">
        <v>298.91473598954104</v>
      </c>
      <c r="L23" s="14">
        <v>13183.618020947382</v>
      </c>
      <c r="M23" s="41">
        <v>11.5</v>
      </c>
      <c r="N23" s="115"/>
    </row>
    <row r="24" spans="1:23">
      <c r="A24" s="37" t="s">
        <v>1092</v>
      </c>
      <c r="B24" s="38">
        <v>45</v>
      </c>
      <c r="C24" s="12" t="s">
        <v>1105</v>
      </c>
      <c r="D24" s="142" t="s">
        <v>4</v>
      </c>
      <c r="E24" s="12">
        <v>3747.8693230000003</v>
      </c>
      <c r="F24" s="12"/>
      <c r="G24" s="12"/>
      <c r="H24" s="12">
        <v>13134.198820314396</v>
      </c>
      <c r="I24" s="12"/>
      <c r="J24" s="12"/>
      <c r="K24" s="12">
        <v>766.41029483988711</v>
      </c>
      <c r="L24" s="14">
        <v>17648.478438154281</v>
      </c>
      <c r="M24" s="41">
        <v>8</v>
      </c>
      <c r="N24" s="115"/>
    </row>
    <row r="25" spans="1:23">
      <c r="A25" s="39" t="s">
        <v>1092</v>
      </c>
      <c r="B25" s="38">
        <v>46</v>
      </c>
      <c r="C25" s="12" t="s">
        <v>1106</v>
      </c>
      <c r="D25" s="142" t="s">
        <v>66</v>
      </c>
      <c r="E25" s="12">
        <v>65090.126871000008</v>
      </c>
      <c r="F25" s="12"/>
      <c r="G25" s="12"/>
      <c r="H25" s="12">
        <v>75906.445283214955</v>
      </c>
      <c r="I25" s="12"/>
      <c r="J25" s="12"/>
      <c r="K25" s="12">
        <v>2256.7214632271757</v>
      </c>
      <c r="L25" s="14">
        <v>143253.29361744213</v>
      </c>
      <c r="M25" s="41">
        <v>1.4</v>
      </c>
      <c r="N25" s="115"/>
    </row>
    <row r="26" spans="1:23">
      <c r="A26" s="37" t="s">
        <v>1092</v>
      </c>
      <c r="B26" s="38">
        <v>47</v>
      </c>
      <c r="C26" s="12" t="s">
        <v>1107</v>
      </c>
      <c r="D26" s="142" t="s">
        <v>4</v>
      </c>
      <c r="E26" s="12">
        <v>3180.0905400000011</v>
      </c>
      <c r="F26" s="12"/>
      <c r="G26" s="12"/>
      <c r="H26" s="12">
        <v>6505.5636652352905</v>
      </c>
      <c r="I26" s="12"/>
      <c r="J26" s="12"/>
      <c r="K26" s="12">
        <v>210.62733656786975</v>
      </c>
      <c r="L26" s="14">
        <v>9896.2815418031623</v>
      </c>
      <c r="M26" s="41">
        <v>15</v>
      </c>
      <c r="N26" s="115"/>
    </row>
    <row r="27" spans="1:23">
      <c r="A27" s="37" t="s">
        <v>1092</v>
      </c>
      <c r="B27" s="38">
        <v>48</v>
      </c>
      <c r="C27" s="12" t="s">
        <v>1108</v>
      </c>
      <c r="D27" s="142" t="s">
        <v>4</v>
      </c>
      <c r="E27" s="12">
        <v>6431.816156095043</v>
      </c>
      <c r="F27" s="12"/>
      <c r="G27" s="12"/>
      <c r="H27" s="12">
        <v>8572.2516609388531</v>
      </c>
      <c r="I27" s="12"/>
      <c r="J27" s="12"/>
      <c r="K27" s="12">
        <v>116.9025805965067</v>
      </c>
      <c r="L27" s="14">
        <v>15120.970397630403</v>
      </c>
      <c r="M27" s="41">
        <v>35</v>
      </c>
      <c r="N27" s="115"/>
    </row>
    <row r="28" spans="1:23">
      <c r="A28" s="37" t="s">
        <v>1092</v>
      </c>
      <c r="B28" s="38">
        <v>49</v>
      </c>
      <c r="C28" s="12" t="s">
        <v>1109</v>
      </c>
      <c r="D28" s="142" t="s">
        <v>4</v>
      </c>
      <c r="E28" s="12">
        <v>3790.5369150000006</v>
      </c>
      <c r="F28" s="12"/>
      <c r="G28" s="12"/>
      <c r="H28" s="12">
        <v>6505.5636652352905</v>
      </c>
      <c r="I28" s="12"/>
      <c r="J28" s="12"/>
      <c r="K28" s="12">
        <v>210.62733656786975</v>
      </c>
      <c r="L28" s="14">
        <v>10506.727916803162</v>
      </c>
      <c r="M28" s="41">
        <v>15</v>
      </c>
      <c r="N28" s="115"/>
    </row>
    <row r="29" spans="1:23">
      <c r="A29" s="37" t="s">
        <v>1092</v>
      </c>
      <c r="B29" s="38">
        <v>50</v>
      </c>
      <c r="C29" s="12" t="s">
        <v>1110</v>
      </c>
      <c r="D29" s="142" t="s">
        <v>4</v>
      </c>
      <c r="E29" s="12">
        <v>3816.1086480000013</v>
      </c>
      <c r="F29" s="12"/>
      <c r="G29" s="12"/>
      <c r="H29" s="12">
        <v>8702.6232034659097</v>
      </c>
      <c r="I29" s="12"/>
      <c r="J29" s="12"/>
      <c r="K29" s="12">
        <v>274.73130856678659</v>
      </c>
      <c r="L29" s="14">
        <v>12793.463160032697</v>
      </c>
      <c r="M29" s="41">
        <v>11.5</v>
      </c>
      <c r="N29" s="115"/>
      <c r="U29" s="18" t="s">
        <v>214</v>
      </c>
      <c r="V29" s="18" t="s">
        <v>215</v>
      </c>
    </row>
    <row r="30" spans="1:23">
      <c r="A30" s="39" t="s">
        <v>1092</v>
      </c>
      <c r="B30" s="38">
        <v>51</v>
      </c>
      <c r="C30" s="12" t="s">
        <v>1111</v>
      </c>
      <c r="D30" s="142" t="s">
        <v>4</v>
      </c>
      <c r="E30" s="12">
        <v>3131.6140255000005</v>
      </c>
      <c r="F30" s="12"/>
      <c r="G30" s="12"/>
      <c r="H30" s="143">
        <v>6526.9608152175879</v>
      </c>
      <c r="I30" s="143"/>
      <c r="J30" s="143"/>
      <c r="K30" s="12">
        <v>170.31706342815806</v>
      </c>
      <c r="L30" s="14">
        <v>9828.8919041457466</v>
      </c>
      <c r="M30" s="41">
        <v>22</v>
      </c>
      <c r="N30" s="115"/>
      <c r="O30" s="18">
        <f>+H30</f>
        <v>6526.9608152175879</v>
      </c>
      <c r="Q30" s="18" t="s">
        <v>1112</v>
      </c>
      <c r="R30" s="18">
        <v>8</v>
      </c>
      <c r="S30" s="18">
        <v>4</v>
      </c>
      <c r="T30" s="18">
        <f t="shared" ref="T30:T35" si="0">+R30*S30</f>
        <v>32</v>
      </c>
      <c r="U30" s="18">
        <f>+R30*2+S30*2</f>
        <v>24</v>
      </c>
      <c r="V30" s="18">
        <v>4.5</v>
      </c>
      <c r="W30" s="18">
        <f t="shared" ref="W30:W35" si="1">+U30*V30</f>
        <v>108</v>
      </c>
    </row>
    <row r="31" spans="1:23">
      <c r="A31" s="39" t="s">
        <v>1092</v>
      </c>
      <c r="B31" s="38">
        <v>52</v>
      </c>
      <c r="C31" s="12" t="s">
        <v>1113</v>
      </c>
      <c r="D31" s="142" t="s">
        <v>4</v>
      </c>
      <c r="E31" s="12">
        <v>3131.6140255000005</v>
      </c>
      <c r="F31" s="12"/>
      <c r="G31" s="12"/>
      <c r="H31" s="143">
        <v>7422.6925710367968</v>
      </c>
      <c r="I31" s="143"/>
      <c r="J31" s="143"/>
      <c r="K31" s="12">
        <v>234.75350228517792</v>
      </c>
      <c r="L31" s="14">
        <v>10789.060098821974</v>
      </c>
      <c r="M31" s="41">
        <v>17.5</v>
      </c>
      <c r="N31" s="115"/>
      <c r="Q31" s="18" t="s">
        <v>770</v>
      </c>
      <c r="R31" s="18">
        <v>3</v>
      </c>
      <c r="S31" s="18">
        <v>5</v>
      </c>
      <c r="T31" s="18">
        <f t="shared" si="0"/>
        <v>15</v>
      </c>
      <c r="U31" s="18">
        <f t="shared" ref="U31:U35" si="2">+R31*2+S31*2</f>
        <v>16</v>
      </c>
      <c r="V31" s="18">
        <v>1</v>
      </c>
      <c r="W31" s="18">
        <f t="shared" si="1"/>
        <v>16</v>
      </c>
    </row>
    <row r="32" spans="1:23">
      <c r="A32" s="39" t="s">
        <v>1092</v>
      </c>
      <c r="B32" s="38">
        <v>53</v>
      </c>
      <c r="C32" s="12" t="s">
        <v>1114</v>
      </c>
      <c r="D32" s="142" t="s">
        <v>4</v>
      </c>
      <c r="E32" s="12">
        <v>2048.3671080000004</v>
      </c>
      <c r="F32" s="12"/>
      <c r="G32" s="12"/>
      <c r="H32" s="143">
        <v>4846.0031113917403</v>
      </c>
      <c r="I32" s="143"/>
      <c r="J32" s="143"/>
      <c r="K32" s="12">
        <v>120.8701740457896</v>
      </c>
      <c r="L32" s="14">
        <v>7015.2403934375307</v>
      </c>
      <c r="M32" s="41">
        <v>15.5</v>
      </c>
      <c r="N32" s="115"/>
      <c r="Q32" s="18" t="s">
        <v>1115</v>
      </c>
      <c r="R32" s="18">
        <v>6</v>
      </c>
      <c r="S32" s="18">
        <v>4</v>
      </c>
      <c r="T32" s="18">
        <f t="shared" si="0"/>
        <v>24</v>
      </c>
      <c r="U32" s="18">
        <f t="shared" si="2"/>
        <v>20</v>
      </c>
      <c r="V32" s="18">
        <v>4.5</v>
      </c>
      <c r="W32" s="18">
        <f t="shared" si="1"/>
        <v>90</v>
      </c>
    </row>
    <row r="33" spans="1:27">
      <c r="A33" s="39" t="s">
        <v>1116</v>
      </c>
      <c r="B33" s="38" t="s">
        <v>1117</v>
      </c>
      <c r="C33" s="12" t="s">
        <v>1118</v>
      </c>
      <c r="D33" s="142" t="s">
        <v>4</v>
      </c>
      <c r="E33" s="12">
        <v>2048.3671080000004</v>
      </c>
      <c r="F33" s="12"/>
      <c r="G33" s="12"/>
      <c r="H33" s="143">
        <v>12414.242756110702</v>
      </c>
      <c r="I33" s="143"/>
      <c r="J33" s="143"/>
      <c r="K33" s="12">
        <v>228.30166034565269</v>
      </c>
      <c r="L33" s="14">
        <v>14690.911524456355</v>
      </c>
      <c r="M33" s="41">
        <v>15.5</v>
      </c>
      <c r="N33" s="115"/>
      <c r="Q33" s="18" t="s">
        <v>1115</v>
      </c>
      <c r="R33" s="18">
        <v>3</v>
      </c>
      <c r="S33" s="18">
        <v>4</v>
      </c>
      <c r="T33" s="18">
        <f t="shared" si="0"/>
        <v>12</v>
      </c>
      <c r="U33" s="18">
        <f t="shared" si="2"/>
        <v>14</v>
      </c>
      <c r="V33" s="18">
        <v>2</v>
      </c>
      <c r="W33" s="18">
        <f t="shared" si="1"/>
        <v>28</v>
      </c>
    </row>
    <row r="34" spans="1:27">
      <c r="A34" s="39" t="s">
        <v>1092</v>
      </c>
      <c r="B34" s="38">
        <v>54</v>
      </c>
      <c r="C34" s="12" t="s">
        <v>1119</v>
      </c>
      <c r="D34" s="142" t="s">
        <v>4</v>
      </c>
      <c r="E34" s="12">
        <v>2856.38976</v>
      </c>
      <c r="F34" s="12"/>
      <c r="G34" s="12"/>
      <c r="H34" s="143">
        <v>9389.1310283214971</v>
      </c>
      <c r="I34" s="143"/>
      <c r="J34" s="143"/>
      <c r="K34" s="12">
        <v>234.18596221371735</v>
      </c>
      <c r="L34" s="14">
        <v>12479.706750535215</v>
      </c>
      <c r="M34" s="41">
        <v>8</v>
      </c>
      <c r="N34" s="115"/>
      <c r="Q34" s="18" t="s">
        <v>1120</v>
      </c>
      <c r="R34" s="18">
        <v>3</v>
      </c>
      <c r="S34" s="18">
        <v>2</v>
      </c>
      <c r="T34" s="18">
        <f t="shared" si="0"/>
        <v>6</v>
      </c>
      <c r="U34" s="18">
        <f t="shared" si="2"/>
        <v>10</v>
      </c>
      <c r="V34" s="18">
        <v>1</v>
      </c>
      <c r="W34" s="18">
        <f t="shared" si="1"/>
        <v>10</v>
      </c>
      <c r="Z34" s="18">
        <f>+Z36*1.35</f>
        <v>5070.1307552936087</v>
      </c>
    </row>
    <row r="35" spans="1:27">
      <c r="A35" s="37" t="s">
        <v>1092</v>
      </c>
      <c r="B35" s="38">
        <v>55</v>
      </c>
      <c r="C35" s="12" t="s">
        <v>1121</v>
      </c>
      <c r="D35" s="142" t="s">
        <v>4</v>
      </c>
      <c r="E35" s="12">
        <v>6006.8023979545469</v>
      </c>
      <c r="F35" s="12"/>
      <c r="G35" s="12"/>
      <c r="H35" s="203">
        <v>9621.0381359857947</v>
      </c>
      <c r="I35" s="143"/>
      <c r="J35" s="143"/>
      <c r="K35" s="12">
        <v>176.93378676788083</v>
      </c>
      <c r="L35" s="14">
        <v>15804.774320708222</v>
      </c>
      <c r="M35" s="41">
        <v>20</v>
      </c>
      <c r="N35" s="115"/>
      <c r="Q35" s="18" t="s">
        <v>1120</v>
      </c>
      <c r="R35" s="18">
        <v>1.5</v>
      </c>
      <c r="S35" s="18">
        <v>2</v>
      </c>
      <c r="T35" s="18">
        <f t="shared" si="0"/>
        <v>3</v>
      </c>
      <c r="U35" s="18">
        <f t="shared" si="2"/>
        <v>7</v>
      </c>
      <c r="V35" s="18">
        <v>1</v>
      </c>
      <c r="W35" s="18">
        <f t="shared" si="1"/>
        <v>7</v>
      </c>
    </row>
    <row r="36" spans="1:27">
      <c r="A36" s="39" t="s">
        <v>1092</v>
      </c>
      <c r="B36" s="38">
        <v>56</v>
      </c>
      <c r="C36" s="12" t="s">
        <v>1122</v>
      </c>
      <c r="D36" s="142" t="s">
        <v>4</v>
      </c>
      <c r="E36" s="12">
        <v>7250.1086533719017</v>
      </c>
      <c r="F36" s="12"/>
      <c r="G36" s="12"/>
      <c r="H36" s="143">
        <v>9992.0861533187654</v>
      </c>
      <c r="I36" s="143"/>
      <c r="J36" s="143"/>
      <c r="K36" s="12">
        <v>219.89812852357096</v>
      </c>
      <c r="L36" s="14">
        <v>17462.092935214238</v>
      </c>
      <c r="M36" s="41">
        <v>13</v>
      </c>
      <c r="N36" s="115"/>
      <c r="O36" s="18">
        <v>100</v>
      </c>
      <c r="T36" s="18">
        <f>+SUM(T30:T35)</f>
        <v>92</v>
      </c>
      <c r="W36" s="18">
        <f>+SUM(W30:W35)</f>
        <v>259</v>
      </c>
      <c r="Y36" s="18">
        <f>+T36+W36</f>
        <v>351</v>
      </c>
      <c r="Z36" s="18">
        <f>+H80</f>
        <v>3755.6524113285986</v>
      </c>
      <c r="AA36" s="18">
        <f>+Y36*Z36</f>
        <v>1318233.9963763382</v>
      </c>
    </row>
    <row r="37" spans="1:27">
      <c r="A37" s="37" t="s">
        <v>1092</v>
      </c>
      <c r="B37" s="38">
        <v>57</v>
      </c>
      <c r="C37" s="12" t="s">
        <v>1123</v>
      </c>
      <c r="D37" s="142" t="s">
        <v>4</v>
      </c>
      <c r="E37" s="12">
        <v>7250.1086533719017</v>
      </c>
      <c r="F37" s="12"/>
      <c r="G37" s="12"/>
      <c r="H37" s="12">
        <v>12989.711999314395</v>
      </c>
      <c r="I37" s="12"/>
      <c r="J37" s="12"/>
      <c r="K37" s="12">
        <v>285.86756708064229</v>
      </c>
      <c r="L37" s="14">
        <v>20525.688219766937</v>
      </c>
      <c r="M37" s="41">
        <v>10</v>
      </c>
      <c r="N37" s="115"/>
      <c r="Y37" s="18">
        <f>+Y36</f>
        <v>351</v>
      </c>
      <c r="Z37" s="311">
        <v>2126.0864878065313</v>
      </c>
      <c r="AA37" s="18">
        <f>+Y37*Z37</f>
        <v>746256.35722009244</v>
      </c>
    </row>
    <row r="38" spans="1:27">
      <c r="A38" s="37" t="s">
        <v>1092</v>
      </c>
      <c r="B38" s="38">
        <v>58</v>
      </c>
      <c r="C38" s="12" t="s">
        <v>1124</v>
      </c>
      <c r="D38" s="142" t="s">
        <v>59</v>
      </c>
      <c r="E38" s="12">
        <v>1185.4173163966941</v>
      </c>
      <c r="F38" s="12"/>
      <c r="G38" s="12"/>
      <c r="H38" s="12">
        <v>4329.9039997714654</v>
      </c>
      <c r="I38" s="12"/>
      <c r="J38" s="12"/>
      <c r="K38" s="12">
        <v>95.289189026880749</v>
      </c>
      <c r="L38" s="14">
        <v>5610.6105051950408</v>
      </c>
      <c r="M38" s="41">
        <v>30</v>
      </c>
      <c r="N38" s="115"/>
    </row>
    <row r="39" spans="1:27">
      <c r="A39" s="39" t="s">
        <v>1116</v>
      </c>
      <c r="B39" s="38">
        <v>59</v>
      </c>
      <c r="C39" s="12" t="s">
        <v>1125</v>
      </c>
      <c r="D39" s="142" t="s">
        <v>4</v>
      </c>
      <c r="E39" s="12">
        <v>4937.8235475454549</v>
      </c>
      <c r="F39" s="12"/>
      <c r="G39" s="12"/>
      <c r="H39" s="143">
        <v>11808.829090285813</v>
      </c>
      <c r="I39" s="143"/>
      <c r="J39" s="143"/>
      <c r="K39" s="12">
        <v>322.90613266066026</v>
      </c>
      <c r="L39" s="14">
        <v>17069.558770491931</v>
      </c>
      <c r="M39" s="41">
        <v>11</v>
      </c>
      <c r="N39" s="115"/>
      <c r="AA39" s="18">
        <f>+AA36+AA37</f>
        <v>2064490.3535964307</v>
      </c>
    </row>
    <row r="40" spans="1:27">
      <c r="A40" s="37" t="s">
        <v>1126</v>
      </c>
      <c r="B40" s="38">
        <v>60</v>
      </c>
      <c r="C40" s="12" t="s">
        <v>1127</v>
      </c>
      <c r="D40" s="142" t="s">
        <v>4</v>
      </c>
      <c r="E40" s="12">
        <v>9357.531771197835</v>
      </c>
      <c r="F40" s="12"/>
      <c r="G40" s="12"/>
      <c r="H40" s="143">
        <v>13673.38105190989</v>
      </c>
      <c r="I40" s="143"/>
      <c r="J40" s="143"/>
      <c r="K40" s="12">
        <v>256.8223600688724</v>
      </c>
      <c r="L40" s="14">
        <v>23287.735183176599</v>
      </c>
      <c r="M40" s="41">
        <v>9.5</v>
      </c>
      <c r="N40" s="115"/>
    </row>
    <row r="41" spans="1:27">
      <c r="A41" s="37" t="s">
        <v>1128</v>
      </c>
      <c r="B41" s="38">
        <v>61</v>
      </c>
      <c r="C41" s="12" t="s">
        <v>1129</v>
      </c>
      <c r="D41" s="142" t="s">
        <v>4</v>
      </c>
      <c r="E41" s="12">
        <v>13094.309718890145</v>
      </c>
      <c r="F41" s="12"/>
      <c r="G41" s="12"/>
      <c r="H41" s="143">
        <v>13673.38105190989</v>
      </c>
      <c r="I41" s="143"/>
      <c r="J41" s="143"/>
      <c r="K41" s="12">
        <v>256.8223600688724</v>
      </c>
      <c r="L41" s="14">
        <v>27024.513130868909</v>
      </c>
      <c r="M41" s="41">
        <v>9.5</v>
      </c>
      <c r="N41" s="115"/>
    </row>
    <row r="42" spans="1:27">
      <c r="A42" s="37" t="s">
        <v>1130</v>
      </c>
      <c r="B42" s="38">
        <v>62</v>
      </c>
      <c r="C42" s="12" t="s">
        <v>1131</v>
      </c>
      <c r="D42" s="142" t="s">
        <v>4</v>
      </c>
      <c r="E42" s="12">
        <v>12376.330264457836</v>
      </c>
      <c r="F42" s="12"/>
      <c r="G42" s="12"/>
      <c r="H42" s="143">
        <v>13673.38105190989</v>
      </c>
      <c r="I42" s="143"/>
      <c r="J42" s="143"/>
      <c r="K42" s="12">
        <v>256.8223600688724</v>
      </c>
      <c r="L42" s="14">
        <v>26306.5336764366</v>
      </c>
      <c r="M42" s="41">
        <v>9.5</v>
      </c>
      <c r="N42" s="115"/>
    </row>
    <row r="43" spans="1:27">
      <c r="A43" s="37" t="s">
        <v>1132</v>
      </c>
      <c r="B43" s="38">
        <v>63</v>
      </c>
      <c r="C43" s="12" t="s">
        <v>1133</v>
      </c>
      <c r="D43" s="142" t="s">
        <v>4</v>
      </c>
      <c r="E43" s="12">
        <v>5209.6481766000006</v>
      </c>
      <c r="F43" s="12"/>
      <c r="G43" s="12"/>
      <c r="H43" s="12">
        <v>12989.711999314395</v>
      </c>
      <c r="I43" s="12"/>
      <c r="J43" s="12"/>
      <c r="K43" s="12">
        <v>243.9812420654288</v>
      </c>
      <c r="L43" s="14">
        <v>18443.341417979824</v>
      </c>
      <c r="M43" s="41">
        <v>10</v>
      </c>
      <c r="N43" s="115"/>
    </row>
    <row r="44" spans="1:27">
      <c r="A44" s="37"/>
      <c r="B44" s="38" t="s">
        <v>1134</v>
      </c>
      <c r="C44" s="12" t="s">
        <v>1135</v>
      </c>
      <c r="D44" s="142" t="s">
        <v>4</v>
      </c>
      <c r="E44" s="12">
        <v>18685.985905644447</v>
      </c>
      <c r="F44" s="12"/>
      <c r="G44" s="12"/>
      <c r="H44" s="12">
        <v>12989.711999314395</v>
      </c>
      <c r="I44" s="12"/>
      <c r="J44" s="12"/>
      <c r="K44" s="12">
        <v>243.9812420654288</v>
      </c>
      <c r="L44" s="14">
        <v>31919.679147024268</v>
      </c>
      <c r="M44" s="41">
        <v>10</v>
      </c>
      <c r="N44" s="115"/>
    </row>
    <row r="45" spans="1:27">
      <c r="A45" s="37" t="s">
        <v>1136</v>
      </c>
      <c r="B45" s="38">
        <v>64</v>
      </c>
      <c r="C45" s="12" t="s">
        <v>1137</v>
      </c>
      <c r="D45" s="142" t="s">
        <v>4</v>
      </c>
      <c r="E45" s="12">
        <v>14846.976295195269</v>
      </c>
      <c r="F45" s="12"/>
      <c r="G45" s="12"/>
      <c r="H45" s="143">
        <v>18556.731427591993</v>
      </c>
      <c r="I45" s="143"/>
      <c r="J45" s="143"/>
      <c r="K45" s="12">
        <v>338.7927783875798</v>
      </c>
      <c r="L45" s="14">
        <v>33742.500501174844</v>
      </c>
      <c r="M45" s="41">
        <v>7</v>
      </c>
      <c r="N45" s="115"/>
    </row>
    <row r="46" spans="1:27">
      <c r="A46" s="37" t="s">
        <v>1138</v>
      </c>
      <c r="B46" s="38">
        <v>65</v>
      </c>
      <c r="C46" s="12" t="s">
        <v>1139</v>
      </c>
      <c r="D46" s="142" t="s">
        <v>4</v>
      </c>
      <c r="E46" s="12">
        <v>27949.0609193249</v>
      </c>
      <c r="F46" s="12"/>
      <c r="G46" s="12"/>
      <c r="H46" s="12">
        <v>21649.519998857326</v>
      </c>
      <c r="I46" s="12"/>
      <c r="J46" s="12"/>
      <c r="K46" s="12">
        <v>395.25824145217643</v>
      </c>
      <c r="L46" s="14">
        <v>49993.839159634401</v>
      </c>
      <c r="M46" s="41">
        <v>6</v>
      </c>
      <c r="N46" s="115"/>
    </row>
    <row r="47" spans="1:27">
      <c r="A47" s="37" t="s">
        <v>1140</v>
      </c>
      <c r="B47" s="38">
        <v>66</v>
      </c>
      <c r="C47" s="12" t="s">
        <v>1141</v>
      </c>
      <c r="D47" s="142" t="s">
        <v>4</v>
      </c>
      <c r="E47" s="12">
        <v>10316.337349212019</v>
      </c>
      <c r="F47" s="12"/>
      <c r="G47" s="12"/>
      <c r="H47" s="12">
        <v>11808.829090285813</v>
      </c>
      <c r="I47" s="12"/>
      <c r="J47" s="12"/>
      <c r="K47" s="12">
        <v>395.25824145217643</v>
      </c>
      <c r="L47" s="14">
        <v>22520.424680950007</v>
      </c>
      <c r="M47" s="41">
        <v>11</v>
      </c>
      <c r="N47" s="115"/>
    </row>
    <row r="48" spans="1:27">
      <c r="A48" s="37" t="s">
        <v>1142</v>
      </c>
      <c r="B48" s="38">
        <v>67</v>
      </c>
      <c r="C48" s="12" t="s">
        <v>1143</v>
      </c>
      <c r="D48" s="142" t="s">
        <v>4</v>
      </c>
      <c r="E48" s="12">
        <v>3172.0073579999998</v>
      </c>
      <c r="F48" s="12"/>
      <c r="G48" s="12"/>
      <c r="H48" s="12">
        <v>6494.8559996571976</v>
      </c>
      <c r="I48" s="12"/>
      <c r="J48" s="12"/>
      <c r="K48" s="12">
        <v>93.674384885486944</v>
      </c>
      <c r="L48" s="14">
        <v>9760.537742542685</v>
      </c>
      <c r="M48" s="41">
        <v>20</v>
      </c>
      <c r="N48" s="115"/>
    </row>
    <row r="49" spans="1:14">
      <c r="A49" s="37" t="s">
        <v>1144</v>
      </c>
      <c r="B49" s="38">
        <v>68</v>
      </c>
      <c r="C49" s="12" t="s">
        <v>1145</v>
      </c>
      <c r="D49" s="142" t="s">
        <v>4</v>
      </c>
      <c r="E49" s="12">
        <v>3518.7855025000003</v>
      </c>
      <c r="F49" s="12"/>
      <c r="G49" s="12"/>
      <c r="H49" s="12">
        <v>8336.4856968762633</v>
      </c>
      <c r="I49" s="12"/>
      <c r="J49" s="12"/>
      <c r="K49" s="12">
        <v>229.16796425864814</v>
      </c>
      <c r="L49" s="14">
        <v>12084.439163634912</v>
      </c>
      <c r="M49" s="41">
        <v>15</v>
      </c>
      <c r="N49" s="115"/>
    </row>
    <row r="50" spans="1:14">
      <c r="A50" s="39" t="s">
        <v>1146</v>
      </c>
      <c r="B50" s="38">
        <v>70</v>
      </c>
      <c r="C50" s="12" t="s">
        <v>1147</v>
      </c>
      <c r="D50" s="142" t="s">
        <v>4</v>
      </c>
      <c r="E50" s="12">
        <v>9809.5604040679573</v>
      </c>
      <c r="F50" s="12"/>
      <c r="G50" s="12"/>
      <c r="H50" s="12">
        <v>5001.8914181257578</v>
      </c>
      <c r="I50" s="12"/>
      <c r="J50" s="12"/>
      <c r="K50" s="12">
        <v>31.337344543287259</v>
      </c>
      <c r="L50" s="14">
        <v>14842.789166737002</v>
      </c>
      <c r="M50" s="41">
        <v>25</v>
      </c>
      <c r="N50" s="115"/>
    </row>
    <row r="51" spans="1:14">
      <c r="A51" s="39" t="s">
        <v>1148</v>
      </c>
      <c r="B51" s="38">
        <v>71</v>
      </c>
      <c r="C51" s="12" t="s">
        <v>1149</v>
      </c>
      <c r="D51" s="142" t="s">
        <v>4</v>
      </c>
      <c r="E51" s="12">
        <v>6559.4276118181842</v>
      </c>
      <c r="F51" s="12"/>
      <c r="G51" s="12"/>
      <c r="H51" s="12">
        <v>2500.9457090628789</v>
      </c>
      <c r="I51" s="12"/>
      <c r="J51" s="12"/>
      <c r="K51" s="12">
        <v>36.300114108799654</v>
      </c>
      <c r="L51" s="14">
        <v>9096.6734349898616</v>
      </c>
      <c r="M51" s="41">
        <v>50</v>
      </c>
      <c r="N51" s="115"/>
    </row>
    <row r="52" spans="1:14">
      <c r="A52" s="37" t="s">
        <v>1150</v>
      </c>
      <c r="B52" s="38">
        <v>72</v>
      </c>
      <c r="C52" s="12" t="s">
        <v>1151</v>
      </c>
      <c r="D52" s="142" t="s">
        <v>4</v>
      </c>
      <c r="E52" s="12">
        <v>12474.154</v>
      </c>
      <c r="F52" s="12"/>
      <c r="G52" s="12"/>
      <c r="H52" s="12">
        <v>5851.3850238000541</v>
      </c>
      <c r="I52" s="12"/>
      <c r="J52" s="12"/>
      <c r="K52" s="12">
        <v>502.1449463711802</v>
      </c>
      <c r="L52" s="14">
        <v>18827.683970171234</v>
      </c>
      <c r="M52" s="41">
        <v>35</v>
      </c>
      <c r="N52" s="115"/>
    </row>
    <row r="53" spans="1:14">
      <c r="A53" s="37" t="s">
        <v>1152</v>
      </c>
      <c r="B53" s="40">
        <v>73</v>
      </c>
      <c r="C53" s="12" t="s">
        <v>1153</v>
      </c>
      <c r="D53" s="142" t="s">
        <v>4</v>
      </c>
      <c r="E53" s="12">
        <v>2145.1540275000002</v>
      </c>
      <c r="F53" s="12"/>
      <c r="G53" s="12"/>
      <c r="H53" s="12">
        <v>3755.6524113285986</v>
      </c>
      <c r="I53" s="12"/>
      <c r="J53" s="12"/>
      <c r="K53" s="12">
        <v>93.674384885486944</v>
      </c>
      <c r="L53" s="14">
        <v>5994.4808237140851</v>
      </c>
      <c r="M53" s="41">
        <v>20</v>
      </c>
      <c r="N53" s="115"/>
    </row>
    <row r="54" spans="1:14">
      <c r="A54" s="37" t="s">
        <v>1154</v>
      </c>
      <c r="B54" s="40">
        <v>74</v>
      </c>
      <c r="C54" s="12" t="s">
        <v>1155</v>
      </c>
      <c r="D54" s="142" t="s">
        <v>4</v>
      </c>
      <c r="E54" s="12">
        <v>2323.3294503181824</v>
      </c>
      <c r="F54" s="12"/>
      <c r="G54" s="12"/>
      <c r="H54" s="12">
        <v>4329.9039997714654</v>
      </c>
      <c r="I54" s="12"/>
      <c r="J54" s="12"/>
      <c r="K54" s="12">
        <v>60.500190181332755</v>
      </c>
      <c r="L54" s="14">
        <v>6713.7336402709807</v>
      </c>
      <c r="M54" s="41">
        <v>30</v>
      </c>
      <c r="N54" s="115"/>
    </row>
    <row r="55" spans="1:14">
      <c r="A55" s="37" t="s">
        <v>1156</v>
      </c>
      <c r="B55" s="40">
        <v>75</v>
      </c>
      <c r="C55" s="12" t="s">
        <v>1157</v>
      </c>
      <c r="D55" s="142" t="s">
        <v>4</v>
      </c>
      <c r="E55" s="12">
        <v>14152.446270660002</v>
      </c>
      <c r="F55" s="12"/>
      <c r="G55" s="12"/>
      <c r="H55" s="12">
        <v>8659.8079995429307</v>
      </c>
      <c r="I55" s="12"/>
      <c r="J55" s="12"/>
      <c r="K55" s="12">
        <v>229.16796425864814</v>
      </c>
      <c r="L55" s="14">
        <v>23041.422234461581</v>
      </c>
      <c r="M55" s="41">
        <v>15</v>
      </c>
      <c r="N55" s="115"/>
    </row>
    <row r="56" spans="1:14">
      <c r="A56" s="37" t="s">
        <v>1158</v>
      </c>
      <c r="B56" s="38">
        <v>113</v>
      </c>
      <c r="C56" s="12" t="s">
        <v>1159</v>
      </c>
      <c r="D56" s="142" t="s">
        <v>4</v>
      </c>
      <c r="E56" s="12">
        <v>1273.3407295555555</v>
      </c>
      <c r="F56" s="12"/>
      <c r="G56" s="12"/>
      <c r="H56" s="12">
        <v>1563.0910681642993</v>
      </c>
      <c r="I56" s="12"/>
      <c r="J56" s="12"/>
      <c r="K56" s="12">
        <v>9.7929201697772683</v>
      </c>
      <c r="L56" s="14">
        <v>2846.2247178896318</v>
      </c>
      <c r="M56" s="41">
        <v>80</v>
      </c>
      <c r="N56" s="115"/>
    </row>
    <row r="57" spans="1:14">
      <c r="A57" s="37" t="s">
        <v>1160</v>
      </c>
      <c r="B57" s="42">
        <v>114</v>
      </c>
      <c r="C57" s="12" t="s">
        <v>1161</v>
      </c>
      <c r="D57" s="142" t="s">
        <v>1058</v>
      </c>
      <c r="E57" s="12">
        <v>4402.5269200000012</v>
      </c>
      <c r="F57" s="12"/>
      <c r="G57" s="12"/>
      <c r="H57" s="12">
        <v>2084.1214242190658</v>
      </c>
      <c r="I57" s="12"/>
      <c r="J57" s="12"/>
      <c r="K57" s="12">
        <v>13.057226893036358</v>
      </c>
      <c r="L57" s="14">
        <v>6499.7055711121038</v>
      </c>
      <c r="M57" s="41">
        <v>60</v>
      </c>
      <c r="N57" s="115"/>
    </row>
    <row r="58" spans="1:14">
      <c r="A58" s="37" t="s">
        <v>1162</v>
      </c>
      <c r="B58" s="42">
        <v>115</v>
      </c>
      <c r="C58" s="12" t="s">
        <v>1163</v>
      </c>
      <c r="D58" s="142" t="s">
        <v>4</v>
      </c>
      <c r="E58" s="12">
        <v>2728.9654</v>
      </c>
      <c r="F58" s="12"/>
      <c r="G58" s="12"/>
      <c r="H58" s="12">
        <v>8336.4856968762633</v>
      </c>
      <c r="I58" s="12"/>
      <c r="J58" s="12"/>
      <c r="K58" s="12">
        <v>0</v>
      </c>
      <c r="L58" s="14">
        <v>11065.451096876262</v>
      </c>
      <c r="M58" s="41">
        <v>15</v>
      </c>
      <c r="N58" s="115"/>
    </row>
    <row r="59" spans="1:14">
      <c r="A59" s="37" t="s">
        <v>1164</v>
      </c>
      <c r="B59" s="42">
        <v>116</v>
      </c>
      <c r="C59" s="12" t="s">
        <v>1165</v>
      </c>
      <c r="D59" s="142" t="s">
        <v>4</v>
      </c>
      <c r="E59" s="12">
        <v>14069.348112542324</v>
      </c>
      <c r="F59" s="12"/>
      <c r="G59" s="12"/>
      <c r="H59" s="12">
        <v>10824.759999428663</v>
      </c>
      <c r="I59" s="12"/>
      <c r="J59" s="12"/>
      <c r="K59" s="12">
        <v>203.31770172119067</v>
      </c>
      <c r="L59" s="14">
        <v>25097.425813692174</v>
      </c>
      <c r="M59" s="41">
        <v>12</v>
      </c>
      <c r="N59" s="115"/>
    </row>
    <row r="60" spans="1:14">
      <c r="A60" s="37" t="s">
        <v>1166</v>
      </c>
      <c r="B60" s="38">
        <v>117</v>
      </c>
      <c r="C60" s="12" t="s">
        <v>1167</v>
      </c>
      <c r="D60" s="142" t="s">
        <v>59</v>
      </c>
      <c r="E60" s="12">
        <v>1093.3011417</v>
      </c>
      <c r="F60" s="12"/>
      <c r="G60" s="12"/>
      <c r="H60" s="12">
        <v>5007.5365484381318</v>
      </c>
      <c r="I60" s="12"/>
      <c r="J60" s="12"/>
      <c r="K60" s="12">
        <v>162.65416137695254</v>
      </c>
      <c r="L60" s="14">
        <v>6263.4918515150839</v>
      </c>
      <c r="M60" s="18">
        <v>15</v>
      </c>
      <c r="N60" s="115"/>
    </row>
    <row r="61" spans="1:14">
      <c r="A61" s="37" t="s">
        <v>1168</v>
      </c>
      <c r="B61" s="42">
        <v>118</v>
      </c>
      <c r="C61" s="12" t="s">
        <v>1169</v>
      </c>
      <c r="D61" s="142" t="s">
        <v>4</v>
      </c>
      <c r="E61" s="12">
        <v>9874.4158909312009</v>
      </c>
      <c r="F61" s="12"/>
      <c r="G61" s="12"/>
      <c r="H61" s="12">
        <v>9788.1500996957348</v>
      </c>
      <c r="I61" s="12"/>
      <c r="J61" s="12"/>
      <c r="K61" s="12">
        <v>298.91473598954104</v>
      </c>
      <c r="L61" s="14">
        <v>19961.480726616475</v>
      </c>
      <c r="M61" s="292">
        <v>11.5</v>
      </c>
      <c r="N61" s="115"/>
    </row>
    <row r="62" spans="1:14">
      <c r="A62" s="37" t="s">
        <v>1170</v>
      </c>
      <c r="B62" s="42">
        <v>119</v>
      </c>
      <c r="C62" s="311" t="s">
        <v>1171</v>
      </c>
      <c r="D62" s="311" t="s">
        <v>4</v>
      </c>
      <c r="E62" s="311">
        <v>14352.049965449041</v>
      </c>
      <c r="F62" s="12"/>
      <c r="G62" s="12"/>
      <c r="H62" s="311">
        <v>9788.1500996957348</v>
      </c>
      <c r="I62" s="12"/>
      <c r="J62" s="12"/>
      <c r="K62" s="311">
        <v>298.91473598954104</v>
      </c>
      <c r="L62" s="14">
        <v>24439.114801134314</v>
      </c>
      <c r="M62" s="292">
        <v>11.5</v>
      </c>
    </row>
    <row r="63" spans="1:14">
      <c r="A63" s="37" t="s">
        <v>1172</v>
      </c>
      <c r="B63" s="42">
        <v>120</v>
      </c>
      <c r="C63" s="307" t="s">
        <v>1173</v>
      </c>
      <c r="D63" s="311" t="s">
        <v>59</v>
      </c>
      <c r="E63" s="311">
        <v>13184.711802349999</v>
      </c>
      <c r="F63" s="12"/>
      <c r="G63" s="12"/>
      <c r="H63" s="311">
        <v>38476.087831736593</v>
      </c>
      <c r="I63" s="12"/>
      <c r="J63" s="12"/>
      <c r="K63" s="311">
        <v>1623.6466772663525</v>
      </c>
      <c r="L63" s="14">
        <v>53284.446311352949</v>
      </c>
      <c r="M63" s="18">
        <v>3.25</v>
      </c>
    </row>
    <row r="64" spans="1:14">
      <c r="A64" s="37" t="s">
        <v>1174</v>
      </c>
      <c r="B64" s="38">
        <v>121</v>
      </c>
      <c r="C64" s="307" t="s">
        <v>1175</v>
      </c>
      <c r="D64" s="311" t="s">
        <v>59</v>
      </c>
      <c r="E64" s="311">
        <v>11193.920501279999</v>
      </c>
      <c r="F64" s="12"/>
      <c r="G64" s="12"/>
      <c r="H64" s="311">
        <v>38476.087831736593</v>
      </c>
      <c r="I64" s="12"/>
      <c r="J64" s="12"/>
      <c r="K64" s="311">
        <v>1623.6466772663525</v>
      </c>
      <c r="L64" s="14">
        <v>51293.65501028295</v>
      </c>
      <c r="M64" s="18">
        <v>3.25</v>
      </c>
    </row>
    <row r="65" spans="1:13">
      <c r="A65" s="37" t="s">
        <v>1176</v>
      </c>
      <c r="B65" s="42">
        <v>122</v>
      </c>
      <c r="C65" s="307" t="s">
        <v>1177</v>
      </c>
      <c r="D65" s="311" t="s">
        <v>59</v>
      </c>
      <c r="E65" s="311">
        <v>16864.721380499999</v>
      </c>
      <c r="F65" s="12"/>
      <c r="G65" s="12"/>
      <c r="H65" s="311">
        <v>8829.7652247227434</v>
      </c>
      <c r="I65" s="12"/>
      <c r="J65" s="12"/>
      <c r="K65" s="311">
        <v>0</v>
      </c>
      <c r="L65" s="14">
        <v>25694.486605222744</v>
      </c>
    </row>
    <row r="66" spans="1:13">
      <c r="A66" s="37" t="s">
        <v>1178</v>
      </c>
      <c r="B66" s="42">
        <v>123</v>
      </c>
      <c r="C66" s="307" t="s">
        <v>1179</v>
      </c>
      <c r="D66" s="311" t="s">
        <v>66</v>
      </c>
      <c r="E66" s="311"/>
      <c r="F66" s="12"/>
      <c r="G66" s="12"/>
      <c r="H66" s="311"/>
      <c r="I66" s="12"/>
      <c r="J66" s="12"/>
      <c r="K66" s="311"/>
      <c r="L66" s="14">
        <v>0</v>
      </c>
    </row>
    <row r="67" spans="1:13">
      <c r="A67" s="37" t="s">
        <v>1180</v>
      </c>
      <c r="B67" s="42">
        <v>124</v>
      </c>
      <c r="C67" s="307" t="s">
        <v>1181</v>
      </c>
      <c r="D67" s="311" t="s">
        <v>66</v>
      </c>
      <c r="E67" s="311"/>
      <c r="F67" s="12"/>
      <c r="G67" s="12"/>
      <c r="H67" s="311"/>
      <c r="I67" s="12"/>
      <c r="J67" s="12"/>
      <c r="K67" s="311"/>
      <c r="L67" s="14">
        <v>0</v>
      </c>
    </row>
    <row r="68" spans="1:13">
      <c r="A68" s="37" t="s">
        <v>1182</v>
      </c>
      <c r="B68" s="42">
        <v>125</v>
      </c>
      <c r="C68" s="309" t="s">
        <v>1183</v>
      </c>
      <c r="D68" s="311"/>
      <c r="E68" s="311"/>
      <c r="F68" s="12"/>
      <c r="G68" s="12"/>
      <c r="H68" s="311"/>
      <c r="I68" s="12"/>
      <c r="J68" s="12"/>
      <c r="K68" s="311"/>
      <c r="L68" s="14">
        <v>0</v>
      </c>
    </row>
    <row r="69" spans="1:13">
      <c r="A69" s="37" t="s">
        <v>1184</v>
      </c>
      <c r="B69" s="42">
        <v>126</v>
      </c>
      <c r="C69" s="309" t="s">
        <v>1185</v>
      </c>
      <c r="D69" s="311"/>
      <c r="E69" s="311"/>
      <c r="F69" s="12"/>
      <c r="G69" s="12"/>
      <c r="H69" s="311"/>
      <c r="I69" s="12"/>
      <c r="J69" s="12"/>
      <c r="K69" s="311"/>
      <c r="L69" s="14">
        <v>0</v>
      </c>
    </row>
    <row r="70" spans="1:13">
      <c r="A70" s="37" t="s">
        <v>1186</v>
      </c>
      <c r="B70" s="42">
        <v>127</v>
      </c>
      <c r="C70" s="309" t="s">
        <v>1187</v>
      </c>
      <c r="D70" s="311"/>
      <c r="E70" s="311"/>
      <c r="F70" s="12"/>
      <c r="G70" s="12"/>
      <c r="H70" s="311"/>
      <c r="I70" s="12"/>
      <c r="J70" s="12"/>
      <c r="K70" s="311"/>
      <c r="L70" s="14">
        <v>0</v>
      </c>
    </row>
    <row r="71" spans="1:13">
      <c r="A71" s="37" t="s">
        <v>1188</v>
      </c>
      <c r="B71" s="42">
        <v>128</v>
      </c>
      <c r="C71" s="309" t="s">
        <v>1189</v>
      </c>
      <c r="D71" s="311"/>
      <c r="E71" s="311"/>
      <c r="F71" s="12"/>
      <c r="G71" s="12"/>
      <c r="H71" s="311"/>
      <c r="I71" s="12"/>
      <c r="J71" s="12"/>
      <c r="K71" s="311"/>
      <c r="L71" s="14">
        <v>0</v>
      </c>
    </row>
    <row r="72" spans="1:13">
      <c r="A72" s="37" t="s">
        <v>1190</v>
      </c>
      <c r="B72" s="42">
        <v>129</v>
      </c>
      <c r="C72" s="309" t="s">
        <v>1191</v>
      </c>
      <c r="D72" s="311"/>
      <c r="E72" s="311"/>
      <c r="F72" s="12"/>
      <c r="G72" s="12"/>
      <c r="H72" s="311"/>
      <c r="I72" s="12"/>
      <c r="J72" s="12"/>
      <c r="K72" s="311"/>
      <c r="L72" s="14">
        <v>0</v>
      </c>
    </row>
    <row r="73" spans="1:13">
      <c r="A73" s="37" t="s">
        <v>1192</v>
      </c>
      <c r="B73" s="42">
        <v>130</v>
      </c>
      <c r="C73" s="309" t="s">
        <v>1193</v>
      </c>
      <c r="D73" s="311"/>
      <c r="E73" s="311"/>
      <c r="F73" s="12"/>
      <c r="G73" s="12"/>
      <c r="H73" s="311"/>
      <c r="I73" s="12"/>
      <c r="J73" s="12"/>
      <c r="K73" s="311"/>
      <c r="L73" s="14">
        <v>0</v>
      </c>
    </row>
    <row r="74" spans="1:13">
      <c r="A74" s="37" t="s">
        <v>1194</v>
      </c>
      <c r="B74" s="42">
        <v>131</v>
      </c>
      <c r="C74" s="309" t="s">
        <v>1195</v>
      </c>
      <c r="D74" s="311"/>
      <c r="E74" s="311"/>
      <c r="F74" s="12"/>
      <c r="G74" s="12"/>
      <c r="H74" s="311"/>
      <c r="I74" s="12"/>
      <c r="J74" s="12"/>
      <c r="K74" s="311"/>
      <c r="L74" s="14">
        <v>0</v>
      </c>
    </row>
    <row r="75" spans="1:13">
      <c r="A75" s="37" t="s">
        <v>1196</v>
      </c>
      <c r="B75" s="42">
        <v>132</v>
      </c>
      <c r="C75" s="309" t="s">
        <v>1197</v>
      </c>
      <c r="D75" s="311"/>
      <c r="E75" s="311"/>
      <c r="F75" s="12"/>
      <c r="G75" s="12"/>
      <c r="H75" s="311"/>
      <c r="I75" s="12"/>
      <c r="J75" s="12"/>
      <c r="K75" s="311"/>
      <c r="L75" s="14">
        <v>0</v>
      </c>
    </row>
    <row r="76" spans="1:13">
      <c r="A76" s="37" t="s">
        <v>1198</v>
      </c>
      <c r="B76" s="42">
        <v>133</v>
      </c>
      <c r="C76" s="310" t="s">
        <v>1199</v>
      </c>
      <c r="D76" s="311"/>
      <c r="E76" s="311"/>
      <c r="F76" s="12"/>
      <c r="G76" s="12"/>
      <c r="H76" s="311"/>
      <c r="I76" s="12"/>
      <c r="J76" s="12"/>
      <c r="K76" s="311"/>
      <c r="L76" s="14">
        <v>0</v>
      </c>
    </row>
    <row r="77" spans="1:13">
      <c r="A77" s="37" t="s">
        <v>1200</v>
      </c>
      <c r="B77" s="42">
        <v>134</v>
      </c>
      <c r="C77" s="159" t="s">
        <v>1201</v>
      </c>
      <c r="D77" s="311" t="s">
        <v>4</v>
      </c>
      <c r="E77" s="311">
        <v>1438.6354620000002</v>
      </c>
      <c r="F77" s="12"/>
      <c r="G77" s="12"/>
      <c r="H77" s="311">
        <v>6253.540341472275</v>
      </c>
      <c r="I77" s="12"/>
      <c r="J77" s="12"/>
      <c r="K77" s="311">
        <v>154.63603371565054</v>
      </c>
      <c r="L77" s="14">
        <v>7846.8118371879254</v>
      </c>
      <c r="M77" s="18">
        <v>18</v>
      </c>
    </row>
    <row r="78" spans="1:13">
      <c r="A78" s="37" t="s">
        <v>1202</v>
      </c>
      <c r="B78" s="42">
        <v>135</v>
      </c>
      <c r="C78" s="159" t="s">
        <v>1203</v>
      </c>
      <c r="D78" s="311" t="s">
        <v>4</v>
      </c>
      <c r="E78" s="311">
        <v>1167.4401310000001</v>
      </c>
      <c r="F78" s="12"/>
      <c r="G78" s="12"/>
      <c r="H78" s="311">
        <v>11674.843395835018</v>
      </c>
      <c r="I78" s="12"/>
      <c r="J78" s="12"/>
      <c r="K78" s="311">
        <v>412.84765324904424</v>
      </c>
      <c r="L78" s="14">
        <v>13255.131180084061</v>
      </c>
      <c r="M78" s="18">
        <v>9</v>
      </c>
    </row>
    <row r="79" spans="1:13">
      <c r="A79" s="37" t="s">
        <v>1204</v>
      </c>
      <c r="B79" s="42">
        <v>136</v>
      </c>
      <c r="C79" s="159" t="s">
        <v>1205</v>
      </c>
      <c r="D79" s="311" t="s">
        <v>4</v>
      </c>
      <c r="E79" s="311">
        <v>2552.4395160000004</v>
      </c>
      <c r="F79" s="12"/>
      <c r="G79" s="12"/>
      <c r="H79" s="311">
        <v>6729.8934467951285</v>
      </c>
      <c r="I79" s="12"/>
      <c r="J79" s="12"/>
      <c r="K79" s="311">
        <v>217.89034817365834</v>
      </c>
      <c r="L79" s="14">
        <v>9500.2233109687859</v>
      </c>
      <c r="M79" s="18">
        <v>14.5</v>
      </c>
    </row>
    <row r="80" spans="1:13">
      <c r="A80" s="37" t="s">
        <v>1206</v>
      </c>
      <c r="B80" s="42">
        <v>137</v>
      </c>
      <c r="C80" s="159" t="s">
        <v>1207</v>
      </c>
      <c r="D80" s="311" t="s">
        <v>4</v>
      </c>
      <c r="E80" s="311">
        <v>2322.5571895000003</v>
      </c>
      <c r="F80" s="12"/>
      <c r="G80" s="12"/>
      <c r="H80" s="311">
        <v>3755.6524113285986</v>
      </c>
      <c r="I80" s="12"/>
      <c r="J80" s="12"/>
      <c r="K80" s="311">
        <v>93.674384885486944</v>
      </c>
      <c r="L80" s="14">
        <v>6171.8839857140856</v>
      </c>
      <c r="M80" s="18">
        <v>20</v>
      </c>
    </row>
    <row r="81" spans="1:13">
      <c r="A81" s="37" t="s">
        <v>1208</v>
      </c>
      <c r="B81" s="42">
        <v>138</v>
      </c>
      <c r="C81" s="309" t="s">
        <v>1209</v>
      </c>
      <c r="D81" s="311"/>
      <c r="E81" s="311"/>
      <c r="F81" s="12"/>
      <c r="G81" s="12"/>
      <c r="H81" s="311"/>
      <c r="I81" s="12"/>
      <c r="J81" s="12"/>
      <c r="K81" s="311"/>
      <c r="L81" s="14"/>
    </row>
    <row r="82" spans="1:13">
      <c r="A82" s="37" t="s">
        <v>1210</v>
      </c>
      <c r="B82" s="42">
        <v>139</v>
      </c>
      <c r="C82" s="159" t="s">
        <v>1211</v>
      </c>
      <c r="D82" s="311"/>
      <c r="E82" s="311"/>
      <c r="F82" s="12"/>
      <c r="G82" s="12"/>
      <c r="H82" s="311"/>
      <c r="I82" s="12"/>
      <c r="J82" s="12"/>
      <c r="K82" s="311"/>
      <c r="L82" s="14"/>
    </row>
    <row r="83" spans="1:13">
      <c r="A83" s="37" t="s">
        <v>1212</v>
      </c>
      <c r="B83" s="42">
        <v>140</v>
      </c>
      <c r="C83" s="307" t="s">
        <v>1213</v>
      </c>
      <c r="D83" s="311"/>
      <c r="E83" s="311"/>
      <c r="F83" s="12"/>
      <c r="G83" s="12"/>
      <c r="H83" s="311"/>
      <c r="I83" s="12"/>
      <c r="J83" s="12"/>
      <c r="K83" s="311"/>
      <c r="L83" s="14"/>
    </row>
    <row r="84" spans="1:13">
      <c r="A84" s="37" t="s">
        <v>1214</v>
      </c>
      <c r="B84" s="42">
        <v>141</v>
      </c>
      <c r="C84" s="307" t="s">
        <v>1215</v>
      </c>
      <c r="D84" s="311"/>
      <c r="E84" s="311"/>
      <c r="F84" s="12"/>
      <c r="G84" s="12"/>
      <c r="H84" s="311"/>
      <c r="I84" s="12"/>
      <c r="J84" s="12"/>
      <c r="K84" s="311"/>
      <c r="L84" s="14"/>
    </row>
    <row r="85" spans="1:13">
      <c r="A85" s="37" t="s">
        <v>1216</v>
      </c>
      <c r="B85" s="42">
        <v>142</v>
      </c>
      <c r="C85" s="307" t="s">
        <v>1151</v>
      </c>
      <c r="D85" s="311"/>
      <c r="E85" s="311"/>
      <c r="F85" s="12"/>
      <c r="G85" s="12"/>
      <c r="H85" s="311"/>
      <c r="I85" s="12"/>
      <c r="J85" s="12"/>
      <c r="K85" s="311"/>
      <c r="L85" s="14"/>
    </row>
    <row r="86" spans="1:13">
      <c r="A86" s="37" t="s">
        <v>1217</v>
      </c>
      <c r="B86" s="42">
        <v>143</v>
      </c>
      <c r="C86" s="307" t="s">
        <v>1218</v>
      </c>
      <c r="D86" s="311"/>
      <c r="E86" s="311"/>
      <c r="F86" s="12"/>
      <c r="G86" s="12"/>
      <c r="H86" s="311"/>
      <c r="I86" s="12"/>
      <c r="J86" s="12"/>
      <c r="K86" s="311"/>
      <c r="L86" s="14"/>
    </row>
    <row r="87" spans="1:13">
      <c r="A87" s="37" t="s">
        <v>1219</v>
      </c>
      <c r="B87" s="42">
        <v>144</v>
      </c>
      <c r="C87" s="307" t="s">
        <v>1220</v>
      </c>
      <c r="D87" s="311"/>
      <c r="E87" s="311"/>
      <c r="F87" s="12"/>
      <c r="G87" s="12"/>
      <c r="H87" s="311"/>
      <c r="I87" s="12"/>
      <c r="J87" s="12"/>
      <c r="K87" s="311"/>
      <c r="L87" s="14"/>
    </row>
    <row r="88" spans="1:13">
      <c r="A88" s="37" t="s">
        <v>1221</v>
      </c>
      <c r="B88" s="42">
        <v>145</v>
      </c>
      <c r="C88" s="307" t="s">
        <v>1222</v>
      </c>
      <c r="D88" s="311"/>
      <c r="E88" s="311"/>
      <c r="F88" s="12"/>
      <c r="G88" s="12"/>
      <c r="H88" s="311"/>
      <c r="I88" s="12"/>
      <c r="J88" s="12"/>
      <c r="K88" s="311"/>
      <c r="L88" s="14"/>
    </row>
    <row r="89" spans="1:13">
      <c r="A89" s="312" t="s">
        <v>1223</v>
      </c>
      <c r="B89" s="294">
        <v>146</v>
      </c>
      <c r="C89" s="308" t="s">
        <v>1224</v>
      </c>
      <c r="D89" s="293" t="s">
        <v>4</v>
      </c>
      <c r="E89" s="293">
        <v>2180.3602315000003</v>
      </c>
      <c r="F89" s="13"/>
      <c r="G89" s="13"/>
      <c r="H89" s="293">
        <v>3004.5219290628793</v>
      </c>
      <c r="I89" s="13"/>
      <c r="J89" s="13"/>
      <c r="K89" s="293">
        <v>74.939507908389544</v>
      </c>
      <c r="L89" s="460">
        <v>5259.8216684712697</v>
      </c>
      <c r="M89" s="18">
        <v>25</v>
      </c>
    </row>
  </sheetData>
  <autoFilter ref="A10:L89" xr:uid="{00000000-0001-0000-0B00-000000000000}"/>
  <mergeCells count="3">
    <mergeCell ref="C5:E5"/>
    <mergeCell ref="C7:E7"/>
    <mergeCell ref="E8:K8"/>
  </mergeCells>
  <phoneticPr fontId="94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M153"/>
  <sheetViews>
    <sheetView workbookViewId="0">
      <selection activeCell="B4" sqref="B4:B7"/>
    </sheetView>
  </sheetViews>
  <sheetFormatPr defaultColWidth="11.54296875" defaultRowHeight="13"/>
  <cols>
    <col min="1" max="1" width="16.26953125" style="26" bestFit="1" customWidth="1"/>
    <col min="2" max="2" width="12.7265625" style="26" bestFit="1" customWidth="1"/>
    <col min="3" max="3" width="14.26953125" style="26" bestFit="1" customWidth="1"/>
    <col min="4" max="4" width="11.81640625" style="26" bestFit="1" customWidth="1"/>
    <col min="5" max="5" width="14" style="26" bestFit="1" customWidth="1"/>
    <col min="6" max="6" width="14.26953125" style="26" bestFit="1" customWidth="1"/>
    <col min="7" max="8" width="13.453125" style="26" bestFit="1" customWidth="1"/>
    <col min="9" max="9" width="12.81640625" style="26" bestFit="1" customWidth="1"/>
    <col min="10" max="10" width="16.54296875" style="26" customWidth="1"/>
    <col min="11" max="11" width="19" style="26" customWidth="1"/>
    <col min="12" max="13" width="11.54296875" style="26"/>
    <col min="14" max="14" width="14.54296875" style="26" bestFit="1" customWidth="1"/>
    <col min="15" max="16384" width="11.54296875" style="26"/>
  </cols>
  <sheetData>
    <row r="1" spans="1:13">
      <c r="A1" s="105" t="s">
        <v>1059</v>
      </c>
      <c r="B1" s="602">
        <v>45536</v>
      </c>
      <c r="C1" s="603"/>
      <c r="D1" s="604"/>
      <c r="E1" s="104"/>
      <c r="F1" s="127" t="s">
        <v>1060</v>
      </c>
      <c r="G1" s="104"/>
      <c r="H1" s="108"/>
      <c r="I1" s="35"/>
      <c r="M1" s="33"/>
    </row>
    <row r="2" spans="1:13">
      <c r="A2" s="104"/>
      <c r="B2" s="104"/>
      <c r="C2" s="104"/>
      <c r="D2" s="104"/>
      <c r="E2" s="104"/>
      <c r="F2" s="104"/>
      <c r="G2" s="104"/>
      <c r="H2" s="108"/>
      <c r="I2" s="35"/>
      <c r="M2" s="33"/>
    </row>
    <row r="3" spans="1:13">
      <c r="A3" s="230" t="s">
        <v>1061</v>
      </c>
      <c r="B3" s="231" t="s">
        <v>1062</v>
      </c>
      <c r="C3" s="231" t="s">
        <v>1063</v>
      </c>
      <c r="D3" s="231" t="s">
        <v>1064</v>
      </c>
      <c r="E3" s="231" t="s">
        <v>1065</v>
      </c>
      <c r="F3" s="231" t="s">
        <v>1066</v>
      </c>
      <c r="G3" s="231" t="s">
        <v>1067</v>
      </c>
      <c r="H3" s="108"/>
      <c r="I3" s="35"/>
      <c r="M3" s="33"/>
    </row>
    <row r="4" spans="1:13">
      <c r="A4" s="232" t="s">
        <v>1068</v>
      </c>
      <c r="B4" s="125">
        <v>75113.048226571977</v>
      </c>
      <c r="C4" s="125">
        <v>1802713.1574377273</v>
      </c>
      <c r="D4" s="125">
        <v>9389.1310283214971</v>
      </c>
      <c r="E4" s="305">
        <v>1.1751660152929575</v>
      </c>
      <c r="F4" s="306">
        <v>47000</v>
      </c>
      <c r="G4" s="306">
        <v>3946</v>
      </c>
      <c r="H4" s="109">
        <v>31568</v>
      </c>
      <c r="I4" s="35"/>
      <c r="M4" s="33"/>
    </row>
    <row r="5" spans="1:13">
      <c r="A5" s="126" t="s">
        <v>1069</v>
      </c>
      <c r="B5" s="125">
        <v>65360.248306571972</v>
      </c>
      <c r="C5" s="125">
        <v>1568645.9593577273</v>
      </c>
      <c r="D5" s="125">
        <v>8170.0310383214965</v>
      </c>
      <c r="E5" s="305">
        <v>1.0957160526201257</v>
      </c>
      <c r="F5" s="306">
        <v>39000</v>
      </c>
      <c r="G5" s="306">
        <v>3362</v>
      </c>
      <c r="H5" s="109">
        <v>26896</v>
      </c>
      <c r="I5" s="35"/>
      <c r="M5" s="33"/>
    </row>
    <row r="6" spans="1:13">
      <c r="A6" s="126" t="s">
        <v>1070</v>
      </c>
      <c r="B6" s="125">
        <v>54784.071766571964</v>
      </c>
      <c r="C6" s="125">
        <v>1314817.7223977272</v>
      </c>
      <c r="D6" s="125">
        <v>6848.0089708214955</v>
      </c>
      <c r="E6" s="305">
        <v>1.0656136457784047</v>
      </c>
      <c r="F6" s="306">
        <v>31500</v>
      </c>
      <c r="G6" s="306">
        <v>3100</v>
      </c>
      <c r="H6" s="109">
        <v>24800</v>
      </c>
      <c r="I6" s="35"/>
      <c r="M6" s="33"/>
    </row>
    <row r="7" spans="1:13">
      <c r="A7" s="106" t="s">
        <v>1071</v>
      </c>
      <c r="B7" s="125">
        <v>49934.237226571968</v>
      </c>
      <c r="C7" s="125">
        <v>1198421.6934377272</v>
      </c>
      <c r="D7" s="125">
        <v>6241.779653321496</v>
      </c>
      <c r="E7" s="305">
        <v>1.0478054515322239</v>
      </c>
      <c r="F7" s="306">
        <v>28100</v>
      </c>
      <c r="G7" s="306">
        <v>2846</v>
      </c>
      <c r="H7" s="109">
        <v>22768</v>
      </c>
      <c r="I7" s="35"/>
      <c r="M7" s="33"/>
    </row>
    <row r="8" spans="1:13">
      <c r="A8" s="104"/>
      <c r="B8" s="125"/>
      <c r="C8" s="125"/>
      <c r="D8" s="125"/>
      <c r="E8" s="104"/>
      <c r="F8" s="197"/>
      <c r="G8" s="104"/>
      <c r="H8" s="108"/>
      <c r="I8" s="35"/>
      <c r="M8" s="33"/>
    </row>
    <row r="9" spans="1:13">
      <c r="A9" s="233" t="s">
        <v>1072</v>
      </c>
      <c r="B9" s="125">
        <v>117225.481</v>
      </c>
      <c r="C9" s="125">
        <v>2578960.5819999999</v>
      </c>
      <c r="D9" s="125">
        <v>14653.185125</v>
      </c>
      <c r="E9" s="234"/>
      <c r="F9" s="125">
        <v>1800000</v>
      </c>
      <c r="G9" s="104"/>
      <c r="H9" s="108"/>
      <c r="I9" s="35"/>
      <c r="M9" s="33"/>
    </row>
    <row r="10" spans="1:13">
      <c r="A10" s="198" t="s">
        <v>1073</v>
      </c>
      <c r="B10" s="125">
        <v>172653.20827272726</v>
      </c>
      <c r="C10" s="125">
        <v>3798370.5819999999</v>
      </c>
      <c r="D10" s="125">
        <v>21581.651034090908</v>
      </c>
      <c r="E10" s="199"/>
      <c r="F10" s="125">
        <v>2650000</v>
      </c>
      <c r="G10" s="104"/>
      <c r="H10" s="108"/>
      <c r="I10" s="35"/>
      <c r="M10" s="33"/>
    </row>
    <row r="11" spans="1:13">
      <c r="A11" s="198" t="s">
        <v>1074</v>
      </c>
      <c r="B11" s="125">
        <v>212743.82272727272</v>
      </c>
      <c r="C11" s="125">
        <v>4680364.0999999996</v>
      </c>
      <c r="D11" s="125">
        <v>26592.97784090909</v>
      </c>
      <c r="E11" s="199"/>
      <c r="F11" s="125">
        <v>3550000</v>
      </c>
      <c r="G11" s="104"/>
      <c r="H11" s="108"/>
      <c r="I11" s="35"/>
      <c r="M11" s="33"/>
    </row>
    <row r="12" spans="1:13">
      <c r="A12" s="200" t="s">
        <v>1075</v>
      </c>
      <c r="B12" s="125">
        <v>131457.37318719694</v>
      </c>
      <c r="C12" s="125">
        <v>3154976.9564927267</v>
      </c>
      <c r="D12" s="125">
        <v>16432.171648399617</v>
      </c>
      <c r="E12" s="201"/>
      <c r="F12" s="125">
        <v>2300000</v>
      </c>
      <c r="G12" s="125">
        <v>3946</v>
      </c>
      <c r="H12" s="108"/>
      <c r="I12" s="35"/>
      <c r="M12" s="33"/>
    </row>
    <row r="13" spans="1:13">
      <c r="A13" s="36"/>
      <c r="I13" s="35"/>
      <c r="M13" s="33"/>
    </row>
    <row r="14" spans="1:13">
      <c r="E14" s="30"/>
      <c r="K14" s="29"/>
      <c r="L14" s="29"/>
    </row>
    <row r="15" spans="1:13" ht="15" customHeight="1">
      <c r="K15" s="28"/>
      <c r="L15" s="27"/>
    </row>
    <row r="16" spans="1:13" ht="15" customHeight="1">
      <c r="K16" s="28"/>
      <c r="L16" s="27"/>
    </row>
    <row r="17" spans="11:12">
      <c r="K17" s="28"/>
      <c r="L17" s="27"/>
    </row>
    <row r="18" spans="11:12">
      <c r="K18" s="28"/>
      <c r="L18" s="27"/>
    </row>
    <row r="19" spans="11:12">
      <c r="K19" s="29"/>
      <c r="L19" s="29"/>
    </row>
    <row r="20" spans="11:12">
      <c r="K20" s="28"/>
      <c r="L20" s="27"/>
    </row>
    <row r="21" spans="11:12">
      <c r="K21" s="28"/>
      <c r="L21" s="27"/>
    </row>
    <row r="22" spans="11:12">
      <c r="K22" s="28"/>
      <c r="L22" s="27"/>
    </row>
    <row r="23" spans="11:12">
      <c r="K23" s="28"/>
      <c r="L23" s="27"/>
    </row>
    <row r="24" spans="11:12">
      <c r="K24" s="28"/>
      <c r="L24" s="27"/>
    </row>
    <row r="25" spans="11:12">
      <c r="K25" s="29"/>
      <c r="L25" s="29"/>
    </row>
    <row r="26" spans="11:12">
      <c r="K26" s="28"/>
      <c r="L26" s="27"/>
    </row>
    <row r="27" spans="11:12">
      <c r="K27" s="28"/>
      <c r="L27" s="27"/>
    </row>
    <row r="28" spans="11:12">
      <c r="K28" s="28"/>
      <c r="L28" s="27"/>
    </row>
    <row r="29" spans="11:12">
      <c r="K29" s="28"/>
      <c r="L29" s="27"/>
    </row>
    <row r="30" spans="11:12">
      <c r="K30" s="28"/>
      <c r="L30" s="27"/>
    </row>
    <row r="31" spans="11:12">
      <c r="K31" s="28"/>
      <c r="L31" s="27"/>
    </row>
    <row r="32" spans="11:12">
      <c r="K32" s="29"/>
      <c r="L32" s="29"/>
    </row>
    <row r="33" spans="11:12" ht="15" customHeight="1">
      <c r="K33" s="28"/>
      <c r="L33" s="27"/>
    </row>
    <row r="34" spans="11:12" ht="15" customHeight="1">
      <c r="K34" s="28"/>
      <c r="L34" s="27"/>
    </row>
    <row r="35" spans="11:12" ht="15" customHeight="1">
      <c r="K35" s="28"/>
      <c r="L35" s="27"/>
    </row>
    <row r="36" spans="11:12">
      <c r="K36" s="28"/>
      <c r="L36" s="27"/>
    </row>
    <row r="37" spans="11:12">
      <c r="K37" s="28"/>
      <c r="L37" s="27"/>
    </row>
    <row r="38" spans="11:12">
      <c r="K38" s="28"/>
      <c r="L38" s="27"/>
    </row>
    <row r="39" spans="11:12">
      <c r="K39" s="28"/>
      <c r="L39" s="27"/>
    </row>
    <row r="40" spans="11:12">
      <c r="K40" s="28"/>
      <c r="L40" s="27"/>
    </row>
    <row r="41" spans="11:12">
      <c r="K41" s="29"/>
      <c r="L41" s="29"/>
    </row>
    <row r="42" spans="11:12">
      <c r="K42" s="28"/>
      <c r="L42" s="27"/>
    </row>
    <row r="43" spans="11:12">
      <c r="K43" s="28"/>
      <c r="L43" s="27"/>
    </row>
    <row r="44" spans="11:12">
      <c r="K44" s="28"/>
      <c r="L44" s="27"/>
    </row>
    <row r="45" spans="11:12">
      <c r="K45" s="28"/>
      <c r="L45" s="27"/>
    </row>
    <row r="46" spans="11:12">
      <c r="K46" s="29"/>
      <c r="L46" s="29"/>
    </row>
    <row r="47" spans="11:12">
      <c r="K47" s="28"/>
      <c r="L47" s="27"/>
    </row>
    <row r="48" spans="11:12">
      <c r="K48" s="28"/>
      <c r="L48" s="27"/>
    </row>
    <row r="49" spans="11:12">
      <c r="K49" s="28"/>
      <c r="L49" s="27"/>
    </row>
    <row r="50" spans="11:12">
      <c r="K50" s="28"/>
      <c r="L50" s="27"/>
    </row>
    <row r="51" spans="11:12">
      <c r="K51" s="28"/>
      <c r="L51" s="27"/>
    </row>
    <row r="52" spans="11:12">
      <c r="K52" s="28"/>
      <c r="L52" s="27"/>
    </row>
    <row r="53" spans="11:12">
      <c r="K53" s="28"/>
      <c r="L53" s="27"/>
    </row>
    <row r="54" spans="11:12">
      <c r="K54" s="29"/>
      <c r="L54" s="29"/>
    </row>
    <row r="55" spans="11:12" ht="15" customHeight="1">
      <c r="K55" s="28"/>
      <c r="L55" s="27"/>
    </row>
    <row r="56" spans="11:12">
      <c r="K56" s="28"/>
      <c r="L56" s="27"/>
    </row>
    <row r="57" spans="11:12" ht="18.75" customHeight="1">
      <c r="K57" s="28"/>
      <c r="L57" s="27"/>
    </row>
    <row r="58" spans="11:12">
      <c r="K58" s="28"/>
      <c r="L58" s="27"/>
    </row>
    <row r="59" spans="11:12">
      <c r="K59" s="28"/>
      <c r="L59" s="27"/>
    </row>
    <row r="60" spans="11:12">
      <c r="K60" s="28"/>
      <c r="L60" s="27"/>
    </row>
    <row r="61" spans="11:12">
      <c r="K61" s="28"/>
      <c r="L61" s="27"/>
    </row>
    <row r="62" spans="11:12" ht="15" customHeight="1">
      <c r="K62" s="28"/>
      <c r="L62" s="27"/>
    </row>
    <row r="63" spans="11:12">
      <c r="K63" s="29"/>
      <c r="L63" s="29"/>
    </row>
    <row r="64" spans="11:12">
      <c r="K64" s="28"/>
      <c r="L64" s="27"/>
    </row>
    <row r="65" spans="11:12">
      <c r="K65" s="28"/>
      <c r="L65" s="27"/>
    </row>
    <row r="66" spans="11:12">
      <c r="K66" s="28"/>
      <c r="L66" s="27"/>
    </row>
    <row r="67" spans="11:12">
      <c r="K67" s="28"/>
      <c r="L67" s="27"/>
    </row>
    <row r="68" spans="11:12">
      <c r="K68" s="28"/>
      <c r="L68" s="27"/>
    </row>
    <row r="69" spans="11:12">
      <c r="K69" s="28"/>
      <c r="L69" s="27"/>
    </row>
    <row r="70" spans="11:12">
      <c r="K70" s="28"/>
      <c r="L70" s="27"/>
    </row>
    <row r="71" spans="11:12">
      <c r="K71" s="28"/>
      <c r="L71" s="27"/>
    </row>
    <row r="72" spans="11:12">
      <c r="K72" s="28"/>
      <c r="L72" s="27"/>
    </row>
    <row r="73" spans="11:12">
      <c r="K73" s="28"/>
      <c r="L73" s="27"/>
    </row>
    <row r="74" spans="11:12">
      <c r="K74" s="28"/>
      <c r="L74" s="27"/>
    </row>
    <row r="75" spans="11:12">
      <c r="K75" s="29"/>
      <c r="L75" s="29"/>
    </row>
    <row r="76" spans="11:12">
      <c r="K76" s="28"/>
      <c r="L76" s="27"/>
    </row>
    <row r="77" spans="11:12">
      <c r="K77" s="28"/>
      <c r="L77" s="27"/>
    </row>
    <row r="78" spans="11:12">
      <c r="K78" s="28"/>
      <c r="L78" s="27"/>
    </row>
    <row r="79" spans="11:12">
      <c r="K79" s="28"/>
      <c r="L79" s="27"/>
    </row>
    <row r="80" spans="11:12">
      <c r="K80" s="28"/>
      <c r="L80" s="27"/>
    </row>
    <row r="81" spans="11:12">
      <c r="K81" s="28"/>
      <c r="L81" s="27"/>
    </row>
    <row r="82" spans="11:12">
      <c r="K82" s="28"/>
      <c r="L82" s="27"/>
    </row>
    <row r="83" spans="11:12">
      <c r="K83" s="28"/>
      <c r="L83" s="27"/>
    </row>
    <row r="84" spans="11:12">
      <c r="K84" s="28"/>
      <c r="L84" s="27"/>
    </row>
    <row r="85" spans="11:12">
      <c r="K85" s="28"/>
      <c r="L85" s="27"/>
    </row>
    <row r="86" spans="11:12">
      <c r="K86" s="28"/>
      <c r="L86" s="27"/>
    </row>
    <row r="87" spans="11:12">
      <c r="K87" s="28"/>
      <c r="L87" s="27"/>
    </row>
    <row r="88" spans="11:12">
      <c r="K88" s="28"/>
      <c r="L88" s="27"/>
    </row>
    <row r="89" spans="11:12">
      <c r="K89" s="28"/>
      <c r="L89" s="27"/>
    </row>
    <row r="90" spans="11:12">
      <c r="K90" s="28"/>
      <c r="L90" s="27"/>
    </row>
    <row r="91" spans="11:12">
      <c r="K91" s="28"/>
      <c r="L91" s="27"/>
    </row>
    <row r="92" spans="11:12">
      <c r="K92" s="28"/>
      <c r="L92" s="27"/>
    </row>
    <row r="93" spans="11:12">
      <c r="K93" s="28"/>
      <c r="L93" s="27"/>
    </row>
    <row r="94" spans="11:12">
      <c r="K94" s="28"/>
      <c r="L94" s="27"/>
    </row>
    <row r="95" spans="11:12">
      <c r="K95" s="29"/>
      <c r="L95" s="29"/>
    </row>
    <row r="96" spans="11:12">
      <c r="K96" s="28"/>
      <c r="L96" s="27"/>
    </row>
    <row r="97" spans="11:12">
      <c r="K97" s="28"/>
      <c r="L97" s="27"/>
    </row>
    <row r="98" spans="11:12">
      <c r="K98" s="28"/>
      <c r="L98" s="27"/>
    </row>
    <row r="99" spans="11:12">
      <c r="K99" s="28"/>
      <c r="L99" s="27"/>
    </row>
    <row r="100" spans="11:12">
      <c r="K100" s="28"/>
      <c r="L100" s="27"/>
    </row>
    <row r="101" spans="11:12">
      <c r="K101" s="28"/>
      <c r="L101" s="27"/>
    </row>
    <row r="102" spans="11:12">
      <c r="K102" s="28"/>
      <c r="L102" s="27"/>
    </row>
    <row r="103" spans="11:12">
      <c r="K103" s="29"/>
      <c r="L103" s="29"/>
    </row>
    <row r="104" spans="11:12">
      <c r="K104" s="28"/>
      <c r="L104" s="27"/>
    </row>
    <row r="105" spans="11:12">
      <c r="K105" s="28"/>
      <c r="L105" s="27"/>
    </row>
    <row r="106" spans="11:12">
      <c r="K106" s="28"/>
      <c r="L106" s="27"/>
    </row>
    <row r="107" spans="11:12">
      <c r="K107" s="28"/>
      <c r="L107" s="27"/>
    </row>
    <row r="108" spans="11:12">
      <c r="K108" s="29"/>
      <c r="L108" s="29"/>
    </row>
    <row r="109" spans="11:12">
      <c r="K109" s="28"/>
      <c r="L109" s="27"/>
    </row>
    <row r="110" spans="11:12">
      <c r="K110" s="28"/>
      <c r="L110" s="27"/>
    </row>
    <row r="111" spans="11:12">
      <c r="K111" s="29"/>
      <c r="L111" s="29"/>
    </row>
    <row r="112" spans="11:12">
      <c r="K112" s="28"/>
      <c r="L112" s="27"/>
    </row>
    <row r="113" spans="11:12">
      <c r="K113" s="28"/>
      <c r="L113" s="27"/>
    </row>
    <row r="114" spans="11:12">
      <c r="K114" s="28"/>
      <c r="L114" s="27"/>
    </row>
    <row r="115" spans="11:12">
      <c r="K115" s="28"/>
      <c r="L115" s="27"/>
    </row>
    <row r="116" spans="11:12">
      <c r="K116" s="28"/>
      <c r="L116" s="27"/>
    </row>
    <row r="117" spans="11:12">
      <c r="K117" s="29"/>
      <c r="L117" s="29"/>
    </row>
    <row r="118" spans="11:12">
      <c r="K118" s="28"/>
      <c r="L118" s="27"/>
    </row>
    <row r="119" spans="11:12">
      <c r="K119" s="28"/>
      <c r="L119" s="27"/>
    </row>
    <row r="120" spans="11:12">
      <c r="K120" s="28"/>
      <c r="L120" s="27"/>
    </row>
    <row r="121" spans="11:12">
      <c r="K121" s="28"/>
      <c r="L121" s="27"/>
    </row>
    <row r="122" spans="11:12">
      <c r="K122" s="28"/>
      <c r="L122" s="27"/>
    </row>
    <row r="123" spans="11:12">
      <c r="K123" s="28"/>
      <c r="L123" s="27"/>
    </row>
    <row r="124" spans="11:12">
      <c r="K124" s="28"/>
      <c r="L124" s="27"/>
    </row>
    <row r="125" spans="11:12">
      <c r="K125" s="28"/>
      <c r="L125" s="27"/>
    </row>
    <row r="126" spans="11:12">
      <c r="K126" s="28"/>
      <c r="L126" s="27"/>
    </row>
    <row r="127" spans="11:12">
      <c r="K127" s="28"/>
      <c r="L127" s="27"/>
    </row>
    <row r="128" spans="11:12">
      <c r="K128" s="28"/>
      <c r="L128" s="27"/>
    </row>
    <row r="129" spans="11:12">
      <c r="K129" s="29"/>
      <c r="L129" s="29"/>
    </row>
    <row r="130" spans="11:12">
      <c r="K130" s="28"/>
      <c r="L130" s="27"/>
    </row>
    <row r="131" spans="11:12">
      <c r="K131" s="28"/>
      <c r="L131" s="27"/>
    </row>
    <row r="132" spans="11:12">
      <c r="K132" s="28"/>
      <c r="L132" s="27"/>
    </row>
    <row r="133" spans="11:12">
      <c r="K133" s="28"/>
      <c r="L133" s="27"/>
    </row>
    <row r="134" spans="11:12">
      <c r="K134" s="28"/>
      <c r="L134" s="27"/>
    </row>
    <row r="135" spans="11:12">
      <c r="K135" s="28"/>
      <c r="L135" s="27"/>
    </row>
    <row r="136" spans="11:12">
      <c r="K136" s="28"/>
      <c r="L136" s="27"/>
    </row>
    <row r="137" spans="11:12">
      <c r="K137" s="28"/>
      <c r="L137" s="27"/>
    </row>
    <row r="138" spans="11:12">
      <c r="K138" s="28"/>
      <c r="L138" s="27"/>
    </row>
    <row r="139" spans="11:12">
      <c r="K139" s="28"/>
      <c r="L139" s="27"/>
    </row>
    <row r="140" spans="11:12">
      <c r="K140" s="28"/>
      <c r="L140" s="27"/>
    </row>
    <row r="141" spans="11:12">
      <c r="K141" s="28"/>
      <c r="L141" s="27"/>
    </row>
    <row r="142" spans="11:12">
      <c r="K142" s="28"/>
      <c r="L142" s="27"/>
    </row>
    <row r="143" spans="11:12">
      <c r="K143" s="28"/>
      <c r="L143" s="27"/>
    </row>
    <row r="144" spans="11:12">
      <c r="K144" s="28"/>
      <c r="L144" s="27"/>
    </row>
    <row r="145" spans="11:12">
      <c r="K145" s="28"/>
      <c r="L145" s="27"/>
    </row>
    <row r="146" spans="11:12">
      <c r="K146" s="29"/>
      <c r="L146" s="29"/>
    </row>
    <row r="147" spans="11:12">
      <c r="K147" s="28"/>
      <c r="L147" s="27"/>
    </row>
    <row r="148" spans="11:12">
      <c r="K148" s="28"/>
      <c r="L148" s="27"/>
    </row>
    <row r="149" spans="11:12">
      <c r="K149" s="28"/>
      <c r="L149" s="27"/>
    </row>
    <row r="150" spans="11:12">
      <c r="K150" s="29"/>
      <c r="L150" s="29"/>
    </row>
    <row r="151" spans="11:12">
      <c r="K151" s="28"/>
      <c r="L151" s="27"/>
    </row>
    <row r="152" spans="11:12">
      <c r="K152" s="28"/>
      <c r="L152" s="27"/>
    </row>
    <row r="153" spans="11:12">
      <c r="K153" s="28"/>
      <c r="L153" s="27"/>
    </row>
  </sheetData>
  <pageMargins left="0.43307086614173229" right="0.27559055118110237" top="0.74803149606299213" bottom="0.74803149606299213" header="0.31496062992125984" footer="0.31496062992125984"/>
  <pageSetup paperSize="9" scale="95" orientation="portrait" r:id="rId1"/>
  <rowBreaks count="1" manualBreakCount="1">
    <brk id="94" max="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239C-D2FD-47DE-9A8D-48D2DF5F63B4}">
  <sheetPr>
    <tabColor rgb="FF92D050"/>
  </sheetPr>
  <dimension ref="A1:X275"/>
  <sheetViews>
    <sheetView topLeftCell="A39" workbookViewId="0">
      <selection activeCell="E51" sqref="E51"/>
    </sheetView>
  </sheetViews>
  <sheetFormatPr defaultColWidth="11.453125" defaultRowHeight="14" thickTop="1" thickBottom="1" outlineLevelCol="1"/>
  <cols>
    <col min="1" max="1" width="39.81640625" style="149" bestFit="1" customWidth="1"/>
    <col min="2" max="2" width="13.7265625" style="149" customWidth="1" outlineLevel="1"/>
    <col min="3" max="4" width="12.7265625" style="149" customWidth="1" outlineLevel="1"/>
    <col min="5" max="5" width="17.7265625" style="149" customWidth="1" outlineLevel="1"/>
    <col min="6" max="6" width="16.453125" style="149" customWidth="1" outlineLevel="1"/>
    <col min="7" max="7" width="9.26953125" style="149" customWidth="1" outlineLevel="1"/>
    <col min="8" max="8" width="11.7265625" style="149" customWidth="1" outlineLevel="1"/>
    <col min="9" max="9" width="15.81640625" style="149" customWidth="1" outlineLevel="1"/>
    <col min="10" max="10" width="14.453125" style="149" customWidth="1" outlineLevel="1"/>
    <col min="11" max="11" width="11" style="149" customWidth="1" outlineLevel="1"/>
    <col min="12" max="12" width="9.453125" style="149" customWidth="1" outlineLevel="1"/>
    <col min="13" max="13" width="14.7265625" style="149" bestFit="1" customWidth="1"/>
    <col min="14" max="14" width="9.26953125" style="149" customWidth="1"/>
    <col min="15" max="15" width="20.54296875" style="148" bestFit="1" customWidth="1"/>
    <col min="16" max="17" width="11.453125" style="148"/>
    <col min="18" max="18" width="16.54296875" style="148" bestFit="1" customWidth="1"/>
    <col min="19" max="19" width="12.453125" style="148" bestFit="1" customWidth="1"/>
    <col min="20" max="20" width="15.7265625" style="148" bestFit="1" customWidth="1"/>
    <col min="21" max="21" width="16.453125" style="148" bestFit="1" customWidth="1"/>
    <col min="22" max="22" width="13.7265625" style="148" bestFit="1" customWidth="1"/>
    <col min="23" max="23" width="14.453125" style="148" bestFit="1" customWidth="1"/>
    <col min="24" max="24" width="14.453125" style="149" bestFit="1" customWidth="1"/>
    <col min="25" max="16384" width="11.453125" style="149"/>
  </cols>
  <sheetData>
    <row r="1" spans="1:24" ht="16" thickBot="1">
      <c r="A1" s="301" t="s">
        <v>1230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3"/>
      <c r="N1" s="303"/>
    </row>
    <row r="2" spans="1:24" thickTop="1" thickBot="1">
      <c r="A2" s="614" t="s">
        <v>1231</v>
      </c>
      <c r="B2" s="613" t="s">
        <v>1769</v>
      </c>
      <c r="C2" s="304"/>
      <c r="D2" s="304"/>
      <c r="E2" s="304"/>
      <c r="F2" s="304"/>
      <c r="G2" s="304"/>
      <c r="H2" s="304"/>
      <c r="I2" s="304"/>
      <c r="J2" s="304"/>
      <c r="K2" s="304"/>
      <c r="L2" s="150"/>
      <c r="M2" s="150"/>
      <c r="N2" s="147"/>
      <c r="T2" s="148">
        <v>1.08</v>
      </c>
    </row>
    <row r="3" spans="1:24" thickTop="1" thickBot="1">
      <c r="A3" s="635"/>
      <c r="B3" s="281" t="s">
        <v>1232</v>
      </c>
      <c r="C3" s="869" t="s">
        <v>1233</v>
      </c>
      <c r="D3" s="870" t="s">
        <v>1773</v>
      </c>
      <c r="E3" s="870" t="s">
        <v>1234</v>
      </c>
      <c r="F3" s="870" t="s">
        <v>1235</v>
      </c>
      <c r="G3" s="870" t="s">
        <v>1236</v>
      </c>
      <c r="H3" s="870" t="s">
        <v>1237</v>
      </c>
      <c r="I3" s="870" t="s">
        <v>1238</v>
      </c>
      <c r="J3" s="870" t="s">
        <v>1774</v>
      </c>
      <c r="K3" s="870" t="s">
        <v>1775</v>
      </c>
      <c r="L3" s="871" t="s">
        <v>1776</v>
      </c>
      <c r="M3" s="636" t="s">
        <v>1239</v>
      </c>
      <c r="N3" s="867" t="s">
        <v>2333</v>
      </c>
      <c r="O3" s="636" t="s">
        <v>2334</v>
      </c>
      <c r="Q3" s="152" t="s">
        <v>2450</v>
      </c>
      <c r="R3" s="152" t="s">
        <v>2448</v>
      </c>
      <c r="S3" s="148" t="s">
        <v>312</v>
      </c>
      <c r="T3" s="148" t="s">
        <v>2449</v>
      </c>
    </row>
    <row r="4" spans="1:24" thickTop="1" thickBot="1">
      <c r="A4" s="615" t="s">
        <v>1770</v>
      </c>
      <c r="B4" s="246" t="s">
        <v>66</v>
      </c>
      <c r="C4" s="872">
        <v>0</v>
      </c>
      <c r="D4" s="873">
        <v>9.6163200000000018</v>
      </c>
      <c r="E4" s="873">
        <v>0</v>
      </c>
      <c r="F4" s="873">
        <v>0</v>
      </c>
      <c r="G4" s="873">
        <v>0</v>
      </c>
      <c r="H4" s="873">
        <v>0</v>
      </c>
      <c r="I4" s="873">
        <v>0</v>
      </c>
      <c r="J4" s="873">
        <v>0</v>
      </c>
      <c r="K4" s="873">
        <v>0</v>
      </c>
      <c r="L4" s="874">
        <v>0</v>
      </c>
      <c r="M4" s="616">
        <f t="shared" ref="M4:M14" si="0">+ROUNDUP(SUM(C4:L4),0)</f>
        <v>10</v>
      </c>
      <c r="N4" s="867">
        <v>120</v>
      </c>
      <c r="O4" s="616">
        <f>+M4*N4</f>
        <v>1200</v>
      </c>
      <c r="Q4" s="148">
        <f t="shared" ref="Q4:Q15" si="1">+SUM(C4:D4)</f>
        <v>9.6163200000000018</v>
      </c>
      <c r="R4" s="148">
        <f t="shared" ref="R4:R14" si="2">+SUM(E4:L4)</f>
        <v>0</v>
      </c>
      <c r="S4" s="148">
        <f>+SUM('01'!K28)</f>
        <v>286602.42666227242</v>
      </c>
      <c r="T4" s="148">
        <f t="shared" ref="T4:T14" si="3">+S4*$T$2</f>
        <v>309530.62079525425</v>
      </c>
      <c r="U4" s="148">
        <f>+Q4*T4</f>
        <v>2976545.4993658201</v>
      </c>
    </row>
    <row r="5" spans="1:24" thickTop="1" thickBot="1">
      <c r="A5" s="309" t="s">
        <v>1758</v>
      </c>
      <c r="B5" s="192" t="s">
        <v>66</v>
      </c>
      <c r="C5" s="875">
        <v>39.589504999999996</v>
      </c>
      <c r="D5" s="876">
        <v>0</v>
      </c>
      <c r="E5" s="876">
        <v>0</v>
      </c>
      <c r="F5" s="876">
        <v>0</v>
      </c>
      <c r="G5" s="876">
        <v>0</v>
      </c>
      <c r="H5" s="876">
        <v>0</v>
      </c>
      <c r="I5" s="876">
        <v>0</v>
      </c>
      <c r="J5" s="876">
        <v>0</v>
      </c>
      <c r="K5" s="876">
        <v>0</v>
      </c>
      <c r="L5" s="877">
        <v>0</v>
      </c>
      <c r="M5" s="616">
        <f t="shared" si="0"/>
        <v>40</v>
      </c>
      <c r="N5" s="867">
        <v>90</v>
      </c>
      <c r="O5" s="616">
        <f t="shared" ref="O5:O14" si="4">+M5*N5</f>
        <v>3600</v>
      </c>
      <c r="Q5" s="148">
        <f t="shared" si="1"/>
        <v>39.589504999999996</v>
      </c>
      <c r="R5" s="148">
        <f t="shared" si="2"/>
        <v>0</v>
      </c>
      <c r="S5" s="148">
        <f>+'01'!I25</f>
        <v>307690.19241546135</v>
      </c>
      <c r="T5" s="148">
        <f t="shared" si="3"/>
        <v>332305.40780869831</v>
      </c>
      <c r="U5" s="148">
        <f>+Q5*T5</f>
        <v>13155806.603969499</v>
      </c>
    </row>
    <row r="6" spans="1:24" thickTop="1" thickBot="1">
      <c r="A6" s="309" t="s">
        <v>1438</v>
      </c>
      <c r="B6" s="192" t="s">
        <v>66</v>
      </c>
      <c r="C6" s="875">
        <v>178.61690000000002</v>
      </c>
      <c r="D6" s="876">
        <v>0</v>
      </c>
      <c r="E6" s="876">
        <v>0</v>
      </c>
      <c r="F6" s="876">
        <v>0</v>
      </c>
      <c r="G6" s="876">
        <v>0</v>
      </c>
      <c r="H6" s="876">
        <v>0</v>
      </c>
      <c r="I6" s="876">
        <v>0</v>
      </c>
      <c r="J6" s="876">
        <v>0</v>
      </c>
      <c r="K6" s="876">
        <v>0</v>
      </c>
      <c r="L6" s="877">
        <v>0</v>
      </c>
      <c r="M6" s="616">
        <f t="shared" si="0"/>
        <v>179</v>
      </c>
      <c r="N6" s="867">
        <v>90</v>
      </c>
      <c r="O6" s="616">
        <f t="shared" si="4"/>
        <v>16110</v>
      </c>
      <c r="Q6" s="148">
        <f t="shared" si="1"/>
        <v>178.61690000000002</v>
      </c>
      <c r="R6" s="148">
        <f t="shared" si="2"/>
        <v>0</v>
      </c>
      <c r="S6" s="148">
        <f>+'01'!I27</f>
        <v>148967.56476994729</v>
      </c>
      <c r="T6" s="148">
        <f t="shared" si="3"/>
        <v>160884.96995154308</v>
      </c>
      <c r="U6" s="148">
        <f>+Q6*T6</f>
        <v>28736774.589337777</v>
      </c>
    </row>
    <row r="7" spans="1:24" thickTop="1" thickBot="1">
      <c r="A7" s="309" t="s">
        <v>1771</v>
      </c>
      <c r="B7" s="192" t="s">
        <v>66</v>
      </c>
      <c r="C7" s="875">
        <v>27.539200000000005</v>
      </c>
      <c r="D7" s="876">
        <v>0</v>
      </c>
      <c r="E7" s="876">
        <v>0</v>
      </c>
      <c r="F7" s="876">
        <v>0</v>
      </c>
      <c r="G7" s="876">
        <v>0</v>
      </c>
      <c r="H7" s="876">
        <v>0</v>
      </c>
      <c r="I7" s="876">
        <v>0</v>
      </c>
      <c r="J7" s="876">
        <v>0</v>
      </c>
      <c r="K7" s="876">
        <v>0</v>
      </c>
      <c r="L7" s="877">
        <v>0</v>
      </c>
      <c r="M7" s="616">
        <f t="shared" si="0"/>
        <v>28</v>
      </c>
      <c r="N7" s="867">
        <v>140</v>
      </c>
      <c r="O7" s="616">
        <f t="shared" si="4"/>
        <v>3920</v>
      </c>
      <c r="Q7" s="148">
        <f t="shared" si="1"/>
        <v>27.539200000000005</v>
      </c>
      <c r="R7" s="148">
        <f t="shared" si="2"/>
        <v>0</v>
      </c>
      <c r="S7" s="148">
        <f>+'01'!I26</f>
        <v>253994.14283025966</v>
      </c>
      <c r="T7" s="148">
        <f t="shared" si="3"/>
        <v>274313.67425668048</v>
      </c>
      <c r="U7" s="148">
        <f>+Q7*T7</f>
        <v>7554379.1380895758</v>
      </c>
    </row>
    <row r="8" spans="1:24" thickTop="1" thickBot="1">
      <c r="A8" s="309" t="s">
        <v>1189</v>
      </c>
      <c r="B8" s="192" t="s">
        <v>66</v>
      </c>
      <c r="C8" s="875">
        <v>0</v>
      </c>
      <c r="D8" s="876">
        <v>28.916795999999998</v>
      </c>
      <c r="E8" s="876">
        <v>28.083324000000005</v>
      </c>
      <c r="F8" s="876">
        <v>29.471976000000002</v>
      </c>
      <c r="G8" s="876">
        <v>29.471976000000002</v>
      </c>
      <c r="H8" s="876">
        <v>29.433384</v>
      </c>
      <c r="I8" s="876">
        <v>23.15334</v>
      </c>
      <c r="J8" s="876">
        <v>3.8784959999999997</v>
      </c>
      <c r="K8" s="876">
        <v>1.5498000000000001</v>
      </c>
      <c r="L8" s="877">
        <v>2.8194600000000003</v>
      </c>
      <c r="M8" s="616">
        <f t="shared" si="0"/>
        <v>177</v>
      </c>
      <c r="N8" s="867">
        <v>120</v>
      </c>
      <c r="O8" s="616">
        <f t="shared" si="4"/>
        <v>21240</v>
      </c>
      <c r="Q8" s="148">
        <f t="shared" si="1"/>
        <v>28.916795999999998</v>
      </c>
      <c r="R8" s="148">
        <f t="shared" si="2"/>
        <v>147.86175600000001</v>
      </c>
      <c r="S8" s="148">
        <f>+'01'!I29</f>
        <v>191068.28444151493</v>
      </c>
      <c r="T8" s="148">
        <f t="shared" si="3"/>
        <v>206353.74719683614</v>
      </c>
      <c r="V8" s="148">
        <f t="shared" ref="V8:V14" si="5">+R8*T8</f>
        <v>30511827.417704273</v>
      </c>
    </row>
    <row r="9" spans="1:24" thickTop="1" thickBot="1">
      <c r="A9" s="309" t="s">
        <v>1185</v>
      </c>
      <c r="B9" s="192" t="s">
        <v>66</v>
      </c>
      <c r="C9" s="875">
        <v>0</v>
      </c>
      <c r="D9" s="876">
        <v>21.417270000000002</v>
      </c>
      <c r="E9" s="876">
        <v>12.449279999999998</v>
      </c>
      <c r="F9" s="876">
        <v>7.1404800000000002</v>
      </c>
      <c r="G9" s="876">
        <v>7.1404800000000002</v>
      </c>
      <c r="H9" s="876">
        <v>7.1394000000000002</v>
      </c>
      <c r="I9" s="876">
        <v>6.8512200000000023</v>
      </c>
      <c r="J9" s="876">
        <v>1.746645</v>
      </c>
      <c r="K9" s="876">
        <v>8.7360000000000007E-2</v>
      </c>
      <c r="L9" s="877">
        <v>0.74256</v>
      </c>
      <c r="M9" s="616">
        <f t="shared" si="0"/>
        <v>65</v>
      </c>
      <c r="N9" s="867">
        <v>130</v>
      </c>
      <c r="O9" s="616">
        <f t="shared" si="4"/>
        <v>8450</v>
      </c>
      <c r="Q9" s="148">
        <f t="shared" si="1"/>
        <v>21.417270000000002</v>
      </c>
      <c r="R9" s="148">
        <f t="shared" si="2"/>
        <v>43.297424999999997</v>
      </c>
      <c r="S9" s="148">
        <f>+'01'!I30</f>
        <v>462949.29028534138</v>
      </c>
      <c r="T9" s="148">
        <f t="shared" si="3"/>
        <v>499985.23350816872</v>
      </c>
      <c r="V9" s="148">
        <f t="shared" si="5"/>
        <v>21648073.14892742</v>
      </c>
    </row>
    <row r="10" spans="1:24" thickTop="1" thickBot="1">
      <c r="A10" s="309" t="s">
        <v>1228</v>
      </c>
      <c r="B10" s="192" t="s">
        <v>66</v>
      </c>
      <c r="C10" s="875">
        <v>0</v>
      </c>
      <c r="D10" s="876">
        <v>4.1506380000000007</v>
      </c>
      <c r="E10" s="876">
        <v>4.2857880000000002</v>
      </c>
      <c r="F10" s="876">
        <v>3.352452</v>
      </c>
      <c r="G10" s="876">
        <v>3.2146799999999995</v>
      </c>
      <c r="H10" s="876">
        <v>3.2146799999999995</v>
      </c>
      <c r="I10" s="876">
        <v>3.3294899999999998</v>
      </c>
      <c r="J10" s="876">
        <v>3.0609899999999999</v>
      </c>
      <c r="K10" s="876">
        <v>1.1518200000000003</v>
      </c>
      <c r="L10" s="877">
        <v>1.668075</v>
      </c>
      <c r="M10" s="616">
        <f t="shared" si="0"/>
        <v>28</v>
      </c>
      <c r="N10" s="867">
        <v>140</v>
      </c>
      <c r="O10" s="616">
        <f t="shared" si="4"/>
        <v>3920</v>
      </c>
      <c r="Q10" s="148">
        <f t="shared" si="1"/>
        <v>4.1506380000000007</v>
      </c>
      <c r="R10" s="148">
        <f t="shared" si="2"/>
        <v>23.277974999999998</v>
      </c>
      <c r="S10" s="148">
        <f>+'01'!I32</f>
        <v>307690.19241546135</v>
      </c>
      <c r="T10" s="148">
        <f t="shared" si="3"/>
        <v>332305.40780869831</v>
      </c>
      <c r="V10" s="148">
        <f t="shared" si="5"/>
        <v>7735396.9753356837</v>
      </c>
    </row>
    <row r="11" spans="1:24" thickTop="1" thickBot="1">
      <c r="A11" s="309" t="s">
        <v>1440</v>
      </c>
      <c r="B11" s="192" t="s">
        <v>66</v>
      </c>
      <c r="C11" s="878">
        <v>0</v>
      </c>
      <c r="D11" s="879">
        <v>10.158625000000002</v>
      </c>
      <c r="E11" s="879">
        <v>10.064579999999999</v>
      </c>
      <c r="F11" s="879">
        <v>7.5599999999999934</v>
      </c>
      <c r="G11" s="879">
        <v>7.5599999999999934</v>
      </c>
      <c r="H11" s="879">
        <v>7.5599999999999934</v>
      </c>
      <c r="I11" s="879">
        <v>7.5211499999999987</v>
      </c>
      <c r="J11" s="879">
        <v>1.5773399999999997</v>
      </c>
      <c r="K11" s="879">
        <v>0.91124999999999989</v>
      </c>
      <c r="L11" s="880">
        <v>0.77625</v>
      </c>
      <c r="M11" s="616">
        <f t="shared" si="0"/>
        <v>54</v>
      </c>
      <c r="N11" s="867">
        <v>190</v>
      </c>
      <c r="O11" s="616">
        <f t="shared" si="4"/>
        <v>10260</v>
      </c>
      <c r="Q11" s="148">
        <f t="shared" si="1"/>
        <v>10.158625000000002</v>
      </c>
      <c r="R11" s="148">
        <f t="shared" si="2"/>
        <v>43.530569999999983</v>
      </c>
      <c r="S11" s="148">
        <f>+'01'!I33</f>
        <v>273658.44999334484</v>
      </c>
      <c r="T11" s="148">
        <f t="shared" si="3"/>
        <v>295551.12599281245</v>
      </c>
      <c r="V11" s="148">
        <f t="shared" si="5"/>
        <v>12865508.978608936</v>
      </c>
    </row>
    <row r="12" spans="1:24" thickTop="1" thickBot="1">
      <c r="A12" s="309" t="s">
        <v>1229</v>
      </c>
      <c r="B12" s="282" t="s">
        <v>66</v>
      </c>
      <c r="C12" s="878">
        <v>0</v>
      </c>
      <c r="D12" s="879">
        <v>1.7735999999999996</v>
      </c>
      <c r="E12" s="879">
        <v>1.9745459999999999</v>
      </c>
      <c r="F12" s="879">
        <v>1.7099999999999997</v>
      </c>
      <c r="G12" s="879">
        <v>1.7099999999999997</v>
      </c>
      <c r="H12" s="879">
        <v>1.7099999999999997</v>
      </c>
      <c r="I12" s="879">
        <v>1.7099999999999997</v>
      </c>
      <c r="J12" s="879">
        <v>0</v>
      </c>
      <c r="K12" s="879">
        <v>0</v>
      </c>
      <c r="L12" s="880">
        <v>0</v>
      </c>
      <c r="M12" s="616">
        <f t="shared" si="0"/>
        <v>11</v>
      </c>
      <c r="N12" s="867">
        <v>105</v>
      </c>
      <c r="O12" s="616">
        <f t="shared" si="4"/>
        <v>1155</v>
      </c>
      <c r="Q12" s="148">
        <f t="shared" si="1"/>
        <v>1.7735999999999996</v>
      </c>
      <c r="R12" s="148">
        <f t="shared" si="2"/>
        <v>8.8145459999999982</v>
      </c>
      <c r="S12" s="148">
        <f>+'01'!I34</f>
        <v>283180.31554461533</v>
      </c>
      <c r="T12" s="148">
        <f t="shared" si="3"/>
        <v>305834.74078818457</v>
      </c>
      <c r="V12" s="148">
        <f t="shared" si="5"/>
        <v>2695794.3910755287</v>
      </c>
    </row>
    <row r="13" spans="1:24" thickTop="1" thickBot="1">
      <c r="A13" s="309" t="s">
        <v>1772</v>
      </c>
      <c r="B13" s="282" t="s">
        <v>66</v>
      </c>
      <c r="C13" s="878">
        <v>0</v>
      </c>
      <c r="D13" s="879">
        <v>0</v>
      </c>
      <c r="E13" s="879">
        <v>2.8314000000000004</v>
      </c>
      <c r="F13" s="879">
        <v>2.8314000000000004</v>
      </c>
      <c r="G13" s="879">
        <v>2.8314000000000004</v>
      </c>
      <c r="H13" s="879">
        <v>2.8314000000000004</v>
      </c>
      <c r="I13" s="879">
        <v>0</v>
      </c>
      <c r="J13" s="879">
        <v>0</v>
      </c>
      <c r="K13" s="879">
        <v>0</v>
      </c>
      <c r="L13" s="880">
        <v>0</v>
      </c>
      <c r="M13" s="616">
        <f t="shared" si="0"/>
        <v>12</v>
      </c>
      <c r="N13" s="867">
        <v>130</v>
      </c>
      <c r="O13" s="616">
        <f t="shared" si="4"/>
        <v>1560</v>
      </c>
      <c r="Q13" s="148">
        <f t="shared" si="1"/>
        <v>0</v>
      </c>
      <c r="R13" s="148">
        <f t="shared" si="2"/>
        <v>11.325600000000001</v>
      </c>
      <c r="S13" s="148">
        <f>+SUM('01'!I31:J31)</f>
        <v>555539.14834240964</v>
      </c>
      <c r="T13" s="148">
        <f t="shared" si="3"/>
        <v>599982.28020980244</v>
      </c>
      <c r="V13" s="148">
        <f t="shared" si="5"/>
        <v>6795159.3127441397</v>
      </c>
    </row>
    <row r="14" spans="1:24" s="151" customFormat="1" ht="13.5" thickTop="1">
      <c r="A14" s="881" t="s">
        <v>1777</v>
      </c>
      <c r="B14" s="882" t="s">
        <v>66</v>
      </c>
      <c r="C14" s="883">
        <v>0</v>
      </c>
      <c r="D14" s="884">
        <v>0</v>
      </c>
      <c r="E14" s="884">
        <v>0</v>
      </c>
      <c r="F14" s="884">
        <v>0</v>
      </c>
      <c r="G14" s="884">
        <v>0</v>
      </c>
      <c r="H14" s="884">
        <v>0</v>
      </c>
      <c r="I14" s="884">
        <v>0</v>
      </c>
      <c r="J14" s="884">
        <v>0</v>
      </c>
      <c r="K14" s="884">
        <v>2.7618149999999999</v>
      </c>
      <c r="L14" s="885">
        <v>0</v>
      </c>
      <c r="M14" s="616">
        <f t="shared" si="0"/>
        <v>3</v>
      </c>
      <c r="N14" s="867">
        <v>140</v>
      </c>
      <c r="O14" s="616">
        <f t="shared" si="4"/>
        <v>420</v>
      </c>
      <c r="P14" s="148"/>
      <c r="Q14" s="148">
        <f t="shared" si="1"/>
        <v>0</v>
      </c>
      <c r="R14" s="148">
        <f t="shared" si="2"/>
        <v>2.7618149999999999</v>
      </c>
      <c r="S14" s="148">
        <f>+'01'!I35</f>
        <v>307690.19241546135</v>
      </c>
      <c r="T14" s="148">
        <f t="shared" si="3"/>
        <v>332305.40780869831</v>
      </c>
      <c r="V14" s="148">
        <f t="shared" si="5"/>
        <v>917766.05986718007</v>
      </c>
      <c r="W14" s="148"/>
    </row>
    <row r="15" spans="1:24" s="148" customFormat="1" ht="13">
      <c r="A15" s="617"/>
      <c r="B15" s="617"/>
      <c r="C15" s="618">
        <f>+SUM(C4:C14)</f>
        <v>245.74560500000001</v>
      </c>
      <c r="D15" s="618">
        <f t="shared" ref="D15:L15" si="6">+SUM(D4:D14)</f>
        <v>76.033248999999998</v>
      </c>
      <c r="E15" s="618">
        <f t="shared" si="6"/>
        <v>59.688918000000001</v>
      </c>
      <c r="F15" s="618">
        <f t="shared" si="6"/>
        <v>52.066307999999999</v>
      </c>
      <c r="G15" s="618">
        <f t="shared" si="6"/>
        <v>51.928536000000001</v>
      </c>
      <c r="H15" s="618">
        <f t="shared" si="6"/>
        <v>51.888863999999998</v>
      </c>
      <c r="I15" s="618">
        <f t="shared" si="6"/>
        <v>42.565200000000004</v>
      </c>
      <c r="J15" s="618">
        <f t="shared" si="6"/>
        <v>10.263470999999999</v>
      </c>
      <c r="K15" s="618">
        <f t="shared" si="6"/>
        <v>6.4620449999999998</v>
      </c>
      <c r="L15" s="618">
        <f t="shared" si="6"/>
        <v>6.0063450000000005</v>
      </c>
      <c r="M15" s="397">
        <f>+SUM(M4:M14)</f>
        <v>607</v>
      </c>
      <c r="N15" s="868"/>
      <c r="O15" s="397">
        <f>+SUM(O4:O14)</f>
        <v>71835</v>
      </c>
      <c r="Q15" s="148">
        <f t="shared" si="1"/>
        <v>321.77885400000002</v>
      </c>
      <c r="R15" s="148">
        <f>+SUM(R4:R14)</f>
        <v>280.869687</v>
      </c>
      <c r="U15" s="152">
        <f>+SUM(U4:U14)</f>
        <v>52423505.830762669</v>
      </c>
      <c r="V15" s="152">
        <f>+SUM(V4:V14)</f>
        <v>83169526.284263149</v>
      </c>
    </row>
    <row r="16" spans="1:24" s="148" customFormat="1" ht="13">
      <c r="E16" s="152"/>
      <c r="T16" s="148" t="s">
        <v>2451</v>
      </c>
      <c r="U16" s="148">
        <f>+'01'!Q20</f>
        <v>9886978.9708612487</v>
      </c>
      <c r="V16" s="148">
        <f>+'01'!Q24</f>
        <v>1747698.3029300189</v>
      </c>
      <c r="W16" s="148" t="s">
        <v>2452</v>
      </c>
      <c r="X16" s="148">
        <f>+SUM(U15:V16)</f>
        <v>147227709.3888171</v>
      </c>
    </row>
    <row r="17" spans="1:22" s="148" customFormat="1" ht="13">
      <c r="E17" s="152"/>
      <c r="U17" s="148">
        <f>+U15+U16</f>
        <v>62310484.801623918</v>
      </c>
      <c r="V17" s="148">
        <f>+V15+V16</f>
        <v>84917224.587193161</v>
      </c>
    </row>
    <row r="18" spans="1:22" s="148" customFormat="1" ht="13">
      <c r="A18" s="153"/>
      <c r="U18" s="148">
        <f>+U17/1.5</f>
        <v>41540323.20108261</v>
      </c>
      <c r="V18" s="148">
        <f>+V17/1.5</f>
        <v>56611483.058128774</v>
      </c>
    </row>
    <row r="19" spans="1:22" s="148" customFormat="1" ht="13">
      <c r="A19" s="637" t="s">
        <v>786</v>
      </c>
    </row>
    <row r="20" spans="1:22" s="148" customFormat="1" ht="13">
      <c r="A20" s="146" t="s">
        <v>1240</v>
      </c>
      <c r="B20" s="146" t="s">
        <v>1241</v>
      </c>
      <c r="C20" s="146"/>
      <c r="D20" s="146"/>
      <c r="E20" s="154" t="s">
        <v>1242</v>
      </c>
      <c r="F20" s="154" t="s">
        <v>371</v>
      </c>
      <c r="G20" s="154" t="s">
        <v>1243</v>
      </c>
      <c r="H20" s="154" t="s">
        <v>1244</v>
      </c>
      <c r="T20" s="148">
        <v>10</v>
      </c>
    </row>
    <row r="21" spans="1:22" s="148" customFormat="1" ht="13">
      <c r="A21" s="148" t="s">
        <v>255</v>
      </c>
      <c r="B21" s="148">
        <f>VLOOKUP(A21,Cotizaciones!B:D,3,0)</f>
        <v>125000</v>
      </c>
      <c r="D21" s="152"/>
      <c r="E21" s="155">
        <f>+P34</f>
        <v>14</v>
      </c>
      <c r="F21" s="155">
        <f>+B23*E21</f>
        <v>7462000</v>
      </c>
      <c r="G21" s="155">
        <f>+M15</f>
        <v>607</v>
      </c>
      <c r="H21" s="280">
        <f>+F21/G21</f>
        <v>12293.24546952224</v>
      </c>
      <c r="I21" s="148" t="s">
        <v>1245</v>
      </c>
      <c r="R21" s="148" t="s">
        <v>385</v>
      </c>
      <c r="S21" s="148" t="s">
        <v>1822</v>
      </c>
      <c r="T21" s="148" t="s">
        <v>1823</v>
      </c>
    </row>
    <row r="22" spans="1:22" s="148" customFormat="1" ht="13">
      <c r="A22" s="148" t="s">
        <v>788</v>
      </c>
      <c r="B22" s="148">
        <f>VLOOKUP(A22,Cotizaciones!B:D,3,0)</f>
        <v>5100</v>
      </c>
      <c r="H22" s="148">
        <f>+B24</f>
        <v>5330</v>
      </c>
      <c r="I22" s="148" t="s">
        <v>790</v>
      </c>
      <c r="O22" s="148" t="s">
        <v>1778</v>
      </c>
      <c r="P22" s="154">
        <v>3</v>
      </c>
      <c r="R22" s="148">
        <f>+C15-R23</f>
        <v>66.745605000000012</v>
      </c>
      <c r="S22" s="148">
        <f t="shared" ref="S22:S33" si="7">+R22/P22</f>
        <v>22.248535000000004</v>
      </c>
      <c r="T22" s="148">
        <f t="shared" ref="T22:T31" si="8">+ROUNDUP(S22/$T$20,0)</f>
        <v>3</v>
      </c>
    </row>
    <row r="23" spans="1:22" s="148" customFormat="1" ht="13">
      <c r="A23" s="148" t="s">
        <v>789</v>
      </c>
      <c r="B23" s="148">
        <f>VLOOKUP(A23,Cotizaciones!B:D,3,0)</f>
        <v>533000</v>
      </c>
      <c r="H23" s="148">
        <f>+B25</f>
        <v>1500</v>
      </c>
      <c r="I23" s="148" t="s">
        <v>791</v>
      </c>
      <c r="O23" s="148" t="s">
        <v>1779</v>
      </c>
      <c r="P23" s="154">
        <v>2</v>
      </c>
      <c r="R23" s="148">
        <f>+M6</f>
        <v>179</v>
      </c>
      <c r="S23" s="148">
        <f t="shared" si="7"/>
        <v>89.5</v>
      </c>
      <c r="T23" s="148">
        <f t="shared" si="8"/>
        <v>9</v>
      </c>
    </row>
    <row r="24" spans="1:22" s="148" customFormat="1" ht="13">
      <c r="A24" s="148" t="s">
        <v>790</v>
      </c>
      <c r="B24" s="148">
        <f>VLOOKUP(A24,Cotizaciones!B:D,3,0)</f>
        <v>5330</v>
      </c>
      <c r="H24" s="148">
        <f>+B26</f>
        <v>130100</v>
      </c>
      <c r="I24" s="148" t="s">
        <v>1246</v>
      </c>
      <c r="O24" s="148" t="s">
        <v>1780</v>
      </c>
      <c r="P24" s="148">
        <v>1</v>
      </c>
      <c r="R24" s="148">
        <f>+D15</f>
        <v>76.033248999999998</v>
      </c>
      <c r="S24" s="148">
        <f t="shared" si="7"/>
        <v>76.033248999999998</v>
      </c>
      <c r="T24" s="148">
        <f t="shared" si="8"/>
        <v>8</v>
      </c>
    </row>
    <row r="25" spans="1:22" s="148" customFormat="1" ht="13">
      <c r="A25" s="148" t="s">
        <v>791</v>
      </c>
      <c r="B25" s="148">
        <f>VLOOKUP(A25,Cotizaciones!B:D,3,0)</f>
        <v>1500</v>
      </c>
      <c r="G25" s="395">
        <v>0.05</v>
      </c>
      <c r="H25" s="148">
        <f>+SUM(H22:H24)*G25</f>
        <v>6846.5</v>
      </c>
      <c r="I25" s="148" t="s">
        <v>1247</v>
      </c>
      <c r="J25" s="148" t="s">
        <v>2445</v>
      </c>
      <c r="K25" s="148">
        <v>120000</v>
      </c>
      <c r="L25" s="148">
        <v>34</v>
      </c>
      <c r="M25" s="148">
        <f>+K25*L25</f>
        <v>4080000</v>
      </c>
      <c r="O25" s="148" t="s">
        <v>1248</v>
      </c>
      <c r="P25" s="148">
        <v>1</v>
      </c>
      <c r="R25" s="148">
        <f>+E15</f>
        <v>59.688918000000001</v>
      </c>
      <c r="S25" s="148">
        <f t="shared" si="7"/>
        <v>59.688918000000001</v>
      </c>
      <c r="T25" s="148">
        <f t="shared" si="8"/>
        <v>6</v>
      </c>
    </row>
    <row r="26" spans="1:22" s="148" customFormat="1" ht="13">
      <c r="A26" s="148" t="s">
        <v>1246</v>
      </c>
      <c r="B26" s="156">
        <f>+B21+B22</f>
        <v>130100</v>
      </c>
      <c r="H26" s="156">
        <f>SUM(H21:H25)</f>
        <v>156069.74546952226</v>
      </c>
      <c r="I26" s="148" t="s">
        <v>1263</v>
      </c>
      <c r="J26" s="148" t="s">
        <v>1263</v>
      </c>
      <c r="K26" s="148">
        <f>H26</f>
        <v>156069.74546952226</v>
      </c>
      <c r="L26" s="148">
        <f>+M15-L27</f>
        <v>388</v>
      </c>
      <c r="M26" s="148">
        <f>+H26*L26</f>
        <v>60555061.242174633</v>
      </c>
      <c r="O26" s="148" t="s">
        <v>1250</v>
      </c>
      <c r="P26" s="148">
        <v>1</v>
      </c>
      <c r="R26" s="148">
        <f>+F15</f>
        <v>52.066307999999999</v>
      </c>
      <c r="S26" s="148">
        <f t="shared" si="7"/>
        <v>52.066307999999999</v>
      </c>
      <c r="T26" s="148">
        <f t="shared" si="8"/>
        <v>6</v>
      </c>
    </row>
    <row r="27" spans="1:22" s="148" customFormat="1" ht="13">
      <c r="A27" s="148" t="s">
        <v>792</v>
      </c>
      <c r="B27" s="148">
        <f>VLOOKUP(A27,Cotizaciones!B:D,3,0)</f>
        <v>22200</v>
      </c>
      <c r="H27" s="156">
        <f>+H26+B27</f>
        <v>178269.74546952226</v>
      </c>
      <c r="I27" s="148" t="s">
        <v>1784</v>
      </c>
      <c r="J27" s="148" t="s">
        <v>2446</v>
      </c>
      <c r="K27" s="148">
        <f>H27</f>
        <v>178269.74546952226</v>
      </c>
      <c r="L27" s="148">
        <f>+SUM(M5:M6)</f>
        <v>219</v>
      </c>
      <c r="M27" s="148">
        <f>+L27*H27</f>
        <v>39041074.257825375</v>
      </c>
      <c r="O27" s="148" t="s">
        <v>1252</v>
      </c>
      <c r="P27" s="148">
        <v>1</v>
      </c>
      <c r="R27" s="148">
        <f>+G15</f>
        <v>51.928536000000001</v>
      </c>
      <c r="S27" s="148">
        <f t="shared" si="7"/>
        <v>51.928536000000001</v>
      </c>
      <c r="T27" s="148">
        <f t="shared" si="8"/>
        <v>6</v>
      </c>
    </row>
    <row r="28" spans="1:22" s="148" customFormat="1" ht="13">
      <c r="A28" s="153"/>
      <c r="M28" s="152">
        <f>+SUM(M25:M27)</f>
        <v>103676135.5</v>
      </c>
      <c r="O28" s="148" t="s">
        <v>1253</v>
      </c>
      <c r="P28" s="148">
        <v>1</v>
      </c>
      <c r="R28" s="148">
        <f>+H15</f>
        <v>51.888863999999998</v>
      </c>
      <c r="S28" s="148">
        <f t="shared" si="7"/>
        <v>51.888863999999998</v>
      </c>
      <c r="T28" s="148">
        <f t="shared" si="8"/>
        <v>6</v>
      </c>
    </row>
    <row r="29" spans="1:22" s="148" customFormat="1" ht="13">
      <c r="A29" s="153"/>
      <c r="L29" s="148">
        <f>+SUM(L25:L27)</f>
        <v>641</v>
      </c>
      <c r="M29" s="148">
        <f>+M28/L29</f>
        <v>161741.24102964118</v>
      </c>
    </row>
    <row r="30" spans="1:22" s="148" customFormat="1" ht="13">
      <c r="A30" s="637" t="s">
        <v>1254</v>
      </c>
      <c r="O30" s="148" t="s">
        <v>1255</v>
      </c>
      <c r="P30" s="148">
        <v>1</v>
      </c>
      <c r="R30" s="148">
        <f>+I15</f>
        <v>42.565200000000004</v>
      </c>
      <c r="S30" s="148">
        <f t="shared" si="7"/>
        <v>42.565200000000004</v>
      </c>
      <c r="T30" s="148">
        <f t="shared" si="8"/>
        <v>5</v>
      </c>
    </row>
    <row r="31" spans="1:22" s="148" customFormat="1" ht="13">
      <c r="A31" s="148" t="s">
        <v>1240</v>
      </c>
      <c r="B31" s="146" t="s">
        <v>50</v>
      </c>
      <c r="C31" s="146" t="s">
        <v>1256</v>
      </c>
      <c r="D31" s="146" t="s">
        <v>1257</v>
      </c>
      <c r="E31" s="146" t="s">
        <v>2447</v>
      </c>
      <c r="O31" s="148" t="s">
        <v>1258</v>
      </c>
      <c r="P31" s="148">
        <v>1</v>
      </c>
      <c r="R31" s="148">
        <f>+J15</f>
        <v>10.263470999999999</v>
      </c>
      <c r="S31" s="148">
        <f t="shared" si="7"/>
        <v>10.263470999999999</v>
      </c>
      <c r="T31" s="148">
        <f t="shared" si="8"/>
        <v>2</v>
      </c>
    </row>
    <row r="32" spans="1:22" s="148" customFormat="1" ht="13">
      <c r="A32" s="148" t="s">
        <v>794</v>
      </c>
      <c r="B32" s="148">
        <f>+D32*C32</f>
        <v>4533.7306000000008</v>
      </c>
      <c r="C32" s="148">
        <v>2.66</v>
      </c>
      <c r="D32" s="148">
        <v>1704.41</v>
      </c>
      <c r="E32" s="148">
        <f t="shared" ref="E32:E38" si="9">+D32*$G$35</f>
        <v>1832.2407499999999</v>
      </c>
      <c r="F32" s="148" t="s">
        <v>1249</v>
      </c>
      <c r="G32" s="148">
        <v>2.5000000000000001E-2</v>
      </c>
      <c r="O32" s="148" t="s">
        <v>1782</v>
      </c>
      <c r="P32" s="148">
        <v>1</v>
      </c>
      <c r="R32" s="148">
        <f>+K15</f>
        <v>6.4620449999999998</v>
      </c>
      <c r="S32" s="148">
        <f t="shared" si="7"/>
        <v>6.4620449999999998</v>
      </c>
    </row>
    <row r="33" spans="1:21" s="148" customFormat="1" ht="13">
      <c r="A33" s="148" t="s">
        <v>795</v>
      </c>
      <c r="B33" s="148">
        <f t="shared" ref="B33:B38" si="10">+D33*C33</f>
        <v>7515.3173999999999</v>
      </c>
      <c r="C33" s="148">
        <v>4.74</v>
      </c>
      <c r="D33" s="148">
        <v>1585.51</v>
      </c>
      <c r="E33" s="148">
        <f t="shared" si="9"/>
        <v>1704.4232499999998</v>
      </c>
      <c r="F33" s="148" t="s">
        <v>1251</v>
      </c>
      <c r="O33" s="148" t="s">
        <v>1783</v>
      </c>
      <c r="P33" s="148">
        <v>1</v>
      </c>
      <c r="R33" s="148">
        <f>+L15</f>
        <v>6.0063450000000005</v>
      </c>
      <c r="S33" s="148">
        <f t="shared" si="7"/>
        <v>6.0063450000000005</v>
      </c>
    </row>
    <row r="34" spans="1:21" s="148" customFormat="1" ht="13">
      <c r="A34" s="148" t="s">
        <v>256</v>
      </c>
      <c r="B34" s="148">
        <f t="shared" si="10"/>
        <v>11536.748</v>
      </c>
      <c r="C34" s="148">
        <v>7.4</v>
      </c>
      <c r="D34" s="148">
        <v>1559.02</v>
      </c>
      <c r="E34" s="148">
        <f t="shared" si="9"/>
        <v>1675.9465</v>
      </c>
      <c r="F34" s="148" t="s">
        <v>248</v>
      </c>
      <c r="G34" s="148">
        <v>0.05</v>
      </c>
      <c r="P34" s="152">
        <f>+SUM(P22:P33)</f>
        <v>14</v>
      </c>
      <c r="T34" s="148">
        <f>+SUM(T22:T33)</f>
        <v>51</v>
      </c>
    </row>
    <row r="35" spans="1:21" s="148" customFormat="1" ht="13">
      <c r="A35" s="148" t="s">
        <v>796</v>
      </c>
      <c r="B35" s="148">
        <f t="shared" si="10"/>
        <v>16295.885999999999</v>
      </c>
      <c r="C35" s="148">
        <v>10.7</v>
      </c>
      <c r="D35" s="148">
        <v>1522.98</v>
      </c>
      <c r="E35" s="148">
        <f t="shared" si="9"/>
        <v>1637.2034999999998</v>
      </c>
      <c r="G35" s="152">
        <f>+SUM(G32:G34)+1</f>
        <v>1.075</v>
      </c>
      <c r="T35" s="148">
        <v>1</v>
      </c>
      <c r="U35" s="148" t="s">
        <v>1827</v>
      </c>
    </row>
    <row r="36" spans="1:21" s="148" customFormat="1" ht="13">
      <c r="A36" s="148" t="s">
        <v>797</v>
      </c>
      <c r="B36" s="148">
        <f t="shared" si="10"/>
        <v>28201.067999999996</v>
      </c>
      <c r="C36" s="148">
        <v>18.899999999999999</v>
      </c>
      <c r="D36" s="148">
        <v>1492.12</v>
      </c>
      <c r="E36" s="148">
        <f t="shared" si="9"/>
        <v>1604.0289999999998</v>
      </c>
      <c r="T36" s="148">
        <f>+T34*T35</f>
        <v>51</v>
      </c>
      <c r="U36" s="148" t="s">
        <v>1828</v>
      </c>
    </row>
    <row r="37" spans="1:21" s="148" customFormat="1" ht="13">
      <c r="A37" s="148" t="s">
        <v>798</v>
      </c>
      <c r="B37" s="148">
        <f t="shared" si="10"/>
        <v>43912.488000000005</v>
      </c>
      <c r="C37" s="148">
        <v>29.6</v>
      </c>
      <c r="D37" s="148">
        <v>1483.53</v>
      </c>
      <c r="E37" s="148">
        <f t="shared" si="9"/>
        <v>1594.7947499999998</v>
      </c>
      <c r="T37" s="148">
        <f>+SUBCONTRATOS!D21</f>
        <v>33900</v>
      </c>
      <c r="U37" s="148" t="s">
        <v>1829</v>
      </c>
    </row>
    <row r="38" spans="1:21" s="148" customFormat="1" ht="13">
      <c r="A38" s="148" t="s">
        <v>799</v>
      </c>
      <c r="B38" s="148">
        <f t="shared" si="10"/>
        <v>68539.085999999996</v>
      </c>
      <c r="C38" s="148">
        <v>46.2</v>
      </c>
      <c r="D38" s="148">
        <v>1483.53</v>
      </c>
      <c r="E38" s="148">
        <f t="shared" si="9"/>
        <v>1594.7947499999998</v>
      </c>
      <c r="T38" s="156">
        <f>+T36*T37</f>
        <v>1728900</v>
      </c>
    </row>
    <row r="39" spans="1:21" s="148" customFormat="1" ht="13">
      <c r="D39" s="152">
        <f>+AVERAGE(D32:D38)</f>
        <v>1547.3</v>
      </c>
      <c r="E39" s="152">
        <f>+AVERAGE(E32:E38)</f>
        <v>1663.3474999999996</v>
      </c>
      <c r="F39" s="157"/>
      <c r="G39" s="157"/>
      <c r="L39" s="152"/>
      <c r="T39" s="148">
        <f>+P34</f>
        <v>14</v>
      </c>
      <c r="U39" s="148" t="s">
        <v>1832</v>
      </c>
    </row>
    <row r="40" spans="1:21" s="148" customFormat="1" ht="13">
      <c r="D40" s="154" t="s">
        <v>1785</v>
      </c>
      <c r="E40" s="156">
        <f>+E34</f>
        <v>1675.9465</v>
      </c>
      <c r="G40" s="157"/>
      <c r="T40" s="156">
        <f>+T38/T39</f>
        <v>123492.85714285714</v>
      </c>
      <c r="U40" s="148" t="s">
        <v>1833</v>
      </c>
    </row>
    <row r="41" spans="1:21" s="148" customFormat="1" ht="13">
      <c r="C41" s="148" t="s">
        <v>1259</v>
      </c>
      <c r="D41" s="152"/>
    </row>
    <row r="42" spans="1:21" s="148" customFormat="1" ht="13">
      <c r="C42" s="152">
        <f>+E40</f>
        <v>1675.9465</v>
      </c>
    </row>
    <row r="43" spans="1:21" s="148" customFormat="1" ht="13">
      <c r="A43" s="247" t="s">
        <v>1260</v>
      </c>
      <c r="B43" s="248" t="s">
        <v>1261</v>
      </c>
      <c r="E43" s="248" t="s">
        <v>1264</v>
      </c>
      <c r="F43" s="248" t="s">
        <v>371</v>
      </c>
      <c r="I43" s="248" t="s">
        <v>1262</v>
      </c>
      <c r="J43" s="248" t="s">
        <v>1263</v>
      </c>
    </row>
    <row r="44" spans="1:21" s="148" customFormat="1" ht="13">
      <c r="A44" s="886" t="s">
        <v>1265</v>
      </c>
      <c r="B44" s="249"/>
      <c r="E44" s="249"/>
      <c r="F44" s="250">
        <f t="shared" ref="F44:F57" si="11">+SUM(C44:E44)</f>
        <v>0</v>
      </c>
      <c r="H44" s="396"/>
      <c r="I44" s="249">
        <f t="shared" ref="I44:I60" si="12">+B44*$C$42</f>
        <v>0</v>
      </c>
      <c r="J44" s="249"/>
    </row>
    <row r="45" spans="1:21" s="148" customFormat="1" ht="13">
      <c r="A45" s="887" t="s">
        <v>1266</v>
      </c>
      <c r="B45" s="159"/>
      <c r="E45" s="192"/>
      <c r="F45" s="160">
        <f>+SUM(C45:E45)</f>
        <v>0</v>
      </c>
      <c r="H45" s="396"/>
      <c r="I45" s="159">
        <f t="shared" si="12"/>
        <v>0</v>
      </c>
      <c r="J45" s="159"/>
    </row>
    <row r="46" spans="1:21" s="148" customFormat="1" ht="13">
      <c r="A46" s="888" t="s">
        <v>1787</v>
      </c>
      <c r="B46" s="159">
        <v>120</v>
      </c>
      <c r="E46" s="159">
        <f>+'ENCOFRADO '!E117</f>
        <v>55068.821745306559</v>
      </c>
      <c r="F46" s="160">
        <f>+SUM(C46:E46)</f>
        <v>55068.821745306559</v>
      </c>
      <c r="G46" s="148">
        <f>+E46/F46</f>
        <v>1</v>
      </c>
      <c r="H46" s="396"/>
      <c r="I46" s="159">
        <f t="shared" si="12"/>
        <v>201113.58000000002</v>
      </c>
      <c r="J46" s="159">
        <f>+H27</f>
        <v>178269.74546952226</v>
      </c>
    </row>
    <row r="47" spans="1:21" s="148" customFormat="1" ht="13">
      <c r="A47" s="893" t="s">
        <v>1786</v>
      </c>
      <c r="B47" s="159">
        <v>95</v>
      </c>
      <c r="E47" s="192">
        <f>+'ENCOFRADO '!E120</f>
        <v>70843.445714285714</v>
      </c>
      <c r="F47" s="160">
        <f>+SUM(C47:E47)</f>
        <v>70843.445714285714</v>
      </c>
      <c r="G47" s="148">
        <f>+E47/F47</f>
        <v>1</v>
      </c>
      <c r="H47" s="396"/>
      <c r="I47" s="159">
        <f t="shared" si="12"/>
        <v>159214.91750000001</v>
      </c>
      <c r="J47" s="159">
        <f>+H27</f>
        <v>178269.74546952226</v>
      </c>
    </row>
    <row r="48" spans="1:21" s="148" customFormat="1" ht="13">
      <c r="A48" s="887" t="s">
        <v>1267</v>
      </c>
      <c r="B48" s="159"/>
      <c r="E48" s="159"/>
      <c r="F48" s="160">
        <f t="shared" si="11"/>
        <v>0</v>
      </c>
      <c r="H48" s="396"/>
      <c r="I48" s="159">
        <f t="shared" si="12"/>
        <v>0</v>
      </c>
      <c r="J48" s="159"/>
    </row>
    <row r="49" spans="1:10" s="148" customFormat="1" ht="13">
      <c r="A49" s="298" t="s">
        <v>1268</v>
      </c>
      <c r="B49" s="159"/>
      <c r="E49" s="159"/>
      <c r="F49" s="160">
        <f t="shared" si="11"/>
        <v>0</v>
      </c>
      <c r="H49" s="396"/>
      <c r="I49" s="159">
        <f t="shared" si="12"/>
        <v>0</v>
      </c>
      <c r="J49" s="159"/>
    </row>
    <row r="50" spans="1:10" s="148" customFormat="1" ht="13">
      <c r="A50" s="888" t="s">
        <v>1790</v>
      </c>
      <c r="B50" s="192">
        <v>95</v>
      </c>
      <c r="E50" s="192">
        <f>+'ENCOFRADO '!E116</f>
        <v>2471.4097794822628</v>
      </c>
      <c r="F50" s="160">
        <f t="shared" si="11"/>
        <v>2471.4097794822628</v>
      </c>
      <c r="G50" s="148">
        <f t="shared" ref="G50:G57" si="13">+E50/F50</f>
        <v>1</v>
      </c>
      <c r="H50" s="396"/>
      <c r="I50" s="159">
        <f t="shared" si="12"/>
        <v>159214.91750000001</v>
      </c>
      <c r="J50" s="159">
        <f>+H27</f>
        <v>178269.74546952226</v>
      </c>
    </row>
    <row r="51" spans="1:10" s="148" customFormat="1" ht="13">
      <c r="A51" s="888" t="s">
        <v>1789</v>
      </c>
      <c r="B51" s="159">
        <v>120</v>
      </c>
      <c r="E51" s="159">
        <f>+'ENCOFRADO '!E122</f>
        <v>32975.501438159154</v>
      </c>
      <c r="F51" s="160">
        <f t="shared" si="11"/>
        <v>32975.501438159154</v>
      </c>
      <c r="G51" s="148">
        <f t="shared" si="13"/>
        <v>1</v>
      </c>
      <c r="H51" s="396"/>
      <c r="I51" s="159">
        <f t="shared" si="12"/>
        <v>201113.58000000002</v>
      </c>
      <c r="J51" s="159">
        <f t="shared" ref="J51:J60" si="14">+$H$26</f>
        <v>156069.74546952226</v>
      </c>
    </row>
    <row r="52" spans="1:10" s="148" customFormat="1" ht="13">
      <c r="A52" s="889" t="s">
        <v>1791</v>
      </c>
      <c r="B52" s="159">
        <v>120</v>
      </c>
      <c r="E52" s="192">
        <f>+'ENCOFRADO '!E123</f>
        <v>40150.005369127517</v>
      </c>
      <c r="F52" s="160">
        <f>+SUM(C52:E52)</f>
        <v>40150.005369127517</v>
      </c>
      <c r="G52" s="148">
        <f>+E52/F52</f>
        <v>1</v>
      </c>
      <c r="H52" s="396"/>
      <c r="I52" s="159">
        <f t="shared" si="12"/>
        <v>201113.58000000002</v>
      </c>
      <c r="J52" s="159">
        <f t="shared" si="14"/>
        <v>156069.74546952226</v>
      </c>
    </row>
    <row r="53" spans="1:10" s="148" customFormat="1" ht="13">
      <c r="A53" s="889" t="s">
        <v>1792</v>
      </c>
      <c r="B53" s="159">
        <v>130</v>
      </c>
      <c r="E53" s="159">
        <f>+'ENCOFRADO '!E124</f>
        <v>94228.958133589011</v>
      </c>
      <c r="F53" s="160">
        <f t="shared" si="11"/>
        <v>94228.958133589011</v>
      </c>
      <c r="G53" s="148">
        <f t="shared" si="13"/>
        <v>1</v>
      </c>
      <c r="H53" s="396"/>
      <c r="I53" s="159">
        <f t="shared" si="12"/>
        <v>217873.04500000001</v>
      </c>
      <c r="J53" s="159">
        <f t="shared" si="14"/>
        <v>156069.74546952226</v>
      </c>
    </row>
    <row r="54" spans="1:10" s="148" customFormat="1" ht="13">
      <c r="A54" s="888" t="s">
        <v>1788</v>
      </c>
      <c r="B54" s="159">
        <v>130</v>
      </c>
      <c r="E54" s="192">
        <f>+'ENCOFRADO '!E125</f>
        <v>92072.316554809833</v>
      </c>
      <c r="F54" s="160">
        <f>+SUM(C54:E54)</f>
        <v>92072.316554809833</v>
      </c>
      <c r="G54" s="148">
        <f>+E54/F54</f>
        <v>1</v>
      </c>
      <c r="H54" s="396"/>
      <c r="I54" s="159">
        <f t="shared" si="12"/>
        <v>217873.04500000001</v>
      </c>
      <c r="J54" s="159">
        <f t="shared" si="14"/>
        <v>156069.74546952226</v>
      </c>
    </row>
    <row r="55" spans="1:10" s="148" customFormat="1" ht="13">
      <c r="A55" s="888" t="s">
        <v>1793</v>
      </c>
      <c r="B55" s="159">
        <v>140</v>
      </c>
      <c r="E55" s="159">
        <f>+'ENCOFRADO '!E120</f>
        <v>70843.445714285714</v>
      </c>
      <c r="F55" s="160">
        <f t="shared" si="11"/>
        <v>70843.445714285714</v>
      </c>
      <c r="G55" s="148">
        <f t="shared" si="13"/>
        <v>1</v>
      </c>
      <c r="H55" s="396"/>
      <c r="I55" s="159">
        <f t="shared" si="12"/>
        <v>234632.51</v>
      </c>
      <c r="J55" s="159">
        <f t="shared" si="14"/>
        <v>156069.74546952226</v>
      </c>
    </row>
    <row r="56" spans="1:10" s="148" customFormat="1" ht="13">
      <c r="A56" s="888" t="s">
        <v>1794</v>
      </c>
      <c r="B56" s="159">
        <v>140</v>
      </c>
      <c r="E56" s="192">
        <f>+'ENCOFRADO '!E121</f>
        <v>62877.465999999993</v>
      </c>
      <c r="F56" s="160">
        <f>+SUM(C56:E56)</f>
        <v>62877.465999999993</v>
      </c>
      <c r="G56" s="148">
        <f>+E56/F56</f>
        <v>1</v>
      </c>
      <c r="H56" s="396"/>
      <c r="I56" s="159">
        <f t="shared" si="12"/>
        <v>234632.51</v>
      </c>
      <c r="J56" s="159">
        <f t="shared" si="14"/>
        <v>156069.74546952226</v>
      </c>
    </row>
    <row r="57" spans="1:10" s="148" customFormat="1" ht="13">
      <c r="A57" s="888" t="s">
        <v>1795</v>
      </c>
      <c r="B57" s="159">
        <v>190</v>
      </c>
      <c r="E57" s="159">
        <f>+'ENCOFRADO '!E118</f>
        <v>60951.378715244486</v>
      </c>
      <c r="F57" s="160">
        <f t="shared" si="11"/>
        <v>60951.378715244486</v>
      </c>
      <c r="G57" s="148">
        <f t="shared" si="13"/>
        <v>1</v>
      </c>
      <c r="H57" s="396"/>
      <c r="I57" s="159">
        <f t="shared" si="12"/>
        <v>318429.83500000002</v>
      </c>
      <c r="J57" s="159">
        <f t="shared" si="14"/>
        <v>156069.74546952226</v>
      </c>
    </row>
    <row r="58" spans="1:10" s="148" customFormat="1" ht="13">
      <c r="A58" s="888" t="s">
        <v>1796</v>
      </c>
      <c r="B58" s="159">
        <v>190</v>
      </c>
      <c r="E58" s="192">
        <f>+'ENCOFRADO '!E119</f>
        <v>69973.412080536917</v>
      </c>
      <c r="F58" s="160">
        <f>+SUM(C58:E58)</f>
        <v>69973.412080536917</v>
      </c>
      <c r="G58" s="148">
        <f>+E58/F58</f>
        <v>1</v>
      </c>
      <c r="H58" s="396"/>
      <c r="I58" s="159">
        <f t="shared" si="12"/>
        <v>318429.83500000002</v>
      </c>
      <c r="J58" s="159">
        <f t="shared" si="14"/>
        <v>156069.74546952226</v>
      </c>
    </row>
    <row r="59" spans="1:10" s="148" customFormat="1" ht="13">
      <c r="A59" s="888" t="s">
        <v>1269</v>
      </c>
      <c r="B59" s="159">
        <v>105</v>
      </c>
      <c r="E59" s="159">
        <f>+'ENCOFRADO '!E122</f>
        <v>32975.501438159154</v>
      </c>
      <c r="F59" s="160">
        <f>+SUM(C59:E59)</f>
        <v>32975.501438159154</v>
      </c>
      <c r="G59" s="148">
        <f>+E59/F59</f>
        <v>1</v>
      </c>
      <c r="I59" s="159">
        <f t="shared" si="12"/>
        <v>175974.38250000001</v>
      </c>
      <c r="J59" s="159">
        <f t="shared" si="14"/>
        <v>156069.74546952226</v>
      </c>
    </row>
    <row r="60" spans="1:10" s="148" customFormat="1" ht="13">
      <c r="A60" s="892" t="s">
        <v>1270</v>
      </c>
      <c r="B60" s="890">
        <v>105</v>
      </c>
      <c r="E60" s="890">
        <f>+'ENCOFRADO '!E127</f>
        <v>68185.041030872468</v>
      </c>
      <c r="F60" s="891">
        <f>+SUM(C60:E60)</f>
        <v>68185.041030872468</v>
      </c>
      <c r="G60" s="148">
        <f>+E60/F60</f>
        <v>1</v>
      </c>
      <c r="I60" s="890">
        <f t="shared" si="12"/>
        <v>175974.38250000001</v>
      </c>
      <c r="J60" s="890">
        <f t="shared" si="14"/>
        <v>156069.74546952226</v>
      </c>
    </row>
    <row r="61" spans="1:10" s="148" customFormat="1" ht="13"/>
    <row r="62" spans="1:10" s="148" customFormat="1" ht="13"/>
    <row r="63" spans="1:10" s="148" customFormat="1" ht="13"/>
    <row r="64" spans="1:10" s="148" customFormat="1" ht="13"/>
    <row r="65" spans="1:23" s="151" customFormat="1" ht="13">
      <c r="A65" s="276"/>
      <c r="B65" s="276"/>
      <c r="C65" s="276"/>
      <c r="D65" s="276"/>
      <c r="E65" s="276"/>
      <c r="F65" s="276"/>
      <c r="G65" s="276"/>
      <c r="H65" s="276"/>
      <c r="I65" s="276"/>
      <c r="J65" s="276"/>
      <c r="O65" s="148"/>
      <c r="P65" s="148"/>
      <c r="Q65" s="148"/>
      <c r="R65" s="148"/>
      <c r="S65" s="148"/>
      <c r="T65" s="148"/>
      <c r="U65" s="148"/>
      <c r="V65" s="148"/>
      <c r="W65" s="148"/>
    </row>
    <row r="66" spans="1:23" s="151" customFormat="1" ht="13">
      <c r="A66" s="276"/>
      <c r="B66" s="897" t="s">
        <v>1810</v>
      </c>
      <c r="C66" s="276"/>
      <c r="D66" s="276"/>
      <c r="E66" s="276"/>
      <c r="F66" s="276"/>
      <c r="G66" s="276"/>
      <c r="H66" s="276"/>
      <c r="I66" s="276"/>
      <c r="J66" s="276"/>
      <c r="O66" s="148"/>
      <c r="P66" s="148"/>
      <c r="Q66" s="148"/>
      <c r="R66" s="148"/>
      <c r="S66" s="148"/>
      <c r="T66" s="148"/>
      <c r="U66" s="148"/>
      <c r="V66" s="148"/>
      <c r="W66" s="148"/>
    </row>
    <row r="67" spans="1:23" s="151" customFormat="1" ht="13">
      <c r="A67" s="276"/>
      <c r="B67" s="276"/>
      <c r="C67" s="276"/>
      <c r="D67" s="276"/>
      <c r="E67" s="276"/>
      <c r="F67" s="276"/>
      <c r="G67" s="276"/>
      <c r="H67" s="276"/>
      <c r="I67" s="276"/>
      <c r="J67" s="276"/>
      <c r="O67" s="148"/>
      <c r="P67" s="148"/>
      <c r="Q67" s="148"/>
      <c r="R67" s="148"/>
      <c r="S67" s="148"/>
      <c r="T67" s="148"/>
      <c r="U67" s="148"/>
      <c r="V67" s="148"/>
      <c r="W67" s="148"/>
    </row>
    <row r="68" spans="1:23" s="151" customFormat="1" ht="13">
      <c r="A68" s="276"/>
      <c r="B68" s="276"/>
      <c r="C68" s="295" t="s">
        <v>381</v>
      </c>
      <c r="D68" s="295" t="s">
        <v>212</v>
      </c>
      <c r="E68" s="295" t="s">
        <v>4</v>
      </c>
      <c r="F68" s="295" t="s">
        <v>215</v>
      </c>
      <c r="G68" s="295" t="s">
        <v>66</v>
      </c>
      <c r="H68" s="276"/>
      <c r="I68" s="898"/>
      <c r="J68" s="276"/>
      <c r="O68" s="148"/>
      <c r="P68" s="148"/>
      <c r="Q68" s="148"/>
      <c r="R68" s="148"/>
      <c r="S68" s="148"/>
      <c r="T68" s="148"/>
      <c r="U68" s="148"/>
      <c r="V68" s="148"/>
      <c r="W68" s="148"/>
    </row>
    <row r="69" spans="1:23" s="151" customFormat="1" ht="13">
      <c r="A69" s="276"/>
      <c r="B69" s="897" t="s">
        <v>1809</v>
      </c>
      <c r="C69" s="318"/>
      <c r="D69" s="318"/>
      <c r="E69" s="318"/>
      <c r="F69" s="318"/>
      <c r="G69" s="318"/>
      <c r="H69" s="899">
        <f>+ROUNDUP(SUM(G70:G85),0)</f>
        <v>1266</v>
      </c>
      <c r="I69" s="895"/>
      <c r="J69" s="276"/>
      <c r="O69" s="148"/>
      <c r="P69" s="148"/>
      <c r="Q69" s="148"/>
      <c r="R69" s="148"/>
      <c r="S69" s="148"/>
      <c r="T69" s="148"/>
      <c r="U69" s="148"/>
      <c r="V69" s="148"/>
      <c r="W69" s="148"/>
    </row>
    <row r="70" spans="1:23" s="151" customFormat="1" ht="13">
      <c r="A70" s="276"/>
      <c r="B70" s="894" t="s">
        <v>1805</v>
      </c>
      <c r="C70" s="894"/>
      <c r="D70" s="894"/>
      <c r="E70" s="894">
        <v>60</v>
      </c>
      <c r="F70" s="894">
        <v>3.45</v>
      </c>
      <c r="G70" s="894">
        <f t="shared" ref="G70:G85" si="15">+E70*F70</f>
        <v>207</v>
      </c>
      <c r="H70" s="276"/>
      <c r="I70" s="276"/>
      <c r="J70" s="276"/>
      <c r="O70" s="148"/>
      <c r="P70" s="148"/>
      <c r="Q70" s="148"/>
      <c r="R70" s="148"/>
      <c r="S70" s="148"/>
      <c r="T70" s="148"/>
      <c r="U70" s="148"/>
      <c r="V70" s="148"/>
      <c r="W70" s="148"/>
    </row>
    <row r="71" spans="1:23" s="151" customFormat="1" ht="13">
      <c r="A71" s="276"/>
      <c r="B71" s="894" t="s">
        <v>1808</v>
      </c>
      <c r="C71" s="894">
        <v>2.4</v>
      </c>
      <c r="D71" s="894">
        <v>9.94</v>
      </c>
      <c r="E71" s="894">
        <f>+C71*D71</f>
        <v>23.855999999999998</v>
      </c>
      <c r="F71" s="894">
        <v>3.85</v>
      </c>
      <c r="G71" s="894">
        <f t="shared" si="15"/>
        <v>91.84559999999999</v>
      </c>
      <c r="H71" s="276"/>
      <c r="I71" s="276"/>
      <c r="J71" s="276"/>
      <c r="O71" s="148"/>
      <c r="P71" s="148"/>
      <c r="Q71" s="148"/>
      <c r="R71" s="148"/>
      <c r="S71" s="148"/>
      <c r="T71" s="148"/>
      <c r="U71" s="148"/>
      <c r="V71" s="148"/>
      <c r="W71" s="148"/>
    </row>
    <row r="72" spans="1:23" s="151" customFormat="1" ht="13">
      <c r="A72" s="276"/>
      <c r="B72" s="894" t="s">
        <v>1805</v>
      </c>
      <c r="C72" s="894">
        <v>2.15</v>
      </c>
      <c r="D72" s="894">
        <v>9.94</v>
      </c>
      <c r="E72" s="894">
        <f>+C72*D72</f>
        <v>21.370999999999999</v>
      </c>
      <c r="F72" s="894">
        <v>3.45</v>
      </c>
      <c r="G72" s="894">
        <f t="shared" si="15"/>
        <v>73.729950000000002</v>
      </c>
      <c r="H72" s="276"/>
      <c r="I72" s="276"/>
      <c r="J72" s="276"/>
      <c r="O72" s="148"/>
      <c r="P72" s="148"/>
      <c r="Q72" s="148"/>
      <c r="R72" s="148"/>
      <c r="S72" s="148"/>
      <c r="T72" s="148"/>
      <c r="U72" s="148"/>
      <c r="V72" s="148"/>
      <c r="W72" s="148"/>
    </row>
    <row r="73" spans="1:23" s="151" customFormat="1" ht="13">
      <c r="A73" s="276"/>
      <c r="B73" s="894" t="s">
        <v>1808</v>
      </c>
      <c r="C73" s="894">
        <v>2.4</v>
      </c>
      <c r="D73" s="894">
        <v>9.94</v>
      </c>
      <c r="E73" s="894">
        <f>+C73*D73</f>
        <v>23.855999999999998</v>
      </c>
      <c r="F73" s="894">
        <v>3.85</v>
      </c>
      <c r="G73" s="894">
        <f t="shared" si="15"/>
        <v>91.84559999999999</v>
      </c>
      <c r="H73" s="276"/>
      <c r="I73" s="276"/>
      <c r="J73" s="276"/>
      <c r="O73" s="148"/>
      <c r="P73" s="148"/>
      <c r="Q73" s="148"/>
      <c r="R73" s="148"/>
      <c r="S73" s="148"/>
      <c r="T73" s="148"/>
      <c r="U73" s="148"/>
      <c r="V73" s="148"/>
      <c r="W73" s="148"/>
    </row>
    <row r="74" spans="1:23" s="151" customFormat="1" ht="13">
      <c r="A74" s="276"/>
      <c r="B74" s="894" t="s">
        <v>1805</v>
      </c>
      <c r="C74" s="894">
        <v>2.8</v>
      </c>
      <c r="D74" s="894">
        <v>9.94</v>
      </c>
      <c r="E74" s="894">
        <f>+C74*D74</f>
        <v>27.831999999999997</v>
      </c>
      <c r="F74" s="894">
        <v>3.45</v>
      </c>
      <c r="G74" s="894">
        <f t="shared" si="15"/>
        <v>96.020399999999995</v>
      </c>
      <c r="H74" s="276"/>
      <c r="I74" s="276"/>
      <c r="J74" s="276"/>
      <c r="O74" s="148"/>
      <c r="P74" s="148"/>
      <c r="Q74" s="148"/>
      <c r="R74" s="148"/>
      <c r="S74" s="148"/>
      <c r="T74" s="148"/>
      <c r="U74" s="148"/>
      <c r="V74" s="148"/>
      <c r="W74" s="148"/>
    </row>
    <row r="75" spans="1:23" s="151" customFormat="1" ht="13">
      <c r="A75" s="276"/>
      <c r="B75" s="894" t="s">
        <v>1806</v>
      </c>
      <c r="C75" s="894"/>
      <c r="D75" s="894"/>
      <c r="E75" s="894">
        <v>65.849999999999994</v>
      </c>
      <c r="F75" s="894">
        <v>3.65</v>
      </c>
      <c r="G75" s="894">
        <f t="shared" si="15"/>
        <v>240.35249999999996</v>
      </c>
      <c r="H75" s="276"/>
      <c r="I75" s="276"/>
      <c r="J75" s="276"/>
      <c r="O75" s="148"/>
      <c r="P75" s="148"/>
      <c r="Q75" s="148"/>
      <c r="R75" s="148"/>
      <c r="S75" s="148"/>
      <c r="T75" s="148"/>
      <c r="U75" s="148"/>
      <c r="V75" s="148"/>
      <c r="W75" s="148"/>
    </row>
    <row r="76" spans="1:23" s="151" customFormat="1" ht="13">
      <c r="A76" s="276"/>
      <c r="B76" s="894" t="s">
        <v>1805</v>
      </c>
      <c r="C76" s="894">
        <v>4.76</v>
      </c>
      <c r="D76" s="894">
        <v>5.19</v>
      </c>
      <c r="E76" s="894">
        <f t="shared" ref="E76:E85" si="16">+C76*D76</f>
        <v>24.7044</v>
      </c>
      <c r="F76" s="894">
        <v>3.45</v>
      </c>
      <c r="G76" s="894">
        <f t="shared" si="15"/>
        <v>85.230180000000004</v>
      </c>
      <c r="H76" s="276"/>
      <c r="I76" s="276"/>
      <c r="J76" s="276"/>
      <c r="O76" s="148"/>
      <c r="P76" s="148"/>
      <c r="Q76" s="148"/>
      <c r="R76" s="148"/>
      <c r="S76" s="148"/>
      <c r="T76" s="148"/>
      <c r="U76" s="148"/>
      <c r="V76" s="148"/>
      <c r="W76" s="148"/>
    </row>
    <row r="77" spans="1:23" s="151" customFormat="1" ht="13">
      <c r="A77" s="276"/>
      <c r="B77" s="894" t="s">
        <v>1807</v>
      </c>
      <c r="C77" s="894">
        <v>2.6150000000000002</v>
      </c>
      <c r="D77" s="894">
        <v>2.52</v>
      </c>
      <c r="E77" s="894">
        <f t="shared" si="16"/>
        <v>6.5898000000000003</v>
      </c>
      <c r="F77" s="894">
        <v>1.4</v>
      </c>
      <c r="G77" s="894">
        <f t="shared" si="15"/>
        <v>9.225719999999999</v>
      </c>
      <c r="H77" s="276"/>
      <c r="I77" s="276"/>
      <c r="J77" s="276"/>
      <c r="O77" s="148"/>
      <c r="P77" s="148"/>
      <c r="Q77" s="148"/>
      <c r="R77" s="148"/>
      <c r="S77" s="148"/>
      <c r="T77" s="148"/>
      <c r="U77" s="148"/>
      <c r="V77" s="148"/>
      <c r="W77" s="148"/>
    </row>
    <row r="78" spans="1:23" s="151" customFormat="1" ht="13">
      <c r="A78" s="276"/>
      <c r="B78" s="894" t="s">
        <v>1805</v>
      </c>
      <c r="C78" s="894">
        <v>3.32</v>
      </c>
      <c r="D78" s="894">
        <v>9.94</v>
      </c>
      <c r="E78" s="894">
        <f t="shared" si="16"/>
        <v>33.000799999999998</v>
      </c>
      <c r="F78" s="894">
        <v>3.45</v>
      </c>
      <c r="G78" s="894">
        <f t="shared" si="15"/>
        <v>113.85276</v>
      </c>
      <c r="H78" s="276"/>
      <c r="I78" s="276"/>
      <c r="J78" s="276"/>
      <c r="O78" s="148"/>
      <c r="P78" s="148"/>
      <c r="Q78" s="148"/>
      <c r="R78" s="148"/>
      <c r="S78" s="148"/>
      <c r="T78" s="148"/>
      <c r="U78" s="148"/>
      <c r="V78" s="148"/>
      <c r="W78" s="148"/>
    </row>
    <row r="79" spans="1:23" s="151" customFormat="1" ht="13">
      <c r="A79" s="276"/>
      <c r="B79" s="894" t="s">
        <v>1806</v>
      </c>
      <c r="C79" s="894">
        <v>2</v>
      </c>
      <c r="D79" s="894">
        <v>9.94</v>
      </c>
      <c r="E79" s="894">
        <f t="shared" si="16"/>
        <v>19.88</v>
      </c>
      <c r="F79" s="894">
        <v>3.65</v>
      </c>
      <c r="G79" s="894">
        <f t="shared" si="15"/>
        <v>72.561999999999998</v>
      </c>
      <c r="H79" s="276"/>
      <c r="I79" s="276"/>
      <c r="J79" s="276"/>
      <c r="O79" s="148"/>
      <c r="P79" s="148"/>
      <c r="Q79" s="148"/>
      <c r="R79" s="148"/>
      <c r="S79" s="148"/>
      <c r="T79" s="148"/>
      <c r="U79" s="148"/>
      <c r="V79" s="148"/>
      <c r="W79" s="148"/>
    </row>
    <row r="80" spans="1:23" s="151" customFormat="1" ht="13">
      <c r="A80" s="276"/>
      <c r="B80" s="894" t="s">
        <v>1805</v>
      </c>
      <c r="C80" s="894">
        <v>2.87</v>
      </c>
      <c r="D80" s="894">
        <v>9.94</v>
      </c>
      <c r="E80" s="894">
        <f t="shared" si="16"/>
        <v>28.527799999999999</v>
      </c>
      <c r="F80" s="894">
        <v>3.45</v>
      </c>
      <c r="G80" s="894">
        <f t="shared" si="15"/>
        <v>98.420910000000006</v>
      </c>
      <c r="H80" s="276"/>
      <c r="I80" s="276"/>
      <c r="J80" s="276"/>
      <c r="O80" s="148"/>
      <c r="P80" s="148"/>
      <c r="Q80" s="148"/>
      <c r="R80" s="148"/>
      <c r="S80" s="148"/>
      <c r="T80" s="148"/>
      <c r="U80" s="148"/>
      <c r="V80" s="148"/>
      <c r="W80" s="148"/>
    </row>
    <row r="81" spans="1:23" s="151" customFormat="1" ht="13">
      <c r="A81" s="276"/>
      <c r="B81" s="894" t="s">
        <v>1804</v>
      </c>
      <c r="C81" s="894">
        <v>1.55</v>
      </c>
      <c r="D81" s="894">
        <v>9.94</v>
      </c>
      <c r="E81" s="894">
        <f t="shared" si="16"/>
        <v>15.407</v>
      </c>
      <c r="F81" s="894">
        <v>3.75</v>
      </c>
      <c r="G81" s="894">
        <f t="shared" si="15"/>
        <v>57.776249999999997</v>
      </c>
      <c r="H81" s="276"/>
      <c r="I81" s="276"/>
      <c r="J81" s="276"/>
      <c r="O81" s="148"/>
      <c r="P81" s="148"/>
      <c r="Q81" s="148"/>
      <c r="R81" s="148"/>
      <c r="S81" s="148"/>
      <c r="T81" s="148"/>
      <c r="U81" s="148"/>
      <c r="V81" s="148"/>
      <c r="W81" s="148"/>
    </row>
    <row r="82" spans="1:23" s="151" customFormat="1" ht="13">
      <c r="A82" s="276"/>
      <c r="B82" s="276" t="s">
        <v>1803</v>
      </c>
      <c r="C82" s="894">
        <v>0.8</v>
      </c>
      <c r="D82" s="894">
        <v>8.42</v>
      </c>
      <c r="E82" s="894">
        <f t="shared" si="16"/>
        <v>6.7360000000000007</v>
      </c>
      <c r="F82" s="894">
        <v>0.4</v>
      </c>
      <c r="G82" s="894">
        <f t="shared" si="15"/>
        <v>2.6944000000000004</v>
      </c>
      <c r="H82" s="276"/>
      <c r="I82" s="276"/>
      <c r="J82" s="276"/>
      <c r="O82" s="148"/>
      <c r="P82" s="148"/>
      <c r="Q82" s="148"/>
      <c r="R82" s="148"/>
      <c r="S82" s="148"/>
      <c r="T82" s="148"/>
      <c r="U82" s="148"/>
      <c r="V82" s="148"/>
      <c r="W82" s="148"/>
    </row>
    <row r="83" spans="1:23" s="151" customFormat="1" ht="13">
      <c r="A83" s="276"/>
      <c r="B83" s="276" t="s">
        <v>1802</v>
      </c>
      <c r="C83" s="894">
        <v>0.8</v>
      </c>
      <c r="D83" s="894">
        <v>35.32</v>
      </c>
      <c r="E83" s="894">
        <f t="shared" si="16"/>
        <v>28.256</v>
      </c>
      <c r="F83" s="894">
        <v>0.4</v>
      </c>
      <c r="G83" s="894">
        <f t="shared" si="15"/>
        <v>11.3024</v>
      </c>
      <c r="H83" s="276"/>
      <c r="I83" s="276"/>
      <c r="J83" s="276"/>
      <c r="O83" s="148"/>
      <c r="P83" s="148"/>
      <c r="Q83" s="148"/>
      <c r="R83" s="148"/>
      <c r="S83" s="148"/>
      <c r="T83" s="148"/>
      <c r="U83" s="148"/>
      <c r="V83" s="148"/>
      <c r="W83" s="148"/>
    </row>
    <row r="84" spans="1:23" s="151" customFormat="1" ht="13">
      <c r="A84" s="276"/>
      <c r="B84" s="276" t="s">
        <v>1801</v>
      </c>
      <c r="C84" s="894">
        <v>0.8</v>
      </c>
      <c r="D84" s="894">
        <v>33.979999999999997</v>
      </c>
      <c r="E84" s="894">
        <f t="shared" si="16"/>
        <v>27.183999999999997</v>
      </c>
      <c r="F84" s="894">
        <v>0.4</v>
      </c>
      <c r="G84" s="894">
        <f t="shared" si="15"/>
        <v>10.8736</v>
      </c>
      <c r="H84" s="276"/>
      <c r="I84" s="276"/>
      <c r="J84" s="276"/>
      <c r="O84" s="148"/>
      <c r="P84" s="148"/>
      <c r="Q84" s="148"/>
      <c r="R84" s="148"/>
      <c r="S84" s="148"/>
      <c r="T84" s="148"/>
      <c r="U84" s="148"/>
      <c r="V84" s="148"/>
      <c r="W84" s="148"/>
    </row>
    <row r="85" spans="1:23" s="151" customFormat="1" ht="13">
      <c r="A85" s="276"/>
      <c r="B85" s="276" t="s">
        <v>1800</v>
      </c>
      <c r="C85" s="894">
        <v>0.8</v>
      </c>
      <c r="D85" s="894">
        <v>8.34</v>
      </c>
      <c r="E85" s="894">
        <f t="shared" si="16"/>
        <v>6.6720000000000006</v>
      </c>
      <c r="F85" s="894">
        <v>0.4</v>
      </c>
      <c r="G85" s="894">
        <f t="shared" si="15"/>
        <v>2.6688000000000005</v>
      </c>
      <c r="H85" s="276"/>
      <c r="I85" s="276"/>
      <c r="J85" s="276"/>
      <c r="O85" s="148"/>
      <c r="P85" s="148"/>
      <c r="Q85" s="148"/>
      <c r="R85" s="148"/>
      <c r="S85" s="148"/>
      <c r="T85" s="148"/>
      <c r="U85" s="148"/>
      <c r="V85" s="148"/>
      <c r="W85" s="148"/>
    </row>
    <row r="86" spans="1:23" s="151" customFormat="1" ht="13">
      <c r="A86" s="276"/>
      <c r="B86" s="276"/>
      <c r="C86" s="276"/>
      <c r="D86" s="276"/>
      <c r="E86" s="896"/>
      <c r="F86" s="276"/>
      <c r="G86" s="276"/>
      <c r="H86" s="276"/>
      <c r="I86" s="898"/>
      <c r="J86" s="276"/>
      <c r="O86" s="148"/>
      <c r="P86" s="148"/>
      <c r="Q86" s="148"/>
      <c r="R86" s="148"/>
      <c r="S86" s="148"/>
      <c r="T86" s="148"/>
      <c r="U86" s="148"/>
      <c r="V86" s="148"/>
      <c r="W86" s="148"/>
    </row>
    <row r="87" spans="1:23" s="151" customFormat="1" ht="13">
      <c r="A87" s="276"/>
      <c r="B87" s="897" t="s">
        <v>1799</v>
      </c>
      <c r="C87" s="276"/>
      <c r="D87" s="276"/>
      <c r="E87" s="276"/>
      <c r="F87" s="276"/>
      <c r="G87" s="276"/>
      <c r="H87" s="899">
        <f>+ROUNDUP(SUM(G88:G89),0)</f>
        <v>2</v>
      </c>
      <c r="I87" s="895"/>
      <c r="J87" s="276"/>
      <c r="O87" s="148"/>
      <c r="P87" s="148"/>
      <c r="Q87" s="148"/>
      <c r="R87" s="148"/>
      <c r="S87" s="148"/>
      <c r="T87" s="148"/>
      <c r="U87" s="148"/>
      <c r="V87" s="148"/>
      <c r="W87" s="148"/>
    </row>
    <row r="88" spans="1:23" s="151" customFormat="1" ht="13">
      <c r="A88" s="276"/>
      <c r="B88" s="276" t="s">
        <v>1798</v>
      </c>
      <c r="C88" s="276">
        <v>1</v>
      </c>
      <c r="D88" s="276">
        <v>1</v>
      </c>
      <c r="E88" s="894">
        <f>+C88*D88</f>
        <v>1</v>
      </c>
      <c r="F88" s="894">
        <v>1.1000000000000001</v>
      </c>
      <c r="G88" s="894">
        <f>+E88*F88</f>
        <v>1.1000000000000001</v>
      </c>
      <c r="H88" s="276"/>
      <c r="I88" s="276"/>
      <c r="J88" s="276"/>
      <c r="O88" s="148"/>
      <c r="P88" s="148"/>
      <c r="Q88" s="148"/>
      <c r="R88" s="148"/>
      <c r="S88" s="148"/>
      <c r="T88" s="148"/>
      <c r="U88" s="148"/>
      <c r="V88" s="148"/>
      <c r="W88" s="148"/>
    </row>
    <row r="89" spans="1:23" s="151" customFormat="1" ht="13">
      <c r="A89" s="276"/>
      <c r="B89" s="276" t="s">
        <v>1797</v>
      </c>
      <c r="C89" s="276">
        <v>0.8</v>
      </c>
      <c r="D89" s="276">
        <v>0.8</v>
      </c>
      <c r="E89" s="894">
        <f>+C89*D89</f>
        <v>0.64000000000000012</v>
      </c>
      <c r="F89" s="894">
        <v>1.1000000000000001</v>
      </c>
      <c r="G89" s="894">
        <f>+E89*F89</f>
        <v>0.70400000000000018</v>
      </c>
      <c r="H89" s="276"/>
      <c r="I89" s="276"/>
      <c r="J89" s="276"/>
      <c r="O89" s="148"/>
      <c r="P89" s="148"/>
      <c r="Q89" s="148"/>
      <c r="R89" s="148"/>
      <c r="S89" s="148"/>
      <c r="T89" s="148"/>
      <c r="U89" s="148"/>
      <c r="V89" s="148"/>
      <c r="W89" s="148"/>
    </row>
    <row r="90" spans="1:23" s="151" customFormat="1" ht="13">
      <c r="A90" s="276"/>
      <c r="B90" s="276"/>
      <c r="C90" s="276"/>
      <c r="D90" s="276"/>
      <c r="E90" s="276"/>
      <c r="F90" s="276"/>
      <c r="G90" s="276"/>
      <c r="H90" s="276"/>
      <c r="I90" s="276"/>
      <c r="J90" s="276"/>
      <c r="O90" s="148"/>
      <c r="P90" s="148"/>
      <c r="Q90" s="148"/>
      <c r="R90" s="148"/>
      <c r="S90" s="148"/>
      <c r="T90" s="148"/>
      <c r="U90" s="148"/>
      <c r="V90" s="148"/>
      <c r="W90" s="148"/>
    </row>
    <row r="91" spans="1:23" s="151" customFormat="1" ht="13">
      <c r="D91" s="151" t="s">
        <v>1812</v>
      </c>
      <c r="E91" s="384">
        <f>+SUM(E70:E81)</f>
        <v>350.87479999999994</v>
      </c>
      <c r="O91" s="148"/>
      <c r="P91" s="148"/>
      <c r="Q91" s="148"/>
      <c r="R91" s="148"/>
      <c r="S91" s="148"/>
      <c r="T91" s="148"/>
      <c r="U91" s="148"/>
      <c r="V91" s="148"/>
      <c r="W91" s="148"/>
    </row>
    <row r="92" spans="1:23" s="151" customFormat="1" ht="13">
      <c r="D92" s="151" t="s">
        <v>215</v>
      </c>
      <c r="E92" s="151">
        <v>0.1</v>
      </c>
      <c r="O92" s="148"/>
      <c r="P92" s="148"/>
      <c r="Q92" s="148"/>
      <c r="R92" s="148"/>
      <c r="S92" s="148"/>
      <c r="T92" s="148"/>
      <c r="U92" s="148"/>
      <c r="V92" s="148"/>
      <c r="W92" s="148"/>
    </row>
    <row r="93" spans="1:23" s="151" customFormat="1" ht="13">
      <c r="D93" s="151" t="s">
        <v>1781</v>
      </c>
      <c r="E93" s="156">
        <f>+ROUND(E91*E92,0)</f>
        <v>35</v>
      </c>
      <c r="O93" s="148"/>
      <c r="P93" s="148"/>
      <c r="Q93" s="148"/>
      <c r="R93" s="148"/>
      <c r="S93" s="148"/>
      <c r="T93" s="148"/>
      <c r="U93" s="148"/>
      <c r="V93" s="148"/>
      <c r="W93" s="148"/>
    </row>
    <row r="94" spans="1:23" s="151" customFormat="1" ht="13">
      <c r="O94" s="148"/>
      <c r="P94" s="148"/>
      <c r="Q94" s="148"/>
      <c r="R94" s="148"/>
      <c r="S94" s="148"/>
      <c r="T94" s="148"/>
      <c r="U94" s="148"/>
      <c r="V94" s="148"/>
      <c r="W94" s="148"/>
    </row>
    <row r="95" spans="1:23" s="151" customFormat="1" ht="13">
      <c r="O95" s="148"/>
      <c r="P95" s="148"/>
      <c r="Q95" s="148"/>
      <c r="R95" s="148"/>
      <c r="S95" s="148"/>
      <c r="T95" s="148"/>
      <c r="U95" s="148"/>
      <c r="V95" s="148"/>
      <c r="W95" s="148"/>
    </row>
    <row r="96" spans="1:23" s="151" customFormat="1" ht="13">
      <c r="O96" s="148"/>
      <c r="P96" s="148"/>
      <c r="Q96" s="148"/>
      <c r="R96" s="148"/>
      <c r="S96" s="148"/>
      <c r="T96" s="148"/>
      <c r="U96" s="148"/>
      <c r="V96" s="148"/>
      <c r="W96" s="148"/>
    </row>
    <row r="97" spans="15:23" s="151" customFormat="1" ht="13">
      <c r="O97" s="148"/>
      <c r="P97" s="148"/>
      <c r="Q97" s="148"/>
      <c r="R97" s="148"/>
      <c r="S97" s="148"/>
      <c r="T97" s="148"/>
      <c r="U97" s="148"/>
      <c r="V97" s="148"/>
      <c r="W97" s="148"/>
    </row>
    <row r="98" spans="15:23" s="151" customFormat="1" ht="13">
      <c r="O98" s="148"/>
      <c r="P98" s="148"/>
      <c r="Q98" s="148"/>
      <c r="R98" s="148"/>
      <c r="S98" s="148"/>
      <c r="T98" s="148"/>
      <c r="U98" s="148"/>
      <c r="V98" s="148"/>
      <c r="W98" s="148"/>
    </row>
    <row r="99" spans="15:23" s="151" customFormat="1" ht="13">
      <c r="O99" s="148"/>
      <c r="P99" s="148"/>
      <c r="Q99" s="148"/>
      <c r="R99" s="148"/>
      <c r="S99" s="148"/>
      <c r="T99" s="148"/>
      <c r="U99" s="148"/>
      <c r="V99" s="148"/>
      <c r="W99" s="148"/>
    </row>
    <row r="100" spans="15:23" s="151" customFormat="1" ht="13">
      <c r="O100" s="148"/>
      <c r="P100" s="148"/>
      <c r="Q100" s="148"/>
      <c r="R100" s="148"/>
      <c r="S100" s="148"/>
      <c r="T100" s="148"/>
      <c r="U100" s="148"/>
      <c r="V100" s="148"/>
      <c r="W100" s="148"/>
    </row>
    <row r="101" spans="15:23" s="151" customFormat="1" ht="13">
      <c r="O101" s="148"/>
      <c r="P101" s="148"/>
      <c r="Q101" s="148"/>
      <c r="R101" s="148"/>
      <c r="S101" s="148"/>
      <c r="T101" s="148"/>
      <c r="U101" s="148"/>
      <c r="V101" s="148"/>
      <c r="W101" s="148"/>
    </row>
    <row r="102" spans="15:23" s="151" customFormat="1" ht="13">
      <c r="O102" s="148"/>
      <c r="P102" s="148"/>
      <c r="Q102" s="148"/>
      <c r="R102" s="148"/>
      <c r="S102" s="148"/>
      <c r="T102" s="148"/>
      <c r="U102" s="148"/>
      <c r="V102" s="148"/>
      <c r="W102" s="148"/>
    </row>
    <row r="103" spans="15:23" s="151" customFormat="1" ht="13">
      <c r="O103" s="148"/>
      <c r="P103" s="148"/>
      <c r="Q103" s="148"/>
      <c r="R103" s="148"/>
      <c r="S103" s="148"/>
      <c r="T103" s="148"/>
      <c r="U103" s="148"/>
      <c r="V103" s="148"/>
      <c r="W103" s="148"/>
    </row>
    <row r="104" spans="15:23" s="151" customFormat="1" ht="13">
      <c r="O104" s="148"/>
      <c r="P104" s="148"/>
      <c r="Q104" s="148"/>
      <c r="R104" s="148"/>
      <c r="S104" s="148"/>
      <c r="T104" s="148"/>
      <c r="U104" s="148"/>
      <c r="V104" s="148"/>
      <c r="W104" s="148"/>
    </row>
    <row r="105" spans="15:23" s="151" customFormat="1" ht="13">
      <c r="O105" s="148"/>
      <c r="P105" s="148"/>
      <c r="Q105" s="148"/>
      <c r="R105" s="148"/>
      <c r="S105" s="148"/>
      <c r="T105" s="148"/>
      <c r="U105" s="148"/>
      <c r="V105" s="148"/>
      <c r="W105" s="148"/>
    </row>
    <row r="106" spans="15:23" s="151" customFormat="1" ht="13">
      <c r="O106" s="148"/>
      <c r="P106" s="148"/>
      <c r="Q106" s="148"/>
      <c r="R106" s="148"/>
      <c r="S106" s="148"/>
      <c r="T106" s="148"/>
      <c r="U106" s="148"/>
      <c r="V106" s="148"/>
      <c r="W106" s="148"/>
    </row>
    <row r="107" spans="15:23" s="151" customFormat="1" ht="13">
      <c r="O107" s="148"/>
      <c r="P107" s="148"/>
      <c r="Q107" s="148"/>
      <c r="R107" s="148"/>
      <c r="S107" s="148"/>
      <c r="T107" s="148"/>
      <c r="U107" s="148"/>
      <c r="V107" s="148"/>
      <c r="W107" s="148"/>
    </row>
    <row r="108" spans="15:23" s="151" customFormat="1" ht="13">
      <c r="O108" s="148"/>
      <c r="P108" s="148"/>
      <c r="Q108" s="148"/>
      <c r="R108" s="148"/>
      <c r="S108" s="148"/>
      <c r="T108" s="148"/>
      <c r="U108" s="148"/>
      <c r="V108" s="148"/>
      <c r="W108" s="148"/>
    </row>
    <row r="109" spans="15:23" s="151" customFormat="1" ht="13">
      <c r="O109" s="148"/>
      <c r="P109" s="148"/>
      <c r="Q109" s="148"/>
      <c r="R109" s="148"/>
      <c r="S109" s="148"/>
      <c r="T109" s="148"/>
      <c r="U109" s="148"/>
      <c r="V109" s="148"/>
      <c r="W109" s="148"/>
    </row>
    <row r="110" spans="15:23" s="151" customFormat="1" ht="13">
      <c r="O110" s="148"/>
      <c r="P110" s="148"/>
      <c r="Q110" s="148"/>
      <c r="R110" s="148"/>
      <c r="S110" s="148"/>
      <c r="T110" s="148"/>
      <c r="U110" s="148"/>
      <c r="V110" s="148"/>
      <c r="W110" s="148"/>
    </row>
    <row r="111" spans="15:23" s="151" customFormat="1" ht="13">
      <c r="O111" s="148"/>
      <c r="P111" s="148"/>
      <c r="Q111" s="148"/>
      <c r="R111" s="148"/>
      <c r="S111" s="148"/>
      <c r="T111" s="148"/>
      <c r="U111" s="148"/>
      <c r="V111" s="148"/>
      <c r="W111" s="148"/>
    </row>
    <row r="112" spans="15:23" s="151" customFormat="1" ht="13">
      <c r="O112" s="148"/>
      <c r="P112" s="148"/>
      <c r="Q112" s="148"/>
      <c r="R112" s="148"/>
      <c r="S112" s="148"/>
      <c r="T112" s="148"/>
      <c r="U112" s="148"/>
      <c r="V112" s="148"/>
      <c r="W112" s="148"/>
    </row>
    <row r="113" spans="15:23" s="151" customFormat="1" ht="13">
      <c r="O113" s="148"/>
      <c r="P113" s="148"/>
      <c r="Q113" s="148"/>
      <c r="R113" s="148"/>
      <c r="S113" s="148"/>
      <c r="T113" s="148"/>
      <c r="U113" s="148"/>
      <c r="V113" s="148"/>
      <c r="W113" s="148"/>
    </row>
    <row r="114" spans="15:23" s="151" customFormat="1" ht="13">
      <c r="O114" s="148"/>
      <c r="P114" s="148"/>
      <c r="Q114" s="148"/>
      <c r="R114" s="148"/>
      <c r="S114" s="148"/>
      <c r="T114" s="148"/>
      <c r="U114" s="148"/>
      <c r="V114" s="148"/>
      <c r="W114" s="148"/>
    </row>
    <row r="115" spans="15:23" s="151" customFormat="1" ht="13">
      <c r="O115" s="148"/>
      <c r="P115" s="148"/>
      <c r="Q115" s="148"/>
      <c r="R115" s="148"/>
      <c r="S115" s="148"/>
      <c r="T115" s="148"/>
      <c r="U115" s="148"/>
      <c r="V115" s="148"/>
      <c r="W115" s="148"/>
    </row>
    <row r="116" spans="15:23" s="151" customFormat="1" ht="13">
      <c r="O116" s="148"/>
      <c r="P116" s="148"/>
      <c r="Q116" s="148"/>
      <c r="R116" s="148"/>
      <c r="S116" s="148"/>
      <c r="T116" s="148"/>
      <c r="U116" s="148"/>
      <c r="V116" s="148"/>
      <c r="W116" s="148"/>
    </row>
    <row r="117" spans="15:23" s="151" customFormat="1" ht="13">
      <c r="O117" s="148"/>
      <c r="P117" s="148"/>
      <c r="Q117" s="148"/>
      <c r="R117" s="148"/>
      <c r="S117" s="148"/>
      <c r="T117" s="148"/>
      <c r="U117" s="148"/>
      <c r="V117" s="148"/>
      <c r="W117" s="148"/>
    </row>
    <row r="118" spans="15:23" s="151" customFormat="1" ht="13">
      <c r="O118" s="148"/>
      <c r="P118" s="148"/>
      <c r="Q118" s="148"/>
      <c r="R118" s="148"/>
      <c r="S118" s="148"/>
      <c r="T118" s="148"/>
      <c r="U118" s="148"/>
      <c r="V118" s="148"/>
      <c r="W118" s="148"/>
    </row>
    <row r="119" spans="15:23" s="151" customFormat="1" ht="13">
      <c r="O119" s="148"/>
      <c r="P119" s="148"/>
      <c r="Q119" s="148"/>
      <c r="R119" s="148"/>
      <c r="S119" s="148"/>
      <c r="T119" s="148"/>
      <c r="U119" s="148"/>
      <c r="V119" s="148"/>
      <c r="W119" s="148"/>
    </row>
    <row r="120" spans="15:23" s="151" customFormat="1" ht="13">
      <c r="O120" s="148"/>
      <c r="P120" s="148"/>
      <c r="Q120" s="148"/>
      <c r="R120" s="148"/>
      <c r="S120" s="148"/>
      <c r="T120" s="148"/>
      <c r="U120" s="148"/>
      <c r="V120" s="148"/>
      <c r="W120" s="148"/>
    </row>
    <row r="121" spans="15:23" s="151" customFormat="1" ht="13">
      <c r="O121" s="148"/>
      <c r="P121" s="148"/>
      <c r="Q121" s="148"/>
      <c r="R121" s="148"/>
      <c r="S121" s="148"/>
      <c r="T121" s="148"/>
      <c r="U121" s="148"/>
      <c r="V121" s="148"/>
      <c r="W121" s="148"/>
    </row>
    <row r="122" spans="15:23" s="151" customFormat="1" ht="13">
      <c r="O122" s="148"/>
      <c r="P122" s="148"/>
      <c r="Q122" s="148"/>
      <c r="R122" s="148"/>
      <c r="S122" s="148"/>
      <c r="T122" s="148"/>
      <c r="U122" s="148"/>
      <c r="V122" s="148"/>
      <c r="W122" s="148"/>
    </row>
    <row r="123" spans="15:23" s="151" customFormat="1" ht="13">
      <c r="O123" s="148"/>
      <c r="P123" s="148"/>
      <c r="Q123" s="148"/>
      <c r="R123" s="148"/>
      <c r="S123" s="148"/>
      <c r="T123" s="148"/>
      <c r="U123" s="148"/>
      <c r="V123" s="148"/>
      <c r="W123" s="148"/>
    </row>
    <row r="124" spans="15:23" s="151" customFormat="1" ht="13">
      <c r="O124" s="148"/>
      <c r="P124" s="148"/>
      <c r="Q124" s="148"/>
      <c r="R124" s="148"/>
      <c r="S124" s="148"/>
      <c r="T124" s="148"/>
      <c r="U124" s="148"/>
      <c r="V124" s="148"/>
      <c r="W124" s="148"/>
    </row>
    <row r="125" spans="15:23" s="151" customFormat="1" ht="13">
      <c r="O125" s="148"/>
      <c r="P125" s="148"/>
      <c r="Q125" s="148"/>
      <c r="R125" s="148"/>
      <c r="S125" s="148"/>
      <c r="T125" s="148"/>
      <c r="U125" s="148"/>
      <c r="V125" s="148"/>
      <c r="W125" s="148"/>
    </row>
    <row r="126" spans="15:23" s="151" customFormat="1" ht="13">
      <c r="O126" s="148"/>
      <c r="P126" s="148"/>
      <c r="Q126" s="148"/>
      <c r="R126" s="148"/>
      <c r="S126" s="148"/>
      <c r="T126" s="148"/>
      <c r="U126" s="148"/>
      <c r="V126" s="148"/>
      <c r="W126" s="148"/>
    </row>
    <row r="127" spans="15:23" s="151" customFormat="1" ht="13">
      <c r="O127" s="148"/>
      <c r="P127" s="148"/>
      <c r="Q127" s="148"/>
      <c r="R127" s="148"/>
      <c r="S127" s="148"/>
      <c r="T127" s="148"/>
      <c r="U127" s="148"/>
      <c r="V127" s="148"/>
      <c r="W127" s="148"/>
    </row>
    <row r="128" spans="15:23" s="151" customFormat="1" ht="13">
      <c r="O128" s="148"/>
      <c r="P128" s="148"/>
      <c r="Q128" s="148"/>
      <c r="R128" s="148"/>
      <c r="S128" s="148"/>
      <c r="T128" s="148"/>
      <c r="U128" s="148"/>
      <c r="V128" s="148"/>
      <c r="W128" s="148"/>
    </row>
    <row r="129" spans="15:23" s="151" customFormat="1" ht="13">
      <c r="O129" s="148"/>
      <c r="P129" s="148"/>
      <c r="Q129" s="148"/>
      <c r="R129" s="148"/>
      <c r="S129" s="148"/>
      <c r="T129" s="148"/>
      <c r="U129" s="148"/>
      <c r="V129" s="148"/>
      <c r="W129" s="148"/>
    </row>
    <row r="130" spans="15:23" s="151" customFormat="1" ht="13">
      <c r="O130" s="148"/>
      <c r="P130" s="148"/>
      <c r="Q130" s="148"/>
      <c r="R130" s="148"/>
      <c r="S130" s="148"/>
      <c r="T130" s="148"/>
      <c r="U130" s="148"/>
      <c r="V130" s="148"/>
      <c r="W130" s="148"/>
    </row>
    <row r="131" spans="15:23" s="151" customFormat="1" ht="13">
      <c r="O131" s="148"/>
      <c r="P131" s="148"/>
      <c r="Q131" s="148"/>
      <c r="R131" s="148"/>
      <c r="S131" s="148"/>
      <c r="T131" s="148"/>
      <c r="U131" s="148"/>
      <c r="V131" s="148"/>
      <c r="W131" s="148"/>
    </row>
    <row r="132" spans="15:23" s="151" customFormat="1" ht="13">
      <c r="O132" s="148"/>
      <c r="P132" s="148"/>
      <c r="Q132" s="148"/>
      <c r="R132" s="148"/>
      <c r="S132" s="148"/>
      <c r="T132" s="148"/>
      <c r="U132" s="148"/>
      <c r="V132" s="148"/>
      <c r="W132" s="148"/>
    </row>
    <row r="133" spans="15:23" s="151" customFormat="1" ht="13">
      <c r="O133" s="148"/>
      <c r="P133" s="148"/>
      <c r="Q133" s="148"/>
      <c r="R133" s="148"/>
      <c r="S133" s="148"/>
      <c r="T133" s="148"/>
      <c r="U133" s="148"/>
      <c r="V133" s="148"/>
      <c r="W133" s="148"/>
    </row>
    <row r="134" spans="15:23" s="151" customFormat="1" ht="13">
      <c r="O134" s="148"/>
      <c r="P134" s="148"/>
      <c r="Q134" s="148"/>
      <c r="R134" s="148"/>
      <c r="S134" s="148"/>
      <c r="T134" s="148"/>
      <c r="U134" s="148"/>
      <c r="V134" s="148"/>
      <c r="W134" s="148"/>
    </row>
    <row r="135" spans="15:23" s="151" customFormat="1" ht="13">
      <c r="O135" s="148"/>
      <c r="P135" s="148"/>
      <c r="Q135" s="148"/>
      <c r="R135" s="148"/>
      <c r="S135" s="148"/>
      <c r="T135" s="148"/>
      <c r="U135" s="148"/>
      <c r="V135" s="148"/>
      <c r="W135" s="148"/>
    </row>
    <row r="136" spans="15:23" s="151" customFormat="1" ht="13">
      <c r="O136" s="148"/>
      <c r="P136" s="148"/>
      <c r="Q136" s="148"/>
      <c r="R136" s="148"/>
      <c r="S136" s="148"/>
      <c r="T136" s="148"/>
      <c r="U136" s="148"/>
      <c r="V136" s="148"/>
      <c r="W136" s="148"/>
    </row>
    <row r="137" spans="15:23" s="151" customFormat="1" ht="13">
      <c r="O137" s="148"/>
      <c r="P137" s="148"/>
      <c r="Q137" s="148"/>
      <c r="R137" s="148"/>
      <c r="S137" s="148"/>
      <c r="T137" s="148"/>
      <c r="U137" s="148"/>
      <c r="V137" s="148"/>
      <c r="W137" s="148"/>
    </row>
    <row r="138" spans="15:23" s="151" customFormat="1" ht="13">
      <c r="O138" s="148"/>
      <c r="P138" s="148"/>
      <c r="Q138" s="148"/>
      <c r="R138" s="148"/>
      <c r="S138" s="148"/>
      <c r="T138" s="148"/>
      <c r="U138" s="148"/>
      <c r="V138" s="148"/>
      <c r="W138" s="148"/>
    </row>
    <row r="139" spans="15:23" s="151" customFormat="1" ht="13">
      <c r="O139" s="148"/>
      <c r="P139" s="148"/>
      <c r="Q139" s="148"/>
      <c r="R139" s="148"/>
      <c r="S139" s="148"/>
      <c r="T139" s="148"/>
      <c r="U139" s="148"/>
      <c r="V139" s="148"/>
      <c r="W139" s="148"/>
    </row>
    <row r="140" spans="15:23" s="151" customFormat="1" ht="13">
      <c r="O140" s="148"/>
      <c r="P140" s="148"/>
      <c r="Q140" s="148"/>
      <c r="R140" s="148"/>
      <c r="S140" s="148"/>
      <c r="T140" s="148"/>
      <c r="U140" s="148"/>
      <c r="V140" s="148"/>
      <c r="W140" s="148"/>
    </row>
    <row r="141" spans="15:23" s="151" customFormat="1" ht="13">
      <c r="O141" s="148"/>
      <c r="P141" s="148"/>
      <c r="Q141" s="148"/>
      <c r="R141" s="148"/>
      <c r="S141" s="148"/>
      <c r="T141" s="148"/>
      <c r="U141" s="148"/>
      <c r="V141" s="148"/>
      <c r="W141" s="148"/>
    </row>
    <row r="142" spans="15:23" s="151" customFormat="1" ht="13">
      <c r="O142" s="148"/>
      <c r="P142" s="148"/>
      <c r="Q142" s="148"/>
      <c r="R142" s="148"/>
      <c r="S142" s="148"/>
      <c r="T142" s="148"/>
      <c r="U142" s="148"/>
      <c r="V142" s="148"/>
      <c r="W142" s="148"/>
    </row>
    <row r="143" spans="15:23" s="151" customFormat="1" ht="13">
      <c r="O143" s="148"/>
      <c r="P143" s="148"/>
      <c r="Q143" s="148"/>
      <c r="R143" s="148"/>
      <c r="S143" s="148"/>
      <c r="T143" s="148"/>
      <c r="U143" s="148"/>
      <c r="V143" s="148"/>
      <c r="W143" s="148"/>
    </row>
    <row r="144" spans="15:23" s="151" customFormat="1" ht="13">
      <c r="O144" s="148"/>
      <c r="P144" s="148"/>
      <c r="Q144" s="148"/>
      <c r="R144" s="148"/>
      <c r="S144" s="148"/>
      <c r="T144" s="148"/>
      <c r="U144" s="148"/>
      <c r="V144" s="148"/>
      <c r="W144" s="148"/>
    </row>
    <row r="145" spans="15:23" s="151" customFormat="1" ht="13">
      <c r="O145" s="148"/>
      <c r="P145" s="148"/>
      <c r="Q145" s="148"/>
      <c r="R145" s="148"/>
      <c r="S145" s="148"/>
      <c r="T145" s="148"/>
      <c r="U145" s="148"/>
      <c r="V145" s="148"/>
      <c r="W145" s="148"/>
    </row>
    <row r="146" spans="15:23" s="151" customFormat="1" ht="13">
      <c r="O146" s="148"/>
      <c r="P146" s="148"/>
      <c r="Q146" s="148"/>
      <c r="R146" s="148"/>
      <c r="S146" s="148"/>
      <c r="T146" s="148"/>
      <c r="U146" s="148"/>
      <c r="V146" s="148"/>
      <c r="W146" s="148"/>
    </row>
    <row r="147" spans="15:23" s="151" customFormat="1" ht="13">
      <c r="O147" s="148"/>
      <c r="P147" s="148"/>
      <c r="Q147" s="148"/>
      <c r="R147" s="148"/>
      <c r="S147" s="148"/>
      <c r="T147" s="148"/>
      <c r="U147" s="148"/>
      <c r="V147" s="148"/>
      <c r="W147" s="148"/>
    </row>
    <row r="148" spans="15:23" s="151" customFormat="1" ht="13">
      <c r="O148" s="148"/>
      <c r="P148" s="148"/>
      <c r="Q148" s="148"/>
      <c r="R148" s="148"/>
      <c r="S148" s="148"/>
      <c r="T148" s="148"/>
      <c r="U148" s="148"/>
      <c r="V148" s="148"/>
      <c r="W148" s="148"/>
    </row>
    <row r="149" spans="15:23" s="151" customFormat="1" ht="13">
      <c r="O149" s="148"/>
      <c r="P149" s="148"/>
      <c r="Q149" s="148"/>
      <c r="R149" s="148"/>
      <c r="S149" s="148"/>
      <c r="T149" s="148"/>
      <c r="U149" s="148"/>
      <c r="V149" s="148"/>
      <c r="W149" s="148"/>
    </row>
    <row r="150" spans="15:23" s="151" customFormat="1" ht="13">
      <c r="O150" s="148"/>
      <c r="P150" s="148"/>
      <c r="Q150" s="148"/>
      <c r="R150" s="148"/>
      <c r="S150" s="148"/>
      <c r="T150" s="148"/>
      <c r="U150" s="148"/>
      <c r="V150" s="148"/>
      <c r="W150" s="148"/>
    </row>
    <row r="151" spans="15:23" s="151" customFormat="1" ht="13">
      <c r="O151" s="148"/>
      <c r="P151" s="148"/>
      <c r="Q151" s="148"/>
      <c r="R151" s="148"/>
      <c r="S151" s="148"/>
      <c r="T151" s="148"/>
      <c r="U151" s="148"/>
      <c r="V151" s="148"/>
      <c r="W151" s="148"/>
    </row>
    <row r="152" spans="15:23" s="151" customFormat="1" ht="13">
      <c r="O152" s="148"/>
      <c r="P152" s="148"/>
      <c r="Q152" s="148"/>
      <c r="R152" s="148"/>
      <c r="S152" s="148"/>
      <c r="T152" s="148"/>
      <c r="U152" s="148"/>
      <c r="V152" s="148"/>
      <c r="W152" s="148"/>
    </row>
    <row r="153" spans="15:23" s="151" customFormat="1" ht="13">
      <c r="O153" s="148"/>
      <c r="P153" s="148"/>
      <c r="Q153" s="148"/>
      <c r="R153" s="148"/>
      <c r="S153" s="148"/>
      <c r="T153" s="148"/>
      <c r="U153" s="148"/>
      <c r="V153" s="148"/>
      <c r="W153" s="148"/>
    </row>
    <row r="154" spans="15:23" s="151" customFormat="1" ht="13">
      <c r="O154" s="148"/>
      <c r="P154" s="148"/>
      <c r="Q154" s="148"/>
      <c r="R154" s="148"/>
      <c r="S154" s="148"/>
      <c r="T154" s="148"/>
      <c r="U154" s="148"/>
      <c r="V154" s="148"/>
      <c r="W154" s="148"/>
    </row>
    <row r="155" spans="15:23" s="151" customFormat="1" ht="13">
      <c r="O155" s="148"/>
      <c r="P155" s="148"/>
      <c r="Q155" s="148"/>
      <c r="R155" s="148"/>
      <c r="S155" s="148"/>
      <c r="T155" s="148"/>
      <c r="U155" s="148"/>
      <c r="V155" s="148"/>
      <c r="W155" s="148"/>
    </row>
    <row r="156" spans="15:23" s="151" customFormat="1" ht="13">
      <c r="O156" s="148"/>
      <c r="P156" s="148"/>
      <c r="Q156" s="148"/>
      <c r="R156" s="148"/>
      <c r="S156" s="148"/>
      <c r="T156" s="148"/>
      <c r="U156" s="148"/>
      <c r="V156" s="148"/>
      <c r="W156" s="148"/>
    </row>
    <row r="157" spans="15:23" s="151" customFormat="1" ht="13">
      <c r="O157" s="148"/>
      <c r="P157" s="148"/>
      <c r="Q157" s="148"/>
      <c r="R157" s="148"/>
      <c r="S157" s="148"/>
      <c r="T157" s="148"/>
      <c r="U157" s="148"/>
      <c r="V157" s="148"/>
      <c r="W157" s="148"/>
    </row>
    <row r="158" spans="15:23" s="151" customFormat="1" ht="13">
      <c r="O158" s="148"/>
      <c r="P158" s="148"/>
      <c r="Q158" s="148"/>
      <c r="R158" s="148"/>
      <c r="S158" s="148"/>
      <c r="T158" s="148"/>
      <c r="U158" s="148"/>
      <c r="V158" s="148"/>
      <c r="W158" s="148"/>
    </row>
    <row r="159" spans="15:23" s="151" customFormat="1" ht="13">
      <c r="O159" s="148"/>
      <c r="P159" s="148"/>
      <c r="Q159" s="148"/>
      <c r="R159" s="148"/>
      <c r="S159" s="148"/>
      <c r="T159" s="148"/>
      <c r="U159" s="148"/>
      <c r="V159" s="148"/>
      <c r="W159" s="148"/>
    </row>
    <row r="160" spans="15:23" s="151" customFormat="1" ht="13">
      <c r="O160" s="148"/>
      <c r="P160" s="148"/>
      <c r="Q160" s="148"/>
      <c r="R160" s="148"/>
      <c r="S160" s="148"/>
      <c r="T160" s="148"/>
      <c r="U160" s="148"/>
      <c r="V160" s="148"/>
      <c r="W160" s="148"/>
    </row>
    <row r="161" spans="15:23" s="151" customFormat="1" ht="13">
      <c r="O161" s="148"/>
      <c r="P161" s="148"/>
      <c r="Q161" s="148"/>
      <c r="R161" s="148"/>
      <c r="S161" s="148"/>
      <c r="T161" s="148"/>
      <c r="U161" s="148"/>
      <c r="V161" s="148"/>
      <c r="W161" s="148"/>
    </row>
    <row r="162" spans="15:23" s="151" customFormat="1" ht="13">
      <c r="O162" s="148"/>
      <c r="P162" s="148"/>
      <c r="Q162" s="148"/>
      <c r="R162" s="148"/>
      <c r="S162" s="148"/>
      <c r="T162" s="148"/>
      <c r="U162" s="148"/>
      <c r="V162" s="148"/>
      <c r="W162" s="148"/>
    </row>
    <row r="163" spans="15:23" s="151" customFormat="1" ht="13">
      <c r="O163" s="148"/>
      <c r="P163" s="148"/>
      <c r="Q163" s="148"/>
      <c r="R163" s="148"/>
      <c r="S163" s="148"/>
      <c r="T163" s="148"/>
      <c r="U163" s="148"/>
      <c r="V163" s="148"/>
      <c r="W163" s="148"/>
    </row>
    <row r="164" spans="15:23" s="151" customFormat="1" ht="13">
      <c r="O164" s="148"/>
      <c r="P164" s="148"/>
      <c r="Q164" s="148"/>
      <c r="R164" s="148"/>
      <c r="S164" s="148"/>
      <c r="T164" s="148"/>
      <c r="U164" s="148"/>
      <c r="V164" s="148"/>
      <c r="W164" s="148"/>
    </row>
    <row r="165" spans="15:23" s="151" customFormat="1" ht="13">
      <c r="O165" s="148"/>
      <c r="P165" s="148"/>
      <c r="Q165" s="148"/>
      <c r="R165" s="148"/>
      <c r="S165" s="148"/>
      <c r="T165" s="148"/>
      <c r="U165" s="148"/>
      <c r="V165" s="148"/>
      <c r="W165" s="148"/>
    </row>
    <row r="166" spans="15:23" s="151" customFormat="1" ht="13">
      <c r="O166" s="148"/>
      <c r="P166" s="148"/>
      <c r="Q166" s="148"/>
      <c r="R166" s="148"/>
      <c r="S166" s="148"/>
      <c r="T166" s="148"/>
      <c r="U166" s="148"/>
      <c r="V166" s="148"/>
      <c r="W166" s="148"/>
    </row>
    <row r="167" spans="15:23" s="151" customFormat="1" ht="13">
      <c r="O167" s="148"/>
      <c r="P167" s="148"/>
      <c r="Q167" s="148"/>
      <c r="R167" s="148"/>
      <c r="S167" s="148"/>
      <c r="T167" s="148"/>
      <c r="U167" s="148"/>
      <c r="V167" s="148"/>
      <c r="W167" s="148"/>
    </row>
    <row r="168" spans="15:23" s="151" customFormat="1" ht="13">
      <c r="O168" s="148"/>
      <c r="P168" s="148"/>
      <c r="Q168" s="148"/>
      <c r="R168" s="148"/>
      <c r="S168" s="148"/>
      <c r="T168" s="148"/>
      <c r="U168" s="148"/>
      <c r="V168" s="148"/>
      <c r="W168" s="148"/>
    </row>
    <row r="169" spans="15:23" s="151" customFormat="1" ht="13">
      <c r="O169" s="148"/>
      <c r="P169" s="148"/>
      <c r="Q169" s="148"/>
      <c r="R169" s="148"/>
      <c r="S169" s="148"/>
      <c r="T169" s="148"/>
      <c r="U169" s="148"/>
      <c r="V169" s="148"/>
      <c r="W169" s="148"/>
    </row>
    <row r="170" spans="15:23" s="151" customFormat="1" ht="13">
      <c r="O170" s="148"/>
      <c r="P170" s="148"/>
      <c r="Q170" s="148"/>
      <c r="R170" s="148"/>
      <c r="S170" s="148"/>
      <c r="T170" s="148"/>
      <c r="U170" s="148"/>
      <c r="V170" s="148"/>
      <c r="W170" s="148"/>
    </row>
    <row r="171" spans="15:23" s="151" customFormat="1" ht="13">
      <c r="O171" s="148"/>
      <c r="P171" s="148"/>
      <c r="Q171" s="148"/>
      <c r="R171" s="148"/>
      <c r="S171" s="148"/>
      <c r="T171" s="148"/>
      <c r="U171" s="148"/>
      <c r="V171" s="148"/>
      <c r="W171" s="148"/>
    </row>
    <row r="172" spans="15:23" s="151" customFormat="1" ht="13">
      <c r="O172" s="148"/>
      <c r="P172" s="148"/>
      <c r="Q172" s="148"/>
      <c r="R172" s="148"/>
      <c r="S172" s="148"/>
      <c r="T172" s="148"/>
      <c r="U172" s="148"/>
      <c r="V172" s="148"/>
      <c r="W172" s="148"/>
    </row>
    <row r="173" spans="15:23" s="151" customFormat="1" ht="13">
      <c r="O173" s="148"/>
      <c r="P173" s="148"/>
      <c r="Q173" s="148"/>
      <c r="R173" s="148"/>
      <c r="S173" s="148"/>
      <c r="T173" s="148"/>
      <c r="U173" s="148"/>
      <c r="V173" s="148"/>
      <c r="W173" s="148"/>
    </row>
    <row r="174" spans="15:23" s="151" customFormat="1" ht="13">
      <c r="O174" s="148"/>
      <c r="P174" s="148"/>
      <c r="Q174" s="148"/>
      <c r="R174" s="148"/>
      <c r="S174" s="148"/>
      <c r="T174" s="148"/>
      <c r="U174" s="148"/>
      <c r="V174" s="148"/>
      <c r="W174" s="148"/>
    </row>
    <row r="175" spans="15:23" s="151" customFormat="1" ht="13">
      <c r="O175" s="148"/>
      <c r="P175" s="148"/>
      <c r="Q175" s="148"/>
      <c r="R175" s="148"/>
      <c r="S175" s="148"/>
      <c r="T175" s="148"/>
      <c r="U175" s="148"/>
      <c r="V175" s="148"/>
      <c r="W175" s="148"/>
    </row>
    <row r="176" spans="15:23" s="151" customFormat="1" ht="13">
      <c r="O176" s="148"/>
      <c r="P176" s="148"/>
      <c r="Q176" s="148"/>
      <c r="R176" s="148"/>
      <c r="S176" s="148"/>
      <c r="T176" s="148"/>
      <c r="U176" s="148"/>
      <c r="V176" s="148"/>
      <c r="W176" s="148"/>
    </row>
    <row r="177" spans="15:23" s="151" customFormat="1" ht="13">
      <c r="O177" s="148"/>
      <c r="P177" s="148"/>
      <c r="Q177" s="148"/>
      <c r="R177" s="148"/>
      <c r="S177" s="148"/>
      <c r="T177" s="148"/>
      <c r="U177" s="148"/>
      <c r="V177" s="148"/>
      <c r="W177" s="148"/>
    </row>
    <row r="178" spans="15:23" s="151" customFormat="1" ht="13">
      <c r="O178" s="148"/>
      <c r="P178" s="148"/>
      <c r="Q178" s="148"/>
      <c r="R178" s="148"/>
      <c r="S178" s="148"/>
      <c r="T178" s="148"/>
      <c r="U178" s="148"/>
      <c r="V178" s="148"/>
      <c r="W178" s="148"/>
    </row>
    <row r="179" spans="15:23" s="151" customFormat="1" ht="13">
      <c r="O179" s="148"/>
      <c r="P179" s="148"/>
      <c r="Q179" s="148"/>
      <c r="R179" s="148"/>
      <c r="S179" s="148"/>
      <c r="T179" s="148"/>
      <c r="U179" s="148"/>
      <c r="V179" s="148"/>
      <c r="W179" s="148"/>
    </row>
    <row r="180" spans="15:23" s="151" customFormat="1" ht="13">
      <c r="O180" s="148"/>
      <c r="P180" s="148"/>
      <c r="Q180" s="148"/>
      <c r="R180" s="148"/>
      <c r="S180" s="148"/>
      <c r="T180" s="148"/>
      <c r="U180" s="148"/>
      <c r="V180" s="148"/>
      <c r="W180" s="148"/>
    </row>
    <row r="181" spans="15:23" s="151" customFormat="1" ht="13">
      <c r="O181" s="148"/>
      <c r="P181" s="148"/>
      <c r="Q181" s="148"/>
      <c r="R181" s="148"/>
      <c r="S181" s="148"/>
      <c r="T181" s="148"/>
      <c r="U181" s="148"/>
      <c r="V181" s="148"/>
      <c r="W181" s="148"/>
    </row>
    <row r="182" spans="15:23" s="151" customFormat="1" ht="13">
      <c r="O182" s="148"/>
      <c r="P182" s="148"/>
      <c r="Q182" s="148"/>
      <c r="R182" s="148"/>
      <c r="S182" s="148"/>
      <c r="T182" s="148"/>
      <c r="U182" s="148"/>
      <c r="V182" s="148"/>
      <c r="W182" s="148"/>
    </row>
    <row r="183" spans="15:23" s="151" customFormat="1" ht="13">
      <c r="O183" s="148"/>
      <c r="P183" s="148"/>
      <c r="Q183" s="148"/>
      <c r="R183" s="148"/>
      <c r="S183" s="148"/>
      <c r="T183" s="148"/>
      <c r="U183" s="148"/>
      <c r="V183" s="148"/>
      <c r="W183" s="148"/>
    </row>
    <row r="184" spans="15:23" s="151" customFormat="1" ht="13">
      <c r="O184" s="148"/>
      <c r="P184" s="148"/>
      <c r="Q184" s="148"/>
      <c r="R184" s="148"/>
      <c r="S184" s="148"/>
      <c r="T184" s="148"/>
      <c r="U184" s="148"/>
      <c r="V184" s="148"/>
      <c r="W184" s="148"/>
    </row>
    <row r="185" spans="15:23" s="151" customFormat="1" ht="13">
      <c r="O185" s="148"/>
      <c r="P185" s="148"/>
      <c r="Q185" s="148"/>
      <c r="R185" s="148"/>
      <c r="S185" s="148"/>
      <c r="T185" s="148"/>
      <c r="U185" s="148"/>
      <c r="V185" s="148"/>
      <c r="W185" s="148"/>
    </row>
    <row r="186" spans="15:23" s="151" customFormat="1" ht="13">
      <c r="O186" s="148"/>
      <c r="P186" s="148"/>
      <c r="Q186" s="148"/>
      <c r="R186" s="148"/>
      <c r="S186" s="148"/>
      <c r="T186" s="148"/>
      <c r="U186" s="148"/>
      <c r="V186" s="148"/>
      <c r="W186" s="148"/>
    </row>
    <row r="187" spans="15:23" s="151" customFormat="1" ht="13">
      <c r="O187" s="148"/>
      <c r="P187" s="148"/>
      <c r="Q187" s="148"/>
      <c r="R187" s="148"/>
      <c r="S187" s="148"/>
      <c r="T187" s="148"/>
      <c r="U187" s="148"/>
      <c r="V187" s="148"/>
      <c r="W187" s="148"/>
    </row>
    <row r="188" spans="15:23" s="151" customFormat="1" ht="13">
      <c r="O188" s="148"/>
      <c r="P188" s="148"/>
      <c r="Q188" s="148"/>
      <c r="R188" s="148"/>
      <c r="S188" s="148"/>
      <c r="T188" s="148"/>
      <c r="U188" s="148"/>
      <c r="V188" s="148"/>
      <c r="W188" s="148"/>
    </row>
    <row r="189" spans="15:23" s="151" customFormat="1" ht="13">
      <c r="O189" s="148"/>
      <c r="P189" s="148"/>
      <c r="Q189" s="148"/>
      <c r="R189" s="148"/>
      <c r="S189" s="148"/>
      <c r="T189" s="148"/>
      <c r="U189" s="148"/>
      <c r="V189" s="148"/>
      <c r="W189" s="148"/>
    </row>
    <row r="190" spans="15:23" s="151" customFormat="1" ht="13">
      <c r="O190" s="148"/>
      <c r="P190" s="148"/>
      <c r="Q190" s="148"/>
      <c r="R190" s="148"/>
      <c r="S190" s="148"/>
      <c r="T190" s="148"/>
      <c r="U190" s="148"/>
      <c r="V190" s="148"/>
      <c r="W190" s="148"/>
    </row>
    <row r="191" spans="15:23" s="151" customFormat="1" ht="13">
      <c r="O191" s="148"/>
      <c r="P191" s="148"/>
      <c r="Q191" s="148"/>
      <c r="R191" s="148"/>
      <c r="S191" s="148"/>
      <c r="T191" s="148"/>
      <c r="U191" s="148"/>
      <c r="V191" s="148"/>
      <c r="W191" s="148"/>
    </row>
    <row r="192" spans="15:23" s="151" customFormat="1" ht="13">
      <c r="O192" s="148"/>
      <c r="P192" s="148"/>
      <c r="Q192" s="148"/>
      <c r="R192" s="148"/>
      <c r="S192" s="148"/>
      <c r="T192" s="148"/>
      <c r="U192" s="148"/>
      <c r="V192" s="148"/>
      <c r="W192" s="148"/>
    </row>
    <row r="193" spans="15:23" s="151" customFormat="1" ht="13">
      <c r="O193" s="148"/>
      <c r="P193" s="148"/>
      <c r="Q193" s="148"/>
      <c r="R193" s="148"/>
      <c r="S193" s="148"/>
      <c r="T193" s="148"/>
      <c r="U193" s="148"/>
      <c r="V193" s="148"/>
      <c r="W193" s="148"/>
    </row>
    <row r="194" spans="15:23" s="151" customFormat="1" ht="13">
      <c r="O194" s="148"/>
      <c r="P194" s="148"/>
      <c r="Q194" s="148"/>
      <c r="R194" s="148"/>
      <c r="S194" s="148"/>
      <c r="T194" s="148"/>
      <c r="U194" s="148"/>
      <c r="V194" s="148"/>
      <c r="W194" s="148"/>
    </row>
    <row r="195" spans="15:23" s="151" customFormat="1" ht="13">
      <c r="O195" s="148"/>
      <c r="P195" s="148"/>
      <c r="Q195" s="148"/>
      <c r="R195" s="148"/>
      <c r="S195" s="148"/>
      <c r="T195" s="148"/>
      <c r="U195" s="148"/>
      <c r="V195" s="148"/>
      <c r="W195" s="148"/>
    </row>
    <row r="196" spans="15:23" s="151" customFormat="1" ht="13">
      <c r="O196" s="148"/>
      <c r="P196" s="148"/>
      <c r="Q196" s="148"/>
      <c r="R196" s="148"/>
      <c r="S196" s="148"/>
      <c r="T196" s="148"/>
      <c r="U196" s="148"/>
      <c r="V196" s="148"/>
      <c r="W196" s="148"/>
    </row>
    <row r="197" spans="15:23" s="151" customFormat="1" ht="13">
      <c r="O197" s="148"/>
      <c r="P197" s="148"/>
      <c r="Q197" s="148"/>
      <c r="R197" s="148"/>
      <c r="S197" s="148"/>
      <c r="T197" s="148"/>
      <c r="U197" s="148"/>
      <c r="V197" s="148"/>
      <c r="W197" s="148"/>
    </row>
    <row r="198" spans="15:23" s="151" customFormat="1" ht="13">
      <c r="O198" s="148"/>
      <c r="P198" s="148"/>
      <c r="Q198" s="148"/>
      <c r="R198" s="148"/>
      <c r="S198" s="148"/>
      <c r="T198" s="148"/>
      <c r="U198" s="148"/>
      <c r="V198" s="148"/>
      <c r="W198" s="148"/>
    </row>
    <row r="199" spans="15:23" s="151" customFormat="1" ht="13">
      <c r="O199" s="148"/>
      <c r="P199" s="148"/>
      <c r="Q199" s="148"/>
      <c r="R199" s="148"/>
      <c r="S199" s="148"/>
      <c r="T199" s="148"/>
      <c r="U199" s="148"/>
      <c r="V199" s="148"/>
      <c r="W199" s="148"/>
    </row>
    <row r="200" spans="15:23" s="151" customFormat="1" ht="13">
      <c r="O200" s="148"/>
      <c r="P200" s="148"/>
      <c r="Q200" s="148"/>
      <c r="R200" s="148"/>
      <c r="S200" s="148"/>
      <c r="T200" s="148"/>
      <c r="U200" s="148"/>
      <c r="V200" s="148"/>
      <c r="W200" s="148"/>
    </row>
    <row r="201" spans="15:23" s="151" customFormat="1" ht="13">
      <c r="O201" s="148"/>
      <c r="P201" s="148"/>
      <c r="Q201" s="148"/>
      <c r="R201" s="148"/>
      <c r="S201" s="148"/>
      <c r="T201" s="148"/>
      <c r="U201" s="148"/>
      <c r="V201" s="148"/>
      <c r="W201" s="148"/>
    </row>
    <row r="202" spans="15:23" s="151" customFormat="1" ht="13">
      <c r="O202" s="148"/>
      <c r="P202" s="148"/>
      <c r="Q202" s="148"/>
      <c r="R202" s="148"/>
      <c r="S202" s="148"/>
      <c r="T202" s="148"/>
      <c r="U202" s="148"/>
      <c r="V202" s="148"/>
      <c r="W202" s="148"/>
    </row>
    <row r="203" spans="15:23" s="151" customFormat="1" ht="13">
      <c r="O203" s="148"/>
      <c r="P203" s="148"/>
      <c r="Q203" s="148"/>
      <c r="R203" s="148"/>
      <c r="S203" s="148"/>
      <c r="T203" s="148"/>
      <c r="U203" s="148"/>
      <c r="V203" s="148"/>
      <c r="W203" s="148"/>
    </row>
    <row r="204" spans="15:23" s="151" customFormat="1" ht="13">
      <c r="O204" s="148"/>
      <c r="P204" s="148"/>
      <c r="Q204" s="148"/>
      <c r="R204" s="148"/>
      <c r="S204" s="148"/>
      <c r="T204" s="148"/>
      <c r="U204" s="148"/>
      <c r="V204" s="148"/>
      <c r="W204" s="148"/>
    </row>
    <row r="205" spans="15:23" s="151" customFormat="1" ht="13">
      <c r="O205" s="148"/>
      <c r="P205" s="148"/>
      <c r="Q205" s="148"/>
      <c r="R205" s="148"/>
      <c r="S205" s="148"/>
      <c r="T205" s="148"/>
      <c r="U205" s="148"/>
      <c r="V205" s="148"/>
      <c r="W205" s="148"/>
    </row>
    <row r="206" spans="15:23" s="151" customFormat="1" ht="13">
      <c r="O206" s="148"/>
      <c r="P206" s="148"/>
      <c r="Q206" s="148"/>
      <c r="R206" s="148"/>
      <c r="S206" s="148"/>
      <c r="T206" s="148"/>
      <c r="U206" s="148"/>
      <c r="V206" s="148"/>
      <c r="W206" s="148"/>
    </row>
    <row r="207" spans="15:23" s="151" customFormat="1" ht="13">
      <c r="O207" s="148"/>
      <c r="P207" s="148"/>
      <c r="Q207" s="148"/>
      <c r="R207" s="148"/>
      <c r="S207" s="148"/>
      <c r="T207" s="148"/>
      <c r="U207" s="148"/>
      <c r="V207" s="148"/>
      <c r="W207" s="148"/>
    </row>
    <row r="208" spans="15:23" s="151" customFormat="1" ht="13">
      <c r="O208" s="148"/>
      <c r="P208" s="148"/>
      <c r="Q208" s="148"/>
      <c r="R208" s="148"/>
      <c r="S208" s="148"/>
      <c r="T208" s="148"/>
      <c r="U208" s="148"/>
      <c r="V208" s="148"/>
      <c r="W208" s="148"/>
    </row>
    <row r="209" spans="15:23" s="151" customFormat="1" ht="13">
      <c r="O209" s="148"/>
      <c r="P209" s="148"/>
      <c r="Q209" s="148"/>
      <c r="R209" s="148"/>
      <c r="S209" s="148"/>
      <c r="T209" s="148"/>
      <c r="U209" s="148"/>
      <c r="V209" s="148"/>
      <c r="W209" s="148"/>
    </row>
    <row r="210" spans="15:23" s="151" customFormat="1" ht="13">
      <c r="O210" s="148"/>
      <c r="P210" s="148"/>
      <c r="Q210" s="148"/>
      <c r="R210" s="148"/>
      <c r="S210" s="148"/>
      <c r="T210" s="148"/>
      <c r="U210" s="148"/>
      <c r="V210" s="148"/>
      <c r="W210" s="148"/>
    </row>
    <row r="211" spans="15:23" s="151" customFormat="1" ht="13">
      <c r="O211" s="148"/>
      <c r="P211" s="148"/>
      <c r="Q211" s="148"/>
      <c r="R211" s="148"/>
      <c r="S211" s="148"/>
      <c r="T211" s="148"/>
      <c r="U211" s="148"/>
      <c r="V211" s="148"/>
      <c r="W211" s="148"/>
    </row>
    <row r="212" spans="15:23" s="151" customFormat="1" ht="13">
      <c r="O212" s="148"/>
      <c r="P212" s="148"/>
      <c r="Q212" s="148"/>
      <c r="R212" s="148"/>
      <c r="S212" s="148"/>
      <c r="T212" s="148"/>
      <c r="U212" s="148"/>
      <c r="V212" s="148"/>
      <c r="W212" s="148"/>
    </row>
    <row r="213" spans="15:23" s="151" customFormat="1" ht="13">
      <c r="O213" s="148"/>
      <c r="P213" s="148"/>
      <c r="Q213" s="148"/>
      <c r="R213" s="148"/>
      <c r="S213" s="148"/>
      <c r="T213" s="148"/>
      <c r="U213" s="148"/>
      <c r="V213" s="148"/>
      <c r="W213" s="148"/>
    </row>
    <row r="214" spans="15:23" s="151" customFormat="1" ht="13">
      <c r="O214" s="148"/>
      <c r="P214" s="148"/>
      <c r="Q214" s="148"/>
      <c r="R214" s="148"/>
      <c r="S214" s="148"/>
      <c r="T214" s="148"/>
      <c r="U214" s="148"/>
      <c r="V214" s="148"/>
      <c r="W214" s="148"/>
    </row>
    <row r="215" spans="15:23" s="151" customFormat="1" ht="13">
      <c r="O215" s="148"/>
      <c r="P215" s="148"/>
      <c r="Q215" s="148"/>
      <c r="R215" s="148"/>
      <c r="S215" s="148"/>
      <c r="T215" s="148"/>
      <c r="U215" s="148"/>
      <c r="V215" s="148"/>
      <c r="W215" s="148"/>
    </row>
    <row r="216" spans="15:23" s="151" customFormat="1" ht="13">
      <c r="O216" s="148"/>
      <c r="P216" s="148"/>
      <c r="Q216" s="148"/>
      <c r="R216" s="148"/>
      <c r="S216" s="148"/>
      <c r="T216" s="148"/>
      <c r="U216" s="148"/>
      <c r="V216" s="148"/>
      <c r="W216" s="148"/>
    </row>
    <row r="217" spans="15:23" s="151" customFormat="1" ht="13">
      <c r="O217" s="148"/>
      <c r="P217" s="148"/>
      <c r="Q217" s="148"/>
      <c r="R217" s="148"/>
      <c r="S217" s="148"/>
      <c r="T217" s="148"/>
      <c r="U217" s="148"/>
      <c r="V217" s="148"/>
      <c r="W217" s="148"/>
    </row>
    <row r="218" spans="15:23" s="151" customFormat="1" ht="13">
      <c r="O218" s="148"/>
      <c r="P218" s="148"/>
      <c r="Q218" s="148"/>
      <c r="R218" s="148"/>
      <c r="S218" s="148"/>
      <c r="T218" s="148"/>
      <c r="U218" s="148"/>
      <c r="V218" s="148"/>
      <c r="W218" s="148"/>
    </row>
    <row r="219" spans="15:23" s="151" customFormat="1" ht="13">
      <c r="O219" s="148"/>
      <c r="P219" s="148"/>
      <c r="Q219" s="148"/>
      <c r="R219" s="148"/>
      <c r="S219" s="148"/>
      <c r="T219" s="148"/>
      <c r="U219" s="148"/>
      <c r="V219" s="148"/>
      <c r="W219" s="148"/>
    </row>
    <row r="220" spans="15:23" s="151" customFormat="1" ht="13">
      <c r="O220" s="148"/>
      <c r="P220" s="148"/>
      <c r="Q220" s="148"/>
      <c r="R220" s="148"/>
      <c r="S220" s="148"/>
      <c r="T220" s="148"/>
      <c r="U220" s="148"/>
      <c r="V220" s="148"/>
      <c r="W220" s="148"/>
    </row>
    <row r="221" spans="15:23" s="151" customFormat="1" ht="13">
      <c r="O221" s="148"/>
      <c r="P221" s="148"/>
      <c r="Q221" s="148"/>
      <c r="R221" s="148"/>
      <c r="S221" s="148"/>
      <c r="T221" s="148"/>
      <c r="U221" s="148"/>
      <c r="V221" s="148"/>
      <c r="W221" s="148"/>
    </row>
    <row r="222" spans="15:23" s="151" customFormat="1" ht="13">
      <c r="O222" s="148"/>
      <c r="P222" s="148"/>
      <c r="Q222" s="148"/>
      <c r="R222" s="148"/>
      <c r="S222" s="148"/>
      <c r="T222" s="148"/>
      <c r="U222" s="148"/>
      <c r="V222" s="148"/>
      <c r="W222" s="148"/>
    </row>
    <row r="223" spans="15:23" s="151" customFormat="1" ht="13">
      <c r="O223" s="148"/>
      <c r="P223" s="148"/>
      <c r="Q223" s="148"/>
      <c r="R223" s="148"/>
      <c r="S223" s="148"/>
      <c r="T223" s="148"/>
      <c r="U223" s="148"/>
      <c r="V223" s="148"/>
      <c r="W223" s="148"/>
    </row>
    <row r="224" spans="15:23" ht="13"/>
    <row r="225" ht="13"/>
    <row r="226" ht="13"/>
    <row r="227" ht="13"/>
    <row r="228" ht="13"/>
    <row r="229" ht="13"/>
    <row r="230" ht="13"/>
    <row r="231" ht="13"/>
    <row r="232" ht="13"/>
    <row r="233" ht="13"/>
    <row r="234" ht="13"/>
    <row r="235" ht="13"/>
    <row r="236" ht="13"/>
    <row r="237" ht="13"/>
    <row r="238" ht="13"/>
    <row r="239" ht="13"/>
    <row r="240" ht="13"/>
    <row r="241" ht="13"/>
    <row r="242" ht="13"/>
    <row r="243" ht="13"/>
    <row r="244" ht="13"/>
    <row r="245" ht="13"/>
    <row r="246" ht="13"/>
    <row r="247" ht="13"/>
    <row r="248" ht="13"/>
    <row r="249" ht="13"/>
    <row r="250" ht="13"/>
    <row r="251" ht="13"/>
    <row r="252" ht="13"/>
    <row r="253" ht="13"/>
    <row r="254" ht="13"/>
    <row r="255" ht="13"/>
    <row r="256" ht="13"/>
    <row r="257" ht="13"/>
    <row r="258" ht="13"/>
    <row r="259" ht="13"/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</sheetData>
  <phoneticPr fontId="74" type="noConversion"/>
  <conditionalFormatting sqref="M4:M14 C11:L14">
    <cfRule type="cellIs" dxfId="1" priority="2" operator="equal">
      <formula>0</formula>
    </cfRule>
  </conditionalFormatting>
  <conditionalFormatting sqref="O4:O14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K28"/>
  <sheetViews>
    <sheetView workbookViewId="0"/>
  </sheetViews>
  <sheetFormatPr defaultColWidth="11.54296875" defaultRowHeight="13"/>
  <cols>
    <col min="1" max="1" width="61.7265625" style="361" bestFit="1" customWidth="1"/>
    <col min="2" max="2" width="11" style="276" bestFit="1" customWidth="1"/>
    <col min="3" max="3" width="12.453125" style="276" bestFit="1" customWidth="1"/>
    <col min="4" max="4" width="16.54296875" style="276" bestFit="1" customWidth="1"/>
    <col min="5" max="5" width="11" style="276" bestFit="1" customWidth="1"/>
    <col min="6" max="6" width="6.26953125" style="276" customWidth="1"/>
    <col min="7" max="7" width="12.453125" style="276" customWidth="1"/>
    <col min="8" max="8" width="11.54296875" style="276"/>
    <col min="9" max="9" width="5.81640625" style="276" bestFit="1" customWidth="1"/>
    <col min="10" max="10" width="9" style="276" bestFit="1" customWidth="1"/>
    <col min="11" max="11" width="17.26953125" style="276" bestFit="1" customWidth="1"/>
    <col min="12" max="16384" width="11.54296875" style="276"/>
  </cols>
  <sheetData>
    <row r="1" spans="1:11" ht="14.5">
      <c r="A1" s="355" t="s">
        <v>1271</v>
      </c>
      <c r="B1" s="275"/>
      <c r="C1" s="275"/>
      <c r="D1" s="275"/>
      <c r="F1" s="865">
        <v>44927</v>
      </c>
      <c r="G1" s="1">
        <v>2125.6</v>
      </c>
    </row>
    <row r="2" spans="1:11" ht="14.5">
      <c r="A2" s="355" t="s">
        <v>1272</v>
      </c>
      <c r="B2" s="275"/>
      <c r="C2" s="275"/>
      <c r="D2" s="278">
        <v>44927</v>
      </c>
      <c r="F2" s="865">
        <v>45536</v>
      </c>
      <c r="G2" s="1">
        <v>10483.299999999999</v>
      </c>
    </row>
    <row r="3" spans="1:11" ht="14.5">
      <c r="A3" s="356"/>
      <c r="B3" s="275"/>
      <c r="C3" s="275"/>
      <c r="D3" s="275"/>
      <c r="F3" s="318" t="s">
        <v>999</v>
      </c>
      <c r="G3" s="3">
        <f>+G2/G1+H2</f>
        <v>4.9319251035001876</v>
      </c>
    </row>
    <row r="4" spans="1:11" ht="14.5">
      <c r="A4" s="680" t="s">
        <v>1273</v>
      </c>
      <c r="B4" s="362" t="s">
        <v>43</v>
      </c>
      <c r="C4" s="362" t="s">
        <v>567</v>
      </c>
      <c r="D4" s="363" t="s">
        <v>371</v>
      </c>
    </row>
    <row r="5" spans="1:11" s="350" customFormat="1" ht="39">
      <c r="A5" s="358" t="s">
        <v>1274</v>
      </c>
      <c r="B5" s="347">
        <v>1</v>
      </c>
      <c r="C5" s="348">
        <f>+G5*$G$3</f>
        <v>3945540.0828001499</v>
      </c>
      <c r="D5" s="349">
        <f t="shared" ref="D5:D27" si="0">+C5*B5</f>
        <v>3945540.0828001499</v>
      </c>
      <c r="G5" s="348">
        <v>800000</v>
      </c>
      <c r="K5" s="350" t="s">
        <v>1275</v>
      </c>
    </row>
    <row r="6" spans="1:11" s="350" customFormat="1" ht="39">
      <c r="A6" s="358" t="s">
        <v>1276</v>
      </c>
      <c r="B6" s="347">
        <v>1</v>
      </c>
      <c r="C6" s="348">
        <f t="shared" ref="C6:C27" si="1">+G6*$G$3</f>
        <v>1479577.5310500562</v>
      </c>
      <c r="D6" s="349">
        <f t="shared" si="0"/>
        <v>1479577.5310500562</v>
      </c>
      <c r="G6" s="348">
        <v>300000</v>
      </c>
      <c r="K6" s="367">
        <f>+D6+D5</f>
        <v>5425117.6138502061</v>
      </c>
    </row>
    <row r="7" spans="1:11" s="350" customFormat="1" ht="14.5">
      <c r="A7" s="906" t="s">
        <v>1277</v>
      </c>
      <c r="B7" s="352">
        <v>1</v>
      </c>
      <c r="C7" s="351">
        <f t="shared" si="1"/>
        <v>986385.02070003748</v>
      </c>
      <c r="D7" s="353">
        <f t="shared" si="0"/>
        <v>986385.02070003748</v>
      </c>
      <c r="G7" s="348">
        <v>200000</v>
      </c>
    </row>
    <row r="8" spans="1:11" s="350" customFormat="1" ht="14.5">
      <c r="A8" s="906" t="s">
        <v>1278</v>
      </c>
      <c r="B8" s="352">
        <v>1</v>
      </c>
      <c r="C8" s="351">
        <f t="shared" si="1"/>
        <v>0</v>
      </c>
      <c r="D8" s="353">
        <f t="shared" si="0"/>
        <v>0</v>
      </c>
      <c r="G8" s="348"/>
    </row>
    <row r="9" spans="1:11" s="350" customFormat="1" ht="14.5">
      <c r="A9" s="906" t="s">
        <v>1279</v>
      </c>
      <c r="B9" s="352">
        <v>1</v>
      </c>
      <c r="C9" s="351">
        <f t="shared" si="1"/>
        <v>2959155.0621001124</v>
      </c>
      <c r="D9" s="353">
        <f t="shared" si="0"/>
        <v>2959155.0621001124</v>
      </c>
      <c r="G9" s="348">
        <v>600000</v>
      </c>
    </row>
    <row r="10" spans="1:11" s="350" customFormat="1" ht="14.5">
      <c r="A10" s="680" t="s">
        <v>534</v>
      </c>
      <c r="B10" s="364"/>
      <c r="C10" s="366"/>
      <c r="D10" s="365"/>
      <c r="G10" s="366"/>
      <c r="I10" s="350" t="s">
        <v>1280</v>
      </c>
      <c r="J10" s="350" t="s">
        <v>1281</v>
      </c>
      <c r="K10" s="350" t="s">
        <v>1282</v>
      </c>
    </row>
    <row r="11" spans="1:11" s="350" customFormat="1" ht="14.5">
      <c r="A11" s="359" t="s">
        <v>1283</v>
      </c>
      <c r="B11" s="352">
        <v>1</v>
      </c>
      <c r="C11" s="351">
        <f t="shared" si="1"/>
        <v>5227840.6097101988</v>
      </c>
      <c r="D11" s="353">
        <f t="shared" si="0"/>
        <v>5227840.6097101988</v>
      </c>
      <c r="E11" s="2"/>
      <c r="G11" s="348">
        <v>1060000</v>
      </c>
      <c r="I11" s="350">
        <v>10</v>
      </c>
      <c r="J11" s="350">
        <v>22</v>
      </c>
      <c r="K11" s="2">
        <f>+D11/I11/J11</f>
        <v>23762.911862319088</v>
      </c>
    </row>
    <row r="12" spans="1:11" s="350" customFormat="1" ht="14.5">
      <c r="A12" s="359" t="s">
        <v>1284</v>
      </c>
      <c r="B12" s="352">
        <v>1</v>
      </c>
      <c r="C12" s="351">
        <f t="shared" si="1"/>
        <v>6016948.626270229</v>
      </c>
      <c r="D12" s="353">
        <f t="shared" si="0"/>
        <v>6016948.626270229</v>
      </c>
      <c r="G12" s="348">
        <v>1220000</v>
      </c>
    </row>
    <row r="13" spans="1:11" s="350" customFormat="1" ht="14.5">
      <c r="A13" s="359" t="s">
        <v>1285</v>
      </c>
      <c r="B13" s="352">
        <v>1</v>
      </c>
      <c r="C13" s="351">
        <f t="shared" si="1"/>
        <v>7397887.6552502811</v>
      </c>
      <c r="D13" s="353">
        <f t="shared" si="0"/>
        <v>7397887.6552502811</v>
      </c>
      <c r="E13" s="2">
        <f>+D13/10</f>
        <v>739788.76552502811</v>
      </c>
      <c r="G13" s="348">
        <v>1500000</v>
      </c>
    </row>
    <row r="14" spans="1:11" s="350" customFormat="1" ht="14.5">
      <c r="A14" s="680" t="s">
        <v>260</v>
      </c>
      <c r="B14" s="364"/>
      <c r="C14" s="366"/>
      <c r="D14" s="365"/>
      <c r="G14" s="903"/>
    </row>
    <row r="15" spans="1:11" s="350" customFormat="1" ht="14.5">
      <c r="A15" s="359" t="s">
        <v>1286</v>
      </c>
      <c r="B15" s="352">
        <v>27.89</v>
      </c>
      <c r="C15" s="351">
        <f t="shared" si="1"/>
        <v>58418.652850959719</v>
      </c>
      <c r="D15" s="353">
        <f t="shared" si="0"/>
        <v>1629296.2280132666</v>
      </c>
      <c r="G15" s="904">
        <v>11845</v>
      </c>
    </row>
    <row r="16" spans="1:11" s="350" customFormat="1" ht="14.5">
      <c r="A16" s="359" t="s">
        <v>1287</v>
      </c>
      <c r="B16" s="352">
        <v>23.71</v>
      </c>
      <c r="C16" s="351">
        <f t="shared" si="1"/>
        <v>58418.652850959719</v>
      </c>
      <c r="D16" s="353">
        <f t="shared" si="0"/>
        <v>1385106.2590962551</v>
      </c>
      <c r="G16" s="904">
        <v>11845</v>
      </c>
    </row>
    <row r="17" spans="1:7" s="350" customFormat="1" ht="26.5">
      <c r="A17" s="360" t="s">
        <v>1288</v>
      </c>
      <c r="B17" s="352">
        <v>59</v>
      </c>
      <c r="C17" s="351">
        <f t="shared" si="1"/>
        <v>50798.828566051932</v>
      </c>
      <c r="D17" s="353">
        <f t="shared" si="0"/>
        <v>2997130.885397064</v>
      </c>
      <c r="G17" s="904">
        <v>10300</v>
      </c>
    </row>
    <row r="18" spans="1:7" s="350" customFormat="1" ht="14.5">
      <c r="A18" s="680" t="s">
        <v>1289</v>
      </c>
      <c r="B18" s="364"/>
      <c r="C18" s="366"/>
      <c r="D18" s="365"/>
      <c r="G18" s="905"/>
    </row>
    <row r="19" spans="1:7" s="350" customFormat="1" ht="14.5">
      <c r="A19" s="359" t="s">
        <v>1290</v>
      </c>
      <c r="B19" s="352">
        <v>21.12</v>
      </c>
      <c r="C19" s="354">
        <f t="shared" si="1"/>
        <v>175255.95855287916</v>
      </c>
      <c r="D19" s="353">
        <f t="shared" si="0"/>
        <v>3701405.8446368081</v>
      </c>
      <c r="G19" s="904">
        <v>35535</v>
      </c>
    </row>
    <row r="20" spans="1:7" s="350" customFormat="1" ht="14.5">
      <c r="A20" s="359" t="s">
        <v>1291</v>
      </c>
      <c r="B20" s="352">
        <v>17.95</v>
      </c>
      <c r="C20" s="354">
        <f t="shared" si="1"/>
        <v>253994.14283025966</v>
      </c>
      <c r="D20" s="353">
        <f t="shared" si="0"/>
        <v>4559194.8638031604</v>
      </c>
      <c r="G20" s="904">
        <v>51500</v>
      </c>
    </row>
    <row r="21" spans="1:7" s="350" customFormat="1" ht="14.5">
      <c r="A21" s="359" t="s">
        <v>1292</v>
      </c>
      <c r="B21" s="352">
        <v>59</v>
      </c>
      <c r="C21" s="351">
        <f t="shared" si="1"/>
        <v>0</v>
      </c>
      <c r="D21" s="353">
        <f t="shared" si="0"/>
        <v>0</v>
      </c>
      <c r="G21" s="904"/>
    </row>
    <row r="22" spans="1:7" s="350" customFormat="1" ht="14.5">
      <c r="A22" s="359" t="s">
        <v>1293</v>
      </c>
      <c r="B22" s="352"/>
      <c r="C22" s="351">
        <f t="shared" si="1"/>
        <v>0</v>
      </c>
      <c r="D22" s="353">
        <f t="shared" si="0"/>
        <v>0</v>
      </c>
      <c r="G22" s="904"/>
    </row>
    <row r="23" spans="1:7" s="350" customFormat="1" ht="14.5">
      <c r="A23" s="359" t="s">
        <v>1294</v>
      </c>
      <c r="B23" s="352">
        <v>48.07</v>
      </c>
      <c r="C23" s="354">
        <f t="shared" si="1"/>
        <v>289553.32282649603</v>
      </c>
      <c r="D23" s="353">
        <f t="shared" si="0"/>
        <v>13918828.228269665</v>
      </c>
      <c r="G23" s="904">
        <v>58710</v>
      </c>
    </row>
    <row r="24" spans="1:7" s="350" customFormat="1" ht="14.5">
      <c r="A24" s="359" t="s">
        <v>1295</v>
      </c>
      <c r="B24" s="352">
        <v>92.42</v>
      </c>
      <c r="C24" s="354">
        <f t="shared" si="1"/>
        <v>447029.69138125703</v>
      </c>
      <c r="D24" s="353">
        <f t="shared" si="0"/>
        <v>41314484.077455774</v>
      </c>
      <c r="G24" s="904">
        <v>90640</v>
      </c>
    </row>
    <row r="25" spans="1:7" s="350" customFormat="1" ht="14.5">
      <c r="A25" s="359" t="s">
        <v>1296</v>
      </c>
      <c r="B25" s="352">
        <v>70.959999999999994</v>
      </c>
      <c r="C25" s="354">
        <f t="shared" si="1"/>
        <v>507988.28566051932</v>
      </c>
      <c r="D25" s="353">
        <f t="shared" si="0"/>
        <v>36046848.750470445</v>
      </c>
      <c r="G25" s="904">
        <v>103000</v>
      </c>
    </row>
    <row r="26" spans="1:7" s="350" customFormat="1" ht="14.5">
      <c r="A26" s="359" t="s">
        <v>1297</v>
      </c>
      <c r="B26" s="352">
        <v>171.98</v>
      </c>
      <c r="C26" s="354">
        <f t="shared" si="1"/>
        <v>304792.97139631159</v>
      </c>
      <c r="D26" s="353">
        <f t="shared" si="0"/>
        <v>52418295.220737666</v>
      </c>
      <c r="G26" s="904">
        <v>61800</v>
      </c>
    </row>
    <row r="27" spans="1:7" s="350" customFormat="1" ht="14.5">
      <c r="A27" s="359" t="s">
        <v>1298</v>
      </c>
      <c r="B27" s="352">
        <v>27.03</v>
      </c>
      <c r="C27" s="354">
        <f t="shared" si="1"/>
        <v>457189.45709446742</v>
      </c>
      <c r="D27" s="353">
        <f t="shared" si="0"/>
        <v>12357831.025263455</v>
      </c>
      <c r="G27" s="904">
        <v>92700</v>
      </c>
    </row>
    <row r="28" spans="1:7" ht="14.5">
      <c r="A28" s="357" t="s">
        <v>1299</v>
      </c>
      <c r="B28" s="251"/>
      <c r="C28" s="251"/>
      <c r="D28" s="279">
        <f>SUM(D5:D27)</f>
        <v>198341755.9710246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597A-77A1-416B-8798-EFCCD574E60B}">
  <sheetPr>
    <tabColor rgb="FF92D050"/>
  </sheetPr>
  <dimension ref="A1:AC159"/>
  <sheetViews>
    <sheetView topLeftCell="A78" workbookViewId="0">
      <selection activeCell="D99" sqref="D99"/>
    </sheetView>
  </sheetViews>
  <sheetFormatPr defaultColWidth="11.54296875" defaultRowHeight="13"/>
  <cols>
    <col min="1" max="1" width="61.26953125" style="151" bestFit="1" customWidth="1"/>
    <col min="2" max="2" width="15.453125" style="151" bestFit="1" customWidth="1"/>
    <col min="3" max="3" width="24.26953125" style="151" bestFit="1" customWidth="1"/>
    <col min="4" max="4" width="20.453125" style="151" bestFit="1" customWidth="1"/>
    <col min="5" max="5" width="12.453125" style="151" bestFit="1" customWidth="1"/>
    <col min="6" max="6" width="11.26953125" style="151" bestFit="1" customWidth="1"/>
    <col min="7" max="7" width="19.26953125" style="151" bestFit="1" customWidth="1"/>
    <col min="8" max="8" width="13.7265625" style="151" bestFit="1" customWidth="1"/>
    <col min="9" max="9" width="13.453125" style="151" bestFit="1" customWidth="1"/>
    <col min="10" max="10" width="15.26953125" style="147" customWidth="1"/>
    <col min="11" max="11" width="14" style="151" bestFit="1" customWidth="1"/>
    <col min="12" max="12" width="13.453125" style="151" bestFit="1" customWidth="1"/>
    <col min="13" max="13" width="15.7265625" style="151" bestFit="1" customWidth="1"/>
    <col min="14" max="14" width="11.7265625" style="151" bestFit="1" customWidth="1"/>
    <col min="15" max="15" width="12.81640625" style="151" bestFit="1" customWidth="1"/>
    <col min="16" max="16" width="11.7265625" style="151" bestFit="1" customWidth="1"/>
    <col min="17" max="18" width="12.453125" style="151" bestFit="1" customWidth="1"/>
    <col min="19" max="19" width="13.453125" style="151" bestFit="1" customWidth="1"/>
    <col min="20" max="20" width="11.54296875" style="151"/>
    <col min="21" max="21" width="11.7265625" style="151" bestFit="1" customWidth="1"/>
    <col min="22" max="22" width="9.1796875" style="151" bestFit="1" customWidth="1"/>
    <col min="23" max="23" width="11.7265625" style="151" bestFit="1" customWidth="1"/>
    <col min="24" max="24" width="6.54296875" style="151" bestFit="1" customWidth="1"/>
    <col min="25" max="25" width="12.1796875" style="151" bestFit="1" customWidth="1"/>
    <col min="26" max="26" width="12.7265625" style="151" bestFit="1" customWidth="1"/>
    <col min="27" max="27" width="11.54296875" style="151"/>
    <col min="28" max="29" width="12.453125" style="151" bestFit="1" customWidth="1"/>
    <col min="30" max="16384" width="11.54296875" style="151"/>
  </cols>
  <sheetData>
    <row r="1" spans="1:28" ht="14.5">
      <c r="A1" s="368" t="s">
        <v>1271</v>
      </c>
      <c r="B1" s="369"/>
      <c r="C1" s="369"/>
      <c r="D1" s="370"/>
      <c r="E1" s="371"/>
      <c r="F1" s="372"/>
      <c r="G1" s="371"/>
    </row>
    <row r="2" spans="1:28" ht="14.5">
      <c r="A2" s="368" t="s">
        <v>1272</v>
      </c>
      <c r="B2" s="369"/>
      <c r="C2" s="369"/>
      <c r="D2" s="373"/>
      <c r="E2" s="371"/>
      <c r="F2" s="372"/>
      <c r="G2" s="371"/>
    </row>
    <row r="3" spans="1:28" ht="14.5">
      <c r="A3" s="369"/>
      <c r="B3" s="369"/>
      <c r="C3" s="369"/>
      <c r="D3" s="370"/>
      <c r="E3" s="371"/>
      <c r="F3" s="371"/>
      <c r="G3" s="371"/>
    </row>
    <row r="4" spans="1:28" ht="14.5">
      <c r="A4" s="394" t="s">
        <v>1289</v>
      </c>
      <c r="B4" s="374"/>
      <c r="C4" s="374" t="s">
        <v>1300</v>
      </c>
      <c r="D4" s="375" t="s">
        <v>1301</v>
      </c>
      <c r="G4" s="378" t="s">
        <v>1302</v>
      </c>
    </row>
    <row r="5" spans="1:28" ht="14.5">
      <c r="A5" s="135" t="s">
        <v>1290</v>
      </c>
      <c r="B5" s="134">
        <v>21.12</v>
      </c>
      <c r="C5" s="377">
        <f>+'MO HA SILVA'!C19</f>
        <v>175255.95855287916</v>
      </c>
      <c r="D5" s="369">
        <f t="shared" ref="D5:D13" si="0">+C5*B5</f>
        <v>3701405.8446368081</v>
      </c>
      <c r="G5" s="135">
        <v>35535</v>
      </c>
    </row>
    <row r="6" spans="1:28" ht="14.5">
      <c r="A6" s="135" t="s">
        <v>1291</v>
      </c>
      <c r="B6" s="134">
        <v>17.95</v>
      </c>
      <c r="C6" s="377">
        <f>+'MO HA SILVA'!C20</f>
        <v>253994.14283025966</v>
      </c>
      <c r="D6" s="369">
        <f t="shared" si="0"/>
        <v>4559194.8638031604</v>
      </c>
      <c r="G6" s="135">
        <v>51500</v>
      </c>
    </row>
    <row r="7" spans="1:28" ht="14.5">
      <c r="A7" s="135" t="s">
        <v>1292</v>
      </c>
      <c r="B7" s="134">
        <v>59</v>
      </c>
      <c r="C7" s="135">
        <f>+'MO HA SILVA'!C21</f>
        <v>0</v>
      </c>
      <c r="D7" s="369">
        <f t="shared" si="0"/>
        <v>0</v>
      </c>
      <c r="G7" s="135"/>
    </row>
    <row r="8" spans="1:28" ht="14.5">
      <c r="A8" s="135" t="s">
        <v>1293</v>
      </c>
      <c r="B8" s="134"/>
      <c r="C8" s="135">
        <f>+'MO HA SILVA'!C22</f>
        <v>0</v>
      </c>
      <c r="D8" s="369">
        <f t="shared" si="0"/>
        <v>0</v>
      </c>
      <c r="G8" s="135"/>
      <c r="I8" s="147" t="s">
        <v>1303</v>
      </c>
      <c r="J8" s="147" t="s">
        <v>13</v>
      </c>
    </row>
    <row r="9" spans="1:28" ht="14.5">
      <c r="A9" s="135" t="s">
        <v>1294</v>
      </c>
      <c r="B9" s="134">
        <v>48.07</v>
      </c>
      <c r="C9" s="377">
        <f>+'MO HA SILVA'!C23</f>
        <v>289553.32282649603</v>
      </c>
      <c r="D9" s="369">
        <f t="shared" si="0"/>
        <v>13918828.228269665</v>
      </c>
      <c r="G9" s="135">
        <v>58710</v>
      </c>
      <c r="I9" s="151">
        <v>5.39</v>
      </c>
      <c r="J9" s="147">
        <f t="shared" ref="J9:J12" si="1">+C9*I9</f>
        <v>1560692.4100348135</v>
      </c>
    </row>
    <row r="10" spans="1:28" ht="14.5">
      <c r="A10" s="135" t="s">
        <v>1295</v>
      </c>
      <c r="B10" s="134">
        <v>92.42</v>
      </c>
      <c r="C10" s="377">
        <f>+'MO HA SILVA'!C24</f>
        <v>447029.69138125703</v>
      </c>
      <c r="D10" s="369">
        <f t="shared" si="0"/>
        <v>41314484.077455774</v>
      </c>
      <c r="G10" s="135">
        <v>90640</v>
      </c>
      <c r="I10" s="151">
        <v>8.11</v>
      </c>
      <c r="J10" s="147">
        <f t="shared" si="1"/>
        <v>3625410.797101994</v>
      </c>
    </row>
    <row r="11" spans="1:28" ht="14.5">
      <c r="A11" s="135" t="s">
        <v>1296</v>
      </c>
      <c r="B11" s="134">
        <v>70.959999999999994</v>
      </c>
      <c r="C11" s="377">
        <f>+'MO HA SILVA'!C25</f>
        <v>507988.28566051932</v>
      </c>
      <c r="D11" s="369">
        <f t="shared" si="0"/>
        <v>36046848.750470445</v>
      </c>
      <c r="G11" s="135">
        <v>103000</v>
      </c>
      <c r="I11" s="151">
        <v>5.17</v>
      </c>
      <c r="J11" s="147">
        <f t="shared" si="1"/>
        <v>2626299.436864885</v>
      </c>
    </row>
    <row r="12" spans="1:28" ht="14.5">
      <c r="A12" s="135" t="s">
        <v>1297</v>
      </c>
      <c r="B12" s="134">
        <v>171.98</v>
      </c>
      <c r="C12" s="377">
        <f>+'MO HA SILVA'!C26</f>
        <v>304792.97139631159</v>
      </c>
      <c r="D12" s="369">
        <f t="shared" si="0"/>
        <v>52418295.220737666</v>
      </c>
      <c r="G12" s="135">
        <v>61800</v>
      </c>
      <c r="I12" s="151">
        <v>17.579999999999998</v>
      </c>
      <c r="J12" s="147">
        <f t="shared" si="1"/>
        <v>5358260.4371471573</v>
      </c>
    </row>
    <row r="13" spans="1:28" ht="14.5">
      <c r="A13" s="135" t="s">
        <v>1298</v>
      </c>
      <c r="B13" s="134">
        <v>27.03</v>
      </c>
      <c r="C13" s="377">
        <f>+'MO HA SILVA'!C27</f>
        <v>457189.45709446742</v>
      </c>
      <c r="D13" s="369">
        <f t="shared" si="0"/>
        <v>12357831.025263455</v>
      </c>
      <c r="G13" s="135">
        <v>92700</v>
      </c>
      <c r="I13" s="151">
        <v>2.0499999999999998</v>
      </c>
      <c r="J13" s="147">
        <f>+C13*I13</f>
        <v>937238.38704365818</v>
      </c>
    </row>
    <row r="14" spans="1:28" ht="14.5">
      <c r="A14" s="135"/>
      <c r="B14" s="135"/>
      <c r="C14" s="135"/>
      <c r="D14" s="369"/>
      <c r="I14" s="151">
        <f>+SUM(I9:I13)</f>
        <v>38.299999999999997</v>
      </c>
    </row>
    <row r="15" spans="1:28" ht="14.5">
      <c r="A15" s="376" t="s">
        <v>1299</v>
      </c>
      <c r="B15" s="378"/>
      <c r="C15" s="378"/>
      <c r="D15" s="379">
        <f>SUM(D4:D14)</f>
        <v>164316888.01063699</v>
      </c>
      <c r="J15" s="162">
        <f>SUM(J9:J13)</f>
        <v>14107901.468192508</v>
      </c>
      <c r="K15" s="384" t="s">
        <v>1304</v>
      </c>
    </row>
    <row r="16" spans="1:28">
      <c r="D16" s="151">
        <v>12</v>
      </c>
      <c r="H16" s="147">
        <v>11</v>
      </c>
      <c r="J16" s="147">
        <f>+SUM(I9:I13)</f>
        <v>38.299999999999997</v>
      </c>
      <c r="S16" s="147">
        <v>16</v>
      </c>
      <c r="AB16" s="151">
        <v>22</v>
      </c>
    </row>
    <row r="17" spans="1:29">
      <c r="A17" s="380" t="s">
        <v>1305</v>
      </c>
      <c r="B17" s="162" t="s">
        <v>1062</v>
      </c>
      <c r="C17" s="162" t="s">
        <v>1064</v>
      </c>
      <c r="D17" s="384" t="s">
        <v>1306</v>
      </c>
      <c r="E17" s="162" t="s">
        <v>1307</v>
      </c>
      <c r="F17" s="162" t="s">
        <v>1308</v>
      </c>
      <c r="G17" s="162" t="s">
        <v>340</v>
      </c>
      <c r="H17" s="162" t="s">
        <v>1309</v>
      </c>
      <c r="J17" s="147">
        <f>+J15/J16</f>
        <v>368352.51875176263</v>
      </c>
      <c r="M17" s="380" t="s">
        <v>1310</v>
      </c>
      <c r="N17" s="162" t="s">
        <v>1311</v>
      </c>
      <c r="O17" s="384" t="s">
        <v>1312</v>
      </c>
      <c r="P17" s="162" t="s">
        <v>1307</v>
      </c>
      <c r="Q17" s="162" t="s">
        <v>1308</v>
      </c>
      <c r="R17" s="162" t="s">
        <v>340</v>
      </c>
      <c r="S17" s="162" t="s">
        <v>1309</v>
      </c>
      <c r="W17" s="162" t="str">
        <f>+'P.MO 09.24'!F3</f>
        <v>Mano Jornal</v>
      </c>
      <c r="X17" s="162" t="s">
        <v>1309</v>
      </c>
      <c r="Y17" s="162" t="s">
        <v>1313</v>
      </c>
      <c r="Z17" s="162" t="s">
        <v>13</v>
      </c>
      <c r="AB17" s="151" t="s">
        <v>1314</v>
      </c>
      <c r="AC17" s="151" t="s">
        <v>1315</v>
      </c>
    </row>
    <row r="18" spans="1:29">
      <c r="A18" s="381" t="s">
        <v>1068</v>
      </c>
      <c r="B18" s="151">
        <f>+'P.MO 09.24'!B4</f>
        <v>75113.048226571977</v>
      </c>
      <c r="C18" s="151">
        <f>+'P.MO 09.24'!D4</f>
        <v>9389.1310283214971</v>
      </c>
      <c r="D18" s="151">
        <f>+C18*$D$16</f>
        <v>112669.57233985796</v>
      </c>
      <c r="H18" s="151">
        <f>+SUM(E18:G18)*D18*$H$16</f>
        <v>0</v>
      </c>
      <c r="J18" s="147">
        <f>+L25/J17</f>
        <v>0.47845528374425228</v>
      </c>
      <c r="M18" s="381" t="s">
        <v>1068</v>
      </c>
      <c r="N18" s="151">
        <f>+B18</f>
        <v>75113.048226571977</v>
      </c>
      <c r="O18" s="151">
        <f>+SUM(P18:R18)*N18</f>
        <v>450678.28935943183</v>
      </c>
      <c r="P18" s="151">
        <v>3</v>
      </c>
      <c r="Q18" s="151">
        <v>3</v>
      </c>
      <c r="S18" s="151">
        <f>+SUM(P18:R18)*N18*$S$16</f>
        <v>7210852.6297509093</v>
      </c>
      <c r="W18" s="151">
        <f>+'P.MO 09.24'!F4</f>
        <v>47000</v>
      </c>
      <c r="X18" s="151">
        <f>+SUM(P18:R18)</f>
        <v>6</v>
      </c>
      <c r="Y18" s="151">
        <f>+$S$16</f>
        <v>16</v>
      </c>
      <c r="Z18" s="151">
        <f>+W18*X18*Y18</f>
        <v>4512000</v>
      </c>
      <c r="AB18" s="151">
        <f>+W18*$AB$16</f>
        <v>1034000</v>
      </c>
      <c r="AC18" s="151">
        <f>+X18*AB18</f>
        <v>6204000</v>
      </c>
    </row>
    <row r="19" spans="1:29">
      <c r="A19" s="381" t="s">
        <v>1069</v>
      </c>
      <c r="B19" s="151">
        <f>+'P.MO 09.24'!B5</f>
        <v>65360.248306571972</v>
      </c>
      <c r="C19" s="151">
        <f>+'P.MO 09.24'!D5</f>
        <v>8170.0310383214965</v>
      </c>
      <c r="D19" s="151">
        <f>+C19*$D$16</f>
        <v>98040.372459857957</v>
      </c>
      <c r="E19" s="151">
        <v>6</v>
      </c>
      <c r="F19" s="151">
        <v>5</v>
      </c>
      <c r="H19" s="151">
        <f>+SUM(E19:G19)*D19*$H$16</f>
        <v>11862885.067642814</v>
      </c>
      <c r="M19" s="381" t="s">
        <v>1069</v>
      </c>
      <c r="N19" s="151">
        <f t="shared" ref="N19:N22" si="2">+B19</f>
        <v>65360.248306571972</v>
      </c>
      <c r="O19" s="151">
        <f>+SUM(P19:R19)*N19</f>
        <v>0</v>
      </c>
      <c r="S19" s="151">
        <f t="shared" ref="S19:S22" si="3">+SUM(P19:R19)*N19*$S$16</f>
        <v>0</v>
      </c>
      <c r="U19" s="147">
        <f>+SUM(P18:R22)*8*S16</f>
        <v>1280</v>
      </c>
      <c r="V19" s="147" t="s">
        <v>1316</v>
      </c>
      <c r="W19" s="151">
        <f>+'P.MO 09.24'!F5</f>
        <v>39000</v>
      </c>
      <c r="X19" s="151">
        <f t="shared" ref="X19:X22" si="4">+SUM(P19:R19)</f>
        <v>0</v>
      </c>
      <c r="Y19" s="151">
        <f t="shared" ref="Y19:Y22" si="5">+$S$16</f>
        <v>16</v>
      </c>
      <c r="Z19" s="151">
        <f t="shared" ref="Z19:Z22" si="6">+W19*X19*Y19</f>
        <v>0</v>
      </c>
      <c r="AB19" s="151">
        <f t="shared" ref="AB19:AB22" si="7">+W19*$AB$16</f>
        <v>858000</v>
      </c>
      <c r="AC19" s="151">
        <f t="shared" ref="AC19:AC22" si="8">+X19*AB19</f>
        <v>0</v>
      </c>
    </row>
    <row r="20" spans="1:29">
      <c r="A20" s="381" t="s">
        <v>1070</v>
      </c>
      <c r="B20" s="151">
        <f>+'P.MO 09.24'!B6</f>
        <v>54784.071766571964</v>
      </c>
      <c r="C20" s="151">
        <f>+'P.MO 09.24'!D6</f>
        <v>6848.0089708214955</v>
      </c>
      <c r="D20" s="151">
        <f>+C20*$D$16</f>
        <v>82176.10764985795</v>
      </c>
      <c r="H20" s="151">
        <f>+SUM(E20:G20)*D20*$H$16</f>
        <v>0</v>
      </c>
      <c r="K20" s="383">
        <f>+K22/L22</f>
        <v>0.66666666666666663</v>
      </c>
      <c r="L20" s="151">
        <v>1.5</v>
      </c>
      <c r="M20" s="381" t="s">
        <v>1070</v>
      </c>
      <c r="N20" s="151">
        <f t="shared" si="2"/>
        <v>54784.071766571964</v>
      </c>
      <c r="O20" s="151">
        <f t="shared" ref="O20:O22" si="9">+SUM(P20:R20)*N20</f>
        <v>164352.2152997159</v>
      </c>
      <c r="P20" s="151">
        <v>1</v>
      </c>
      <c r="Q20" s="151">
        <v>1</v>
      </c>
      <c r="R20" s="151">
        <v>1</v>
      </c>
      <c r="S20" s="151">
        <f t="shared" si="3"/>
        <v>2629635.4447954544</v>
      </c>
      <c r="W20" s="151">
        <f>+'P.MO 09.24'!F6</f>
        <v>31500</v>
      </c>
      <c r="X20" s="151">
        <f t="shared" si="4"/>
        <v>3</v>
      </c>
      <c r="Y20" s="151">
        <f t="shared" si="5"/>
        <v>16</v>
      </c>
      <c r="Z20" s="151">
        <f t="shared" si="6"/>
        <v>1512000</v>
      </c>
      <c r="AB20" s="151">
        <f t="shared" si="7"/>
        <v>693000</v>
      </c>
      <c r="AC20" s="151">
        <f t="shared" si="8"/>
        <v>2079000</v>
      </c>
    </row>
    <row r="21" spans="1:29">
      <c r="A21" s="381" t="s">
        <v>1071</v>
      </c>
      <c r="B21" s="151">
        <f>+'P.MO 09.24'!B7</f>
        <v>49934.237226571968</v>
      </c>
      <c r="C21" s="151">
        <f>+'P.MO 09.24'!D7</f>
        <v>6241.779653321496</v>
      </c>
      <c r="D21" s="151">
        <f>+C21*$D$16</f>
        <v>74901.355839857948</v>
      </c>
      <c r="E21" s="151">
        <v>1</v>
      </c>
      <c r="F21" s="151">
        <v>2</v>
      </c>
      <c r="H21" s="151">
        <f>+SUM(E21:G21)*D21*$H$16</f>
        <v>2471744.7427153122</v>
      </c>
      <c r="I21" s="147" t="s">
        <v>4</v>
      </c>
      <c r="J21" s="147" t="s">
        <v>1317</v>
      </c>
      <c r="K21" s="151" t="s">
        <v>1318</v>
      </c>
      <c r="L21" s="147" t="s">
        <v>1020</v>
      </c>
      <c r="M21" s="381" t="s">
        <v>1071</v>
      </c>
      <c r="N21" s="151">
        <f t="shared" si="2"/>
        <v>49934.237226571968</v>
      </c>
      <c r="O21" s="151">
        <f t="shared" si="9"/>
        <v>0</v>
      </c>
      <c r="R21" s="291"/>
      <c r="S21" s="151">
        <f t="shared" si="3"/>
        <v>0</v>
      </c>
      <c r="U21" s="151" t="s">
        <v>1319</v>
      </c>
      <c r="W21" s="151">
        <f>+'P.MO 09.24'!F7</f>
        <v>28100</v>
      </c>
      <c r="X21" s="151">
        <f t="shared" si="4"/>
        <v>0</v>
      </c>
      <c r="Y21" s="151">
        <f t="shared" si="5"/>
        <v>16</v>
      </c>
      <c r="Z21" s="151">
        <f t="shared" si="6"/>
        <v>0</v>
      </c>
      <c r="AB21" s="151">
        <f t="shared" si="7"/>
        <v>618200</v>
      </c>
      <c r="AC21" s="151">
        <f t="shared" si="8"/>
        <v>0</v>
      </c>
    </row>
    <row r="22" spans="1:29">
      <c r="A22" s="381" t="s">
        <v>1075</v>
      </c>
      <c r="B22" s="151">
        <f>+'P.MO 09.24'!B12</f>
        <v>131457.37318719694</v>
      </c>
      <c r="C22" s="151">
        <f>+'P.MO 09.24'!D12</f>
        <v>16432.171648399617</v>
      </c>
      <c r="D22" s="151">
        <f>+C22*$D$16</f>
        <v>197186.05978079542</v>
      </c>
      <c r="G22" s="151">
        <v>1</v>
      </c>
      <c r="H22" s="151">
        <f>+SUM(E22:G22)*D22*$H$16</f>
        <v>2169046.6575887497</v>
      </c>
      <c r="I22" s="151">
        <v>180</v>
      </c>
      <c r="J22" s="147">
        <v>25000</v>
      </c>
      <c r="K22" s="384">
        <f>+I22*J22</f>
        <v>4500000</v>
      </c>
      <c r="L22" s="384">
        <f>+K22*L20</f>
        <v>6750000</v>
      </c>
      <c r="M22" s="381" t="s">
        <v>1075</v>
      </c>
      <c r="N22" s="151">
        <f t="shared" si="2"/>
        <v>131457.37318719694</v>
      </c>
      <c r="O22" s="151">
        <f t="shared" si="9"/>
        <v>131457.37318719694</v>
      </c>
      <c r="R22" s="151">
        <v>1</v>
      </c>
      <c r="S22" s="151">
        <f t="shared" si="3"/>
        <v>2103317.970995151</v>
      </c>
      <c r="W22" s="151">
        <f>+'P.MO 09.24'!F12/22</f>
        <v>104545.45454545454</v>
      </c>
      <c r="X22" s="151">
        <f t="shared" si="4"/>
        <v>1</v>
      </c>
      <c r="Y22" s="151">
        <f t="shared" si="5"/>
        <v>16</v>
      </c>
      <c r="Z22" s="151">
        <f t="shared" si="6"/>
        <v>1672727.2727272727</v>
      </c>
      <c r="AB22" s="151">
        <f t="shared" si="7"/>
        <v>2300000</v>
      </c>
      <c r="AC22" s="151">
        <f t="shared" si="8"/>
        <v>2300000</v>
      </c>
    </row>
    <row r="23" spans="1:29">
      <c r="H23" s="384">
        <f>SUM(H18:H22)</f>
        <v>16503676.467946876</v>
      </c>
      <c r="O23" s="384">
        <f>SUM(O18:O22)</f>
        <v>746487.87784634461</v>
      </c>
      <c r="S23" s="384">
        <f>SUM(S18:S22)</f>
        <v>11943806.045541514</v>
      </c>
      <c r="X23" s="151">
        <f>+SUM(X18:X22)</f>
        <v>10</v>
      </c>
      <c r="Z23" s="384">
        <f>SUM(Z18:Z22)</f>
        <v>7696727.2727272725</v>
      </c>
      <c r="AC23" s="384">
        <f>SUM(AC18:AC22)</f>
        <v>10583000</v>
      </c>
    </row>
    <row r="24" spans="1:29">
      <c r="A24" s="384" t="s">
        <v>1320</v>
      </c>
      <c r="H24" s="151">
        <f>+J16</f>
        <v>38.299999999999997</v>
      </c>
      <c r="L24" s="151">
        <f>+J16</f>
        <v>38.299999999999997</v>
      </c>
      <c r="S24" s="151">
        <f>+J16</f>
        <v>38.299999999999997</v>
      </c>
      <c r="Z24" s="151">
        <f>+K22</f>
        <v>4500000</v>
      </c>
    </row>
    <row r="25" spans="1:29" ht="13.9" customHeight="1">
      <c r="A25" s="385" t="s">
        <v>1321</v>
      </c>
      <c r="B25" s="385"/>
      <c r="D25" s="385"/>
      <c r="E25" s="385"/>
      <c r="F25" s="385"/>
      <c r="G25" s="385"/>
      <c r="H25" s="151">
        <f>+H23/H24</f>
        <v>430905.39080801245</v>
      </c>
      <c r="K25" s="151">
        <f>+K22/10</f>
        <v>450000</v>
      </c>
      <c r="L25" s="151">
        <f>+L22/L24</f>
        <v>176240.2088772846</v>
      </c>
      <c r="M25" s="151">
        <f>+H25/L25</f>
        <v>2.4449891063625002</v>
      </c>
      <c r="S25" s="151">
        <f>+S23/S24</f>
        <v>311848.72181570536</v>
      </c>
    </row>
    <row r="26" spans="1:29">
      <c r="A26" s="386" t="s">
        <v>1322</v>
      </c>
      <c r="B26" s="387" t="s">
        <v>1323</v>
      </c>
      <c r="C26" s="387" t="s">
        <v>1324</v>
      </c>
      <c r="D26" s="162" t="s">
        <v>1325</v>
      </c>
    </row>
    <row r="27" spans="1:29" ht="15.5">
      <c r="A27" s="388" t="s">
        <v>1326</v>
      </c>
      <c r="B27" s="371" t="s">
        <v>66</v>
      </c>
      <c r="C27" s="371">
        <f>+I11</f>
        <v>5.17</v>
      </c>
      <c r="D27" s="151">
        <f>+C27/2</f>
        <v>2.585</v>
      </c>
      <c r="E27" s="147" t="s">
        <v>1327</v>
      </c>
    </row>
    <row r="30" spans="1:29">
      <c r="A30" s="380" t="s">
        <v>1328</v>
      </c>
      <c r="B30" s="162" t="s">
        <v>747</v>
      </c>
      <c r="C30" s="162" t="s">
        <v>1329</v>
      </c>
      <c r="D30" s="162" t="s">
        <v>1330</v>
      </c>
      <c r="G30" s="387"/>
      <c r="H30" s="387"/>
      <c r="I30" s="387"/>
      <c r="J30" s="147" t="s">
        <v>1331</v>
      </c>
    </row>
    <row r="31" spans="1:29">
      <c r="A31" s="380" t="s">
        <v>1332</v>
      </c>
      <c r="B31" s="162"/>
      <c r="C31" s="162"/>
      <c r="D31" s="162"/>
      <c r="G31" s="387" t="s">
        <v>43</v>
      </c>
      <c r="H31" s="387" t="s">
        <v>1062</v>
      </c>
      <c r="I31" s="387" t="s">
        <v>46</v>
      </c>
      <c r="J31" s="147">
        <v>2</v>
      </c>
      <c r="L31" s="151">
        <v>1.75</v>
      </c>
      <c r="M31" s="151">
        <f>+C32*L31</f>
        <v>131447.83439650096</v>
      </c>
    </row>
    <row r="32" spans="1:29">
      <c r="A32" s="381" t="s">
        <v>1068</v>
      </c>
      <c r="B32" s="382">
        <v>2</v>
      </c>
      <c r="C32" s="382">
        <f>VLOOKUP(A32,$A$18:$B$22,2,FALSE)</f>
        <v>75113.048226571977</v>
      </c>
      <c r="D32" s="381">
        <f>+B32*C32</f>
        <v>150226.09645314395</v>
      </c>
      <c r="G32" s="147">
        <v>2</v>
      </c>
      <c r="H32" s="151">
        <f>+C32*G32</f>
        <v>150226.09645314395</v>
      </c>
      <c r="I32" s="151">
        <f>+H32*$J$31</f>
        <v>300452.19290628791</v>
      </c>
      <c r="L32" s="151">
        <v>1.75</v>
      </c>
      <c r="M32" s="151">
        <f>+C40*L32</f>
        <v>87384.915146500949</v>
      </c>
    </row>
    <row r="33" spans="1:13">
      <c r="A33" s="381" t="s">
        <v>1069</v>
      </c>
      <c r="B33" s="382">
        <v>3</v>
      </c>
      <c r="C33" s="382">
        <f t="shared" ref="C33:C40" si="10">VLOOKUP(A33,$A$18:$B$22,2,FALSE)</f>
        <v>65360.248306571972</v>
      </c>
      <c r="D33" s="381">
        <f t="shared" ref="D33:D40" si="11">+B33*C33</f>
        <v>196080.74491971591</v>
      </c>
      <c r="G33" s="147">
        <v>3</v>
      </c>
      <c r="H33" s="151">
        <f>+C33*G33</f>
        <v>196080.74491971591</v>
      </c>
      <c r="I33" s="151">
        <f>+H33*$J$31</f>
        <v>392161.48983943183</v>
      </c>
      <c r="M33" s="151">
        <f>+M31+M32</f>
        <v>218832.7495430019</v>
      </c>
    </row>
    <row r="34" spans="1:13">
      <c r="A34" s="380" t="s">
        <v>1333</v>
      </c>
      <c r="B34" s="382"/>
      <c r="C34" s="382"/>
      <c r="D34" s="381"/>
      <c r="G34" s="147"/>
      <c r="J34" s="147">
        <v>2</v>
      </c>
    </row>
    <row r="35" spans="1:13">
      <c r="A35" s="381" t="s">
        <v>1068</v>
      </c>
      <c r="B35" s="382">
        <v>2</v>
      </c>
      <c r="C35" s="382">
        <f t="shared" si="10"/>
        <v>75113.048226571977</v>
      </c>
      <c r="D35" s="381">
        <f t="shared" si="11"/>
        <v>150226.09645314395</v>
      </c>
      <c r="G35" s="147">
        <v>2</v>
      </c>
      <c r="H35" s="151">
        <f>+C35*G35</f>
        <v>150226.09645314395</v>
      </c>
      <c r="I35" s="151">
        <f>+H35*$J$34</f>
        <v>300452.19290628791</v>
      </c>
    </row>
    <row r="36" spans="1:13">
      <c r="A36" s="381" t="s">
        <v>1069</v>
      </c>
      <c r="B36" s="382">
        <v>2</v>
      </c>
      <c r="C36" s="382">
        <f t="shared" si="10"/>
        <v>65360.248306571972</v>
      </c>
      <c r="D36" s="381">
        <f t="shared" si="11"/>
        <v>130720.49661314394</v>
      </c>
      <c r="G36" s="147">
        <v>2</v>
      </c>
      <c r="H36" s="151">
        <f>+C36*G36</f>
        <v>130720.49661314394</v>
      </c>
      <c r="I36" s="151">
        <f>+H36*$J$34</f>
        <v>261440.99322628789</v>
      </c>
    </row>
    <row r="37" spans="1:13">
      <c r="A37" s="380" t="s">
        <v>1334</v>
      </c>
      <c r="B37" s="382"/>
      <c r="C37" s="382"/>
      <c r="D37" s="381"/>
      <c r="I37" s="384">
        <f>SUM(I32:I36)</f>
        <v>1254506.8688782956</v>
      </c>
    </row>
    <row r="38" spans="1:13">
      <c r="A38" s="381" t="s">
        <v>1068</v>
      </c>
      <c r="B38" s="382">
        <v>0.25</v>
      </c>
      <c r="C38" s="382">
        <f t="shared" si="10"/>
        <v>75113.048226571977</v>
      </c>
      <c r="D38" s="381">
        <f>+B38*C38</f>
        <v>18778.262056642994</v>
      </c>
      <c r="H38" s="381" t="s">
        <v>1335</v>
      </c>
      <c r="I38" s="151">
        <f>+I37/C27</f>
        <v>242651.23189135312</v>
      </c>
    </row>
    <row r="39" spans="1:13">
      <c r="A39" s="381" t="s">
        <v>1069</v>
      </c>
      <c r="B39" s="382">
        <v>0.25</v>
      </c>
      <c r="C39" s="382">
        <f t="shared" si="10"/>
        <v>65360.248306571972</v>
      </c>
      <c r="D39" s="381">
        <f t="shared" si="11"/>
        <v>16340.062076642993</v>
      </c>
    </row>
    <row r="40" spans="1:13">
      <c r="A40" s="381" t="s">
        <v>1071</v>
      </c>
      <c r="B40" s="382">
        <v>0.1</v>
      </c>
      <c r="C40" s="382">
        <f t="shared" si="10"/>
        <v>49934.237226571968</v>
      </c>
      <c r="D40" s="381">
        <f t="shared" si="11"/>
        <v>4993.4237226571968</v>
      </c>
    </row>
    <row r="41" spans="1:13">
      <c r="B41" s="382"/>
      <c r="C41" s="382"/>
      <c r="D41" s="381"/>
    </row>
    <row r="42" spans="1:13">
      <c r="B42" s="382"/>
      <c r="C42" s="382"/>
      <c r="D42" s="382"/>
      <c r="F42" s="389"/>
      <c r="G42" s="384"/>
    </row>
    <row r="43" spans="1:13">
      <c r="B43" s="382"/>
      <c r="C43" s="380" t="s">
        <v>1336</v>
      </c>
      <c r="D43" s="381">
        <f>+SUM(D32:D40)</f>
        <v>667365.18229509098</v>
      </c>
      <c r="G43" s="384"/>
    </row>
    <row r="44" spans="1:13">
      <c r="B44" s="382"/>
      <c r="C44" s="380" t="s">
        <v>1084</v>
      </c>
      <c r="D44" s="390">
        <f>+D43/D27</f>
        <v>258168.34905032534</v>
      </c>
      <c r="F44" s="151">
        <f>+D47/G44</f>
        <v>0.94510554160459215</v>
      </c>
      <c r="G44" s="151">
        <f>+C9</f>
        <v>289553.32282649603</v>
      </c>
      <c r="J44" s="147">
        <f>+D44/1.5</f>
        <v>172112.2327002169</v>
      </c>
    </row>
    <row r="45" spans="1:13">
      <c r="B45" s="380" t="s">
        <v>1337</v>
      </c>
      <c r="C45" s="391">
        <v>0.06</v>
      </c>
      <c r="D45" s="381">
        <f>+C45*D44</f>
        <v>15490.100943019519</v>
      </c>
    </row>
    <row r="46" spans="1:13">
      <c r="B46" s="380" t="s">
        <v>1338</v>
      </c>
      <c r="C46" s="391">
        <v>0</v>
      </c>
      <c r="D46" s="381">
        <f>+C46*D44</f>
        <v>0</v>
      </c>
    </row>
    <row r="47" spans="1:13">
      <c r="B47" s="382"/>
      <c r="C47" s="380" t="s">
        <v>1339</v>
      </c>
      <c r="D47" s="380">
        <f>+SUM(D44:D46)</f>
        <v>273658.44999334484</v>
      </c>
      <c r="F47" s="151">
        <f>+C27</f>
        <v>5.17</v>
      </c>
      <c r="G47" s="384">
        <f>+D47*F47</f>
        <v>1414814.1864655928</v>
      </c>
    </row>
    <row r="48" spans="1:13" ht="13.5" thickBot="1">
      <c r="A48" s="392"/>
      <c r="B48" s="392"/>
      <c r="C48" s="392"/>
      <c r="D48" s="392"/>
      <c r="E48" s="392"/>
      <c r="F48" s="392"/>
    </row>
    <row r="49" spans="1:10">
      <c r="A49" s="393"/>
      <c r="B49" s="393"/>
      <c r="C49" s="393"/>
      <c r="D49" s="393"/>
      <c r="E49" s="393"/>
      <c r="F49" s="393"/>
    </row>
    <row r="50" spans="1:10">
      <c r="A50" s="385" t="s">
        <v>1321</v>
      </c>
      <c r="B50" s="385"/>
      <c r="C50" s="385"/>
      <c r="D50" s="385"/>
      <c r="E50" s="385"/>
    </row>
    <row r="51" spans="1:10">
      <c r="A51" s="386" t="s">
        <v>1322</v>
      </c>
      <c r="B51" s="387" t="s">
        <v>1323</v>
      </c>
      <c r="C51" s="387" t="s">
        <v>1324</v>
      </c>
      <c r="D51" s="162" t="s">
        <v>1325</v>
      </c>
    </row>
    <row r="52" spans="1:10" ht="15.5">
      <c r="A52" s="388" t="s">
        <v>1340</v>
      </c>
      <c r="B52" s="371" t="s">
        <v>66</v>
      </c>
      <c r="C52" s="371">
        <f>+I10</f>
        <v>8.11</v>
      </c>
      <c r="D52" s="151">
        <f>+C52/4</f>
        <v>2.0274999999999999</v>
      </c>
      <c r="E52" s="147" t="s">
        <v>1327</v>
      </c>
    </row>
    <row r="55" spans="1:10">
      <c r="A55" s="380" t="s">
        <v>1328</v>
      </c>
      <c r="B55" s="162" t="s">
        <v>747</v>
      </c>
      <c r="C55" s="162" t="s">
        <v>1329</v>
      </c>
      <c r="D55" s="162" t="s">
        <v>1330</v>
      </c>
      <c r="G55" s="387"/>
      <c r="H55" s="387"/>
      <c r="I55" s="387"/>
      <c r="J55" s="147" t="s">
        <v>1331</v>
      </c>
    </row>
    <row r="56" spans="1:10">
      <c r="A56" s="380" t="s">
        <v>1332</v>
      </c>
      <c r="B56" s="162"/>
      <c r="C56" s="162"/>
      <c r="D56" s="162"/>
      <c r="G56" s="387" t="s">
        <v>43</v>
      </c>
      <c r="H56" s="387" t="s">
        <v>1062</v>
      </c>
      <c r="I56" s="387" t="s">
        <v>46</v>
      </c>
      <c r="J56" s="147">
        <v>2</v>
      </c>
    </row>
    <row r="57" spans="1:10">
      <c r="A57" s="381" t="s">
        <v>1068</v>
      </c>
      <c r="B57" s="382">
        <v>1</v>
      </c>
      <c r="C57" s="382">
        <f>VLOOKUP(A57,$A$18:$B$22,2,FALSE)</f>
        <v>75113.048226571977</v>
      </c>
      <c r="D57" s="381">
        <f>+B57*C57</f>
        <v>75113.048226571977</v>
      </c>
      <c r="E57" s="151">
        <f>+F57*C52</f>
        <v>561893.18613257585</v>
      </c>
      <c r="F57" s="151">
        <f>+SUM(D57:D58)/D52</f>
        <v>69283.99335790085</v>
      </c>
      <c r="G57" s="147">
        <v>2</v>
      </c>
      <c r="H57" s="151">
        <f>+C57*G57</f>
        <v>150226.09645314395</v>
      </c>
      <c r="I57" s="151">
        <f>+H57*$J$56</f>
        <v>300452.19290628791</v>
      </c>
    </row>
    <row r="58" spans="1:10">
      <c r="A58" s="381" t="s">
        <v>1069</v>
      </c>
      <c r="B58" s="382">
        <v>1</v>
      </c>
      <c r="C58" s="382">
        <f t="shared" ref="C58" si="12">VLOOKUP(A58,$A$18:$B$22,2,FALSE)</f>
        <v>65360.248306571972</v>
      </c>
      <c r="D58" s="381">
        <f t="shared" ref="D58" si="13">+B58*C58</f>
        <v>65360.248306571972</v>
      </c>
      <c r="G58" s="147">
        <v>2</v>
      </c>
      <c r="H58" s="151">
        <f>+C58*G58</f>
        <v>130720.49661314394</v>
      </c>
      <c r="I58" s="151">
        <f>+H58*$J$56</f>
        <v>261440.99322628789</v>
      </c>
    </row>
    <row r="59" spans="1:10">
      <c r="A59" s="380" t="s">
        <v>1333</v>
      </c>
      <c r="B59" s="382"/>
      <c r="C59" s="382"/>
      <c r="D59" s="381"/>
      <c r="G59" s="147"/>
      <c r="J59" s="147">
        <v>6</v>
      </c>
    </row>
    <row r="60" spans="1:10">
      <c r="A60" s="381" t="s">
        <v>1068</v>
      </c>
      <c r="B60" s="382">
        <v>2</v>
      </c>
      <c r="C60" s="382">
        <f t="shared" ref="C60:C61" si="14">VLOOKUP(A60,$A$18:$B$22,2,FALSE)</f>
        <v>75113.048226571977</v>
      </c>
      <c r="D60" s="381">
        <f t="shared" ref="D60:D61" si="15">+B60*C60</f>
        <v>150226.09645314395</v>
      </c>
      <c r="E60" s="151">
        <f>+F60*C52</f>
        <v>1385227.3654914396</v>
      </c>
      <c r="F60" s="151">
        <f>+SUM(D60:D61)/D52</f>
        <v>170804.85394469046</v>
      </c>
      <c r="G60" s="147">
        <v>1</v>
      </c>
      <c r="H60" s="151">
        <f>+C60*G60</f>
        <v>75113.048226571977</v>
      </c>
      <c r="I60" s="151">
        <f>+H60*$J$59</f>
        <v>450678.28935943183</v>
      </c>
    </row>
    <row r="61" spans="1:10">
      <c r="A61" s="381" t="s">
        <v>1069</v>
      </c>
      <c r="B61" s="382">
        <v>3</v>
      </c>
      <c r="C61" s="382">
        <f t="shared" si="14"/>
        <v>65360.248306571972</v>
      </c>
      <c r="D61" s="381">
        <f t="shared" si="15"/>
        <v>196080.74491971591</v>
      </c>
      <c r="G61" s="147">
        <v>2</v>
      </c>
      <c r="H61" s="151">
        <f>+C61*G61</f>
        <v>130720.49661314394</v>
      </c>
      <c r="I61" s="151">
        <f>+H61*$J$59</f>
        <v>784322.97967886366</v>
      </c>
    </row>
    <row r="62" spans="1:10">
      <c r="A62" s="380" t="s">
        <v>1334</v>
      </c>
      <c r="B62" s="382"/>
      <c r="C62" s="382"/>
      <c r="D62" s="381"/>
      <c r="I62" s="384">
        <f>SUM(I57:I61)</f>
        <v>1796894.4551708712</v>
      </c>
    </row>
    <row r="63" spans="1:10">
      <c r="A63" s="381" t="s">
        <v>1068</v>
      </c>
      <c r="B63" s="382">
        <v>0.2</v>
      </c>
      <c r="C63" s="382">
        <f t="shared" ref="C63:C65" si="16">VLOOKUP(A63,$A$18:$B$22,2,FALSE)</f>
        <v>75113.048226571977</v>
      </c>
      <c r="D63" s="381">
        <f t="shared" ref="D63:D65" si="17">+B63*C63</f>
        <v>15022.609645314396</v>
      </c>
      <c r="E63" s="151">
        <f>+F63*C52</f>
        <v>132352.33211714396</v>
      </c>
      <c r="F63" s="151">
        <f>+SUM(D63:D65)/D52</f>
        <v>16319.646376959799</v>
      </c>
      <c r="H63" s="381" t="s">
        <v>1335</v>
      </c>
      <c r="I63" s="151">
        <f>+I62/C52</f>
        <v>221565.28423808524</v>
      </c>
    </row>
    <row r="64" spans="1:10">
      <c r="A64" s="381" t="s">
        <v>1069</v>
      </c>
      <c r="B64" s="382">
        <v>0.2</v>
      </c>
      <c r="C64" s="382">
        <f t="shared" si="16"/>
        <v>65360.248306571972</v>
      </c>
      <c r="D64" s="381">
        <f t="shared" si="17"/>
        <v>13072.049661314395</v>
      </c>
    </row>
    <row r="65" spans="1:10">
      <c r="A65" s="381" t="s">
        <v>1071</v>
      </c>
      <c r="B65" s="382">
        <v>0.1</v>
      </c>
      <c r="C65" s="382">
        <f t="shared" si="16"/>
        <v>49934.237226571968</v>
      </c>
      <c r="D65" s="381">
        <f t="shared" si="17"/>
        <v>4993.4237226571968</v>
      </c>
    </row>
    <row r="66" spans="1:10">
      <c r="B66" s="382"/>
      <c r="C66" s="382"/>
      <c r="D66" s="381"/>
    </row>
    <row r="67" spans="1:10">
      <c r="B67" s="382"/>
      <c r="C67" s="382"/>
      <c r="D67" s="382"/>
    </row>
    <row r="68" spans="1:10">
      <c r="B68" s="382"/>
      <c r="C68" s="380" t="s">
        <v>1336</v>
      </c>
      <c r="D68" s="381">
        <f>+SUM(D57:D65)</f>
        <v>519868.22093528986</v>
      </c>
    </row>
    <row r="69" spans="1:10">
      <c r="B69" s="382"/>
      <c r="C69" s="380" t="s">
        <v>1084</v>
      </c>
      <c r="D69" s="390">
        <f>+D68/D52</f>
        <v>256408.49367955112</v>
      </c>
      <c r="F69" s="151">
        <f>+D72/G69</f>
        <v>0.68829923011320171</v>
      </c>
      <c r="G69" s="151">
        <f>+C10</f>
        <v>447029.69138125703</v>
      </c>
    </row>
    <row r="70" spans="1:10">
      <c r="B70" s="380" t="s">
        <v>1337</v>
      </c>
      <c r="C70" s="391">
        <v>0.2</v>
      </c>
      <c r="D70" s="381">
        <f>+C70*D69</f>
        <v>51281.698735910228</v>
      </c>
    </row>
    <row r="71" spans="1:10">
      <c r="B71" s="380" t="s">
        <v>1338</v>
      </c>
      <c r="C71" s="391">
        <v>0</v>
      </c>
      <c r="D71" s="381">
        <f>+C71*D69</f>
        <v>0</v>
      </c>
    </row>
    <row r="72" spans="1:10">
      <c r="B72" s="382"/>
      <c r="C72" s="380" t="s">
        <v>1339</v>
      </c>
      <c r="D72" s="380">
        <f>+SUM(D69:D71)</f>
        <v>307690.19241546135</v>
      </c>
      <c r="F72" s="151">
        <f>+C52</f>
        <v>8.11</v>
      </c>
      <c r="G72" s="384">
        <f>+D72*F72</f>
        <v>2495367.4604893913</v>
      </c>
    </row>
    <row r="73" spans="1:10" ht="13.5" thickBot="1"/>
    <row r="74" spans="1:10">
      <c r="A74" s="393"/>
      <c r="B74" s="393"/>
      <c r="C74" s="393"/>
      <c r="D74" s="393"/>
      <c r="E74" s="393"/>
      <c r="F74" s="393"/>
    </row>
    <row r="75" spans="1:10">
      <c r="A75" s="385" t="s">
        <v>1321</v>
      </c>
      <c r="B75" s="385"/>
      <c r="C75" s="385"/>
      <c r="D75" s="385"/>
      <c r="E75" s="385"/>
    </row>
    <row r="76" spans="1:10">
      <c r="A76" s="386" t="s">
        <v>1322</v>
      </c>
      <c r="B76" s="387" t="s">
        <v>1323</v>
      </c>
      <c r="C76" s="387" t="s">
        <v>1324</v>
      </c>
      <c r="D76" s="162" t="s">
        <v>1325</v>
      </c>
    </row>
    <row r="77" spans="1:10" ht="15.5">
      <c r="A77" s="388" t="s">
        <v>1341</v>
      </c>
      <c r="B77" s="371" t="s">
        <v>66</v>
      </c>
      <c r="C77" s="371">
        <f>+I11</f>
        <v>5.17</v>
      </c>
      <c r="D77" s="151">
        <f>+C77/4</f>
        <v>1.2925</v>
      </c>
      <c r="E77" s="147" t="s">
        <v>1327</v>
      </c>
    </row>
    <row r="80" spans="1:10">
      <c r="A80" s="380" t="s">
        <v>1328</v>
      </c>
      <c r="B80" s="162" t="s">
        <v>747</v>
      </c>
      <c r="C80" s="162" t="s">
        <v>1329</v>
      </c>
      <c r="D80" s="162" t="s">
        <v>1330</v>
      </c>
      <c r="J80" s="147" t="s">
        <v>1331</v>
      </c>
    </row>
    <row r="81" spans="1:10">
      <c r="A81" s="380" t="s">
        <v>1332</v>
      </c>
      <c r="B81" s="162"/>
      <c r="C81" s="162"/>
      <c r="D81" s="162"/>
      <c r="J81" s="147">
        <v>4</v>
      </c>
    </row>
    <row r="82" spans="1:10">
      <c r="A82" s="381" t="s">
        <v>1068</v>
      </c>
      <c r="B82" s="382">
        <v>3</v>
      </c>
      <c r="C82" s="382">
        <f>VLOOKUP(A82,$A$18:$B$22,2,FALSE)</f>
        <v>75113.048226571977</v>
      </c>
      <c r="D82" s="381">
        <f>+B82*C82</f>
        <v>225339.14467971592</v>
      </c>
      <c r="G82" s="151">
        <v>2</v>
      </c>
      <c r="H82" s="151">
        <f>+C82*G82</f>
        <v>150226.09645314395</v>
      </c>
      <c r="I82" s="151">
        <f>+H82*$J$81</f>
        <v>600904.38581257581</v>
      </c>
    </row>
    <row r="83" spans="1:10">
      <c r="A83" s="381" t="s">
        <v>1069</v>
      </c>
      <c r="B83" s="382">
        <v>3</v>
      </c>
      <c r="C83" s="382">
        <f t="shared" ref="C83" si="18">VLOOKUP(A83,$A$18:$B$22,2,FALSE)</f>
        <v>65360.248306571972</v>
      </c>
      <c r="D83" s="381">
        <f t="shared" ref="D83" si="19">+B83*C83</f>
        <v>196080.74491971591</v>
      </c>
      <c r="G83" s="151">
        <v>4</v>
      </c>
      <c r="H83" s="151">
        <f>+C83*G83</f>
        <v>261440.99322628789</v>
      </c>
      <c r="I83" s="151">
        <f>+H83*$J$81</f>
        <v>1045763.9729051515</v>
      </c>
    </row>
    <row r="84" spans="1:10">
      <c r="A84" s="380" t="s">
        <v>1333</v>
      </c>
      <c r="B84" s="382"/>
      <c r="C84" s="382"/>
      <c r="D84" s="381"/>
      <c r="J84" s="147">
        <v>2</v>
      </c>
    </row>
    <row r="85" spans="1:10">
      <c r="A85" s="381" t="s">
        <v>1068</v>
      </c>
      <c r="B85" s="382">
        <v>1</v>
      </c>
      <c r="C85" s="382">
        <f t="shared" ref="C85:C86" si="20">VLOOKUP(A85,$A$18:$B$22,2,FALSE)</f>
        <v>75113.048226571977</v>
      </c>
      <c r="D85" s="381">
        <f t="shared" ref="D85:D86" si="21">+B85*C85</f>
        <v>75113.048226571977</v>
      </c>
      <c r="G85" s="151">
        <v>2</v>
      </c>
      <c r="H85" s="151">
        <f>+C85*G85</f>
        <v>150226.09645314395</v>
      </c>
      <c r="I85" s="151">
        <f>+H85*$J$84</f>
        <v>300452.19290628791</v>
      </c>
    </row>
    <row r="86" spans="1:10">
      <c r="A86" s="381" t="s">
        <v>1069</v>
      </c>
      <c r="B86" s="382">
        <v>1</v>
      </c>
      <c r="C86" s="382">
        <f t="shared" si="20"/>
        <v>65360.248306571972</v>
      </c>
      <c r="D86" s="381">
        <f t="shared" si="21"/>
        <v>65360.248306571972</v>
      </c>
      <c r="G86" s="151">
        <v>2</v>
      </c>
      <c r="H86" s="151">
        <f>+C86*G86</f>
        <v>130720.49661314394</v>
      </c>
      <c r="I86" s="151">
        <f>+H86*$J$84</f>
        <v>261440.99322628789</v>
      </c>
    </row>
    <row r="87" spans="1:10">
      <c r="A87" s="380" t="s">
        <v>1334</v>
      </c>
      <c r="B87" s="382"/>
      <c r="C87" s="382"/>
      <c r="D87" s="381"/>
      <c r="I87" s="384">
        <f>SUM(I82:I86)</f>
        <v>2208561.5448503033</v>
      </c>
    </row>
    <row r="88" spans="1:10">
      <c r="A88" s="381" t="s">
        <v>1068</v>
      </c>
      <c r="B88" s="382">
        <v>0.1</v>
      </c>
      <c r="C88" s="382">
        <f t="shared" ref="C88:C90" si="22">VLOOKUP(A88,$A$18:$B$22,2,FALSE)</f>
        <v>75113.048226571977</v>
      </c>
      <c r="D88" s="381">
        <f t="shared" ref="D88:D93" si="23">+B88*C88</f>
        <v>7511.3048226571982</v>
      </c>
      <c r="I88" s="151">
        <f>+I87/C77</f>
        <v>427187.91970025213</v>
      </c>
    </row>
    <row r="89" spans="1:10">
      <c r="A89" s="381" t="s">
        <v>1069</v>
      </c>
      <c r="B89" s="382">
        <v>0.1</v>
      </c>
      <c r="C89" s="382">
        <f t="shared" si="22"/>
        <v>65360.248306571972</v>
      </c>
      <c r="D89" s="381">
        <f t="shared" si="23"/>
        <v>6536.0248306571975</v>
      </c>
    </row>
    <row r="90" spans="1:10">
      <c r="A90" s="381" t="s">
        <v>1071</v>
      </c>
      <c r="B90" s="382">
        <v>0.1</v>
      </c>
      <c r="C90" s="382">
        <f t="shared" si="22"/>
        <v>49934.237226571968</v>
      </c>
      <c r="D90" s="381">
        <f t="shared" si="23"/>
        <v>4993.4237226571968</v>
      </c>
    </row>
    <row r="91" spans="1:10">
      <c r="A91" s="380" t="s">
        <v>1342</v>
      </c>
      <c r="B91" s="382"/>
      <c r="C91" s="382"/>
      <c r="D91" s="381">
        <f t="shared" si="23"/>
        <v>0</v>
      </c>
    </row>
    <row r="92" spans="1:10">
      <c r="A92" s="381" t="s">
        <v>1068</v>
      </c>
      <c r="B92" s="382">
        <v>1</v>
      </c>
      <c r="C92" s="382">
        <f t="shared" ref="C92:C93" si="24">VLOOKUP(A92,$A$18:$B$22,2,FALSE)</f>
        <v>75113.048226571977</v>
      </c>
      <c r="D92" s="381">
        <f t="shared" si="23"/>
        <v>75113.048226571977</v>
      </c>
    </row>
    <row r="93" spans="1:10">
      <c r="A93" s="381" t="s">
        <v>1069</v>
      </c>
      <c r="B93" s="382">
        <v>1</v>
      </c>
      <c r="C93" s="382">
        <f t="shared" si="24"/>
        <v>65360.248306571972</v>
      </c>
      <c r="D93" s="381">
        <f t="shared" si="23"/>
        <v>65360.248306571972</v>
      </c>
    </row>
    <row r="94" spans="1:10">
      <c r="B94" s="382"/>
      <c r="C94" s="382"/>
      <c r="D94" s="382"/>
    </row>
    <row r="95" spans="1:10">
      <c r="B95" s="382"/>
      <c r="C95" s="380" t="s">
        <v>1336</v>
      </c>
      <c r="D95" s="381">
        <f>+SUM(D82:D90)</f>
        <v>580933.93950854731</v>
      </c>
    </row>
    <row r="96" spans="1:10">
      <c r="B96" s="382"/>
      <c r="C96" s="380" t="s">
        <v>1084</v>
      </c>
      <c r="D96" s="390">
        <f>+D95/D77</f>
        <v>449465.33037411782</v>
      </c>
      <c r="F96" s="151">
        <f>+D99/G96</f>
        <v>0.91133851577578151</v>
      </c>
      <c r="G96" s="151">
        <f>+C11</f>
        <v>507988.28566051932</v>
      </c>
    </row>
    <row r="97" spans="1:10">
      <c r="B97" s="380" t="s">
        <v>1337</v>
      </c>
      <c r="C97" s="391">
        <v>0.03</v>
      </c>
      <c r="D97" s="381">
        <f>+C97*D96</f>
        <v>13483.959911223534</v>
      </c>
    </row>
    <row r="98" spans="1:10">
      <c r="B98" s="380" t="s">
        <v>1338</v>
      </c>
      <c r="C98" s="391">
        <v>0</v>
      </c>
      <c r="D98" s="381">
        <f>+C98*D96</f>
        <v>0</v>
      </c>
      <c r="F98" s="151" t="s">
        <v>1343</v>
      </c>
    </row>
    <row r="99" spans="1:10">
      <c r="B99" s="382"/>
      <c r="C99" s="380" t="s">
        <v>1339</v>
      </c>
      <c r="D99" s="380">
        <f>+SUM(D96:D98)</f>
        <v>462949.29028534138</v>
      </c>
      <c r="F99" s="151">
        <f>+C77</f>
        <v>5.17</v>
      </c>
      <c r="G99" s="384">
        <f>+D99*F99</f>
        <v>2393447.8307752148</v>
      </c>
    </row>
    <row r="100" spans="1:10" ht="13.5" thickBot="1"/>
    <row r="101" spans="1:10">
      <c r="A101" s="393"/>
      <c r="B101" s="393"/>
      <c r="C101" s="393"/>
      <c r="D101" s="393"/>
      <c r="E101" s="393"/>
      <c r="F101" s="393"/>
    </row>
    <row r="102" spans="1:10">
      <c r="A102" s="385" t="s">
        <v>1321</v>
      </c>
      <c r="B102" s="385"/>
      <c r="C102" s="385"/>
      <c r="D102" s="385"/>
      <c r="E102" s="385"/>
    </row>
    <row r="103" spans="1:10">
      <c r="A103" s="386" t="s">
        <v>1322</v>
      </c>
      <c r="B103" s="387" t="s">
        <v>1323</v>
      </c>
      <c r="C103" s="387" t="s">
        <v>1324</v>
      </c>
      <c r="D103" s="162" t="s">
        <v>1325</v>
      </c>
    </row>
    <row r="104" spans="1:10" ht="15.5">
      <c r="A104" s="388" t="s">
        <v>1344</v>
      </c>
      <c r="B104" s="371" t="s">
        <v>66</v>
      </c>
      <c r="C104" s="371">
        <f>+I12</f>
        <v>17.579999999999998</v>
      </c>
      <c r="D104" s="151">
        <f>+C104/3</f>
        <v>5.8599999999999994</v>
      </c>
      <c r="E104" s="147" t="s">
        <v>1327</v>
      </c>
    </row>
    <row r="107" spans="1:10">
      <c r="A107" s="380" t="s">
        <v>1328</v>
      </c>
      <c r="B107" s="162" t="s">
        <v>747</v>
      </c>
      <c r="C107" s="162" t="s">
        <v>1329</v>
      </c>
      <c r="D107" s="162" t="s">
        <v>1330</v>
      </c>
      <c r="J107" s="147" t="s">
        <v>1331</v>
      </c>
    </row>
    <row r="108" spans="1:10">
      <c r="A108" s="380" t="s">
        <v>1332</v>
      </c>
      <c r="B108" s="162"/>
      <c r="C108" s="162"/>
      <c r="D108" s="162"/>
      <c r="J108" s="147">
        <v>4</v>
      </c>
    </row>
    <row r="109" spans="1:10">
      <c r="A109" s="381" t="s">
        <v>1068</v>
      </c>
      <c r="B109" s="382">
        <v>4</v>
      </c>
      <c r="C109" s="382">
        <f>VLOOKUP(A109,$A$18:$B$22,2,FALSE)</f>
        <v>75113.048226571977</v>
      </c>
      <c r="D109" s="381">
        <f>+B109*C109</f>
        <v>300452.19290628791</v>
      </c>
      <c r="E109" s="151">
        <f>+F109*C104</f>
        <v>1685679.5583977276</v>
      </c>
      <c r="F109" s="151">
        <f>+SUM(D109:D110)/D104</f>
        <v>95886.209237640942</v>
      </c>
      <c r="G109" s="151">
        <v>3</v>
      </c>
      <c r="H109" s="151">
        <f>+C109*G109</f>
        <v>225339.14467971592</v>
      </c>
      <c r="I109" s="151">
        <f>+H109*$J$108</f>
        <v>901356.57871886366</v>
      </c>
    </row>
    <row r="110" spans="1:10">
      <c r="A110" s="381" t="s">
        <v>1069</v>
      </c>
      <c r="B110" s="382">
        <v>4</v>
      </c>
      <c r="C110" s="382">
        <f t="shared" ref="C110" si="25">VLOOKUP(A110,$A$18:$B$22,2,FALSE)</f>
        <v>65360.248306571972</v>
      </c>
      <c r="D110" s="381">
        <f t="shared" ref="D110" si="26">+B110*C110</f>
        <v>261440.99322628789</v>
      </c>
      <c r="G110" s="151">
        <v>3</v>
      </c>
      <c r="H110" s="151">
        <f>+C110*G110</f>
        <v>196080.74491971591</v>
      </c>
      <c r="I110" s="151">
        <f>+H110*$J$108</f>
        <v>784322.97967886366</v>
      </c>
    </row>
    <row r="111" spans="1:10">
      <c r="A111" s="380" t="s">
        <v>1333</v>
      </c>
      <c r="B111" s="382"/>
      <c r="C111" s="382"/>
      <c r="D111" s="381"/>
      <c r="J111" s="147">
        <v>3</v>
      </c>
    </row>
    <row r="112" spans="1:10">
      <c r="A112" s="381" t="s">
        <v>1068</v>
      </c>
      <c r="B112" s="382">
        <v>2</v>
      </c>
      <c r="C112" s="382">
        <f t="shared" ref="C112:C113" si="27">VLOOKUP(A112,$A$18:$B$22,2,FALSE)</f>
        <v>75113.048226571977</v>
      </c>
      <c r="D112" s="381">
        <f t="shared" ref="D112:D113" si="28">+B112*C112</f>
        <v>150226.09645314395</v>
      </c>
      <c r="E112" s="151">
        <f>+F112*C104</f>
        <v>842839.77919886378</v>
      </c>
      <c r="F112" s="151">
        <f>+SUM(D112:D113)/D104</f>
        <v>47943.104618820471</v>
      </c>
      <c r="G112" s="151">
        <v>2</v>
      </c>
      <c r="H112" s="151">
        <f>+C112*G112</f>
        <v>150226.09645314395</v>
      </c>
      <c r="I112" s="151">
        <f>+H112*$J$111</f>
        <v>450678.28935943183</v>
      </c>
    </row>
    <row r="113" spans="1:21">
      <c r="A113" s="381" t="s">
        <v>1069</v>
      </c>
      <c r="B113" s="382">
        <v>2</v>
      </c>
      <c r="C113" s="382">
        <f t="shared" si="27"/>
        <v>65360.248306571972</v>
      </c>
      <c r="D113" s="381">
        <f t="shared" si="28"/>
        <v>130720.49661314394</v>
      </c>
      <c r="G113" s="151">
        <v>2</v>
      </c>
      <c r="H113" s="151">
        <f>+C113*G113</f>
        <v>130720.49661314394</v>
      </c>
      <c r="I113" s="151">
        <f>+H113*$J$111</f>
        <v>392161.48983943183</v>
      </c>
    </row>
    <row r="114" spans="1:21" s="147" customFormat="1">
      <c r="A114" s="380" t="s">
        <v>1334</v>
      </c>
      <c r="B114" s="382"/>
      <c r="C114" s="382"/>
      <c r="D114" s="381"/>
      <c r="E114" s="151"/>
      <c r="F114" s="151"/>
      <c r="G114" s="151"/>
      <c r="H114" s="151"/>
      <c r="I114" s="384">
        <f>SUM(I109:I113)</f>
        <v>2528519.3375965911</v>
      </c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</row>
    <row r="115" spans="1:21" s="147" customFormat="1">
      <c r="A115" s="381" t="s">
        <v>1068</v>
      </c>
      <c r="B115" s="382">
        <v>0.5</v>
      </c>
      <c r="C115" s="382">
        <f t="shared" ref="C115:C117" si="29">VLOOKUP(A115,$A$18:$B$22,2,FALSE)</f>
        <v>75113.048226571977</v>
      </c>
      <c r="D115" s="381">
        <f t="shared" ref="D115:D117" si="30">+B115*C115</f>
        <v>37556.524113285988</v>
      </c>
      <c r="E115" s="151">
        <f>+F115*C104</f>
        <v>270631.02947160229</v>
      </c>
      <c r="F115" s="151">
        <f>+SUM(D115:D117)/D104</f>
        <v>15394.256511467709</v>
      </c>
      <c r="G115" s="151"/>
      <c r="H115" s="151"/>
      <c r="I115" s="151">
        <f>+I114/C104</f>
        <v>143829.31385646141</v>
      </c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</row>
    <row r="116" spans="1:21" s="147" customFormat="1">
      <c r="A116" s="381" t="s">
        <v>1069</v>
      </c>
      <c r="B116" s="382">
        <v>0.5</v>
      </c>
      <c r="C116" s="382">
        <f t="shared" si="29"/>
        <v>65360.248306571972</v>
      </c>
      <c r="D116" s="381">
        <f t="shared" si="30"/>
        <v>32680.124153285986</v>
      </c>
      <c r="E116" s="151"/>
      <c r="F116" s="151"/>
      <c r="G116" s="151"/>
      <c r="H116" s="151"/>
      <c r="I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</row>
    <row r="117" spans="1:21" s="147" customFormat="1">
      <c r="A117" s="381" t="s">
        <v>1071</v>
      </c>
      <c r="B117" s="382">
        <v>0.4</v>
      </c>
      <c r="C117" s="382">
        <f t="shared" si="29"/>
        <v>49934.237226571968</v>
      </c>
      <c r="D117" s="381">
        <f t="shared" si="30"/>
        <v>19973.694890628787</v>
      </c>
      <c r="E117" s="151"/>
      <c r="F117" s="151"/>
      <c r="G117" s="151"/>
      <c r="H117" s="151"/>
      <c r="I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</row>
    <row r="118" spans="1:21" s="147" customFormat="1">
      <c r="A118" s="151"/>
      <c r="B118" s="382"/>
      <c r="C118" s="382"/>
      <c r="D118" s="382"/>
      <c r="E118" s="151"/>
      <c r="F118" s="151"/>
      <c r="G118" s="151"/>
      <c r="H118" s="151"/>
      <c r="I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</row>
    <row r="119" spans="1:21" s="147" customFormat="1">
      <c r="A119" s="151"/>
      <c r="B119" s="382"/>
      <c r="C119" s="380" t="s">
        <v>1336</v>
      </c>
      <c r="D119" s="381">
        <f>+SUM(D109:D117)</f>
        <v>933050.1223560645</v>
      </c>
      <c r="E119" s="151"/>
      <c r="F119" s="151"/>
      <c r="G119" s="151"/>
      <c r="H119" s="151"/>
      <c r="I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</row>
    <row r="120" spans="1:21" s="147" customFormat="1">
      <c r="A120" s="151"/>
      <c r="B120" s="382"/>
      <c r="C120" s="380" t="s">
        <v>1084</v>
      </c>
      <c r="D120" s="390">
        <f>+D119/D104</f>
        <v>159223.57036792912</v>
      </c>
      <c r="E120" s="151"/>
      <c r="F120" s="151">
        <f>+D123/G120</f>
        <v>0.62687890592160522</v>
      </c>
      <c r="G120" s="151">
        <f>+C12</f>
        <v>304792.97139631159</v>
      </c>
      <c r="H120" s="151"/>
      <c r="I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</row>
    <row r="121" spans="1:21" s="147" customFormat="1">
      <c r="A121" s="151"/>
      <c r="B121" s="380" t="s">
        <v>1345</v>
      </c>
      <c r="C121" s="391">
        <v>0.2</v>
      </c>
      <c r="D121" s="381">
        <f>+C121*D120</f>
        <v>31844.714073585827</v>
      </c>
      <c r="E121" s="151"/>
      <c r="F121" s="151"/>
      <c r="G121" s="151"/>
      <c r="H121" s="151"/>
      <c r="I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</row>
    <row r="122" spans="1:21" s="147" customFormat="1">
      <c r="A122" s="151"/>
      <c r="B122" s="380" t="s">
        <v>1338</v>
      </c>
      <c r="C122" s="391">
        <v>0</v>
      </c>
      <c r="D122" s="381">
        <f>+C122*D120</f>
        <v>0</v>
      </c>
      <c r="E122" s="151"/>
      <c r="F122" s="151" t="s">
        <v>1343</v>
      </c>
      <c r="G122" s="151"/>
      <c r="H122" s="151"/>
      <c r="I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</row>
    <row r="123" spans="1:21" s="147" customFormat="1">
      <c r="A123" s="151"/>
      <c r="B123" s="382"/>
      <c r="C123" s="380" t="s">
        <v>1339</v>
      </c>
      <c r="D123" s="380">
        <f>+SUM(D120:D122)</f>
        <v>191068.28444151493</v>
      </c>
      <c r="E123" s="151"/>
      <c r="F123" s="151">
        <f>+C104</f>
        <v>17.579999999999998</v>
      </c>
      <c r="G123" s="384">
        <f>+D123*F123</f>
        <v>3358980.4404818323</v>
      </c>
      <c r="H123" s="151"/>
      <c r="I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</row>
    <row r="124" spans="1:21" s="147" customFormat="1" ht="13.5" thickBot="1">
      <c r="A124" s="151"/>
      <c r="B124" s="151"/>
      <c r="C124" s="151"/>
      <c r="D124" s="151"/>
      <c r="E124" s="151"/>
      <c r="F124" s="151"/>
      <c r="G124" s="151"/>
      <c r="H124" s="151"/>
      <c r="I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</row>
    <row r="125" spans="1:21" s="147" customFormat="1">
      <c r="A125" s="393"/>
      <c r="B125" s="393"/>
      <c r="C125" s="393"/>
      <c r="D125" s="393"/>
      <c r="E125" s="393"/>
      <c r="F125" s="393"/>
      <c r="G125" s="151"/>
      <c r="H125" s="151"/>
      <c r="I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</row>
    <row r="126" spans="1:21" s="147" customFormat="1">
      <c r="A126" s="385" t="s">
        <v>1321</v>
      </c>
      <c r="B126" s="385"/>
      <c r="C126" s="385"/>
      <c r="D126" s="385"/>
      <c r="E126" s="385"/>
      <c r="F126" s="151"/>
      <c r="G126" s="151"/>
      <c r="H126" s="151"/>
      <c r="I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</row>
    <row r="127" spans="1:21" s="147" customFormat="1">
      <c r="A127" s="386" t="s">
        <v>1322</v>
      </c>
      <c r="B127" s="387" t="s">
        <v>1323</v>
      </c>
      <c r="C127" s="387" t="s">
        <v>1324</v>
      </c>
      <c r="D127" s="162" t="s">
        <v>1325</v>
      </c>
      <c r="E127" s="151"/>
      <c r="F127" s="151"/>
      <c r="G127" s="151"/>
      <c r="H127" s="151"/>
      <c r="I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</row>
    <row r="128" spans="1:21" s="147" customFormat="1" ht="15.5">
      <c r="A128" s="388" t="s">
        <v>1346</v>
      </c>
      <c r="B128" s="371" t="s">
        <v>66</v>
      </c>
      <c r="C128" s="371">
        <f>+I13</f>
        <v>2.0499999999999998</v>
      </c>
      <c r="D128" s="151">
        <f>+C128/2</f>
        <v>1.0249999999999999</v>
      </c>
      <c r="E128" s="147" t="s">
        <v>1327</v>
      </c>
      <c r="F128" s="151"/>
      <c r="G128" s="151"/>
      <c r="H128" s="151"/>
      <c r="I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</row>
    <row r="131" spans="1:10">
      <c r="A131" s="380" t="s">
        <v>1328</v>
      </c>
      <c r="B131" s="162" t="s">
        <v>747</v>
      </c>
      <c r="C131" s="162" t="s">
        <v>1329</v>
      </c>
      <c r="D131" s="162" t="s">
        <v>1330</v>
      </c>
      <c r="J131" s="147" t="s">
        <v>1331</v>
      </c>
    </row>
    <row r="132" spans="1:10">
      <c r="A132" s="380" t="s">
        <v>1332</v>
      </c>
      <c r="B132" s="162"/>
      <c r="C132" s="162"/>
      <c r="D132" s="162"/>
      <c r="J132" s="147">
        <v>1</v>
      </c>
    </row>
    <row r="133" spans="1:10">
      <c r="A133" s="381" t="s">
        <v>1068</v>
      </c>
      <c r="B133" s="382">
        <v>1</v>
      </c>
      <c r="C133" s="382">
        <f>VLOOKUP(A133,$A$18:$B$22,2,FALSE)</f>
        <v>75113.048226571977</v>
      </c>
      <c r="D133" s="381">
        <f>+B133*C133</f>
        <v>75113.048226571977</v>
      </c>
      <c r="G133" s="151">
        <v>1</v>
      </c>
      <c r="H133" s="151">
        <f>+C133*G133</f>
        <v>75113.048226571977</v>
      </c>
      <c r="I133" s="151">
        <f>+H133*$J$132</f>
        <v>75113.048226571977</v>
      </c>
    </row>
    <row r="134" spans="1:10">
      <c r="A134" s="381" t="s">
        <v>1069</v>
      </c>
      <c r="B134" s="382">
        <v>0</v>
      </c>
      <c r="C134" s="382">
        <f t="shared" ref="C134" si="31">VLOOKUP(A134,$A$18:$B$22,2,FALSE)</f>
        <v>65360.248306571972</v>
      </c>
      <c r="D134" s="381">
        <f t="shared" ref="D134" si="32">+B134*C134</f>
        <v>0</v>
      </c>
      <c r="G134" s="151">
        <v>1</v>
      </c>
      <c r="H134" s="151">
        <f>+C134*G134</f>
        <v>65360.248306571972</v>
      </c>
      <c r="I134" s="151">
        <f>+H134*$J$132</f>
        <v>65360.248306571972</v>
      </c>
    </row>
    <row r="135" spans="1:10">
      <c r="A135" s="380" t="s">
        <v>1333</v>
      </c>
      <c r="B135" s="382"/>
      <c r="C135" s="382"/>
      <c r="D135" s="381"/>
      <c r="J135" s="147">
        <v>2</v>
      </c>
    </row>
    <row r="136" spans="1:10">
      <c r="A136" s="381" t="s">
        <v>1068</v>
      </c>
      <c r="B136" s="382">
        <v>2</v>
      </c>
      <c r="C136" s="382">
        <f t="shared" ref="C136:C137" si="33">VLOOKUP(A136,$A$18:$B$22,2,FALSE)</f>
        <v>75113.048226571977</v>
      </c>
      <c r="D136" s="381">
        <f t="shared" ref="D136:D137" si="34">+B136*C136</f>
        <v>150226.09645314395</v>
      </c>
      <c r="G136" s="151">
        <v>1</v>
      </c>
      <c r="H136" s="151">
        <f>+C136*G136</f>
        <v>75113.048226571977</v>
      </c>
      <c r="I136" s="151">
        <f>+H136*$J$135</f>
        <v>150226.09645314395</v>
      </c>
    </row>
    <row r="137" spans="1:10">
      <c r="A137" s="381" t="s">
        <v>1069</v>
      </c>
      <c r="B137" s="382">
        <v>0</v>
      </c>
      <c r="C137" s="382">
        <f t="shared" si="33"/>
        <v>65360.248306571972</v>
      </c>
      <c r="D137" s="381">
        <f t="shared" si="34"/>
        <v>0</v>
      </c>
      <c r="G137" s="151">
        <v>1</v>
      </c>
      <c r="H137" s="151">
        <f>+C137*G137</f>
        <v>65360.248306571972</v>
      </c>
      <c r="I137" s="151">
        <f>+H137*$J$135</f>
        <v>130720.49661314394</v>
      </c>
    </row>
    <row r="138" spans="1:10">
      <c r="A138" s="380" t="s">
        <v>1334</v>
      </c>
      <c r="B138" s="382"/>
      <c r="C138" s="382"/>
      <c r="D138" s="381"/>
      <c r="I138" s="384">
        <f>SUM(I133:I137)</f>
        <v>421419.88959943189</v>
      </c>
    </row>
    <row r="139" spans="1:10">
      <c r="A139" s="381" t="s">
        <v>1068</v>
      </c>
      <c r="B139" s="382">
        <v>0.1</v>
      </c>
      <c r="C139" s="382">
        <f t="shared" ref="C139:C141" si="35">VLOOKUP(A139,$A$18:$B$22,2,FALSE)</f>
        <v>75113.048226571977</v>
      </c>
      <c r="D139" s="381">
        <f t="shared" ref="D139:D141" si="36">+B139*C139</f>
        <v>7511.3048226571982</v>
      </c>
      <c r="E139" s="151">
        <f>+F139*C128</f>
        <v>33088.08302928599</v>
      </c>
      <c r="F139" s="151">
        <f>+SUM(D139:D141)/D128</f>
        <v>16140.528306968778</v>
      </c>
      <c r="I139" s="151">
        <f>+I138/C128</f>
        <v>205570.67785338144</v>
      </c>
    </row>
    <row r="140" spans="1:10">
      <c r="A140" s="381" t="s">
        <v>1069</v>
      </c>
      <c r="B140" s="382">
        <v>0.1</v>
      </c>
      <c r="C140" s="382">
        <f t="shared" si="35"/>
        <v>65360.248306571972</v>
      </c>
      <c r="D140" s="381">
        <f t="shared" si="36"/>
        <v>6536.0248306571975</v>
      </c>
    </row>
    <row r="141" spans="1:10">
      <c r="A141" s="381" t="s">
        <v>1071</v>
      </c>
      <c r="B141" s="382">
        <v>0.05</v>
      </c>
      <c r="C141" s="382">
        <f t="shared" si="35"/>
        <v>49934.237226571968</v>
      </c>
      <c r="D141" s="381">
        <f t="shared" si="36"/>
        <v>2496.7118613285984</v>
      </c>
    </row>
    <row r="142" spans="1:10">
      <c r="B142" s="382"/>
      <c r="C142" s="382"/>
      <c r="D142" s="381"/>
    </row>
    <row r="143" spans="1:10">
      <c r="B143" s="382"/>
      <c r="C143" s="382"/>
      <c r="D143" s="382"/>
    </row>
    <row r="144" spans="1:10">
      <c r="B144" s="382"/>
      <c r="C144" s="380" t="s">
        <v>1336</v>
      </c>
      <c r="D144" s="381">
        <f>+SUM(D133:D141)</f>
        <v>241883.18619435892</v>
      </c>
    </row>
    <row r="145" spans="1:21">
      <c r="B145" s="382"/>
      <c r="C145" s="380" t="s">
        <v>1084</v>
      </c>
      <c r="D145" s="390">
        <f>+D144/D128</f>
        <v>235983.59628717945</v>
      </c>
      <c r="F145" s="151">
        <f>+D148/G145</f>
        <v>0.61939380086383489</v>
      </c>
      <c r="G145" s="151">
        <f>+C13</f>
        <v>457189.45709446742</v>
      </c>
    </row>
    <row r="146" spans="1:21" s="147" customFormat="1">
      <c r="A146" s="151"/>
      <c r="B146" s="380" t="s">
        <v>1345</v>
      </c>
      <c r="C146" s="391">
        <v>0.2</v>
      </c>
      <c r="D146" s="381">
        <f>+C146*D145</f>
        <v>47196.719257435892</v>
      </c>
      <c r="E146" s="151"/>
      <c r="F146" s="151"/>
      <c r="G146" s="151"/>
      <c r="H146" s="151"/>
      <c r="I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</row>
    <row r="147" spans="1:21" s="147" customFormat="1">
      <c r="A147" s="151"/>
      <c r="B147" s="380" t="s">
        <v>1338</v>
      </c>
      <c r="C147" s="391">
        <v>0</v>
      </c>
      <c r="D147" s="381">
        <f>+C147*D145</f>
        <v>0</v>
      </c>
      <c r="E147" s="151"/>
      <c r="F147" s="151" t="s">
        <v>1343</v>
      </c>
      <c r="G147" s="151"/>
      <c r="H147" s="151"/>
      <c r="I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</row>
    <row r="148" spans="1:21" s="147" customFormat="1">
      <c r="A148" s="151"/>
      <c r="B148" s="382"/>
      <c r="C148" s="380" t="s">
        <v>1339</v>
      </c>
      <c r="D148" s="380">
        <f>+SUM(D145:D147)</f>
        <v>283180.31554461533</v>
      </c>
      <c r="E148" s="151"/>
      <c r="F148" s="151">
        <f>+C128</f>
        <v>2.0499999999999998</v>
      </c>
      <c r="G148" s="384">
        <f>+D148*F148</f>
        <v>580519.64686646138</v>
      </c>
      <c r="H148" s="151"/>
      <c r="I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</row>
    <row r="151" spans="1:21" s="147" customFormat="1">
      <c r="A151" s="151"/>
      <c r="B151" s="151"/>
      <c r="C151" s="151"/>
      <c r="D151" s="151"/>
      <c r="E151" s="151"/>
      <c r="F151" s="151">
        <f>+G151*F152/G152</f>
        <v>0.72605621666500286</v>
      </c>
      <c r="G151" s="384">
        <f>+G148+G123+G99+G72+G47</f>
        <v>10243129.565078491</v>
      </c>
      <c r="H151" s="151" t="s">
        <v>185</v>
      </c>
      <c r="I151" s="384"/>
      <c r="J151" s="147">
        <f>+G151/24</f>
        <v>426797.06521160383</v>
      </c>
      <c r="K151" s="151">
        <f>+J151/1.5</f>
        <v>284531.37680773588</v>
      </c>
      <c r="L151" s="151"/>
      <c r="O151" s="151"/>
      <c r="P151" s="151"/>
      <c r="Q151" s="151"/>
      <c r="R151" s="151"/>
      <c r="S151" s="151"/>
      <c r="T151" s="151"/>
      <c r="U151" s="151"/>
    </row>
    <row r="152" spans="1:21" s="147" customFormat="1">
      <c r="A152" s="151"/>
      <c r="B152" s="151"/>
      <c r="C152" s="151"/>
      <c r="D152" s="151"/>
      <c r="E152" s="151"/>
      <c r="F152" s="151">
        <v>1</v>
      </c>
      <c r="G152" s="384">
        <f>+J15</f>
        <v>14107901.468192508</v>
      </c>
      <c r="H152" s="151" t="s">
        <v>1347</v>
      </c>
      <c r="I152" s="151"/>
      <c r="K152" s="151"/>
      <c r="L152" s="151"/>
      <c r="O152" s="151"/>
      <c r="P152" s="151"/>
      <c r="Q152" s="151"/>
      <c r="R152" s="151"/>
      <c r="S152" s="151"/>
      <c r="T152" s="151"/>
      <c r="U152" s="151"/>
    </row>
    <row r="153" spans="1:21">
      <c r="Q153" s="151">
        <v>6</v>
      </c>
      <c r="R153" s="151">
        <v>4</v>
      </c>
    </row>
    <row r="154" spans="1:21">
      <c r="G154" s="151">
        <v>0.60526315789473684</v>
      </c>
      <c r="P154" s="151" t="s">
        <v>1062</v>
      </c>
      <c r="Q154" s="151" t="s">
        <v>1733</v>
      </c>
      <c r="R154" s="151" t="s">
        <v>61</v>
      </c>
    </row>
    <row r="155" spans="1:21">
      <c r="C155" s="151">
        <v>36000000</v>
      </c>
      <c r="G155" s="384">
        <f>+G154*G151</f>
        <v>6199788.9472843502</v>
      </c>
      <c r="M155" s="151" t="s">
        <v>1732</v>
      </c>
      <c r="N155" s="151">
        <v>1</v>
      </c>
      <c r="O155" s="151">
        <v>35000</v>
      </c>
      <c r="P155" s="151">
        <v>40000</v>
      </c>
      <c r="Q155" s="151">
        <f>+P155*$Q$153</f>
        <v>240000</v>
      </c>
      <c r="R155" s="151">
        <f>+Q155*$R$153</f>
        <v>960000</v>
      </c>
    </row>
    <row r="156" spans="1:21">
      <c r="G156" s="384">
        <f>+G155/1.5</f>
        <v>4133192.6315229</v>
      </c>
      <c r="M156" s="151" t="s">
        <v>193</v>
      </c>
      <c r="N156" s="151">
        <v>3</v>
      </c>
      <c r="O156" s="151">
        <v>30000</v>
      </c>
      <c r="P156" s="151">
        <f>+N156*O156</f>
        <v>90000</v>
      </c>
      <c r="Q156" s="151">
        <f t="shared" ref="Q156:Q157" si="37">+P156*$Q$153</f>
        <v>540000</v>
      </c>
      <c r="R156" s="151">
        <f>+Q156*$R$153</f>
        <v>2160000</v>
      </c>
    </row>
    <row r="157" spans="1:21">
      <c r="M157" s="151" t="s">
        <v>195</v>
      </c>
      <c r="N157" s="151">
        <v>3</v>
      </c>
      <c r="O157" s="151">
        <v>25000</v>
      </c>
      <c r="P157" s="151">
        <f>+N157*O157</f>
        <v>75000</v>
      </c>
      <c r="Q157" s="151">
        <f t="shared" si="37"/>
        <v>450000</v>
      </c>
      <c r="R157" s="151">
        <f>+Q157*$R$153</f>
        <v>1800000</v>
      </c>
    </row>
    <row r="158" spans="1:21">
      <c r="P158" s="151">
        <f>+SUM(P155:P157)</f>
        <v>205000</v>
      </c>
      <c r="Q158" s="151">
        <f>+SUM(Q155:Q157)</f>
        <v>1230000</v>
      </c>
      <c r="R158" s="151">
        <f>+SUM(R155:R157)</f>
        <v>4920000</v>
      </c>
    </row>
    <row r="159" spans="1:21">
      <c r="R159" s="151">
        <f>+R158*S159</f>
        <v>7380000</v>
      </c>
      <c r="S159" s="151">
        <v>1.5</v>
      </c>
      <c r="T159" s="151" t="s">
        <v>1734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DCDB-B151-4A2F-A674-3CA53C2C7394}">
  <sheetPr>
    <tabColor rgb="FF92D050"/>
  </sheetPr>
  <dimension ref="B1:T34"/>
  <sheetViews>
    <sheetView topLeftCell="G10" workbookViewId="0">
      <selection activeCell="N23" sqref="N23"/>
    </sheetView>
  </sheetViews>
  <sheetFormatPr defaultColWidth="11.54296875" defaultRowHeight="14.5" outlineLevelCol="1"/>
  <cols>
    <col min="1" max="1" width="2.7265625" style="574" customWidth="1"/>
    <col min="2" max="2" width="38.26953125" style="574" bestFit="1" customWidth="1"/>
    <col min="3" max="3" width="9.1796875" style="574" customWidth="1"/>
    <col min="4" max="4" width="9" style="574" bestFit="1" customWidth="1"/>
    <col min="5" max="5" width="12.54296875" style="574" customWidth="1" outlineLevel="1"/>
    <col min="6" max="6" width="50.453125" style="577" customWidth="1" outlineLevel="1"/>
    <col min="7" max="7" width="15.1796875" style="574" customWidth="1" outlineLevel="1"/>
    <col min="8" max="8" width="10.26953125" style="574" customWidth="1" outlineLevel="1"/>
    <col min="9" max="10" width="11.26953125" style="574" customWidth="1" outlineLevel="1"/>
    <col min="11" max="11" width="13.1796875" style="574" bestFit="1" customWidth="1"/>
    <col min="12" max="12" width="10.453125" style="575" bestFit="1" customWidth="1"/>
    <col min="13" max="18" width="11.54296875" style="574"/>
    <col min="19" max="19" width="13" style="574" bestFit="1" customWidth="1"/>
    <col min="20" max="20" width="13.1796875" style="574" bestFit="1" customWidth="1"/>
    <col min="21" max="16384" width="11.54296875" style="574"/>
  </cols>
  <sheetData>
    <row r="1" spans="2:20">
      <c r="B1" s="721"/>
      <c r="C1" s="721"/>
      <c r="D1" s="721"/>
      <c r="E1" s="721"/>
      <c r="F1" s="721" t="s">
        <v>744</v>
      </c>
      <c r="G1" s="721"/>
      <c r="H1" s="721"/>
      <c r="I1" s="721"/>
      <c r="J1" s="721"/>
      <c r="K1" s="721"/>
      <c r="L1" s="733"/>
      <c r="M1" s="721"/>
      <c r="N1" s="721"/>
      <c r="O1" s="721"/>
      <c r="P1" s="721"/>
      <c r="Q1" s="721"/>
      <c r="R1" s="721"/>
      <c r="S1" s="721"/>
      <c r="T1" s="721"/>
    </row>
    <row r="2" spans="2:20">
      <c r="B2" s="721"/>
      <c r="C2" s="721"/>
      <c r="D2" s="721"/>
      <c r="E2" s="721"/>
      <c r="F2" s="732"/>
      <c r="G2" s="721"/>
      <c r="H2" s="721"/>
      <c r="I2" s="721"/>
      <c r="J2" s="721"/>
      <c r="K2" s="721"/>
      <c r="L2" s="733"/>
      <c r="M2" s="721"/>
      <c r="N2" s="721"/>
      <c r="O2" s="721"/>
      <c r="P2" s="721"/>
      <c r="Q2" s="721"/>
      <c r="R2" s="721"/>
      <c r="S2" s="721"/>
      <c r="T2" s="721"/>
    </row>
    <row r="3" spans="2:20">
      <c r="E3" s="746"/>
      <c r="F3" s="740" t="s">
        <v>1328</v>
      </c>
      <c r="G3" s="744" t="s">
        <v>1489</v>
      </c>
      <c r="H3" s="744" t="s">
        <v>1489</v>
      </c>
      <c r="I3" s="744" t="s">
        <v>1490</v>
      </c>
      <c r="J3" s="744" t="s">
        <v>1491</v>
      </c>
      <c r="K3" s="744" t="s">
        <v>1491</v>
      </c>
      <c r="L3" s="744" t="s">
        <v>1492</v>
      </c>
      <c r="M3" s="721"/>
      <c r="N3" s="721"/>
      <c r="O3" s="721"/>
      <c r="P3" s="721"/>
      <c r="Q3" s="721"/>
      <c r="R3" s="721"/>
      <c r="S3" s="721"/>
      <c r="T3" s="721"/>
    </row>
    <row r="4" spans="2:20">
      <c r="F4" s="738" t="s">
        <v>1493</v>
      </c>
      <c r="G4" s="739" t="s">
        <v>760</v>
      </c>
      <c r="H4" s="739" t="s">
        <v>1494</v>
      </c>
      <c r="I4" s="739" t="s">
        <v>757</v>
      </c>
      <c r="J4" s="739" t="s">
        <v>1495</v>
      </c>
      <c r="K4" s="739" t="s">
        <v>1496</v>
      </c>
      <c r="L4" s="739" t="s">
        <v>1497</v>
      </c>
      <c r="M4" s="721"/>
      <c r="N4" s="721"/>
      <c r="O4" s="721"/>
      <c r="P4" s="721"/>
      <c r="Q4" s="721"/>
      <c r="R4" s="721"/>
      <c r="S4" s="721"/>
      <c r="T4" s="721"/>
    </row>
    <row r="5" spans="2:20">
      <c r="B5" s="746"/>
      <c r="D5" s="746"/>
      <c r="F5" s="722" t="s">
        <v>1498</v>
      </c>
      <c r="G5" s="722">
        <v>30</v>
      </c>
      <c r="H5" s="722">
        <v>6</v>
      </c>
      <c r="I5" s="722">
        <v>3</v>
      </c>
      <c r="J5" s="741"/>
      <c r="K5" s="722"/>
      <c r="L5" s="722"/>
      <c r="M5" s="721"/>
      <c r="N5" s="721"/>
      <c r="O5" s="721"/>
      <c r="P5" s="721"/>
      <c r="Q5" s="721"/>
      <c r="R5" s="721"/>
      <c r="S5" s="721"/>
      <c r="T5" s="721"/>
    </row>
    <row r="6" spans="2:20">
      <c r="F6" s="723" t="s">
        <v>1499</v>
      </c>
      <c r="G6" s="723">
        <v>30</v>
      </c>
      <c r="H6" s="723">
        <v>6</v>
      </c>
      <c r="I6" s="723">
        <v>6</v>
      </c>
      <c r="J6" s="742"/>
      <c r="K6" s="723"/>
      <c r="L6" s="723"/>
      <c r="M6" s="721"/>
      <c r="N6" s="721"/>
      <c r="O6" s="721"/>
      <c r="P6" s="721"/>
      <c r="Q6" s="721"/>
      <c r="R6" s="721"/>
      <c r="S6" s="721"/>
      <c r="T6" s="721"/>
    </row>
    <row r="7" spans="2:20">
      <c r="B7" s="746"/>
      <c r="F7" s="723" t="s">
        <v>1500</v>
      </c>
      <c r="G7" s="723">
        <v>30</v>
      </c>
      <c r="H7" s="723">
        <v>6</v>
      </c>
      <c r="I7" s="723">
        <v>6</v>
      </c>
      <c r="J7" s="742"/>
      <c r="K7" s="723"/>
      <c r="L7" s="723"/>
      <c r="M7" s="721"/>
      <c r="N7" s="721"/>
      <c r="O7" s="721"/>
      <c r="P7" s="721"/>
      <c r="Q7" s="721"/>
      <c r="R7" s="721"/>
      <c r="S7" s="721"/>
      <c r="T7" s="721"/>
    </row>
    <row r="8" spans="2:20">
      <c r="F8" s="720" t="s">
        <v>1501</v>
      </c>
      <c r="G8" s="720"/>
      <c r="H8" s="720"/>
      <c r="I8" s="720"/>
      <c r="J8" s="743">
        <v>31</v>
      </c>
      <c r="K8" s="720">
        <v>21</v>
      </c>
      <c r="L8" s="720">
        <v>18</v>
      </c>
      <c r="M8" s="721"/>
      <c r="N8" s="721"/>
      <c r="O8" s="721"/>
      <c r="P8" s="721"/>
      <c r="Q8" s="721"/>
      <c r="R8" s="721"/>
      <c r="S8" s="721"/>
      <c r="T8" s="721"/>
    </row>
    <row r="9" spans="2:20">
      <c r="F9" s="738" t="s">
        <v>1502</v>
      </c>
      <c r="G9" s="745">
        <f>SUM(G5:G8)</f>
        <v>90</v>
      </c>
      <c r="H9" s="745">
        <f t="shared" ref="H9:L9" si="0">SUM(H5:H8)</f>
        <v>18</v>
      </c>
      <c r="I9" s="745">
        <f t="shared" si="0"/>
        <v>15</v>
      </c>
      <c r="J9" s="745">
        <f t="shared" si="0"/>
        <v>31</v>
      </c>
      <c r="K9" s="745">
        <f t="shared" si="0"/>
        <v>21</v>
      </c>
      <c r="L9" s="745">
        <f t="shared" si="0"/>
        <v>18</v>
      </c>
      <c r="M9" s="721"/>
      <c r="N9" s="721"/>
      <c r="O9" s="721"/>
      <c r="P9" s="721"/>
      <c r="Q9" s="721"/>
      <c r="R9" s="721"/>
      <c r="S9" s="721"/>
      <c r="T9" s="721"/>
    </row>
    <row r="10" spans="2:20">
      <c r="B10" s="721"/>
      <c r="C10" s="721"/>
      <c r="D10" s="721"/>
      <c r="E10" s="734"/>
      <c r="F10" s="732"/>
      <c r="G10" s="721"/>
      <c r="H10" s="721"/>
      <c r="I10" s="721"/>
      <c r="J10" s="721"/>
      <c r="K10" s="721"/>
      <c r="L10" s="733"/>
      <c r="M10" s="721"/>
      <c r="N10" s="721"/>
      <c r="O10" s="721"/>
      <c r="P10" s="721"/>
      <c r="Q10" s="721"/>
      <c r="R10" s="721"/>
      <c r="S10" s="721"/>
      <c r="T10" s="721"/>
    </row>
    <row r="11" spans="2:20">
      <c r="B11" s="480"/>
      <c r="C11" s="480"/>
      <c r="D11" s="480"/>
      <c r="E11" s="570"/>
      <c r="F11" s="578"/>
      <c r="G11" s="480"/>
      <c r="H11" s="480">
        <v>1</v>
      </c>
      <c r="I11" s="480">
        <v>2</v>
      </c>
      <c r="J11" s="480"/>
      <c r="K11" s="480"/>
      <c r="L11" s="733"/>
      <c r="M11" s="721"/>
      <c r="N11" s="1"/>
      <c r="O11" s="221">
        <f>+'P.MO 09.24'!B4</f>
        <v>75113.048226571977</v>
      </c>
      <c r="P11" s="221">
        <f>+'P.MO 09.24'!B5</f>
        <v>65360.248306571972</v>
      </c>
      <c r="Q11" s="221">
        <f>+'P.MO 09.24'!B6</f>
        <v>54784.071766571964</v>
      </c>
      <c r="R11" s="221">
        <f>+'P.MO 09.24'!B7</f>
        <v>49934.237226571968</v>
      </c>
      <c r="S11" s="1">
        <v>1.5</v>
      </c>
      <c r="T11" s="721"/>
    </row>
    <row r="12" spans="2:20">
      <c r="B12" s="470" t="s">
        <v>745</v>
      </c>
      <c r="C12" s="470" t="s">
        <v>746</v>
      </c>
      <c r="D12" s="470" t="s">
        <v>747</v>
      </c>
      <c r="E12" s="747" t="s">
        <v>748</v>
      </c>
      <c r="F12" s="470" t="s">
        <v>749</v>
      </c>
      <c r="G12" s="470" t="s">
        <v>750</v>
      </c>
      <c r="H12" s="470" t="s">
        <v>285</v>
      </c>
      <c r="I12" s="470" t="s">
        <v>751</v>
      </c>
      <c r="J12" s="470" t="s">
        <v>567</v>
      </c>
      <c r="K12" s="470" t="s">
        <v>13</v>
      </c>
      <c r="L12" s="748"/>
      <c r="M12" s="721"/>
      <c r="N12" s="119" t="s">
        <v>1331</v>
      </c>
      <c r="O12" s="218" t="s">
        <v>192</v>
      </c>
      <c r="P12" s="218" t="s">
        <v>193</v>
      </c>
      <c r="Q12" s="218" t="s">
        <v>194</v>
      </c>
      <c r="R12" s="218" t="s">
        <v>195</v>
      </c>
      <c r="S12" s="117" t="s">
        <v>511</v>
      </c>
      <c r="T12" s="721"/>
    </row>
    <row r="13" spans="2:20">
      <c r="B13" s="138"/>
      <c r="C13" s="138"/>
      <c r="D13" s="138"/>
      <c r="E13" s="734"/>
      <c r="F13" s="732"/>
      <c r="G13" s="721"/>
      <c r="H13" s="721"/>
      <c r="I13" s="721"/>
      <c r="J13" s="721"/>
      <c r="K13" s="721"/>
      <c r="L13" s="733"/>
      <c r="M13" s="721"/>
      <c r="N13" s="721"/>
      <c r="O13" s="721"/>
      <c r="P13" s="721"/>
      <c r="Q13" s="721"/>
      <c r="R13" s="721"/>
      <c r="S13" s="721"/>
      <c r="T13" s="721"/>
    </row>
    <row r="14" spans="2:20">
      <c r="B14" s="457" t="s">
        <v>1504</v>
      </c>
      <c r="C14" s="458"/>
      <c r="D14" s="458"/>
      <c r="E14" s="749"/>
      <c r="F14" s="750"/>
      <c r="G14" s="719"/>
      <c r="H14" s="719"/>
      <c r="I14" s="719"/>
      <c r="J14" s="719"/>
      <c r="K14" s="719"/>
      <c r="L14" s="751">
        <f>+SUM(K15:K17)</f>
        <v>2103108.8120850832</v>
      </c>
      <c r="M14" s="721"/>
      <c r="N14" s="764">
        <v>8</v>
      </c>
      <c r="O14" s="765">
        <v>1</v>
      </c>
      <c r="P14" s="766"/>
      <c r="Q14" s="767">
        <v>1</v>
      </c>
      <c r="R14" s="768"/>
      <c r="S14" s="769">
        <f>(+O14*$O$11+P14*$P$11+Q14*$Q$11+R14*$R$11)*N14</f>
        <v>1039176.9599451516</v>
      </c>
      <c r="T14" s="770">
        <f>+S14*$S$11</f>
        <v>1558765.4399177274</v>
      </c>
    </row>
    <row r="15" spans="2:20">
      <c r="B15" s="722" t="s">
        <v>752</v>
      </c>
      <c r="C15" s="752" t="s">
        <v>1503</v>
      </c>
      <c r="D15" s="753">
        <f>+J9+K9</f>
        <v>52</v>
      </c>
      <c r="E15" s="753">
        <f>((0.2*4)+0.06)/(1.22*2)*1.05</f>
        <v>0.37008196721311482</v>
      </c>
      <c r="F15" s="754" t="s">
        <v>761</v>
      </c>
      <c r="G15" s="722">
        <f>VLOOKUP(F15,Cotizaciones!B:D,3,0)</f>
        <v>20295.537190082643</v>
      </c>
      <c r="H15" s="722">
        <f>+E15*G15*$H$11</f>
        <v>7511.0123289527173</v>
      </c>
      <c r="I15" s="722">
        <f>+E15*G15*$I$11</f>
        <v>15022.024657905435</v>
      </c>
      <c r="J15" s="722">
        <f>+SUM(H15:I15)</f>
        <v>22533.036986858151</v>
      </c>
      <c r="K15" s="722">
        <f>+J15*D15</f>
        <v>1171717.9233166238</v>
      </c>
      <c r="L15" s="733"/>
      <c r="M15" s="721"/>
      <c r="N15" s="721"/>
      <c r="O15" s="721"/>
      <c r="P15" s="721"/>
      <c r="Q15" s="721"/>
      <c r="R15" s="721"/>
      <c r="S15" s="1"/>
      <c r="T15" s="721"/>
    </row>
    <row r="16" spans="2:20">
      <c r="B16" s="723" t="s">
        <v>754</v>
      </c>
      <c r="C16" s="755" t="s">
        <v>1497</v>
      </c>
      <c r="D16" s="756">
        <f>+L9</f>
        <v>18</v>
      </c>
      <c r="E16" s="756">
        <f>((0.4*4)+0.06)/(1.22*2)*1.05</f>
        <v>0.71434426229508208</v>
      </c>
      <c r="F16" s="757" t="s">
        <v>761</v>
      </c>
      <c r="G16" s="723">
        <f>VLOOKUP(F16,Cotizaciones!B:D,3,0)</f>
        <v>20295.537190082643</v>
      </c>
      <c r="H16" s="723">
        <f t="shared" ref="H16:H17" si="1">+E16*G16*$H$11</f>
        <v>14498.000541931988</v>
      </c>
      <c r="I16" s="723">
        <f t="shared" ref="I16:I17" si="2">+E16*G16*$I$11</f>
        <v>28996.001083863976</v>
      </c>
      <c r="J16" s="723">
        <f t="shared" ref="J16:J17" si="3">+SUM(H16:I16)</f>
        <v>43494.001625795965</v>
      </c>
      <c r="K16" s="723">
        <f t="shared" ref="K16:K17" si="4">+J16*D16</f>
        <v>782892.02926432737</v>
      </c>
      <c r="L16" s="733"/>
      <c r="M16" s="721"/>
      <c r="N16" s="721"/>
      <c r="O16" s="721"/>
      <c r="P16" s="721"/>
      <c r="Q16" s="721"/>
      <c r="R16" s="721"/>
      <c r="S16" s="721"/>
    </row>
    <row r="17" spans="2:20">
      <c r="B17" s="720" t="s">
        <v>755</v>
      </c>
      <c r="C17" s="724"/>
      <c r="D17" s="758">
        <v>2</v>
      </c>
      <c r="E17" s="758">
        <v>1</v>
      </c>
      <c r="F17" s="743" t="s">
        <v>753</v>
      </c>
      <c r="G17" s="720">
        <f>VLOOKUP(F17,Cotizaciones!B:D,3,0)</f>
        <v>24749.809917355375</v>
      </c>
      <c r="H17" s="720">
        <f t="shared" si="1"/>
        <v>24749.809917355375</v>
      </c>
      <c r="I17" s="720">
        <f t="shared" si="2"/>
        <v>49499.619834710749</v>
      </c>
      <c r="J17" s="720">
        <f t="shared" si="3"/>
        <v>74249.42975206612</v>
      </c>
      <c r="K17" s="720">
        <f t="shared" si="4"/>
        <v>148498.85950413224</v>
      </c>
      <c r="L17" s="733"/>
      <c r="M17" s="721"/>
      <c r="N17" s="721"/>
      <c r="O17" s="721"/>
      <c r="P17" s="721"/>
      <c r="Q17" s="721"/>
      <c r="R17" s="721"/>
      <c r="S17" s="721"/>
      <c r="T17" s="721"/>
    </row>
    <row r="18" spans="2:20">
      <c r="B18" s="457" t="s">
        <v>1505</v>
      </c>
      <c r="C18" s="458"/>
      <c r="D18" s="458"/>
      <c r="E18" s="749"/>
      <c r="F18" s="750"/>
      <c r="G18" s="719"/>
      <c r="H18" s="719"/>
      <c r="I18" s="719"/>
      <c r="J18" s="719"/>
      <c r="K18" s="719"/>
      <c r="L18" s="751">
        <f>+SUM(K19:K21)</f>
        <v>1668754.7973174369</v>
      </c>
      <c r="M18" s="721"/>
      <c r="N18" s="764">
        <f>3*3</f>
        <v>9</v>
      </c>
      <c r="O18" s="765">
        <v>1</v>
      </c>
      <c r="P18" s="766"/>
      <c r="Q18" s="767">
        <v>1</v>
      </c>
      <c r="R18" s="768"/>
      <c r="S18" s="769">
        <f>(+O18*$O$11+P18*$P$11+Q18*$Q$11+R18*$R$11)*N18</f>
        <v>1169074.0799382955</v>
      </c>
      <c r="T18" s="770">
        <f>+S18*$S$11</f>
        <v>1753611.1199074434</v>
      </c>
    </row>
    <row r="19" spans="2:20">
      <c r="B19" s="722" t="s">
        <v>756</v>
      </c>
      <c r="C19" s="752" t="s">
        <v>758</v>
      </c>
      <c r="D19" s="722">
        <f>+I9</f>
        <v>15</v>
      </c>
      <c r="E19" s="753">
        <f>((0.15*2+0.25*2)+0.06)/2/(1.22*2)*1.05</f>
        <v>0.18504098360655741</v>
      </c>
      <c r="F19" s="754" t="s">
        <v>761</v>
      </c>
      <c r="G19" s="722">
        <f>VLOOKUP(F19,Cotizaciones!B:D,3,0)</f>
        <v>20295.537190082643</v>
      </c>
      <c r="H19" s="722">
        <f t="shared" ref="H19:H21" si="5">+E19*G19*$H$11</f>
        <v>3755.5061644763587</v>
      </c>
      <c r="I19" s="722">
        <f t="shared" ref="I19:I21" si="6">+E19*G19*$I$11</f>
        <v>7511.0123289527173</v>
      </c>
      <c r="J19" s="722">
        <f t="shared" ref="J19:J21" si="7">+SUM(H19:I19)</f>
        <v>11266.518493429076</v>
      </c>
      <c r="K19" s="722">
        <f t="shared" ref="K19:K21" si="8">+J19*D19</f>
        <v>168997.77740143612</v>
      </c>
      <c r="L19" s="733"/>
      <c r="M19" s="721"/>
      <c r="N19" s="721"/>
      <c r="O19" s="721"/>
      <c r="P19" s="721"/>
      <c r="Q19" s="721"/>
      <c r="R19" s="721"/>
      <c r="S19" s="1"/>
      <c r="T19" s="721"/>
    </row>
    <row r="20" spans="2:20">
      <c r="B20" s="723" t="s">
        <v>759</v>
      </c>
      <c r="C20" s="728" t="s">
        <v>760</v>
      </c>
      <c r="D20" s="723">
        <f>+G9</f>
        <v>90</v>
      </c>
      <c r="E20" s="756">
        <f>((0.15*2+0.35*2)+0.06)/2/(1.22*2)*1.05</f>
        <v>0.2280737704918033</v>
      </c>
      <c r="F20" s="742" t="s">
        <v>761</v>
      </c>
      <c r="G20" s="723">
        <f>VLOOKUP(F20,Cotizaciones!B:D,3,0)</f>
        <v>20295.537190082643</v>
      </c>
      <c r="H20" s="723">
        <f t="shared" si="5"/>
        <v>4628.8796910987676</v>
      </c>
      <c r="I20" s="723">
        <f t="shared" si="6"/>
        <v>9257.7593821975352</v>
      </c>
      <c r="J20" s="723">
        <f t="shared" si="7"/>
        <v>13886.639073296303</v>
      </c>
      <c r="K20" s="723">
        <f t="shared" si="8"/>
        <v>1249797.5165966672</v>
      </c>
      <c r="L20" s="733"/>
      <c r="M20" s="721"/>
      <c r="N20" s="721"/>
      <c r="O20" s="721"/>
      <c r="P20" s="721"/>
      <c r="Q20" s="721"/>
      <c r="R20" s="721"/>
      <c r="S20" s="721"/>
    </row>
    <row r="21" spans="2:20">
      <c r="B21" s="720" t="s">
        <v>762</v>
      </c>
      <c r="C21" s="724" t="s">
        <v>763</v>
      </c>
      <c r="D21" s="720">
        <f>+H9</f>
        <v>18</v>
      </c>
      <c r="E21" s="758">
        <f>((0.15*2+0.35*2)+0.06)/2/(1.22*2)*1.05</f>
        <v>0.2280737704918033</v>
      </c>
      <c r="F21" s="743" t="s">
        <v>761</v>
      </c>
      <c r="G21" s="720">
        <f>VLOOKUP(F21,Cotizaciones!B:D,3,0)</f>
        <v>20295.537190082643</v>
      </c>
      <c r="H21" s="720">
        <f t="shared" si="5"/>
        <v>4628.8796910987676</v>
      </c>
      <c r="I21" s="720">
        <f t="shared" si="6"/>
        <v>9257.7593821975352</v>
      </c>
      <c r="J21" s="720">
        <f t="shared" si="7"/>
        <v>13886.639073296303</v>
      </c>
      <c r="K21" s="720">
        <f t="shared" si="8"/>
        <v>249959.50331933345</v>
      </c>
      <c r="L21" s="733"/>
      <c r="M21" s="721"/>
      <c r="N21" s="721"/>
      <c r="O21" s="721"/>
      <c r="P21" s="721"/>
      <c r="Q21" s="721"/>
      <c r="R21" s="721"/>
      <c r="S21" s="721"/>
      <c r="T21" s="721"/>
    </row>
    <row r="22" spans="2:20">
      <c r="B22" s="457" t="s">
        <v>765</v>
      </c>
      <c r="C22" s="458"/>
      <c r="D22" s="458"/>
      <c r="E22" s="749"/>
      <c r="F22" s="750"/>
      <c r="G22" s="719"/>
      <c r="H22" s="719"/>
      <c r="I22" s="719"/>
      <c r="J22" s="719"/>
      <c r="K22" s="719"/>
      <c r="L22" s="751">
        <f>+SUM(K23:K28)</f>
        <v>4362662.0991735533</v>
      </c>
      <c r="M22" s="721"/>
      <c r="N22" s="764">
        <v>7</v>
      </c>
      <c r="O22" s="765">
        <v>1</v>
      </c>
      <c r="P22" s="766"/>
      <c r="Q22" s="767">
        <v>1</v>
      </c>
      <c r="R22" s="768"/>
      <c r="S22" s="769">
        <f>(+O22*$O$11+P22*$P$11+Q22*$Q$11+R22*$R$11)*N22</f>
        <v>909279.83995200763</v>
      </c>
      <c r="T22" s="770">
        <f>+S22*$S$11</f>
        <v>1363919.7599280113</v>
      </c>
    </row>
    <row r="23" spans="2:20">
      <c r="B23" s="772" t="s">
        <v>388</v>
      </c>
      <c r="C23" s="722"/>
      <c r="D23" s="722">
        <v>7</v>
      </c>
      <c r="E23" s="722">
        <v>1</v>
      </c>
      <c r="F23" s="741" t="s">
        <v>767</v>
      </c>
      <c r="G23" s="722">
        <f>VLOOKUP(F23,Cotizaciones!B:D,3,0)</f>
        <v>35122.669421487604</v>
      </c>
      <c r="H23" s="722">
        <f t="shared" ref="H23" si="9">+E23*G23*$H$11</f>
        <v>35122.669421487604</v>
      </c>
      <c r="I23" s="773">
        <f>+E23*G23*3</f>
        <v>105368.00826446281</v>
      </c>
      <c r="J23" s="722">
        <f t="shared" ref="J23" si="10">+SUM(H23:I23)</f>
        <v>140490.67768595042</v>
      </c>
      <c r="K23" s="722">
        <f t="shared" ref="K23" si="11">+J23*D23</f>
        <v>983434.74380165292</v>
      </c>
      <c r="L23" s="733"/>
      <c r="M23" s="721"/>
      <c r="N23" s="721"/>
      <c r="O23" s="721"/>
      <c r="P23" s="721"/>
      <c r="Q23" s="721"/>
      <c r="R23" s="721"/>
      <c r="S23" s="721"/>
    </row>
    <row r="24" spans="2:20">
      <c r="B24" s="1480" t="s">
        <v>2454</v>
      </c>
      <c r="C24" s="723"/>
      <c r="D24" s="723">
        <f>(12+9+6)-(5*3)</f>
        <v>12</v>
      </c>
      <c r="E24" s="723">
        <v>0.5</v>
      </c>
      <c r="F24" s="742" t="s">
        <v>761</v>
      </c>
      <c r="G24" s="723">
        <f>VLOOKUP(F24,Cotizaciones!B:D,3,0)</f>
        <v>20295.537190082643</v>
      </c>
      <c r="H24" s="723">
        <f t="shared" ref="H24:H28" si="12">+E24*G24*$H$11</f>
        <v>10147.768595041322</v>
      </c>
      <c r="I24" s="756">
        <f>+E24*G24*$I$11</f>
        <v>20295.537190082643</v>
      </c>
      <c r="J24" s="723">
        <f t="shared" ref="J24:J28" si="13">+SUM(H24:I24)</f>
        <v>30443.305785123965</v>
      </c>
      <c r="K24" s="723">
        <f t="shared" ref="K24:K28" si="14">+J24*D24</f>
        <v>365319.6694214876</v>
      </c>
      <c r="L24" s="733"/>
      <c r="M24" s="721"/>
      <c r="N24" s="721"/>
      <c r="O24" s="721"/>
      <c r="P24" s="721"/>
      <c r="Q24" s="721"/>
      <c r="R24" s="721"/>
      <c r="S24" s="721"/>
    </row>
    <row r="25" spans="2:20">
      <c r="B25" s="1480" t="s">
        <v>2455</v>
      </c>
      <c r="C25" s="723"/>
      <c r="D25" s="723">
        <f>5*3</f>
        <v>15</v>
      </c>
      <c r="E25" s="723">
        <v>0.5</v>
      </c>
      <c r="F25" s="742" t="s">
        <v>1508</v>
      </c>
      <c r="G25" s="723">
        <f>VLOOKUP(F25,Cotizaciones!B:D,3,0)</f>
        <v>37506.479338842975</v>
      </c>
      <c r="H25" s="723">
        <f t="shared" ref="H25:H26" si="15">+E25*G25*$H$11</f>
        <v>18753.239669421488</v>
      </c>
      <c r="I25" s="756">
        <f>+E25*G25*$I$11</f>
        <v>37506.479338842975</v>
      </c>
      <c r="J25" s="723">
        <f t="shared" ref="J25:J26" si="16">+SUM(H25:I25)</f>
        <v>56259.719008264467</v>
      </c>
      <c r="K25" s="723">
        <f t="shared" ref="K25:K26" si="17">+J25*D25</f>
        <v>843895.78512396698</v>
      </c>
      <c r="L25" s="733"/>
      <c r="M25" s="721"/>
      <c r="N25" s="721"/>
      <c r="O25" s="721"/>
      <c r="P25" s="721"/>
      <c r="Q25" s="721"/>
      <c r="R25" s="721"/>
      <c r="S25" s="721"/>
    </row>
    <row r="26" spans="2:20">
      <c r="B26" s="1480" t="s">
        <v>2454</v>
      </c>
      <c r="C26" s="723"/>
      <c r="D26" s="723">
        <f>(12+9+6+3)-(2*4)</f>
        <v>22</v>
      </c>
      <c r="E26" s="723">
        <v>0.5</v>
      </c>
      <c r="F26" s="742" t="s">
        <v>761</v>
      </c>
      <c r="G26" s="723">
        <f>VLOOKUP(F26,Cotizaciones!B:D,3,0)</f>
        <v>20295.537190082643</v>
      </c>
      <c r="H26" s="723">
        <f t="shared" si="15"/>
        <v>10147.768595041322</v>
      </c>
      <c r="I26" s="756">
        <f>+E26*G26*$I$11</f>
        <v>20295.537190082643</v>
      </c>
      <c r="J26" s="723">
        <f t="shared" si="16"/>
        <v>30443.305785123965</v>
      </c>
      <c r="K26" s="723">
        <f t="shared" si="17"/>
        <v>669752.72727272718</v>
      </c>
      <c r="L26" s="733"/>
      <c r="M26" s="721"/>
      <c r="N26" s="721"/>
      <c r="O26" s="721"/>
      <c r="P26" s="721"/>
      <c r="Q26" s="721"/>
      <c r="R26" s="721"/>
      <c r="S26" s="721"/>
    </row>
    <row r="27" spans="2:20">
      <c r="B27" s="1480" t="s">
        <v>2455</v>
      </c>
      <c r="C27" s="723"/>
      <c r="D27" s="723">
        <f>4*2</f>
        <v>8</v>
      </c>
      <c r="E27" s="723">
        <v>0.5</v>
      </c>
      <c r="F27" s="742" t="s">
        <v>1508</v>
      </c>
      <c r="G27" s="723">
        <f>VLOOKUP(F27,Cotizaciones!B:D,3,0)</f>
        <v>37506.479338842975</v>
      </c>
      <c r="H27" s="723">
        <f t="shared" ref="H27" si="18">+E27*G27*$H$11</f>
        <v>18753.239669421488</v>
      </c>
      <c r="I27" s="756">
        <f>+E27*G27*$I$11</f>
        <v>37506.479338842975</v>
      </c>
      <c r="J27" s="723">
        <f t="shared" ref="J27" si="19">+SUM(H27:I27)</f>
        <v>56259.719008264467</v>
      </c>
      <c r="K27" s="723">
        <f t="shared" ref="K27" si="20">+J27*D27</f>
        <v>450077.75206611573</v>
      </c>
      <c r="L27" s="733"/>
      <c r="M27" s="721"/>
      <c r="N27" s="721"/>
      <c r="O27" s="721"/>
      <c r="P27" s="721"/>
      <c r="Q27" s="721"/>
      <c r="R27" s="721"/>
      <c r="S27" s="721"/>
    </row>
    <row r="28" spans="2:20">
      <c r="B28" s="1481" t="s">
        <v>2456</v>
      </c>
      <c r="C28" s="720"/>
      <c r="D28" s="720">
        <f>+D23</f>
        <v>7</v>
      </c>
      <c r="E28" s="720">
        <v>1</v>
      </c>
      <c r="F28" s="743" t="s">
        <v>1508</v>
      </c>
      <c r="G28" s="720">
        <f>VLOOKUP(F28,Cotizaciones!B:D,3,0)</f>
        <v>37506.479338842975</v>
      </c>
      <c r="H28" s="720">
        <f t="shared" si="12"/>
        <v>37506.479338842975</v>
      </c>
      <c r="I28" s="1482">
        <f>+E28*G28*3</f>
        <v>112519.43801652893</v>
      </c>
      <c r="J28" s="720">
        <f t="shared" si="13"/>
        <v>150025.9173553719</v>
      </c>
      <c r="K28" s="720">
        <f t="shared" si="14"/>
        <v>1050181.4214876033</v>
      </c>
      <c r="L28" s="733"/>
      <c r="M28" s="721"/>
      <c r="N28" s="721"/>
      <c r="O28" s="721"/>
      <c r="P28" s="721"/>
      <c r="Q28" s="721"/>
      <c r="R28" s="721"/>
      <c r="S28" s="721"/>
    </row>
    <row r="29" spans="2:20">
      <c r="B29" s="457" t="s">
        <v>1506</v>
      </c>
      <c r="C29" s="458"/>
      <c r="D29" s="458"/>
      <c r="E29" s="749"/>
      <c r="F29" s="750"/>
      <c r="G29" s="719"/>
      <c r="H29" s="719"/>
      <c r="I29" s="719"/>
      <c r="J29" s="719"/>
      <c r="K29" s="719"/>
      <c r="L29" s="751">
        <f>+SUM(K30)</f>
        <v>0</v>
      </c>
      <c r="M29" s="721"/>
      <c r="N29" s="764">
        <v>2</v>
      </c>
      <c r="O29" s="765">
        <v>1</v>
      </c>
      <c r="P29" s="766"/>
      <c r="Q29" s="767"/>
      <c r="R29" s="768"/>
      <c r="S29" s="769">
        <f>(+O29*$O$11+P29*$P$11+Q29*$Q$11+R29*$R$11)*N29</f>
        <v>150226.09645314395</v>
      </c>
      <c r="T29" s="771">
        <f>+S29*$S$11</f>
        <v>225339.14467971592</v>
      </c>
    </row>
    <row r="30" spans="2:20">
      <c r="B30" s="759" t="s">
        <v>1507</v>
      </c>
      <c r="C30" s="760"/>
      <c r="D30" s="760">
        <v>15</v>
      </c>
      <c r="E30" s="761"/>
      <c r="F30" s="762" t="s">
        <v>768</v>
      </c>
      <c r="G30" s="760"/>
      <c r="H30" s="760">
        <f>+E30*G30*$H$11</f>
        <v>0</v>
      </c>
      <c r="I30" s="760">
        <f>+E30*G30*$I$11</f>
        <v>0</v>
      </c>
      <c r="J30" s="763">
        <f>+G30</f>
        <v>0</v>
      </c>
      <c r="K30" s="760">
        <f>+J30*D30</f>
        <v>0</v>
      </c>
      <c r="M30" s="721"/>
      <c r="N30" s="721"/>
      <c r="O30" s="721"/>
      <c r="P30" s="721"/>
      <c r="Q30" s="721"/>
      <c r="R30" s="721"/>
      <c r="S30" s="1"/>
      <c r="T30" s="576">
        <f>+T29/D30</f>
        <v>15022.609645314395</v>
      </c>
    </row>
    <row r="31" spans="2:20">
      <c r="B31" s="457" t="s">
        <v>1509</v>
      </c>
      <c r="C31" s="458"/>
      <c r="D31" s="458"/>
      <c r="E31" s="749"/>
      <c r="F31" s="750"/>
      <c r="G31" s="719"/>
      <c r="H31" s="719"/>
      <c r="I31" s="719"/>
      <c r="J31" s="719"/>
      <c r="K31" s="719"/>
      <c r="L31" s="751">
        <f>+SUM(K32)</f>
        <v>1575272.132231405</v>
      </c>
      <c r="M31" s="721"/>
      <c r="N31" s="764">
        <v>2</v>
      </c>
      <c r="O31" s="765">
        <v>1</v>
      </c>
      <c r="P31" s="766"/>
      <c r="Q31" s="767">
        <v>1</v>
      </c>
      <c r="R31" s="768"/>
      <c r="S31" s="769">
        <f>(+O31*$O$11+P31*$P$11+Q31*$Q$11+R31*$R$11)*N31</f>
        <v>259794.2399862879</v>
      </c>
      <c r="T31" s="771">
        <f>+S31*$S$11</f>
        <v>389691.35997943184</v>
      </c>
    </row>
    <row r="32" spans="2:20">
      <c r="B32" s="760" t="s">
        <v>766</v>
      </c>
      <c r="C32" s="760"/>
      <c r="D32" s="760">
        <f>+'01'!E87</f>
        <v>7</v>
      </c>
      <c r="E32" s="760">
        <v>1.5</v>
      </c>
      <c r="F32" s="762" t="s">
        <v>1508</v>
      </c>
      <c r="G32" s="760">
        <f>VLOOKUP(F32,Cotizaciones!B:D,3,0)</f>
        <v>37506.479338842975</v>
      </c>
      <c r="H32" s="760">
        <f t="shared" ref="H32" si="21">+E32*G32*$H$11</f>
        <v>56259.719008264467</v>
      </c>
      <c r="I32" s="763">
        <f>+E32*G32*3</f>
        <v>168779.15702479339</v>
      </c>
      <c r="J32" s="760">
        <f t="shared" ref="J32" si="22">+SUM(H32:I32)</f>
        <v>225038.87603305787</v>
      </c>
      <c r="K32" s="760">
        <f t="shared" ref="K32" si="23">+J32*D32</f>
        <v>1575272.132231405</v>
      </c>
      <c r="L32" s="579">
        <f>+L31/D32</f>
        <v>225038.87603305787</v>
      </c>
      <c r="M32" s="721"/>
      <c r="N32" s="721"/>
      <c r="O32" s="721"/>
      <c r="P32" s="721"/>
      <c r="Q32" s="721"/>
      <c r="R32" s="721"/>
      <c r="S32" s="1"/>
      <c r="T32" s="576">
        <f>+T31/D32</f>
        <v>55670.194282775978</v>
      </c>
    </row>
    <row r="33" spans="2:20">
      <c r="B33" s="457" t="s">
        <v>769</v>
      </c>
      <c r="C33" s="458"/>
      <c r="D33" s="458"/>
      <c r="E33" s="749"/>
      <c r="F33" s="750"/>
      <c r="G33" s="719"/>
      <c r="H33" s="719"/>
      <c r="I33" s="719"/>
      <c r="J33" s="719"/>
      <c r="K33" s="719"/>
      <c r="L33" s="751">
        <f>+SUM(K34)</f>
        <v>355487.47706272878</v>
      </c>
      <c r="M33" s="721"/>
      <c r="N33" s="764">
        <v>4</v>
      </c>
      <c r="O33" s="765">
        <v>1</v>
      </c>
      <c r="P33" s="766"/>
      <c r="Q33" s="767">
        <v>0.5</v>
      </c>
      <c r="R33" s="768"/>
      <c r="S33" s="769">
        <f>(+O33*$O$11+P33*$P$11+Q33*$Q$11+R33*$R$11)*N33</f>
        <v>410020.33643943182</v>
      </c>
      <c r="T33" s="771">
        <f>+S33*$S$11</f>
        <v>615030.5046591477</v>
      </c>
    </row>
    <row r="34" spans="2:20">
      <c r="B34" s="775" t="s">
        <v>1513</v>
      </c>
      <c r="C34" s="760"/>
      <c r="D34" s="760">
        <v>14</v>
      </c>
      <c r="E34" s="760">
        <f>((0.5*1)+0.06)/(1.22*2)*1.05</f>
        <v>0.24098360655737711</v>
      </c>
      <c r="F34" s="762" t="s">
        <v>767</v>
      </c>
      <c r="G34" s="760">
        <f>VLOOKUP(F34,Cotizaciones!B:D,3,0)</f>
        <v>35122.669421487604</v>
      </c>
      <c r="H34" s="760">
        <f t="shared" ref="H34" si="24">+E34*G34*$H$11</f>
        <v>8463.9875491125895</v>
      </c>
      <c r="I34" s="763">
        <f>+E34*G34*2</f>
        <v>16927.975098225179</v>
      </c>
      <c r="J34" s="760">
        <f t="shared" ref="J34" si="25">+SUM(H34:I34)</f>
        <v>25391.962647337768</v>
      </c>
      <c r="K34" s="760">
        <f t="shared" ref="K34" si="26">+J34*D34</f>
        <v>355487.47706272878</v>
      </c>
      <c r="L34" s="579">
        <f>+L33/D34</f>
        <v>25391.962647337768</v>
      </c>
      <c r="M34" s="721"/>
      <c r="N34" s="721"/>
      <c r="O34" s="721"/>
      <c r="P34" s="721"/>
      <c r="Q34" s="721"/>
      <c r="R34" s="721"/>
      <c r="S34" s="721"/>
      <c r="T34" s="576">
        <f>+T33/D34</f>
        <v>43930.750332796262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956D-3F2D-4E49-B28B-A1054C1F4A98}">
  <sheetPr>
    <tabColor rgb="FF92D050"/>
  </sheetPr>
  <dimension ref="B1:AA162"/>
  <sheetViews>
    <sheetView workbookViewId="0"/>
  </sheetViews>
  <sheetFormatPr defaultColWidth="11.453125" defaultRowHeight="13"/>
  <cols>
    <col min="1" max="1" width="5.453125" style="161" customWidth="1"/>
    <col min="2" max="2" width="31.54296875" style="161" bestFit="1" customWidth="1"/>
    <col min="3" max="3" width="32" style="161" bestFit="1" customWidth="1"/>
    <col min="4" max="5" width="11" style="161" bestFit="1" customWidth="1"/>
    <col min="6" max="6" width="9.1796875" style="161" bestFit="1" customWidth="1"/>
    <col min="7" max="7" width="13.7265625" style="161" bestFit="1" customWidth="1"/>
    <col min="8" max="8" width="19" style="161" bestFit="1" customWidth="1"/>
    <col min="9" max="9" width="14.453125" style="161" bestFit="1" customWidth="1"/>
    <col min="10" max="10" width="13.453125" style="161" bestFit="1" customWidth="1"/>
    <col min="11" max="11" width="12.453125" style="161" bestFit="1" customWidth="1"/>
    <col min="12" max="12" width="13.453125" style="161" bestFit="1" customWidth="1"/>
    <col min="13" max="13" width="11.1796875" style="161" bestFit="1" customWidth="1"/>
    <col min="14" max="14" width="12.81640625" style="705" bestFit="1" customWidth="1"/>
    <col min="15" max="15" width="11" style="161" bestFit="1" customWidth="1"/>
    <col min="16" max="16" width="12" style="180" bestFit="1" customWidth="1"/>
    <col min="17" max="17" width="13.54296875" style="180" bestFit="1" customWidth="1"/>
    <col min="18" max="18" width="7" style="136" bestFit="1" customWidth="1"/>
    <col min="19" max="19" width="6.54296875" style="161" bestFit="1" customWidth="1"/>
    <col min="20" max="20" width="7.54296875" style="161" bestFit="1" customWidth="1"/>
    <col min="21" max="21" width="9.81640625" style="161" bestFit="1" customWidth="1"/>
    <col min="22" max="22" width="14.26953125" style="161" bestFit="1" customWidth="1"/>
    <col min="23" max="23" width="7.54296875" style="16" bestFit="1" customWidth="1"/>
    <col min="24" max="24" width="11.453125" style="161"/>
    <col min="25" max="25" width="9" style="161" bestFit="1" customWidth="1"/>
    <col min="26" max="16384" width="11.453125" style="161"/>
  </cols>
  <sheetData>
    <row r="1" spans="2:25">
      <c r="B1" s="163" t="s">
        <v>1737</v>
      </c>
      <c r="C1" s="163"/>
      <c r="H1" s="164">
        <v>3.66</v>
      </c>
      <c r="I1" s="164" t="s">
        <v>567</v>
      </c>
      <c r="J1" s="164" t="s">
        <v>1348</v>
      </c>
      <c r="K1" s="164" t="s">
        <v>1349</v>
      </c>
      <c r="L1" s="164" t="s">
        <v>1350</v>
      </c>
    </row>
    <row r="2" spans="2:25">
      <c r="B2" s="165">
        <f>+Cotizaciones!F18</f>
        <v>45586</v>
      </c>
      <c r="C2" s="165"/>
      <c r="H2" s="164" t="s">
        <v>1351</v>
      </c>
      <c r="I2" s="16">
        <f>+Cotizaciones!D20</f>
        <v>1941.9479999999999</v>
      </c>
      <c r="J2" s="16">
        <f>+I2/$H$1</f>
        <v>530.58688524590161</v>
      </c>
      <c r="K2" s="706">
        <f>4*1*I9</f>
        <v>1.0935999999999999</v>
      </c>
      <c r="L2" s="480">
        <f>+J2/K2</f>
        <v>485.1745475913512</v>
      </c>
    </row>
    <row r="3" spans="2:25">
      <c r="B3" s="165"/>
      <c r="C3" s="165"/>
      <c r="H3" s="164" t="s">
        <v>1352</v>
      </c>
      <c r="I3" s="16">
        <f>+Cotizaciones!D21</f>
        <v>4369.4279999999999</v>
      </c>
      <c r="J3" s="16">
        <f>+I3/$H$1</f>
        <v>1193.8327868852459</v>
      </c>
      <c r="K3" s="706">
        <f>3*3*I9</f>
        <v>2.4605999999999999</v>
      </c>
      <c r="L3" s="480">
        <f>+J3/K3</f>
        <v>485.17954437342354</v>
      </c>
    </row>
    <row r="4" spans="2:25">
      <c r="B4" s="166" t="s">
        <v>1240</v>
      </c>
      <c r="C4" s="167" t="s">
        <v>1353</v>
      </c>
      <c r="D4" s="170" t="s">
        <v>771</v>
      </c>
      <c r="E4" s="170"/>
      <c r="K4" s="164" t="s">
        <v>1354</v>
      </c>
      <c r="L4" s="167">
        <v>500</v>
      </c>
    </row>
    <row r="5" spans="2:25">
      <c r="B5" s="161" t="s">
        <v>1355</v>
      </c>
      <c r="C5" s="164" t="s">
        <v>1356</v>
      </c>
      <c r="D5" s="136">
        <f>+L4</f>
        <v>500</v>
      </c>
      <c r="E5" s="16"/>
      <c r="G5" s="136"/>
      <c r="H5" s="136"/>
    </row>
    <row r="6" spans="2:25">
      <c r="B6" s="161" t="s">
        <v>782</v>
      </c>
      <c r="C6" s="164" t="s">
        <v>783</v>
      </c>
      <c r="D6" s="136">
        <f>+Cotizaciones!D18</f>
        <v>26322.68</v>
      </c>
      <c r="E6" s="16"/>
      <c r="G6" s="136"/>
      <c r="H6" s="136"/>
    </row>
    <row r="7" spans="2:25">
      <c r="B7" s="161" t="s">
        <v>784</v>
      </c>
      <c r="C7" s="164" t="s">
        <v>783</v>
      </c>
      <c r="D7" s="136">
        <f>+Cotizaciones!D19</f>
        <v>51752.74</v>
      </c>
      <c r="E7" s="16"/>
      <c r="G7" s="136"/>
      <c r="H7" s="136"/>
    </row>
    <row r="8" spans="2:25">
      <c r="D8" s="136"/>
    </row>
    <row r="9" spans="2:25">
      <c r="B9" s="158"/>
      <c r="C9" s="158"/>
      <c r="D9" s="713" t="s">
        <v>1357</v>
      </c>
      <c r="E9" s="714" t="s">
        <v>1357</v>
      </c>
      <c r="F9" s="158"/>
      <c r="G9" s="158"/>
      <c r="I9" s="168">
        <v>0.27339999999999998</v>
      </c>
      <c r="J9" s="169" t="s">
        <v>1358</v>
      </c>
      <c r="K9" s="158"/>
      <c r="L9" s="158"/>
    </row>
    <row r="10" spans="2:25">
      <c r="B10" s="687" t="s">
        <v>1225</v>
      </c>
      <c r="C10" s="687" t="s">
        <v>1359</v>
      </c>
      <c r="D10" s="252" t="s">
        <v>363</v>
      </c>
      <c r="E10" s="686" t="s">
        <v>367</v>
      </c>
      <c r="F10" s="252" t="s">
        <v>59</v>
      </c>
      <c r="G10" s="252" t="s">
        <v>1360</v>
      </c>
      <c r="H10" s="252" t="s">
        <v>1361</v>
      </c>
      <c r="I10" s="252" t="s">
        <v>1362</v>
      </c>
      <c r="J10" s="252" t="s">
        <v>1363</v>
      </c>
      <c r="K10" s="252" t="s">
        <v>1364</v>
      </c>
      <c r="L10" s="686" t="s">
        <v>185</v>
      </c>
      <c r="M10" s="167" t="s">
        <v>1301</v>
      </c>
      <c r="N10" s="167" t="s">
        <v>1365</v>
      </c>
      <c r="O10" s="167" t="s">
        <v>1366</v>
      </c>
    </row>
    <row r="11" spans="2:25">
      <c r="B11" s="696" t="s">
        <v>1367</v>
      </c>
      <c r="C11" s="691"/>
      <c r="D11" s="692"/>
      <c r="E11" s="260"/>
      <c r="F11" s="692"/>
      <c r="G11" s="692"/>
      <c r="H11" s="692"/>
      <c r="I11" s="692"/>
      <c r="J11" s="692"/>
      <c r="K11" s="692"/>
      <c r="L11" s="255"/>
      <c r="M11" s="113">
        <f>+SUM(L12:L16)</f>
        <v>8649.9342281879199</v>
      </c>
      <c r="N11" s="182">
        <v>3.5</v>
      </c>
      <c r="O11" s="16">
        <f>+M11/N11</f>
        <v>2471.4097794822628</v>
      </c>
      <c r="R11" s="688" t="s">
        <v>59</v>
      </c>
      <c r="S11" s="164" t="s">
        <v>1368</v>
      </c>
      <c r="T11" s="164" t="s">
        <v>43</v>
      </c>
      <c r="U11" s="161" t="s">
        <v>1369</v>
      </c>
      <c r="V11" s="161" t="s">
        <v>1370</v>
      </c>
      <c r="W11" s="161" t="s">
        <v>1371</v>
      </c>
      <c r="X11" s="16">
        <v>40</v>
      </c>
    </row>
    <row r="12" spans="2:25">
      <c r="B12" s="711" t="s">
        <v>1372</v>
      </c>
      <c r="C12" s="261" t="s">
        <v>1355</v>
      </c>
      <c r="D12" s="257">
        <v>2</v>
      </c>
      <c r="E12" s="257">
        <v>4</v>
      </c>
      <c r="F12" s="707">
        <v>0.5</v>
      </c>
      <c r="G12" s="707">
        <f>+W12</f>
        <v>3</v>
      </c>
      <c r="H12" s="707">
        <f>+D12*E12</f>
        <v>8</v>
      </c>
      <c r="I12" s="707">
        <f>+ROUNDUP(H12*F12*$I$9,0)</f>
        <v>2</v>
      </c>
      <c r="J12" s="709">
        <f t="shared" ref="J12:J15" si="0">VLOOKUP(C12,$B$5:$D$7,3,0)</f>
        <v>500</v>
      </c>
      <c r="K12" s="258">
        <f t="shared" ref="K12" si="1">+I12*J12</f>
        <v>1000</v>
      </c>
      <c r="L12" s="259">
        <f t="shared" ref="L12:L24" si="2">+K12*G12</f>
        <v>3000</v>
      </c>
      <c r="Q12" s="180" t="s">
        <v>1372</v>
      </c>
      <c r="R12" s="180">
        <v>60</v>
      </c>
      <c r="S12" s="180">
        <v>0.5</v>
      </c>
      <c r="T12" s="136">
        <f>+R12/S12</f>
        <v>120</v>
      </c>
      <c r="U12" s="16">
        <v>1</v>
      </c>
      <c r="V12" s="161">
        <f t="shared" ref="V12:V15" si="3">+T12*U12</f>
        <v>120</v>
      </c>
      <c r="W12" s="405">
        <f>+V12/$X$11</f>
        <v>3</v>
      </c>
    </row>
    <row r="13" spans="2:25">
      <c r="B13" s="712" t="s">
        <v>1373</v>
      </c>
      <c r="C13" s="685" t="s">
        <v>1355</v>
      </c>
      <c r="D13" s="173">
        <v>2</v>
      </c>
      <c r="E13" s="173">
        <v>3</v>
      </c>
      <c r="F13" s="699">
        <f>+U13</f>
        <v>0.5</v>
      </c>
      <c r="G13" s="699">
        <f>+W13</f>
        <v>1.5</v>
      </c>
      <c r="H13" s="699">
        <f t="shared" ref="H13:H16" si="4">+D13*E13</f>
        <v>6</v>
      </c>
      <c r="I13" s="699">
        <f t="shared" ref="I13:I15" si="5">+ROUNDUP(H13*F13*$I$9,0)</f>
        <v>1</v>
      </c>
      <c r="J13" s="708">
        <f t="shared" si="0"/>
        <v>500</v>
      </c>
      <c r="K13" s="708">
        <f t="shared" ref="K13:K15" si="6">+I13*J13</f>
        <v>500</v>
      </c>
      <c r="L13" s="175">
        <f t="shared" si="2"/>
        <v>750</v>
      </c>
      <c r="Q13" s="180" t="s">
        <v>1373</v>
      </c>
      <c r="R13" s="136">
        <v>60</v>
      </c>
      <c r="S13" s="180">
        <v>0.5</v>
      </c>
      <c r="T13" s="136">
        <f>+R13/S13</f>
        <v>120</v>
      </c>
      <c r="U13" s="161">
        <v>0.5</v>
      </c>
      <c r="V13" s="161">
        <f t="shared" si="3"/>
        <v>60</v>
      </c>
      <c r="W13" s="405">
        <f>+V13/$X$11</f>
        <v>1.5</v>
      </c>
    </row>
    <row r="14" spans="2:25">
      <c r="B14" s="712" t="s">
        <v>1374</v>
      </c>
      <c r="C14" s="685" t="s">
        <v>1355</v>
      </c>
      <c r="D14" s="173">
        <v>2</v>
      </c>
      <c r="E14" s="173">
        <v>3</v>
      </c>
      <c r="F14" s="699">
        <v>0.3</v>
      </c>
      <c r="G14" s="699">
        <f>+G13</f>
        <v>1.5</v>
      </c>
      <c r="H14" s="699">
        <f t="shared" ref="H14" si="7">+D14*E14</f>
        <v>6</v>
      </c>
      <c r="I14" s="699">
        <f t="shared" ref="I14" si="8">+ROUNDUP(H14*F14*$I$9,0)</f>
        <v>1</v>
      </c>
      <c r="J14" s="708">
        <f t="shared" ref="J14" si="9">VLOOKUP(C14,$B$5:$D$7,3,0)</f>
        <v>500</v>
      </c>
      <c r="K14" s="708">
        <f t="shared" ref="K14" si="10">+I14*J14</f>
        <v>500</v>
      </c>
      <c r="L14" s="175">
        <f t="shared" ref="L14" si="11">+K14*G14</f>
        <v>750</v>
      </c>
      <c r="S14" s="180"/>
      <c r="T14" s="136"/>
      <c r="W14" s="405"/>
    </row>
    <row r="15" spans="2:25">
      <c r="B15" s="712" t="s">
        <v>1375</v>
      </c>
      <c r="C15" s="685" t="s">
        <v>1355</v>
      </c>
      <c r="D15" s="173">
        <v>2</v>
      </c>
      <c r="E15" s="173">
        <v>3</v>
      </c>
      <c r="F15" s="699">
        <f>+U15</f>
        <v>1</v>
      </c>
      <c r="G15" s="699">
        <f>+W15</f>
        <v>1.5</v>
      </c>
      <c r="H15" s="699">
        <f t="shared" si="4"/>
        <v>6</v>
      </c>
      <c r="I15" s="699">
        <f t="shared" si="5"/>
        <v>2</v>
      </c>
      <c r="J15" s="708">
        <f t="shared" si="0"/>
        <v>500</v>
      </c>
      <c r="K15" s="708">
        <f t="shared" si="6"/>
        <v>1000</v>
      </c>
      <c r="L15" s="175">
        <f t="shared" si="2"/>
        <v>1500</v>
      </c>
      <c r="Q15" s="180" t="s">
        <v>1375</v>
      </c>
      <c r="R15" s="136">
        <v>60</v>
      </c>
      <c r="S15" s="161">
        <v>1</v>
      </c>
      <c r="T15" s="136">
        <f>+R15/S15</f>
        <v>60</v>
      </c>
      <c r="U15" s="161">
        <v>1</v>
      </c>
      <c r="V15" s="161">
        <f t="shared" si="3"/>
        <v>60</v>
      </c>
      <c r="W15" s="405">
        <f>+V15/$X$11</f>
        <v>1.5</v>
      </c>
    </row>
    <row r="16" spans="2:25">
      <c r="B16" s="176" t="s">
        <v>1376</v>
      </c>
      <c r="C16" s="188" t="s">
        <v>782</v>
      </c>
      <c r="D16" s="177"/>
      <c r="E16" s="177"/>
      <c r="F16" s="710"/>
      <c r="G16" s="710">
        <f>+AA17</f>
        <v>0.10067114093959732</v>
      </c>
      <c r="H16" s="176">
        <f t="shared" si="4"/>
        <v>0</v>
      </c>
      <c r="I16" s="176">
        <v>1</v>
      </c>
      <c r="J16" s="178">
        <f t="shared" ref="J16" si="12">VLOOKUP(C16,$B$5:$D$7,3,0)</f>
        <v>26322.68</v>
      </c>
      <c r="K16" s="178">
        <f t="shared" ref="K16" si="13">+I16*J16</f>
        <v>26322.68</v>
      </c>
      <c r="L16" s="179">
        <f t="shared" si="2"/>
        <v>2649.9342281879199</v>
      </c>
      <c r="R16" s="688" t="s">
        <v>213</v>
      </c>
      <c r="S16" s="164" t="s">
        <v>212</v>
      </c>
      <c r="T16" s="164" t="s">
        <v>4</v>
      </c>
      <c r="U16" s="164" t="s">
        <v>382</v>
      </c>
      <c r="V16" s="164" t="s">
        <v>66</v>
      </c>
      <c r="W16" s="480"/>
      <c r="X16" s="164" t="s">
        <v>59</v>
      </c>
      <c r="Y16" s="164" t="s">
        <v>1377</v>
      </c>
    </row>
    <row r="17" spans="2:27">
      <c r="B17" s="253" t="s">
        <v>1378</v>
      </c>
      <c r="C17" s="683" t="s">
        <v>1379</v>
      </c>
      <c r="D17" s="254"/>
      <c r="E17" s="260"/>
      <c r="F17" s="254"/>
      <c r="G17" s="254"/>
      <c r="H17" s="254"/>
      <c r="I17" s="254"/>
      <c r="J17" s="254"/>
      <c r="K17" s="254"/>
      <c r="L17" s="255"/>
      <c r="M17" s="113">
        <f>+SUM(L18:L24)</f>
        <v>192740.87610857296</v>
      </c>
      <c r="N17" s="182">
        <v>3.5</v>
      </c>
      <c r="O17" s="16">
        <f>+M17/N17</f>
        <v>55068.821745306559</v>
      </c>
      <c r="Q17" s="180" t="s">
        <v>1380</v>
      </c>
      <c r="R17" s="136">
        <v>20</v>
      </c>
      <c r="S17" s="16">
        <v>10</v>
      </c>
      <c r="T17" s="405">
        <f>+R17*S17</f>
        <v>200</v>
      </c>
      <c r="U17" s="161">
        <v>0.2</v>
      </c>
      <c r="V17" s="16">
        <f>+T17*U17</f>
        <v>40</v>
      </c>
      <c r="X17" s="405">
        <f>(R17*2)+(S17*2)</f>
        <v>60</v>
      </c>
      <c r="Y17" s="405">
        <f>+U17*X17</f>
        <v>12</v>
      </c>
      <c r="Z17" s="16">
        <f>+Y17/2.98</f>
        <v>4.026845637583893</v>
      </c>
      <c r="AA17" s="405">
        <f>+Z17/V17</f>
        <v>0.10067114093959732</v>
      </c>
    </row>
    <row r="18" spans="2:27">
      <c r="B18" s="186" t="s">
        <v>1381</v>
      </c>
      <c r="C18" s="685" t="s">
        <v>1355</v>
      </c>
      <c r="D18" s="187">
        <v>1</v>
      </c>
      <c r="E18" s="187">
        <v>4</v>
      </c>
      <c r="F18" s="186">
        <v>8</v>
      </c>
      <c r="G18" s="186">
        <v>2</v>
      </c>
      <c r="H18" s="186">
        <f t="shared" ref="H18:H24" si="14">+D18*E18</f>
        <v>4</v>
      </c>
      <c r="I18" s="172">
        <f t="shared" ref="I18" si="15">+ROUNDUP(H18*F18*$I$9,0)</f>
        <v>9</v>
      </c>
      <c r="J18" s="174">
        <f t="shared" ref="J18:J24" si="16">VLOOKUP(C18,$B$5:$D$7,3,0)</f>
        <v>500</v>
      </c>
      <c r="K18" s="174">
        <f t="shared" ref="K18:K24" si="17">+I18*J18</f>
        <v>4500</v>
      </c>
      <c r="L18" s="175">
        <f t="shared" si="2"/>
        <v>9000</v>
      </c>
      <c r="Q18" s="161"/>
      <c r="R18" s="161"/>
      <c r="W18" s="161"/>
    </row>
    <row r="19" spans="2:27">
      <c r="B19" s="186" t="s">
        <v>1382</v>
      </c>
      <c r="C19" s="685" t="s">
        <v>1355</v>
      </c>
      <c r="D19" s="187">
        <v>1</v>
      </c>
      <c r="E19" s="187">
        <v>4</v>
      </c>
      <c r="F19" s="186">
        <v>1</v>
      </c>
      <c r="G19" s="186">
        <f>8/0.5*2</f>
        <v>32</v>
      </c>
      <c r="H19" s="172">
        <f t="shared" ref="H19" si="18">+D19*E19</f>
        <v>4</v>
      </c>
      <c r="I19" s="172">
        <f t="shared" ref="I19" si="19">+ROUNDUP(H19*F19*$I$9,0)</f>
        <v>2</v>
      </c>
      <c r="J19" s="174">
        <f t="shared" ref="J19" si="20">VLOOKUP(C19,$B$5:$D$7,3,0)</f>
        <v>500</v>
      </c>
      <c r="K19" s="174">
        <f t="shared" ref="K19" si="21">+I19*J19</f>
        <v>1000</v>
      </c>
      <c r="L19" s="175">
        <f t="shared" ref="L19" si="22">+K19*G19</f>
        <v>32000</v>
      </c>
      <c r="R19" s="688"/>
      <c r="S19" s="164"/>
      <c r="T19" s="164"/>
      <c r="U19" s="164"/>
      <c r="V19" s="164"/>
      <c r="W19" s="480"/>
    </row>
    <row r="20" spans="2:27">
      <c r="B20" s="186" t="s">
        <v>1383</v>
      </c>
      <c r="C20" s="685" t="s">
        <v>1355</v>
      </c>
      <c r="D20" s="187">
        <v>2</v>
      </c>
      <c r="E20" s="187">
        <v>4</v>
      </c>
      <c r="F20" s="186">
        <v>8</v>
      </c>
      <c r="G20" s="186">
        <v>1</v>
      </c>
      <c r="H20" s="172">
        <f t="shared" ref="H20" si="23">+D20*E20</f>
        <v>8</v>
      </c>
      <c r="I20" s="172">
        <f t="shared" ref="I20" si="24">+ROUNDUP(H20*F20*$I$9,0)</f>
        <v>18</v>
      </c>
      <c r="J20" s="174">
        <f t="shared" ref="J20" si="25">VLOOKUP(C20,$B$5:$D$7,3,0)</f>
        <v>500</v>
      </c>
      <c r="K20" s="174">
        <f t="shared" ref="K20" si="26">+I20*J20</f>
        <v>9000</v>
      </c>
      <c r="L20" s="175">
        <f t="shared" ref="L20" si="27">+K20*G20</f>
        <v>9000</v>
      </c>
      <c r="R20" s="688"/>
      <c r="S20" s="164"/>
      <c r="T20" s="164"/>
      <c r="U20" s="164"/>
      <c r="V20" s="164"/>
      <c r="W20" s="480"/>
    </row>
    <row r="21" spans="2:27">
      <c r="B21" s="186" t="s">
        <v>1372</v>
      </c>
      <c r="C21" s="685" t="s">
        <v>1355</v>
      </c>
      <c r="D21" s="187">
        <v>2</v>
      </c>
      <c r="E21" s="187">
        <v>4</v>
      </c>
      <c r="F21" s="186">
        <v>0.5</v>
      </c>
      <c r="G21" s="186">
        <f>8/0.5*2</f>
        <v>32</v>
      </c>
      <c r="H21" s="172">
        <f t="shared" si="14"/>
        <v>8</v>
      </c>
      <c r="I21" s="172">
        <f t="shared" ref="I21" si="28">+ROUNDUP(H21*F21*$I$9,0)</f>
        <v>2</v>
      </c>
      <c r="J21" s="174">
        <f t="shared" ref="J21" si="29">VLOOKUP(C21,$B$5:$D$7,3,0)</f>
        <v>500</v>
      </c>
      <c r="K21" s="174">
        <f t="shared" ref="K21" si="30">+I21*J21</f>
        <v>1000</v>
      </c>
      <c r="L21" s="175">
        <f t="shared" ref="L21" si="31">+K21*G21</f>
        <v>32000</v>
      </c>
      <c r="R21" s="688"/>
      <c r="S21" s="164"/>
      <c r="T21" s="164"/>
      <c r="U21" s="164"/>
      <c r="V21" s="164"/>
      <c r="W21" s="480"/>
    </row>
    <row r="22" spans="2:27">
      <c r="B22" s="186" t="s">
        <v>1373</v>
      </c>
      <c r="C22" s="685" t="s">
        <v>1355</v>
      </c>
      <c r="D22" s="187">
        <v>3</v>
      </c>
      <c r="E22" s="187">
        <v>3</v>
      </c>
      <c r="F22" s="186">
        <v>0.5</v>
      </c>
      <c r="G22" s="186">
        <f>8/0.5*2</f>
        <v>32</v>
      </c>
      <c r="H22" s="172">
        <f t="shared" si="14"/>
        <v>9</v>
      </c>
      <c r="I22" s="172">
        <f t="shared" ref="I22" si="32">+ROUNDUP(H22*F22*$I$9,0)</f>
        <v>2</v>
      </c>
      <c r="J22" s="174">
        <f t="shared" ref="J22" si="33">VLOOKUP(C22,$B$5:$D$7,3,0)</f>
        <v>500</v>
      </c>
      <c r="K22" s="174">
        <f t="shared" ref="K22" si="34">+I22*J22</f>
        <v>1000</v>
      </c>
      <c r="L22" s="175">
        <f t="shared" ref="L22" si="35">+K22*G22</f>
        <v>32000</v>
      </c>
      <c r="R22" s="688"/>
      <c r="S22" s="164"/>
      <c r="T22" s="164"/>
      <c r="U22" s="164">
        <v>1</v>
      </c>
      <c r="V22" s="164" t="s">
        <v>66</v>
      </c>
      <c r="W22" s="480"/>
    </row>
    <row r="23" spans="2:27">
      <c r="B23" s="186" t="s">
        <v>1384</v>
      </c>
      <c r="C23" s="685" t="s">
        <v>1355</v>
      </c>
      <c r="D23" s="187">
        <v>1</v>
      </c>
      <c r="E23" s="187">
        <v>2</v>
      </c>
      <c r="F23" s="186">
        <v>0.4</v>
      </c>
      <c r="G23" s="186">
        <f>ROUND(8/0.5,0)</f>
        <v>16</v>
      </c>
      <c r="H23" s="172">
        <f t="shared" si="14"/>
        <v>2</v>
      </c>
      <c r="I23" s="172">
        <f t="shared" ref="I23" si="36">+ROUNDUP(H23*F23*$I$9,0)</f>
        <v>1</v>
      </c>
      <c r="J23" s="174">
        <f t="shared" ref="J23" si="37">VLOOKUP(C23,$B$5:$D$7,3,0)</f>
        <v>500</v>
      </c>
      <c r="K23" s="174">
        <f t="shared" ref="K23" si="38">+I23*J23</f>
        <v>500</v>
      </c>
      <c r="L23" s="175">
        <f t="shared" ref="L23" si="39">+K23*G23</f>
        <v>8000</v>
      </c>
      <c r="R23" s="688" t="s">
        <v>381</v>
      </c>
      <c r="S23" s="164" t="s">
        <v>215</v>
      </c>
      <c r="T23" s="164" t="s">
        <v>4</v>
      </c>
      <c r="U23" s="164" t="s">
        <v>1385</v>
      </c>
      <c r="V23" s="164"/>
      <c r="W23" s="480"/>
    </row>
    <row r="24" spans="2:27">
      <c r="B24" s="176" t="s">
        <v>1376</v>
      </c>
      <c r="C24" s="188" t="s">
        <v>782</v>
      </c>
      <c r="D24" s="177"/>
      <c r="E24" s="177"/>
      <c r="F24" s="176"/>
      <c r="G24" s="176">
        <f>+U24*2*S24/(1.22*2.44)</f>
        <v>2.6874496103198067</v>
      </c>
      <c r="H24" s="176">
        <f t="shared" si="14"/>
        <v>0</v>
      </c>
      <c r="I24" s="176">
        <v>1</v>
      </c>
      <c r="J24" s="178">
        <f t="shared" si="16"/>
        <v>26322.68</v>
      </c>
      <c r="K24" s="178">
        <f t="shared" si="17"/>
        <v>26322.68</v>
      </c>
      <c r="L24" s="179">
        <f t="shared" si="2"/>
        <v>70740.876108572964</v>
      </c>
      <c r="Q24" s="689" t="s">
        <v>1386</v>
      </c>
      <c r="R24" s="136">
        <v>0.25</v>
      </c>
      <c r="S24" s="161">
        <v>0.5</v>
      </c>
      <c r="T24" s="161">
        <f>+R24*S24</f>
        <v>0.125</v>
      </c>
      <c r="U24" s="16">
        <f>+U22/T24</f>
        <v>8</v>
      </c>
    </row>
    <row r="25" spans="2:27">
      <c r="B25" s="696" t="s">
        <v>1387</v>
      </c>
      <c r="C25" s="691" t="s">
        <v>1388</v>
      </c>
      <c r="D25" s="692"/>
      <c r="E25" s="260"/>
      <c r="F25" s="692"/>
      <c r="G25" s="692"/>
      <c r="H25" s="692"/>
      <c r="I25" s="692"/>
      <c r="J25" s="692"/>
      <c r="K25" s="692"/>
      <c r="L25" s="697"/>
      <c r="M25" s="601">
        <f>+SUM(L26:L30)</f>
        <v>213329.82550335571</v>
      </c>
      <c r="N25" s="182">
        <v>3.5</v>
      </c>
      <c r="O25" s="600">
        <f>+M25/N25</f>
        <v>60951.378715244486</v>
      </c>
      <c r="Q25" s="690"/>
      <c r="R25" s="161"/>
    </row>
    <row r="26" spans="2:27">
      <c r="B26" s="684" t="s">
        <v>1389</v>
      </c>
      <c r="C26" s="693" t="s">
        <v>1355</v>
      </c>
      <c r="D26" s="184">
        <v>2</v>
      </c>
      <c r="E26" s="184">
        <v>3</v>
      </c>
      <c r="F26" s="684">
        <v>3</v>
      </c>
      <c r="G26" s="684">
        <f>4*4</f>
        <v>16</v>
      </c>
      <c r="H26" s="684">
        <f t="shared" ref="H26:H30" si="40">+D26*E26</f>
        <v>6</v>
      </c>
      <c r="I26" s="684">
        <f t="shared" ref="I26:I29" si="41">+ROUNDUP(H26*F26*$I$9,0)</f>
        <v>5</v>
      </c>
      <c r="J26" s="694"/>
      <c r="K26" s="694">
        <f t="shared" ref="K26:K29" si="42">+I26*J26</f>
        <v>0</v>
      </c>
      <c r="L26" s="695">
        <f t="shared" ref="L26:L30" si="43">+K26*G26</f>
        <v>0</v>
      </c>
      <c r="Q26" s="690"/>
      <c r="R26" s="161"/>
    </row>
    <row r="27" spans="2:27">
      <c r="B27" s="172" t="s">
        <v>1390</v>
      </c>
      <c r="C27" s="685" t="s">
        <v>1355</v>
      </c>
      <c r="D27" s="173">
        <v>3</v>
      </c>
      <c r="E27" s="173">
        <v>3</v>
      </c>
      <c r="F27" s="172">
        <v>0.5</v>
      </c>
      <c r="G27" s="172">
        <f>4*4</f>
        <v>16</v>
      </c>
      <c r="H27" s="172">
        <f t="shared" si="40"/>
        <v>9</v>
      </c>
      <c r="I27" s="172">
        <f t="shared" si="41"/>
        <v>2</v>
      </c>
      <c r="J27" s="174">
        <f t="shared" ref="J27:J30" si="44">VLOOKUP(C27,$B$5:$D$7,3,0)</f>
        <v>500</v>
      </c>
      <c r="K27" s="174">
        <f t="shared" si="42"/>
        <v>1000</v>
      </c>
      <c r="L27" s="175">
        <f t="shared" si="43"/>
        <v>16000</v>
      </c>
      <c r="Q27" s="689"/>
      <c r="U27" s="161">
        <v>1</v>
      </c>
    </row>
    <row r="28" spans="2:27">
      <c r="B28" s="172" t="s">
        <v>1391</v>
      </c>
      <c r="C28" s="685" t="s">
        <v>1355</v>
      </c>
      <c r="D28" s="173">
        <v>2</v>
      </c>
      <c r="E28" s="173">
        <v>4</v>
      </c>
      <c r="F28" s="172">
        <v>0.3</v>
      </c>
      <c r="G28" s="172">
        <f>ROUND(2.6*4/0.75,0)*2</f>
        <v>28</v>
      </c>
      <c r="H28" s="172">
        <f t="shared" si="40"/>
        <v>8</v>
      </c>
      <c r="I28" s="172">
        <f t="shared" si="41"/>
        <v>1</v>
      </c>
      <c r="J28" s="174">
        <f t="shared" si="44"/>
        <v>500</v>
      </c>
      <c r="K28" s="174">
        <f t="shared" si="42"/>
        <v>500</v>
      </c>
      <c r="L28" s="175">
        <f t="shared" si="43"/>
        <v>14000</v>
      </c>
      <c r="Q28" s="689"/>
    </row>
    <row r="29" spans="2:27">
      <c r="B29" s="172" t="s">
        <v>1392</v>
      </c>
      <c r="C29" s="685" t="s">
        <v>1355</v>
      </c>
      <c r="D29" s="173">
        <v>2</v>
      </c>
      <c r="E29" s="173">
        <v>4</v>
      </c>
      <c r="F29" s="172">
        <v>1</v>
      </c>
      <c r="G29" s="172">
        <f>ROUND(2.6*4/0.75,0)*2</f>
        <v>28</v>
      </c>
      <c r="H29" s="172">
        <f t="shared" si="40"/>
        <v>8</v>
      </c>
      <c r="I29" s="172">
        <f t="shared" si="41"/>
        <v>3</v>
      </c>
      <c r="J29" s="174">
        <f t="shared" si="44"/>
        <v>500</v>
      </c>
      <c r="K29" s="174">
        <f t="shared" si="42"/>
        <v>1500</v>
      </c>
      <c r="L29" s="175">
        <f t="shared" si="43"/>
        <v>42000</v>
      </c>
      <c r="Q29" s="689"/>
      <c r="R29" s="688" t="s">
        <v>381</v>
      </c>
      <c r="S29" s="164" t="s">
        <v>215</v>
      </c>
      <c r="T29" s="164" t="s">
        <v>4</v>
      </c>
      <c r="U29" s="164" t="s">
        <v>1385</v>
      </c>
      <c r="V29" s="161" t="s">
        <v>1393</v>
      </c>
      <c r="Y29" s="161" t="s">
        <v>1377</v>
      </c>
    </row>
    <row r="30" spans="2:27">
      <c r="B30" s="176" t="s">
        <v>1376</v>
      </c>
      <c r="C30" s="188" t="s">
        <v>782</v>
      </c>
      <c r="D30" s="177"/>
      <c r="E30" s="177"/>
      <c r="F30" s="176"/>
      <c r="G30" s="176">
        <f>+Y30</f>
        <v>5.3691275167785237</v>
      </c>
      <c r="H30" s="176">
        <f t="shared" si="40"/>
        <v>0</v>
      </c>
      <c r="I30" s="176">
        <v>1</v>
      </c>
      <c r="J30" s="174">
        <f t="shared" si="44"/>
        <v>26322.68</v>
      </c>
      <c r="K30" s="185">
        <f>+D6</f>
        <v>26322.68</v>
      </c>
      <c r="L30" s="179">
        <f t="shared" si="43"/>
        <v>141329.82550335571</v>
      </c>
      <c r="Q30" s="689" t="s">
        <v>1386</v>
      </c>
      <c r="R30" s="136">
        <v>0.15</v>
      </c>
      <c r="S30" s="161">
        <v>0.75</v>
      </c>
      <c r="T30" s="161">
        <f>+R30*S30</f>
        <v>0.11249999999999999</v>
      </c>
      <c r="U30" s="16">
        <f>+U27/T30</f>
        <v>8.8888888888888893</v>
      </c>
      <c r="V30" s="161">
        <v>2.6</v>
      </c>
      <c r="W30" s="16">
        <f>+U30/V30</f>
        <v>3.4188034188034186</v>
      </c>
      <c r="Y30" s="405">
        <f>((R30*U30*2)+(S30*U30*2))/2.98</f>
        <v>5.3691275167785237</v>
      </c>
    </row>
    <row r="31" spans="2:27">
      <c r="B31" s="696" t="s">
        <v>1394</v>
      </c>
      <c r="C31" s="691" t="s">
        <v>1388</v>
      </c>
      <c r="D31" s="692"/>
      <c r="E31" s="260"/>
      <c r="F31" s="692"/>
      <c r="G31" s="692"/>
      <c r="H31" s="692"/>
      <c r="I31" s="692"/>
      <c r="J31" s="692"/>
      <c r="K31" s="692"/>
      <c r="L31" s="697"/>
      <c r="M31" s="601">
        <f>+SUM(L32:L36)</f>
        <v>349867.06040268455</v>
      </c>
      <c r="N31" s="182">
        <v>5</v>
      </c>
      <c r="O31" s="600">
        <f>+M31/N31</f>
        <v>69973.412080536917</v>
      </c>
    </row>
    <row r="32" spans="2:27">
      <c r="B32" s="684" t="s">
        <v>1389</v>
      </c>
      <c r="C32" s="693" t="s">
        <v>1355</v>
      </c>
      <c r="D32" s="184">
        <v>2</v>
      </c>
      <c r="E32" s="184">
        <v>3</v>
      </c>
      <c r="F32" s="684">
        <v>3</v>
      </c>
      <c r="G32" s="684">
        <f>4*4</f>
        <v>16</v>
      </c>
      <c r="H32" s="684">
        <f t="shared" ref="H32:H36" si="45">+D32*E32</f>
        <v>6</v>
      </c>
      <c r="I32" s="684">
        <f t="shared" ref="I32:I35" si="46">+ROUNDUP(H32*F32*$I$9,0)</f>
        <v>5</v>
      </c>
      <c r="J32" s="694"/>
      <c r="K32" s="694">
        <f t="shared" ref="K32:K36" si="47">+I32*J32</f>
        <v>0</v>
      </c>
      <c r="L32" s="695">
        <f t="shared" ref="L32:L36" si="48">+K32*G32</f>
        <v>0</v>
      </c>
    </row>
    <row r="33" spans="2:25">
      <c r="B33" s="172" t="s">
        <v>1390</v>
      </c>
      <c r="C33" s="685" t="s">
        <v>1355</v>
      </c>
      <c r="D33" s="173">
        <v>3</v>
      </c>
      <c r="E33" s="173">
        <v>3</v>
      </c>
      <c r="F33" s="172">
        <v>0.5</v>
      </c>
      <c r="G33" s="172">
        <f>4*4</f>
        <v>16</v>
      </c>
      <c r="H33" s="172">
        <f t="shared" si="45"/>
        <v>9</v>
      </c>
      <c r="I33" s="172">
        <f t="shared" si="46"/>
        <v>2</v>
      </c>
      <c r="J33" s="174">
        <f t="shared" ref="J33:J47" si="49">VLOOKUP(C33,$B$5:$D$7,3,0)</f>
        <v>500</v>
      </c>
      <c r="K33" s="174">
        <f t="shared" si="47"/>
        <v>1000</v>
      </c>
      <c r="L33" s="175">
        <f t="shared" si="48"/>
        <v>16000</v>
      </c>
    </row>
    <row r="34" spans="2:25">
      <c r="B34" s="172" t="s">
        <v>1391</v>
      </c>
      <c r="C34" s="685" t="s">
        <v>1355</v>
      </c>
      <c r="D34" s="173">
        <v>2</v>
      </c>
      <c r="E34" s="173">
        <v>4</v>
      </c>
      <c r="F34" s="172">
        <v>0.3</v>
      </c>
      <c r="G34" s="172">
        <f>ROUND(2.6*4/0.75,0)*2</f>
        <v>28</v>
      </c>
      <c r="H34" s="172">
        <f t="shared" si="45"/>
        <v>8</v>
      </c>
      <c r="I34" s="172">
        <f t="shared" si="46"/>
        <v>1</v>
      </c>
      <c r="J34" s="174">
        <f t="shared" si="49"/>
        <v>500</v>
      </c>
      <c r="K34" s="174">
        <f t="shared" si="47"/>
        <v>500</v>
      </c>
      <c r="L34" s="175">
        <f t="shared" si="48"/>
        <v>14000</v>
      </c>
    </row>
    <row r="35" spans="2:25">
      <c r="B35" s="172" t="s">
        <v>1392</v>
      </c>
      <c r="C35" s="685" t="s">
        <v>1355</v>
      </c>
      <c r="D35" s="173">
        <v>2</v>
      </c>
      <c r="E35" s="173">
        <v>4</v>
      </c>
      <c r="F35" s="172">
        <v>1</v>
      </c>
      <c r="G35" s="172">
        <f>ROUND(2.6*4/0.75,0)*2</f>
        <v>28</v>
      </c>
      <c r="H35" s="172">
        <f t="shared" si="45"/>
        <v>8</v>
      </c>
      <c r="I35" s="172">
        <f t="shared" si="46"/>
        <v>3</v>
      </c>
      <c r="J35" s="174">
        <f t="shared" si="49"/>
        <v>500</v>
      </c>
      <c r="K35" s="174">
        <f t="shared" si="47"/>
        <v>1500</v>
      </c>
      <c r="L35" s="175">
        <f t="shared" si="48"/>
        <v>42000</v>
      </c>
    </row>
    <row r="36" spans="2:25">
      <c r="B36" s="176" t="s">
        <v>1376</v>
      </c>
      <c r="C36" s="161" t="s">
        <v>784</v>
      </c>
      <c r="D36" s="177"/>
      <c r="E36" s="177"/>
      <c r="F36" s="176"/>
      <c r="G36" s="176">
        <f>+Y30</f>
        <v>5.3691275167785237</v>
      </c>
      <c r="H36" s="176">
        <f t="shared" si="45"/>
        <v>0</v>
      </c>
      <c r="I36" s="176">
        <v>1</v>
      </c>
      <c r="J36" s="174">
        <f t="shared" si="49"/>
        <v>51752.74</v>
      </c>
      <c r="K36" s="174">
        <f t="shared" si="47"/>
        <v>51752.74</v>
      </c>
      <c r="L36" s="179">
        <f t="shared" si="48"/>
        <v>277867.06040268455</v>
      </c>
      <c r="O36" s="681"/>
      <c r="S36" s="181"/>
      <c r="T36" s="181"/>
      <c r="U36" s="161">
        <v>1</v>
      </c>
    </row>
    <row r="37" spans="2:25">
      <c r="B37" s="696" t="s">
        <v>1395</v>
      </c>
      <c r="C37" s="691" t="s">
        <v>1396</v>
      </c>
      <c r="D37" s="254"/>
      <c r="E37" s="260"/>
      <c r="F37" s="713"/>
      <c r="G37" s="254"/>
      <c r="H37" s="254"/>
      <c r="I37" s="254"/>
      <c r="J37" s="254"/>
      <c r="K37" s="254"/>
      <c r="L37" s="255"/>
      <c r="M37" s="601">
        <f>+SUM(L38:L47)</f>
        <v>247952.06</v>
      </c>
      <c r="N37" s="182">
        <v>3.5</v>
      </c>
      <c r="O37" s="600">
        <f>+M37/N37</f>
        <v>70843.445714285714</v>
      </c>
      <c r="P37" s="183"/>
      <c r="Q37" s="183"/>
      <c r="R37" s="688" t="s">
        <v>381</v>
      </c>
      <c r="S37" s="698" t="s">
        <v>215</v>
      </c>
      <c r="T37" s="164" t="s">
        <v>4</v>
      </c>
      <c r="U37" s="164" t="s">
        <v>1385</v>
      </c>
      <c r="V37" s="164" t="s">
        <v>1393</v>
      </c>
      <c r="Y37" s="161" t="s">
        <v>1397</v>
      </c>
    </row>
    <row r="38" spans="2:25">
      <c r="B38" s="172" t="s">
        <v>1372</v>
      </c>
      <c r="C38" s="685" t="s">
        <v>1355</v>
      </c>
      <c r="D38" s="173">
        <v>2</v>
      </c>
      <c r="E38" s="173">
        <v>4</v>
      </c>
      <c r="F38" s="172">
        <v>2.6</v>
      </c>
      <c r="G38" s="172">
        <f>ROUND(2.5/0.8*2,0)</f>
        <v>6</v>
      </c>
      <c r="H38" s="172">
        <f t="shared" ref="H38:H47" si="50">+D38*E38</f>
        <v>8</v>
      </c>
      <c r="I38" s="172">
        <f t="shared" ref="I38:I46" si="51">+ROUNDUP(H38*F38*$I$9,0)</f>
        <v>6</v>
      </c>
      <c r="J38" s="174">
        <f t="shared" si="49"/>
        <v>500</v>
      </c>
      <c r="K38" s="174">
        <f t="shared" ref="K38:K43" si="52">+I38*J38</f>
        <v>3000</v>
      </c>
      <c r="L38" s="175">
        <f t="shared" ref="L38:L45" si="53">+K38*G38</f>
        <v>18000</v>
      </c>
      <c r="Q38" s="180" t="s">
        <v>1398</v>
      </c>
      <c r="R38" s="136">
        <v>0.15</v>
      </c>
      <c r="S38" s="181">
        <v>2.6</v>
      </c>
      <c r="T38" s="161">
        <f>+R38*S38</f>
        <v>0.39</v>
      </c>
      <c r="U38" s="16">
        <f>+U36/T38</f>
        <v>2.5641025641025639</v>
      </c>
      <c r="V38" s="161">
        <v>2.6</v>
      </c>
      <c r="W38" s="16">
        <f>+U38/V38</f>
        <v>0.98619329388560151</v>
      </c>
      <c r="Y38" s="16">
        <f>+U38*S38*2/2.98</f>
        <v>4.4742729306487696</v>
      </c>
    </row>
    <row r="39" spans="2:25">
      <c r="B39" s="172" t="s">
        <v>1384</v>
      </c>
      <c r="C39" s="685" t="s">
        <v>1355</v>
      </c>
      <c r="D39" s="173">
        <v>2</v>
      </c>
      <c r="E39" s="173">
        <v>3</v>
      </c>
      <c r="F39" s="172">
        <v>0.3</v>
      </c>
      <c r="G39" s="172">
        <f>+G38/2</f>
        <v>3</v>
      </c>
      <c r="H39" s="172">
        <f t="shared" si="50"/>
        <v>6</v>
      </c>
      <c r="I39" s="172">
        <f t="shared" si="51"/>
        <v>1</v>
      </c>
      <c r="J39" s="174">
        <f t="shared" si="49"/>
        <v>500</v>
      </c>
      <c r="K39" s="174">
        <f t="shared" si="52"/>
        <v>500</v>
      </c>
      <c r="L39" s="175">
        <f t="shared" si="53"/>
        <v>1500</v>
      </c>
      <c r="S39" s="181"/>
    </row>
    <row r="40" spans="2:25">
      <c r="B40" s="172" t="s">
        <v>1399</v>
      </c>
      <c r="C40" s="685" t="s">
        <v>1355</v>
      </c>
      <c r="D40" s="173">
        <v>2</v>
      </c>
      <c r="E40" s="173">
        <v>4</v>
      </c>
      <c r="F40" s="172">
        <v>2.5</v>
      </c>
      <c r="G40" s="699">
        <f>2*2</f>
        <v>4</v>
      </c>
      <c r="H40" s="172">
        <f t="shared" si="50"/>
        <v>8</v>
      </c>
      <c r="I40" s="172">
        <f t="shared" si="51"/>
        <v>6</v>
      </c>
      <c r="J40" s="174">
        <f t="shared" si="49"/>
        <v>500</v>
      </c>
      <c r="K40" s="174">
        <f t="shared" si="52"/>
        <v>3000</v>
      </c>
      <c r="L40" s="175">
        <f t="shared" si="53"/>
        <v>12000</v>
      </c>
      <c r="S40" s="181"/>
    </row>
    <row r="41" spans="2:25">
      <c r="B41" s="699" t="s">
        <v>1400</v>
      </c>
      <c r="C41" s="701" t="s">
        <v>1355</v>
      </c>
      <c r="D41" s="702">
        <v>2</v>
      </c>
      <c r="E41" s="702">
        <v>4</v>
      </c>
      <c r="F41" s="172">
        <v>0.5</v>
      </c>
      <c r="G41" s="172">
        <v>12</v>
      </c>
      <c r="H41" s="172">
        <f t="shared" si="50"/>
        <v>8</v>
      </c>
      <c r="I41" s="172">
        <f t="shared" si="51"/>
        <v>2</v>
      </c>
      <c r="J41" s="174">
        <f t="shared" si="49"/>
        <v>500</v>
      </c>
      <c r="K41" s="174">
        <f t="shared" si="52"/>
        <v>1000</v>
      </c>
      <c r="L41" s="175">
        <f t="shared" si="53"/>
        <v>12000</v>
      </c>
      <c r="S41" s="181"/>
    </row>
    <row r="42" spans="2:25">
      <c r="B42" s="699" t="s">
        <v>1401</v>
      </c>
      <c r="C42" s="701" t="s">
        <v>1355</v>
      </c>
      <c r="D42" s="702">
        <v>2</v>
      </c>
      <c r="E42" s="702">
        <v>4</v>
      </c>
      <c r="F42" s="172">
        <v>1</v>
      </c>
      <c r="G42" s="172">
        <v>6</v>
      </c>
      <c r="H42" s="172">
        <f t="shared" si="50"/>
        <v>8</v>
      </c>
      <c r="I42" s="172">
        <f t="shared" si="51"/>
        <v>3</v>
      </c>
      <c r="J42" s="174">
        <f t="shared" si="49"/>
        <v>500</v>
      </c>
      <c r="K42" s="174">
        <f t="shared" si="52"/>
        <v>1500</v>
      </c>
      <c r="L42" s="175">
        <f t="shared" si="53"/>
        <v>9000</v>
      </c>
      <c r="S42" s="181"/>
    </row>
    <row r="43" spans="2:25">
      <c r="B43" s="172" t="s">
        <v>1402</v>
      </c>
      <c r="C43" s="685" t="s">
        <v>1355</v>
      </c>
      <c r="D43" s="173">
        <v>2</v>
      </c>
      <c r="E43" s="173">
        <v>4</v>
      </c>
      <c r="F43" s="172">
        <v>4</v>
      </c>
      <c r="G43" s="172">
        <f>+G38</f>
        <v>6</v>
      </c>
      <c r="H43" s="172">
        <f t="shared" si="50"/>
        <v>8</v>
      </c>
      <c r="I43" s="172">
        <f t="shared" si="51"/>
        <v>9</v>
      </c>
      <c r="J43" s="174">
        <f t="shared" si="49"/>
        <v>500</v>
      </c>
      <c r="K43" s="174">
        <f t="shared" si="52"/>
        <v>4500</v>
      </c>
      <c r="L43" s="175">
        <f t="shared" si="53"/>
        <v>27000</v>
      </c>
      <c r="S43" s="181"/>
    </row>
    <row r="44" spans="2:25">
      <c r="B44" s="172" t="s">
        <v>1403</v>
      </c>
      <c r="C44" s="685" t="s">
        <v>1355</v>
      </c>
      <c r="D44" s="173">
        <v>2</v>
      </c>
      <c r="E44" s="173">
        <v>4</v>
      </c>
      <c r="F44" s="172">
        <v>3</v>
      </c>
      <c r="G44" s="172">
        <f>+G38</f>
        <v>6</v>
      </c>
      <c r="H44" s="172">
        <f t="shared" ref="H44" si="54">+D44*E44</f>
        <v>8</v>
      </c>
      <c r="I44" s="172">
        <f t="shared" ref="I44" si="55">+ROUNDUP(H44*F44*$I$9,0)</f>
        <v>7</v>
      </c>
      <c r="J44" s="174">
        <f t="shared" ref="J44" si="56">VLOOKUP(C44,$B$5:$D$7,3,0)</f>
        <v>500</v>
      </c>
      <c r="K44" s="174">
        <f t="shared" ref="K44:K47" si="57">+I44*J44</f>
        <v>3500</v>
      </c>
      <c r="L44" s="175">
        <f t="shared" ref="L44" si="58">+K44*G44</f>
        <v>21000</v>
      </c>
      <c r="S44" s="181"/>
    </row>
    <row r="45" spans="2:25">
      <c r="B45" s="172" t="s">
        <v>1383</v>
      </c>
      <c r="C45" s="685" t="s">
        <v>1355</v>
      </c>
      <c r="D45" s="173">
        <v>3</v>
      </c>
      <c r="E45" s="173">
        <v>3</v>
      </c>
      <c r="F45" s="172">
        <v>2.5</v>
      </c>
      <c r="G45" s="172">
        <v>4</v>
      </c>
      <c r="H45" s="172">
        <f t="shared" si="50"/>
        <v>9</v>
      </c>
      <c r="I45" s="172">
        <f t="shared" si="51"/>
        <v>7</v>
      </c>
      <c r="J45" s="174">
        <f t="shared" si="49"/>
        <v>500</v>
      </c>
      <c r="K45" s="174">
        <f t="shared" si="57"/>
        <v>3500</v>
      </c>
      <c r="L45" s="175">
        <f t="shared" si="53"/>
        <v>14000</v>
      </c>
      <c r="S45" s="181"/>
    </row>
    <row r="46" spans="2:25">
      <c r="B46" s="186" t="s">
        <v>1404</v>
      </c>
      <c r="C46" s="685" t="s">
        <v>1355</v>
      </c>
      <c r="D46" s="187">
        <v>2</v>
      </c>
      <c r="E46" s="187">
        <v>4</v>
      </c>
      <c r="F46" s="186">
        <v>2</v>
      </c>
      <c r="G46" s="186">
        <f>+G38</f>
        <v>6</v>
      </c>
      <c r="H46" s="186">
        <f t="shared" si="50"/>
        <v>8</v>
      </c>
      <c r="I46" s="186">
        <f t="shared" si="51"/>
        <v>5</v>
      </c>
      <c r="J46" s="174">
        <f t="shared" ref="J46" si="59">VLOOKUP(C46,$B$5:$D$7,3,0)</f>
        <v>500</v>
      </c>
      <c r="K46" s="174">
        <f t="shared" ref="K46" si="60">+I46*J46</f>
        <v>2500</v>
      </c>
      <c r="L46" s="175">
        <f t="shared" ref="L46:L47" si="61">+K46*G46</f>
        <v>15000</v>
      </c>
      <c r="S46" s="181"/>
    </row>
    <row r="47" spans="2:25">
      <c r="B47" s="176" t="s">
        <v>1376</v>
      </c>
      <c r="C47" s="188" t="s">
        <v>782</v>
      </c>
      <c r="D47" s="177"/>
      <c r="E47" s="177"/>
      <c r="F47" s="176"/>
      <c r="G47" s="176">
        <v>4.5</v>
      </c>
      <c r="H47" s="176">
        <f t="shared" si="50"/>
        <v>0</v>
      </c>
      <c r="I47" s="176">
        <v>1</v>
      </c>
      <c r="J47" s="174">
        <f t="shared" si="49"/>
        <v>26322.68</v>
      </c>
      <c r="K47" s="174">
        <f t="shared" si="57"/>
        <v>26322.68</v>
      </c>
      <c r="L47" s="175">
        <f t="shared" si="61"/>
        <v>118452.06</v>
      </c>
      <c r="S47" s="181"/>
      <c r="T47" s="181"/>
    </row>
    <row r="48" spans="2:25">
      <c r="B48" s="696" t="s">
        <v>1405</v>
      </c>
      <c r="C48" s="691" t="s">
        <v>1396</v>
      </c>
      <c r="D48" s="254"/>
      <c r="E48" s="260"/>
      <c r="F48" s="713"/>
      <c r="G48" s="254"/>
      <c r="H48" s="254"/>
      <c r="I48" s="254"/>
      <c r="J48" s="254"/>
      <c r="K48" s="254"/>
      <c r="L48" s="255"/>
      <c r="M48" s="601">
        <f>+SUM(L49:L58)</f>
        <v>314387.32999999996</v>
      </c>
      <c r="N48" s="182">
        <v>5</v>
      </c>
      <c r="O48" s="600">
        <f>+M48/N48</f>
        <v>62877.465999999993</v>
      </c>
      <c r="P48" s="183"/>
      <c r="Q48" s="183"/>
      <c r="S48" s="181"/>
    </row>
    <row r="49" spans="2:25">
      <c r="B49" s="172" t="s">
        <v>1406</v>
      </c>
      <c r="C49" s="685" t="s">
        <v>1355</v>
      </c>
      <c r="D49" s="173">
        <v>2</v>
      </c>
      <c r="E49" s="173">
        <v>4</v>
      </c>
      <c r="F49" s="172">
        <v>2.6</v>
      </c>
      <c r="G49" s="172">
        <f>ROUND(2.5/0.8*2,0)</f>
        <v>6</v>
      </c>
      <c r="H49" s="172">
        <f t="shared" ref="H49:H58" si="62">+D49*E49</f>
        <v>8</v>
      </c>
      <c r="I49" s="172">
        <f t="shared" ref="I49:I57" si="63">+ROUNDUP(H49*F49*$I$9,0)</f>
        <v>6</v>
      </c>
      <c r="J49" s="174">
        <f t="shared" ref="J49:J66" si="64">VLOOKUP(C49,$B$5:$D$7,3,0)</f>
        <v>500</v>
      </c>
      <c r="K49" s="174">
        <f t="shared" ref="K49:K58" si="65">+I49*J49</f>
        <v>3000</v>
      </c>
      <c r="L49" s="175">
        <f t="shared" ref="L49:L58" si="66">+K49*G49</f>
        <v>18000</v>
      </c>
      <c r="S49" s="181"/>
    </row>
    <row r="50" spans="2:25">
      <c r="B50" s="172" t="s">
        <v>1384</v>
      </c>
      <c r="C50" s="685" t="s">
        <v>1355</v>
      </c>
      <c r="D50" s="173">
        <v>2</v>
      </c>
      <c r="E50" s="173">
        <v>3</v>
      </c>
      <c r="F50" s="172">
        <v>0.3</v>
      </c>
      <c r="G50" s="172">
        <f>+G49/2</f>
        <v>3</v>
      </c>
      <c r="H50" s="172">
        <f t="shared" si="62"/>
        <v>6</v>
      </c>
      <c r="I50" s="172">
        <f t="shared" si="63"/>
        <v>1</v>
      </c>
      <c r="J50" s="174">
        <f t="shared" si="64"/>
        <v>500</v>
      </c>
      <c r="K50" s="174">
        <f t="shared" si="65"/>
        <v>500</v>
      </c>
      <c r="L50" s="175">
        <f t="shared" si="66"/>
        <v>1500</v>
      </c>
      <c r="S50" s="181"/>
    </row>
    <row r="51" spans="2:25">
      <c r="B51" s="172" t="s">
        <v>1407</v>
      </c>
      <c r="C51" s="685" t="s">
        <v>1355</v>
      </c>
      <c r="D51" s="173">
        <v>2</v>
      </c>
      <c r="E51" s="173">
        <v>4</v>
      </c>
      <c r="F51" s="172">
        <v>2.5</v>
      </c>
      <c r="G51" s="699">
        <f>2*2</f>
        <v>4</v>
      </c>
      <c r="H51" s="172">
        <f t="shared" si="62"/>
        <v>8</v>
      </c>
      <c r="I51" s="172">
        <f t="shared" si="63"/>
        <v>6</v>
      </c>
      <c r="J51" s="174">
        <f t="shared" si="64"/>
        <v>500</v>
      </c>
      <c r="K51" s="174">
        <f t="shared" si="65"/>
        <v>3000</v>
      </c>
      <c r="L51" s="175">
        <f t="shared" si="66"/>
        <v>12000</v>
      </c>
      <c r="S51" s="181"/>
    </row>
    <row r="52" spans="2:25">
      <c r="B52" s="699" t="s">
        <v>1400</v>
      </c>
      <c r="C52" s="701" t="s">
        <v>1355</v>
      </c>
      <c r="D52" s="702">
        <v>2</v>
      </c>
      <c r="E52" s="702">
        <v>4</v>
      </c>
      <c r="F52" s="172">
        <v>0.5</v>
      </c>
      <c r="G52" s="172">
        <v>12</v>
      </c>
      <c r="H52" s="172">
        <f t="shared" si="62"/>
        <v>8</v>
      </c>
      <c r="I52" s="172">
        <f t="shared" si="63"/>
        <v>2</v>
      </c>
      <c r="J52" s="174">
        <f t="shared" si="64"/>
        <v>500</v>
      </c>
      <c r="K52" s="174">
        <f t="shared" si="65"/>
        <v>1000</v>
      </c>
      <c r="L52" s="175">
        <f t="shared" si="66"/>
        <v>12000</v>
      </c>
      <c r="S52" s="181"/>
    </row>
    <row r="53" spans="2:25">
      <c r="B53" s="699" t="s">
        <v>1401</v>
      </c>
      <c r="C53" s="701" t="s">
        <v>1355</v>
      </c>
      <c r="D53" s="702">
        <v>2</v>
      </c>
      <c r="E53" s="702">
        <v>4</v>
      </c>
      <c r="F53" s="172">
        <v>1</v>
      </c>
      <c r="G53" s="172">
        <v>6</v>
      </c>
      <c r="H53" s="172">
        <f t="shared" si="62"/>
        <v>8</v>
      </c>
      <c r="I53" s="172">
        <f t="shared" si="63"/>
        <v>3</v>
      </c>
      <c r="J53" s="174">
        <f t="shared" si="64"/>
        <v>500</v>
      </c>
      <c r="K53" s="174">
        <f t="shared" si="65"/>
        <v>1500</v>
      </c>
      <c r="L53" s="175">
        <f t="shared" si="66"/>
        <v>9000</v>
      </c>
      <c r="S53" s="181"/>
    </row>
    <row r="54" spans="2:25">
      <c r="B54" s="172" t="s">
        <v>1408</v>
      </c>
      <c r="C54" s="685" t="s">
        <v>1355</v>
      </c>
      <c r="D54" s="173">
        <v>2</v>
      </c>
      <c r="E54" s="173">
        <v>4</v>
      </c>
      <c r="F54" s="172">
        <v>4</v>
      </c>
      <c r="G54" s="172">
        <f>+G49</f>
        <v>6</v>
      </c>
      <c r="H54" s="172">
        <f t="shared" si="62"/>
        <v>8</v>
      </c>
      <c r="I54" s="172">
        <f t="shared" si="63"/>
        <v>9</v>
      </c>
      <c r="J54" s="174"/>
      <c r="K54" s="174">
        <f t="shared" si="65"/>
        <v>0</v>
      </c>
      <c r="L54" s="175">
        <f t="shared" si="66"/>
        <v>0</v>
      </c>
      <c r="S54" s="181"/>
    </row>
    <row r="55" spans="2:25">
      <c r="B55" s="172" t="s">
        <v>1409</v>
      </c>
      <c r="C55" s="685" t="s">
        <v>1355</v>
      </c>
      <c r="D55" s="173">
        <v>2</v>
      </c>
      <c r="E55" s="173">
        <v>4</v>
      </c>
      <c r="F55" s="172">
        <v>3</v>
      </c>
      <c r="G55" s="172">
        <f>+G49</f>
        <v>6</v>
      </c>
      <c r="H55" s="172">
        <f t="shared" si="62"/>
        <v>8</v>
      </c>
      <c r="I55" s="172">
        <f t="shared" si="63"/>
        <v>7</v>
      </c>
      <c r="J55" s="174"/>
      <c r="K55" s="174">
        <f t="shared" si="65"/>
        <v>0</v>
      </c>
      <c r="L55" s="175">
        <f t="shared" si="66"/>
        <v>0</v>
      </c>
      <c r="S55" s="181"/>
    </row>
    <row r="56" spans="2:25">
      <c r="B56" s="172" t="s">
        <v>1383</v>
      </c>
      <c r="C56" s="685" t="s">
        <v>1355</v>
      </c>
      <c r="D56" s="173">
        <v>3</v>
      </c>
      <c r="E56" s="173">
        <v>3</v>
      </c>
      <c r="F56" s="172">
        <v>2.5</v>
      </c>
      <c r="G56" s="172">
        <v>4</v>
      </c>
      <c r="H56" s="172">
        <f t="shared" si="62"/>
        <v>9</v>
      </c>
      <c r="I56" s="172">
        <f t="shared" si="63"/>
        <v>7</v>
      </c>
      <c r="J56" s="174">
        <f t="shared" si="64"/>
        <v>500</v>
      </c>
      <c r="K56" s="174">
        <f t="shared" si="65"/>
        <v>3500</v>
      </c>
      <c r="L56" s="175">
        <f t="shared" si="66"/>
        <v>14000</v>
      </c>
      <c r="S56" s="181"/>
    </row>
    <row r="57" spans="2:25">
      <c r="B57" s="186" t="s">
        <v>1404</v>
      </c>
      <c r="C57" s="685" t="s">
        <v>1355</v>
      </c>
      <c r="D57" s="187">
        <v>2</v>
      </c>
      <c r="E57" s="187">
        <v>4</v>
      </c>
      <c r="F57" s="186">
        <v>2</v>
      </c>
      <c r="G57" s="186">
        <f>+G49</f>
        <v>6</v>
      </c>
      <c r="H57" s="186">
        <f t="shared" si="62"/>
        <v>8</v>
      </c>
      <c r="I57" s="186">
        <f t="shared" si="63"/>
        <v>5</v>
      </c>
      <c r="J57" s="174">
        <f t="shared" si="64"/>
        <v>500</v>
      </c>
      <c r="K57" s="174">
        <f t="shared" si="65"/>
        <v>2500</v>
      </c>
      <c r="L57" s="175">
        <f t="shared" si="66"/>
        <v>15000</v>
      </c>
      <c r="S57" s="181"/>
    </row>
    <row r="58" spans="2:25">
      <c r="B58" s="186" t="s">
        <v>1376</v>
      </c>
      <c r="C58" s="161" t="s">
        <v>784</v>
      </c>
      <c r="D58" s="187"/>
      <c r="E58" s="187"/>
      <c r="F58" s="186"/>
      <c r="G58" s="186">
        <v>4.5</v>
      </c>
      <c r="H58" s="186">
        <f t="shared" si="62"/>
        <v>0</v>
      </c>
      <c r="I58" s="186">
        <v>1</v>
      </c>
      <c r="J58" s="703">
        <f t="shared" si="64"/>
        <v>51752.74</v>
      </c>
      <c r="K58" s="703">
        <f t="shared" si="65"/>
        <v>51752.74</v>
      </c>
      <c r="L58" s="700">
        <f t="shared" si="66"/>
        <v>232887.33</v>
      </c>
      <c r="S58" s="181"/>
      <c r="U58" s="161">
        <v>1</v>
      </c>
    </row>
    <row r="59" spans="2:25">
      <c r="B59" s="253" t="s">
        <v>1410</v>
      </c>
      <c r="C59" s="683" t="s">
        <v>1411</v>
      </c>
      <c r="D59" s="254"/>
      <c r="E59" s="260"/>
      <c r="F59" s="254"/>
      <c r="G59" s="254"/>
      <c r="H59" s="254"/>
      <c r="I59" s="254"/>
      <c r="J59" s="254"/>
      <c r="K59" s="254"/>
      <c r="L59" s="255"/>
      <c r="M59" s="601">
        <f>+SUM(L60:L66)</f>
        <v>115414.25503355704</v>
      </c>
      <c r="N59" s="182">
        <v>3.5</v>
      </c>
      <c r="O59" s="600">
        <f>+M59/N59</f>
        <v>32975.501438159154</v>
      </c>
      <c r="R59" s="688" t="s">
        <v>381</v>
      </c>
      <c r="S59" s="698" t="s">
        <v>382</v>
      </c>
      <c r="T59" s="164" t="s">
        <v>4</v>
      </c>
      <c r="U59" s="164" t="s">
        <v>1385</v>
      </c>
      <c r="V59" s="164"/>
      <c r="Y59" s="161" t="s">
        <v>1397</v>
      </c>
    </row>
    <row r="60" spans="2:25">
      <c r="B60" s="256" t="s">
        <v>1412</v>
      </c>
      <c r="C60" s="261" t="s">
        <v>1355</v>
      </c>
      <c r="D60" s="257">
        <v>1</v>
      </c>
      <c r="E60" s="257">
        <v>4</v>
      </c>
      <c r="F60" s="256">
        <v>10</v>
      </c>
      <c r="G60" s="256">
        <v>1.5</v>
      </c>
      <c r="H60" s="256">
        <f>+D60*E60</f>
        <v>4</v>
      </c>
      <c r="I60" s="256">
        <f>+ROUNDUP(H60*F60*$I$9,0)</f>
        <v>11</v>
      </c>
      <c r="J60" s="258">
        <f t="shared" si="64"/>
        <v>500</v>
      </c>
      <c r="K60" s="258">
        <f>+I60*J60</f>
        <v>5500</v>
      </c>
      <c r="L60" s="259">
        <f>+K60*G60</f>
        <v>8250</v>
      </c>
      <c r="Q60" s="180" t="s">
        <v>1386</v>
      </c>
      <c r="R60" s="136">
        <v>1</v>
      </c>
      <c r="S60" s="181">
        <v>0.1</v>
      </c>
      <c r="T60" s="161">
        <f>+R60*S60</f>
        <v>0.1</v>
      </c>
      <c r="U60" s="16">
        <f>+U58/T60</f>
        <v>10</v>
      </c>
      <c r="Y60" s="16">
        <f>+U60/2.98</f>
        <v>3.3557046979865772</v>
      </c>
    </row>
    <row r="61" spans="2:25">
      <c r="B61" s="172" t="s">
        <v>1389</v>
      </c>
      <c r="C61" s="685" t="s">
        <v>1355</v>
      </c>
      <c r="D61" s="173">
        <v>3</v>
      </c>
      <c r="E61" s="173">
        <v>3</v>
      </c>
      <c r="F61" s="172">
        <v>3</v>
      </c>
      <c r="G61" s="172">
        <v>30</v>
      </c>
      <c r="H61" s="172">
        <f t="shared" ref="H61:H66" si="67">+D61*E61</f>
        <v>9</v>
      </c>
      <c r="I61" s="172">
        <f t="shared" ref="I61:I64" si="68">+ROUNDUP(H61*F61*$I$9,0)</f>
        <v>8</v>
      </c>
      <c r="J61" s="174"/>
      <c r="K61" s="174">
        <f t="shared" ref="K61:K66" si="69">+I61*J61</f>
        <v>0</v>
      </c>
      <c r="L61" s="175">
        <f t="shared" ref="L61:L66" si="70">+K61*G61</f>
        <v>0</v>
      </c>
      <c r="S61" s="181"/>
    </row>
    <row r="62" spans="2:25">
      <c r="B62" s="172" t="s">
        <v>1413</v>
      </c>
      <c r="C62" s="685" t="s">
        <v>1355</v>
      </c>
      <c r="D62" s="173">
        <v>2</v>
      </c>
      <c r="E62" s="173">
        <v>4</v>
      </c>
      <c r="F62" s="172">
        <v>1</v>
      </c>
      <c r="G62" s="172">
        <v>15</v>
      </c>
      <c r="H62" s="172">
        <f t="shared" si="67"/>
        <v>8</v>
      </c>
      <c r="I62" s="172">
        <f t="shared" si="68"/>
        <v>3</v>
      </c>
      <c r="J62" s="174"/>
      <c r="K62" s="174">
        <f t="shared" si="69"/>
        <v>0</v>
      </c>
      <c r="L62" s="175">
        <f t="shared" si="70"/>
        <v>0</v>
      </c>
      <c r="S62" s="181"/>
    </row>
    <row r="63" spans="2:25">
      <c r="B63" s="172" t="s">
        <v>1414</v>
      </c>
      <c r="C63" s="685" t="s">
        <v>1355</v>
      </c>
      <c r="D63" s="173">
        <v>2</v>
      </c>
      <c r="E63" s="173">
        <v>3</v>
      </c>
      <c r="F63" s="172">
        <v>0.3</v>
      </c>
      <c r="G63" s="172">
        <v>20</v>
      </c>
      <c r="H63" s="172">
        <f t="shared" si="67"/>
        <v>6</v>
      </c>
      <c r="I63" s="172">
        <f t="shared" si="68"/>
        <v>1</v>
      </c>
      <c r="J63" s="174"/>
      <c r="K63" s="174">
        <f t="shared" si="69"/>
        <v>0</v>
      </c>
      <c r="L63" s="175">
        <f t="shared" si="70"/>
        <v>0</v>
      </c>
      <c r="S63" s="181"/>
    </row>
    <row r="64" spans="2:25">
      <c r="B64" s="172" t="s">
        <v>1415</v>
      </c>
      <c r="C64" s="685" t="s">
        <v>1355</v>
      </c>
      <c r="D64" s="173">
        <v>1</v>
      </c>
      <c r="E64" s="173">
        <v>4</v>
      </c>
      <c r="F64" s="172">
        <v>1</v>
      </c>
      <c r="G64" s="172">
        <v>10</v>
      </c>
      <c r="H64" s="172">
        <f t="shared" si="67"/>
        <v>4</v>
      </c>
      <c r="I64" s="172">
        <f t="shared" si="68"/>
        <v>2</v>
      </c>
      <c r="J64" s="174">
        <f t="shared" si="64"/>
        <v>500</v>
      </c>
      <c r="K64" s="174">
        <f t="shared" si="69"/>
        <v>1000</v>
      </c>
      <c r="L64" s="175">
        <f t="shared" si="70"/>
        <v>10000</v>
      </c>
      <c r="S64" s="181"/>
    </row>
    <row r="65" spans="2:25">
      <c r="B65" s="172" t="s">
        <v>1416</v>
      </c>
      <c r="C65" s="685" t="s">
        <v>782</v>
      </c>
      <c r="D65" s="173"/>
      <c r="E65" s="173"/>
      <c r="F65" s="172"/>
      <c r="G65" s="172">
        <f>10*0.1/2.98</f>
        <v>0.33557046979865773</v>
      </c>
      <c r="H65" s="172">
        <f t="shared" si="67"/>
        <v>0</v>
      </c>
      <c r="I65" s="172">
        <v>1</v>
      </c>
      <c r="J65" s="174">
        <f t="shared" ref="J65" si="71">VLOOKUP(C65,$B$5:$D$7,3,0)</f>
        <v>26322.68</v>
      </c>
      <c r="K65" s="174">
        <f t="shared" ref="K65" si="72">+I65*J65</f>
        <v>26322.68</v>
      </c>
      <c r="L65" s="175">
        <f t="shared" ref="L65" si="73">+K65*G65</f>
        <v>8833.1140939597317</v>
      </c>
      <c r="S65" s="181"/>
    </row>
    <row r="66" spans="2:25">
      <c r="B66" s="176" t="s">
        <v>1417</v>
      </c>
      <c r="C66" s="188" t="s">
        <v>782</v>
      </c>
      <c r="D66" s="177"/>
      <c r="E66" s="177"/>
      <c r="F66" s="176"/>
      <c r="G66" s="176">
        <f>+Y60</f>
        <v>3.3557046979865772</v>
      </c>
      <c r="H66" s="176">
        <f t="shared" si="67"/>
        <v>0</v>
      </c>
      <c r="I66" s="176">
        <v>1</v>
      </c>
      <c r="J66" s="178">
        <f t="shared" si="64"/>
        <v>26322.68</v>
      </c>
      <c r="K66" s="178">
        <f t="shared" si="69"/>
        <v>26322.68</v>
      </c>
      <c r="L66" s="179">
        <f t="shared" si="70"/>
        <v>88331.140939597317</v>
      </c>
      <c r="S66" s="181"/>
    </row>
    <row r="67" spans="2:25">
      <c r="B67" s="253" t="s">
        <v>1418</v>
      </c>
      <c r="C67" s="683"/>
      <c r="D67" s="254"/>
      <c r="E67" s="260"/>
      <c r="F67" s="254"/>
      <c r="G67" s="254"/>
      <c r="H67" s="254"/>
      <c r="I67" s="254"/>
      <c r="J67" s="254"/>
      <c r="K67" s="254"/>
      <c r="L67" s="255"/>
      <c r="M67" s="601">
        <f>+SUM(L68:L74)</f>
        <v>200750.02684563759</v>
      </c>
      <c r="N67" s="182">
        <v>5</v>
      </c>
      <c r="O67" s="600">
        <f>+M67/N67</f>
        <v>40150.005369127517</v>
      </c>
      <c r="P67" s="183"/>
      <c r="Q67" s="183"/>
      <c r="S67" s="181"/>
    </row>
    <row r="68" spans="2:25">
      <c r="B68" s="256" t="s">
        <v>1412</v>
      </c>
      <c r="C68" s="261" t="s">
        <v>1355</v>
      </c>
      <c r="D68" s="257">
        <v>1</v>
      </c>
      <c r="E68" s="257">
        <v>4</v>
      </c>
      <c r="F68" s="256">
        <v>10</v>
      </c>
      <c r="G68" s="256">
        <v>1.5</v>
      </c>
      <c r="H68" s="256">
        <f>+D68*E68</f>
        <v>4</v>
      </c>
      <c r="I68" s="256">
        <f>+ROUNDUP(H68*F68*$I$9,0)</f>
        <v>11</v>
      </c>
      <c r="J68" s="258">
        <f t="shared" ref="J68" si="74">VLOOKUP(C68,$B$5:$D$7,3,0)</f>
        <v>500</v>
      </c>
      <c r="K68" s="258">
        <f>+I68*J68</f>
        <v>5500</v>
      </c>
      <c r="L68" s="259">
        <f>+K68*G68</f>
        <v>8250</v>
      </c>
      <c r="S68" s="181"/>
    </row>
    <row r="69" spans="2:25">
      <c r="B69" s="172" t="s">
        <v>1389</v>
      </c>
      <c r="C69" s="685" t="s">
        <v>1355</v>
      </c>
      <c r="D69" s="173">
        <v>3</v>
      </c>
      <c r="E69" s="173">
        <v>3</v>
      </c>
      <c r="F69" s="172">
        <v>3</v>
      </c>
      <c r="G69" s="172">
        <v>30</v>
      </c>
      <c r="H69" s="172">
        <f t="shared" ref="H69:H74" si="75">+D69*E69</f>
        <v>9</v>
      </c>
      <c r="I69" s="172">
        <f t="shared" ref="I69:I72" si="76">+ROUNDUP(H69*F69*$I$9,0)</f>
        <v>8</v>
      </c>
      <c r="J69" s="174"/>
      <c r="K69" s="174">
        <f t="shared" ref="K69:K74" si="77">+I69*J69</f>
        <v>0</v>
      </c>
      <c r="L69" s="175">
        <f t="shared" ref="L69:L74" si="78">+K69*G69</f>
        <v>0</v>
      </c>
      <c r="S69" s="181"/>
    </row>
    <row r="70" spans="2:25">
      <c r="B70" s="172" t="s">
        <v>1413</v>
      </c>
      <c r="C70" s="685" t="s">
        <v>1355</v>
      </c>
      <c r="D70" s="173">
        <v>2</v>
      </c>
      <c r="E70" s="173">
        <v>4</v>
      </c>
      <c r="F70" s="172">
        <v>1</v>
      </c>
      <c r="G70" s="172">
        <v>15</v>
      </c>
      <c r="H70" s="172">
        <f t="shared" si="75"/>
        <v>8</v>
      </c>
      <c r="I70" s="172">
        <f t="shared" si="76"/>
        <v>3</v>
      </c>
      <c r="J70" s="174"/>
      <c r="K70" s="174">
        <f t="shared" si="77"/>
        <v>0</v>
      </c>
      <c r="L70" s="175">
        <f t="shared" si="78"/>
        <v>0</v>
      </c>
      <c r="S70" s="181"/>
    </row>
    <row r="71" spans="2:25">
      <c r="B71" s="172" t="s">
        <v>1414</v>
      </c>
      <c r="C71" s="685" t="s">
        <v>1355</v>
      </c>
      <c r="D71" s="173">
        <v>2</v>
      </c>
      <c r="E71" s="173">
        <v>3</v>
      </c>
      <c r="F71" s="172">
        <v>0.3</v>
      </c>
      <c r="G71" s="172">
        <v>20</v>
      </c>
      <c r="H71" s="172">
        <f t="shared" si="75"/>
        <v>6</v>
      </c>
      <c r="I71" s="172">
        <f t="shared" si="76"/>
        <v>1</v>
      </c>
      <c r="J71" s="174"/>
      <c r="K71" s="174">
        <f t="shared" si="77"/>
        <v>0</v>
      </c>
      <c r="L71" s="175">
        <f t="shared" si="78"/>
        <v>0</v>
      </c>
      <c r="S71" s="181"/>
    </row>
    <row r="72" spans="2:25">
      <c r="B72" s="172" t="s">
        <v>1415</v>
      </c>
      <c r="C72" s="685" t="s">
        <v>1355</v>
      </c>
      <c r="D72" s="173">
        <v>1</v>
      </c>
      <c r="E72" s="173">
        <v>4</v>
      </c>
      <c r="F72" s="172">
        <v>1</v>
      </c>
      <c r="G72" s="172">
        <v>10</v>
      </c>
      <c r="H72" s="172">
        <f t="shared" si="75"/>
        <v>4</v>
      </c>
      <c r="I72" s="172">
        <f t="shared" si="76"/>
        <v>2</v>
      </c>
      <c r="J72" s="174">
        <f t="shared" ref="J72:J83" si="79">VLOOKUP(C72,$B$5:$D$7,3,0)</f>
        <v>500</v>
      </c>
      <c r="K72" s="174">
        <f t="shared" si="77"/>
        <v>1000</v>
      </c>
      <c r="L72" s="175">
        <f t="shared" si="78"/>
        <v>10000</v>
      </c>
      <c r="S72" s="181"/>
    </row>
    <row r="73" spans="2:25">
      <c r="B73" s="172" t="s">
        <v>1416</v>
      </c>
      <c r="C73" s="685" t="s">
        <v>782</v>
      </c>
      <c r="D73" s="173"/>
      <c r="E73" s="173"/>
      <c r="F73" s="172"/>
      <c r="G73" s="172">
        <f>10*0.1/2.98</f>
        <v>0.33557046979865773</v>
      </c>
      <c r="H73" s="172">
        <f t="shared" si="75"/>
        <v>0</v>
      </c>
      <c r="I73" s="172">
        <v>1</v>
      </c>
      <c r="J73" s="174">
        <f t="shared" si="79"/>
        <v>26322.68</v>
      </c>
      <c r="K73" s="174">
        <f t="shared" si="77"/>
        <v>26322.68</v>
      </c>
      <c r="L73" s="175">
        <f t="shared" si="78"/>
        <v>8833.1140939597317</v>
      </c>
      <c r="S73" s="181"/>
    </row>
    <row r="74" spans="2:25">
      <c r="B74" s="176" t="s">
        <v>1417</v>
      </c>
      <c r="C74" s="161" t="s">
        <v>784</v>
      </c>
      <c r="D74" s="177"/>
      <c r="E74" s="177"/>
      <c r="F74" s="176"/>
      <c r="G74" s="176">
        <f>+Y60</f>
        <v>3.3557046979865772</v>
      </c>
      <c r="H74" s="176">
        <f t="shared" si="75"/>
        <v>0</v>
      </c>
      <c r="I74" s="176">
        <v>1</v>
      </c>
      <c r="J74" s="178">
        <f t="shared" si="79"/>
        <v>51752.74</v>
      </c>
      <c r="K74" s="178">
        <f t="shared" si="77"/>
        <v>51752.74</v>
      </c>
      <c r="L74" s="179">
        <f t="shared" si="78"/>
        <v>173666.91275167785</v>
      </c>
      <c r="S74" s="181"/>
      <c r="T74" s="181"/>
    </row>
    <row r="75" spans="2:25">
      <c r="B75" s="253" t="s">
        <v>1419</v>
      </c>
      <c r="C75" s="683" t="s">
        <v>1420</v>
      </c>
      <c r="D75" s="254"/>
      <c r="E75" s="260"/>
      <c r="F75" s="254"/>
      <c r="G75" s="254"/>
      <c r="H75" s="254"/>
      <c r="I75" s="254"/>
      <c r="J75" s="254"/>
      <c r="K75" s="254"/>
      <c r="L75" s="255"/>
      <c r="M75" s="601">
        <f>+SUM(L76:L83)</f>
        <v>329801.35346756154</v>
      </c>
      <c r="N75" s="182">
        <v>3.5</v>
      </c>
      <c r="O75" s="600">
        <f>+M75/N75</f>
        <v>94228.958133589011</v>
      </c>
      <c r="P75" s="183"/>
      <c r="S75" s="181"/>
      <c r="U75" s="161">
        <v>1</v>
      </c>
    </row>
    <row r="76" spans="2:25">
      <c r="B76" s="256" t="s">
        <v>1421</v>
      </c>
      <c r="C76" s="261" t="s">
        <v>1355</v>
      </c>
      <c r="D76" s="257">
        <v>1</v>
      </c>
      <c r="E76" s="257">
        <v>4</v>
      </c>
      <c r="F76" s="256">
        <v>20</v>
      </c>
      <c r="G76" s="256">
        <v>1</v>
      </c>
      <c r="H76" s="256">
        <f>+D76*E76</f>
        <v>4</v>
      </c>
      <c r="I76" s="256">
        <f>+ROUNDUP(H76*F76*$I$9,0)</f>
        <v>22</v>
      </c>
      <c r="J76" s="258">
        <f t="shared" si="79"/>
        <v>500</v>
      </c>
      <c r="K76" s="258">
        <f>+I76*J76</f>
        <v>11000</v>
      </c>
      <c r="L76" s="259">
        <f>+K76*G76</f>
        <v>11000</v>
      </c>
      <c r="R76" s="688" t="s">
        <v>381</v>
      </c>
      <c r="S76" s="698" t="s">
        <v>215</v>
      </c>
      <c r="T76" s="164" t="s">
        <v>4</v>
      </c>
      <c r="U76" s="164" t="s">
        <v>1385</v>
      </c>
      <c r="V76" s="164"/>
      <c r="Y76" s="161" t="s">
        <v>1397</v>
      </c>
    </row>
    <row r="77" spans="2:25">
      <c r="B77" s="172" t="s">
        <v>1389</v>
      </c>
      <c r="C77" s="685" t="s">
        <v>1355</v>
      </c>
      <c r="D77" s="173">
        <v>3</v>
      </c>
      <c r="E77" s="173">
        <v>3</v>
      </c>
      <c r="F77" s="172">
        <v>2.2000000000000002</v>
      </c>
      <c r="G77" s="172">
        <v>20</v>
      </c>
      <c r="H77" s="172">
        <f t="shared" ref="H77:H82" si="80">+D77*E77</f>
        <v>9</v>
      </c>
      <c r="I77" s="172">
        <f t="shared" ref="I77:I82" si="81">+ROUNDUP(H77*F77*$I$9,0)</f>
        <v>6</v>
      </c>
      <c r="J77" s="174"/>
      <c r="K77" s="174">
        <f t="shared" ref="K77:K83" si="82">+I77*J77</f>
        <v>0</v>
      </c>
      <c r="L77" s="175">
        <f t="shared" ref="L77:L83" si="83">+K77*G77</f>
        <v>0</v>
      </c>
      <c r="Q77" s="180" t="s">
        <v>1386</v>
      </c>
      <c r="R77" s="136">
        <v>0.12</v>
      </c>
      <c r="S77" s="181">
        <v>0.4</v>
      </c>
      <c r="T77" s="161">
        <f>+R77*S77</f>
        <v>4.8000000000000001E-2</v>
      </c>
      <c r="U77" s="16">
        <f>+U75/T77</f>
        <v>20.833333333333332</v>
      </c>
      <c r="Y77" s="16">
        <f>+(R77*U77+S77*U77*2)/2.98</f>
        <v>6.4317673378076066</v>
      </c>
    </row>
    <row r="78" spans="2:25">
      <c r="B78" s="172" t="s">
        <v>1226</v>
      </c>
      <c r="C78" s="685" t="s">
        <v>1355</v>
      </c>
      <c r="D78" s="173">
        <v>3</v>
      </c>
      <c r="E78" s="173">
        <v>3</v>
      </c>
      <c r="F78" s="172">
        <v>1</v>
      </c>
      <c r="G78" s="172">
        <v>20</v>
      </c>
      <c r="H78" s="172">
        <f t="shared" si="80"/>
        <v>9</v>
      </c>
      <c r="I78" s="172">
        <f t="shared" si="81"/>
        <v>3</v>
      </c>
      <c r="J78" s="174">
        <f t="shared" si="79"/>
        <v>500</v>
      </c>
      <c r="K78" s="174">
        <f t="shared" si="82"/>
        <v>1500</v>
      </c>
      <c r="L78" s="175">
        <f t="shared" si="83"/>
        <v>30000</v>
      </c>
      <c r="S78" s="181"/>
    </row>
    <row r="79" spans="2:25">
      <c r="B79" s="172" t="s">
        <v>1422</v>
      </c>
      <c r="C79" s="685" t="s">
        <v>1355</v>
      </c>
      <c r="D79" s="173">
        <v>2</v>
      </c>
      <c r="E79" s="173">
        <v>4</v>
      </c>
      <c r="F79" s="172">
        <v>20</v>
      </c>
      <c r="G79" s="172">
        <v>3</v>
      </c>
      <c r="H79" s="172">
        <f t="shared" si="80"/>
        <v>8</v>
      </c>
      <c r="I79" s="172">
        <f t="shared" si="81"/>
        <v>44</v>
      </c>
      <c r="J79" s="174">
        <f t="shared" si="79"/>
        <v>500</v>
      </c>
      <c r="K79" s="174">
        <f t="shared" si="82"/>
        <v>22000</v>
      </c>
      <c r="L79" s="175">
        <f t="shared" si="83"/>
        <v>66000</v>
      </c>
      <c r="S79" s="181"/>
    </row>
    <row r="80" spans="2:25">
      <c r="B80" s="172" t="s">
        <v>1382</v>
      </c>
      <c r="C80" s="685" t="s">
        <v>1355</v>
      </c>
      <c r="D80" s="173">
        <v>1</v>
      </c>
      <c r="E80" s="173">
        <v>4</v>
      </c>
      <c r="F80" s="172">
        <v>1</v>
      </c>
      <c r="G80" s="172">
        <f>10*2</f>
        <v>20</v>
      </c>
      <c r="H80" s="172">
        <f t="shared" si="80"/>
        <v>4</v>
      </c>
      <c r="I80" s="172">
        <f t="shared" si="81"/>
        <v>2</v>
      </c>
      <c r="J80" s="174">
        <f t="shared" ref="J80" si="84">VLOOKUP(C80,$B$5:$D$7,3,0)</f>
        <v>500</v>
      </c>
      <c r="K80" s="174">
        <f t="shared" ref="K80" si="85">+I80*J80</f>
        <v>1000</v>
      </c>
      <c r="L80" s="175">
        <f t="shared" ref="L80" si="86">+K80*G80</f>
        <v>20000</v>
      </c>
      <c r="S80" s="181"/>
    </row>
    <row r="81" spans="2:23">
      <c r="B81" s="172" t="s">
        <v>1414</v>
      </c>
      <c r="C81" s="685" t="s">
        <v>1355</v>
      </c>
      <c r="D81" s="173">
        <v>2</v>
      </c>
      <c r="E81" s="173">
        <v>3</v>
      </c>
      <c r="F81" s="172">
        <v>0.3</v>
      </c>
      <c r="G81" s="172">
        <v>20</v>
      </c>
      <c r="H81" s="172">
        <f t="shared" si="80"/>
        <v>6</v>
      </c>
      <c r="I81" s="172">
        <f t="shared" si="81"/>
        <v>1</v>
      </c>
      <c r="J81" s="174"/>
      <c r="K81" s="174">
        <f t="shared" si="82"/>
        <v>0</v>
      </c>
      <c r="L81" s="175">
        <f t="shared" si="83"/>
        <v>0</v>
      </c>
      <c r="S81" s="181"/>
    </row>
    <row r="82" spans="2:23">
      <c r="B82" s="172" t="s">
        <v>1372</v>
      </c>
      <c r="C82" s="685" t="s">
        <v>1355</v>
      </c>
      <c r="D82" s="173">
        <v>1</v>
      </c>
      <c r="E82" s="173">
        <v>4</v>
      </c>
      <c r="F82" s="172">
        <v>0.4</v>
      </c>
      <c r="G82" s="172">
        <f>ROUND(20/0.6*2,0)</f>
        <v>67</v>
      </c>
      <c r="H82" s="172">
        <f t="shared" si="80"/>
        <v>4</v>
      </c>
      <c r="I82" s="172">
        <f t="shared" si="81"/>
        <v>1</v>
      </c>
      <c r="J82" s="174">
        <f t="shared" si="79"/>
        <v>500</v>
      </c>
      <c r="K82" s="174">
        <f t="shared" si="82"/>
        <v>500</v>
      </c>
      <c r="L82" s="175">
        <f t="shared" si="83"/>
        <v>33500</v>
      </c>
      <c r="S82" s="181"/>
    </row>
    <row r="83" spans="2:23">
      <c r="B83" s="176" t="s">
        <v>1376</v>
      </c>
      <c r="C83" s="188" t="s">
        <v>782</v>
      </c>
      <c r="D83" s="177"/>
      <c r="E83" s="177"/>
      <c r="F83" s="176"/>
      <c r="G83" s="176">
        <f>+Y77</f>
        <v>6.4317673378076066</v>
      </c>
      <c r="H83" s="176"/>
      <c r="I83" s="176">
        <v>1</v>
      </c>
      <c r="J83" s="178">
        <f t="shared" si="79"/>
        <v>26322.68</v>
      </c>
      <c r="K83" s="178">
        <f t="shared" si="82"/>
        <v>26322.68</v>
      </c>
      <c r="L83" s="179">
        <f t="shared" si="83"/>
        <v>169301.35346756154</v>
      </c>
      <c r="S83" s="181"/>
      <c r="T83" s="181"/>
    </row>
    <row r="84" spans="2:23">
      <c r="B84" s="253" t="s">
        <v>1423</v>
      </c>
      <c r="C84" s="682"/>
      <c r="D84" s="171"/>
      <c r="E84" s="167"/>
      <c r="F84" s="713"/>
      <c r="G84" s="254"/>
      <c r="H84" s="254"/>
      <c r="I84" s="254"/>
      <c r="J84" s="254"/>
      <c r="K84" s="254"/>
      <c r="L84" s="255"/>
      <c r="M84" s="601">
        <f>+SUM(L85:L92)</f>
        <v>460361.58277404919</v>
      </c>
      <c r="N84" s="182">
        <v>5</v>
      </c>
      <c r="O84" s="600">
        <f>+M84/N84</f>
        <v>92072.316554809833</v>
      </c>
      <c r="P84" s="183"/>
      <c r="Q84" s="183"/>
      <c r="S84" s="181"/>
    </row>
    <row r="85" spans="2:23">
      <c r="B85" s="256" t="s">
        <v>1421</v>
      </c>
      <c r="C85" s="261" t="s">
        <v>1355</v>
      </c>
      <c r="D85" s="257">
        <v>1</v>
      </c>
      <c r="E85" s="257">
        <v>4</v>
      </c>
      <c r="F85" s="256">
        <v>20</v>
      </c>
      <c r="G85" s="256">
        <v>1</v>
      </c>
      <c r="H85" s="256">
        <f>+D85*E85</f>
        <v>4</v>
      </c>
      <c r="I85" s="256">
        <f>+ROUNDUP(H85*F85*$I$9,0)</f>
        <v>22</v>
      </c>
      <c r="J85" s="258">
        <f t="shared" ref="J85" si="87">VLOOKUP(C85,$B$5:$D$7,3,0)</f>
        <v>500</v>
      </c>
      <c r="K85" s="258">
        <f>+I85*J85</f>
        <v>11000</v>
      </c>
      <c r="L85" s="259">
        <f>+K85*G85</f>
        <v>11000</v>
      </c>
      <c r="S85" s="181"/>
    </row>
    <row r="86" spans="2:23">
      <c r="B86" s="172" t="s">
        <v>1389</v>
      </c>
      <c r="C86" s="685" t="s">
        <v>1355</v>
      </c>
      <c r="D86" s="173">
        <v>3</v>
      </c>
      <c r="E86" s="173">
        <v>3</v>
      </c>
      <c r="F86" s="172">
        <v>2.2000000000000002</v>
      </c>
      <c r="G86" s="172">
        <v>20</v>
      </c>
      <c r="H86" s="172">
        <f t="shared" ref="H86:H91" si="88">+D86*E86</f>
        <v>9</v>
      </c>
      <c r="I86" s="172">
        <f t="shared" ref="I86:I91" si="89">+ROUNDUP(H86*F86*$I$9,0)</f>
        <v>6</v>
      </c>
      <c r="J86" s="174"/>
      <c r="K86" s="174">
        <f t="shared" ref="K86:K92" si="90">+I86*J86</f>
        <v>0</v>
      </c>
      <c r="L86" s="175">
        <f t="shared" ref="L86:L92" si="91">+K86*G86</f>
        <v>0</v>
      </c>
      <c r="S86" s="181"/>
    </row>
    <row r="87" spans="2:23">
      <c r="B87" s="172" t="s">
        <v>1226</v>
      </c>
      <c r="C87" s="685" t="s">
        <v>1355</v>
      </c>
      <c r="D87" s="173">
        <v>3</v>
      </c>
      <c r="E87" s="173">
        <v>3</v>
      </c>
      <c r="F87" s="172">
        <v>1</v>
      </c>
      <c r="G87" s="172">
        <v>20</v>
      </c>
      <c r="H87" s="172">
        <f t="shared" si="88"/>
        <v>9</v>
      </c>
      <c r="I87" s="172">
        <f t="shared" si="89"/>
        <v>3</v>
      </c>
      <c r="J87" s="174">
        <f t="shared" ref="J87:J89" si="92">VLOOKUP(C87,$B$5:$D$7,3,0)</f>
        <v>500</v>
      </c>
      <c r="K87" s="174">
        <f t="shared" si="90"/>
        <v>1500</v>
      </c>
      <c r="L87" s="175">
        <f t="shared" si="91"/>
        <v>30000</v>
      </c>
      <c r="S87" s="181"/>
    </row>
    <row r="88" spans="2:23">
      <c r="B88" s="172" t="s">
        <v>1422</v>
      </c>
      <c r="C88" s="685" t="s">
        <v>1355</v>
      </c>
      <c r="D88" s="173">
        <v>1</v>
      </c>
      <c r="E88" s="173">
        <v>4</v>
      </c>
      <c r="F88" s="172">
        <v>20</v>
      </c>
      <c r="G88" s="172">
        <v>3</v>
      </c>
      <c r="H88" s="172">
        <f t="shared" si="88"/>
        <v>4</v>
      </c>
      <c r="I88" s="172">
        <f t="shared" si="89"/>
        <v>22</v>
      </c>
      <c r="J88" s="174">
        <f t="shared" si="92"/>
        <v>500</v>
      </c>
      <c r="K88" s="174">
        <f t="shared" si="90"/>
        <v>11000</v>
      </c>
      <c r="L88" s="175">
        <f t="shared" si="91"/>
        <v>33000</v>
      </c>
      <c r="S88" s="181"/>
    </row>
    <row r="89" spans="2:23">
      <c r="B89" s="172" t="s">
        <v>1382</v>
      </c>
      <c r="C89" s="685" t="s">
        <v>1355</v>
      </c>
      <c r="D89" s="173">
        <v>1</v>
      </c>
      <c r="E89" s="173">
        <v>4</v>
      </c>
      <c r="F89" s="172">
        <v>1</v>
      </c>
      <c r="G89" s="172">
        <f>10*2</f>
        <v>20</v>
      </c>
      <c r="H89" s="172">
        <f t="shared" si="88"/>
        <v>4</v>
      </c>
      <c r="I89" s="172">
        <f t="shared" si="89"/>
        <v>2</v>
      </c>
      <c r="J89" s="174">
        <f t="shared" si="92"/>
        <v>500</v>
      </c>
      <c r="K89" s="174">
        <f t="shared" si="90"/>
        <v>1000</v>
      </c>
      <c r="L89" s="175">
        <f t="shared" si="91"/>
        <v>20000</v>
      </c>
      <c r="S89" s="181"/>
    </row>
    <row r="90" spans="2:23">
      <c r="B90" s="172" t="s">
        <v>1414</v>
      </c>
      <c r="C90" s="685" t="s">
        <v>1355</v>
      </c>
      <c r="D90" s="173">
        <v>2</v>
      </c>
      <c r="E90" s="173">
        <v>3</v>
      </c>
      <c r="F90" s="172">
        <v>0.3</v>
      </c>
      <c r="G90" s="172">
        <v>20</v>
      </c>
      <c r="H90" s="172">
        <f t="shared" si="88"/>
        <v>6</v>
      </c>
      <c r="I90" s="172">
        <f t="shared" si="89"/>
        <v>1</v>
      </c>
      <c r="J90" s="174"/>
      <c r="K90" s="174">
        <f t="shared" si="90"/>
        <v>0</v>
      </c>
      <c r="L90" s="175">
        <f t="shared" si="91"/>
        <v>0</v>
      </c>
      <c r="S90" s="181"/>
    </row>
    <row r="91" spans="2:23">
      <c r="B91" s="172" t="s">
        <v>1372</v>
      </c>
      <c r="C91" s="685" t="s">
        <v>1355</v>
      </c>
      <c r="D91" s="173">
        <v>1</v>
      </c>
      <c r="E91" s="173">
        <v>4</v>
      </c>
      <c r="F91" s="172">
        <v>0.4</v>
      </c>
      <c r="G91" s="172">
        <f>ROUND(20/0.6*2,0)</f>
        <v>67</v>
      </c>
      <c r="H91" s="172">
        <f t="shared" si="88"/>
        <v>4</v>
      </c>
      <c r="I91" s="172">
        <f t="shared" si="89"/>
        <v>1</v>
      </c>
      <c r="J91" s="174">
        <f t="shared" ref="J91:J92" si="93">VLOOKUP(C91,$B$5:$D$7,3,0)</f>
        <v>500</v>
      </c>
      <c r="K91" s="174">
        <f t="shared" si="90"/>
        <v>500</v>
      </c>
      <c r="L91" s="175">
        <f t="shared" si="91"/>
        <v>33500</v>
      </c>
      <c r="S91" s="181"/>
      <c r="T91" s="181"/>
    </row>
    <row r="92" spans="2:23">
      <c r="B92" s="176" t="s">
        <v>1376</v>
      </c>
      <c r="C92" s="188" t="s">
        <v>784</v>
      </c>
      <c r="D92" s="177"/>
      <c r="E92" s="177"/>
      <c r="F92" s="176"/>
      <c r="G92" s="176">
        <f>+Y77</f>
        <v>6.4317673378076066</v>
      </c>
      <c r="H92" s="176"/>
      <c r="I92" s="176">
        <v>1</v>
      </c>
      <c r="J92" s="178">
        <f t="shared" si="93"/>
        <v>51752.74</v>
      </c>
      <c r="K92" s="178">
        <f t="shared" si="90"/>
        <v>51752.74</v>
      </c>
      <c r="L92" s="179">
        <f t="shared" si="91"/>
        <v>332861.58277404919</v>
      </c>
      <c r="N92" s="704"/>
    </row>
    <row r="93" spans="2:23">
      <c r="B93" s="729" t="s">
        <v>1424</v>
      </c>
      <c r="C93" s="682" t="s">
        <v>1425</v>
      </c>
      <c r="D93" s="171"/>
      <c r="E93" s="167"/>
      <c r="F93" s="171"/>
      <c r="G93" s="730"/>
      <c r="H93" s="730"/>
      <c r="I93" s="730"/>
      <c r="J93" s="730"/>
      <c r="K93" s="730"/>
      <c r="L93" s="731"/>
      <c r="M93" s="601">
        <f>+SUM(L94:L100)</f>
        <v>200428.39044295301</v>
      </c>
      <c r="N93" s="182">
        <v>3.5</v>
      </c>
      <c r="O93" s="600">
        <f>+M93/N93</f>
        <v>57265.25441227229</v>
      </c>
      <c r="Q93" s="180" t="s">
        <v>1398</v>
      </c>
      <c r="R93" s="136" t="s">
        <v>381</v>
      </c>
      <c r="S93" s="161" t="s">
        <v>1426</v>
      </c>
      <c r="T93" s="161" t="s">
        <v>1427</v>
      </c>
      <c r="U93" s="161" t="s">
        <v>4</v>
      </c>
      <c r="V93" s="161" t="s">
        <v>1428</v>
      </c>
      <c r="W93" s="16" t="s">
        <v>66</v>
      </c>
    </row>
    <row r="94" spans="2:23">
      <c r="B94" s="256" t="s">
        <v>401</v>
      </c>
      <c r="C94" s="261" t="s">
        <v>782</v>
      </c>
      <c r="D94" s="257"/>
      <c r="E94" s="257"/>
      <c r="F94" s="256"/>
      <c r="G94" s="256">
        <f>0.3*3*4/2.98</f>
        <v>1.2080536912751676</v>
      </c>
      <c r="H94" s="256">
        <f>+D94*E94</f>
        <v>0</v>
      </c>
      <c r="I94" s="256">
        <v>1</v>
      </c>
      <c r="J94" s="258">
        <f t="shared" ref="J94:J99" si="94">VLOOKUP(C94,$B$5:$D$7,3,0)</f>
        <v>26322.68</v>
      </c>
      <c r="K94" s="258">
        <f t="shared" ref="K94:K100" si="95">+I94*J94</f>
        <v>26322.68</v>
      </c>
      <c r="L94" s="259">
        <f t="shared" ref="L94:L100" si="96">+K94*G94</f>
        <v>31799.210738255028</v>
      </c>
      <c r="N94" s="704"/>
      <c r="R94" s="136">
        <v>1.2</v>
      </c>
      <c r="S94" s="161">
        <f>0.26*8+1</f>
        <v>3.08</v>
      </c>
      <c r="T94" s="161">
        <f>0.26*8+1</f>
        <v>3.08</v>
      </c>
      <c r="U94" s="405">
        <f>+R94*S94+R94*T94</f>
        <v>7.3919999999999995</v>
      </c>
      <c r="V94" s="161">
        <v>0.15</v>
      </c>
      <c r="W94" s="16">
        <f>+U94*V94</f>
        <v>1.1087999999999998</v>
      </c>
    </row>
    <row r="95" spans="2:23">
      <c r="B95" s="172" t="s">
        <v>1429</v>
      </c>
      <c r="C95" s="685" t="s">
        <v>782</v>
      </c>
      <c r="D95" s="173"/>
      <c r="E95" s="173"/>
      <c r="F95" s="172"/>
      <c r="G95" s="172">
        <f>(0.17*1.2*16)/2.98</f>
        <v>1.0953020134228189</v>
      </c>
      <c r="H95" s="172">
        <f t="shared" ref="H95:H98" si="97">+D95*E95</f>
        <v>0</v>
      </c>
      <c r="I95" s="172">
        <v>1</v>
      </c>
      <c r="J95" s="174">
        <f t="shared" si="94"/>
        <v>26322.68</v>
      </c>
      <c r="K95" s="174">
        <f t="shared" si="95"/>
        <v>26322.68</v>
      </c>
      <c r="L95" s="175">
        <f t="shared" si="96"/>
        <v>28831.284402684567</v>
      </c>
      <c r="N95" s="704"/>
    </row>
    <row r="96" spans="2:23">
      <c r="B96" s="172" t="s">
        <v>1430</v>
      </c>
      <c r="C96" s="685" t="s">
        <v>782</v>
      </c>
      <c r="D96" s="173"/>
      <c r="E96" s="173"/>
      <c r="F96" s="172"/>
      <c r="G96" s="172">
        <f>(3*1.2+3*1.2+2.4*1)/2.98</f>
        <v>3.2214765100671139</v>
      </c>
      <c r="H96" s="172">
        <f t="shared" si="97"/>
        <v>0</v>
      </c>
      <c r="I96" s="172">
        <v>1</v>
      </c>
      <c r="J96" s="174">
        <f t="shared" si="94"/>
        <v>26322.68</v>
      </c>
      <c r="K96" s="174">
        <f t="shared" si="95"/>
        <v>26322.68</v>
      </c>
      <c r="L96" s="175">
        <f t="shared" si="96"/>
        <v>84797.895302013421</v>
      </c>
      <c r="N96" s="704"/>
    </row>
    <row r="97" spans="2:19">
      <c r="B97" s="172" t="s">
        <v>1372</v>
      </c>
      <c r="C97" s="685" t="s">
        <v>1355</v>
      </c>
      <c r="D97" s="173">
        <v>2</v>
      </c>
      <c r="E97" s="173">
        <v>4</v>
      </c>
      <c r="F97" s="172">
        <v>1.2</v>
      </c>
      <c r="G97" s="172">
        <f>3*2</f>
        <v>6</v>
      </c>
      <c r="H97" s="172">
        <f t="shared" si="97"/>
        <v>8</v>
      </c>
      <c r="I97" s="172">
        <f>+ROUNDUP(H97*F97*$I$9,0)</f>
        <v>3</v>
      </c>
      <c r="J97" s="174">
        <f t="shared" si="94"/>
        <v>500</v>
      </c>
      <c r="K97" s="174">
        <f t="shared" si="95"/>
        <v>1500</v>
      </c>
      <c r="L97" s="175">
        <f t="shared" si="96"/>
        <v>9000</v>
      </c>
      <c r="N97" s="704"/>
    </row>
    <row r="98" spans="2:19">
      <c r="B98" s="172" t="s">
        <v>1381</v>
      </c>
      <c r="C98" s="685" t="s">
        <v>1355</v>
      </c>
      <c r="D98" s="173">
        <v>2</v>
      </c>
      <c r="E98" s="173">
        <v>4</v>
      </c>
      <c r="F98" s="172">
        <v>1.5</v>
      </c>
      <c r="G98" s="172">
        <f>8*2</f>
        <v>16</v>
      </c>
      <c r="H98" s="172">
        <f t="shared" si="97"/>
        <v>8</v>
      </c>
      <c r="I98" s="172">
        <f>+ROUNDUP(H98*F98*$I$9,0)</f>
        <v>4</v>
      </c>
      <c r="J98" s="174">
        <f t="shared" si="94"/>
        <v>500</v>
      </c>
      <c r="K98" s="174">
        <f t="shared" si="95"/>
        <v>2000</v>
      </c>
      <c r="L98" s="175">
        <f t="shared" si="96"/>
        <v>32000</v>
      </c>
      <c r="N98" s="704"/>
    </row>
    <row r="99" spans="2:19">
      <c r="B99" s="172" t="s">
        <v>1404</v>
      </c>
      <c r="C99" s="685" t="s">
        <v>1355</v>
      </c>
      <c r="D99" s="173">
        <v>3</v>
      </c>
      <c r="E99" s="173">
        <v>3</v>
      </c>
      <c r="F99" s="172">
        <v>1.2</v>
      </c>
      <c r="G99" s="172">
        <v>4</v>
      </c>
      <c r="H99" s="172">
        <f t="shared" ref="H99:H100" si="98">+D99*E99</f>
        <v>9</v>
      </c>
      <c r="I99" s="172">
        <f>+ROUNDUP(H99*F99*$I$9,0)</f>
        <v>3</v>
      </c>
      <c r="J99" s="174">
        <f t="shared" si="94"/>
        <v>500</v>
      </c>
      <c r="K99" s="174">
        <f t="shared" si="95"/>
        <v>1500</v>
      </c>
      <c r="L99" s="175">
        <f t="shared" si="96"/>
        <v>6000</v>
      </c>
      <c r="N99" s="704"/>
    </row>
    <row r="100" spans="2:19">
      <c r="B100" s="176" t="s">
        <v>1431</v>
      </c>
      <c r="C100" s="188" t="s">
        <v>1355</v>
      </c>
      <c r="D100" s="177">
        <v>1</v>
      </c>
      <c r="E100" s="177">
        <v>4</v>
      </c>
      <c r="F100" s="176">
        <v>1.2</v>
      </c>
      <c r="G100" s="176">
        <f>4*2</f>
        <v>8</v>
      </c>
      <c r="H100" s="172">
        <f t="shared" si="98"/>
        <v>4</v>
      </c>
      <c r="I100" s="176">
        <f t="shared" ref="I100" si="99">+ROUNDUP(H100*F100*$I$9,0)</f>
        <v>2</v>
      </c>
      <c r="J100" s="178">
        <f t="shared" ref="J100" si="100">VLOOKUP(C100,$B$5:$D$7,3,0)</f>
        <v>500</v>
      </c>
      <c r="K100" s="178">
        <f t="shared" si="95"/>
        <v>1000</v>
      </c>
      <c r="L100" s="179">
        <f t="shared" si="96"/>
        <v>8000</v>
      </c>
      <c r="N100" s="704"/>
    </row>
    <row r="101" spans="2:19">
      <c r="B101" s="729" t="s">
        <v>1432</v>
      </c>
      <c r="C101" s="682" t="s">
        <v>1425</v>
      </c>
      <c r="D101" s="171"/>
      <c r="E101" s="167"/>
      <c r="F101" s="171"/>
      <c r="G101" s="730"/>
      <c r="H101" s="730"/>
      <c r="I101" s="730"/>
      <c r="J101" s="730"/>
      <c r="K101" s="730"/>
      <c r="L101" s="731"/>
      <c r="M101" s="601">
        <f>+SUM(L102:L108)</f>
        <v>340925.20515436237</v>
      </c>
      <c r="N101" s="182">
        <v>5</v>
      </c>
      <c r="O101" s="600">
        <f>+M101/N101</f>
        <v>68185.041030872468</v>
      </c>
    </row>
    <row r="102" spans="2:19">
      <c r="B102" s="256" t="s">
        <v>401</v>
      </c>
      <c r="C102" s="261" t="s">
        <v>784</v>
      </c>
      <c r="D102" s="257"/>
      <c r="E102" s="257"/>
      <c r="F102" s="256"/>
      <c r="G102" s="256">
        <f>0.3*3*4/2.98</f>
        <v>1.2080536912751676</v>
      </c>
      <c r="H102" s="256">
        <f>+D102*E102</f>
        <v>0</v>
      </c>
      <c r="I102" s="256">
        <v>1</v>
      </c>
      <c r="J102" s="258">
        <f t="shared" ref="J102:J108" si="101">VLOOKUP(C102,$B$5:$D$7,3,0)</f>
        <v>51752.74</v>
      </c>
      <c r="K102" s="258">
        <f t="shared" ref="K102:K108" si="102">+I102*J102</f>
        <v>51752.74</v>
      </c>
      <c r="L102" s="259">
        <f t="shared" ref="L102:L108" si="103">+K102*G102</f>
        <v>62520.088590604013</v>
      </c>
      <c r="N102" s="704"/>
    </row>
    <row r="103" spans="2:19">
      <c r="B103" s="172" t="s">
        <v>1429</v>
      </c>
      <c r="C103" s="685" t="s">
        <v>784</v>
      </c>
      <c r="D103" s="173"/>
      <c r="E103" s="173"/>
      <c r="F103" s="172"/>
      <c r="G103" s="172">
        <f>(0.17*1.2*16)/2.98</f>
        <v>1.0953020134228189</v>
      </c>
      <c r="H103" s="172">
        <f t="shared" ref="H103:H108" si="104">+D103*E103</f>
        <v>0</v>
      </c>
      <c r="I103" s="172">
        <v>1</v>
      </c>
      <c r="J103" s="174">
        <f t="shared" si="101"/>
        <v>51752.74</v>
      </c>
      <c r="K103" s="174">
        <f t="shared" si="102"/>
        <v>51752.74</v>
      </c>
      <c r="L103" s="175">
        <f t="shared" si="103"/>
        <v>56684.880322147656</v>
      </c>
      <c r="N103" s="704"/>
    </row>
    <row r="104" spans="2:19">
      <c r="B104" s="172" t="s">
        <v>1430</v>
      </c>
      <c r="C104" s="685" t="s">
        <v>784</v>
      </c>
      <c r="D104" s="173"/>
      <c r="E104" s="173"/>
      <c r="F104" s="172"/>
      <c r="G104" s="172">
        <f>(3*1.2+3*1.2+2.4*1)/2.98</f>
        <v>3.2214765100671139</v>
      </c>
      <c r="H104" s="172">
        <f t="shared" si="104"/>
        <v>0</v>
      </c>
      <c r="I104" s="172">
        <v>1</v>
      </c>
      <c r="J104" s="174">
        <f t="shared" si="101"/>
        <v>51752.74</v>
      </c>
      <c r="K104" s="174">
        <f t="shared" si="102"/>
        <v>51752.74</v>
      </c>
      <c r="L104" s="175">
        <f t="shared" si="103"/>
        <v>166720.23624161072</v>
      </c>
      <c r="N104" s="704"/>
    </row>
    <row r="105" spans="2:19">
      <c r="B105" s="172" t="s">
        <v>1372</v>
      </c>
      <c r="C105" s="685" t="s">
        <v>1355</v>
      </c>
      <c r="D105" s="173">
        <v>2</v>
      </c>
      <c r="E105" s="173">
        <v>4</v>
      </c>
      <c r="F105" s="172">
        <v>1.2</v>
      </c>
      <c r="G105" s="172">
        <f>3*2</f>
        <v>6</v>
      </c>
      <c r="H105" s="172">
        <f t="shared" si="104"/>
        <v>8</v>
      </c>
      <c r="I105" s="172">
        <f>+ROUNDUP(H105*F105*$I$9,0)</f>
        <v>3</v>
      </c>
      <c r="J105" s="174">
        <f t="shared" si="101"/>
        <v>500</v>
      </c>
      <c r="K105" s="174">
        <f t="shared" si="102"/>
        <v>1500</v>
      </c>
      <c r="L105" s="175">
        <f t="shared" si="103"/>
        <v>9000</v>
      </c>
      <c r="N105" s="704"/>
    </row>
    <row r="106" spans="2:19">
      <c r="B106" s="172" t="s">
        <v>1381</v>
      </c>
      <c r="C106" s="685" t="s">
        <v>1355</v>
      </c>
      <c r="D106" s="173">
        <v>2</v>
      </c>
      <c r="E106" s="173">
        <v>4</v>
      </c>
      <c r="F106" s="172">
        <v>1.5</v>
      </c>
      <c r="G106" s="172">
        <f>8*2</f>
        <v>16</v>
      </c>
      <c r="H106" s="172">
        <f t="shared" si="104"/>
        <v>8</v>
      </c>
      <c r="I106" s="172">
        <f>+ROUNDUP(H106*F106*$I$9,0)</f>
        <v>4</v>
      </c>
      <c r="J106" s="174">
        <f t="shared" si="101"/>
        <v>500</v>
      </c>
      <c r="K106" s="174">
        <f t="shared" si="102"/>
        <v>2000</v>
      </c>
      <c r="L106" s="175">
        <f t="shared" si="103"/>
        <v>32000</v>
      </c>
      <c r="N106" s="704"/>
    </row>
    <row r="107" spans="2:19">
      <c r="B107" s="172" t="s">
        <v>1404</v>
      </c>
      <c r="C107" s="685" t="s">
        <v>1355</v>
      </c>
      <c r="D107" s="173">
        <v>3</v>
      </c>
      <c r="E107" s="173">
        <v>3</v>
      </c>
      <c r="F107" s="172">
        <v>1.2</v>
      </c>
      <c r="G107" s="172">
        <v>4</v>
      </c>
      <c r="H107" s="172">
        <f t="shared" si="104"/>
        <v>9</v>
      </c>
      <c r="I107" s="172">
        <f>+ROUNDUP(H107*F107*$I$9,0)</f>
        <v>3</v>
      </c>
      <c r="J107" s="174">
        <f t="shared" si="101"/>
        <v>500</v>
      </c>
      <c r="K107" s="174">
        <f t="shared" si="102"/>
        <v>1500</v>
      </c>
      <c r="L107" s="175">
        <f t="shared" si="103"/>
        <v>6000</v>
      </c>
      <c r="N107" s="704"/>
    </row>
    <row r="108" spans="2:19">
      <c r="B108" s="176" t="s">
        <v>1431</v>
      </c>
      <c r="C108" s="188" t="s">
        <v>1355</v>
      </c>
      <c r="D108" s="177">
        <v>1</v>
      </c>
      <c r="E108" s="177">
        <v>4</v>
      </c>
      <c r="F108" s="176">
        <v>1.2</v>
      </c>
      <c r="G108" s="176">
        <f>4*2</f>
        <v>8</v>
      </c>
      <c r="H108" s="176">
        <f t="shared" si="104"/>
        <v>4</v>
      </c>
      <c r="I108" s="176">
        <f t="shared" ref="I108" si="105">+ROUNDUP(H108*F108*$I$9,0)</f>
        <v>2</v>
      </c>
      <c r="J108" s="178">
        <f t="shared" si="101"/>
        <v>500</v>
      </c>
      <c r="K108" s="178">
        <f t="shared" si="102"/>
        <v>1000</v>
      </c>
      <c r="L108" s="179">
        <f t="shared" si="103"/>
        <v>8000</v>
      </c>
      <c r="N108" s="704"/>
    </row>
    <row r="109" spans="2:19">
      <c r="B109" s="253" t="s">
        <v>1433</v>
      </c>
      <c r="C109" s="683"/>
      <c r="D109" s="254"/>
      <c r="E109" s="260"/>
      <c r="F109" s="254"/>
      <c r="G109" s="254"/>
      <c r="H109" s="254"/>
      <c r="I109" s="254"/>
      <c r="J109" s="254"/>
      <c r="K109" s="254"/>
      <c r="L109" s="697"/>
      <c r="M109" s="601">
        <f>+SUM(L110:L113)</f>
        <v>38675.876000000004</v>
      </c>
      <c r="N109" s="182">
        <v>1.5</v>
      </c>
      <c r="O109" s="600">
        <f>+M109/N109</f>
        <v>25783.917333333335</v>
      </c>
      <c r="S109" s="181"/>
    </row>
    <row r="110" spans="2:19">
      <c r="B110" s="256" t="s">
        <v>1434</v>
      </c>
      <c r="C110" s="261" t="s">
        <v>1355</v>
      </c>
      <c r="D110" s="257">
        <v>1</v>
      </c>
      <c r="E110" s="257">
        <v>3</v>
      </c>
      <c r="F110" s="256">
        <v>1</v>
      </c>
      <c r="G110" s="256">
        <v>6</v>
      </c>
      <c r="H110" s="256">
        <f>+D110*E110</f>
        <v>3</v>
      </c>
      <c r="I110" s="256">
        <f>+ROUNDUP(H110*F110*$I$9,0)</f>
        <v>1</v>
      </c>
      <c r="J110" s="258">
        <f t="shared" ref="J110:J113" si="106">VLOOKUP(C110,$B$5:$D$7,3,0)</f>
        <v>500</v>
      </c>
      <c r="K110" s="258">
        <f>+I110*J110</f>
        <v>500</v>
      </c>
      <c r="L110" s="259">
        <f>+K110*G110</f>
        <v>3000</v>
      </c>
      <c r="S110" s="181"/>
    </row>
    <row r="111" spans="2:19">
      <c r="B111" s="172" t="s">
        <v>1227</v>
      </c>
      <c r="C111" s="685" t="s">
        <v>1355</v>
      </c>
      <c r="D111" s="173">
        <v>3</v>
      </c>
      <c r="E111" s="173">
        <v>6</v>
      </c>
      <c r="F111" s="172">
        <v>3</v>
      </c>
      <c r="G111" s="172">
        <v>1.5</v>
      </c>
      <c r="H111" s="172">
        <f t="shared" ref="H111:H112" si="107">+D111*E111</f>
        <v>18</v>
      </c>
      <c r="I111" s="172">
        <f t="shared" ref="I111:I112" si="108">+ROUNDUP(H111*F111*$I$9,0)</f>
        <v>15</v>
      </c>
      <c r="J111" s="174">
        <f t="shared" si="106"/>
        <v>500</v>
      </c>
      <c r="K111" s="174">
        <f t="shared" ref="K111:K113" si="109">+I111*J111</f>
        <v>7500</v>
      </c>
      <c r="L111" s="175">
        <f t="shared" ref="L111:L113" si="110">+K111*G111</f>
        <v>11250</v>
      </c>
    </row>
    <row r="112" spans="2:19">
      <c r="B112" s="172"/>
      <c r="C112" s="685" t="s">
        <v>1355</v>
      </c>
      <c r="D112" s="173">
        <v>3</v>
      </c>
      <c r="E112" s="173">
        <v>6</v>
      </c>
      <c r="F112" s="172">
        <v>1.5</v>
      </c>
      <c r="G112" s="172">
        <v>1.5</v>
      </c>
      <c r="H112" s="172">
        <f t="shared" si="107"/>
        <v>18</v>
      </c>
      <c r="I112" s="172">
        <f t="shared" si="108"/>
        <v>8</v>
      </c>
      <c r="J112" s="174">
        <f t="shared" si="106"/>
        <v>500</v>
      </c>
      <c r="K112" s="174">
        <f t="shared" si="109"/>
        <v>4000</v>
      </c>
      <c r="L112" s="175">
        <f t="shared" si="110"/>
        <v>6000</v>
      </c>
    </row>
    <row r="113" spans="2:14">
      <c r="B113" s="176" t="s">
        <v>1435</v>
      </c>
      <c r="C113" s="188" t="s">
        <v>782</v>
      </c>
      <c r="D113" s="177"/>
      <c r="E113" s="177"/>
      <c r="F113" s="176"/>
      <c r="G113" s="176">
        <v>0.7</v>
      </c>
      <c r="H113" s="176"/>
      <c r="I113" s="176">
        <v>1</v>
      </c>
      <c r="J113" s="178">
        <f t="shared" si="106"/>
        <v>26322.68</v>
      </c>
      <c r="K113" s="178">
        <f t="shared" si="109"/>
        <v>26322.68</v>
      </c>
      <c r="L113" s="179">
        <f t="shared" si="110"/>
        <v>18425.876</v>
      </c>
    </row>
    <row r="114" spans="2:14"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2"/>
      <c r="N114" s="704"/>
    </row>
    <row r="115" spans="2:14">
      <c r="C115" s="166" t="s">
        <v>1436</v>
      </c>
      <c r="D115" s="167" t="s">
        <v>601</v>
      </c>
      <c r="E115" s="167" t="s">
        <v>1437</v>
      </c>
      <c r="F115" s="181"/>
      <c r="G115" s="181"/>
    </row>
    <row r="116" spans="2:14">
      <c r="C116" s="642" t="s">
        <v>1438</v>
      </c>
      <c r="D116" s="164" t="s">
        <v>66</v>
      </c>
      <c r="E116" s="189">
        <f>+O11</f>
        <v>2471.4097794822628</v>
      </c>
      <c r="F116" s="181"/>
      <c r="G116" s="181"/>
    </row>
    <row r="117" spans="2:14">
      <c r="C117" s="638" t="s">
        <v>1439</v>
      </c>
      <c r="D117" s="164" t="s">
        <v>66</v>
      </c>
      <c r="E117" s="189">
        <f>+O17</f>
        <v>55068.821745306559</v>
      </c>
      <c r="F117" s="181"/>
      <c r="G117" s="181"/>
    </row>
    <row r="118" spans="2:14">
      <c r="C118" s="638" t="s">
        <v>1440</v>
      </c>
      <c r="D118" s="164" t="s">
        <v>66</v>
      </c>
      <c r="E118" s="189">
        <f>+O25</f>
        <v>60951.378715244486</v>
      </c>
      <c r="F118" s="181"/>
      <c r="G118" s="181"/>
    </row>
    <row r="119" spans="2:14">
      <c r="C119" s="638" t="s">
        <v>1441</v>
      </c>
      <c r="D119" s="164" t="s">
        <v>66</v>
      </c>
      <c r="E119" s="189">
        <f>+O31</f>
        <v>69973.412080536917</v>
      </c>
      <c r="F119" s="181"/>
      <c r="G119" s="181"/>
    </row>
    <row r="120" spans="2:14">
      <c r="C120" s="638" t="s">
        <v>1442</v>
      </c>
      <c r="D120" s="164" t="s">
        <v>66</v>
      </c>
      <c r="E120" s="189">
        <f>+O37</f>
        <v>70843.445714285714</v>
      </c>
      <c r="F120" s="181"/>
      <c r="G120" s="181"/>
    </row>
    <row r="121" spans="2:14">
      <c r="C121" s="638" t="s">
        <v>1443</v>
      </c>
      <c r="D121" s="164" t="s">
        <v>66</v>
      </c>
      <c r="E121" s="189">
        <f>+O48</f>
        <v>62877.465999999993</v>
      </c>
    </row>
    <row r="122" spans="2:14">
      <c r="C122" s="638" t="s">
        <v>1189</v>
      </c>
      <c r="D122" s="164" t="s">
        <v>66</v>
      </c>
      <c r="E122" s="189">
        <f>+O59</f>
        <v>32975.501438159154</v>
      </c>
    </row>
    <row r="123" spans="2:14">
      <c r="C123" s="638" t="s">
        <v>1444</v>
      </c>
      <c r="D123" s="164" t="s">
        <v>66</v>
      </c>
      <c r="E123" s="189">
        <f>+O67</f>
        <v>40150.005369127517</v>
      </c>
    </row>
    <row r="124" spans="2:14">
      <c r="C124" s="638" t="s">
        <v>1445</v>
      </c>
      <c r="D124" s="164" t="s">
        <v>66</v>
      </c>
      <c r="E124" s="189">
        <f>+O75</f>
        <v>94228.958133589011</v>
      </c>
    </row>
    <row r="125" spans="2:14">
      <c r="C125" s="638" t="s">
        <v>1446</v>
      </c>
      <c r="D125" s="164" t="s">
        <v>66</v>
      </c>
      <c r="E125" s="189">
        <f>+O84</f>
        <v>92072.316554809833</v>
      </c>
    </row>
    <row r="126" spans="2:14">
      <c r="C126" s="638" t="s">
        <v>412</v>
      </c>
      <c r="D126" s="164" t="s">
        <v>66</v>
      </c>
      <c r="E126" s="189">
        <f>+O93</f>
        <v>57265.25441227229</v>
      </c>
    </row>
    <row r="127" spans="2:14">
      <c r="C127" s="638" t="s">
        <v>1447</v>
      </c>
      <c r="D127" s="164" t="s">
        <v>66</v>
      </c>
      <c r="E127" s="189">
        <f>+O101</f>
        <v>68185.041030872468</v>
      </c>
    </row>
    <row r="128" spans="2:14">
      <c r="C128" s="638" t="s">
        <v>1448</v>
      </c>
      <c r="D128" s="164" t="s">
        <v>59</v>
      </c>
      <c r="E128" s="189">
        <f>+O109</f>
        <v>25783.917333333335</v>
      </c>
    </row>
    <row r="130" spans="2:12">
      <c r="G130" s="16"/>
    </row>
    <row r="131" spans="2:12">
      <c r="B131" s="166" t="s">
        <v>1449</v>
      </c>
      <c r="C131" s="166"/>
      <c r="G131" s="639"/>
      <c r="H131" s="16"/>
    </row>
    <row r="132" spans="2:12">
      <c r="B132" s="161" t="s">
        <v>1450</v>
      </c>
      <c r="C132" s="914" t="s">
        <v>1834</v>
      </c>
      <c r="E132" s="915">
        <v>45588</v>
      </c>
      <c r="F132" s="196"/>
      <c r="G132" s="639"/>
      <c r="H132" s="16"/>
    </row>
    <row r="133" spans="2:12">
      <c r="E133" s="190"/>
      <c r="G133" s="164"/>
      <c r="H133" s="16"/>
    </row>
    <row r="134" spans="2:12">
      <c r="D134" s="191"/>
      <c r="E134" s="191"/>
    </row>
    <row r="135" spans="2:12">
      <c r="B135" s="163" t="s">
        <v>1451</v>
      </c>
      <c r="C135" s="163"/>
      <c r="D135" s="167" t="s">
        <v>1452</v>
      </c>
      <c r="E135" s="167" t="s">
        <v>1453</v>
      </c>
      <c r="F135" s="167" t="s">
        <v>1454</v>
      </c>
      <c r="G135" s="167" t="s">
        <v>46</v>
      </c>
    </row>
    <row r="136" spans="2:12">
      <c r="B136" s="598" t="s">
        <v>1780</v>
      </c>
      <c r="C136" s="598"/>
      <c r="D136" s="480">
        <v>6500</v>
      </c>
      <c r="E136" s="480">
        <f>+D152</f>
        <v>344</v>
      </c>
      <c r="F136" s="480">
        <v>1</v>
      </c>
      <c r="G136" s="480">
        <f t="shared" ref="G136:G143" si="111">+D136*E136*F136</f>
        <v>2236000</v>
      </c>
    </row>
    <row r="137" spans="2:12">
      <c r="B137" s="598" t="s">
        <v>1248</v>
      </c>
      <c r="C137" s="598"/>
      <c r="D137" s="480">
        <v>6500</v>
      </c>
      <c r="E137" s="480">
        <f>+D153</f>
        <v>281</v>
      </c>
      <c r="F137" s="480">
        <v>1</v>
      </c>
      <c r="G137" s="480">
        <f t="shared" si="111"/>
        <v>1826500</v>
      </c>
    </row>
    <row r="138" spans="2:12">
      <c r="B138" s="598" t="s">
        <v>1835</v>
      </c>
      <c r="C138" s="598"/>
      <c r="D138" s="480">
        <v>1500</v>
      </c>
      <c r="E138" s="480">
        <f>+E137</f>
        <v>281</v>
      </c>
      <c r="F138" s="480">
        <v>2</v>
      </c>
      <c r="G138" s="480">
        <f t="shared" si="111"/>
        <v>843000</v>
      </c>
    </row>
    <row r="139" spans="2:12">
      <c r="B139" s="598" t="s">
        <v>1455</v>
      </c>
      <c r="C139" s="598"/>
      <c r="D139" s="16">
        <v>6500</v>
      </c>
      <c r="E139" s="480">
        <f>+D154</f>
        <v>282</v>
      </c>
      <c r="F139" s="480">
        <v>3</v>
      </c>
      <c r="G139" s="480">
        <f t="shared" si="111"/>
        <v>5499000</v>
      </c>
    </row>
    <row r="140" spans="2:12">
      <c r="B140" s="598" t="s">
        <v>1836</v>
      </c>
      <c r="C140" s="598"/>
      <c r="D140" s="16">
        <v>6500</v>
      </c>
      <c r="E140" s="480">
        <f>+D157</f>
        <v>236</v>
      </c>
      <c r="F140" s="480">
        <v>1</v>
      </c>
      <c r="G140" s="480">
        <f t="shared" ref="G140:G141" si="112">+D140*E140*F140</f>
        <v>1534000</v>
      </c>
    </row>
    <row r="141" spans="2:12">
      <c r="B141" s="598" t="s">
        <v>507</v>
      </c>
      <c r="C141" s="598"/>
      <c r="D141" s="16">
        <v>6500</v>
      </c>
      <c r="E141" s="480">
        <f>+D158</f>
        <v>28</v>
      </c>
      <c r="F141" s="480">
        <v>1</v>
      </c>
      <c r="G141" s="480">
        <f t="shared" si="112"/>
        <v>182000</v>
      </c>
    </row>
    <row r="142" spans="2:12">
      <c r="B142" s="598" t="s">
        <v>1456</v>
      </c>
      <c r="C142" s="598"/>
      <c r="D142" s="16">
        <v>6500</v>
      </c>
      <c r="E142" s="16">
        <f>+E139</f>
        <v>282</v>
      </c>
      <c r="F142" s="480">
        <v>1</v>
      </c>
      <c r="G142" s="480">
        <f t="shared" si="111"/>
        <v>1833000</v>
      </c>
      <c r="J142" s="164">
        <v>4</v>
      </c>
      <c r="K142" s="164"/>
      <c r="L142" s="164"/>
    </row>
    <row r="143" spans="2:12">
      <c r="B143" s="136" t="s">
        <v>1457</v>
      </c>
      <c r="C143" s="136"/>
      <c r="D143" s="16">
        <v>1500</v>
      </c>
      <c r="E143" s="16">
        <f>+E139</f>
        <v>282</v>
      </c>
      <c r="F143" s="16">
        <f>+SUM(F139:F140)</f>
        <v>4</v>
      </c>
      <c r="G143" s="480">
        <f t="shared" si="111"/>
        <v>1692000</v>
      </c>
      <c r="J143" s="164" t="s">
        <v>1458</v>
      </c>
      <c r="K143" s="164" t="s">
        <v>1459</v>
      </c>
      <c r="L143" s="164" t="s">
        <v>1460</v>
      </c>
    </row>
    <row r="144" spans="2:12">
      <c r="D144" s="16"/>
      <c r="E144" s="16"/>
      <c r="F144" s="16"/>
      <c r="G144" s="113">
        <f>SUM(G136:G143)</f>
        <v>15645500</v>
      </c>
      <c r="J144" s="543">
        <f>+G144*J142</f>
        <v>62582000</v>
      </c>
      <c r="K144" s="164">
        <v>8</v>
      </c>
      <c r="L144" s="543">
        <f>+J144/K144</f>
        <v>7822750</v>
      </c>
    </row>
    <row r="145" spans="2:12">
      <c r="D145" s="16"/>
      <c r="E145" s="16"/>
      <c r="F145" s="640"/>
      <c r="G145" s="113">
        <f>+L144</f>
        <v>7822750</v>
      </c>
      <c r="J145" s="16"/>
      <c r="L145" s="16"/>
    </row>
    <row r="146" spans="2:12">
      <c r="B146" s="136" t="s">
        <v>1461</v>
      </c>
      <c r="C146" s="136"/>
      <c r="D146" s="16">
        <v>250000</v>
      </c>
      <c r="E146" s="16">
        <v>2</v>
      </c>
      <c r="F146" s="600">
        <v>1</v>
      </c>
      <c r="G146" s="480">
        <f>+D146*E146*F146</f>
        <v>500000</v>
      </c>
    </row>
    <row r="147" spans="2:12">
      <c r="B147" s="136" t="s">
        <v>1462</v>
      </c>
      <c r="C147" s="136"/>
      <c r="D147" s="16">
        <v>250000</v>
      </c>
      <c r="E147" s="16">
        <v>2</v>
      </c>
      <c r="F147" s="600">
        <v>1</v>
      </c>
      <c r="G147" s="480">
        <f>+D147*E147*F147</f>
        <v>500000</v>
      </c>
    </row>
    <row r="148" spans="2:12">
      <c r="G148" s="641">
        <f>SUM(G145:G147)</f>
        <v>8822750</v>
      </c>
    </row>
    <row r="150" spans="2:12">
      <c r="E150" s="599"/>
      <c r="F150" s="599"/>
      <c r="G150" s="599"/>
      <c r="H150" s="916" t="s">
        <v>1331</v>
      </c>
      <c r="I150" s="599" t="s">
        <v>4</v>
      </c>
    </row>
    <row r="151" spans="2:12">
      <c r="D151" s="599" t="s">
        <v>4</v>
      </c>
      <c r="E151" s="599"/>
      <c r="F151" s="599"/>
      <c r="G151" s="599"/>
      <c r="H151" s="546">
        <v>30</v>
      </c>
      <c r="I151" s="599"/>
    </row>
    <row r="152" spans="2:12">
      <c r="B152" s="161" t="s">
        <v>1837</v>
      </c>
      <c r="D152" s="913">
        <v>344</v>
      </c>
      <c r="G152" s="161" t="s">
        <v>1840</v>
      </c>
      <c r="H152" s="137">
        <v>28</v>
      </c>
      <c r="I152" s="917">
        <f>+D152</f>
        <v>344</v>
      </c>
      <c r="J152" s="405"/>
    </row>
    <row r="153" spans="2:12" ht="13.15" customHeight="1">
      <c r="B153" s="161" t="s">
        <v>1463</v>
      </c>
      <c r="D153" s="16">
        <v>281</v>
      </c>
      <c r="G153" s="161" t="s">
        <v>1841</v>
      </c>
      <c r="H153" s="137">
        <v>28</v>
      </c>
      <c r="I153" s="917">
        <f t="shared" ref="I153:I159" si="113">+D153</f>
        <v>281</v>
      </c>
      <c r="J153" s="405"/>
    </row>
    <row r="154" spans="2:12">
      <c r="B154" s="161" t="s">
        <v>1464</v>
      </c>
      <c r="D154" s="16">
        <v>282</v>
      </c>
      <c r="G154" s="161" t="s">
        <v>1842</v>
      </c>
      <c r="H154" s="137">
        <v>28</v>
      </c>
      <c r="I154" s="917">
        <f t="shared" si="113"/>
        <v>282</v>
      </c>
      <c r="J154" s="405"/>
    </row>
    <row r="155" spans="2:12">
      <c r="B155" s="161" t="s">
        <v>1465</v>
      </c>
      <c r="D155" s="16">
        <v>282</v>
      </c>
      <c r="G155" s="161" t="s">
        <v>1843</v>
      </c>
      <c r="H155" s="137">
        <v>21</v>
      </c>
      <c r="I155" s="917">
        <f t="shared" si="113"/>
        <v>282</v>
      </c>
      <c r="J155" s="405"/>
    </row>
    <row r="156" spans="2:12">
      <c r="B156" s="161" t="s">
        <v>1466</v>
      </c>
      <c r="D156" s="16">
        <v>282</v>
      </c>
      <c r="G156" s="161" t="s">
        <v>1844</v>
      </c>
      <c r="H156" s="137">
        <v>21</v>
      </c>
      <c r="I156" s="917">
        <f t="shared" si="113"/>
        <v>282</v>
      </c>
      <c r="J156" s="405"/>
    </row>
    <row r="157" spans="2:12">
      <c r="B157" s="161" t="s">
        <v>1467</v>
      </c>
      <c r="D157" s="16">
        <v>236</v>
      </c>
      <c r="G157" s="161" t="s">
        <v>1845</v>
      </c>
      <c r="H157" s="137">
        <v>21</v>
      </c>
      <c r="I157" s="917">
        <f t="shared" si="113"/>
        <v>236</v>
      </c>
      <c r="J157" s="405"/>
    </row>
    <row r="158" spans="2:12">
      <c r="B158" s="161" t="s">
        <v>1838</v>
      </c>
      <c r="D158" s="16">
        <v>28</v>
      </c>
      <c r="G158" s="161" t="s">
        <v>1846</v>
      </c>
      <c r="H158" s="137">
        <v>14</v>
      </c>
      <c r="I158" s="917">
        <f t="shared" si="113"/>
        <v>28</v>
      </c>
      <c r="J158" s="405"/>
    </row>
    <row r="159" spans="2:12">
      <c r="B159" s="161" t="s">
        <v>1839</v>
      </c>
      <c r="D159" s="16">
        <v>28</v>
      </c>
      <c r="G159" s="161" t="s">
        <v>1839</v>
      </c>
      <c r="H159" s="137">
        <v>7</v>
      </c>
      <c r="I159" s="917">
        <f t="shared" si="113"/>
        <v>28</v>
      </c>
      <c r="J159" s="405"/>
    </row>
    <row r="160" spans="2:12">
      <c r="H160" s="16">
        <f>SUM(H152:H159)</f>
        <v>168</v>
      </c>
    </row>
    <row r="161" spans="8:9">
      <c r="H161" s="113">
        <f>+H160/28</f>
        <v>6</v>
      </c>
      <c r="I161" s="161" t="s">
        <v>1468</v>
      </c>
    </row>
    <row r="162" spans="8:9">
      <c r="H162" s="16">
        <v>6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7B57-FCF4-46D1-85E9-FD2CA9A0FB46}">
  <sheetPr>
    <tabColor rgb="FF92D050"/>
  </sheetPr>
  <dimension ref="A1:R237"/>
  <sheetViews>
    <sheetView workbookViewId="0"/>
  </sheetViews>
  <sheetFormatPr defaultColWidth="11.453125" defaultRowHeight="13"/>
  <cols>
    <col min="1" max="1" width="12.453125" style="918" bestFit="1" customWidth="1"/>
    <col min="2" max="2" width="31.7265625" style="918" bestFit="1" customWidth="1"/>
    <col min="3" max="3" width="5.81640625" style="919" bestFit="1" customWidth="1"/>
    <col min="4" max="4" width="7" style="918" bestFit="1" customWidth="1"/>
    <col min="5" max="6" width="6.54296875" style="918" bestFit="1" customWidth="1"/>
    <col min="7" max="7" width="6.54296875" style="920" bestFit="1" customWidth="1"/>
    <col min="8" max="8" width="8.7265625" style="918" bestFit="1" customWidth="1"/>
    <col min="9" max="10" width="6.54296875" style="918" bestFit="1" customWidth="1"/>
    <col min="11" max="11" width="11.453125" style="918"/>
    <col min="12" max="14" width="7.54296875" style="918" bestFit="1" customWidth="1"/>
    <col min="15" max="15" width="12.81640625" style="918" bestFit="1" customWidth="1"/>
    <col min="16" max="16" width="10" style="918" bestFit="1" customWidth="1"/>
    <col min="17" max="17" width="9.1796875" style="918" bestFit="1" customWidth="1"/>
    <col min="18" max="18" width="15.1796875" style="918" bestFit="1" customWidth="1"/>
    <col min="19" max="19" width="14.1796875" style="918" bestFit="1" customWidth="1"/>
    <col min="20" max="20" width="11.453125" style="918"/>
    <col min="21" max="21" width="13.1796875" style="918" bestFit="1" customWidth="1"/>
    <col min="22" max="16384" width="11.453125" style="918"/>
  </cols>
  <sheetData>
    <row r="1" spans="1:18">
      <c r="L1" s="921" t="s">
        <v>1849</v>
      </c>
      <c r="M1" s="921" t="s">
        <v>1850</v>
      </c>
      <c r="N1" s="921" t="s">
        <v>1851</v>
      </c>
      <c r="O1" s="921" t="s">
        <v>1852</v>
      </c>
      <c r="P1" s="922" t="s">
        <v>1853</v>
      </c>
      <c r="R1" s="922"/>
    </row>
    <row r="2" spans="1:18">
      <c r="A2" s="923" t="s">
        <v>1854</v>
      </c>
      <c r="B2" s="923" t="s">
        <v>1855</v>
      </c>
      <c r="C2" s="924" t="s">
        <v>1856</v>
      </c>
      <c r="D2" s="924" t="s">
        <v>381</v>
      </c>
      <c r="E2" s="924" t="s">
        <v>215</v>
      </c>
      <c r="F2" s="924" t="s">
        <v>4</v>
      </c>
      <c r="G2" s="925" t="s">
        <v>1472</v>
      </c>
      <c r="H2" s="923" t="s">
        <v>13</v>
      </c>
      <c r="I2" s="924" t="s">
        <v>1857</v>
      </c>
      <c r="J2" s="924" t="s">
        <v>46</v>
      </c>
      <c r="L2" s="921" t="s">
        <v>363</v>
      </c>
      <c r="M2" s="921" t="s">
        <v>367</v>
      </c>
      <c r="N2" s="921" t="s">
        <v>33</v>
      </c>
      <c r="O2" s="921" t="s">
        <v>1858</v>
      </c>
      <c r="P2" s="921" t="s">
        <v>51</v>
      </c>
    </row>
    <row r="3" spans="1:18">
      <c r="A3" s="926"/>
      <c r="B3" s="927"/>
      <c r="C3" s="928"/>
      <c r="D3" s="928"/>
      <c r="E3" s="928"/>
      <c r="F3" s="928"/>
      <c r="G3" s="929"/>
      <c r="H3" s="927"/>
      <c r="I3" s="928"/>
      <c r="J3" s="930"/>
      <c r="L3" s="921">
        <f>L237</f>
        <v>819</v>
      </c>
      <c r="M3" s="921">
        <f>M237</f>
        <v>612</v>
      </c>
      <c r="N3" s="921">
        <f>N237</f>
        <v>636</v>
      </c>
      <c r="O3" s="921">
        <f>O237</f>
        <v>24</v>
      </c>
      <c r="P3" s="921">
        <f>P237</f>
        <v>195</v>
      </c>
      <c r="Q3" s="922">
        <f>+SUM(L3:P3)</f>
        <v>2286</v>
      </c>
    </row>
    <row r="4" spans="1:18">
      <c r="A4" s="931" t="s">
        <v>1739</v>
      </c>
      <c r="B4" s="932"/>
      <c r="C4" s="933"/>
      <c r="D4" s="932"/>
      <c r="E4" s="932"/>
      <c r="F4" s="932"/>
      <c r="G4" s="934"/>
      <c r="H4" s="932"/>
      <c r="I4" s="932"/>
      <c r="J4" s="935"/>
    </row>
    <row r="5" spans="1:18">
      <c r="A5" s="936" t="s">
        <v>383</v>
      </c>
      <c r="B5" s="937" t="s">
        <v>1859</v>
      </c>
      <c r="C5" s="938" t="s">
        <v>363</v>
      </c>
      <c r="D5" s="938">
        <v>1.41</v>
      </c>
      <c r="E5" s="938">
        <f>3.05-0.32-(0.5-0.12)</f>
        <v>2.35</v>
      </c>
      <c r="F5" s="937">
        <f t="shared" ref="F5:F22" si="0">+D5*E5</f>
        <v>3.3134999999999999</v>
      </c>
      <c r="G5" s="939">
        <v>0</v>
      </c>
      <c r="H5" s="937">
        <f>+F5-G5</f>
        <v>3.3134999999999999</v>
      </c>
      <c r="I5" s="937">
        <v>3</v>
      </c>
      <c r="J5" s="940">
        <f t="shared" ref="J5:J22" si="1">+H5*I5</f>
        <v>9.9405000000000001</v>
      </c>
      <c r="L5" s="918">
        <f t="shared" ref="L5:L22" si="2">IF(C5=$L$2,J5,0)</f>
        <v>9.9405000000000001</v>
      </c>
      <c r="M5" s="918">
        <f t="shared" ref="M5:M22" si="3">IF(C5=$M$2,J5,0)</f>
        <v>0</v>
      </c>
      <c r="N5" s="918">
        <f t="shared" ref="N5:N22" si="4">IF(C5=$N$2,J5,0)</f>
        <v>0</v>
      </c>
      <c r="O5" s="918">
        <f t="shared" ref="O5:O22" si="5">IF(C5=$O$2,J5,0)</f>
        <v>0</v>
      </c>
      <c r="P5" s="918">
        <f t="shared" ref="P5" si="6">IF(C5=$P$2,J5,0)</f>
        <v>0</v>
      </c>
      <c r="Q5" s="918">
        <f>+SUM(L5:P5)-J5</f>
        <v>0</v>
      </c>
    </row>
    <row r="6" spans="1:18">
      <c r="A6" s="941" t="s">
        <v>384</v>
      </c>
      <c r="B6" s="942" t="s">
        <v>1859</v>
      </c>
      <c r="C6" s="943" t="s">
        <v>363</v>
      </c>
      <c r="D6" s="943">
        <v>4.49</v>
      </c>
      <c r="E6" s="943">
        <f>3.05-0.32</f>
        <v>2.73</v>
      </c>
      <c r="F6" s="942">
        <f t="shared" si="0"/>
        <v>12.2577</v>
      </c>
      <c r="G6" s="944">
        <v>0</v>
      </c>
      <c r="H6" s="942">
        <f>+F6-G6</f>
        <v>12.2577</v>
      </c>
      <c r="I6" s="942">
        <v>3</v>
      </c>
      <c r="J6" s="945">
        <f t="shared" si="1"/>
        <v>36.773099999999999</v>
      </c>
      <c r="L6" s="918">
        <f t="shared" si="2"/>
        <v>36.773099999999999</v>
      </c>
      <c r="M6" s="918">
        <f t="shared" si="3"/>
        <v>0</v>
      </c>
      <c r="N6" s="918">
        <f t="shared" si="4"/>
        <v>0</v>
      </c>
      <c r="O6" s="918">
        <f t="shared" si="5"/>
        <v>0</v>
      </c>
      <c r="P6" s="918">
        <f>IF(C6=$P$2,J6,0)</f>
        <v>0</v>
      </c>
      <c r="Q6" s="918">
        <f>+SUM(L6:P6)-J6</f>
        <v>0</v>
      </c>
    </row>
    <row r="7" spans="1:18">
      <c r="A7" s="941" t="s">
        <v>385</v>
      </c>
      <c r="B7" s="942" t="s">
        <v>1860</v>
      </c>
      <c r="C7" s="943" t="s">
        <v>1858</v>
      </c>
      <c r="D7" s="943">
        <v>5.15</v>
      </c>
      <c r="E7" s="943">
        <f>3.05-0.32</f>
        <v>2.73</v>
      </c>
      <c r="F7" s="942">
        <f t="shared" si="0"/>
        <v>14.059500000000002</v>
      </c>
      <c r="G7" s="944">
        <v>0</v>
      </c>
      <c r="H7" s="942">
        <f>+F7-G7</f>
        <v>14.059500000000002</v>
      </c>
      <c r="I7" s="942">
        <v>1</v>
      </c>
      <c r="J7" s="945">
        <f t="shared" si="1"/>
        <v>14.059500000000002</v>
      </c>
      <c r="L7" s="918">
        <f t="shared" si="2"/>
        <v>0</v>
      </c>
      <c r="M7" s="918">
        <f t="shared" si="3"/>
        <v>0</v>
      </c>
      <c r="N7" s="918">
        <f t="shared" si="4"/>
        <v>0</v>
      </c>
      <c r="O7" s="918">
        <f t="shared" si="5"/>
        <v>14.059500000000002</v>
      </c>
      <c r="P7" s="918">
        <f t="shared" ref="P7:P72" si="7">IF(C7=$P$2,J7,0)</f>
        <v>0</v>
      </c>
      <c r="Q7" s="918">
        <f t="shared" ref="Q7:Q70" si="8">+SUM(L7:P7)-J7</f>
        <v>0</v>
      </c>
    </row>
    <row r="8" spans="1:18">
      <c r="A8" s="941" t="s">
        <v>386</v>
      </c>
      <c r="B8" s="942" t="s">
        <v>1860</v>
      </c>
      <c r="C8" s="943" t="s">
        <v>1858</v>
      </c>
      <c r="D8" s="943">
        <v>3.6</v>
      </c>
      <c r="E8" s="943">
        <f>3.05-0.32-(0.3-0.12)</f>
        <v>2.5499999999999998</v>
      </c>
      <c r="F8" s="942">
        <f t="shared" si="0"/>
        <v>9.18</v>
      </c>
      <c r="G8" s="944">
        <v>0</v>
      </c>
      <c r="H8" s="942">
        <f>+F8-G8</f>
        <v>9.18</v>
      </c>
      <c r="I8" s="942">
        <v>1</v>
      </c>
      <c r="J8" s="945">
        <f t="shared" si="1"/>
        <v>9.18</v>
      </c>
      <c r="L8" s="918">
        <f t="shared" si="2"/>
        <v>0</v>
      </c>
      <c r="M8" s="918">
        <f t="shared" si="3"/>
        <v>0</v>
      </c>
      <c r="N8" s="918">
        <f t="shared" si="4"/>
        <v>0</v>
      </c>
      <c r="O8" s="918">
        <f t="shared" si="5"/>
        <v>9.18</v>
      </c>
      <c r="P8" s="918">
        <f t="shared" si="7"/>
        <v>0</v>
      </c>
      <c r="Q8" s="918">
        <f t="shared" si="8"/>
        <v>0</v>
      </c>
    </row>
    <row r="9" spans="1:18">
      <c r="A9" s="941" t="s">
        <v>1861</v>
      </c>
      <c r="B9" s="942" t="s">
        <v>1862</v>
      </c>
      <c r="C9" s="943" t="s">
        <v>33</v>
      </c>
      <c r="D9" s="943">
        <v>3.2</v>
      </c>
      <c r="E9" s="943">
        <f>3.05-0.32</f>
        <v>2.73</v>
      </c>
      <c r="F9" s="942">
        <f t="shared" si="0"/>
        <v>8.7360000000000007</v>
      </c>
      <c r="G9" s="944">
        <v>0</v>
      </c>
      <c r="H9" s="942">
        <f t="shared" ref="H9:H22" si="9">+F9-G9</f>
        <v>8.7360000000000007</v>
      </c>
      <c r="I9" s="942">
        <v>1</v>
      </c>
      <c r="J9" s="945">
        <f t="shared" si="1"/>
        <v>8.7360000000000007</v>
      </c>
      <c r="L9" s="918">
        <f t="shared" si="2"/>
        <v>0</v>
      </c>
      <c r="M9" s="918">
        <f t="shared" si="3"/>
        <v>0</v>
      </c>
      <c r="N9" s="918">
        <f t="shared" si="4"/>
        <v>8.7360000000000007</v>
      </c>
      <c r="O9" s="918">
        <f t="shared" si="5"/>
        <v>0</v>
      </c>
      <c r="P9" s="918">
        <f t="shared" si="7"/>
        <v>0</v>
      </c>
      <c r="Q9" s="918">
        <f t="shared" si="8"/>
        <v>0</v>
      </c>
    </row>
    <row r="10" spans="1:18">
      <c r="A10" s="941" t="s">
        <v>1863</v>
      </c>
      <c r="B10" s="942" t="s">
        <v>1862</v>
      </c>
      <c r="C10" s="943" t="s">
        <v>33</v>
      </c>
      <c r="D10" s="943">
        <v>1.95</v>
      </c>
      <c r="E10" s="943">
        <f>3.05-0.32</f>
        <v>2.73</v>
      </c>
      <c r="F10" s="942">
        <f t="shared" si="0"/>
        <v>5.3235000000000001</v>
      </c>
      <c r="G10" s="944">
        <v>0</v>
      </c>
      <c r="H10" s="942">
        <f t="shared" si="9"/>
        <v>5.3235000000000001</v>
      </c>
      <c r="I10" s="942">
        <v>1</v>
      </c>
      <c r="J10" s="945">
        <f t="shared" si="1"/>
        <v>5.3235000000000001</v>
      </c>
      <c r="L10" s="918">
        <f t="shared" si="2"/>
        <v>0</v>
      </c>
      <c r="M10" s="918">
        <f t="shared" si="3"/>
        <v>0</v>
      </c>
      <c r="N10" s="918">
        <f t="shared" si="4"/>
        <v>5.3235000000000001</v>
      </c>
      <c r="O10" s="918">
        <f t="shared" si="5"/>
        <v>0</v>
      </c>
      <c r="P10" s="918">
        <f t="shared" si="7"/>
        <v>0</v>
      </c>
      <c r="Q10" s="918">
        <f t="shared" si="8"/>
        <v>0</v>
      </c>
    </row>
    <row r="11" spans="1:18">
      <c r="A11" s="941" t="s">
        <v>1864</v>
      </c>
      <c r="B11" s="942" t="s">
        <v>1865</v>
      </c>
      <c r="C11" s="943" t="s">
        <v>33</v>
      </c>
      <c r="D11" s="943">
        <v>3.85</v>
      </c>
      <c r="E11" s="943">
        <f>3.05-0.32</f>
        <v>2.73</v>
      </c>
      <c r="F11" s="942">
        <f t="shared" si="0"/>
        <v>10.5105</v>
      </c>
      <c r="G11" s="944">
        <v>0</v>
      </c>
      <c r="H11" s="942">
        <f t="shared" si="9"/>
        <v>10.5105</v>
      </c>
      <c r="I11" s="942">
        <v>1</v>
      </c>
      <c r="J11" s="945">
        <f t="shared" si="1"/>
        <v>10.5105</v>
      </c>
      <c r="L11" s="918">
        <f t="shared" si="2"/>
        <v>0</v>
      </c>
      <c r="M11" s="918">
        <f t="shared" si="3"/>
        <v>0</v>
      </c>
      <c r="N11" s="918">
        <f t="shared" si="4"/>
        <v>10.5105</v>
      </c>
      <c r="O11" s="918">
        <f t="shared" si="5"/>
        <v>0</v>
      </c>
      <c r="P11" s="918">
        <f t="shared" si="7"/>
        <v>0</v>
      </c>
      <c r="Q11" s="918">
        <f t="shared" si="8"/>
        <v>0</v>
      </c>
    </row>
    <row r="12" spans="1:18">
      <c r="A12" s="941" t="s">
        <v>1866</v>
      </c>
      <c r="B12" s="942" t="s">
        <v>1867</v>
      </c>
      <c r="C12" s="943" t="s">
        <v>33</v>
      </c>
      <c r="D12" s="943">
        <v>1.2</v>
      </c>
      <c r="E12" s="943">
        <f>3.05-0.32-(0.5-0.12)</f>
        <v>2.35</v>
      </c>
      <c r="F12" s="942">
        <f t="shared" si="0"/>
        <v>2.82</v>
      </c>
      <c r="G12" s="944">
        <v>0</v>
      </c>
      <c r="H12" s="942">
        <f t="shared" si="9"/>
        <v>2.82</v>
      </c>
      <c r="I12" s="942">
        <v>1</v>
      </c>
      <c r="J12" s="945">
        <f t="shared" si="1"/>
        <v>2.82</v>
      </c>
      <c r="L12" s="918">
        <f t="shared" si="2"/>
        <v>0</v>
      </c>
      <c r="M12" s="918">
        <f t="shared" si="3"/>
        <v>0</v>
      </c>
      <c r="N12" s="918">
        <f t="shared" si="4"/>
        <v>2.82</v>
      </c>
      <c r="O12" s="918">
        <f t="shared" si="5"/>
        <v>0</v>
      </c>
      <c r="P12" s="918">
        <f t="shared" si="7"/>
        <v>0</v>
      </c>
      <c r="Q12" s="918">
        <f t="shared" si="8"/>
        <v>0</v>
      </c>
    </row>
    <row r="13" spans="1:18">
      <c r="A13" s="941" t="s">
        <v>1868</v>
      </c>
      <c r="B13" s="942" t="s">
        <v>1869</v>
      </c>
      <c r="C13" s="943" t="s">
        <v>33</v>
      </c>
      <c r="D13" s="943">
        <v>1.95</v>
      </c>
      <c r="E13" s="943">
        <f>3.05-0.32</f>
        <v>2.73</v>
      </c>
      <c r="F13" s="942">
        <f t="shared" si="0"/>
        <v>5.3235000000000001</v>
      </c>
      <c r="G13" s="944">
        <v>0</v>
      </c>
      <c r="H13" s="942">
        <f t="shared" si="9"/>
        <v>5.3235000000000001</v>
      </c>
      <c r="I13" s="942">
        <v>1</v>
      </c>
      <c r="J13" s="945">
        <f t="shared" si="1"/>
        <v>5.3235000000000001</v>
      </c>
      <c r="L13" s="918">
        <f t="shared" si="2"/>
        <v>0</v>
      </c>
      <c r="M13" s="918">
        <f t="shared" si="3"/>
        <v>0</v>
      </c>
      <c r="N13" s="918">
        <f t="shared" si="4"/>
        <v>5.3235000000000001</v>
      </c>
      <c r="O13" s="918">
        <f t="shared" si="5"/>
        <v>0</v>
      </c>
      <c r="P13" s="918">
        <f t="shared" si="7"/>
        <v>0</v>
      </c>
      <c r="Q13" s="918">
        <f t="shared" si="8"/>
        <v>0</v>
      </c>
    </row>
    <row r="14" spans="1:18">
      <c r="A14" s="941" t="s">
        <v>1870</v>
      </c>
      <c r="B14" s="942" t="s">
        <v>1871</v>
      </c>
      <c r="C14" s="943" t="s">
        <v>363</v>
      </c>
      <c r="D14" s="943">
        <v>1.95</v>
      </c>
      <c r="E14" s="943">
        <f>3.05-0.32</f>
        <v>2.73</v>
      </c>
      <c r="F14" s="942">
        <f t="shared" si="0"/>
        <v>5.3235000000000001</v>
      </c>
      <c r="G14" s="944">
        <v>0</v>
      </c>
      <c r="H14" s="942">
        <f t="shared" si="9"/>
        <v>5.3235000000000001</v>
      </c>
      <c r="I14" s="942">
        <v>2</v>
      </c>
      <c r="J14" s="945">
        <f t="shared" si="1"/>
        <v>10.647</v>
      </c>
      <c r="L14" s="918">
        <f t="shared" si="2"/>
        <v>10.647</v>
      </c>
      <c r="M14" s="918">
        <f t="shared" si="3"/>
        <v>0</v>
      </c>
      <c r="N14" s="918">
        <f t="shared" si="4"/>
        <v>0</v>
      </c>
      <c r="O14" s="918">
        <f t="shared" si="5"/>
        <v>0</v>
      </c>
      <c r="P14" s="918">
        <f t="shared" si="7"/>
        <v>0</v>
      </c>
      <c r="Q14" s="918">
        <f t="shared" si="8"/>
        <v>0</v>
      </c>
    </row>
    <row r="15" spans="1:18">
      <c r="A15" s="941" t="s">
        <v>1872</v>
      </c>
      <c r="B15" s="942" t="s">
        <v>1873</v>
      </c>
      <c r="C15" s="943" t="s">
        <v>33</v>
      </c>
      <c r="D15" s="943">
        <v>2.16</v>
      </c>
      <c r="E15" s="943">
        <f>3.05-0.32-(0.5-0.12)</f>
        <v>2.35</v>
      </c>
      <c r="F15" s="942">
        <f t="shared" si="0"/>
        <v>5.0760000000000005</v>
      </c>
      <c r="G15" s="944">
        <v>0</v>
      </c>
      <c r="H15" s="942">
        <f t="shared" si="9"/>
        <v>5.0760000000000005</v>
      </c>
      <c r="I15" s="942">
        <v>1</v>
      </c>
      <c r="J15" s="945">
        <f t="shared" si="1"/>
        <v>5.0760000000000005</v>
      </c>
      <c r="L15" s="918">
        <f t="shared" si="2"/>
        <v>0</v>
      </c>
      <c r="M15" s="918">
        <f t="shared" si="3"/>
        <v>0</v>
      </c>
      <c r="N15" s="918">
        <f t="shared" si="4"/>
        <v>5.0760000000000005</v>
      </c>
      <c r="O15" s="918">
        <f t="shared" si="5"/>
        <v>0</v>
      </c>
      <c r="P15" s="918">
        <f t="shared" si="7"/>
        <v>0</v>
      </c>
      <c r="Q15" s="918">
        <f t="shared" si="8"/>
        <v>0</v>
      </c>
    </row>
    <row r="16" spans="1:18">
      <c r="A16" s="941" t="s">
        <v>1874</v>
      </c>
      <c r="B16" s="942" t="s">
        <v>1875</v>
      </c>
      <c r="C16" s="943" t="s">
        <v>33</v>
      </c>
      <c r="D16" s="943">
        <v>2.16</v>
      </c>
      <c r="E16" s="943">
        <f>3.05-0.32</f>
        <v>2.73</v>
      </c>
      <c r="F16" s="942">
        <f t="shared" si="0"/>
        <v>5.8968000000000007</v>
      </c>
      <c r="G16" s="944">
        <v>0</v>
      </c>
      <c r="H16" s="942">
        <f t="shared" si="9"/>
        <v>5.8968000000000007</v>
      </c>
      <c r="I16" s="942">
        <v>1</v>
      </c>
      <c r="J16" s="945">
        <f t="shared" si="1"/>
        <v>5.8968000000000007</v>
      </c>
      <c r="L16" s="918">
        <f t="shared" si="2"/>
        <v>0</v>
      </c>
      <c r="M16" s="918">
        <f t="shared" si="3"/>
        <v>0</v>
      </c>
      <c r="N16" s="918">
        <f t="shared" si="4"/>
        <v>5.8968000000000007</v>
      </c>
      <c r="O16" s="918">
        <f t="shared" si="5"/>
        <v>0</v>
      </c>
      <c r="P16" s="918">
        <f t="shared" si="7"/>
        <v>0</v>
      </c>
      <c r="Q16" s="918">
        <f t="shared" si="8"/>
        <v>0</v>
      </c>
    </row>
    <row r="17" spans="1:17">
      <c r="A17" s="941" t="s">
        <v>1876</v>
      </c>
      <c r="B17" s="942" t="s">
        <v>1877</v>
      </c>
      <c r="C17" s="943" t="s">
        <v>33</v>
      </c>
      <c r="D17" s="943">
        <v>2.8</v>
      </c>
      <c r="E17" s="943">
        <f>3.05-0.32-(0.5-0.12)</f>
        <v>2.35</v>
      </c>
      <c r="F17" s="942">
        <f t="shared" si="0"/>
        <v>6.58</v>
      </c>
      <c r="G17" s="944">
        <v>0</v>
      </c>
      <c r="H17" s="942">
        <f t="shared" si="9"/>
        <v>6.58</v>
      </c>
      <c r="I17" s="942">
        <v>1</v>
      </c>
      <c r="J17" s="945">
        <f t="shared" si="1"/>
        <v>6.58</v>
      </c>
      <c r="L17" s="918">
        <f t="shared" si="2"/>
        <v>0</v>
      </c>
      <c r="M17" s="918">
        <f t="shared" si="3"/>
        <v>0</v>
      </c>
      <c r="N17" s="918">
        <f t="shared" si="4"/>
        <v>6.58</v>
      </c>
      <c r="O17" s="918">
        <f t="shared" si="5"/>
        <v>0</v>
      </c>
      <c r="P17" s="918">
        <f t="shared" si="7"/>
        <v>0</v>
      </c>
      <c r="Q17" s="918">
        <f t="shared" si="8"/>
        <v>0</v>
      </c>
    </row>
    <row r="18" spans="1:17">
      <c r="A18" s="941" t="s">
        <v>1878</v>
      </c>
      <c r="B18" s="942" t="s">
        <v>1879</v>
      </c>
      <c r="C18" s="943" t="s">
        <v>33</v>
      </c>
      <c r="D18" s="943">
        <v>2.6</v>
      </c>
      <c r="E18" s="943">
        <f>3.05-0.32-(0.5-0.12)</f>
        <v>2.35</v>
      </c>
      <c r="F18" s="942">
        <f t="shared" si="0"/>
        <v>6.11</v>
      </c>
      <c r="G18" s="944">
        <v>0</v>
      </c>
      <c r="H18" s="942">
        <f t="shared" si="9"/>
        <v>6.11</v>
      </c>
      <c r="I18" s="942">
        <v>1</v>
      </c>
      <c r="J18" s="945">
        <f t="shared" si="1"/>
        <v>6.11</v>
      </c>
      <c r="L18" s="918">
        <f t="shared" si="2"/>
        <v>0</v>
      </c>
      <c r="M18" s="918">
        <f t="shared" si="3"/>
        <v>0</v>
      </c>
      <c r="N18" s="918">
        <f t="shared" si="4"/>
        <v>6.11</v>
      </c>
      <c r="O18" s="918">
        <f t="shared" si="5"/>
        <v>0</v>
      </c>
      <c r="P18" s="918">
        <f t="shared" si="7"/>
        <v>0</v>
      </c>
      <c r="Q18" s="918">
        <f t="shared" si="8"/>
        <v>0</v>
      </c>
    </row>
    <row r="19" spans="1:17">
      <c r="A19" s="941" t="s">
        <v>1880</v>
      </c>
      <c r="B19" s="942" t="s">
        <v>1879</v>
      </c>
      <c r="C19" s="943" t="s">
        <v>33</v>
      </c>
      <c r="D19" s="943">
        <v>0.95</v>
      </c>
      <c r="E19" s="943">
        <f>3.05-0.32</f>
        <v>2.73</v>
      </c>
      <c r="F19" s="942">
        <f t="shared" si="0"/>
        <v>2.5934999999999997</v>
      </c>
      <c r="G19" s="944">
        <v>0</v>
      </c>
      <c r="H19" s="942">
        <f t="shared" si="9"/>
        <v>2.5934999999999997</v>
      </c>
      <c r="I19" s="942">
        <v>1</v>
      </c>
      <c r="J19" s="945">
        <f t="shared" si="1"/>
        <v>2.5934999999999997</v>
      </c>
      <c r="L19" s="918">
        <f t="shared" si="2"/>
        <v>0</v>
      </c>
      <c r="M19" s="918">
        <f t="shared" si="3"/>
        <v>0</v>
      </c>
      <c r="N19" s="918">
        <f t="shared" si="4"/>
        <v>2.5934999999999997</v>
      </c>
      <c r="O19" s="918">
        <f t="shared" si="5"/>
        <v>0</v>
      </c>
      <c r="P19" s="918">
        <f t="shared" si="7"/>
        <v>0</v>
      </c>
      <c r="Q19" s="918">
        <f t="shared" si="8"/>
        <v>0</v>
      </c>
    </row>
    <row r="20" spans="1:17">
      <c r="A20" s="941"/>
      <c r="B20" s="942" t="s">
        <v>1881</v>
      </c>
      <c r="C20" s="943" t="s">
        <v>363</v>
      </c>
      <c r="D20" s="943">
        <v>3</v>
      </c>
      <c r="E20" s="943">
        <f>3.05-0.32+0.12</f>
        <v>2.85</v>
      </c>
      <c r="F20" s="942">
        <f t="shared" si="0"/>
        <v>8.5500000000000007</v>
      </c>
      <c r="G20" s="944">
        <v>0</v>
      </c>
      <c r="H20" s="942">
        <f t="shared" si="9"/>
        <v>8.5500000000000007</v>
      </c>
      <c r="I20" s="942">
        <v>1</v>
      </c>
      <c r="J20" s="945">
        <f t="shared" si="1"/>
        <v>8.5500000000000007</v>
      </c>
      <c r="L20" s="918">
        <f t="shared" si="2"/>
        <v>8.5500000000000007</v>
      </c>
      <c r="M20" s="918">
        <f t="shared" si="3"/>
        <v>0</v>
      </c>
      <c r="N20" s="918">
        <f t="shared" si="4"/>
        <v>0</v>
      </c>
      <c r="O20" s="918">
        <f t="shared" si="5"/>
        <v>0</v>
      </c>
      <c r="P20" s="918">
        <f t="shared" si="7"/>
        <v>0</v>
      </c>
      <c r="Q20" s="918">
        <f t="shared" si="8"/>
        <v>0</v>
      </c>
    </row>
    <row r="21" spans="1:17">
      <c r="A21" s="941"/>
      <c r="B21" s="942" t="s">
        <v>1882</v>
      </c>
      <c r="C21" s="943" t="s">
        <v>367</v>
      </c>
      <c r="D21" s="943">
        <v>1.8</v>
      </c>
      <c r="E21" s="943">
        <f>3.05-0.32-(0.4-0.12)</f>
        <v>2.4500000000000002</v>
      </c>
      <c r="F21" s="942">
        <f t="shared" si="0"/>
        <v>4.41</v>
      </c>
      <c r="G21" s="944">
        <v>0</v>
      </c>
      <c r="H21" s="942">
        <f t="shared" si="9"/>
        <v>4.41</v>
      </c>
      <c r="I21" s="942">
        <v>1</v>
      </c>
      <c r="J21" s="945">
        <f t="shared" si="1"/>
        <v>4.41</v>
      </c>
      <c r="L21" s="918">
        <f t="shared" si="2"/>
        <v>0</v>
      </c>
      <c r="M21" s="918">
        <f t="shared" si="3"/>
        <v>4.41</v>
      </c>
      <c r="N21" s="918">
        <f t="shared" si="4"/>
        <v>0</v>
      </c>
      <c r="O21" s="918">
        <f t="shared" si="5"/>
        <v>0</v>
      </c>
      <c r="P21" s="918">
        <f t="shared" si="7"/>
        <v>0</v>
      </c>
      <c r="Q21" s="918">
        <f t="shared" si="8"/>
        <v>0</v>
      </c>
    </row>
    <row r="22" spans="1:17">
      <c r="A22" s="941"/>
      <c r="B22" s="942" t="s">
        <v>1883</v>
      </c>
      <c r="C22" s="943" t="s">
        <v>33</v>
      </c>
      <c r="D22" s="943">
        <v>4.8</v>
      </c>
      <c r="E22" s="943">
        <f>3.05-0.32-(0.45-0.12)</f>
        <v>2.4</v>
      </c>
      <c r="F22" s="942">
        <f t="shared" si="0"/>
        <v>11.52</v>
      </c>
      <c r="G22" s="944">
        <v>0</v>
      </c>
      <c r="H22" s="942">
        <f t="shared" si="9"/>
        <v>11.52</v>
      </c>
      <c r="I22" s="942">
        <v>1</v>
      </c>
      <c r="J22" s="945">
        <f t="shared" si="1"/>
        <v>11.52</v>
      </c>
      <c r="L22" s="918">
        <f t="shared" si="2"/>
        <v>0</v>
      </c>
      <c r="M22" s="918">
        <f t="shared" si="3"/>
        <v>0</v>
      </c>
      <c r="N22" s="918">
        <f t="shared" si="4"/>
        <v>11.52</v>
      </c>
      <c r="O22" s="918">
        <f t="shared" si="5"/>
        <v>0</v>
      </c>
      <c r="P22" s="918">
        <f t="shared" si="7"/>
        <v>0</v>
      </c>
      <c r="Q22" s="918">
        <f t="shared" si="8"/>
        <v>0</v>
      </c>
    </row>
    <row r="23" spans="1:17">
      <c r="A23" s="931" t="s">
        <v>14</v>
      </c>
      <c r="B23" s="932"/>
      <c r="C23" s="933"/>
      <c r="D23" s="932"/>
      <c r="E23" s="932"/>
      <c r="F23" s="932"/>
      <c r="G23" s="934"/>
      <c r="H23" s="932"/>
      <c r="I23" s="932"/>
      <c r="J23" s="935"/>
    </row>
    <row r="24" spans="1:17">
      <c r="A24" s="936" t="s">
        <v>383</v>
      </c>
      <c r="B24" s="937" t="s">
        <v>1469</v>
      </c>
      <c r="C24" s="938" t="s">
        <v>51</v>
      </c>
      <c r="D24" s="937">
        <v>4.3</v>
      </c>
      <c r="E24" s="937">
        <f>3.2-0.45</f>
        <v>2.75</v>
      </c>
      <c r="F24" s="937">
        <f>+D24*E24</f>
        <v>11.824999999999999</v>
      </c>
      <c r="G24" s="939">
        <v>0</v>
      </c>
      <c r="H24" s="937">
        <f>+F24-G24</f>
        <v>11.824999999999999</v>
      </c>
      <c r="I24" s="937">
        <v>1</v>
      </c>
      <c r="J24" s="940">
        <f t="shared" ref="J24:J71" si="10">+H24*I24</f>
        <v>11.824999999999999</v>
      </c>
      <c r="L24" s="918">
        <f t="shared" ref="L24:L65" si="11">IF(C24=$L$2,J24,0)</f>
        <v>0</v>
      </c>
      <c r="M24" s="918">
        <f t="shared" ref="M24:M79" si="12">IF(C24=$M$2,J24,0)</f>
        <v>0</v>
      </c>
      <c r="N24" s="918">
        <f t="shared" ref="N24:N79" si="13">IF(C24=$N$2,J24,0)</f>
        <v>0</v>
      </c>
      <c r="O24" s="918">
        <f t="shared" ref="O24:O79" si="14">IF(C24=$O$2,J24,0)</f>
        <v>0</v>
      </c>
      <c r="P24" s="918">
        <f t="shared" si="7"/>
        <v>11.824999999999999</v>
      </c>
      <c r="Q24" s="918">
        <f t="shared" si="8"/>
        <v>0</v>
      </c>
    </row>
    <row r="25" spans="1:17">
      <c r="A25" s="941" t="s">
        <v>384</v>
      </c>
      <c r="B25" s="942" t="s">
        <v>1469</v>
      </c>
      <c r="C25" s="943" t="s">
        <v>51</v>
      </c>
      <c r="D25" s="942">
        <v>5.7</v>
      </c>
      <c r="E25" s="942">
        <f t="shared" ref="E25:E36" si="15">3.2-0.45</f>
        <v>2.75</v>
      </c>
      <c r="F25" s="942">
        <f>+D25*E25</f>
        <v>15.675000000000001</v>
      </c>
      <c r="G25" s="944">
        <v>0</v>
      </c>
      <c r="H25" s="942">
        <f>+F25-G25</f>
        <v>15.675000000000001</v>
      </c>
      <c r="I25" s="942">
        <v>1</v>
      </c>
      <c r="J25" s="945">
        <f t="shared" si="10"/>
        <v>15.675000000000001</v>
      </c>
      <c r="L25" s="918">
        <f t="shared" si="11"/>
        <v>0</v>
      </c>
      <c r="M25" s="918">
        <f t="shared" si="12"/>
        <v>0</v>
      </c>
      <c r="N25" s="918">
        <f t="shared" si="13"/>
        <v>0</v>
      </c>
      <c r="O25" s="918">
        <f t="shared" si="14"/>
        <v>0</v>
      </c>
      <c r="P25" s="918">
        <f t="shared" si="7"/>
        <v>15.675000000000001</v>
      </c>
      <c r="Q25" s="918">
        <f t="shared" si="8"/>
        <v>0</v>
      </c>
    </row>
    <row r="26" spans="1:17">
      <c r="A26" s="941" t="s">
        <v>385</v>
      </c>
      <c r="B26" s="942" t="s">
        <v>1469</v>
      </c>
      <c r="C26" s="943" t="s">
        <v>51</v>
      </c>
      <c r="D26" s="942">
        <v>5.0999999999999996</v>
      </c>
      <c r="E26" s="942">
        <f t="shared" si="15"/>
        <v>2.75</v>
      </c>
      <c r="F26" s="942">
        <f>+D26*E26</f>
        <v>14.024999999999999</v>
      </c>
      <c r="G26" s="944">
        <v>0</v>
      </c>
      <c r="H26" s="942">
        <f>+F26-G26</f>
        <v>14.024999999999999</v>
      </c>
      <c r="I26" s="942">
        <v>1</v>
      </c>
      <c r="J26" s="945">
        <f t="shared" si="10"/>
        <v>14.024999999999999</v>
      </c>
      <c r="L26" s="918">
        <f t="shared" si="11"/>
        <v>0</v>
      </c>
      <c r="M26" s="918">
        <f t="shared" si="12"/>
        <v>0</v>
      </c>
      <c r="N26" s="918">
        <f t="shared" si="13"/>
        <v>0</v>
      </c>
      <c r="O26" s="918">
        <f t="shared" si="14"/>
        <v>0</v>
      </c>
      <c r="P26" s="918">
        <f t="shared" si="7"/>
        <v>14.024999999999999</v>
      </c>
      <c r="Q26" s="918">
        <f t="shared" si="8"/>
        <v>0</v>
      </c>
    </row>
    <row r="27" spans="1:17">
      <c r="A27" s="941" t="s">
        <v>386</v>
      </c>
      <c r="B27" s="942" t="s">
        <v>1469</v>
      </c>
      <c r="C27" s="943" t="s">
        <v>51</v>
      </c>
      <c r="D27" s="942">
        <v>5.01</v>
      </c>
      <c r="E27" s="942">
        <f t="shared" si="15"/>
        <v>2.75</v>
      </c>
      <c r="F27" s="942">
        <f>+D27*E27</f>
        <v>13.7775</v>
      </c>
      <c r="G27" s="944">
        <v>0</v>
      </c>
      <c r="H27" s="942">
        <f>+F27-G27</f>
        <v>13.7775</v>
      </c>
      <c r="I27" s="942">
        <v>1</v>
      </c>
      <c r="J27" s="945">
        <f t="shared" si="10"/>
        <v>13.7775</v>
      </c>
      <c r="L27" s="918">
        <f t="shared" si="11"/>
        <v>0</v>
      </c>
      <c r="M27" s="918">
        <f t="shared" si="12"/>
        <v>0</v>
      </c>
      <c r="N27" s="918">
        <f t="shared" si="13"/>
        <v>0</v>
      </c>
      <c r="O27" s="918">
        <f t="shared" si="14"/>
        <v>0</v>
      </c>
      <c r="P27" s="918">
        <f t="shared" si="7"/>
        <v>13.7775</v>
      </c>
      <c r="Q27" s="918">
        <f t="shared" si="8"/>
        <v>0</v>
      </c>
    </row>
    <row r="28" spans="1:17">
      <c r="A28" s="941" t="s">
        <v>1861</v>
      </c>
      <c r="B28" s="942" t="s">
        <v>1469</v>
      </c>
      <c r="C28" s="943" t="s">
        <v>51</v>
      </c>
      <c r="D28" s="942">
        <v>3.8</v>
      </c>
      <c r="E28" s="942">
        <f t="shared" si="15"/>
        <v>2.75</v>
      </c>
      <c r="F28" s="942">
        <f>+D28*E28</f>
        <v>10.45</v>
      </c>
      <c r="G28" s="944">
        <v>0</v>
      </c>
      <c r="H28" s="942">
        <f t="shared" ref="H28:H71" si="16">+F28-G28</f>
        <v>10.45</v>
      </c>
      <c r="I28" s="942">
        <v>1</v>
      </c>
      <c r="J28" s="945">
        <f t="shared" si="10"/>
        <v>10.45</v>
      </c>
      <c r="L28" s="918">
        <f t="shared" si="11"/>
        <v>0</v>
      </c>
      <c r="M28" s="918">
        <f t="shared" si="12"/>
        <v>0</v>
      </c>
      <c r="N28" s="918">
        <f t="shared" si="13"/>
        <v>0</v>
      </c>
      <c r="O28" s="918">
        <f t="shared" si="14"/>
        <v>0</v>
      </c>
      <c r="P28" s="918">
        <f t="shared" si="7"/>
        <v>10.45</v>
      </c>
      <c r="Q28" s="918">
        <f t="shared" si="8"/>
        <v>0</v>
      </c>
    </row>
    <row r="29" spans="1:17">
      <c r="A29" s="941" t="s">
        <v>1863</v>
      </c>
      <c r="B29" s="942" t="s">
        <v>1469</v>
      </c>
      <c r="C29" s="943" t="s">
        <v>51</v>
      </c>
      <c r="D29" s="942">
        <v>7.56</v>
      </c>
      <c r="E29" s="942">
        <f t="shared" si="15"/>
        <v>2.75</v>
      </c>
      <c r="F29" s="942">
        <f t="shared" ref="F29:F71" si="17">+D29*E29</f>
        <v>20.79</v>
      </c>
      <c r="G29" s="944">
        <v>0</v>
      </c>
      <c r="H29" s="942">
        <f t="shared" si="16"/>
        <v>20.79</v>
      </c>
      <c r="I29" s="942">
        <v>1</v>
      </c>
      <c r="J29" s="945">
        <f t="shared" si="10"/>
        <v>20.79</v>
      </c>
      <c r="L29" s="918">
        <f t="shared" si="11"/>
        <v>0</v>
      </c>
      <c r="M29" s="918">
        <f t="shared" si="12"/>
        <v>0</v>
      </c>
      <c r="N29" s="918">
        <f t="shared" si="13"/>
        <v>0</v>
      </c>
      <c r="O29" s="918">
        <f t="shared" si="14"/>
        <v>0</v>
      </c>
      <c r="P29" s="918">
        <f t="shared" si="7"/>
        <v>20.79</v>
      </c>
      <c r="Q29" s="918">
        <f t="shared" si="8"/>
        <v>0</v>
      </c>
    </row>
    <row r="30" spans="1:17">
      <c r="A30" s="941" t="s">
        <v>1864</v>
      </c>
      <c r="B30" s="942" t="s">
        <v>1469</v>
      </c>
      <c r="C30" s="943" t="s">
        <v>51</v>
      </c>
      <c r="D30" s="942">
        <v>9.73</v>
      </c>
      <c r="E30" s="942">
        <f t="shared" si="15"/>
        <v>2.75</v>
      </c>
      <c r="F30" s="942">
        <f t="shared" si="17"/>
        <v>26.7575</v>
      </c>
      <c r="G30" s="944">
        <v>0</v>
      </c>
      <c r="H30" s="942">
        <f t="shared" si="16"/>
        <v>26.7575</v>
      </c>
      <c r="I30" s="942">
        <v>1</v>
      </c>
      <c r="J30" s="945">
        <f t="shared" si="10"/>
        <v>26.7575</v>
      </c>
      <c r="L30" s="918">
        <f t="shared" si="11"/>
        <v>0</v>
      </c>
      <c r="M30" s="918">
        <f t="shared" si="12"/>
        <v>0</v>
      </c>
      <c r="N30" s="918">
        <f t="shared" si="13"/>
        <v>0</v>
      </c>
      <c r="O30" s="918">
        <f t="shared" si="14"/>
        <v>0</v>
      </c>
      <c r="P30" s="918">
        <f t="shared" si="7"/>
        <v>26.7575</v>
      </c>
      <c r="Q30" s="918">
        <f t="shared" si="8"/>
        <v>0</v>
      </c>
    </row>
    <row r="31" spans="1:17">
      <c r="A31" s="941" t="s">
        <v>1866</v>
      </c>
      <c r="B31" s="942" t="s">
        <v>1469</v>
      </c>
      <c r="C31" s="943" t="s">
        <v>51</v>
      </c>
      <c r="D31" s="942">
        <v>4.3</v>
      </c>
      <c r="E31" s="942">
        <f t="shared" si="15"/>
        <v>2.75</v>
      </c>
      <c r="F31" s="942">
        <f t="shared" si="17"/>
        <v>11.824999999999999</v>
      </c>
      <c r="G31" s="944">
        <v>0</v>
      </c>
      <c r="H31" s="942">
        <f t="shared" si="16"/>
        <v>11.824999999999999</v>
      </c>
      <c r="I31" s="942">
        <v>1</v>
      </c>
      <c r="J31" s="945">
        <f t="shared" si="10"/>
        <v>11.824999999999999</v>
      </c>
      <c r="L31" s="918">
        <f t="shared" si="11"/>
        <v>0</v>
      </c>
      <c r="M31" s="918">
        <f t="shared" si="12"/>
        <v>0</v>
      </c>
      <c r="N31" s="918">
        <f t="shared" si="13"/>
        <v>0</v>
      </c>
      <c r="O31" s="918">
        <f t="shared" si="14"/>
        <v>0</v>
      </c>
      <c r="P31" s="918">
        <f t="shared" si="7"/>
        <v>11.824999999999999</v>
      </c>
      <c r="Q31" s="918">
        <f t="shared" si="8"/>
        <v>0</v>
      </c>
    </row>
    <row r="32" spans="1:17">
      <c r="A32" s="941" t="s">
        <v>1868</v>
      </c>
      <c r="B32" s="942" t="s">
        <v>1469</v>
      </c>
      <c r="C32" s="943" t="s">
        <v>51</v>
      </c>
      <c r="D32" s="942">
        <v>4.4400000000000004</v>
      </c>
      <c r="E32" s="942">
        <f t="shared" si="15"/>
        <v>2.75</v>
      </c>
      <c r="F32" s="942">
        <f t="shared" si="17"/>
        <v>12.21</v>
      </c>
      <c r="G32" s="944">
        <v>0</v>
      </c>
      <c r="H32" s="942">
        <f t="shared" si="16"/>
        <v>12.21</v>
      </c>
      <c r="I32" s="942">
        <v>1</v>
      </c>
      <c r="J32" s="945">
        <f t="shared" si="10"/>
        <v>12.21</v>
      </c>
      <c r="L32" s="918">
        <f t="shared" si="11"/>
        <v>0</v>
      </c>
      <c r="M32" s="918">
        <f t="shared" si="12"/>
        <v>0</v>
      </c>
      <c r="N32" s="918">
        <f t="shared" si="13"/>
        <v>0</v>
      </c>
      <c r="O32" s="918">
        <f t="shared" si="14"/>
        <v>0</v>
      </c>
      <c r="P32" s="918">
        <f t="shared" si="7"/>
        <v>12.21</v>
      </c>
      <c r="Q32" s="918">
        <f t="shared" si="8"/>
        <v>0</v>
      </c>
    </row>
    <row r="33" spans="1:17">
      <c r="A33" s="941" t="s">
        <v>1872</v>
      </c>
      <c r="B33" s="942" t="s">
        <v>1469</v>
      </c>
      <c r="C33" s="943" t="s">
        <v>51</v>
      </c>
      <c r="D33" s="942">
        <v>6.37</v>
      </c>
      <c r="E33" s="942">
        <f t="shared" si="15"/>
        <v>2.75</v>
      </c>
      <c r="F33" s="942">
        <f t="shared" si="17"/>
        <v>17.517500000000002</v>
      </c>
      <c r="G33" s="944">
        <v>0</v>
      </c>
      <c r="H33" s="942">
        <f t="shared" si="16"/>
        <v>17.517500000000002</v>
      </c>
      <c r="I33" s="942">
        <v>1</v>
      </c>
      <c r="J33" s="945">
        <f t="shared" si="10"/>
        <v>17.517500000000002</v>
      </c>
      <c r="L33" s="918">
        <f t="shared" si="11"/>
        <v>0</v>
      </c>
      <c r="M33" s="918">
        <f t="shared" si="12"/>
        <v>0</v>
      </c>
      <c r="N33" s="918">
        <f t="shared" si="13"/>
        <v>0</v>
      </c>
      <c r="O33" s="918">
        <f t="shared" si="14"/>
        <v>0</v>
      </c>
      <c r="P33" s="918">
        <f t="shared" si="7"/>
        <v>17.517500000000002</v>
      </c>
      <c r="Q33" s="918">
        <f t="shared" si="8"/>
        <v>0</v>
      </c>
    </row>
    <row r="34" spans="1:17">
      <c r="A34" s="941" t="s">
        <v>1876</v>
      </c>
      <c r="B34" s="942" t="s">
        <v>1469</v>
      </c>
      <c r="C34" s="943" t="s">
        <v>51</v>
      </c>
      <c r="D34" s="942">
        <v>4.37</v>
      </c>
      <c r="E34" s="942">
        <f t="shared" si="15"/>
        <v>2.75</v>
      </c>
      <c r="F34" s="942">
        <f t="shared" si="17"/>
        <v>12.0175</v>
      </c>
      <c r="G34" s="944">
        <v>0</v>
      </c>
      <c r="H34" s="942">
        <f t="shared" si="16"/>
        <v>12.0175</v>
      </c>
      <c r="I34" s="942">
        <v>1</v>
      </c>
      <c r="J34" s="945">
        <f t="shared" si="10"/>
        <v>12.0175</v>
      </c>
      <c r="L34" s="918">
        <f t="shared" si="11"/>
        <v>0</v>
      </c>
      <c r="M34" s="918">
        <f t="shared" si="12"/>
        <v>0</v>
      </c>
      <c r="N34" s="918">
        <f t="shared" si="13"/>
        <v>0</v>
      </c>
      <c r="O34" s="918">
        <f t="shared" si="14"/>
        <v>0</v>
      </c>
      <c r="P34" s="918">
        <f t="shared" si="7"/>
        <v>12.0175</v>
      </c>
      <c r="Q34" s="918">
        <f t="shared" si="8"/>
        <v>0</v>
      </c>
    </row>
    <row r="35" spans="1:17">
      <c r="A35" s="941" t="s">
        <v>1878</v>
      </c>
      <c r="B35" s="942" t="s">
        <v>1469</v>
      </c>
      <c r="C35" s="943" t="s">
        <v>51</v>
      </c>
      <c r="D35" s="942">
        <v>3.8</v>
      </c>
      <c r="E35" s="942">
        <f t="shared" si="15"/>
        <v>2.75</v>
      </c>
      <c r="F35" s="942">
        <f t="shared" si="17"/>
        <v>10.45</v>
      </c>
      <c r="G35" s="944">
        <v>0</v>
      </c>
      <c r="H35" s="942">
        <f t="shared" si="16"/>
        <v>10.45</v>
      </c>
      <c r="I35" s="942">
        <v>1</v>
      </c>
      <c r="J35" s="945">
        <f t="shared" si="10"/>
        <v>10.45</v>
      </c>
      <c r="L35" s="918">
        <f t="shared" si="11"/>
        <v>0</v>
      </c>
      <c r="M35" s="918">
        <f t="shared" si="12"/>
        <v>0</v>
      </c>
      <c r="N35" s="918">
        <f t="shared" si="13"/>
        <v>0</v>
      </c>
      <c r="O35" s="918">
        <f t="shared" si="14"/>
        <v>0</v>
      </c>
      <c r="P35" s="918">
        <f t="shared" si="7"/>
        <v>10.45</v>
      </c>
      <c r="Q35" s="918">
        <f t="shared" si="8"/>
        <v>0</v>
      </c>
    </row>
    <row r="36" spans="1:17">
      <c r="A36" s="946" t="s">
        <v>1880</v>
      </c>
      <c r="B36" s="947" t="s">
        <v>1469</v>
      </c>
      <c r="C36" s="948" t="s">
        <v>51</v>
      </c>
      <c r="D36" s="947">
        <v>6.24</v>
      </c>
      <c r="E36" s="947">
        <f t="shared" si="15"/>
        <v>2.75</v>
      </c>
      <c r="F36" s="947">
        <f t="shared" si="17"/>
        <v>17.16</v>
      </c>
      <c r="G36" s="949">
        <v>0</v>
      </c>
      <c r="H36" s="947">
        <f t="shared" si="16"/>
        <v>17.16</v>
      </c>
      <c r="I36" s="947">
        <v>1</v>
      </c>
      <c r="J36" s="950">
        <f t="shared" si="10"/>
        <v>17.16</v>
      </c>
      <c r="L36" s="918">
        <f t="shared" si="11"/>
        <v>0</v>
      </c>
      <c r="M36" s="918">
        <f t="shared" si="12"/>
        <v>0</v>
      </c>
      <c r="N36" s="918">
        <f t="shared" si="13"/>
        <v>0</v>
      </c>
      <c r="O36" s="918">
        <f t="shared" si="14"/>
        <v>0</v>
      </c>
      <c r="P36" s="918">
        <f t="shared" si="7"/>
        <v>17.16</v>
      </c>
      <c r="Q36" s="918">
        <f t="shared" si="8"/>
        <v>0</v>
      </c>
    </row>
    <row r="37" spans="1:17">
      <c r="A37" s="936" t="s">
        <v>383</v>
      </c>
      <c r="B37" s="937" t="s">
        <v>1884</v>
      </c>
      <c r="C37" s="938" t="s">
        <v>33</v>
      </c>
      <c r="D37" s="937">
        <f>0.25+0.45+0.6</f>
        <v>1.2999999999999998</v>
      </c>
      <c r="E37" s="937">
        <v>3.2</v>
      </c>
      <c r="F37" s="937">
        <f t="shared" si="17"/>
        <v>4.1599999999999993</v>
      </c>
      <c r="G37" s="939">
        <v>0</v>
      </c>
      <c r="H37" s="937">
        <f t="shared" si="16"/>
        <v>4.1599999999999993</v>
      </c>
      <c r="I37" s="937">
        <v>2</v>
      </c>
      <c r="J37" s="940">
        <f t="shared" si="10"/>
        <v>8.3199999999999985</v>
      </c>
      <c r="L37" s="918">
        <f t="shared" si="11"/>
        <v>0</v>
      </c>
      <c r="M37" s="918">
        <f t="shared" si="12"/>
        <v>0</v>
      </c>
      <c r="N37" s="918">
        <f t="shared" si="13"/>
        <v>8.3199999999999985</v>
      </c>
      <c r="O37" s="918">
        <f t="shared" si="14"/>
        <v>0</v>
      </c>
      <c r="P37" s="918">
        <f t="shared" si="7"/>
        <v>0</v>
      </c>
      <c r="Q37" s="918">
        <f t="shared" si="8"/>
        <v>0</v>
      </c>
    </row>
    <row r="38" spans="1:17">
      <c r="A38" s="941" t="s">
        <v>384</v>
      </c>
      <c r="B38" s="942" t="s">
        <v>1885</v>
      </c>
      <c r="C38" s="943" t="s">
        <v>33</v>
      </c>
      <c r="D38" s="942">
        <v>4.3</v>
      </c>
      <c r="E38" s="942">
        <f>3.2-0.45</f>
        <v>2.75</v>
      </c>
      <c r="F38" s="942">
        <f t="shared" si="17"/>
        <v>11.824999999999999</v>
      </c>
      <c r="G38" s="944">
        <v>0</v>
      </c>
      <c r="H38" s="942">
        <f t="shared" si="16"/>
        <v>11.824999999999999</v>
      </c>
      <c r="I38" s="942">
        <v>1</v>
      </c>
      <c r="J38" s="945">
        <f t="shared" si="10"/>
        <v>11.824999999999999</v>
      </c>
      <c r="L38" s="918">
        <f t="shared" si="11"/>
        <v>0</v>
      </c>
      <c r="M38" s="918">
        <f t="shared" si="12"/>
        <v>0</v>
      </c>
      <c r="N38" s="918">
        <f t="shared" si="13"/>
        <v>11.824999999999999</v>
      </c>
      <c r="O38" s="918">
        <f t="shared" si="14"/>
        <v>0</v>
      </c>
      <c r="P38" s="918">
        <f t="shared" si="7"/>
        <v>0</v>
      </c>
      <c r="Q38" s="918">
        <f t="shared" si="8"/>
        <v>0</v>
      </c>
    </row>
    <row r="39" spans="1:17">
      <c r="A39" s="941" t="s">
        <v>385</v>
      </c>
      <c r="B39" s="942" t="s">
        <v>1885</v>
      </c>
      <c r="C39" s="943" t="s">
        <v>33</v>
      </c>
      <c r="D39" s="942">
        <v>5.04</v>
      </c>
      <c r="E39" s="942">
        <f>3.2-0.45</f>
        <v>2.75</v>
      </c>
      <c r="F39" s="942">
        <f t="shared" si="17"/>
        <v>13.86</v>
      </c>
      <c r="G39" s="944">
        <v>0</v>
      </c>
      <c r="H39" s="942">
        <f t="shared" si="16"/>
        <v>13.86</v>
      </c>
      <c r="I39" s="942">
        <v>1</v>
      </c>
      <c r="J39" s="945">
        <f t="shared" si="10"/>
        <v>13.86</v>
      </c>
      <c r="L39" s="918">
        <f t="shared" si="11"/>
        <v>0</v>
      </c>
      <c r="M39" s="918">
        <f t="shared" si="12"/>
        <v>0</v>
      </c>
      <c r="N39" s="918">
        <f t="shared" si="13"/>
        <v>13.86</v>
      </c>
      <c r="O39" s="918">
        <f t="shared" si="14"/>
        <v>0</v>
      </c>
      <c r="P39" s="918">
        <f t="shared" si="7"/>
        <v>0</v>
      </c>
      <c r="Q39" s="918">
        <f t="shared" si="8"/>
        <v>0</v>
      </c>
    </row>
    <row r="40" spans="1:17">
      <c r="A40" s="941" t="s">
        <v>386</v>
      </c>
      <c r="B40" s="942" t="s">
        <v>1886</v>
      </c>
      <c r="C40" s="943" t="s">
        <v>33</v>
      </c>
      <c r="D40" s="942">
        <v>2.21</v>
      </c>
      <c r="E40" s="942">
        <f>3.2-0.45</f>
        <v>2.75</v>
      </c>
      <c r="F40" s="942">
        <f t="shared" si="17"/>
        <v>6.0774999999999997</v>
      </c>
      <c r="G40" s="944">
        <v>0</v>
      </c>
      <c r="H40" s="942">
        <f t="shared" si="16"/>
        <v>6.0774999999999997</v>
      </c>
      <c r="I40" s="942">
        <v>1</v>
      </c>
      <c r="J40" s="945">
        <f t="shared" si="10"/>
        <v>6.0774999999999997</v>
      </c>
      <c r="L40" s="918">
        <f t="shared" si="11"/>
        <v>0</v>
      </c>
      <c r="M40" s="918">
        <f t="shared" si="12"/>
        <v>0</v>
      </c>
      <c r="N40" s="918">
        <f t="shared" si="13"/>
        <v>6.0774999999999997</v>
      </c>
      <c r="O40" s="918">
        <f t="shared" si="14"/>
        <v>0</v>
      </c>
      <c r="P40" s="918">
        <f t="shared" si="7"/>
        <v>0</v>
      </c>
      <c r="Q40" s="918">
        <f t="shared" si="8"/>
        <v>0</v>
      </c>
    </row>
    <row r="41" spans="1:17">
      <c r="A41" s="941" t="s">
        <v>1861</v>
      </c>
      <c r="B41" s="942" t="s">
        <v>1885</v>
      </c>
      <c r="C41" s="943" t="s">
        <v>33</v>
      </c>
      <c r="D41" s="942">
        <v>4.3</v>
      </c>
      <c r="E41" s="942">
        <f t="shared" ref="E41:E51" si="18">3.2-0.45</f>
        <v>2.75</v>
      </c>
      <c r="F41" s="942">
        <f t="shared" si="17"/>
        <v>11.824999999999999</v>
      </c>
      <c r="G41" s="944">
        <v>0</v>
      </c>
      <c r="H41" s="942">
        <f t="shared" si="16"/>
        <v>11.824999999999999</v>
      </c>
      <c r="I41" s="942">
        <v>1</v>
      </c>
      <c r="J41" s="945">
        <f t="shared" si="10"/>
        <v>11.824999999999999</v>
      </c>
      <c r="L41" s="918">
        <f t="shared" si="11"/>
        <v>0</v>
      </c>
      <c r="M41" s="918">
        <f t="shared" si="12"/>
        <v>0</v>
      </c>
      <c r="N41" s="918">
        <f t="shared" si="13"/>
        <v>11.824999999999999</v>
      </c>
      <c r="O41" s="918">
        <f t="shared" si="14"/>
        <v>0</v>
      </c>
      <c r="P41" s="918">
        <f t="shared" si="7"/>
        <v>0</v>
      </c>
      <c r="Q41" s="918">
        <f t="shared" si="8"/>
        <v>0</v>
      </c>
    </row>
    <row r="42" spans="1:17">
      <c r="A42" s="941" t="s">
        <v>1863</v>
      </c>
      <c r="B42" s="942" t="s">
        <v>1885</v>
      </c>
      <c r="C42" s="943" t="s">
        <v>33</v>
      </c>
      <c r="D42" s="942">
        <v>4.4400000000000004</v>
      </c>
      <c r="E42" s="942">
        <f t="shared" si="18"/>
        <v>2.75</v>
      </c>
      <c r="F42" s="942">
        <f t="shared" si="17"/>
        <v>12.21</v>
      </c>
      <c r="G42" s="944">
        <v>0</v>
      </c>
      <c r="H42" s="942">
        <f t="shared" si="16"/>
        <v>12.21</v>
      </c>
      <c r="I42" s="942">
        <v>1</v>
      </c>
      <c r="J42" s="945">
        <f t="shared" si="10"/>
        <v>12.21</v>
      </c>
      <c r="L42" s="918">
        <f t="shared" si="11"/>
        <v>0</v>
      </c>
      <c r="M42" s="918">
        <f t="shared" si="12"/>
        <v>0</v>
      </c>
      <c r="N42" s="918">
        <f t="shared" si="13"/>
        <v>12.21</v>
      </c>
      <c r="O42" s="918">
        <f t="shared" si="14"/>
        <v>0</v>
      </c>
      <c r="P42" s="918">
        <f t="shared" si="7"/>
        <v>0</v>
      </c>
      <c r="Q42" s="918">
        <f t="shared" si="8"/>
        <v>0</v>
      </c>
    </row>
    <row r="43" spans="1:17">
      <c r="A43" s="941" t="s">
        <v>1864</v>
      </c>
      <c r="B43" s="942" t="s">
        <v>1886</v>
      </c>
      <c r="C43" s="943" t="s">
        <v>33</v>
      </c>
      <c r="D43" s="942">
        <v>2.77</v>
      </c>
      <c r="E43" s="942">
        <f t="shared" si="18"/>
        <v>2.75</v>
      </c>
      <c r="F43" s="942">
        <f t="shared" si="17"/>
        <v>7.6174999999999997</v>
      </c>
      <c r="G43" s="944">
        <v>0</v>
      </c>
      <c r="H43" s="942">
        <f t="shared" si="16"/>
        <v>7.6174999999999997</v>
      </c>
      <c r="I43" s="942">
        <v>1</v>
      </c>
      <c r="J43" s="945">
        <f t="shared" si="10"/>
        <v>7.6174999999999997</v>
      </c>
      <c r="L43" s="918">
        <f t="shared" si="11"/>
        <v>0</v>
      </c>
      <c r="M43" s="918">
        <f t="shared" si="12"/>
        <v>0</v>
      </c>
      <c r="N43" s="918">
        <f t="shared" si="13"/>
        <v>7.6174999999999997</v>
      </c>
      <c r="O43" s="918">
        <f t="shared" si="14"/>
        <v>0</v>
      </c>
      <c r="P43" s="918">
        <f t="shared" si="7"/>
        <v>0</v>
      </c>
      <c r="Q43" s="918">
        <f t="shared" si="8"/>
        <v>0</v>
      </c>
    </row>
    <row r="44" spans="1:17">
      <c r="A44" s="941" t="s">
        <v>1866</v>
      </c>
      <c r="B44" s="942" t="s">
        <v>1886</v>
      </c>
      <c r="C44" s="943" t="s">
        <v>33</v>
      </c>
      <c r="D44" s="942">
        <v>1.52</v>
      </c>
      <c r="E44" s="942">
        <f>3.2-0.3</f>
        <v>2.9000000000000004</v>
      </c>
      <c r="F44" s="942">
        <f t="shared" si="17"/>
        <v>4.4080000000000004</v>
      </c>
      <c r="G44" s="944">
        <v>0</v>
      </c>
      <c r="H44" s="942">
        <f t="shared" si="16"/>
        <v>4.4080000000000004</v>
      </c>
      <c r="I44" s="942">
        <v>1</v>
      </c>
      <c r="J44" s="945">
        <f t="shared" si="10"/>
        <v>4.4080000000000004</v>
      </c>
      <c r="L44" s="918">
        <f t="shared" si="11"/>
        <v>0</v>
      </c>
      <c r="M44" s="918">
        <f t="shared" si="12"/>
        <v>0</v>
      </c>
      <c r="N44" s="918">
        <f t="shared" si="13"/>
        <v>4.4080000000000004</v>
      </c>
      <c r="O44" s="918">
        <f t="shared" si="14"/>
        <v>0</v>
      </c>
      <c r="P44" s="918">
        <f t="shared" si="7"/>
        <v>0</v>
      </c>
      <c r="Q44" s="918">
        <f t="shared" si="8"/>
        <v>0</v>
      </c>
    </row>
    <row r="45" spans="1:17">
      <c r="A45" s="941" t="s">
        <v>1868</v>
      </c>
      <c r="B45" s="942" t="s">
        <v>1886</v>
      </c>
      <c r="C45" s="943" t="s">
        <v>33</v>
      </c>
      <c r="D45" s="942">
        <v>1.52</v>
      </c>
      <c r="E45" s="942">
        <f>3.2-0.3</f>
        <v>2.9000000000000004</v>
      </c>
      <c r="F45" s="942">
        <f t="shared" si="17"/>
        <v>4.4080000000000004</v>
      </c>
      <c r="G45" s="944">
        <v>0</v>
      </c>
      <c r="H45" s="942">
        <f t="shared" si="16"/>
        <v>4.4080000000000004</v>
      </c>
      <c r="I45" s="942">
        <v>1</v>
      </c>
      <c r="J45" s="945">
        <f t="shared" si="10"/>
        <v>4.4080000000000004</v>
      </c>
      <c r="L45" s="918">
        <f t="shared" si="11"/>
        <v>0</v>
      </c>
      <c r="M45" s="918">
        <f t="shared" si="12"/>
        <v>0</v>
      </c>
      <c r="N45" s="918">
        <f t="shared" si="13"/>
        <v>4.4080000000000004</v>
      </c>
      <c r="O45" s="918">
        <f t="shared" si="14"/>
        <v>0</v>
      </c>
      <c r="P45" s="918">
        <f t="shared" si="7"/>
        <v>0</v>
      </c>
      <c r="Q45" s="918">
        <f t="shared" si="8"/>
        <v>0</v>
      </c>
    </row>
    <row r="46" spans="1:17">
      <c r="A46" s="941" t="s">
        <v>1872</v>
      </c>
      <c r="B46" s="942" t="s">
        <v>1886</v>
      </c>
      <c r="C46" s="943" t="s">
        <v>33</v>
      </c>
      <c r="D46" s="942">
        <v>2.81</v>
      </c>
      <c r="E46" s="942">
        <f t="shared" si="18"/>
        <v>2.75</v>
      </c>
      <c r="F46" s="942">
        <f t="shared" si="17"/>
        <v>7.7275</v>
      </c>
      <c r="G46" s="944">
        <v>0</v>
      </c>
      <c r="H46" s="942">
        <f t="shared" si="16"/>
        <v>7.7275</v>
      </c>
      <c r="I46" s="942">
        <v>1</v>
      </c>
      <c r="J46" s="945">
        <f t="shared" si="10"/>
        <v>7.7275</v>
      </c>
      <c r="L46" s="918">
        <f t="shared" si="11"/>
        <v>0</v>
      </c>
      <c r="M46" s="918">
        <f t="shared" si="12"/>
        <v>0</v>
      </c>
      <c r="N46" s="918">
        <f t="shared" si="13"/>
        <v>7.7275</v>
      </c>
      <c r="O46" s="918">
        <f t="shared" si="14"/>
        <v>0</v>
      </c>
      <c r="P46" s="918">
        <f t="shared" si="7"/>
        <v>0</v>
      </c>
      <c r="Q46" s="918">
        <f t="shared" si="8"/>
        <v>0</v>
      </c>
    </row>
    <row r="47" spans="1:17">
      <c r="A47" s="941" t="s">
        <v>1876</v>
      </c>
      <c r="B47" s="942" t="s">
        <v>1887</v>
      </c>
      <c r="C47" s="943" t="s">
        <v>33</v>
      </c>
      <c r="D47" s="942">
        <v>0.66</v>
      </c>
      <c r="E47" s="942">
        <f t="shared" si="18"/>
        <v>2.75</v>
      </c>
      <c r="F47" s="942">
        <f t="shared" si="17"/>
        <v>1.8150000000000002</v>
      </c>
      <c r="G47" s="944">
        <v>0</v>
      </c>
      <c r="H47" s="942">
        <f t="shared" si="16"/>
        <v>1.8150000000000002</v>
      </c>
      <c r="I47" s="942">
        <v>1</v>
      </c>
      <c r="J47" s="945">
        <f t="shared" si="10"/>
        <v>1.8150000000000002</v>
      </c>
      <c r="L47" s="918">
        <f t="shared" si="11"/>
        <v>0</v>
      </c>
      <c r="M47" s="918">
        <f t="shared" si="12"/>
        <v>0</v>
      </c>
      <c r="N47" s="918">
        <f t="shared" si="13"/>
        <v>1.8150000000000002</v>
      </c>
      <c r="O47" s="918">
        <f t="shared" si="14"/>
        <v>0</v>
      </c>
      <c r="P47" s="918">
        <f t="shared" si="7"/>
        <v>0</v>
      </c>
      <c r="Q47" s="918">
        <f t="shared" si="8"/>
        <v>0</v>
      </c>
    </row>
    <row r="48" spans="1:17">
      <c r="A48" s="941" t="s">
        <v>1878</v>
      </c>
      <c r="B48" s="942" t="s">
        <v>1887</v>
      </c>
      <c r="C48" s="943" t="s">
        <v>33</v>
      </c>
      <c r="D48" s="942">
        <v>2.7</v>
      </c>
      <c r="E48" s="942">
        <f t="shared" si="18"/>
        <v>2.75</v>
      </c>
      <c r="F48" s="942">
        <f t="shared" si="17"/>
        <v>7.4250000000000007</v>
      </c>
      <c r="G48" s="944">
        <f>2.7*2.15</f>
        <v>5.8049999999999997</v>
      </c>
      <c r="H48" s="942">
        <f t="shared" si="16"/>
        <v>1.620000000000001</v>
      </c>
      <c r="I48" s="942">
        <v>1</v>
      </c>
      <c r="J48" s="945">
        <f t="shared" si="10"/>
        <v>1.620000000000001</v>
      </c>
      <c r="L48" s="918">
        <f t="shared" si="11"/>
        <v>0</v>
      </c>
      <c r="M48" s="918">
        <f t="shared" si="12"/>
        <v>0</v>
      </c>
      <c r="N48" s="918">
        <f t="shared" si="13"/>
        <v>1.620000000000001</v>
      </c>
      <c r="O48" s="918">
        <f t="shared" si="14"/>
        <v>0</v>
      </c>
      <c r="P48" s="918">
        <f t="shared" si="7"/>
        <v>0</v>
      </c>
      <c r="Q48" s="918">
        <f t="shared" si="8"/>
        <v>0</v>
      </c>
    </row>
    <row r="49" spans="1:17">
      <c r="A49" s="941" t="s">
        <v>1880</v>
      </c>
      <c r="B49" s="942" t="s">
        <v>409</v>
      </c>
      <c r="C49" s="943" t="s">
        <v>33</v>
      </c>
      <c r="D49" s="942">
        <v>5.95</v>
      </c>
      <c r="E49" s="942">
        <f t="shared" si="18"/>
        <v>2.75</v>
      </c>
      <c r="F49" s="942">
        <f t="shared" si="17"/>
        <v>16.362500000000001</v>
      </c>
      <c r="G49" s="944">
        <f>2.26*2.6+2.83*2.6</f>
        <v>13.234</v>
      </c>
      <c r="H49" s="942">
        <f t="shared" si="16"/>
        <v>3.1285000000000007</v>
      </c>
      <c r="I49" s="942">
        <v>1</v>
      </c>
      <c r="J49" s="945">
        <f t="shared" si="10"/>
        <v>3.1285000000000007</v>
      </c>
      <c r="L49" s="918">
        <f t="shared" si="11"/>
        <v>0</v>
      </c>
      <c r="M49" s="918">
        <f t="shared" si="12"/>
        <v>0</v>
      </c>
      <c r="N49" s="918">
        <f t="shared" si="13"/>
        <v>3.1285000000000007</v>
      </c>
      <c r="O49" s="918">
        <f t="shared" si="14"/>
        <v>0</v>
      </c>
      <c r="P49" s="918">
        <f t="shared" si="7"/>
        <v>0</v>
      </c>
      <c r="Q49" s="918">
        <f t="shared" si="8"/>
        <v>0</v>
      </c>
    </row>
    <row r="50" spans="1:17">
      <c r="A50" s="941" t="s">
        <v>1888</v>
      </c>
      <c r="B50" s="942" t="s">
        <v>409</v>
      </c>
      <c r="C50" s="943" t="s">
        <v>33</v>
      </c>
      <c r="D50" s="942">
        <v>1.1499999999999999</v>
      </c>
      <c r="E50" s="942">
        <f t="shared" si="18"/>
        <v>2.75</v>
      </c>
      <c r="F50" s="942">
        <f t="shared" si="17"/>
        <v>3.1624999999999996</v>
      </c>
      <c r="G50" s="944">
        <v>0</v>
      </c>
      <c r="H50" s="942">
        <f t="shared" si="16"/>
        <v>3.1624999999999996</v>
      </c>
      <c r="I50" s="942">
        <v>2</v>
      </c>
      <c r="J50" s="945">
        <f t="shared" si="10"/>
        <v>6.3249999999999993</v>
      </c>
      <c r="L50" s="918">
        <f t="shared" si="11"/>
        <v>0</v>
      </c>
      <c r="M50" s="918">
        <f t="shared" si="12"/>
        <v>0</v>
      </c>
      <c r="N50" s="918">
        <f t="shared" si="13"/>
        <v>6.3249999999999993</v>
      </c>
      <c r="O50" s="918">
        <f t="shared" si="14"/>
        <v>0</v>
      </c>
      <c r="P50" s="918">
        <f t="shared" si="7"/>
        <v>0</v>
      </c>
      <c r="Q50" s="918">
        <f t="shared" si="8"/>
        <v>0</v>
      </c>
    </row>
    <row r="51" spans="1:17">
      <c r="A51" s="941" t="s">
        <v>1889</v>
      </c>
      <c r="B51" s="942" t="s">
        <v>409</v>
      </c>
      <c r="C51" s="943" t="s">
        <v>33</v>
      </c>
      <c r="D51" s="942">
        <v>3.38</v>
      </c>
      <c r="E51" s="942">
        <f t="shared" si="18"/>
        <v>2.75</v>
      </c>
      <c r="F51" s="942">
        <f t="shared" si="17"/>
        <v>9.2949999999999999</v>
      </c>
      <c r="G51" s="944">
        <f>2.53*2.6</f>
        <v>6.5779999999999994</v>
      </c>
      <c r="H51" s="942">
        <f t="shared" si="16"/>
        <v>2.7170000000000005</v>
      </c>
      <c r="I51" s="942">
        <v>1</v>
      </c>
      <c r="J51" s="945">
        <f t="shared" si="10"/>
        <v>2.7170000000000005</v>
      </c>
      <c r="L51" s="918">
        <f t="shared" si="11"/>
        <v>0</v>
      </c>
      <c r="M51" s="918">
        <f t="shared" si="12"/>
        <v>0</v>
      </c>
      <c r="N51" s="918">
        <f t="shared" si="13"/>
        <v>2.7170000000000005</v>
      </c>
      <c r="O51" s="918">
        <f t="shared" si="14"/>
        <v>0</v>
      </c>
      <c r="P51" s="918">
        <f t="shared" si="7"/>
        <v>0</v>
      </c>
      <c r="Q51" s="918">
        <f t="shared" si="8"/>
        <v>0</v>
      </c>
    </row>
    <row r="52" spans="1:17">
      <c r="A52" s="941" t="s">
        <v>1890</v>
      </c>
      <c r="B52" s="942" t="s">
        <v>1887</v>
      </c>
      <c r="C52" s="943" t="s">
        <v>33</v>
      </c>
      <c r="D52" s="942">
        <v>0.86</v>
      </c>
      <c r="E52" s="942">
        <v>3.2</v>
      </c>
      <c r="F52" s="942">
        <f t="shared" si="17"/>
        <v>2.7520000000000002</v>
      </c>
      <c r="G52" s="944">
        <v>0</v>
      </c>
      <c r="H52" s="942">
        <f t="shared" si="16"/>
        <v>2.7520000000000002</v>
      </c>
      <c r="I52" s="942">
        <v>1</v>
      </c>
      <c r="J52" s="945">
        <f t="shared" si="10"/>
        <v>2.7520000000000002</v>
      </c>
      <c r="L52" s="918">
        <f t="shared" si="11"/>
        <v>0</v>
      </c>
      <c r="M52" s="918">
        <f t="shared" si="12"/>
        <v>0</v>
      </c>
      <c r="N52" s="918">
        <f t="shared" si="13"/>
        <v>2.7520000000000002</v>
      </c>
      <c r="O52" s="918">
        <f t="shared" si="14"/>
        <v>0</v>
      </c>
      <c r="P52" s="918">
        <f t="shared" si="7"/>
        <v>0</v>
      </c>
      <c r="Q52" s="918">
        <f t="shared" si="8"/>
        <v>0</v>
      </c>
    </row>
    <row r="53" spans="1:17">
      <c r="A53" s="941" t="s">
        <v>1891</v>
      </c>
      <c r="B53" s="942" t="s">
        <v>1887</v>
      </c>
      <c r="C53" s="943" t="s">
        <v>33</v>
      </c>
      <c r="D53" s="942">
        <v>1.6</v>
      </c>
      <c r="E53" s="942">
        <v>3.2</v>
      </c>
      <c r="F53" s="942">
        <f t="shared" si="17"/>
        <v>5.120000000000001</v>
      </c>
      <c r="G53" s="944">
        <v>0</v>
      </c>
      <c r="H53" s="942">
        <f t="shared" si="16"/>
        <v>5.120000000000001</v>
      </c>
      <c r="I53" s="942">
        <v>1</v>
      </c>
      <c r="J53" s="945">
        <f t="shared" si="10"/>
        <v>5.120000000000001</v>
      </c>
      <c r="L53" s="918">
        <f t="shared" si="11"/>
        <v>0</v>
      </c>
      <c r="M53" s="918">
        <f t="shared" si="12"/>
        <v>0</v>
      </c>
      <c r="N53" s="918">
        <f t="shared" si="13"/>
        <v>5.120000000000001</v>
      </c>
      <c r="O53" s="918">
        <f t="shared" si="14"/>
        <v>0</v>
      </c>
      <c r="P53" s="918">
        <f t="shared" si="7"/>
        <v>0</v>
      </c>
      <c r="Q53" s="918">
        <f t="shared" si="8"/>
        <v>0</v>
      </c>
    </row>
    <row r="54" spans="1:17">
      <c r="A54" s="946" t="s">
        <v>1892</v>
      </c>
      <c r="B54" s="947" t="s">
        <v>1893</v>
      </c>
      <c r="C54" s="948" t="s">
        <v>33</v>
      </c>
      <c r="D54" s="947">
        <v>0.7</v>
      </c>
      <c r="E54" s="947">
        <v>3.2</v>
      </c>
      <c r="F54" s="947">
        <f t="shared" si="17"/>
        <v>2.2399999999999998</v>
      </c>
      <c r="G54" s="949">
        <v>0</v>
      </c>
      <c r="H54" s="947">
        <f t="shared" si="16"/>
        <v>2.2399999999999998</v>
      </c>
      <c r="I54" s="947">
        <v>1</v>
      </c>
      <c r="J54" s="950">
        <f t="shared" si="10"/>
        <v>2.2399999999999998</v>
      </c>
      <c r="L54" s="918">
        <f t="shared" si="11"/>
        <v>0</v>
      </c>
      <c r="M54" s="918">
        <f t="shared" si="12"/>
        <v>0</v>
      </c>
      <c r="N54" s="918">
        <f t="shared" si="13"/>
        <v>2.2399999999999998</v>
      </c>
      <c r="O54" s="918">
        <f t="shared" si="14"/>
        <v>0</v>
      </c>
      <c r="P54" s="918">
        <f t="shared" si="7"/>
        <v>0</v>
      </c>
      <c r="Q54" s="918">
        <f t="shared" si="8"/>
        <v>0</v>
      </c>
    </row>
    <row r="55" spans="1:17">
      <c r="A55" s="936" t="s">
        <v>1894</v>
      </c>
      <c r="B55" s="937" t="s">
        <v>1895</v>
      </c>
      <c r="C55" s="938" t="s">
        <v>363</v>
      </c>
      <c r="D55" s="937">
        <v>0.9</v>
      </c>
      <c r="E55" s="937">
        <v>3.2</v>
      </c>
      <c r="F55" s="937">
        <f t="shared" si="17"/>
        <v>2.8800000000000003</v>
      </c>
      <c r="G55" s="939">
        <v>0</v>
      </c>
      <c r="H55" s="937">
        <f t="shared" si="16"/>
        <v>2.8800000000000003</v>
      </c>
      <c r="I55" s="937">
        <v>1</v>
      </c>
      <c r="J55" s="940">
        <f t="shared" si="10"/>
        <v>2.8800000000000003</v>
      </c>
      <c r="L55" s="918">
        <f t="shared" si="11"/>
        <v>2.8800000000000003</v>
      </c>
      <c r="M55" s="918">
        <f t="shared" si="12"/>
        <v>0</v>
      </c>
      <c r="N55" s="918">
        <f t="shared" si="13"/>
        <v>0</v>
      </c>
      <c r="O55" s="918">
        <f t="shared" si="14"/>
        <v>0</v>
      </c>
      <c r="P55" s="918">
        <f t="shared" si="7"/>
        <v>0</v>
      </c>
      <c r="Q55" s="918">
        <f t="shared" si="8"/>
        <v>0</v>
      </c>
    </row>
    <row r="56" spans="1:17">
      <c r="A56" s="941" t="s">
        <v>1896</v>
      </c>
      <c r="B56" s="942" t="s">
        <v>1895</v>
      </c>
      <c r="C56" s="943" t="s">
        <v>363</v>
      </c>
      <c r="D56" s="942">
        <v>0.23</v>
      </c>
      <c r="E56" s="942">
        <v>3.2</v>
      </c>
      <c r="F56" s="942">
        <f t="shared" si="17"/>
        <v>0.7360000000000001</v>
      </c>
      <c r="G56" s="944">
        <v>0</v>
      </c>
      <c r="H56" s="942">
        <f t="shared" si="16"/>
        <v>0.7360000000000001</v>
      </c>
      <c r="I56" s="942">
        <v>1</v>
      </c>
      <c r="J56" s="945">
        <f t="shared" si="10"/>
        <v>0.7360000000000001</v>
      </c>
      <c r="L56" s="918">
        <f t="shared" si="11"/>
        <v>0.7360000000000001</v>
      </c>
      <c r="M56" s="918">
        <f t="shared" si="12"/>
        <v>0</v>
      </c>
      <c r="N56" s="918">
        <f t="shared" si="13"/>
        <v>0</v>
      </c>
      <c r="O56" s="918">
        <f t="shared" si="14"/>
        <v>0</v>
      </c>
      <c r="P56" s="918">
        <f t="shared" si="7"/>
        <v>0</v>
      </c>
      <c r="Q56" s="918">
        <f t="shared" si="8"/>
        <v>0</v>
      </c>
    </row>
    <row r="57" spans="1:17">
      <c r="A57" s="941" t="s">
        <v>1897</v>
      </c>
      <c r="B57" s="942" t="s">
        <v>1898</v>
      </c>
      <c r="C57" s="943" t="s">
        <v>363</v>
      </c>
      <c r="D57" s="942">
        <v>0.86</v>
      </c>
      <c r="E57" s="942">
        <v>3.2</v>
      </c>
      <c r="F57" s="942">
        <f t="shared" si="17"/>
        <v>2.7520000000000002</v>
      </c>
      <c r="G57" s="944">
        <v>0</v>
      </c>
      <c r="H57" s="942">
        <f t="shared" si="16"/>
        <v>2.7520000000000002</v>
      </c>
      <c r="I57" s="942">
        <v>1</v>
      </c>
      <c r="J57" s="945">
        <f t="shared" si="10"/>
        <v>2.7520000000000002</v>
      </c>
      <c r="L57" s="918">
        <f t="shared" si="11"/>
        <v>2.7520000000000002</v>
      </c>
      <c r="M57" s="918">
        <f t="shared" si="12"/>
        <v>0</v>
      </c>
      <c r="N57" s="918">
        <f t="shared" si="13"/>
        <v>0</v>
      </c>
      <c r="O57" s="918">
        <f t="shared" si="14"/>
        <v>0</v>
      </c>
      <c r="P57" s="918">
        <f t="shared" si="7"/>
        <v>0</v>
      </c>
      <c r="Q57" s="918">
        <f t="shared" si="8"/>
        <v>0</v>
      </c>
    </row>
    <row r="58" spans="1:17">
      <c r="A58" s="941" t="s">
        <v>1899</v>
      </c>
      <c r="B58" s="942" t="s">
        <v>1900</v>
      </c>
      <c r="C58" s="943" t="s">
        <v>363</v>
      </c>
      <c r="D58" s="942">
        <v>0.35</v>
      </c>
      <c r="E58" s="942">
        <v>3.2</v>
      </c>
      <c r="F58" s="942">
        <f t="shared" si="17"/>
        <v>1.1199999999999999</v>
      </c>
      <c r="G58" s="944">
        <v>0</v>
      </c>
      <c r="H58" s="942">
        <f t="shared" si="16"/>
        <v>1.1199999999999999</v>
      </c>
      <c r="I58" s="942">
        <v>1</v>
      </c>
      <c r="J58" s="945">
        <f t="shared" si="10"/>
        <v>1.1199999999999999</v>
      </c>
      <c r="L58" s="918">
        <f t="shared" si="11"/>
        <v>1.1199999999999999</v>
      </c>
      <c r="M58" s="918">
        <f t="shared" si="12"/>
        <v>0</v>
      </c>
      <c r="N58" s="918">
        <f t="shared" si="13"/>
        <v>0</v>
      </c>
      <c r="O58" s="918">
        <f t="shared" si="14"/>
        <v>0</v>
      </c>
      <c r="P58" s="918">
        <f t="shared" si="7"/>
        <v>0</v>
      </c>
      <c r="Q58" s="918">
        <f t="shared" si="8"/>
        <v>0</v>
      </c>
    </row>
    <row r="59" spans="1:17">
      <c r="A59" s="941" t="s">
        <v>1901</v>
      </c>
      <c r="B59" s="942" t="s">
        <v>1900</v>
      </c>
      <c r="C59" s="943" t="s">
        <v>363</v>
      </c>
      <c r="D59" s="942">
        <v>0.5</v>
      </c>
      <c r="E59" s="942">
        <v>3.2</v>
      </c>
      <c r="F59" s="942">
        <f t="shared" si="17"/>
        <v>1.6</v>
      </c>
      <c r="G59" s="944">
        <v>0</v>
      </c>
      <c r="H59" s="942">
        <f t="shared" si="16"/>
        <v>1.6</v>
      </c>
      <c r="I59" s="942">
        <v>1</v>
      </c>
      <c r="J59" s="945">
        <f t="shared" si="10"/>
        <v>1.6</v>
      </c>
      <c r="L59" s="918">
        <f t="shared" si="11"/>
        <v>1.6</v>
      </c>
      <c r="M59" s="918">
        <f t="shared" si="12"/>
        <v>0</v>
      </c>
      <c r="N59" s="918">
        <f t="shared" si="13"/>
        <v>0</v>
      </c>
      <c r="O59" s="918">
        <f t="shared" si="14"/>
        <v>0</v>
      </c>
      <c r="P59" s="918">
        <f t="shared" si="7"/>
        <v>0</v>
      </c>
      <c r="Q59" s="918">
        <f t="shared" si="8"/>
        <v>0</v>
      </c>
    </row>
    <row r="60" spans="1:17">
      <c r="A60" s="941" t="s">
        <v>1902</v>
      </c>
      <c r="B60" s="942" t="s">
        <v>1903</v>
      </c>
      <c r="C60" s="943" t="s">
        <v>363</v>
      </c>
      <c r="D60" s="942">
        <v>2.48</v>
      </c>
      <c r="E60" s="942">
        <v>3.2</v>
      </c>
      <c r="F60" s="942">
        <f t="shared" si="17"/>
        <v>7.9359999999999999</v>
      </c>
      <c r="G60" s="944">
        <v>0</v>
      </c>
      <c r="H60" s="942">
        <f t="shared" si="16"/>
        <v>7.9359999999999999</v>
      </c>
      <c r="I60" s="942">
        <v>1</v>
      </c>
      <c r="J60" s="945">
        <f t="shared" si="10"/>
        <v>7.9359999999999999</v>
      </c>
      <c r="L60" s="918">
        <f t="shared" si="11"/>
        <v>7.9359999999999999</v>
      </c>
      <c r="M60" s="918">
        <f t="shared" si="12"/>
        <v>0</v>
      </c>
      <c r="N60" s="918">
        <f t="shared" si="13"/>
        <v>0</v>
      </c>
      <c r="O60" s="918">
        <f t="shared" si="14"/>
        <v>0</v>
      </c>
      <c r="P60" s="918">
        <f t="shared" si="7"/>
        <v>0</v>
      </c>
      <c r="Q60" s="918">
        <f t="shared" si="8"/>
        <v>0</v>
      </c>
    </row>
    <row r="61" spans="1:17">
      <c r="A61" s="941" t="s">
        <v>1904</v>
      </c>
      <c r="B61" s="942" t="s">
        <v>1905</v>
      </c>
      <c r="C61" s="943" t="s">
        <v>363</v>
      </c>
      <c r="D61" s="942">
        <v>3.73</v>
      </c>
      <c r="E61" s="942">
        <f>3.2-0.45</f>
        <v>2.75</v>
      </c>
      <c r="F61" s="942">
        <f t="shared" si="17"/>
        <v>10.2575</v>
      </c>
      <c r="G61" s="944">
        <v>0</v>
      </c>
      <c r="H61" s="942">
        <f t="shared" si="16"/>
        <v>10.2575</v>
      </c>
      <c r="I61" s="942">
        <v>1</v>
      </c>
      <c r="J61" s="945">
        <f t="shared" si="10"/>
        <v>10.2575</v>
      </c>
      <c r="L61" s="918">
        <f t="shared" si="11"/>
        <v>10.2575</v>
      </c>
      <c r="M61" s="918">
        <f t="shared" si="12"/>
        <v>0</v>
      </c>
      <c r="N61" s="918">
        <f t="shared" si="13"/>
        <v>0</v>
      </c>
      <c r="O61" s="918">
        <f t="shared" si="14"/>
        <v>0</v>
      </c>
      <c r="P61" s="918">
        <f t="shared" si="7"/>
        <v>0</v>
      </c>
      <c r="Q61" s="918">
        <f t="shared" si="8"/>
        <v>0</v>
      </c>
    </row>
    <row r="62" spans="1:17">
      <c r="A62" s="941" t="s">
        <v>1906</v>
      </c>
      <c r="B62" s="942" t="s">
        <v>1905</v>
      </c>
      <c r="C62" s="943" t="s">
        <v>363</v>
      </c>
      <c r="D62" s="942">
        <v>1.02</v>
      </c>
      <c r="E62" s="942">
        <v>3.2</v>
      </c>
      <c r="F62" s="942">
        <f t="shared" si="17"/>
        <v>3.2640000000000002</v>
      </c>
      <c r="G62" s="944">
        <v>0</v>
      </c>
      <c r="H62" s="942">
        <f t="shared" si="16"/>
        <v>3.2640000000000002</v>
      </c>
      <c r="I62" s="942">
        <v>1</v>
      </c>
      <c r="J62" s="945">
        <f t="shared" si="10"/>
        <v>3.2640000000000002</v>
      </c>
      <c r="L62" s="918">
        <f t="shared" si="11"/>
        <v>3.2640000000000002</v>
      </c>
      <c r="M62" s="918">
        <f t="shared" si="12"/>
        <v>0</v>
      </c>
      <c r="N62" s="918">
        <f t="shared" si="13"/>
        <v>0</v>
      </c>
      <c r="O62" s="918">
        <f t="shared" si="14"/>
        <v>0</v>
      </c>
      <c r="P62" s="918">
        <f t="shared" si="7"/>
        <v>0</v>
      </c>
      <c r="Q62" s="918">
        <f t="shared" si="8"/>
        <v>0</v>
      </c>
    </row>
    <row r="63" spans="1:17">
      <c r="A63" s="941" t="s">
        <v>1907</v>
      </c>
      <c r="B63" s="942" t="s">
        <v>1905</v>
      </c>
      <c r="C63" s="943" t="s">
        <v>363</v>
      </c>
      <c r="D63" s="942">
        <v>3.15</v>
      </c>
      <c r="E63" s="942">
        <v>3.2</v>
      </c>
      <c r="F63" s="942">
        <f t="shared" si="17"/>
        <v>10.08</v>
      </c>
      <c r="G63" s="944">
        <v>0</v>
      </c>
      <c r="H63" s="942">
        <f t="shared" si="16"/>
        <v>10.08</v>
      </c>
      <c r="I63" s="942">
        <v>1</v>
      </c>
      <c r="J63" s="945">
        <f t="shared" si="10"/>
        <v>10.08</v>
      </c>
      <c r="L63" s="918">
        <f t="shared" si="11"/>
        <v>10.08</v>
      </c>
      <c r="M63" s="918">
        <f t="shared" si="12"/>
        <v>0</v>
      </c>
      <c r="N63" s="918">
        <f t="shared" si="13"/>
        <v>0</v>
      </c>
      <c r="O63" s="918">
        <f t="shared" si="14"/>
        <v>0</v>
      </c>
      <c r="P63" s="918">
        <f t="shared" si="7"/>
        <v>0</v>
      </c>
      <c r="Q63" s="918">
        <f t="shared" si="8"/>
        <v>0</v>
      </c>
    </row>
    <row r="64" spans="1:17">
      <c r="A64" s="941" t="s">
        <v>1908</v>
      </c>
      <c r="B64" s="942" t="s">
        <v>1909</v>
      </c>
      <c r="C64" s="943" t="s">
        <v>363</v>
      </c>
      <c r="D64" s="942">
        <v>1.37</v>
      </c>
      <c r="E64" s="942">
        <f>3.2-0.45</f>
        <v>2.75</v>
      </c>
      <c r="F64" s="942">
        <f t="shared" si="17"/>
        <v>3.7675000000000001</v>
      </c>
      <c r="G64" s="944">
        <v>0</v>
      </c>
      <c r="H64" s="942">
        <f t="shared" si="16"/>
        <v>3.7675000000000001</v>
      </c>
      <c r="I64" s="942">
        <v>1</v>
      </c>
      <c r="J64" s="945">
        <f t="shared" si="10"/>
        <v>3.7675000000000001</v>
      </c>
      <c r="L64" s="918">
        <f t="shared" si="11"/>
        <v>3.7675000000000001</v>
      </c>
      <c r="M64" s="918">
        <f t="shared" si="12"/>
        <v>0</v>
      </c>
      <c r="N64" s="918">
        <f t="shared" si="13"/>
        <v>0</v>
      </c>
      <c r="O64" s="918">
        <f t="shared" si="14"/>
        <v>0</v>
      </c>
      <c r="P64" s="918">
        <f t="shared" si="7"/>
        <v>0</v>
      </c>
      <c r="Q64" s="918">
        <f t="shared" si="8"/>
        <v>0</v>
      </c>
    </row>
    <row r="65" spans="1:18">
      <c r="A65" s="941" t="s">
        <v>1910</v>
      </c>
      <c r="B65" s="942" t="s">
        <v>1909</v>
      </c>
      <c r="C65" s="943" t="s">
        <v>363</v>
      </c>
      <c r="D65" s="942">
        <v>1.18</v>
      </c>
      <c r="E65" s="942">
        <v>3.2</v>
      </c>
      <c r="F65" s="942">
        <f t="shared" si="17"/>
        <v>3.7759999999999998</v>
      </c>
      <c r="G65" s="944">
        <v>0</v>
      </c>
      <c r="H65" s="942">
        <f t="shared" si="16"/>
        <v>3.7759999999999998</v>
      </c>
      <c r="I65" s="942">
        <v>1</v>
      </c>
      <c r="J65" s="945">
        <f t="shared" si="10"/>
        <v>3.7759999999999998</v>
      </c>
      <c r="L65" s="918">
        <f t="shared" si="11"/>
        <v>3.7759999999999998</v>
      </c>
      <c r="M65" s="918">
        <f t="shared" si="12"/>
        <v>0</v>
      </c>
      <c r="N65" s="918">
        <f t="shared" si="13"/>
        <v>0</v>
      </c>
      <c r="O65" s="918">
        <f t="shared" si="14"/>
        <v>0</v>
      </c>
      <c r="P65" s="918">
        <f t="shared" si="7"/>
        <v>0</v>
      </c>
      <c r="Q65" s="918">
        <f t="shared" si="8"/>
        <v>0</v>
      </c>
    </row>
    <row r="66" spans="1:18">
      <c r="A66" s="941" t="s">
        <v>1911</v>
      </c>
      <c r="B66" s="942" t="s">
        <v>1909</v>
      </c>
      <c r="C66" s="943" t="s">
        <v>363</v>
      </c>
      <c r="D66" s="942">
        <v>3.15</v>
      </c>
      <c r="E66" s="942">
        <v>3.2</v>
      </c>
      <c r="F66" s="942">
        <f t="shared" si="17"/>
        <v>10.08</v>
      </c>
      <c r="G66" s="944">
        <v>0</v>
      </c>
      <c r="H66" s="942">
        <f t="shared" si="16"/>
        <v>10.08</v>
      </c>
      <c r="I66" s="942">
        <v>1</v>
      </c>
      <c r="J66" s="945">
        <f t="shared" si="10"/>
        <v>10.08</v>
      </c>
      <c r="L66" s="918">
        <f>IF(C66=$L$2,J66,0)</f>
        <v>10.08</v>
      </c>
      <c r="M66" s="918">
        <f t="shared" si="12"/>
        <v>0</v>
      </c>
      <c r="N66" s="918">
        <f t="shared" si="13"/>
        <v>0</v>
      </c>
      <c r="O66" s="918">
        <f t="shared" si="14"/>
        <v>0</v>
      </c>
      <c r="P66" s="918">
        <f t="shared" si="7"/>
        <v>0</v>
      </c>
      <c r="Q66" s="918">
        <f t="shared" si="8"/>
        <v>0</v>
      </c>
    </row>
    <row r="67" spans="1:18">
      <c r="A67" s="941" t="s">
        <v>1912</v>
      </c>
      <c r="B67" s="942" t="s">
        <v>1913</v>
      </c>
      <c r="C67" s="943" t="s">
        <v>363</v>
      </c>
      <c r="D67" s="942">
        <v>0.48</v>
      </c>
      <c r="E67" s="942">
        <f>3.2-0.45</f>
        <v>2.75</v>
      </c>
      <c r="F67" s="942">
        <f t="shared" si="17"/>
        <v>1.3199999999999998</v>
      </c>
      <c r="G67" s="944">
        <v>0</v>
      </c>
      <c r="H67" s="942">
        <f t="shared" si="16"/>
        <v>1.3199999999999998</v>
      </c>
      <c r="I67" s="942">
        <v>1</v>
      </c>
      <c r="J67" s="945">
        <f t="shared" si="10"/>
        <v>1.3199999999999998</v>
      </c>
      <c r="L67" s="918">
        <f t="shared" ref="L67:L73" si="19">IF(C67=$L$2,J67,0)</f>
        <v>1.3199999999999998</v>
      </c>
      <c r="M67" s="918">
        <f t="shared" si="12"/>
        <v>0</v>
      </c>
      <c r="N67" s="918">
        <f t="shared" si="13"/>
        <v>0</v>
      </c>
      <c r="O67" s="918">
        <f t="shared" si="14"/>
        <v>0</v>
      </c>
      <c r="P67" s="918">
        <f t="shared" si="7"/>
        <v>0</v>
      </c>
      <c r="Q67" s="918">
        <f t="shared" si="8"/>
        <v>0</v>
      </c>
    </row>
    <row r="68" spans="1:18">
      <c r="A68" s="941" t="s">
        <v>1914</v>
      </c>
      <c r="B68" s="942" t="s">
        <v>1913</v>
      </c>
      <c r="C68" s="943" t="s">
        <v>363</v>
      </c>
      <c r="D68" s="942">
        <v>1.96</v>
      </c>
      <c r="E68" s="942">
        <v>3.2</v>
      </c>
      <c r="F68" s="942">
        <f t="shared" si="17"/>
        <v>6.2720000000000002</v>
      </c>
      <c r="G68" s="944">
        <v>0</v>
      </c>
      <c r="H68" s="942">
        <f t="shared" si="16"/>
        <v>6.2720000000000002</v>
      </c>
      <c r="I68" s="942">
        <v>1</v>
      </c>
      <c r="J68" s="945">
        <f t="shared" si="10"/>
        <v>6.2720000000000002</v>
      </c>
      <c r="L68" s="918">
        <f t="shared" si="19"/>
        <v>6.2720000000000002</v>
      </c>
      <c r="M68" s="918">
        <f t="shared" si="12"/>
        <v>0</v>
      </c>
      <c r="N68" s="918">
        <f t="shared" si="13"/>
        <v>0</v>
      </c>
      <c r="O68" s="918">
        <f t="shared" si="14"/>
        <v>0</v>
      </c>
      <c r="P68" s="918">
        <f t="shared" si="7"/>
        <v>0</v>
      </c>
      <c r="Q68" s="918">
        <f t="shared" si="8"/>
        <v>0</v>
      </c>
    </row>
    <row r="69" spans="1:18">
      <c r="A69" s="941" t="s">
        <v>1915</v>
      </c>
      <c r="B69" s="942" t="s">
        <v>1913</v>
      </c>
      <c r="C69" s="943" t="s">
        <v>363</v>
      </c>
      <c r="D69" s="942">
        <v>1.1000000000000001</v>
      </c>
      <c r="E69" s="942">
        <v>3.2</v>
      </c>
      <c r="F69" s="942">
        <f t="shared" si="17"/>
        <v>3.5200000000000005</v>
      </c>
      <c r="G69" s="944">
        <v>0</v>
      </c>
      <c r="H69" s="942">
        <f t="shared" si="16"/>
        <v>3.5200000000000005</v>
      </c>
      <c r="I69" s="942">
        <v>1</v>
      </c>
      <c r="J69" s="945">
        <f t="shared" si="10"/>
        <v>3.5200000000000005</v>
      </c>
      <c r="L69" s="918">
        <f t="shared" si="19"/>
        <v>3.5200000000000005</v>
      </c>
      <c r="M69" s="918">
        <f t="shared" si="12"/>
        <v>0</v>
      </c>
      <c r="N69" s="918">
        <f t="shared" si="13"/>
        <v>0</v>
      </c>
      <c r="O69" s="918">
        <f t="shared" si="14"/>
        <v>0</v>
      </c>
      <c r="P69" s="918">
        <f t="shared" si="7"/>
        <v>0</v>
      </c>
      <c r="Q69" s="918">
        <f t="shared" si="8"/>
        <v>0</v>
      </c>
    </row>
    <row r="70" spans="1:18">
      <c r="A70" s="941" t="s">
        <v>1916</v>
      </c>
      <c r="B70" s="942" t="s">
        <v>1917</v>
      </c>
      <c r="C70" s="943" t="s">
        <v>363</v>
      </c>
      <c r="D70" s="942">
        <v>1.22</v>
      </c>
      <c r="E70" s="942">
        <v>3.2</v>
      </c>
      <c r="F70" s="942">
        <f>+D70*E70</f>
        <v>3.9039999999999999</v>
      </c>
      <c r="G70" s="944">
        <v>0</v>
      </c>
      <c r="H70" s="942">
        <f t="shared" si="16"/>
        <v>3.9039999999999999</v>
      </c>
      <c r="I70" s="942">
        <v>1</v>
      </c>
      <c r="J70" s="945">
        <f t="shared" si="10"/>
        <v>3.9039999999999999</v>
      </c>
      <c r="L70" s="918">
        <f t="shared" si="19"/>
        <v>3.9039999999999999</v>
      </c>
      <c r="M70" s="918">
        <f t="shared" si="12"/>
        <v>0</v>
      </c>
      <c r="N70" s="918">
        <f t="shared" si="13"/>
        <v>0</v>
      </c>
      <c r="O70" s="918">
        <f t="shared" si="14"/>
        <v>0</v>
      </c>
      <c r="P70" s="918">
        <f t="shared" si="7"/>
        <v>0</v>
      </c>
      <c r="Q70" s="918">
        <f t="shared" si="8"/>
        <v>0</v>
      </c>
    </row>
    <row r="71" spans="1:18">
      <c r="A71" s="941" t="s">
        <v>1918</v>
      </c>
      <c r="B71" s="942" t="s">
        <v>1112</v>
      </c>
      <c r="C71" s="943" t="s">
        <v>363</v>
      </c>
      <c r="D71" s="942">
        <v>3.8</v>
      </c>
      <c r="E71" s="942">
        <f>3.2-0.45</f>
        <v>2.75</v>
      </c>
      <c r="F71" s="942">
        <f t="shared" si="17"/>
        <v>10.45</v>
      </c>
      <c r="G71" s="944">
        <v>0</v>
      </c>
      <c r="H71" s="942">
        <f t="shared" si="16"/>
        <v>10.45</v>
      </c>
      <c r="I71" s="942">
        <v>1</v>
      </c>
      <c r="J71" s="945">
        <f t="shared" si="10"/>
        <v>10.45</v>
      </c>
      <c r="L71" s="918">
        <f t="shared" si="19"/>
        <v>10.45</v>
      </c>
      <c r="M71" s="918">
        <f t="shared" si="12"/>
        <v>0</v>
      </c>
      <c r="N71" s="918">
        <f t="shared" si="13"/>
        <v>0</v>
      </c>
      <c r="O71" s="918">
        <f t="shared" si="14"/>
        <v>0</v>
      </c>
      <c r="P71" s="918">
        <f t="shared" si="7"/>
        <v>0</v>
      </c>
      <c r="Q71" s="918">
        <f t="shared" ref="Q71:Q134" si="20">+SUM(L71:P71)-J71</f>
        <v>0</v>
      </c>
    </row>
    <row r="72" spans="1:18">
      <c r="A72" s="941" t="s">
        <v>1919</v>
      </c>
      <c r="B72" s="942" t="s">
        <v>1920</v>
      </c>
      <c r="C72" s="943" t="s">
        <v>363</v>
      </c>
      <c r="D72" s="942">
        <v>2.1</v>
      </c>
      <c r="E72" s="942">
        <f t="shared" ref="E72:E73" si="21">3.2-0.45</f>
        <v>2.75</v>
      </c>
      <c r="F72" s="942">
        <f>+D72*E72</f>
        <v>5.7750000000000004</v>
      </c>
      <c r="G72" s="944">
        <v>0</v>
      </c>
      <c r="H72" s="942">
        <f>+F72-G72</f>
        <v>5.7750000000000004</v>
      </c>
      <c r="I72" s="942">
        <v>1</v>
      </c>
      <c r="J72" s="945">
        <f>+H72*I72</f>
        <v>5.7750000000000004</v>
      </c>
      <c r="L72" s="918">
        <f t="shared" si="19"/>
        <v>5.7750000000000004</v>
      </c>
      <c r="M72" s="918">
        <f t="shared" si="12"/>
        <v>0</v>
      </c>
      <c r="N72" s="918">
        <f t="shared" si="13"/>
        <v>0</v>
      </c>
      <c r="O72" s="918">
        <f t="shared" si="14"/>
        <v>0</v>
      </c>
      <c r="P72" s="918">
        <f t="shared" si="7"/>
        <v>0</v>
      </c>
      <c r="Q72" s="918">
        <f t="shared" si="20"/>
        <v>0</v>
      </c>
    </row>
    <row r="73" spans="1:18">
      <c r="A73" s="941" t="s">
        <v>1910</v>
      </c>
      <c r="B73" s="942" t="s">
        <v>1920</v>
      </c>
      <c r="C73" s="943" t="s">
        <v>363</v>
      </c>
      <c r="D73" s="942">
        <v>0.46</v>
      </c>
      <c r="E73" s="942">
        <f t="shared" si="21"/>
        <v>2.75</v>
      </c>
      <c r="F73" s="942">
        <f t="shared" ref="F73:F77" si="22">+D73*E73</f>
        <v>1.2650000000000001</v>
      </c>
      <c r="G73" s="944">
        <v>0</v>
      </c>
      <c r="H73" s="942">
        <f t="shared" ref="H73:H79" si="23">+F73-G73</f>
        <v>1.2650000000000001</v>
      </c>
      <c r="I73" s="942">
        <v>1</v>
      </c>
      <c r="J73" s="945">
        <f t="shared" ref="J73:J79" si="24">+H73*I73</f>
        <v>1.2650000000000001</v>
      </c>
      <c r="L73" s="918">
        <f t="shared" si="19"/>
        <v>1.2650000000000001</v>
      </c>
      <c r="M73" s="918">
        <f t="shared" si="12"/>
        <v>0</v>
      </c>
      <c r="N73" s="918">
        <f t="shared" si="13"/>
        <v>0</v>
      </c>
      <c r="O73" s="918">
        <f t="shared" si="14"/>
        <v>0</v>
      </c>
      <c r="P73" s="918">
        <f t="shared" ref="P73:P136" si="25">IF(C73=$P$2,J73,0)</f>
        <v>0</v>
      </c>
      <c r="Q73" s="918">
        <f t="shared" si="20"/>
        <v>0</v>
      </c>
    </row>
    <row r="74" spans="1:18">
      <c r="A74" s="941" t="s">
        <v>1911</v>
      </c>
      <c r="B74" s="942" t="s">
        <v>1921</v>
      </c>
      <c r="C74" s="943" t="s">
        <v>363</v>
      </c>
      <c r="D74" s="942">
        <v>2.65</v>
      </c>
      <c r="E74" s="942">
        <v>3.2</v>
      </c>
      <c r="F74" s="942">
        <f t="shared" si="22"/>
        <v>8.48</v>
      </c>
      <c r="G74" s="944">
        <v>0</v>
      </c>
      <c r="H74" s="942">
        <f t="shared" si="23"/>
        <v>8.48</v>
      </c>
      <c r="I74" s="942">
        <v>1</v>
      </c>
      <c r="J74" s="945">
        <f t="shared" si="24"/>
        <v>8.48</v>
      </c>
      <c r="L74" s="918">
        <f>IF(C74=$L$2,J74,0)</f>
        <v>8.48</v>
      </c>
      <c r="M74" s="918">
        <f t="shared" si="12"/>
        <v>0</v>
      </c>
      <c r="N74" s="918">
        <f t="shared" si="13"/>
        <v>0</v>
      </c>
      <c r="O74" s="918">
        <f t="shared" si="14"/>
        <v>0</v>
      </c>
      <c r="P74" s="918">
        <f t="shared" si="25"/>
        <v>0</v>
      </c>
      <c r="Q74" s="918">
        <f t="shared" si="20"/>
        <v>0</v>
      </c>
    </row>
    <row r="75" spans="1:18">
      <c r="A75" s="941" t="s">
        <v>1912</v>
      </c>
      <c r="B75" s="942" t="s">
        <v>1921</v>
      </c>
      <c r="C75" s="943" t="s">
        <v>363</v>
      </c>
      <c r="D75" s="942">
        <v>0.37</v>
      </c>
      <c r="E75" s="942">
        <v>3.2</v>
      </c>
      <c r="F75" s="942">
        <f t="shared" si="22"/>
        <v>1.1839999999999999</v>
      </c>
      <c r="G75" s="944">
        <v>0</v>
      </c>
      <c r="H75" s="942">
        <f t="shared" si="23"/>
        <v>1.1839999999999999</v>
      </c>
      <c r="I75" s="942">
        <v>1</v>
      </c>
      <c r="J75" s="945">
        <f t="shared" si="24"/>
        <v>1.1839999999999999</v>
      </c>
      <c r="L75" s="918">
        <f t="shared" ref="L75:L79" si="26">IF(C75=$L$2,J75,0)</f>
        <v>1.1839999999999999</v>
      </c>
      <c r="M75" s="918">
        <f t="shared" si="12"/>
        <v>0</v>
      </c>
      <c r="N75" s="918">
        <f t="shared" si="13"/>
        <v>0</v>
      </c>
      <c r="O75" s="918">
        <f t="shared" si="14"/>
        <v>0</v>
      </c>
      <c r="P75" s="918">
        <f t="shared" si="25"/>
        <v>0</v>
      </c>
      <c r="Q75" s="918">
        <f t="shared" si="20"/>
        <v>0</v>
      </c>
    </row>
    <row r="76" spans="1:18">
      <c r="A76" s="941" t="s">
        <v>1914</v>
      </c>
      <c r="B76" s="942" t="s">
        <v>1921</v>
      </c>
      <c r="C76" s="943" t="s">
        <v>363</v>
      </c>
      <c r="D76" s="942">
        <v>4.74</v>
      </c>
      <c r="E76" s="942">
        <v>3.2</v>
      </c>
      <c r="F76" s="942">
        <f t="shared" si="22"/>
        <v>15.168000000000001</v>
      </c>
      <c r="G76" s="944">
        <v>0</v>
      </c>
      <c r="H76" s="942">
        <f t="shared" si="23"/>
        <v>15.168000000000001</v>
      </c>
      <c r="I76" s="942">
        <v>1</v>
      </c>
      <c r="J76" s="945">
        <f t="shared" si="24"/>
        <v>15.168000000000001</v>
      </c>
      <c r="L76" s="918">
        <f t="shared" si="26"/>
        <v>15.168000000000001</v>
      </c>
      <c r="M76" s="918">
        <f t="shared" si="12"/>
        <v>0</v>
      </c>
      <c r="N76" s="918">
        <f t="shared" si="13"/>
        <v>0</v>
      </c>
      <c r="O76" s="918">
        <f t="shared" si="14"/>
        <v>0</v>
      </c>
      <c r="P76" s="918">
        <f t="shared" si="25"/>
        <v>0</v>
      </c>
      <c r="Q76" s="918">
        <f t="shared" si="20"/>
        <v>0</v>
      </c>
    </row>
    <row r="77" spans="1:18">
      <c r="A77" s="941" t="s">
        <v>1915</v>
      </c>
      <c r="B77" s="942" t="s">
        <v>1921</v>
      </c>
      <c r="C77" s="943" t="s">
        <v>363</v>
      </c>
      <c r="D77" s="942">
        <v>1.7</v>
      </c>
      <c r="E77" s="942">
        <v>3.2</v>
      </c>
      <c r="F77" s="942">
        <f t="shared" si="22"/>
        <v>5.44</v>
      </c>
      <c r="G77" s="944">
        <v>0</v>
      </c>
      <c r="H77" s="942">
        <f t="shared" si="23"/>
        <v>5.44</v>
      </c>
      <c r="I77" s="942">
        <v>2</v>
      </c>
      <c r="J77" s="945">
        <f t="shared" si="24"/>
        <v>10.88</v>
      </c>
      <c r="L77" s="918">
        <f t="shared" si="26"/>
        <v>10.88</v>
      </c>
      <c r="M77" s="918">
        <f t="shared" si="12"/>
        <v>0</v>
      </c>
      <c r="N77" s="918">
        <f t="shared" si="13"/>
        <v>0</v>
      </c>
      <c r="O77" s="918">
        <f t="shared" si="14"/>
        <v>0</v>
      </c>
      <c r="P77" s="918">
        <f t="shared" si="25"/>
        <v>0</v>
      </c>
      <c r="Q77" s="918">
        <f t="shared" si="20"/>
        <v>0</v>
      </c>
    </row>
    <row r="78" spans="1:18">
      <c r="A78" s="941" t="s">
        <v>1916</v>
      </c>
      <c r="B78" s="942" t="s">
        <v>1922</v>
      </c>
      <c r="C78" s="943" t="s">
        <v>363</v>
      </c>
      <c r="D78" s="942">
        <v>0.72</v>
      </c>
      <c r="E78" s="942">
        <v>3.2</v>
      </c>
      <c r="F78" s="942">
        <f>+D78*E78</f>
        <v>2.3039999999999998</v>
      </c>
      <c r="G78" s="944">
        <v>0</v>
      </c>
      <c r="H78" s="942">
        <f t="shared" si="23"/>
        <v>2.3039999999999998</v>
      </c>
      <c r="I78" s="942">
        <v>1</v>
      </c>
      <c r="J78" s="945">
        <f t="shared" si="24"/>
        <v>2.3039999999999998</v>
      </c>
      <c r="L78" s="918">
        <f t="shared" si="26"/>
        <v>2.3039999999999998</v>
      </c>
      <c r="M78" s="918">
        <f t="shared" si="12"/>
        <v>0</v>
      </c>
      <c r="N78" s="918">
        <f t="shared" si="13"/>
        <v>0</v>
      </c>
      <c r="O78" s="918">
        <f t="shared" si="14"/>
        <v>0</v>
      </c>
      <c r="P78" s="918">
        <f t="shared" si="25"/>
        <v>0</v>
      </c>
      <c r="Q78" s="918">
        <f t="shared" si="20"/>
        <v>0</v>
      </c>
    </row>
    <row r="79" spans="1:18">
      <c r="A79" s="946" t="s">
        <v>1918</v>
      </c>
      <c r="B79" s="947" t="s">
        <v>1922</v>
      </c>
      <c r="C79" s="948" t="s">
        <v>363</v>
      </c>
      <c r="D79" s="947">
        <v>0.12</v>
      </c>
      <c r="E79" s="947">
        <v>3.2</v>
      </c>
      <c r="F79" s="947">
        <f t="shared" ref="F79" si="27">+D79*E79</f>
        <v>0.38400000000000001</v>
      </c>
      <c r="G79" s="949">
        <v>0</v>
      </c>
      <c r="H79" s="947">
        <f t="shared" si="23"/>
        <v>0.38400000000000001</v>
      </c>
      <c r="I79" s="947">
        <v>1</v>
      </c>
      <c r="J79" s="950">
        <f t="shared" si="24"/>
        <v>0.38400000000000001</v>
      </c>
      <c r="L79" s="918">
        <f t="shared" si="26"/>
        <v>0.38400000000000001</v>
      </c>
      <c r="M79" s="918">
        <f t="shared" si="12"/>
        <v>0</v>
      </c>
      <c r="N79" s="918">
        <f t="shared" si="13"/>
        <v>0</v>
      </c>
      <c r="O79" s="918">
        <f t="shared" si="14"/>
        <v>0</v>
      </c>
      <c r="P79" s="918">
        <f t="shared" si="25"/>
        <v>0</v>
      </c>
      <c r="Q79" s="918">
        <f t="shared" si="20"/>
        <v>0</v>
      </c>
    </row>
    <row r="80" spans="1:18">
      <c r="A80" s="931" t="s">
        <v>1923</v>
      </c>
      <c r="B80" s="951"/>
      <c r="C80" s="952"/>
      <c r="D80" s="951"/>
      <c r="E80" s="951"/>
      <c r="F80" s="951"/>
      <c r="G80" s="953"/>
      <c r="H80" s="951"/>
      <c r="I80" s="951"/>
      <c r="J80" s="954"/>
      <c r="R80" s="922"/>
    </row>
    <row r="81" spans="1:17">
      <c r="A81" s="936" t="s">
        <v>383</v>
      </c>
      <c r="B81" s="937" t="s">
        <v>1469</v>
      </c>
      <c r="C81" s="938" t="s">
        <v>367</v>
      </c>
      <c r="D81" s="937">
        <v>4.3</v>
      </c>
      <c r="E81" s="955">
        <v>2.68</v>
      </c>
      <c r="F81" s="937">
        <f t="shared" ref="F81:F128" si="28">+D81*E81</f>
        <v>11.524000000000001</v>
      </c>
      <c r="G81" s="939">
        <v>0</v>
      </c>
      <c r="H81" s="937">
        <f t="shared" ref="H81:H130" si="29">+F81-G81</f>
        <v>11.524000000000001</v>
      </c>
      <c r="I81" s="937">
        <v>3</v>
      </c>
      <c r="J81" s="940">
        <f t="shared" ref="J81:J130" si="30">+H81*I81</f>
        <v>34.572000000000003</v>
      </c>
      <c r="L81" s="918">
        <f>IF(C81=$L$2,J81,0)</f>
        <v>0</v>
      </c>
      <c r="M81" s="918">
        <f t="shared" ref="M81:M132" si="31">IF(C81=$M$2,J81,0)</f>
        <v>34.572000000000003</v>
      </c>
      <c r="N81" s="918">
        <f t="shared" ref="N81:N132" si="32">IF(C81=$N$2,J81,0)</f>
        <v>0</v>
      </c>
      <c r="O81" s="918">
        <f t="shared" ref="O81:O132" si="33">IF(C81=$O$2,J81,0)</f>
        <v>0</v>
      </c>
      <c r="P81" s="918">
        <f t="shared" si="25"/>
        <v>0</v>
      </c>
      <c r="Q81" s="918">
        <f t="shared" si="20"/>
        <v>0</v>
      </c>
    </row>
    <row r="82" spans="1:17">
      <c r="A82" s="941" t="s">
        <v>384</v>
      </c>
      <c r="B82" s="942" t="s">
        <v>1469</v>
      </c>
      <c r="C82" s="943" t="s">
        <v>367</v>
      </c>
      <c r="D82" s="942">
        <v>5.7</v>
      </c>
      <c r="E82" s="942">
        <v>2.68</v>
      </c>
      <c r="F82" s="942">
        <f t="shared" si="28"/>
        <v>15.276000000000002</v>
      </c>
      <c r="G82" s="944">
        <v>0</v>
      </c>
      <c r="H82" s="942">
        <f t="shared" si="29"/>
        <v>15.276000000000002</v>
      </c>
      <c r="I82" s="942">
        <v>3</v>
      </c>
      <c r="J82" s="945">
        <f t="shared" si="30"/>
        <v>45.828000000000003</v>
      </c>
      <c r="L82" s="918">
        <f t="shared" ref="L82:L124" si="34">IF(C82=$L$2,J82,0)</f>
        <v>0</v>
      </c>
      <c r="M82" s="918">
        <f t="shared" si="31"/>
        <v>45.828000000000003</v>
      </c>
      <c r="N82" s="918">
        <f t="shared" si="32"/>
        <v>0</v>
      </c>
      <c r="O82" s="918">
        <f t="shared" si="33"/>
        <v>0</v>
      </c>
      <c r="P82" s="918">
        <f t="shared" si="25"/>
        <v>0</v>
      </c>
      <c r="Q82" s="918">
        <f t="shared" si="20"/>
        <v>0</v>
      </c>
    </row>
    <row r="83" spans="1:17">
      <c r="A83" s="941" t="s">
        <v>385</v>
      </c>
      <c r="B83" s="942" t="s">
        <v>1469</v>
      </c>
      <c r="C83" s="943" t="s">
        <v>367</v>
      </c>
      <c r="D83" s="942">
        <v>5.0999999999999996</v>
      </c>
      <c r="E83" s="942">
        <v>2.68</v>
      </c>
      <c r="F83" s="942">
        <f t="shared" si="28"/>
        <v>13.667999999999999</v>
      </c>
      <c r="G83" s="944">
        <v>0</v>
      </c>
      <c r="H83" s="942">
        <f t="shared" si="29"/>
        <v>13.667999999999999</v>
      </c>
      <c r="I83" s="942">
        <v>3</v>
      </c>
      <c r="J83" s="945">
        <f t="shared" si="30"/>
        <v>41.003999999999998</v>
      </c>
      <c r="L83" s="918">
        <f t="shared" si="34"/>
        <v>0</v>
      </c>
      <c r="M83" s="918">
        <f t="shared" si="31"/>
        <v>41.003999999999998</v>
      </c>
      <c r="N83" s="918">
        <f t="shared" si="32"/>
        <v>0</v>
      </c>
      <c r="O83" s="918">
        <f t="shared" si="33"/>
        <v>0</v>
      </c>
      <c r="P83" s="918">
        <f t="shared" si="25"/>
        <v>0</v>
      </c>
      <c r="Q83" s="918">
        <f t="shared" si="20"/>
        <v>0</v>
      </c>
    </row>
    <row r="84" spans="1:17">
      <c r="A84" s="941" t="s">
        <v>386</v>
      </c>
      <c r="B84" s="942" t="s">
        <v>1469</v>
      </c>
      <c r="C84" s="943" t="s">
        <v>367</v>
      </c>
      <c r="D84" s="942">
        <v>5.01</v>
      </c>
      <c r="E84" s="942">
        <v>2.68</v>
      </c>
      <c r="F84" s="942">
        <f t="shared" si="28"/>
        <v>13.4268</v>
      </c>
      <c r="G84" s="944">
        <v>0</v>
      </c>
      <c r="H84" s="942">
        <f t="shared" si="29"/>
        <v>13.4268</v>
      </c>
      <c r="I84" s="942">
        <v>3</v>
      </c>
      <c r="J84" s="945">
        <f t="shared" si="30"/>
        <v>40.2804</v>
      </c>
      <c r="L84" s="918">
        <f t="shared" si="34"/>
        <v>0</v>
      </c>
      <c r="M84" s="918">
        <f t="shared" si="31"/>
        <v>40.2804</v>
      </c>
      <c r="N84" s="918">
        <f t="shared" si="32"/>
        <v>0</v>
      </c>
      <c r="O84" s="918">
        <f t="shared" si="33"/>
        <v>0</v>
      </c>
      <c r="P84" s="918">
        <f t="shared" si="25"/>
        <v>0</v>
      </c>
      <c r="Q84" s="918">
        <f t="shared" si="20"/>
        <v>0</v>
      </c>
    </row>
    <row r="85" spans="1:17">
      <c r="A85" s="941" t="s">
        <v>1861</v>
      </c>
      <c r="B85" s="942" t="s">
        <v>1469</v>
      </c>
      <c r="C85" s="943" t="s">
        <v>367</v>
      </c>
      <c r="D85" s="942">
        <v>3.8</v>
      </c>
      <c r="E85" s="942">
        <v>2.68</v>
      </c>
      <c r="F85" s="942">
        <f t="shared" si="28"/>
        <v>10.183999999999999</v>
      </c>
      <c r="G85" s="944">
        <v>0</v>
      </c>
      <c r="H85" s="942">
        <f t="shared" si="29"/>
        <v>10.183999999999999</v>
      </c>
      <c r="I85" s="942">
        <v>3</v>
      </c>
      <c r="J85" s="945">
        <f t="shared" si="30"/>
        <v>30.552</v>
      </c>
      <c r="L85" s="918">
        <f t="shared" si="34"/>
        <v>0</v>
      </c>
      <c r="M85" s="918">
        <f t="shared" si="31"/>
        <v>30.552</v>
      </c>
      <c r="N85" s="918">
        <f t="shared" si="32"/>
        <v>0</v>
      </c>
      <c r="O85" s="918">
        <f t="shared" si="33"/>
        <v>0</v>
      </c>
      <c r="P85" s="918">
        <f t="shared" si="25"/>
        <v>0</v>
      </c>
      <c r="Q85" s="918">
        <f t="shared" si="20"/>
        <v>0</v>
      </c>
    </row>
    <row r="86" spans="1:17">
      <c r="A86" s="941" t="s">
        <v>1888</v>
      </c>
      <c r="B86" s="942" t="s">
        <v>1469</v>
      </c>
      <c r="C86" s="943" t="s">
        <v>367</v>
      </c>
      <c r="D86" s="942">
        <v>0.6</v>
      </c>
      <c r="E86" s="942">
        <v>2.68</v>
      </c>
      <c r="F86" s="942">
        <f t="shared" si="28"/>
        <v>1.6080000000000001</v>
      </c>
      <c r="G86" s="944">
        <v>0</v>
      </c>
      <c r="H86" s="942">
        <f t="shared" si="29"/>
        <v>1.6080000000000001</v>
      </c>
      <c r="I86" s="942">
        <v>3</v>
      </c>
      <c r="J86" s="945">
        <f t="shared" si="30"/>
        <v>4.8239999999999998</v>
      </c>
      <c r="L86" s="918">
        <f t="shared" si="34"/>
        <v>0</v>
      </c>
      <c r="M86" s="918">
        <f t="shared" si="31"/>
        <v>4.8239999999999998</v>
      </c>
      <c r="N86" s="918">
        <f t="shared" si="32"/>
        <v>0</v>
      </c>
      <c r="O86" s="918">
        <f t="shared" si="33"/>
        <v>0</v>
      </c>
      <c r="P86" s="918">
        <f t="shared" si="25"/>
        <v>0</v>
      </c>
      <c r="Q86" s="918">
        <f t="shared" si="20"/>
        <v>0</v>
      </c>
    </row>
    <row r="87" spans="1:17">
      <c r="A87" s="941" t="s">
        <v>1866</v>
      </c>
      <c r="B87" s="942" t="s">
        <v>1469</v>
      </c>
      <c r="C87" s="943" t="s">
        <v>367</v>
      </c>
      <c r="D87" s="942">
        <v>4.3</v>
      </c>
      <c r="E87" s="942">
        <v>2.68</v>
      </c>
      <c r="F87" s="942">
        <f t="shared" si="28"/>
        <v>11.524000000000001</v>
      </c>
      <c r="G87" s="944">
        <v>0</v>
      </c>
      <c r="H87" s="942">
        <f t="shared" si="29"/>
        <v>11.524000000000001</v>
      </c>
      <c r="I87" s="942">
        <v>3</v>
      </c>
      <c r="J87" s="945">
        <f t="shared" si="30"/>
        <v>34.572000000000003</v>
      </c>
      <c r="L87" s="918">
        <f t="shared" si="34"/>
        <v>0</v>
      </c>
      <c r="M87" s="918">
        <f t="shared" si="31"/>
        <v>34.572000000000003</v>
      </c>
      <c r="N87" s="918">
        <f t="shared" si="32"/>
        <v>0</v>
      </c>
      <c r="O87" s="918">
        <f t="shared" si="33"/>
        <v>0</v>
      </c>
      <c r="P87" s="918">
        <f t="shared" si="25"/>
        <v>0</v>
      </c>
      <c r="Q87" s="918">
        <f t="shared" si="20"/>
        <v>0</v>
      </c>
    </row>
    <row r="88" spans="1:17">
      <c r="A88" s="941" t="s">
        <v>1868</v>
      </c>
      <c r="B88" s="942" t="s">
        <v>1469</v>
      </c>
      <c r="C88" s="943" t="s">
        <v>367</v>
      </c>
      <c r="D88" s="942">
        <v>4.4400000000000004</v>
      </c>
      <c r="E88" s="942">
        <v>2.68</v>
      </c>
      <c r="F88" s="942">
        <f t="shared" si="28"/>
        <v>11.899200000000002</v>
      </c>
      <c r="G88" s="944">
        <v>0</v>
      </c>
      <c r="H88" s="942">
        <f t="shared" si="29"/>
        <v>11.899200000000002</v>
      </c>
      <c r="I88" s="942">
        <v>3</v>
      </c>
      <c r="J88" s="945">
        <f t="shared" si="30"/>
        <v>35.697600000000008</v>
      </c>
      <c r="L88" s="918">
        <f t="shared" si="34"/>
        <v>0</v>
      </c>
      <c r="M88" s="918">
        <f t="shared" si="31"/>
        <v>35.697600000000008</v>
      </c>
      <c r="N88" s="918">
        <f t="shared" si="32"/>
        <v>0</v>
      </c>
      <c r="O88" s="918">
        <f t="shared" si="33"/>
        <v>0</v>
      </c>
      <c r="P88" s="918">
        <f t="shared" si="25"/>
        <v>0</v>
      </c>
      <c r="Q88" s="918">
        <f t="shared" si="20"/>
        <v>0</v>
      </c>
    </row>
    <row r="89" spans="1:17">
      <c r="A89" s="941" t="s">
        <v>1876</v>
      </c>
      <c r="B89" s="942" t="s">
        <v>1469</v>
      </c>
      <c r="C89" s="943" t="s">
        <v>367</v>
      </c>
      <c r="D89" s="942">
        <v>4.37</v>
      </c>
      <c r="E89" s="942">
        <v>2.68</v>
      </c>
      <c r="F89" s="942">
        <f t="shared" si="28"/>
        <v>11.711600000000001</v>
      </c>
      <c r="G89" s="944">
        <v>0</v>
      </c>
      <c r="H89" s="942">
        <f t="shared" si="29"/>
        <v>11.711600000000001</v>
      </c>
      <c r="I89" s="942">
        <v>3</v>
      </c>
      <c r="J89" s="945">
        <f t="shared" si="30"/>
        <v>35.134799999999998</v>
      </c>
      <c r="L89" s="918">
        <f t="shared" si="34"/>
        <v>0</v>
      </c>
      <c r="M89" s="918">
        <f t="shared" si="31"/>
        <v>35.134799999999998</v>
      </c>
      <c r="N89" s="918">
        <f t="shared" si="32"/>
        <v>0</v>
      </c>
      <c r="O89" s="918">
        <f t="shared" si="33"/>
        <v>0</v>
      </c>
      <c r="P89" s="918">
        <f t="shared" si="25"/>
        <v>0</v>
      </c>
      <c r="Q89" s="918">
        <f t="shared" si="20"/>
        <v>0</v>
      </c>
    </row>
    <row r="90" spans="1:17">
      <c r="A90" s="941" t="s">
        <v>1878</v>
      </c>
      <c r="B90" s="942" t="s">
        <v>1469</v>
      </c>
      <c r="C90" s="943" t="s">
        <v>367</v>
      </c>
      <c r="D90" s="942">
        <v>3.8</v>
      </c>
      <c r="E90" s="942">
        <v>2.68</v>
      </c>
      <c r="F90" s="942">
        <f t="shared" si="28"/>
        <v>10.183999999999999</v>
      </c>
      <c r="G90" s="944">
        <v>0</v>
      </c>
      <c r="H90" s="942">
        <f t="shared" si="29"/>
        <v>10.183999999999999</v>
      </c>
      <c r="I90" s="942">
        <v>3</v>
      </c>
      <c r="J90" s="945">
        <f t="shared" si="30"/>
        <v>30.552</v>
      </c>
      <c r="L90" s="918">
        <f t="shared" si="34"/>
        <v>0</v>
      </c>
      <c r="M90" s="918">
        <f t="shared" si="31"/>
        <v>30.552</v>
      </c>
      <c r="N90" s="918">
        <f t="shared" si="32"/>
        <v>0</v>
      </c>
      <c r="O90" s="918">
        <f t="shared" si="33"/>
        <v>0</v>
      </c>
      <c r="P90" s="918">
        <f t="shared" si="25"/>
        <v>0</v>
      </c>
      <c r="Q90" s="918">
        <f t="shared" si="20"/>
        <v>0</v>
      </c>
    </row>
    <row r="91" spans="1:17">
      <c r="A91" s="956" t="s">
        <v>1889</v>
      </c>
      <c r="B91" s="957" t="s">
        <v>1469</v>
      </c>
      <c r="C91" s="958" t="s">
        <v>367</v>
      </c>
      <c r="D91" s="957">
        <v>0.6</v>
      </c>
      <c r="E91" s="957">
        <v>2.68</v>
      </c>
      <c r="F91" s="957">
        <f t="shared" si="28"/>
        <v>1.6080000000000001</v>
      </c>
      <c r="G91" s="959">
        <v>0</v>
      </c>
      <c r="H91" s="957">
        <f t="shared" si="29"/>
        <v>1.6080000000000001</v>
      </c>
      <c r="I91" s="957">
        <v>3</v>
      </c>
      <c r="J91" s="960">
        <f t="shared" si="30"/>
        <v>4.8239999999999998</v>
      </c>
      <c r="L91" s="918">
        <f t="shared" si="34"/>
        <v>0</v>
      </c>
      <c r="M91" s="918">
        <f t="shared" si="31"/>
        <v>4.8239999999999998</v>
      </c>
      <c r="N91" s="918">
        <f t="shared" si="32"/>
        <v>0</v>
      </c>
      <c r="O91" s="918">
        <f t="shared" si="33"/>
        <v>0</v>
      </c>
      <c r="P91" s="918">
        <f t="shared" si="25"/>
        <v>0</v>
      </c>
      <c r="Q91" s="918">
        <f t="shared" si="20"/>
        <v>0</v>
      </c>
    </row>
    <row r="92" spans="1:17">
      <c r="A92" s="936" t="s">
        <v>383</v>
      </c>
      <c r="B92" s="937" t="s">
        <v>1924</v>
      </c>
      <c r="C92" s="938" t="s">
        <v>33</v>
      </c>
      <c r="D92" s="937">
        <v>3.6</v>
      </c>
      <c r="E92" s="937">
        <f>2.68-0.45</f>
        <v>2.23</v>
      </c>
      <c r="F92" s="937">
        <f t="shared" si="28"/>
        <v>8.0280000000000005</v>
      </c>
      <c r="G92" s="939">
        <f>2.05*2.51</f>
        <v>5.1454999999999993</v>
      </c>
      <c r="H92" s="937">
        <f t="shared" si="29"/>
        <v>2.8825000000000012</v>
      </c>
      <c r="I92" s="937">
        <v>3</v>
      </c>
      <c r="J92" s="940">
        <f t="shared" si="30"/>
        <v>8.6475000000000044</v>
      </c>
      <c r="L92" s="918">
        <f t="shared" si="34"/>
        <v>0</v>
      </c>
      <c r="M92" s="918">
        <f t="shared" si="31"/>
        <v>0</v>
      </c>
      <c r="N92" s="918">
        <f t="shared" si="32"/>
        <v>8.6475000000000044</v>
      </c>
      <c r="O92" s="918">
        <f t="shared" si="33"/>
        <v>0</v>
      </c>
      <c r="P92" s="918">
        <f t="shared" si="25"/>
        <v>0</v>
      </c>
      <c r="Q92" s="918">
        <f t="shared" si="20"/>
        <v>0</v>
      </c>
    </row>
    <row r="93" spans="1:17">
      <c r="A93" s="941" t="s">
        <v>384</v>
      </c>
      <c r="B93" s="942" t="s">
        <v>1924</v>
      </c>
      <c r="C93" s="943" t="s">
        <v>33</v>
      </c>
      <c r="D93" s="942">
        <v>4.3</v>
      </c>
      <c r="E93" s="942">
        <f>2.68-0.45</f>
        <v>2.23</v>
      </c>
      <c r="F93" s="942">
        <f t="shared" si="28"/>
        <v>9.5890000000000004</v>
      </c>
      <c r="G93" s="944">
        <v>0</v>
      </c>
      <c r="H93" s="942">
        <f t="shared" si="29"/>
        <v>9.5890000000000004</v>
      </c>
      <c r="I93" s="942">
        <v>3</v>
      </c>
      <c r="J93" s="945">
        <f t="shared" si="30"/>
        <v>28.767000000000003</v>
      </c>
      <c r="L93" s="918">
        <f t="shared" si="34"/>
        <v>0</v>
      </c>
      <c r="M93" s="918">
        <f t="shared" si="31"/>
        <v>0</v>
      </c>
      <c r="N93" s="918">
        <f t="shared" si="32"/>
        <v>28.767000000000003</v>
      </c>
      <c r="O93" s="918">
        <f t="shared" si="33"/>
        <v>0</v>
      </c>
      <c r="P93" s="918">
        <f t="shared" si="25"/>
        <v>0</v>
      </c>
      <c r="Q93" s="918">
        <f t="shared" si="20"/>
        <v>0</v>
      </c>
    </row>
    <row r="94" spans="1:17">
      <c r="A94" s="941" t="s">
        <v>385</v>
      </c>
      <c r="B94" s="942" t="s">
        <v>1924</v>
      </c>
      <c r="C94" s="943" t="s">
        <v>33</v>
      </c>
      <c r="D94" s="942">
        <v>3.92</v>
      </c>
      <c r="E94" s="942">
        <f>2.68-0.45</f>
        <v>2.23</v>
      </c>
      <c r="F94" s="942">
        <f t="shared" si="28"/>
        <v>8.7416</v>
      </c>
      <c r="G94" s="944">
        <v>0</v>
      </c>
      <c r="H94" s="942">
        <f t="shared" si="29"/>
        <v>8.7416</v>
      </c>
      <c r="I94" s="942">
        <v>3</v>
      </c>
      <c r="J94" s="945">
        <f t="shared" si="30"/>
        <v>26.224800000000002</v>
      </c>
      <c r="L94" s="918">
        <f t="shared" si="34"/>
        <v>0</v>
      </c>
      <c r="M94" s="918">
        <f t="shared" si="31"/>
        <v>0</v>
      </c>
      <c r="N94" s="918">
        <f t="shared" si="32"/>
        <v>26.224800000000002</v>
      </c>
      <c r="O94" s="918">
        <f t="shared" si="33"/>
        <v>0</v>
      </c>
      <c r="P94" s="918">
        <f t="shared" si="25"/>
        <v>0</v>
      </c>
      <c r="Q94" s="918">
        <f t="shared" si="20"/>
        <v>0</v>
      </c>
    </row>
    <row r="95" spans="1:17">
      <c r="A95" s="941" t="s">
        <v>386</v>
      </c>
      <c r="B95" s="942" t="s">
        <v>1924</v>
      </c>
      <c r="C95" s="943" t="s">
        <v>33</v>
      </c>
      <c r="D95" s="942">
        <v>3.63</v>
      </c>
      <c r="E95" s="942">
        <v>2.68</v>
      </c>
      <c r="F95" s="942">
        <f t="shared" si="28"/>
        <v>9.7284000000000006</v>
      </c>
      <c r="G95" s="944">
        <v>0</v>
      </c>
      <c r="H95" s="942">
        <f t="shared" si="29"/>
        <v>9.7284000000000006</v>
      </c>
      <c r="I95" s="942">
        <v>3</v>
      </c>
      <c r="J95" s="945">
        <f t="shared" si="30"/>
        <v>29.185200000000002</v>
      </c>
      <c r="L95" s="918">
        <f t="shared" si="34"/>
        <v>0</v>
      </c>
      <c r="M95" s="918">
        <f t="shared" si="31"/>
        <v>0</v>
      </c>
      <c r="N95" s="918">
        <f t="shared" si="32"/>
        <v>29.185200000000002</v>
      </c>
      <c r="O95" s="918">
        <f t="shared" si="33"/>
        <v>0</v>
      </c>
      <c r="P95" s="918">
        <f t="shared" si="25"/>
        <v>0</v>
      </c>
      <c r="Q95" s="918">
        <f t="shared" si="20"/>
        <v>0</v>
      </c>
    </row>
    <row r="96" spans="1:17">
      <c r="A96" s="941" t="s">
        <v>1861</v>
      </c>
      <c r="B96" s="942" t="s">
        <v>1924</v>
      </c>
      <c r="C96" s="943" t="s">
        <v>33</v>
      </c>
      <c r="D96" s="942">
        <v>1.1499999999999999</v>
      </c>
      <c r="E96" s="942">
        <v>2.68</v>
      </c>
      <c r="F96" s="942">
        <f t="shared" si="28"/>
        <v>3.0819999999999999</v>
      </c>
      <c r="G96" s="944">
        <v>0</v>
      </c>
      <c r="H96" s="942">
        <f t="shared" si="29"/>
        <v>3.0819999999999999</v>
      </c>
      <c r="I96" s="942">
        <v>3</v>
      </c>
      <c r="J96" s="945">
        <f t="shared" si="30"/>
        <v>9.2459999999999987</v>
      </c>
      <c r="L96" s="918">
        <f t="shared" si="34"/>
        <v>0</v>
      </c>
      <c r="M96" s="918">
        <f t="shared" si="31"/>
        <v>0</v>
      </c>
      <c r="N96" s="918">
        <f t="shared" si="32"/>
        <v>9.2459999999999987</v>
      </c>
      <c r="O96" s="918">
        <f t="shared" si="33"/>
        <v>0</v>
      </c>
      <c r="P96" s="918">
        <f t="shared" si="25"/>
        <v>0</v>
      </c>
      <c r="Q96" s="918">
        <f t="shared" si="20"/>
        <v>0</v>
      </c>
    </row>
    <row r="97" spans="1:17">
      <c r="A97" s="941" t="s">
        <v>1863</v>
      </c>
      <c r="B97" s="942" t="s">
        <v>1925</v>
      </c>
      <c r="C97" s="943" t="s">
        <v>33</v>
      </c>
      <c r="D97" s="942">
        <v>3</v>
      </c>
      <c r="E97" s="942">
        <f>2.68-0.45</f>
        <v>2.23</v>
      </c>
      <c r="F97" s="942">
        <f t="shared" si="28"/>
        <v>6.6899999999999995</v>
      </c>
      <c r="G97" s="944">
        <f>2.05*2.51</f>
        <v>5.1454999999999993</v>
      </c>
      <c r="H97" s="942">
        <f t="shared" si="29"/>
        <v>1.5445000000000002</v>
      </c>
      <c r="I97" s="942">
        <v>3</v>
      </c>
      <c r="J97" s="945">
        <f t="shared" si="30"/>
        <v>4.6335000000000006</v>
      </c>
      <c r="L97" s="918">
        <f t="shared" si="34"/>
        <v>0</v>
      </c>
      <c r="M97" s="918">
        <f t="shared" si="31"/>
        <v>0</v>
      </c>
      <c r="N97" s="918">
        <f t="shared" si="32"/>
        <v>4.6335000000000006</v>
      </c>
      <c r="O97" s="918">
        <f t="shared" si="33"/>
        <v>0</v>
      </c>
      <c r="P97" s="918">
        <f t="shared" si="25"/>
        <v>0</v>
      </c>
      <c r="Q97" s="918">
        <f t="shared" si="20"/>
        <v>0</v>
      </c>
    </row>
    <row r="98" spans="1:17">
      <c r="A98" s="941" t="s">
        <v>1864</v>
      </c>
      <c r="B98" s="942" t="s">
        <v>1925</v>
      </c>
      <c r="C98" s="943" t="s">
        <v>33</v>
      </c>
      <c r="D98" s="942">
        <v>2.81</v>
      </c>
      <c r="E98" s="942">
        <f>2.68-0.45</f>
        <v>2.23</v>
      </c>
      <c r="F98" s="942">
        <f t="shared" si="28"/>
        <v>6.2663000000000002</v>
      </c>
      <c r="G98" s="944">
        <f>2.05*2.51</f>
        <v>5.1454999999999993</v>
      </c>
      <c r="H98" s="942">
        <f t="shared" si="29"/>
        <v>1.1208000000000009</v>
      </c>
      <c r="I98" s="942">
        <v>3</v>
      </c>
      <c r="J98" s="945">
        <f t="shared" si="30"/>
        <v>3.3624000000000027</v>
      </c>
      <c r="L98" s="918">
        <f t="shared" si="34"/>
        <v>0</v>
      </c>
      <c r="M98" s="918">
        <f t="shared" si="31"/>
        <v>0</v>
      </c>
      <c r="N98" s="918">
        <f t="shared" si="32"/>
        <v>3.3624000000000027</v>
      </c>
      <c r="O98" s="918">
        <f t="shared" si="33"/>
        <v>0</v>
      </c>
      <c r="P98" s="918">
        <f t="shared" si="25"/>
        <v>0</v>
      </c>
      <c r="Q98" s="918">
        <f t="shared" si="20"/>
        <v>0</v>
      </c>
    </row>
    <row r="99" spans="1:17">
      <c r="A99" s="941" t="s">
        <v>1866</v>
      </c>
      <c r="B99" s="942" t="s">
        <v>1925</v>
      </c>
      <c r="C99" s="943" t="s">
        <v>33</v>
      </c>
      <c r="D99" s="942">
        <v>2.7</v>
      </c>
      <c r="E99" s="942">
        <f>2.68-0.45</f>
        <v>2.23</v>
      </c>
      <c r="F99" s="942">
        <f t="shared" si="28"/>
        <v>6.0209999999999999</v>
      </c>
      <c r="G99" s="944">
        <f>2.05*2.51</f>
        <v>5.1454999999999993</v>
      </c>
      <c r="H99" s="942">
        <f t="shared" si="29"/>
        <v>0.87550000000000061</v>
      </c>
      <c r="I99" s="942">
        <v>3</v>
      </c>
      <c r="J99" s="945">
        <f t="shared" si="30"/>
        <v>2.6265000000000018</v>
      </c>
      <c r="L99" s="918">
        <f t="shared" si="34"/>
        <v>0</v>
      </c>
      <c r="M99" s="918">
        <f t="shared" si="31"/>
        <v>0</v>
      </c>
      <c r="N99" s="918">
        <f t="shared" si="32"/>
        <v>2.6265000000000018</v>
      </c>
      <c r="O99" s="918">
        <f t="shared" si="33"/>
        <v>0</v>
      </c>
      <c r="P99" s="918">
        <f t="shared" si="25"/>
        <v>0</v>
      </c>
      <c r="Q99" s="918">
        <f t="shared" si="20"/>
        <v>0</v>
      </c>
    </row>
    <row r="100" spans="1:17">
      <c r="A100" s="941" t="s">
        <v>1868</v>
      </c>
      <c r="B100" s="942" t="s">
        <v>1925</v>
      </c>
      <c r="C100" s="943" t="s">
        <v>33</v>
      </c>
      <c r="D100" s="942">
        <v>0.66</v>
      </c>
      <c r="E100" s="942">
        <f>2.68-0.45</f>
        <v>2.23</v>
      </c>
      <c r="F100" s="942">
        <f t="shared" si="28"/>
        <v>1.4718</v>
      </c>
      <c r="G100" s="944">
        <v>0</v>
      </c>
      <c r="H100" s="942">
        <f t="shared" si="29"/>
        <v>1.4718</v>
      </c>
      <c r="I100" s="942">
        <v>3</v>
      </c>
      <c r="J100" s="945">
        <f t="shared" si="30"/>
        <v>4.4154</v>
      </c>
      <c r="L100" s="918">
        <f t="shared" si="34"/>
        <v>0</v>
      </c>
      <c r="M100" s="918">
        <f t="shared" si="31"/>
        <v>0</v>
      </c>
      <c r="N100" s="918">
        <f t="shared" si="32"/>
        <v>4.4154</v>
      </c>
      <c r="O100" s="918">
        <f t="shared" si="33"/>
        <v>0</v>
      </c>
      <c r="P100" s="918">
        <f t="shared" si="25"/>
        <v>0</v>
      </c>
      <c r="Q100" s="918">
        <f t="shared" si="20"/>
        <v>0</v>
      </c>
    </row>
    <row r="101" spans="1:17">
      <c r="A101" s="941" t="s">
        <v>1872</v>
      </c>
      <c r="B101" s="942" t="s">
        <v>1925</v>
      </c>
      <c r="C101" s="943" t="s">
        <v>33</v>
      </c>
      <c r="D101" s="942">
        <v>2.77</v>
      </c>
      <c r="E101" s="942">
        <f>2.68-0.45</f>
        <v>2.23</v>
      </c>
      <c r="F101" s="942">
        <f t="shared" si="28"/>
        <v>6.1771000000000003</v>
      </c>
      <c r="G101" s="944">
        <v>0</v>
      </c>
      <c r="H101" s="942">
        <f t="shared" si="29"/>
        <v>6.1771000000000003</v>
      </c>
      <c r="I101" s="942">
        <v>3</v>
      </c>
      <c r="J101" s="945">
        <f t="shared" si="30"/>
        <v>18.531300000000002</v>
      </c>
      <c r="L101" s="918">
        <f t="shared" si="34"/>
        <v>0</v>
      </c>
      <c r="M101" s="918">
        <f t="shared" si="31"/>
        <v>0</v>
      </c>
      <c r="N101" s="918">
        <f t="shared" si="32"/>
        <v>18.531300000000002</v>
      </c>
      <c r="O101" s="918">
        <f t="shared" si="33"/>
        <v>0</v>
      </c>
      <c r="P101" s="918">
        <f t="shared" si="25"/>
        <v>0</v>
      </c>
      <c r="Q101" s="918">
        <f t="shared" si="20"/>
        <v>0</v>
      </c>
    </row>
    <row r="102" spans="1:17">
      <c r="A102" s="941" t="s">
        <v>1876</v>
      </c>
      <c r="B102" s="942" t="s">
        <v>1925</v>
      </c>
      <c r="C102" s="943" t="s">
        <v>33</v>
      </c>
      <c r="D102" s="942">
        <v>1.52</v>
      </c>
      <c r="E102" s="942">
        <f>2.68-0.3</f>
        <v>2.3800000000000003</v>
      </c>
      <c r="F102" s="942">
        <f t="shared" si="28"/>
        <v>3.6176000000000004</v>
      </c>
      <c r="G102" s="944">
        <v>0</v>
      </c>
      <c r="H102" s="942">
        <f t="shared" si="29"/>
        <v>3.6176000000000004</v>
      </c>
      <c r="I102" s="942">
        <v>3</v>
      </c>
      <c r="J102" s="945">
        <f t="shared" si="30"/>
        <v>10.852800000000002</v>
      </c>
      <c r="L102" s="918">
        <f t="shared" si="34"/>
        <v>0</v>
      </c>
      <c r="M102" s="918">
        <f t="shared" si="31"/>
        <v>0</v>
      </c>
      <c r="N102" s="918">
        <f t="shared" si="32"/>
        <v>10.852800000000002</v>
      </c>
      <c r="O102" s="918">
        <f t="shared" si="33"/>
        <v>0</v>
      </c>
      <c r="P102" s="918">
        <f t="shared" si="25"/>
        <v>0</v>
      </c>
      <c r="Q102" s="918">
        <f t="shared" si="20"/>
        <v>0</v>
      </c>
    </row>
    <row r="103" spans="1:17">
      <c r="A103" s="941" t="s">
        <v>1878</v>
      </c>
      <c r="B103" s="942" t="s">
        <v>1926</v>
      </c>
      <c r="C103" s="943" t="s">
        <v>33</v>
      </c>
      <c r="D103" s="942">
        <v>1.52</v>
      </c>
      <c r="E103" s="942">
        <f>2.68-0.3</f>
        <v>2.3800000000000003</v>
      </c>
      <c r="F103" s="942">
        <f t="shared" si="28"/>
        <v>3.6176000000000004</v>
      </c>
      <c r="G103" s="944">
        <v>0</v>
      </c>
      <c r="H103" s="942">
        <f t="shared" si="29"/>
        <v>3.6176000000000004</v>
      </c>
      <c r="I103" s="942">
        <v>3</v>
      </c>
      <c r="J103" s="945">
        <f t="shared" si="30"/>
        <v>10.852800000000002</v>
      </c>
      <c r="L103" s="918">
        <f t="shared" si="34"/>
        <v>0</v>
      </c>
      <c r="M103" s="918">
        <f t="shared" si="31"/>
        <v>0</v>
      </c>
      <c r="N103" s="918">
        <f t="shared" si="32"/>
        <v>10.852800000000002</v>
      </c>
      <c r="O103" s="918">
        <f t="shared" si="33"/>
        <v>0</v>
      </c>
      <c r="P103" s="918">
        <f t="shared" si="25"/>
        <v>0</v>
      </c>
      <c r="Q103" s="918">
        <f t="shared" si="20"/>
        <v>0</v>
      </c>
    </row>
    <row r="104" spans="1:17">
      <c r="A104" s="941" t="s">
        <v>1880</v>
      </c>
      <c r="B104" s="942" t="s">
        <v>1926</v>
      </c>
      <c r="C104" s="943" t="s">
        <v>33</v>
      </c>
      <c r="D104" s="942">
        <v>2.81</v>
      </c>
      <c r="E104" s="942">
        <f t="shared" ref="E104:E111" si="35">2.68-0.45</f>
        <v>2.23</v>
      </c>
      <c r="F104" s="942">
        <f t="shared" si="28"/>
        <v>6.2663000000000002</v>
      </c>
      <c r="G104" s="944">
        <v>0</v>
      </c>
      <c r="H104" s="942">
        <f t="shared" si="29"/>
        <v>6.2663000000000002</v>
      </c>
      <c r="I104" s="942">
        <v>3</v>
      </c>
      <c r="J104" s="945">
        <f t="shared" si="30"/>
        <v>18.7989</v>
      </c>
      <c r="L104" s="918">
        <f t="shared" si="34"/>
        <v>0</v>
      </c>
      <c r="M104" s="918">
        <f t="shared" si="31"/>
        <v>0</v>
      </c>
      <c r="N104" s="918">
        <f t="shared" si="32"/>
        <v>18.7989</v>
      </c>
      <c r="O104" s="918">
        <f t="shared" si="33"/>
        <v>0</v>
      </c>
      <c r="P104" s="918">
        <f t="shared" si="25"/>
        <v>0</v>
      </c>
      <c r="Q104" s="918">
        <f t="shared" si="20"/>
        <v>0</v>
      </c>
    </row>
    <row r="105" spans="1:17">
      <c r="A105" s="941" t="s">
        <v>1888</v>
      </c>
      <c r="B105" s="942" t="s">
        <v>1926</v>
      </c>
      <c r="C105" s="943" t="s">
        <v>33</v>
      </c>
      <c r="D105" s="942">
        <v>0.51</v>
      </c>
      <c r="E105" s="942">
        <f t="shared" si="35"/>
        <v>2.23</v>
      </c>
      <c r="F105" s="942">
        <f t="shared" si="28"/>
        <v>1.1373</v>
      </c>
      <c r="G105" s="944">
        <v>0</v>
      </c>
      <c r="H105" s="942">
        <f t="shared" si="29"/>
        <v>1.1373</v>
      </c>
      <c r="I105" s="942">
        <v>3</v>
      </c>
      <c r="J105" s="945">
        <f t="shared" si="30"/>
        <v>3.4119000000000002</v>
      </c>
      <c r="L105" s="918">
        <f t="shared" si="34"/>
        <v>0</v>
      </c>
      <c r="M105" s="918">
        <f t="shared" si="31"/>
        <v>0</v>
      </c>
      <c r="N105" s="918">
        <f t="shared" si="32"/>
        <v>3.4119000000000002</v>
      </c>
      <c r="O105" s="918">
        <f t="shared" si="33"/>
        <v>0</v>
      </c>
      <c r="P105" s="918">
        <f t="shared" si="25"/>
        <v>0</v>
      </c>
      <c r="Q105" s="918">
        <f t="shared" si="20"/>
        <v>0</v>
      </c>
    </row>
    <row r="106" spans="1:17">
      <c r="A106" s="941" t="s">
        <v>1927</v>
      </c>
      <c r="B106" s="942" t="s">
        <v>1926</v>
      </c>
      <c r="C106" s="943" t="s">
        <v>33</v>
      </c>
      <c r="D106" s="942">
        <v>2.7</v>
      </c>
      <c r="E106" s="942">
        <f t="shared" si="35"/>
        <v>2.23</v>
      </c>
      <c r="F106" s="942">
        <f t="shared" si="28"/>
        <v>6.0209999999999999</v>
      </c>
      <c r="G106" s="944">
        <f t="shared" ref="G106:G108" si="36">2.05*2.51</f>
        <v>5.1454999999999993</v>
      </c>
      <c r="H106" s="942">
        <f t="shared" si="29"/>
        <v>0.87550000000000061</v>
      </c>
      <c r="I106" s="942">
        <v>3</v>
      </c>
      <c r="J106" s="945">
        <f t="shared" si="30"/>
        <v>2.6265000000000018</v>
      </c>
      <c r="L106" s="918">
        <f t="shared" si="34"/>
        <v>0</v>
      </c>
      <c r="M106" s="918">
        <f t="shared" si="31"/>
        <v>0</v>
      </c>
      <c r="N106" s="918">
        <f t="shared" si="32"/>
        <v>2.6265000000000018</v>
      </c>
      <c r="O106" s="918">
        <f t="shared" si="33"/>
        <v>0</v>
      </c>
      <c r="P106" s="918">
        <f t="shared" si="25"/>
        <v>0</v>
      </c>
      <c r="Q106" s="918">
        <f t="shared" si="20"/>
        <v>0</v>
      </c>
    </row>
    <row r="107" spans="1:17">
      <c r="A107" s="941" t="s">
        <v>1889</v>
      </c>
      <c r="B107" s="942" t="s">
        <v>1926</v>
      </c>
      <c r="C107" s="943" t="s">
        <v>33</v>
      </c>
      <c r="D107" s="942">
        <v>3.69</v>
      </c>
      <c r="E107" s="942">
        <f t="shared" si="35"/>
        <v>2.23</v>
      </c>
      <c r="F107" s="942">
        <f>+D107*E107</f>
        <v>8.2286999999999999</v>
      </c>
      <c r="G107" s="944">
        <f t="shared" si="36"/>
        <v>5.1454999999999993</v>
      </c>
      <c r="H107" s="942">
        <f t="shared" si="29"/>
        <v>3.0832000000000006</v>
      </c>
      <c r="I107" s="942">
        <v>3</v>
      </c>
      <c r="J107" s="945">
        <f t="shared" si="30"/>
        <v>9.2496000000000009</v>
      </c>
      <c r="L107" s="918">
        <f t="shared" si="34"/>
        <v>0</v>
      </c>
      <c r="M107" s="918">
        <f t="shared" si="31"/>
        <v>0</v>
      </c>
      <c r="N107" s="918">
        <f t="shared" si="32"/>
        <v>9.2496000000000009</v>
      </c>
      <c r="O107" s="918">
        <f t="shared" si="33"/>
        <v>0</v>
      </c>
      <c r="P107" s="918">
        <f t="shared" si="25"/>
        <v>0</v>
      </c>
      <c r="Q107" s="918">
        <f t="shared" si="20"/>
        <v>0</v>
      </c>
    </row>
    <row r="108" spans="1:17">
      <c r="A108" s="941" t="s">
        <v>1890</v>
      </c>
      <c r="B108" s="942" t="s">
        <v>1926</v>
      </c>
      <c r="C108" s="943" t="s">
        <v>33</v>
      </c>
      <c r="D108" s="942">
        <v>3</v>
      </c>
      <c r="E108" s="942">
        <f t="shared" si="35"/>
        <v>2.23</v>
      </c>
      <c r="F108" s="942">
        <f>+D108*E108</f>
        <v>6.6899999999999995</v>
      </c>
      <c r="G108" s="944">
        <f t="shared" si="36"/>
        <v>5.1454999999999993</v>
      </c>
      <c r="H108" s="942">
        <f t="shared" si="29"/>
        <v>1.5445000000000002</v>
      </c>
      <c r="I108" s="942">
        <v>3</v>
      </c>
      <c r="J108" s="945">
        <f t="shared" si="30"/>
        <v>4.6335000000000006</v>
      </c>
      <c r="L108" s="918">
        <f t="shared" si="34"/>
        <v>0</v>
      </c>
      <c r="M108" s="918">
        <f t="shared" si="31"/>
        <v>0</v>
      </c>
      <c r="N108" s="918">
        <f t="shared" si="32"/>
        <v>4.6335000000000006</v>
      </c>
      <c r="O108" s="918">
        <f t="shared" si="33"/>
        <v>0</v>
      </c>
      <c r="P108" s="918">
        <f t="shared" si="25"/>
        <v>0</v>
      </c>
      <c r="Q108" s="918">
        <f t="shared" si="20"/>
        <v>0</v>
      </c>
    </row>
    <row r="109" spans="1:17">
      <c r="A109" s="941" t="s">
        <v>1891</v>
      </c>
      <c r="B109" s="942" t="s">
        <v>1928</v>
      </c>
      <c r="C109" s="943" t="s">
        <v>33</v>
      </c>
      <c r="D109" s="942">
        <v>3.6</v>
      </c>
      <c r="E109" s="942">
        <f t="shared" si="35"/>
        <v>2.23</v>
      </c>
      <c r="F109" s="942">
        <f t="shared" si="28"/>
        <v>8.0280000000000005</v>
      </c>
      <c r="G109" s="944">
        <f>2.05*2.51</f>
        <v>5.1454999999999993</v>
      </c>
      <c r="H109" s="942">
        <f t="shared" si="29"/>
        <v>2.8825000000000012</v>
      </c>
      <c r="I109" s="942">
        <v>3</v>
      </c>
      <c r="J109" s="945">
        <f t="shared" si="30"/>
        <v>8.6475000000000044</v>
      </c>
      <c r="L109" s="918">
        <f t="shared" si="34"/>
        <v>0</v>
      </c>
      <c r="M109" s="918">
        <f t="shared" si="31"/>
        <v>0</v>
      </c>
      <c r="N109" s="918">
        <f t="shared" si="32"/>
        <v>8.6475000000000044</v>
      </c>
      <c r="O109" s="918">
        <f t="shared" si="33"/>
        <v>0</v>
      </c>
      <c r="P109" s="918">
        <f t="shared" si="25"/>
        <v>0</v>
      </c>
      <c r="Q109" s="918">
        <f t="shared" si="20"/>
        <v>0</v>
      </c>
    </row>
    <row r="110" spans="1:17">
      <c r="A110" s="941" t="s">
        <v>1892</v>
      </c>
      <c r="B110" s="942" t="s">
        <v>1928</v>
      </c>
      <c r="C110" s="943" t="s">
        <v>33</v>
      </c>
      <c r="D110" s="942">
        <v>3.8</v>
      </c>
      <c r="E110" s="942">
        <f t="shared" si="35"/>
        <v>2.23</v>
      </c>
      <c r="F110" s="942">
        <f t="shared" si="28"/>
        <v>8.4740000000000002</v>
      </c>
      <c r="G110" s="944">
        <v>0</v>
      </c>
      <c r="H110" s="942">
        <f t="shared" si="29"/>
        <v>8.4740000000000002</v>
      </c>
      <c r="I110" s="942">
        <v>3</v>
      </c>
      <c r="J110" s="945">
        <f t="shared" si="30"/>
        <v>25.422000000000001</v>
      </c>
      <c r="L110" s="918">
        <f t="shared" si="34"/>
        <v>0</v>
      </c>
      <c r="M110" s="918">
        <f t="shared" si="31"/>
        <v>0</v>
      </c>
      <c r="N110" s="918">
        <f t="shared" si="32"/>
        <v>25.422000000000001</v>
      </c>
      <c r="O110" s="918">
        <f t="shared" si="33"/>
        <v>0</v>
      </c>
      <c r="P110" s="918">
        <f t="shared" si="25"/>
        <v>0</v>
      </c>
      <c r="Q110" s="918">
        <f t="shared" si="20"/>
        <v>0</v>
      </c>
    </row>
    <row r="111" spans="1:17">
      <c r="A111" s="941" t="s">
        <v>1929</v>
      </c>
      <c r="B111" s="942" t="s">
        <v>1928</v>
      </c>
      <c r="C111" s="943" t="s">
        <v>33</v>
      </c>
      <c r="D111" s="942">
        <v>3.82</v>
      </c>
      <c r="E111" s="942">
        <f t="shared" si="35"/>
        <v>2.23</v>
      </c>
      <c r="F111" s="942">
        <f t="shared" si="28"/>
        <v>8.5185999999999993</v>
      </c>
      <c r="G111" s="944">
        <v>0</v>
      </c>
      <c r="H111" s="942">
        <f t="shared" si="29"/>
        <v>8.5185999999999993</v>
      </c>
      <c r="I111" s="942">
        <v>3</v>
      </c>
      <c r="J111" s="945">
        <f t="shared" si="30"/>
        <v>25.555799999999998</v>
      </c>
      <c r="L111" s="918">
        <f t="shared" si="34"/>
        <v>0</v>
      </c>
      <c r="M111" s="918">
        <f t="shared" si="31"/>
        <v>0</v>
      </c>
      <c r="N111" s="918">
        <f t="shared" si="32"/>
        <v>25.555799999999998</v>
      </c>
      <c r="O111" s="918">
        <f t="shared" si="33"/>
        <v>0</v>
      </c>
      <c r="P111" s="918">
        <f t="shared" si="25"/>
        <v>0</v>
      </c>
      <c r="Q111" s="918">
        <f t="shared" si="20"/>
        <v>0</v>
      </c>
    </row>
    <row r="112" spans="1:17">
      <c r="A112" s="941" t="s">
        <v>1930</v>
      </c>
      <c r="B112" s="942" t="s">
        <v>1928</v>
      </c>
      <c r="C112" s="943" t="s">
        <v>33</v>
      </c>
      <c r="D112" s="942">
        <v>3.63</v>
      </c>
      <c r="E112" s="942">
        <v>2.68</v>
      </c>
      <c r="F112" s="942">
        <f t="shared" si="28"/>
        <v>9.7284000000000006</v>
      </c>
      <c r="G112" s="944">
        <v>0</v>
      </c>
      <c r="H112" s="942">
        <f t="shared" si="29"/>
        <v>9.7284000000000006</v>
      </c>
      <c r="I112" s="942">
        <v>3</v>
      </c>
      <c r="J112" s="945">
        <f t="shared" si="30"/>
        <v>29.185200000000002</v>
      </c>
      <c r="L112" s="918">
        <f t="shared" si="34"/>
        <v>0</v>
      </c>
      <c r="M112" s="918">
        <f t="shared" si="31"/>
        <v>0</v>
      </c>
      <c r="N112" s="918">
        <f t="shared" si="32"/>
        <v>29.185200000000002</v>
      </c>
      <c r="O112" s="918">
        <f t="shared" si="33"/>
        <v>0</v>
      </c>
      <c r="P112" s="918">
        <f t="shared" si="25"/>
        <v>0</v>
      </c>
      <c r="Q112" s="918">
        <f t="shared" si="20"/>
        <v>0</v>
      </c>
    </row>
    <row r="113" spans="1:17">
      <c r="A113" s="946" t="s">
        <v>1931</v>
      </c>
      <c r="B113" s="947" t="s">
        <v>1928</v>
      </c>
      <c r="C113" s="948" t="s">
        <v>33</v>
      </c>
      <c r="D113" s="947">
        <v>1.1499999999999999</v>
      </c>
      <c r="E113" s="947">
        <v>2.8</v>
      </c>
      <c r="F113" s="947">
        <f t="shared" si="28"/>
        <v>3.2199999999999998</v>
      </c>
      <c r="G113" s="949">
        <v>0</v>
      </c>
      <c r="H113" s="947">
        <f t="shared" si="29"/>
        <v>3.2199999999999998</v>
      </c>
      <c r="I113" s="947">
        <v>3</v>
      </c>
      <c r="J113" s="950">
        <f t="shared" si="30"/>
        <v>9.66</v>
      </c>
      <c r="L113" s="918">
        <f t="shared" si="34"/>
        <v>0</v>
      </c>
      <c r="M113" s="918">
        <f t="shared" si="31"/>
        <v>0</v>
      </c>
      <c r="N113" s="918">
        <f t="shared" si="32"/>
        <v>9.66</v>
      </c>
      <c r="O113" s="918">
        <f t="shared" si="33"/>
        <v>0</v>
      </c>
      <c r="P113" s="918">
        <f t="shared" si="25"/>
        <v>0</v>
      </c>
      <c r="Q113" s="918">
        <f t="shared" si="20"/>
        <v>0</v>
      </c>
    </row>
    <row r="114" spans="1:17">
      <c r="A114" s="936" t="s">
        <v>1894</v>
      </c>
      <c r="B114" s="937" t="s">
        <v>1932</v>
      </c>
      <c r="C114" s="938" t="s">
        <v>363</v>
      </c>
      <c r="D114" s="937">
        <v>0.2</v>
      </c>
      <c r="E114" s="937">
        <v>2.68</v>
      </c>
      <c r="F114" s="937">
        <f t="shared" si="28"/>
        <v>0.53600000000000003</v>
      </c>
      <c r="G114" s="939">
        <v>0</v>
      </c>
      <c r="H114" s="937">
        <f t="shared" si="29"/>
        <v>0.53600000000000003</v>
      </c>
      <c r="I114" s="937">
        <f>2*3</f>
        <v>6</v>
      </c>
      <c r="J114" s="940">
        <f t="shared" si="30"/>
        <v>3.2160000000000002</v>
      </c>
      <c r="L114" s="918">
        <f t="shared" si="34"/>
        <v>3.2160000000000002</v>
      </c>
      <c r="M114" s="918">
        <f t="shared" si="31"/>
        <v>0</v>
      </c>
      <c r="N114" s="918">
        <f t="shared" si="32"/>
        <v>0</v>
      </c>
      <c r="O114" s="918">
        <f t="shared" si="33"/>
        <v>0</v>
      </c>
      <c r="P114" s="918">
        <f t="shared" si="25"/>
        <v>0</v>
      </c>
      <c r="Q114" s="918">
        <f t="shared" si="20"/>
        <v>0</v>
      </c>
    </row>
    <row r="115" spans="1:17">
      <c r="A115" s="941" t="s">
        <v>1896</v>
      </c>
      <c r="B115" s="942" t="s">
        <v>1932</v>
      </c>
      <c r="C115" s="943" t="s">
        <v>363</v>
      </c>
      <c r="D115" s="942">
        <v>0.62</v>
      </c>
      <c r="E115" s="942">
        <v>2.68</v>
      </c>
      <c r="F115" s="942">
        <f t="shared" si="28"/>
        <v>1.6616000000000002</v>
      </c>
      <c r="G115" s="944">
        <v>0</v>
      </c>
      <c r="H115" s="942">
        <f t="shared" si="29"/>
        <v>1.6616000000000002</v>
      </c>
      <c r="I115" s="942">
        <f>2*3*2</f>
        <v>12</v>
      </c>
      <c r="J115" s="945">
        <f t="shared" si="30"/>
        <v>19.939200000000003</v>
      </c>
      <c r="L115" s="918">
        <f t="shared" si="34"/>
        <v>19.939200000000003</v>
      </c>
      <c r="M115" s="918">
        <f t="shared" si="31"/>
        <v>0</v>
      </c>
      <c r="N115" s="918">
        <f t="shared" si="32"/>
        <v>0</v>
      </c>
      <c r="O115" s="918">
        <f t="shared" si="33"/>
        <v>0</v>
      </c>
      <c r="P115" s="918">
        <f t="shared" si="25"/>
        <v>0</v>
      </c>
      <c r="Q115" s="918">
        <f t="shared" si="20"/>
        <v>0</v>
      </c>
    </row>
    <row r="116" spans="1:17">
      <c r="A116" s="941" t="s">
        <v>1897</v>
      </c>
      <c r="B116" s="942" t="s">
        <v>1933</v>
      </c>
      <c r="C116" s="943" t="s">
        <v>363</v>
      </c>
      <c r="D116" s="942">
        <v>1.5</v>
      </c>
      <c r="E116" s="942">
        <v>2.68</v>
      </c>
      <c r="F116" s="942">
        <f t="shared" si="28"/>
        <v>4.0200000000000005</v>
      </c>
      <c r="G116" s="944">
        <v>0</v>
      </c>
      <c r="H116" s="942">
        <f t="shared" si="29"/>
        <v>4.0200000000000005</v>
      </c>
      <c r="I116" s="942">
        <f>2*3</f>
        <v>6</v>
      </c>
      <c r="J116" s="945">
        <f t="shared" si="30"/>
        <v>24.120000000000005</v>
      </c>
      <c r="L116" s="918">
        <f t="shared" si="34"/>
        <v>24.120000000000005</v>
      </c>
      <c r="M116" s="918">
        <f t="shared" si="31"/>
        <v>0</v>
      </c>
      <c r="N116" s="918">
        <f t="shared" si="32"/>
        <v>0</v>
      </c>
      <c r="O116" s="918">
        <f t="shared" si="33"/>
        <v>0</v>
      </c>
      <c r="P116" s="918">
        <f t="shared" si="25"/>
        <v>0</v>
      </c>
      <c r="Q116" s="918">
        <f t="shared" si="20"/>
        <v>0</v>
      </c>
    </row>
    <row r="117" spans="1:17">
      <c r="A117" s="941" t="s">
        <v>1899</v>
      </c>
      <c r="B117" s="942" t="s">
        <v>1933</v>
      </c>
      <c r="C117" s="943" t="s">
        <v>363</v>
      </c>
      <c r="D117" s="942">
        <v>0.5</v>
      </c>
      <c r="E117" s="942">
        <v>2.68</v>
      </c>
      <c r="F117" s="942">
        <f t="shared" si="28"/>
        <v>1.34</v>
      </c>
      <c r="G117" s="944">
        <v>0</v>
      </c>
      <c r="H117" s="942">
        <f t="shared" si="29"/>
        <v>1.34</v>
      </c>
      <c r="I117" s="942">
        <f>2*3</f>
        <v>6</v>
      </c>
      <c r="J117" s="945">
        <f t="shared" si="30"/>
        <v>8.0400000000000009</v>
      </c>
      <c r="L117" s="918">
        <f t="shared" si="34"/>
        <v>8.0400000000000009</v>
      </c>
      <c r="M117" s="918">
        <f t="shared" si="31"/>
        <v>0</v>
      </c>
      <c r="N117" s="918">
        <f t="shared" si="32"/>
        <v>0</v>
      </c>
      <c r="O117" s="918">
        <f t="shared" si="33"/>
        <v>0</v>
      </c>
      <c r="P117" s="918">
        <f t="shared" si="25"/>
        <v>0</v>
      </c>
      <c r="Q117" s="918">
        <f t="shared" si="20"/>
        <v>0</v>
      </c>
    </row>
    <row r="118" spans="1:17">
      <c r="A118" s="941" t="s">
        <v>1901</v>
      </c>
      <c r="B118" s="942" t="s">
        <v>1933</v>
      </c>
      <c r="C118" s="943" t="s">
        <v>363</v>
      </c>
      <c r="D118" s="942">
        <v>1.04</v>
      </c>
      <c r="E118" s="942">
        <v>2.68</v>
      </c>
      <c r="F118" s="942">
        <f t="shared" si="28"/>
        <v>2.7872000000000003</v>
      </c>
      <c r="G118" s="944">
        <v>0</v>
      </c>
      <c r="H118" s="942">
        <f t="shared" si="29"/>
        <v>2.7872000000000003</v>
      </c>
      <c r="I118" s="942">
        <f t="shared" ref="I118:I132" si="37">2*3</f>
        <v>6</v>
      </c>
      <c r="J118" s="945">
        <f t="shared" si="30"/>
        <v>16.723200000000002</v>
      </c>
      <c r="L118" s="918">
        <f t="shared" si="34"/>
        <v>16.723200000000002</v>
      </c>
      <c r="M118" s="918">
        <f t="shared" si="31"/>
        <v>0</v>
      </c>
      <c r="N118" s="918">
        <f t="shared" si="32"/>
        <v>0</v>
      </c>
      <c r="O118" s="918">
        <f t="shared" si="33"/>
        <v>0</v>
      </c>
      <c r="P118" s="918">
        <f t="shared" si="25"/>
        <v>0</v>
      </c>
      <c r="Q118" s="918">
        <f t="shared" si="20"/>
        <v>0</v>
      </c>
    </row>
    <row r="119" spans="1:17">
      <c r="A119" s="941" t="s">
        <v>1902</v>
      </c>
      <c r="B119" s="942" t="s">
        <v>1933</v>
      </c>
      <c r="C119" s="943" t="s">
        <v>363</v>
      </c>
      <c r="D119" s="942">
        <v>2.5</v>
      </c>
      <c r="E119" s="942">
        <v>2.68</v>
      </c>
      <c r="F119" s="942">
        <f t="shared" si="28"/>
        <v>6.7</v>
      </c>
      <c r="G119" s="944">
        <v>0</v>
      </c>
      <c r="H119" s="942">
        <f t="shared" si="29"/>
        <v>6.7</v>
      </c>
      <c r="I119" s="942">
        <f t="shared" si="37"/>
        <v>6</v>
      </c>
      <c r="J119" s="945">
        <f t="shared" si="30"/>
        <v>40.200000000000003</v>
      </c>
      <c r="L119" s="918">
        <f t="shared" si="34"/>
        <v>40.200000000000003</v>
      </c>
      <c r="M119" s="918">
        <f t="shared" si="31"/>
        <v>0</v>
      </c>
      <c r="N119" s="918">
        <f t="shared" si="32"/>
        <v>0</v>
      </c>
      <c r="O119" s="918">
        <f t="shared" si="33"/>
        <v>0</v>
      </c>
      <c r="P119" s="918">
        <f t="shared" si="25"/>
        <v>0</v>
      </c>
      <c r="Q119" s="918">
        <f t="shared" si="20"/>
        <v>0</v>
      </c>
    </row>
    <row r="120" spans="1:17">
      <c r="A120" s="941" t="s">
        <v>1904</v>
      </c>
      <c r="B120" s="942" t="s">
        <v>1934</v>
      </c>
      <c r="C120" s="943" t="s">
        <v>363</v>
      </c>
      <c r="D120" s="942">
        <v>0.4</v>
      </c>
      <c r="E120" s="942">
        <v>2.68</v>
      </c>
      <c r="F120" s="942">
        <f t="shared" si="28"/>
        <v>1.0720000000000001</v>
      </c>
      <c r="G120" s="944">
        <v>0</v>
      </c>
      <c r="H120" s="942">
        <f t="shared" si="29"/>
        <v>1.0720000000000001</v>
      </c>
      <c r="I120" s="942">
        <f t="shared" si="37"/>
        <v>6</v>
      </c>
      <c r="J120" s="945">
        <f t="shared" si="30"/>
        <v>6.4320000000000004</v>
      </c>
      <c r="L120" s="918">
        <f t="shared" si="34"/>
        <v>6.4320000000000004</v>
      </c>
      <c r="M120" s="918">
        <f t="shared" si="31"/>
        <v>0</v>
      </c>
      <c r="N120" s="918">
        <f t="shared" si="32"/>
        <v>0</v>
      </c>
      <c r="O120" s="918">
        <f t="shared" si="33"/>
        <v>0</v>
      </c>
      <c r="P120" s="918">
        <f t="shared" si="25"/>
        <v>0</v>
      </c>
      <c r="Q120" s="918">
        <f t="shared" si="20"/>
        <v>0</v>
      </c>
    </row>
    <row r="121" spans="1:17">
      <c r="A121" s="941" t="s">
        <v>1906</v>
      </c>
      <c r="B121" s="942" t="s">
        <v>1934</v>
      </c>
      <c r="C121" s="943" t="s">
        <v>363</v>
      </c>
      <c r="D121" s="942">
        <v>0.5</v>
      </c>
      <c r="E121" s="942">
        <v>2.68</v>
      </c>
      <c r="F121" s="942">
        <f t="shared" si="28"/>
        <v>1.34</v>
      </c>
      <c r="G121" s="944">
        <v>0</v>
      </c>
      <c r="H121" s="942">
        <f t="shared" si="29"/>
        <v>1.34</v>
      </c>
      <c r="I121" s="942">
        <f t="shared" si="37"/>
        <v>6</v>
      </c>
      <c r="J121" s="945">
        <f t="shared" si="30"/>
        <v>8.0400000000000009</v>
      </c>
      <c r="L121" s="918">
        <f t="shared" si="34"/>
        <v>8.0400000000000009</v>
      </c>
      <c r="M121" s="918">
        <f t="shared" si="31"/>
        <v>0</v>
      </c>
      <c r="N121" s="918">
        <f t="shared" si="32"/>
        <v>0</v>
      </c>
      <c r="O121" s="918">
        <f t="shared" si="33"/>
        <v>0</v>
      </c>
      <c r="P121" s="918">
        <f t="shared" si="25"/>
        <v>0</v>
      </c>
      <c r="Q121" s="918">
        <f t="shared" si="20"/>
        <v>0</v>
      </c>
    </row>
    <row r="122" spans="1:17">
      <c r="A122" s="941" t="s">
        <v>1907</v>
      </c>
      <c r="B122" s="942" t="s">
        <v>1935</v>
      </c>
      <c r="C122" s="943" t="s">
        <v>363</v>
      </c>
      <c r="D122" s="942">
        <v>0.45</v>
      </c>
      <c r="E122" s="942">
        <v>2.68</v>
      </c>
      <c r="F122" s="942">
        <f t="shared" si="28"/>
        <v>1.2060000000000002</v>
      </c>
      <c r="G122" s="944">
        <v>0</v>
      </c>
      <c r="H122" s="942">
        <f t="shared" si="29"/>
        <v>1.2060000000000002</v>
      </c>
      <c r="I122" s="942">
        <f t="shared" si="37"/>
        <v>6</v>
      </c>
      <c r="J122" s="945">
        <f t="shared" si="30"/>
        <v>7.2360000000000007</v>
      </c>
      <c r="L122" s="918">
        <f t="shared" si="34"/>
        <v>7.2360000000000007</v>
      </c>
      <c r="M122" s="918">
        <f t="shared" si="31"/>
        <v>0</v>
      </c>
      <c r="N122" s="918">
        <f t="shared" si="32"/>
        <v>0</v>
      </c>
      <c r="O122" s="918">
        <f t="shared" si="33"/>
        <v>0</v>
      </c>
      <c r="P122" s="918">
        <f t="shared" si="25"/>
        <v>0</v>
      </c>
      <c r="Q122" s="918">
        <f t="shared" si="20"/>
        <v>0</v>
      </c>
    </row>
    <row r="123" spans="1:17">
      <c r="A123" s="941" t="s">
        <v>1908</v>
      </c>
      <c r="B123" s="942" t="s">
        <v>1936</v>
      </c>
      <c r="C123" s="943" t="s">
        <v>363</v>
      </c>
      <c r="D123" s="942">
        <v>1.88</v>
      </c>
      <c r="E123" s="942">
        <f t="shared" ref="E123:E124" si="38">2.68-0.45</f>
        <v>2.23</v>
      </c>
      <c r="F123" s="942">
        <f t="shared" si="28"/>
        <v>4.1924000000000001</v>
      </c>
      <c r="G123" s="944">
        <v>0</v>
      </c>
      <c r="H123" s="942">
        <f t="shared" si="29"/>
        <v>4.1924000000000001</v>
      </c>
      <c r="I123" s="942">
        <f t="shared" si="37"/>
        <v>6</v>
      </c>
      <c r="J123" s="945">
        <f t="shared" si="30"/>
        <v>25.154400000000003</v>
      </c>
      <c r="L123" s="918">
        <f t="shared" si="34"/>
        <v>25.154400000000003</v>
      </c>
      <c r="M123" s="918">
        <f t="shared" si="31"/>
        <v>0</v>
      </c>
      <c r="N123" s="918">
        <f t="shared" si="32"/>
        <v>0</v>
      </c>
      <c r="O123" s="918">
        <f t="shared" si="33"/>
        <v>0</v>
      </c>
      <c r="P123" s="918">
        <f t="shared" si="25"/>
        <v>0</v>
      </c>
      <c r="Q123" s="918">
        <f t="shared" si="20"/>
        <v>0</v>
      </c>
    </row>
    <row r="124" spans="1:17">
      <c r="A124" s="941" t="s">
        <v>1910</v>
      </c>
      <c r="B124" s="942" t="s">
        <v>1937</v>
      </c>
      <c r="C124" s="943" t="s">
        <v>363</v>
      </c>
      <c r="D124" s="942">
        <v>3.47</v>
      </c>
      <c r="E124" s="942">
        <f t="shared" si="38"/>
        <v>2.23</v>
      </c>
      <c r="F124" s="942">
        <f t="shared" si="28"/>
        <v>7.7381000000000002</v>
      </c>
      <c r="G124" s="944">
        <v>0</v>
      </c>
      <c r="H124" s="942">
        <f t="shared" si="29"/>
        <v>7.7381000000000002</v>
      </c>
      <c r="I124" s="942">
        <f t="shared" si="37"/>
        <v>6</v>
      </c>
      <c r="J124" s="945">
        <f t="shared" si="30"/>
        <v>46.428600000000003</v>
      </c>
      <c r="L124" s="918">
        <f t="shared" si="34"/>
        <v>46.428600000000003</v>
      </c>
      <c r="M124" s="918">
        <f t="shared" si="31"/>
        <v>0</v>
      </c>
      <c r="N124" s="918">
        <f t="shared" si="32"/>
        <v>0</v>
      </c>
      <c r="O124" s="918">
        <f t="shared" si="33"/>
        <v>0</v>
      </c>
      <c r="P124" s="918">
        <f t="shared" si="25"/>
        <v>0</v>
      </c>
      <c r="Q124" s="918">
        <f t="shared" si="20"/>
        <v>0</v>
      </c>
    </row>
    <row r="125" spans="1:17">
      <c r="A125" s="941" t="s">
        <v>1911</v>
      </c>
      <c r="B125" s="942" t="s">
        <v>1937</v>
      </c>
      <c r="C125" s="943" t="s">
        <v>363</v>
      </c>
      <c r="D125" s="942">
        <v>1</v>
      </c>
      <c r="E125" s="942">
        <v>2.68</v>
      </c>
      <c r="F125" s="942">
        <f t="shared" si="28"/>
        <v>2.68</v>
      </c>
      <c r="G125" s="944">
        <v>0</v>
      </c>
      <c r="H125" s="942">
        <f t="shared" si="29"/>
        <v>2.68</v>
      </c>
      <c r="I125" s="942">
        <f t="shared" si="37"/>
        <v>6</v>
      </c>
      <c r="J125" s="945">
        <f t="shared" si="30"/>
        <v>16.080000000000002</v>
      </c>
      <c r="L125" s="918">
        <f>IF(C125=$L$2,J125,0)</f>
        <v>16.080000000000002</v>
      </c>
      <c r="M125" s="918">
        <f t="shared" si="31"/>
        <v>0</v>
      </c>
      <c r="N125" s="918">
        <f t="shared" si="32"/>
        <v>0</v>
      </c>
      <c r="O125" s="918">
        <f t="shared" si="33"/>
        <v>0</v>
      </c>
      <c r="P125" s="918">
        <f t="shared" si="25"/>
        <v>0</v>
      </c>
      <c r="Q125" s="918">
        <f t="shared" si="20"/>
        <v>0</v>
      </c>
    </row>
    <row r="126" spans="1:17">
      <c r="A126" s="941" t="s">
        <v>1912</v>
      </c>
      <c r="B126" s="942" t="s">
        <v>1938</v>
      </c>
      <c r="C126" s="943" t="s">
        <v>363</v>
      </c>
      <c r="D126" s="942">
        <v>4.67</v>
      </c>
      <c r="E126" s="942">
        <v>2.68</v>
      </c>
      <c r="F126" s="942">
        <f t="shared" si="28"/>
        <v>12.515600000000001</v>
      </c>
      <c r="G126" s="944">
        <v>0</v>
      </c>
      <c r="H126" s="942">
        <f t="shared" si="29"/>
        <v>12.515600000000001</v>
      </c>
      <c r="I126" s="942">
        <f t="shared" si="37"/>
        <v>6</v>
      </c>
      <c r="J126" s="945">
        <f t="shared" si="30"/>
        <v>75.093600000000009</v>
      </c>
      <c r="L126" s="918">
        <f t="shared" ref="L126:L132" si="39">IF(C126=$L$2,J126,0)</f>
        <v>75.093600000000009</v>
      </c>
      <c r="M126" s="918">
        <f t="shared" si="31"/>
        <v>0</v>
      </c>
      <c r="N126" s="918">
        <f t="shared" si="32"/>
        <v>0</v>
      </c>
      <c r="O126" s="918">
        <f t="shared" si="33"/>
        <v>0</v>
      </c>
      <c r="P126" s="918">
        <f t="shared" si="25"/>
        <v>0</v>
      </c>
      <c r="Q126" s="918">
        <f t="shared" si="20"/>
        <v>0</v>
      </c>
    </row>
    <row r="127" spans="1:17">
      <c r="A127" s="941" t="s">
        <v>1914</v>
      </c>
      <c r="B127" s="942" t="s">
        <v>1938</v>
      </c>
      <c r="C127" s="943" t="s">
        <v>363</v>
      </c>
      <c r="D127" s="942">
        <v>1.69</v>
      </c>
      <c r="E127" s="942">
        <v>2.68</v>
      </c>
      <c r="F127" s="942">
        <f t="shared" si="28"/>
        <v>4.5292000000000003</v>
      </c>
      <c r="G127" s="944">
        <v>0</v>
      </c>
      <c r="H127" s="942">
        <f t="shared" si="29"/>
        <v>4.5292000000000003</v>
      </c>
      <c r="I127" s="942">
        <f t="shared" si="37"/>
        <v>6</v>
      </c>
      <c r="J127" s="945">
        <f t="shared" si="30"/>
        <v>27.175200000000004</v>
      </c>
      <c r="L127" s="918">
        <f t="shared" si="39"/>
        <v>27.175200000000004</v>
      </c>
      <c r="M127" s="918">
        <f t="shared" si="31"/>
        <v>0</v>
      </c>
      <c r="N127" s="918">
        <f t="shared" si="32"/>
        <v>0</v>
      </c>
      <c r="O127" s="918">
        <f t="shared" si="33"/>
        <v>0</v>
      </c>
      <c r="P127" s="918">
        <f t="shared" si="25"/>
        <v>0</v>
      </c>
      <c r="Q127" s="918">
        <f t="shared" si="20"/>
        <v>0</v>
      </c>
    </row>
    <row r="128" spans="1:17">
      <c r="A128" s="941" t="s">
        <v>1915</v>
      </c>
      <c r="B128" s="942" t="s">
        <v>1938</v>
      </c>
      <c r="C128" s="943" t="s">
        <v>363</v>
      </c>
      <c r="D128" s="942">
        <v>1.69</v>
      </c>
      <c r="E128" s="942">
        <v>2.68</v>
      </c>
      <c r="F128" s="942">
        <f t="shared" si="28"/>
        <v>4.5292000000000003</v>
      </c>
      <c r="G128" s="944">
        <v>0</v>
      </c>
      <c r="H128" s="942">
        <f t="shared" si="29"/>
        <v>4.5292000000000003</v>
      </c>
      <c r="I128" s="942">
        <f t="shared" si="37"/>
        <v>6</v>
      </c>
      <c r="J128" s="945">
        <f t="shared" si="30"/>
        <v>27.175200000000004</v>
      </c>
      <c r="L128" s="918">
        <f t="shared" si="39"/>
        <v>27.175200000000004</v>
      </c>
      <c r="M128" s="918">
        <f t="shared" si="31"/>
        <v>0</v>
      </c>
      <c r="N128" s="918">
        <f t="shared" si="32"/>
        <v>0</v>
      </c>
      <c r="O128" s="918">
        <f t="shared" si="33"/>
        <v>0</v>
      </c>
      <c r="P128" s="918">
        <f t="shared" si="25"/>
        <v>0</v>
      </c>
      <c r="Q128" s="918">
        <f t="shared" si="20"/>
        <v>0</v>
      </c>
    </row>
    <row r="129" spans="1:17">
      <c r="A129" s="941" t="s">
        <v>1916</v>
      </c>
      <c r="B129" s="942" t="s">
        <v>1939</v>
      </c>
      <c r="C129" s="943" t="s">
        <v>363</v>
      </c>
      <c r="D129" s="942">
        <v>0.46</v>
      </c>
      <c r="E129" s="942">
        <v>2.68</v>
      </c>
      <c r="F129" s="942">
        <f>+D129*E129</f>
        <v>1.2328000000000001</v>
      </c>
      <c r="G129" s="944">
        <v>0</v>
      </c>
      <c r="H129" s="942">
        <f t="shared" si="29"/>
        <v>1.2328000000000001</v>
      </c>
      <c r="I129" s="942">
        <f>2*3*2</f>
        <v>12</v>
      </c>
      <c r="J129" s="945">
        <f t="shared" si="30"/>
        <v>14.793600000000001</v>
      </c>
      <c r="L129" s="918">
        <f t="shared" si="39"/>
        <v>14.793600000000001</v>
      </c>
      <c r="M129" s="918">
        <f t="shared" si="31"/>
        <v>0</v>
      </c>
      <c r="N129" s="918">
        <f t="shared" si="32"/>
        <v>0</v>
      </c>
      <c r="O129" s="918">
        <f t="shared" si="33"/>
        <v>0</v>
      </c>
      <c r="P129" s="918">
        <f t="shared" si="25"/>
        <v>0</v>
      </c>
      <c r="Q129" s="918">
        <f t="shared" si="20"/>
        <v>0</v>
      </c>
    </row>
    <row r="130" spans="1:17">
      <c r="A130" s="941" t="s">
        <v>1918</v>
      </c>
      <c r="B130" s="942" t="s">
        <v>1939</v>
      </c>
      <c r="C130" s="943" t="s">
        <v>363</v>
      </c>
      <c r="D130" s="942">
        <v>0.45</v>
      </c>
      <c r="E130" s="942">
        <f>2.68-0.45</f>
        <v>2.23</v>
      </c>
      <c r="F130" s="942">
        <f t="shared" ref="F130" si="40">+D130*E130</f>
        <v>1.0035000000000001</v>
      </c>
      <c r="G130" s="944">
        <v>0</v>
      </c>
      <c r="H130" s="942">
        <f t="shared" si="29"/>
        <v>1.0035000000000001</v>
      </c>
      <c r="I130" s="942">
        <f t="shared" si="37"/>
        <v>6</v>
      </c>
      <c r="J130" s="945">
        <f t="shared" si="30"/>
        <v>6.0210000000000008</v>
      </c>
      <c r="L130" s="918">
        <f t="shared" si="39"/>
        <v>6.0210000000000008</v>
      </c>
      <c r="M130" s="918">
        <f t="shared" si="31"/>
        <v>0</v>
      </c>
      <c r="N130" s="918">
        <f t="shared" si="32"/>
        <v>0</v>
      </c>
      <c r="O130" s="918">
        <f t="shared" si="33"/>
        <v>0</v>
      </c>
      <c r="P130" s="918">
        <f t="shared" si="25"/>
        <v>0</v>
      </c>
      <c r="Q130" s="918">
        <f t="shared" si="20"/>
        <v>0</v>
      </c>
    </row>
    <row r="131" spans="1:17">
      <c r="A131" s="941" t="s">
        <v>1919</v>
      </c>
      <c r="B131" s="942" t="s">
        <v>1939</v>
      </c>
      <c r="C131" s="943" t="s">
        <v>363</v>
      </c>
      <c r="D131" s="942">
        <v>3.8</v>
      </c>
      <c r="E131" s="942">
        <f>2.68-0.45</f>
        <v>2.23</v>
      </c>
      <c r="F131" s="942">
        <f>+D131*E131</f>
        <v>8.4740000000000002</v>
      </c>
      <c r="G131" s="944">
        <v>0</v>
      </c>
      <c r="H131" s="942">
        <f>+F131-G131</f>
        <v>8.4740000000000002</v>
      </c>
      <c r="I131" s="942">
        <f t="shared" si="37"/>
        <v>6</v>
      </c>
      <c r="J131" s="945">
        <f>+H131*I131</f>
        <v>50.844000000000001</v>
      </c>
      <c r="L131" s="918">
        <f t="shared" si="39"/>
        <v>50.844000000000001</v>
      </c>
      <c r="M131" s="918">
        <f t="shared" si="31"/>
        <v>0</v>
      </c>
      <c r="N131" s="918">
        <f t="shared" si="32"/>
        <v>0</v>
      </c>
      <c r="O131" s="918">
        <f t="shared" si="33"/>
        <v>0</v>
      </c>
      <c r="P131" s="918">
        <f t="shared" si="25"/>
        <v>0</v>
      </c>
      <c r="Q131" s="918">
        <f t="shared" si="20"/>
        <v>0</v>
      </c>
    </row>
    <row r="132" spans="1:17">
      <c r="A132" s="956" t="s">
        <v>1910</v>
      </c>
      <c r="B132" s="957" t="s">
        <v>1939</v>
      </c>
      <c r="C132" s="958" t="s">
        <v>363</v>
      </c>
      <c r="D132" s="957">
        <v>0.6</v>
      </c>
      <c r="E132" s="957">
        <f>2.68-0.45</f>
        <v>2.23</v>
      </c>
      <c r="F132" s="957">
        <f t="shared" ref="F132" si="41">+D132*E132</f>
        <v>1.3379999999999999</v>
      </c>
      <c r="G132" s="959">
        <v>0</v>
      </c>
      <c r="H132" s="957">
        <f t="shared" ref="H132" si="42">+F132-G132</f>
        <v>1.3379999999999999</v>
      </c>
      <c r="I132" s="957">
        <f t="shared" si="37"/>
        <v>6</v>
      </c>
      <c r="J132" s="960">
        <f t="shared" ref="J132" si="43">+H132*I132</f>
        <v>8.0279999999999987</v>
      </c>
      <c r="L132" s="918">
        <f t="shared" si="39"/>
        <v>8.0279999999999987</v>
      </c>
      <c r="M132" s="918">
        <f t="shared" si="31"/>
        <v>0</v>
      </c>
      <c r="N132" s="918">
        <f t="shared" si="32"/>
        <v>0</v>
      </c>
      <c r="O132" s="918">
        <f t="shared" si="33"/>
        <v>0</v>
      </c>
      <c r="P132" s="918">
        <f t="shared" si="25"/>
        <v>0</v>
      </c>
      <c r="Q132" s="918">
        <f t="shared" si="20"/>
        <v>0</v>
      </c>
    </row>
    <row r="133" spans="1:17">
      <c r="A133" s="931" t="s">
        <v>1940</v>
      </c>
      <c r="B133" s="951"/>
      <c r="C133" s="952"/>
      <c r="D133" s="951"/>
      <c r="E133" s="951"/>
      <c r="F133" s="951"/>
      <c r="G133" s="953"/>
      <c r="H133" s="951"/>
      <c r="I133" s="951"/>
      <c r="J133" s="954"/>
    </row>
    <row r="134" spans="1:17">
      <c r="A134" s="936" t="s">
        <v>1941</v>
      </c>
      <c r="B134" s="937" t="s">
        <v>1469</v>
      </c>
      <c r="C134" s="938" t="s">
        <v>367</v>
      </c>
      <c r="D134" s="937">
        <v>2</v>
      </c>
      <c r="E134" s="937">
        <v>2.68</v>
      </c>
      <c r="F134" s="937">
        <f t="shared" ref="F134:F197" si="44">+D134*E134</f>
        <v>5.36</v>
      </c>
      <c r="G134" s="939">
        <v>0</v>
      </c>
      <c r="H134" s="937">
        <f t="shared" ref="H134:H197" si="45">+F134-G134</f>
        <v>5.36</v>
      </c>
      <c r="I134" s="937">
        <v>1</v>
      </c>
      <c r="J134" s="940">
        <f t="shared" ref="J134:J197" si="46">+H134*I134</f>
        <v>5.36</v>
      </c>
      <c r="L134" s="918">
        <f>IF(C134=$L$2,J134,0)</f>
        <v>0</v>
      </c>
      <c r="M134" s="918">
        <f t="shared" ref="M134:M197" si="47">IF(C134=$M$2,J134,0)</f>
        <v>5.36</v>
      </c>
      <c r="N134" s="918">
        <f t="shared" ref="N134:N197" si="48">IF(C134=$N$2,J134,0)</f>
        <v>0</v>
      </c>
      <c r="O134" s="918">
        <f t="shared" ref="O134:O197" si="49">IF(C134=$O$2,J134,0)</f>
        <v>0</v>
      </c>
      <c r="P134" s="918">
        <f t="shared" si="25"/>
        <v>0</v>
      </c>
      <c r="Q134" s="918">
        <f t="shared" si="20"/>
        <v>0</v>
      </c>
    </row>
    <row r="135" spans="1:17">
      <c r="A135" s="941" t="s">
        <v>1942</v>
      </c>
      <c r="B135" s="942" t="s">
        <v>1469</v>
      </c>
      <c r="C135" s="943" t="s">
        <v>367</v>
      </c>
      <c r="D135" s="942">
        <v>2.4500000000000002</v>
      </c>
      <c r="E135" s="942">
        <v>2.68</v>
      </c>
      <c r="F135" s="942">
        <f t="shared" si="44"/>
        <v>6.5660000000000007</v>
      </c>
      <c r="G135" s="944">
        <v>0</v>
      </c>
      <c r="H135" s="942">
        <f t="shared" si="45"/>
        <v>6.5660000000000007</v>
      </c>
      <c r="I135" s="942">
        <v>1</v>
      </c>
      <c r="J135" s="945">
        <f t="shared" si="46"/>
        <v>6.5660000000000007</v>
      </c>
      <c r="L135" s="918">
        <f>IF(C135=$L$2,J135,0)</f>
        <v>0</v>
      </c>
      <c r="M135" s="918">
        <f t="shared" si="47"/>
        <v>6.5660000000000007</v>
      </c>
      <c r="N135" s="918">
        <f t="shared" si="48"/>
        <v>0</v>
      </c>
      <c r="O135" s="918">
        <f t="shared" si="49"/>
        <v>0</v>
      </c>
      <c r="P135" s="918">
        <f t="shared" si="25"/>
        <v>0</v>
      </c>
      <c r="Q135" s="918">
        <f t="shared" ref="Q135:Q198" si="50">+SUM(L135:P135)-J135</f>
        <v>0</v>
      </c>
    </row>
    <row r="136" spans="1:17">
      <c r="A136" s="941" t="s">
        <v>384</v>
      </c>
      <c r="B136" s="942" t="s">
        <v>1469</v>
      </c>
      <c r="C136" s="943" t="s">
        <v>367</v>
      </c>
      <c r="D136" s="942">
        <v>5.7</v>
      </c>
      <c r="E136" s="942">
        <v>2.68</v>
      </c>
      <c r="F136" s="942">
        <f t="shared" si="44"/>
        <v>15.276000000000002</v>
      </c>
      <c r="G136" s="944">
        <v>0</v>
      </c>
      <c r="H136" s="942">
        <f t="shared" si="45"/>
        <v>15.276000000000002</v>
      </c>
      <c r="I136" s="942">
        <v>1</v>
      </c>
      <c r="J136" s="945">
        <f t="shared" si="46"/>
        <v>15.276000000000002</v>
      </c>
      <c r="L136" s="918">
        <f t="shared" ref="L136:L199" si="51">IF(C136=$L$2,J136,0)</f>
        <v>0</v>
      </c>
      <c r="M136" s="918">
        <f t="shared" si="47"/>
        <v>15.276000000000002</v>
      </c>
      <c r="N136" s="918">
        <f t="shared" si="48"/>
        <v>0</v>
      </c>
      <c r="O136" s="918">
        <f t="shared" si="49"/>
        <v>0</v>
      </c>
      <c r="P136" s="918">
        <f t="shared" si="25"/>
        <v>0</v>
      </c>
      <c r="Q136" s="918">
        <f t="shared" si="50"/>
        <v>0</v>
      </c>
    </row>
    <row r="137" spans="1:17">
      <c r="A137" s="941" t="s">
        <v>385</v>
      </c>
      <c r="B137" s="942" t="s">
        <v>1469</v>
      </c>
      <c r="C137" s="943" t="s">
        <v>367</v>
      </c>
      <c r="D137" s="942">
        <v>5.0999999999999996</v>
      </c>
      <c r="E137" s="942">
        <v>2.68</v>
      </c>
      <c r="F137" s="942">
        <f t="shared" si="44"/>
        <v>13.667999999999999</v>
      </c>
      <c r="G137" s="944">
        <v>0</v>
      </c>
      <c r="H137" s="942">
        <f t="shared" si="45"/>
        <v>13.667999999999999</v>
      </c>
      <c r="I137" s="942">
        <v>1</v>
      </c>
      <c r="J137" s="945">
        <f t="shared" si="46"/>
        <v>13.667999999999999</v>
      </c>
      <c r="L137" s="918">
        <f t="shared" si="51"/>
        <v>0</v>
      </c>
      <c r="M137" s="918">
        <f t="shared" si="47"/>
        <v>13.667999999999999</v>
      </c>
      <c r="N137" s="918">
        <f t="shared" si="48"/>
        <v>0</v>
      </c>
      <c r="O137" s="918">
        <f t="shared" si="49"/>
        <v>0</v>
      </c>
      <c r="P137" s="918">
        <f t="shared" ref="P137:P200" si="52">IF(C137=$P$2,J137,0)</f>
        <v>0</v>
      </c>
      <c r="Q137" s="918">
        <f t="shared" si="50"/>
        <v>0</v>
      </c>
    </row>
    <row r="138" spans="1:17">
      <c r="A138" s="941" t="s">
        <v>386</v>
      </c>
      <c r="B138" s="942" t="s">
        <v>1469</v>
      </c>
      <c r="C138" s="943" t="s">
        <v>367</v>
      </c>
      <c r="D138" s="942">
        <v>5.01</v>
      </c>
      <c r="E138" s="942">
        <v>2.68</v>
      </c>
      <c r="F138" s="942">
        <f t="shared" si="44"/>
        <v>13.4268</v>
      </c>
      <c r="G138" s="944">
        <v>0</v>
      </c>
      <c r="H138" s="942">
        <f t="shared" si="45"/>
        <v>13.4268</v>
      </c>
      <c r="I138" s="942">
        <v>1</v>
      </c>
      <c r="J138" s="945">
        <f t="shared" si="46"/>
        <v>13.4268</v>
      </c>
      <c r="L138" s="918">
        <f t="shared" si="51"/>
        <v>0</v>
      </c>
      <c r="M138" s="918">
        <f t="shared" si="47"/>
        <v>13.4268</v>
      </c>
      <c r="N138" s="918">
        <f t="shared" si="48"/>
        <v>0</v>
      </c>
      <c r="O138" s="918">
        <f t="shared" si="49"/>
        <v>0</v>
      </c>
      <c r="P138" s="918">
        <f t="shared" si="52"/>
        <v>0</v>
      </c>
      <c r="Q138" s="918">
        <f t="shared" si="50"/>
        <v>0</v>
      </c>
    </row>
    <row r="139" spans="1:17">
      <c r="A139" s="941" t="s">
        <v>1861</v>
      </c>
      <c r="B139" s="942" t="s">
        <v>1469</v>
      </c>
      <c r="C139" s="943" t="s">
        <v>367</v>
      </c>
      <c r="D139" s="942">
        <v>3.8</v>
      </c>
      <c r="E139" s="942">
        <v>2.68</v>
      </c>
      <c r="F139" s="942">
        <f t="shared" si="44"/>
        <v>10.183999999999999</v>
      </c>
      <c r="G139" s="944">
        <v>0</v>
      </c>
      <c r="H139" s="942">
        <f t="shared" si="45"/>
        <v>10.183999999999999</v>
      </c>
      <c r="I139" s="942">
        <v>1</v>
      </c>
      <c r="J139" s="945">
        <f t="shared" si="46"/>
        <v>10.183999999999999</v>
      </c>
      <c r="L139" s="918">
        <f t="shared" si="51"/>
        <v>0</v>
      </c>
      <c r="M139" s="918">
        <f t="shared" si="47"/>
        <v>10.183999999999999</v>
      </c>
      <c r="N139" s="918">
        <f t="shared" si="48"/>
        <v>0</v>
      </c>
      <c r="O139" s="918">
        <f t="shared" si="49"/>
        <v>0</v>
      </c>
      <c r="P139" s="918">
        <f t="shared" si="52"/>
        <v>0</v>
      </c>
      <c r="Q139" s="918">
        <f t="shared" si="50"/>
        <v>0</v>
      </c>
    </row>
    <row r="140" spans="1:17">
      <c r="A140" s="941" t="s">
        <v>1888</v>
      </c>
      <c r="B140" s="942" t="s">
        <v>1469</v>
      </c>
      <c r="C140" s="943" t="s">
        <v>367</v>
      </c>
      <c r="D140" s="942">
        <v>0.6</v>
      </c>
      <c r="E140" s="942">
        <v>2.68</v>
      </c>
      <c r="F140" s="942">
        <f t="shared" si="44"/>
        <v>1.6080000000000001</v>
      </c>
      <c r="G140" s="944">
        <v>0</v>
      </c>
      <c r="H140" s="942">
        <f t="shared" si="45"/>
        <v>1.6080000000000001</v>
      </c>
      <c r="I140" s="942">
        <v>1</v>
      </c>
      <c r="J140" s="945">
        <f t="shared" si="46"/>
        <v>1.6080000000000001</v>
      </c>
      <c r="L140" s="918">
        <f t="shared" si="51"/>
        <v>0</v>
      </c>
      <c r="M140" s="918">
        <f t="shared" si="47"/>
        <v>1.6080000000000001</v>
      </c>
      <c r="N140" s="918">
        <f t="shared" si="48"/>
        <v>0</v>
      </c>
      <c r="O140" s="918">
        <f t="shared" si="49"/>
        <v>0</v>
      </c>
      <c r="P140" s="918">
        <f t="shared" si="52"/>
        <v>0</v>
      </c>
      <c r="Q140" s="918">
        <f t="shared" si="50"/>
        <v>0</v>
      </c>
    </row>
    <row r="141" spans="1:17">
      <c r="A141" s="941" t="s">
        <v>1943</v>
      </c>
      <c r="B141" s="942" t="s">
        <v>1469</v>
      </c>
      <c r="C141" s="943" t="s">
        <v>367</v>
      </c>
      <c r="D141" s="942">
        <v>2</v>
      </c>
      <c r="E141" s="942">
        <v>2.68</v>
      </c>
      <c r="F141" s="942">
        <f t="shared" si="44"/>
        <v>5.36</v>
      </c>
      <c r="G141" s="944">
        <v>0</v>
      </c>
      <c r="H141" s="942">
        <f t="shared" si="45"/>
        <v>5.36</v>
      </c>
      <c r="I141" s="942">
        <v>1</v>
      </c>
      <c r="J141" s="945">
        <f t="shared" si="46"/>
        <v>5.36</v>
      </c>
      <c r="L141" s="918">
        <f t="shared" si="51"/>
        <v>0</v>
      </c>
      <c r="M141" s="918">
        <f t="shared" si="47"/>
        <v>5.36</v>
      </c>
      <c r="N141" s="918">
        <f t="shared" si="48"/>
        <v>0</v>
      </c>
      <c r="O141" s="918">
        <f t="shared" si="49"/>
        <v>0</v>
      </c>
      <c r="P141" s="918">
        <f t="shared" si="52"/>
        <v>0</v>
      </c>
      <c r="Q141" s="918">
        <f t="shared" si="50"/>
        <v>0</v>
      </c>
    </row>
    <row r="142" spans="1:17">
      <c r="A142" s="941" t="s">
        <v>1944</v>
      </c>
      <c r="B142" s="942" t="s">
        <v>1469</v>
      </c>
      <c r="C142" s="943" t="s">
        <v>367</v>
      </c>
      <c r="D142" s="942">
        <v>2.4500000000000002</v>
      </c>
      <c r="E142" s="942">
        <v>2.68</v>
      </c>
      <c r="F142" s="942">
        <f t="shared" si="44"/>
        <v>6.5660000000000007</v>
      </c>
      <c r="G142" s="944">
        <v>0</v>
      </c>
      <c r="H142" s="942">
        <f t="shared" si="45"/>
        <v>6.5660000000000007</v>
      </c>
      <c r="I142" s="942">
        <v>1</v>
      </c>
      <c r="J142" s="945">
        <f t="shared" si="46"/>
        <v>6.5660000000000007</v>
      </c>
      <c r="L142" s="918">
        <f t="shared" si="51"/>
        <v>0</v>
      </c>
      <c r="M142" s="918">
        <f t="shared" si="47"/>
        <v>6.5660000000000007</v>
      </c>
      <c r="N142" s="918">
        <f t="shared" si="48"/>
        <v>0</v>
      </c>
      <c r="O142" s="918">
        <f t="shared" si="49"/>
        <v>0</v>
      </c>
      <c r="P142" s="918">
        <f t="shared" si="52"/>
        <v>0</v>
      </c>
      <c r="Q142" s="918">
        <f t="shared" si="50"/>
        <v>0</v>
      </c>
    </row>
    <row r="143" spans="1:17">
      <c r="A143" s="941" t="s">
        <v>1868</v>
      </c>
      <c r="B143" s="942" t="s">
        <v>1469</v>
      </c>
      <c r="C143" s="943" t="s">
        <v>367</v>
      </c>
      <c r="D143" s="942">
        <v>4.4400000000000004</v>
      </c>
      <c r="E143" s="942">
        <v>2.68</v>
      </c>
      <c r="F143" s="942">
        <f t="shared" si="44"/>
        <v>11.899200000000002</v>
      </c>
      <c r="G143" s="944">
        <v>0</v>
      </c>
      <c r="H143" s="942">
        <f t="shared" si="45"/>
        <v>11.899200000000002</v>
      </c>
      <c r="I143" s="942">
        <v>1</v>
      </c>
      <c r="J143" s="945">
        <f t="shared" si="46"/>
        <v>11.899200000000002</v>
      </c>
      <c r="L143" s="918">
        <f t="shared" si="51"/>
        <v>0</v>
      </c>
      <c r="M143" s="918">
        <f t="shared" si="47"/>
        <v>11.899200000000002</v>
      </c>
      <c r="N143" s="918">
        <f t="shared" si="48"/>
        <v>0</v>
      </c>
      <c r="O143" s="918">
        <f t="shared" si="49"/>
        <v>0</v>
      </c>
      <c r="P143" s="918">
        <f t="shared" si="52"/>
        <v>0</v>
      </c>
      <c r="Q143" s="918">
        <f t="shared" si="50"/>
        <v>0</v>
      </c>
    </row>
    <row r="144" spans="1:17">
      <c r="A144" s="941" t="s">
        <v>1876</v>
      </c>
      <c r="B144" s="942" t="s">
        <v>1469</v>
      </c>
      <c r="C144" s="943" t="s">
        <v>367</v>
      </c>
      <c r="D144" s="942">
        <v>4.37</v>
      </c>
      <c r="E144" s="942">
        <v>2.68</v>
      </c>
      <c r="F144" s="942">
        <f t="shared" si="44"/>
        <v>11.711600000000001</v>
      </c>
      <c r="G144" s="944">
        <v>0</v>
      </c>
      <c r="H144" s="942">
        <f t="shared" si="45"/>
        <v>11.711600000000001</v>
      </c>
      <c r="I144" s="942">
        <v>1</v>
      </c>
      <c r="J144" s="945">
        <f t="shared" si="46"/>
        <v>11.711600000000001</v>
      </c>
      <c r="L144" s="918">
        <f t="shared" si="51"/>
        <v>0</v>
      </c>
      <c r="M144" s="918">
        <f t="shared" si="47"/>
        <v>11.711600000000001</v>
      </c>
      <c r="N144" s="918">
        <f t="shared" si="48"/>
        <v>0</v>
      </c>
      <c r="O144" s="918">
        <f t="shared" si="49"/>
        <v>0</v>
      </c>
      <c r="P144" s="918">
        <f t="shared" si="52"/>
        <v>0</v>
      </c>
      <c r="Q144" s="918">
        <f t="shared" si="50"/>
        <v>0</v>
      </c>
    </row>
    <row r="145" spans="1:17">
      <c r="A145" s="941" t="s">
        <v>1878</v>
      </c>
      <c r="B145" s="942" t="s">
        <v>1469</v>
      </c>
      <c r="C145" s="943" t="s">
        <v>367</v>
      </c>
      <c r="D145" s="942">
        <v>3.8</v>
      </c>
      <c r="E145" s="942">
        <v>2.68</v>
      </c>
      <c r="F145" s="942">
        <f t="shared" si="44"/>
        <v>10.183999999999999</v>
      </c>
      <c r="G145" s="944">
        <v>0</v>
      </c>
      <c r="H145" s="942">
        <f t="shared" si="45"/>
        <v>10.183999999999999</v>
      </c>
      <c r="I145" s="942">
        <v>1</v>
      </c>
      <c r="J145" s="945">
        <f t="shared" si="46"/>
        <v>10.183999999999999</v>
      </c>
      <c r="L145" s="918">
        <f t="shared" si="51"/>
        <v>0</v>
      </c>
      <c r="M145" s="918">
        <f t="shared" si="47"/>
        <v>10.183999999999999</v>
      </c>
      <c r="N145" s="918">
        <f t="shared" si="48"/>
        <v>0</v>
      </c>
      <c r="O145" s="918">
        <f t="shared" si="49"/>
        <v>0</v>
      </c>
      <c r="P145" s="918">
        <f t="shared" si="52"/>
        <v>0</v>
      </c>
      <c r="Q145" s="918">
        <f t="shared" si="50"/>
        <v>0</v>
      </c>
    </row>
    <row r="146" spans="1:17">
      <c r="A146" s="946" t="s">
        <v>1889</v>
      </c>
      <c r="B146" s="947" t="s">
        <v>1469</v>
      </c>
      <c r="C146" s="948" t="s">
        <v>367</v>
      </c>
      <c r="D146" s="947">
        <v>0.6</v>
      </c>
      <c r="E146" s="947">
        <v>2.68</v>
      </c>
      <c r="F146" s="947">
        <f t="shared" si="44"/>
        <v>1.6080000000000001</v>
      </c>
      <c r="G146" s="949">
        <v>0</v>
      </c>
      <c r="H146" s="947">
        <f t="shared" si="45"/>
        <v>1.6080000000000001</v>
      </c>
      <c r="I146" s="947">
        <v>1</v>
      </c>
      <c r="J146" s="950">
        <f t="shared" si="46"/>
        <v>1.6080000000000001</v>
      </c>
      <c r="L146" s="918">
        <f t="shared" si="51"/>
        <v>0</v>
      </c>
      <c r="M146" s="918">
        <f t="shared" si="47"/>
        <v>1.6080000000000001</v>
      </c>
      <c r="N146" s="918">
        <f t="shared" si="48"/>
        <v>0</v>
      </c>
      <c r="O146" s="918">
        <f t="shared" si="49"/>
        <v>0</v>
      </c>
      <c r="P146" s="918">
        <f t="shared" si="52"/>
        <v>0</v>
      </c>
      <c r="Q146" s="918">
        <f t="shared" si="50"/>
        <v>0</v>
      </c>
    </row>
    <row r="147" spans="1:17">
      <c r="A147" s="936" t="s">
        <v>383</v>
      </c>
      <c r="B147" s="937" t="s">
        <v>1945</v>
      </c>
      <c r="C147" s="938" t="s">
        <v>33</v>
      </c>
      <c r="D147" s="937">
        <v>3.63</v>
      </c>
      <c r="E147" s="937">
        <f>2.8-0.45</f>
        <v>2.3499999999999996</v>
      </c>
      <c r="F147" s="937">
        <f t="shared" si="44"/>
        <v>8.5304999999999982</v>
      </c>
      <c r="G147" s="939">
        <f>2.78*2.05</f>
        <v>5.698999999999999</v>
      </c>
      <c r="H147" s="937">
        <f t="shared" si="45"/>
        <v>2.8314999999999992</v>
      </c>
      <c r="I147" s="937">
        <v>1</v>
      </c>
      <c r="J147" s="940">
        <f t="shared" si="46"/>
        <v>2.8314999999999992</v>
      </c>
      <c r="L147" s="918">
        <f t="shared" si="51"/>
        <v>0</v>
      </c>
      <c r="M147" s="918">
        <f t="shared" si="47"/>
        <v>0</v>
      </c>
      <c r="N147" s="918">
        <f t="shared" si="48"/>
        <v>2.8314999999999992</v>
      </c>
      <c r="O147" s="918">
        <f t="shared" si="49"/>
        <v>0</v>
      </c>
      <c r="P147" s="918">
        <f t="shared" si="52"/>
        <v>0</v>
      </c>
      <c r="Q147" s="918">
        <f t="shared" si="50"/>
        <v>0</v>
      </c>
    </row>
    <row r="148" spans="1:17">
      <c r="A148" s="941" t="s">
        <v>384</v>
      </c>
      <c r="B148" s="942" t="s">
        <v>1945</v>
      </c>
      <c r="C148" s="943" t="s">
        <v>33</v>
      </c>
      <c r="D148" s="942">
        <v>2.85</v>
      </c>
      <c r="E148" s="942">
        <f t="shared" ref="E148:E152" si="53">2.8-0.45</f>
        <v>2.3499999999999996</v>
      </c>
      <c r="F148" s="942">
        <f t="shared" si="44"/>
        <v>6.6974999999999989</v>
      </c>
      <c r="G148" s="944">
        <f>2.06*2.05</f>
        <v>4.2229999999999999</v>
      </c>
      <c r="H148" s="942">
        <f t="shared" si="45"/>
        <v>2.474499999999999</v>
      </c>
      <c r="I148" s="942">
        <v>1</v>
      </c>
      <c r="J148" s="945">
        <f t="shared" si="46"/>
        <v>2.474499999999999</v>
      </c>
      <c r="L148" s="918">
        <f t="shared" si="51"/>
        <v>0</v>
      </c>
      <c r="M148" s="918">
        <f t="shared" si="47"/>
        <v>0</v>
      </c>
      <c r="N148" s="918">
        <f t="shared" si="48"/>
        <v>2.474499999999999</v>
      </c>
      <c r="O148" s="918">
        <f t="shared" si="49"/>
        <v>0</v>
      </c>
      <c r="P148" s="918">
        <f t="shared" si="52"/>
        <v>0</v>
      </c>
      <c r="Q148" s="918">
        <f t="shared" si="50"/>
        <v>0</v>
      </c>
    </row>
    <row r="149" spans="1:17">
      <c r="A149" s="941" t="s">
        <v>385</v>
      </c>
      <c r="B149" s="942" t="s">
        <v>1945</v>
      </c>
      <c r="C149" s="943" t="s">
        <v>33</v>
      </c>
      <c r="D149" s="942">
        <v>2.81</v>
      </c>
      <c r="E149" s="942">
        <f t="shared" si="53"/>
        <v>2.3499999999999996</v>
      </c>
      <c r="F149" s="942">
        <f t="shared" si="44"/>
        <v>6.6034999999999995</v>
      </c>
      <c r="G149" s="944">
        <f>2.06*2.05</f>
        <v>4.2229999999999999</v>
      </c>
      <c r="H149" s="942">
        <f t="shared" si="45"/>
        <v>2.3804999999999996</v>
      </c>
      <c r="I149" s="942">
        <v>1</v>
      </c>
      <c r="J149" s="945">
        <f t="shared" si="46"/>
        <v>2.3804999999999996</v>
      </c>
      <c r="L149" s="918">
        <f t="shared" si="51"/>
        <v>0</v>
      </c>
      <c r="M149" s="918">
        <f t="shared" si="47"/>
        <v>0</v>
      </c>
      <c r="N149" s="918">
        <f t="shared" si="48"/>
        <v>2.3804999999999996</v>
      </c>
      <c r="O149" s="918">
        <f t="shared" si="49"/>
        <v>0</v>
      </c>
      <c r="P149" s="918">
        <f t="shared" si="52"/>
        <v>0</v>
      </c>
      <c r="Q149" s="918">
        <f t="shared" si="50"/>
        <v>0</v>
      </c>
    </row>
    <row r="150" spans="1:17">
      <c r="A150" s="941" t="s">
        <v>386</v>
      </c>
      <c r="B150" s="942" t="s">
        <v>1945</v>
      </c>
      <c r="C150" s="943" t="s">
        <v>33</v>
      </c>
      <c r="D150" s="942">
        <v>2.7</v>
      </c>
      <c r="E150" s="942">
        <f t="shared" si="53"/>
        <v>2.3499999999999996</v>
      </c>
      <c r="F150" s="942">
        <f t="shared" si="44"/>
        <v>6.3449999999999998</v>
      </c>
      <c r="G150" s="944">
        <v>0</v>
      </c>
      <c r="H150" s="942">
        <f t="shared" si="45"/>
        <v>6.3449999999999998</v>
      </c>
      <c r="I150" s="942">
        <v>1</v>
      </c>
      <c r="J150" s="945">
        <f t="shared" si="46"/>
        <v>6.3449999999999998</v>
      </c>
      <c r="L150" s="918">
        <f t="shared" si="51"/>
        <v>0</v>
      </c>
      <c r="M150" s="918">
        <f t="shared" si="47"/>
        <v>0</v>
      </c>
      <c r="N150" s="918">
        <f t="shared" si="48"/>
        <v>6.3449999999999998</v>
      </c>
      <c r="O150" s="918">
        <f t="shared" si="49"/>
        <v>0</v>
      </c>
      <c r="P150" s="918">
        <f t="shared" si="52"/>
        <v>0</v>
      </c>
      <c r="Q150" s="918">
        <f t="shared" si="50"/>
        <v>0</v>
      </c>
    </row>
    <row r="151" spans="1:17">
      <c r="A151" s="941" t="s">
        <v>1861</v>
      </c>
      <c r="B151" s="942" t="s">
        <v>1945</v>
      </c>
      <c r="C151" s="943" t="s">
        <v>33</v>
      </c>
      <c r="D151" s="942">
        <v>0.66</v>
      </c>
      <c r="E151" s="942">
        <f t="shared" si="53"/>
        <v>2.3499999999999996</v>
      </c>
      <c r="F151" s="942">
        <f t="shared" si="44"/>
        <v>1.5509999999999999</v>
      </c>
      <c r="G151" s="944">
        <v>0</v>
      </c>
      <c r="H151" s="942">
        <f t="shared" si="45"/>
        <v>1.5509999999999999</v>
      </c>
      <c r="I151" s="942">
        <v>1</v>
      </c>
      <c r="J151" s="945">
        <f t="shared" si="46"/>
        <v>1.5509999999999999</v>
      </c>
      <c r="L151" s="918">
        <f t="shared" si="51"/>
        <v>0</v>
      </c>
      <c r="M151" s="918">
        <f t="shared" si="47"/>
        <v>0</v>
      </c>
      <c r="N151" s="918">
        <f t="shared" si="48"/>
        <v>1.5509999999999999</v>
      </c>
      <c r="O151" s="918">
        <f t="shared" si="49"/>
        <v>0</v>
      </c>
      <c r="P151" s="918">
        <f t="shared" si="52"/>
        <v>0</v>
      </c>
      <c r="Q151" s="918">
        <f t="shared" si="50"/>
        <v>0</v>
      </c>
    </row>
    <row r="152" spans="1:17">
      <c r="A152" s="941" t="s">
        <v>1863</v>
      </c>
      <c r="B152" s="942" t="s">
        <v>1945</v>
      </c>
      <c r="C152" s="943" t="s">
        <v>33</v>
      </c>
      <c r="D152" s="942">
        <v>2.8</v>
      </c>
      <c r="E152" s="942">
        <f t="shared" si="53"/>
        <v>2.3499999999999996</v>
      </c>
      <c r="F152" s="942">
        <f t="shared" si="44"/>
        <v>6.5799999999999983</v>
      </c>
      <c r="G152" s="944">
        <v>0</v>
      </c>
      <c r="H152" s="942">
        <f t="shared" si="45"/>
        <v>6.5799999999999983</v>
      </c>
      <c r="I152" s="942">
        <v>1</v>
      </c>
      <c r="J152" s="945">
        <f t="shared" si="46"/>
        <v>6.5799999999999983</v>
      </c>
      <c r="L152" s="918">
        <f t="shared" si="51"/>
        <v>0</v>
      </c>
      <c r="M152" s="918">
        <f t="shared" si="47"/>
        <v>0</v>
      </c>
      <c r="N152" s="918">
        <f t="shared" si="48"/>
        <v>6.5799999999999983</v>
      </c>
      <c r="O152" s="918">
        <f t="shared" si="49"/>
        <v>0</v>
      </c>
      <c r="P152" s="918">
        <f t="shared" si="52"/>
        <v>0</v>
      </c>
      <c r="Q152" s="918">
        <f t="shared" si="50"/>
        <v>0</v>
      </c>
    </row>
    <row r="153" spans="1:17">
      <c r="A153" s="941" t="s">
        <v>1864</v>
      </c>
      <c r="B153" s="942" t="s">
        <v>1945</v>
      </c>
      <c r="C153" s="943" t="s">
        <v>33</v>
      </c>
      <c r="D153" s="942">
        <v>1.52</v>
      </c>
      <c r="E153" s="942">
        <f>2.8-0.3</f>
        <v>2.5</v>
      </c>
      <c r="F153" s="942">
        <f t="shared" si="44"/>
        <v>3.8</v>
      </c>
      <c r="G153" s="944">
        <v>0</v>
      </c>
      <c r="H153" s="942">
        <f t="shared" si="45"/>
        <v>3.8</v>
      </c>
      <c r="I153" s="942">
        <v>1</v>
      </c>
      <c r="J153" s="945">
        <f t="shared" si="46"/>
        <v>3.8</v>
      </c>
      <c r="L153" s="918">
        <f t="shared" si="51"/>
        <v>0</v>
      </c>
      <c r="M153" s="918">
        <f t="shared" si="47"/>
        <v>0</v>
      </c>
      <c r="N153" s="918">
        <f t="shared" si="48"/>
        <v>3.8</v>
      </c>
      <c r="O153" s="918">
        <f t="shared" si="49"/>
        <v>0</v>
      </c>
      <c r="P153" s="918">
        <f t="shared" si="52"/>
        <v>0</v>
      </c>
      <c r="Q153" s="918">
        <f t="shared" si="50"/>
        <v>0</v>
      </c>
    </row>
    <row r="154" spans="1:17">
      <c r="A154" s="941" t="s">
        <v>1866</v>
      </c>
      <c r="B154" s="942" t="s">
        <v>1945</v>
      </c>
      <c r="C154" s="943" t="s">
        <v>33</v>
      </c>
      <c r="D154" s="942">
        <v>1.26</v>
      </c>
      <c r="E154" s="942">
        <f>2.8-0.12</f>
        <v>2.6799999999999997</v>
      </c>
      <c r="F154" s="942">
        <f t="shared" si="44"/>
        <v>3.3767999999999998</v>
      </c>
      <c r="G154" s="944">
        <v>0</v>
      </c>
      <c r="H154" s="942">
        <f t="shared" si="45"/>
        <v>3.3767999999999998</v>
      </c>
      <c r="I154" s="942">
        <v>1</v>
      </c>
      <c r="J154" s="945">
        <f t="shared" si="46"/>
        <v>3.3767999999999998</v>
      </c>
      <c r="L154" s="918">
        <f t="shared" si="51"/>
        <v>0</v>
      </c>
      <c r="M154" s="918">
        <f t="shared" si="47"/>
        <v>0</v>
      </c>
      <c r="N154" s="918">
        <f t="shared" si="48"/>
        <v>3.3767999999999998</v>
      </c>
      <c r="O154" s="918">
        <f t="shared" si="49"/>
        <v>0</v>
      </c>
      <c r="P154" s="918">
        <f t="shared" si="52"/>
        <v>0</v>
      </c>
      <c r="Q154" s="918">
        <f t="shared" si="50"/>
        <v>0</v>
      </c>
    </row>
    <row r="155" spans="1:17">
      <c r="A155" s="941" t="s">
        <v>1868</v>
      </c>
      <c r="B155" s="942" t="s">
        <v>1946</v>
      </c>
      <c r="C155" s="943" t="s">
        <v>33</v>
      </c>
      <c r="D155" s="942">
        <v>1.52</v>
      </c>
      <c r="E155" s="942">
        <f t="shared" ref="E155:E164" si="54">2.8-0.45</f>
        <v>2.3499999999999996</v>
      </c>
      <c r="F155" s="942">
        <f t="shared" si="44"/>
        <v>3.5719999999999996</v>
      </c>
      <c r="G155" s="944">
        <v>0</v>
      </c>
      <c r="H155" s="942">
        <f t="shared" si="45"/>
        <v>3.5719999999999996</v>
      </c>
      <c r="I155" s="942">
        <v>1</v>
      </c>
      <c r="J155" s="945">
        <f t="shared" si="46"/>
        <v>3.5719999999999996</v>
      </c>
      <c r="L155" s="918">
        <f t="shared" si="51"/>
        <v>0</v>
      </c>
      <c r="M155" s="918">
        <f t="shared" si="47"/>
        <v>0</v>
      </c>
      <c r="N155" s="918">
        <f t="shared" si="48"/>
        <v>3.5719999999999996</v>
      </c>
      <c r="O155" s="918">
        <f t="shared" si="49"/>
        <v>0</v>
      </c>
      <c r="P155" s="918">
        <f t="shared" si="52"/>
        <v>0</v>
      </c>
      <c r="Q155" s="918">
        <f t="shared" si="50"/>
        <v>0</v>
      </c>
    </row>
    <row r="156" spans="1:17">
      <c r="A156" s="941" t="s">
        <v>1872</v>
      </c>
      <c r="B156" s="942" t="s">
        <v>1946</v>
      </c>
      <c r="C156" s="943" t="s">
        <v>33</v>
      </c>
      <c r="D156" s="942">
        <v>2.81</v>
      </c>
      <c r="E156" s="942">
        <f t="shared" si="54"/>
        <v>2.3499999999999996</v>
      </c>
      <c r="F156" s="942">
        <f t="shared" si="44"/>
        <v>6.6034999999999995</v>
      </c>
      <c r="G156" s="944">
        <v>0</v>
      </c>
      <c r="H156" s="942">
        <f t="shared" si="45"/>
        <v>6.6034999999999995</v>
      </c>
      <c r="I156" s="942">
        <v>1</v>
      </c>
      <c r="J156" s="945">
        <f t="shared" si="46"/>
        <v>6.6034999999999995</v>
      </c>
      <c r="L156" s="918">
        <f t="shared" si="51"/>
        <v>0</v>
      </c>
      <c r="M156" s="918">
        <f t="shared" si="47"/>
        <v>0</v>
      </c>
      <c r="N156" s="918">
        <f t="shared" si="48"/>
        <v>6.6034999999999995</v>
      </c>
      <c r="O156" s="918">
        <f t="shared" si="49"/>
        <v>0</v>
      </c>
      <c r="P156" s="918">
        <f t="shared" si="52"/>
        <v>0</v>
      </c>
      <c r="Q156" s="918">
        <f t="shared" si="50"/>
        <v>0</v>
      </c>
    </row>
    <row r="157" spans="1:17">
      <c r="A157" s="941" t="s">
        <v>1876</v>
      </c>
      <c r="B157" s="942" t="s">
        <v>1946</v>
      </c>
      <c r="C157" s="943" t="s">
        <v>33</v>
      </c>
      <c r="D157" s="942">
        <v>2.21</v>
      </c>
      <c r="E157" s="942">
        <f t="shared" si="54"/>
        <v>2.3499999999999996</v>
      </c>
      <c r="F157" s="942">
        <f t="shared" si="44"/>
        <v>5.1934999999999993</v>
      </c>
      <c r="G157" s="944">
        <v>0</v>
      </c>
      <c r="H157" s="942">
        <f t="shared" si="45"/>
        <v>5.1934999999999993</v>
      </c>
      <c r="I157" s="942">
        <v>1</v>
      </c>
      <c r="J157" s="945">
        <f t="shared" si="46"/>
        <v>5.1934999999999993</v>
      </c>
      <c r="L157" s="918">
        <f t="shared" si="51"/>
        <v>0</v>
      </c>
      <c r="M157" s="918">
        <f t="shared" si="47"/>
        <v>0</v>
      </c>
      <c r="N157" s="918">
        <f t="shared" si="48"/>
        <v>5.1934999999999993</v>
      </c>
      <c r="O157" s="918">
        <f t="shared" si="49"/>
        <v>0</v>
      </c>
      <c r="P157" s="918">
        <f t="shared" si="52"/>
        <v>0</v>
      </c>
      <c r="Q157" s="918">
        <f t="shared" si="50"/>
        <v>0</v>
      </c>
    </row>
    <row r="158" spans="1:17">
      <c r="A158" s="941" t="s">
        <v>1878</v>
      </c>
      <c r="B158" s="942" t="s">
        <v>1946</v>
      </c>
      <c r="C158" s="943" t="s">
        <v>33</v>
      </c>
      <c r="D158" s="942">
        <v>2.7</v>
      </c>
      <c r="E158" s="942">
        <f t="shared" si="54"/>
        <v>2.3499999999999996</v>
      </c>
      <c r="F158" s="942">
        <f t="shared" si="44"/>
        <v>6.3449999999999998</v>
      </c>
      <c r="G158" s="944">
        <f>2.06*2.05</f>
        <v>4.2229999999999999</v>
      </c>
      <c r="H158" s="942">
        <f t="shared" si="45"/>
        <v>2.1219999999999999</v>
      </c>
      <c r="I158" s="942">
        <v>1</v>
      </c>
      <c r="J158" s="945">
        <f t="shared" si="46"/>
        <v>2.1219999999999999</v>
      </c>
      <c r="L158" s="918">
        <f t="shared" si="51"/>
        <v>0</v>
      </c>
      <c r="M158" s="918">
        <f t="shared" si="47"/>
        <v>0</v>
      </c>
      <c r="N158" s="918">
        <f t="shared" si="48"/>
        <v>2.1219999999999999</v>
      </c>
      <c r="O158" s="918">
        <f t="shared" si="49"/>
        <v>0</v>
      </c>
      <c r="P158" s="918">
        <f t="shared" si="52"/>
        <v>0</v>
      </c>
      <c r="Q158" s="918">
        <f t="shared" si="50"/>
        <v>0</v>
      </c>
    </row>
    <row r="159" spans="1:17">
      <c r="A159" s="941" t="s">
        <v>1880</v>
      </c>
      <c r="B159" s="942" t="s">
        <v>1946</v>
      </c>
      <c r="C159" s="943" t="s">
        <v>33</v>
      </c>
      <c r="D159" s="942">
        <v>3.69</v>
      </c>
      <c r="E159" s="942">
        <f t="shared" si="54"/>
        <v>2.3499999999999996</v>
      </c>
      <c r="F159" s="942">
        <f t="shared" si="44"/>
        <v>8.6714999999999982</v>
      </c>
      <c r="G159" s="944">
        <f>2.06*2.05</f>
        <v>4.2229999999999999</v>
      </c>
      <c r="H159" s="942">
        <f t="shared" si="45"/>
        <v>4.4484999999999983</v>
      </c>
      <c r="I159" s="942">
        <v>1</v>
      </c>
      <c r="J159" s="945">
        <f t="shared" si="46"/>
        <v>4.4484999999999983</v>
      </c>
      <c r="L159" s="918">
        <f t="shared" si="51"/>
        <v>0</v>
      </c>
      <c r="M159" s="918">
        <f t="shared" si="47"/>
        <v>0</v>
      </c>
      <c r="N159" s="918">
        <f t="shared" si="48"/>
        <v>4.4484999999999983</v>
      </c>
      <c r="O159" s="918">
        <f t="shared" si="49"/>
        <v>0</v>
      </c>
      <c r="P159" s="918">
        <f t="shared" si="52"/>
        <v>0</v>
      </c>
      <c r="Q159" s="918">
        <f t="shared" si="50"/>
        <v>0</v>
      </c>
    </row>
    <row r="160" spans="1:17">
      <c r="A160" s="941" t="s">
        <v>1888</v>
      </c>
      <c r="B160" s="942" t="s">
        <v>1946</v>
      </c>
      <c r="C160" s="943" t="s">
        <v>33</v>
      </c>
      <c r="D160" s="942">
        <v>2.93</v>
      </c>
      <c r="E160" s="942">
        <f t="shared" si="54"/>
        <v>2.3499999999999996</v>
      </c>
      <c r="F160" s="942">
        <f t="shared" si="44"/>
        <v>6.8854999999999995</v>
      </c>
      <c r="G160" s="944">
        <f>2.05*2.11</f>
        <v>4.325499999999999</v>
      </c>
      <c r="H160" s="942">
        <f t="shared" si="45"/>
        <v>2.5600000000000005</v>
      </c>
      <c r="I160" s="942">
        <v>1</v>
      </c>
      <c r="J160" s="945">
        <f t="shared" si="46"/>
        <v>2.5600000000000005</v>
      </c>
      <c r="L160" s="918">
        <f t="shared" si="51"/>
        <v>0</v>
      </c>
      <c r="M160" s="918">
        <f t="shared" si="47"/>
        <v>0</v>
      </c>
      <c r="N160" s="918">
        <f t="shared" si="48"/>
        <v>2.5600000000000005</v>
      </c>
      <c r="O160" s="918">
        <f t="shared" si="49"/>
        <v>0</v>
      </c>
      <c r="P160" s="918">
        <f t="shared" si="52"/>
        <v>0</v>
      </c>
      <c r="Q160" s="918">
        <f t="shared" si="50"/>
        <v>0</v>
      </c>
    </row>
    <row r="161" spans="1:17">
      <c r="A161" s="941" t="s">
        <v>1889</v>
      </c>
      <c r="B161" s="942" t="s">
        <v>1947</v>
      </c>
      <c r="C161" s="943" t="s">
        <v>33</v>
      </c>
      <c r="D161" s="942">
        <v>3.75</v>
      </c>
      <c r="E161" s="942">
        <f t="shared" si="54"/>
        <v>2.3499999999999996</v>
      </c>
      <c r="F161" s="942">
        <f t="shared" si="44"/>
        <v>8.8124999999999982</v>
      </c>
      <c r="G161" s="944">
        <f>2.05*2.36</f>
        <v>4.8379999999999992</v>
      </c>
      <c r="H161" s="942">
        <f t="shared" si="45"/>
        <v>3.974499999999999</v>
      </c>
      <c r="I161" s="942">
        <v>1</v>
      </c>
      <c r="J161" s="945">
        <f t="shared" si="46"/>
        <v>3.974499999999999</v>
      </c>
      <c r="L161" s="918">
        <f t="shared" si="51"/>
        <v>0</v>
      </c>
      <c r="M161" s="918">
        <f t="shared" si="47"/>
        <v>0</v>
      </c>
      <c r="N161" s="918">
        <f t="shared" si="48"/>
        <v>3.974499999999999</v>
      </c>
      <c r="O161" s="918">
        <f t="shared" si="49"/>
        <v>0</v>
      </c>
      <c r="P161" s="918">
        <f t="shared" si="52"/>
        <v>0</v>
      </c>
      <c r="Q161" s="918">
        <f t="shared" si="50"/>
        <v>0</v>
      </c>
    </row>
    <row r="162" spans="1:17">
      <c r="A162" s="941" t="s">
        <v>1890</v>
      </c>
      <c r="B162" s="942" t="s">
        <v>1947</v>
      </c>
      <c r="C162" s="943" t="s">
        <v>33</v>
      </c>
      <c r="D162" s="942">
        <v>0.45</v>
      </c>
      <c r="E162" s="942">
        <f t="shared" si="54"/>
        <v>2.3499999999999996</v>
      </c>
      <c r="F162" s="942">
        <f t="shared" si="44"/>
        <v>1.0574999999999999</v>
      </c>
      <c r="G162" s="944">
        <v>0</v>
      </c>
      <c r="H162" s="942">
        <f t="shared" si="45"/>
        <v>1.0574999999999999</v>
      </c>
      <c r="I162" s="942">
        <v>1</v>
      </c>
      <c r="J162" s="945">
        <f t="shared" si="46"/>
        <v>1.0574999999999999</v>
      </c>
      <c r="L162" s="918">
        <f t="shared" si="51"/>
        <v>0</v>
      </c>
      <c r="M162" s="918">
        <f t="shared" si="47"/>
        <v>0</v>
      </c>
      <c r="N162" s="918">
        <f t="shared" si="48"/>
        <v>1.0574999999999999</v>
      </c>
      <c r="O162" s="918">
        <f t="shared" si="49"/>
        <v>0</v>
      </c>
      <c r="P162" s="918">
        <f t="shared" si="52"/>
        <v>0</v>
      </c>
      <c r="Q162" s="918">
        <f t="shared" si="50"/>
        <v>0</v>
      </c>
    </row>
    <row r="163" spans="1:17">
      <c r="A163" s="941" t="s">
        <v>1891</v>
      </c>
      <c r="B163" s="942" t="s">
        <v>1947</v>
      </c>
      <c r="C163" s="943" t="s">
        <v>33</v>
      </c>
      <c r="D163" s="942">
        <v>3.8</v>
      </c>
      <c r="E163" s="942">
        <f t="shared" si="54"/>
        <v>2.3499999999999996</v>
      </c>
      <c r="F163" s="942">
        <f t="shared" si="44"/>
        <v>8.9299999999999979</v>
      </c>
      <c r="G163" s="944">
        <v>0</v>
      </c>
      <c r="H163" s="942">
        <f t="shared" si="45"/>
        <v>8.9299999999999979</v>
      </c>
      <c r="I163" s="942">
        <v>1</v>
      </c>
      <c r="J163" s="945">
        <f t="shared" si="46"/>
        <v>8.9299999999999979</v>
      </c>
      <c r="L163" s="918">
        <f t="shared" si="51"/>
        <v>0</v>
      </c>
      <c r="M163" s="918">
        <f t="shared" si="47"/>
        <v>0</v>
      </c>
      <c r="N163" s="918">
        <f t="shared" si="48"/>
        <v>8.9299999999999979</v>
      </c>
      <c r="O163" s="918">
        <f t="shared" si="49"/>
        <v>0</v>
      </c>
      <c r="P163" s="918">
        <f t="shared" si="52"/>
        <v>0</v>
      </c>
      <c r="Q163" s="918">
        <f t="shared" si="50"/>
        <v>0</v>
      </c>
    </row>
    <row r="164" spans="1:17">
      <c r="A164" s="941" t="s">
        <v>1889</v>
      </c>
      <c r="B164" s="942" t="s">
        <v>1947</v>
      </c>
      <c r="C164" s="943" t="s">
        <v>33</v>
      </c>
      <c r="D164" s="942">
        <v>3.82</v>
      </c>
      <c r="E164" s="942">
        <f t="shared" si="54"/>
        <v>2.3499999999999996</v>
      </c>
      <c r="F164" s="942">
        <f t="shared" si="44"/>
        <v>8.9769999999999985</v>
      </c>
      <c r="G164" s="944">
        <v>0</v>
      </c>
      <c r="H164" s="942">
        <f t="shared" si="45"/>
        <v>8.9769999999999985</v>
      </c>
      <c r="I164" s="942">
        <v>1</v>
      </c>
      <c r="J164" s="945">
        <f t="shared" si="46"/>
        <v>8.9769999999999985</v>
      </c>
      <c r="L164" s="918">
        <f t="shared" si="51"/>
        <v>0</v>
      </c>
      <c r="M164" s="918">
        <f t="shared" si="47"/>
        <v>0</v>
      </c>
      <c r="N164" s="918">
        <f t="shared" si="48"/>
        <v>8.9769999999999985</v>
      </c>
      <c r="O164" s="918">
        <f t="shared" si="49"/>
        <v>0</v>
      </c>
      <c r="P164" s="918">
        <f t="shared" si="52"/>
        <v>0</v>
      </c>
      <c r="Q164" s="918">
        <f t="shared" si="50"/>
        <v>0</v>
      </c>
    </row>
    <row r="165" spans="1:17">
      <c r="A165" s="941" t="s">
        <v>1890</v>
      </c>
      <c r="B165" s="942" t="s">
        <v>1947</v>
      </c>
      <c r="C165" s="943" t="s">
        <v>33</v>
      </c>
      <c r="D165" s="942">
        <v>3.6</v>
      </c>
      <c r="E165" s="942">
        <f>2.8</f>
        <v>2.8</v>
      </c>
      <c r="F165" s="942">
        <f t="shared" si="44"/>
        <v>10.08</v>
      </c>
      <c r="G165" s="944">
        <v>0</v>
      </c>
      <c r="H165" s="942">
        <f t="shared" si="45"/>
        <v>10.08</v>
      </c>
      <c r="I165" s="942">
        <v>1</v>
      </c>
      <c r="J165" s="945">
        <f t="shared" si="46"/>
        <v>10.08</v>
      </c>
      <c r="L165" s="918">
        <f t="shared" si="51"/>
        <v>0</v>
      </c>
      <c r="M165" s="918">
        <f t="shared" si="47"/>
        <v>0</v>
      </c>
      <c r="N165" s="918">
        <f t="shared" si="48"/>
        <v>10.08</v>
      </c>
      <c r="O165" s="918">
        <f t="shared" si="49"/>
        <v>0</v>
      </c>
      <c r="P165" s="918">
        <f t="shared" si="52"/>
        <v>0</v>
      </c>
      <c r="Q165" s="918">
        <f t="shared" si="50"/>
        <v>0</v>
      </c>
    </row>
    <row r="166" spans="1:17">
      <c r="A166" s="946" t="s">
        <v>1891</v>
      </c>
      <c r="B166" s="947" t="s">
        <v>1947</v>
      </c>
      <c r="C166" s="948" t="s">
        <v>33</v>
      </c>
      <c r="D166" s="947">
        <v>1.1499999999999999</v>
      </c>
      <c r="E166" s="947">
        <f>2.8</f>
        <v>2.8</v>
      </c>
      <c r="F166" s="947">
        <f t="shared" si="44"/>
        <v>3.2199999999999998</v>
      </c>
      <c r="G166" s="949">
        <v>0</v>
      </c>
      <c r="H166" s="947">
        <f t="shared" si="45"/>
        <v>3.2199999999999998</v>
      </c>
      <c r="I166" s="947">
        <v>1</v>
      </c>
      <c r="J166" s="950">
        <f t="shared" si="46"/>
        <v>3.2199999999999998</v>
      </c>
      <c r="L166" s="918">
        <f t="shared" si="51"/>
        <v>0</v>
      </c>
      <c r="M166" s="918">
        <f t="shared" si="47"/>
        <v>0</v>
      </c>
      <c r="N166" s="918">
        <f t="shared" si="48"/>
        <v>3.2199999999999998</v>
      </c>
      <c r="O166" s="918">
        <f t="shared" si="49"/>
        <v>0</v>
      </c>
      <c r="P166" s="918">
        <f t="shared" si="52"/>
        <v>0</v>
      </c>
      <c r="Q166" s="918">
        <f t="shared" si="50"/>
        <v>0</v>
      </c>
    </row>
    <row r="167" spans="1:17">
      <c r="A167" s="936" t="s">
        <v>1948</v>
      </c>
      <c r="B167" s="937" t="s">
        <v>1932</v>
      </c>
      <c r="C167" s="938" t="s">
        <v>363</v>
      </c>
      <c r="D167" s="937">
        <v>0.2</v>
      </c>
      <c r="E167" s="937">
        <v>2.68</v>
      </c>
      <c r="F167" s="937">
        <f t="shared" si="44"/>
        <v>0.53600000000000003</v>
      </c>
      <c r="G167" s="939"/>
      <c r="H167" s="937">
        <f t="shared" si="45"/>
        <v>0.53600000000000003</v>
      </c>
      <c r="I167" s="937">
        <v>1</v>
      </c>
      <c r="J167" s="940">
        <f t="shared" si="46"/>
        <v>0.53600000000000003</v>
      </c>
      <c r="L167" s="918">
        <f t="shared" si="51"/>
        <v>0.53600000000000003</v>
      </c>
      <c r="M167" s="918">
        <f t="shared" si="47"/>
        <v>0</v>
      </c>
      <c r="N167" s="918">
        <f t="shared" si="48"/>
        <v>0</v>
      </c>
      <c r="O167" s="918">
        <f t="shared" si="49"/>
        <v>0</v>
      </c>
      <c r="P167" s="918">
        <f t="shared" si="52"/>
        <v>0</v>
      </c>
      <c r="Q167" s="918">
        <f t="shared" si="50"/>
        <v>0</v>
      </c>
    </row>
    <row r="168" spans="1:17">
      <c r="A168" s="941" t="s">
        <v>1949</v>
      </c>
      <c r="B168" s="942" t="s">
        <v>1932</v>
      </c>
      <c r="C168" s="943" t="s">
        <v>363</v>
      </c>
      <c r="D168" s="942">
        <v>0.62</v>
      </c>
      <c r="E168" s="942">
        <v>2.68</v>
      </c>
      <c r="F168" s="942">
        <f t="shared" si="44"/>
        <v>1.6616000000000002</v>
      </c>
      <c r="G168" s="944"/>
      <c r="H168" s="942">
        <f t="shared" si="45"/>
        <v>1.6616000000000002</v>
      </c>
      <c r="I168" s="942">
        <v>2</v>
      </c>
      <c r="J168" s="945">
        <f t="shared" si="46"/>
        <v>3.3232000000000004</v>
      </c>
      <c r="L168" s="918">
        <f t="shared" si="51"/>
        <v>3.3232000000000004</v>
      </c>
      <c r="M168" s="918">
        <f t="shared" si="47"/>
        <v>0</v>
      </c>
      <c r="N168" s="918">
        <f t="shared" si="48"/>
        <v>0</v>
      </c>
      <c r="O168" s="918">
        <f t="shared" si="49"/>
        <v>0</v>
      </c>
      <c r="P168" s="918">
        <f t="shared" si="52"/>
        <v>0</v>
      </c>
      <c r="Q168" s="918">
        <f t="shared" si="50"/>
        <v>0</v>
      </c>
    </row>
    <row r="169" spans="1:17">
      <c r="A169" s="941" t="s">
        <v>1950</v>
      </c>
      <c r="B169" s="942" t="s">
        <v>1933</v>
      </c>
      <c r="C169" s="943" t="s">
        <v>363</v>
      </c>
      <c r="D169" s="942">
        <v>1.5</v>
      </c>
      <c r="E169" s="942">
        <v>2.68</v>
      </c>
      <c r="F169" s="942">
        <f t="shared" si="44"/>
        <v>4.0200000000000005</v>
      </c>
      <c r="G169" s="944"/>
      <c r="H169" s="942">
        <f t="shared" si="45"/>
        <v>4.0200000000000005</v>
      </c>
      <c r="I169" s="942">
        <v>1</v>
      </c>
      <c r="J169" s="945">
        <f t="shared" si="46"/>
        <v>4.0200000000000005</v>
      </c>
      <c r="L169" s="918">
        <f t="shared" si="51"/>
        <v>4.0200000000000005</v>
      </c>
      <c r="M169" s="918">
        <f t="shared" si="47"/>
        <v>0</v>
      </c>
      <c r="N169" s="918">
        <f t="shared" si="48"/>
        <v>0</v>
      </c>
      <c r="O169" s="918">
        <f t="shared" si="49"/>
        <v>0</v>
      </c>
      <c r="P169" s="918">
        <f t="shared" si="52"/>
        <v>0</v>
      </c>
      <c r="Q169" s="918">
        <f t="shared" si="50"/>
        <v>0</v>
      </c>
    </row>
    <row r="170" spans="1:17">
      <c r="A170" s="941" t="s">
        <v>1951</v>
      </c>
      <c r="B170" s="942" t="s">
        <v>1933</v>
      </c>
      <c r="C170" s="943" t="s">
        <v>363</v>
      </c>
      <c r="D170" s="942">
        <v>0.5</v>
      </c>
      <c r="E170" s="942">
        <v>2.68</v>
      </c>
      <c r="F170" s="942">
        <f t="shared" si="44"/>
        <v>1.34</v>
      </c>
      <c r="G170" s="944"/>
      <c r="H170" s="942">
        <f t="shared" si="45"/>
        <v>1.34</v>
      </c>
      <c r="I170" s="942">
        <v>1</v>
      </c>
      <c r="J170" s="945">
        <f t="shared" si="46"/>
        <v>1.34</v>
      </c>
      <c r="L170" s="918">
        <f t="shared" si="51"/>
        <v>1.34</v>
      </c>
      <c r="M170" s="918">
        <f t="shared" si="47"/>
        <v>0</v>
      </c>
      <c r="N170" s="918">
        <f t="shared" si="48"/>
        <v>0</v>
      </c>
      <c r="O170" s="918">
        <f t="shared" si="49"/>
        <v>0</v>
      </c>
      <c r="P170" s="918">
        <f t="shared" si="52"/>
        <v>0</v>
      </c>
      <c r="Q170" s="918">
        <f t="shared" si="50"/>
        <v>0</v>
      </c>
    </row>
    <row r="171" spans="1:17">
      <c r="A171" s="941" t="s">
        <v>1952</v>
      </c>
      <c r="B171" s="942" t="s">
        <v>1933</v>
      </c>
      <c r="C171" s="943" t="s">
        <v>363</v>
      </c>
      <c r="D171" s="942">
        <v>1.04</v>
      </c>
      <c r="E171" s="942">
        <v>2.68</v>
      </c>
      <c r="F171" s="942">
        <f t="shared" si="44"/>
        <v>2.7872000000000003</v>
      </c>
      <c r="G171" s="944"/>
      <c r="H171" s="942">
        <f t="shared" si="45"/>
        <v>2.7872000000000003</v>
      </c>
      <c r="I171" s="942">
        <v>1</v>
      </c>
      <c r="J171" s="945">
        <f t="shared" si="46"/>
        <v>2.7872000000000003</v>
      </c>
      <c r="L171" s="918">
        <f t="shared" si="51"/>
        <v>2.7872000000000003</v>
      </c>
      <c r="M171" s="918">
        <f t="shared" si="47"/>
        <v>0</v>
      </c>
      <c r="N171" s="918">
        <f t="shared" si="48"/>
        <v>0</v>
      </c>
      <c r="O171" s="918">
        <f t="shared" si="49"/>
        <v>0</v>
      </c>
      <c r="P171" s="918">
        <f t="shared" si="52"/>
        <v>0</v>
      </c>
      <c r="Q171" s="918">
        <f t="shared" si="50"/>
        <v>0</v>
      </c>
    </row>
    <row r="172" spans="1:17">
      <c r="A172" s="941" t="s">
        <v>1953</v>
      </c>
      <c r="B172" s="942" t="s">
        <v>1933</v>
      </c>
      <c r="C172" s="943" t="s">
        <v>363</v>
      </c>
      <c r="D172" s="942">
        <v>2.5</v>
      </c>
      <c r="E172" s="942">
        <v>2.68</v>
      </c>
      <c r="F172" s="942">
        <f t="shared" si="44"/>
        <v>6.7</v>
      </c>
      <c r="G172" s="944"/>
      <c r="H172" s="942">
        <f t="shared" si="45"/>
        <v>6.7</v>
      </c>
      <c r="I172" s="942">
        <v>1</v>
      </c>
      <c r="J172" s="945">
        <f t="shared" si="46"/>
        <v>6.7</v>
      </c>
      <c r="L172" s="918">
        <f t="shared" si="51"/>
        <v>6.7</v>
      </c>
      <c r="M172" s="918">
        <f t="shared" si="47"/>
        <v>0</v>
      </c>
      <c r="N172" s="918">
        <f t="shared" si="48"/>
        <v>0</v>
      </c>
      <c r="O172" s="918">
        <f t="shared" si="49"/>
        <v>0</v>
      </c>
      <c r="P172" s="918">
        <f t="shared" si="52"/>
        <v>0</v>
      </c>
      <c r="Q172" s="918">
        <f t="shared" si="50"/>
        <v>0</v>
      </c>
    </row>
    <row r="173" spans="1:17">
      <c r="A173" s="941" t="s">
        <v>1954</v>
      </c>
      <c r="B173" s="942" t="s">
        <v>1934</v>
      </c>
      <c r="C173" s="943" t="s">
        <v>363</v>
      </c>
      <c r="D173" s="942">
        <v>0.4</v>
      </c>
      <c r="E173" s="942">
        <v>2.68</v>
      </c>
      <c r="F173" s="942">
        <f t="shared" si="44"/>
        <v>1.0720000000000001</v>
      </c>
      <c r="G173" s="944"/>
      <c r="H173" s="942">
        <f t="shared" si="45"/>
        <v>1.0720000000000001</v>
      </c>
      <c r="I173" s="942">
        <v>1</v>
      </c>
      <c r="J173" s="945">
        <f t="shared" si="46"/>
        <v>1.0720000000000001</v>
      </c>
      <c r="L173" s="918">
        <f t="shared" si="51"/>
        <v>1.0720000000000001</v>
      </c>
      <c r="M173" s="918">
        <f t="shared" si="47"/>
        <v>0</v>
      </c>
      <c r="N173" s="918">
        <f t="shared" si="48"/>
        <v>0</v>
      </c>
      <c r="O173" s="918">
        <f t="shared" si="49"/>
        <v>0</v>
      </c>
      <c r="P173" s="918">
        <f t="shared" si="52"/>
        <v>0</v>
      </c>
      <c r="Q173" s="918">
        <f t="shared" si="50"/>
        <v>0</v>
      </c>
    </row>
    <row r="174" spans="1:17">
      <c r="A174" s="941" t="s">
        <v>1955</v>
      </c>
      <c r="B174" s="942" t="s">
        <v>1934</v>
      </c>
      <c r="C174" s="943" t="s">
        <v>363</v>
      </c>
      <c r="D174" s="942">
        <v>0.5</v>
      </c>
      <c r="E174" s="942">
        <v>2.68</v>
      </c>
      <c r="F174" s="942">
        <f t="shared" si="44"/>
        <v>1.34</v>
      </c>
      <c r="G174" s="944"/>
      <c r="H174" s="942">
        <f t="shared" si="45"/>
        <v>1.34</v>
      </c>
      <c r="I174" s="942">
        <v>1</v>
      </c>
      <c r="J174" s="945">
        <f t="shared" si="46"/>
        <v>1.34</v>
      </c>
      <c r="L174" s="918">
        <f t="shared" si="51"/>
        <v>1.34</v>
      </c>
      <c r="M174" s="918">
        <f t="shared" si="47"/>
        <v>0</v>
      </c>
      <c r="N174" s="918">
        <f t="shared" si="48"/>
        <v>0</v>
      </c>
      <c r="O174" s="918">
        <f t="shared" si="49"/>
        <v>0</v>
      </c>
      <c r="P174" s="918">
        <f t="shared" si="52"/>
        <v>0</v>
      </c>
      <c r="Q174" s="918">
        <f t="shared" si="50"/>
        <v>0</v>
      </c>
    </row>
    <row r="175" spans="1:17">
      <c r="A175" s="941" t="s">
        <v>1956</v>
      </c>
      <c r="B175" s="942" t="s">
        <v>1957</v>
      </c>
      <c r="C175" s="943" t="s">
        <v>363</v>
      </c>
      <c r="D175" s="942">
        <v>0.45</v>
      </c>
      <c r="E175" s="942">
        <v>2.68</v>
      </c>
      <c r="F175" s="942">
        <f t="shared" si="44"/>
        <v>1.2060000000000002</v>
      </c>
      <c r="G175" s="944"/>
      <c r="H175" s="942">
        <f t="shared" si="45"/>
        <v>1.2060000000000002</v>
      </c>
      <c r="I175" s="942">
        <v>1</v>
      </c>
      <c r="J175" s="945">
        <f t="shared" si="46"/>
        <v>1.2060000000000002</v>
      </c>
      <c r="L175" s="918">
        <f t="shared" si="51"/>
        <v>1.2060000000000002</v>
      </c>
      <c r="M175" s="918">
        <f t="shared" si="47"/>
        <v>0</v>
      </c>
      <c r="N175" s="918">
        <f t="shared" si="48"/>
        <v>0</v>
      </c>
      <c r="O175" s="918">
        <f t="shared" si="49"/>
        <v>0</v>
      </c>
      <c r="P175" s="918">
        <f t="shared" si="52"/>
        <v>0</v>
      </c>
      <c r="Q175" s="918">
        <f t="shared" si="50"/>
        <v>0</v>
      </c>
    </row>
    <row r="176" spans="1:17">
      <c r="A176" s="941" t="s">
        <v>1958</v>
      </c>
      <c r="B176" s="942" t="s">
        <v>1936</v>
      </c>
      <c r="C176" s="943" t="s">
        <v>363</v>
      </c>
      <c r="D176" s="942">
        <v>1.88</v>
      </c>
      <c r="E176" s="942">
        <f t="shared" ref="E176:E177" si="55">2.68-0.45</f>
        <v>2.23</v>
      </c>
      <c r="F176" s="942">
        <f t="shared" si="44"/>
        <v>4.1924000000000001</v>
      </c>
      <c r="G176" s="944">
        <v>0</v>
      </c>
      <c r="H176" s="942">
        <f t="shared" si="45"/>
        <v>4.1924000000000001</v>
      </c>
      <c r="I176" s="942">
        <v>1</v>
      </c>
      <c r="J176" s="945">
        <f t="shared" si="46"/>
        <v>4.1924000000000001</v>
      </c>
      <c r="L176" s="918">
        <f t="shared" si="51"/>
        <v>4.1924000000000001</v>
      </c>
      <c r="M176" s="918">
        <f t="shared" si="47"/>
        <v>0</v>
      </c>
      <c r="N176" s="918">
        <f t="shared" si="48"/>
        <v>0</v>
      </c>
      <c r="O176" s="918">
        <f t="shared" si="49"/>
        <v>0</v>
      </c>
      <c r="P176" s="918">
        <f t="shared" si="52"/>
        <v>0</v>
      </c>
      <c r="Q176" s="918">
        <f t="shared" si="50"/>
        <v>0</v>
      </c>
    </row>
    <row r="177" spans="1:17">
      <c r="A177" s="941" t="s">
        <v>1959</v>
      </c>
      <c r="B177" s="942" t="s">
        <v>1937</v>
      </c>
      <c r="C177" s="943" t="s">
        <v>363</v>
      </c>
      <c r="D177" s="942">
        <v>3.47</v>
      </c>
      <c r="E177" s="942">
        <f t="shared" si="55"/>
        <v>2.23</v>
      </c>
      <c r="F177" s="942">
        <f t="shared" si="44"/>
        <v>7.7381000000000002</v>
      </c>
      <c r="G177" s="944">
        <v>0</v>
      </c>
      <c r="H177" s="942">
        <f t="shared" si="45"/>
        <v>7.7381000000000002</v>
      </c>
      <c r="I177" s="942">
        <v>1</v>
      </c>
      <c r="J177" s="945">
        <f t="shared" si="46"/>
        <v>7.7381000000000002</v>
      </c>
      <c r="L177" s="918">
        <f t="shared" si="51"/>
        <v>7.7381000000000002</v>
      </c>
      <c r="M177" s="918">
        <f t="shared" si="47"/>
        <v>0</v>
      </c>
      <c r="N177" s="918">
        <f t="shared" si="48"/>
        <v>0</v>
      </c>
      <c r="O177" s="918">
        <f t="shared" si="49"/>
        <v>0</v>
      </c>
      <c r="P177" s="918">
        <f t="shared" si="52"/>
        <v>0</v>
      </c>
      <c r="Q177" s="918">
        <f t="shared" si="50"/>
        <v>0</v>
      </c>
    </row>
    <row r="178" spans="1:17">
      <c r="A178" s="941" t="s">
        <v>1960</v>
      </c>
      <c r="B178" s="942" t="s">
        <v>1937</v>
      </c>
      <c r="C178" s="943" t="s">
        <v>363</v>
      </c>
      <c r="D178" s="942">
        <v>1</v>
      </c>
      <c r="E178" s="942">
        <v>2.68</v>
      </c>
      <c r="F178" s="942">
        <f t="shared" si="44"/>
        <v>2.68</v>
      </c>
      <c r="G178" s="944">
        <v>0</v>
      </c>
      <c r="H178" s="942">
        <f t="shared" si="45"/>
        <v>2.68</v>
      </c>
      <c r="I178" s="942">
        <v>1</v>
      </c>
      <c r="J178" s="945">
        <f t="shared" si="46"/>
        <v>2.68</v>
      </c>
      <c r="L178" s="918">
        <f t="shared" si="51"/>
        <v>2.68</v>
      </c>
      <c r="M178" s="918">
        <f t="shared" si="47"/>
        <v>0</v>
      </c>
      <c r="N178" s="918">
        <f t="shared" si="48"/>
        <v>0</v>
      </c>
      <c r="O178" s="918">
        <f t="shared" si="49"/>
        <v>0</v>
      </c>
      <c r="P178" s="918">
        <f t="shared" si="52"/>
        <v>0</v>
      </c>
      <c r="Q178" s="918">
        <f t="shared" si="50"/>
        <v>0</v>
      </c>
    </row>
    <row r="179" spans="1:17">
      <c r="A179" s="941" t="s">
        <v>1961</v>
      </c>
      <c r="B179" s="942" t="s">
        <v>1938</v>
      </c>
      <c r="C179" s="943" t="s">
        <v>363</v>
      </c>
      <c r="D179" s="942">
        <v>4.67</v>
      </c>
      <c r="E179" s="942">
        <v>2.68</v>
      </c>
      <c r="F179" s="942">
        <f t="shared" si="44"/>
        <v>12.515600000000001</v>
      </c>
      <c r="G179" s="944">
        <v>0</v>
      </c>
      <c r="H179" s="942">
        <f t="shared" si="45"/>
        <v>12.515600000000001</v>
      </c>
      <c r="I179" s="942">
        <v>1</v>
      </c>
      <c r="J179" s="945">
        <f t="shared" si="46"/>
        <v>12.515600000000001</v>
      </c>
      <c r="L179" s="918">
        <f t="shared" si="51"/>
        <v>12.515600000000001</v>
      </c>
      <c r="M179" s="918">
        <f t="shared" si="47"/>
        <v>0</v>
      </c>
      <c r="N179" s="918">
        <f t="shared" si="48"/>
        <v>0</v>
      </c>
      <c r="O179" s="918">
        <f t="shared" si="49"/>
        <v>0</v>
      </c>
      <c r="P179" s="918">
        <f t="shared" si="52"/>
        <v>0</v>
      </c>
      <c r="Q179" s="918">
        <f t="shared" si="50"/>
        <v>0</v>
      </c>
    </row>
    <row r="180" spans="1:17">
      <c r="A180" s="941" t="s">
        <v>1962</v>
      </c>
      <c r="B180" s="942" t="s">
        <v>1938</v>
      </c>
      <c r="C180" s="943" t="s">
        <v>363</v>
      </c>
      <c r="D180" s="942">
        <v>1.69</v>
      </c>
      <c r="E180" s="942">
        <v>2.68</v>
      </c>
      <c r="F180" s="942">
        <f t="shared" si="44"/>
        <v>4.5292000000000003</v>
      </c>
      <c r="G180" s="944">
        <v>0</v>
      </c>
      <c r="H180" s="942">
        <f t="shared" si="45"/>
        <v>4.5292000000000003</v>
      </c>
      <c r="I180" s="942">
        <v>1</v>
      </c>
      <c r="J180" s="945">
        <f t="shared" si="46"/>
        <v>4.5292000000000003</v>
      </c>
      <c r="L180" s="918">
        <f t="shared" si="51"/>
        <v>4.5292000000000003</v>
      </c>
      <c r="M180" s="918">
        <f t="shared" si="47"/>
        <v>0</v>
      </c>
      <c r="N180" s="918">
        <f t="shared" si="48"/>
        <v>0</v>
      </c>
      <c r="O180" s="918">
        <f t="shared" si="49"/>
        <v>0</v>
      </c>
      <c r="P180" s="918">
        <f t="shared" si="52"/>
        <v>0</v>
      </c>
      <c r="Q180" s="918">
        <f t="shared" si="50"/>
        <v>0</v>
      </c>
    </row>
    <row r="181" spans="1:17">
      <c r="A181" s="941" t="s">
        <v>1963</v>
      </c>
      <c r="B181" s="942" t="s">
        <v>1938</v>
      </c>
      <c r="C181" s="943" t="s">
        <v>363</v>
      </c>
      <c r="D181" s="942">
        <v>1.69</v>
      </c>
      <c r="E181" s="942">
        <v>2.68</v>
      </c>
      <c r="F181" s="942">
        <f t="shared" si="44"/>
        <v>4.5292000000000003</v>
      </c>
      <c r="G181" s="944">
        <v>0</v>
      </c>
      <c r="H181" s="942">
        <f t="shared" si="45"/>
        <v>4.5292000000000003</v>
      </c>
      <c r="I181" s="942">
        <v>1</v>
      </c>
      <c r="J181" s="945">
        <f t="shared" si="46"/>
        <v>4.5292000000000003</v>
      </c>
      <c r="L181" s="918">
        <f t="shared" si="51"/>
        <v>4.5292000000000003</v>
      </c>
      <c r="M181" s="918">
        <f t="shared" si="47"/>
        <v>0</v>
      </c>
      <c r="N181" s="918">
        <f t="shared" si="48"/>
        <v>0</v>
      </c>
      <c r="O181" s="918">
        <f t="shared" si="49"/>
        <v>0</v>
      </c>
      <c r="P181" s="918">
        <f t="shared" si="52"/>
        <v>0</v>
      </c>
      <c r="Q181" s="918">
        <f t="shared" si="50"/>
        <v>0</v>
      </c>
    </row>
    <row r="182" spans="1:17">
      <c r="A182" s="941" t="s">
        <v>1964</v>
      </c>
      <c r="B182" s="942" t="s">
        <v>1939</v>
      </c>
      <c r="C182" s="943" t="s">
        <v>363</v>
      </c>
      <c r="D182" s="942">
        <v>0.46</v>
      </c>
      <c r="E182" s="942">
        <v>2.68</v>
      </c>
      <c r="F182" s="942">
        <f>+D182*E182</f>
        <v>1.2328000000000001</v>
      </c>
      <c r="G182" s="944">
        <v>0</v>
      </c>
      <c r="H182" s="942">
        <f t="shared" si="45"/>
        <v>1.2328000000000001</v>
      </c>
      <c r="I182" s="942">
        <v>2</v>
      </c>
      <c r="J182" s="945">
        <f t="shared" si="46"/>
        <v>2.4656000000000002</v>
      </c>
      <c r="L182" s="918">
        <f t="shared" si="51"/>
        <v>2.4656000000000002</v>
      </c>
      <c r="M182" s="918">
        <f t="shared" si="47"/>
        <v>0</v>
      </c>
      <c r="N182" s="918">
        <f t="shared" si="48"/>
        <v>0</v>
      </c>
      <c r="O182" s="918">
        <f t="shared" si="49"/>
        <v>0</v>
      </c>
      <c r="P182" s="918">
        <f t="shared" si="52"/>
        <v>0</v>
      </c>
      <c r="Q182" s="918">
        <f t="shared" si="50"/>
        <v>0</v>
      </c>
    </row>
    <row r="183" spans="1:17">
      <c r="A183" s="941" t="s">
        <v>1965</v>
      </c>
      <c r="B183" s="942" t="s">
        <v>1939</v>
      </c>
      <c r="C183" s="943" t="s">
        <v>363</v>
      </c>
      <c r="D183" s="942">
        <v>0.45</v>
      </c>
      <c r="E183" s="942">
        <f>2.68-0.45</f>
        <v>2.23</v>
      </c>
      <c r="F183" s="942">
        <f t="shared" ref="F183" si="56">+D183*E183</f>
        <v>1.0035000000000001</v>
      </c>
      <c r="G183" s="944">
        <v>0</v>
      </c>
      <c r="H183" s="942">
        <f t="shared" si="45"/>
        <v>1.0035000000000001</v>
      </c>
      <c r="I183" s="942">
        <v>1</v>
      </c>
      <c r="J183" s="945">
        <f t="shared" si="46"/>
        <v>1.0035000000000001</v>
      </c>
      <c r="L183" s="918">
        <f t="shared" si="51"/>
        <v>1.0035000000000001</v>
      </c>
      <c r="M183" s="918">
        <f t="shared" si="47"/>
        <v>0</v>
      </c>
      <c r="N183" s="918">
        <f t="shared" si="48"/>
        <v>0</v>
      </c>
      <c r="O183" s="918">
        <f t="shared" si="49"/>
        <v>0</v>
      </c>
      <c r="P183" s="918">
        <f t="shared" si="52"/>
        <v>0</v>
      </c>
      <c r="Q183" s="918">
        <f t="shared" si="50"/>
        <v>0</v>
      </c>
    </row>
    <row r="184" spans="1:17">
      <c r="A184" s="941" t="s">
        <v>1966</v>
      </c>
      <c r="B184" s="942" t="s">
        <v>1939</v>
      </c>
      <c r="C184" s="943" t="s">
        <v>363</v>
      </c>
      <c r="D184" s="942">
        <v>3.8</v>
      </c>
      <c r="E184" s="942">
        <f>2.68-0.45</f>
        <v>2.23</v>
      </c>
      <c r="F184" s="942">
        <f>+D184*E184</f>
        <v>8.4740000000000002</v>
      </c>
      <c r="G184" s="944">
        <v>0</v>
      </c>
      <c r="H184" s="942">
        <f>+F184-G184</f>
        <v>8.4740000000000002</v>
      </c>
      <c r="I184" s="942">
        <v>1</v>
      </c>
      <c r="J184" s="945">
        <f t="shared" si="46"/>
        <v>8.4740000000000002</v>
      </c>
      <c r="L184" s="918">
        <f t="shared" si="51"/>
        <v>8.4740000000000002</v>
      </c>
      <c r="M184" s="918">
        <f t="shared" si="47"/>
        <v>0</v>
      </c>
      <c r="N184" s="918">
        <f t="shared" si="48"/>
        <v>0</v>
      </c>
      <c r="O184" s="918">
        <f t="shared" si="49"/>
        <v>0</v>
      </c>
      <c r="P184" s="918">
        <f t="shared" si="52"/>
        <v>0</v>
      </c>
      <c r="Q184" s="918">
        <f t="shared" si="50"/>
        <v>0</v>
      </c>
    </row>
    <row r="185" spans="1:17">
      <c r="A185" s="941" t="s">
        <v>1967</v>
      </c>
      <c r="B185" s="942" t="s">
        <v>1939</v>
      </c>
      <c r="C185" s="943" t="s">
        <v>363</v>
      </c>
      <c r="D185" s="942">
        <v>0.6</v>
      </c>
      <c r="E185" s="942">
        <f>2.68-0.45</f>
        <v>2.23</v>
      </c>
      <c r="F185" s="942">
        <f t="shared" ref="F185" si="57">+D185*E185</f>
        <v>1.3379999999999999</v>
      </c>
      <c r="G185" s="944">
        <v>0</v>
      </c>
      <c r="H185" s="942">
        <f t="shared" ref="H185" si="58">+F185-G185</f>
        <v>1.3379999999999999</v>
      </c>
      <c r="I185" s="942">
        <v>1</v>
      </c>
      <c r="J185" s="945">
        <f t="shared" si="46"/>
        <v>1.3379999999999999</v>
      </c>
      <c r="L185" s="918">
        <f t="shared" si="51"/>
        <v>1.3379999999999999</v>
      </c>
      <c r="M185" s="918">
        <f t="shared" si="47"/>
        <v>0</v>
      </c>
      <c r="N185" s="918">
        <f t="shared" si="48"/>
        <v>0</v>
      </c>
      <c r="O185" s="918">
        <f t="shared" si="49"/>
        <v>0</v>
      </c>
      <c r="P185" s="918">
        <f t="shared" si="52"/>
        <v>0</v>
      </c>
      <c r="Q185" s="918">
        <f t="shared" si="50"/>
        <v>0</v>
      </c>
    </row>
    <row r="186" spans="1:17">
      <c r="A186" s="941" t="s">
        <v>1968</v>
      </c>
      <c r="B186" s="942" t="s">
        <v>1969</v>
      </c>
      <c r="C186" s="943" t="s">
        <v>363</v>
      </c>
      <c r="D186" s="942">
        <v>0.76</v>
      </c>
      <c r="E186" s="942">
        <v>2.68</v>
      </c>
      <c r="F186" s="942">
        <f t="shared" si="44"/>
        <v>2.0367999999999999</v>
      </c>
      <c r="G186" s="944">
        <v>0</v>
      </c>
      <c r="H186" s="942">
        <f t="shared" si="45"/>
        <v>2.0367999999999999</v>
      </c>
      <c r="I186" s="942">
        <v>2</v>
      </c>
      <c r="J186" s="945">
        <f t="shared" si="46"/>
        <v>4.0735999999999999</v>
      </c>
      <c r="L186" s="918">
        <f t="shared" si="51"/>
        <v>4.0735999999999999</v>
      </c>
      <c r="M186" s="918">
        <f t="shared" si="47"/>
        <v>0</v>
      </c>
      <c r="N186" s="918">
        <f t="shared" si="48"/>
        <v>0</v>
      </c>
      <c r="O186" s="918">
        <f t="shared" si="49"/>
        <v>0</v>
      </c>
      <c r="P186" s="918">
        <f t="shared" si="52"/>
        <v>0</v>
      </c>
      <c r="Q186" s="918">
        <f t="shared" si="50"/>
        <v>0</v>
      </c>
    </row>
    <row r="187" spans="1:17">
      <c r="A187" s="941" t="s">
        <v>1970</v>
      </c>
      <c r="B187" s="942" t="s">
        <v>1971</v>
      </c>
      <c r="C187" s="943" t="s">
        <v>363</v>
      </c>
      <c r="D187" s="942">
        <v>0.46</v>
      </c>
      <c r="E187" s="942">
        <f t="shared" ref="E187:E191" si="59">2.68-0.45</f>
        <v>2.23</v>
      </c>
      <c r="F187" s="942">
        <f t="shared" si="44"/>
        <v>1.0258</v>
      </c>
      <c r="G187" s="944">
        <v>0</v>
      </c>
      <c r="H187" s="942">
        <f t="shared" si="45"/>
        <v>1.0258</v>
      </c>
      <c r="I187" s="942">
        <v>1</v>
      </c>
      <c r="J187" s="945">
        <f t="shared" si="46"/>
        <v>1.0258</v>
      </c>
      <c r="L187" s="918">
        <f t="shared" si="51"/>
        <v>1.0258</v>
      </c>
      <c r="M187" s="918">
        <f t="shared" si="47"/>
        <v>0</v>
      </c>
      <c r="N187" s="918">
        <f t="shared" si="48"/>
        <v>0</v>
      </c>
      <c r="O187" s="918">
        <f t="shared" si="49"/>
        <v>0</v>
      </c>
      <c r="P187" s="918">
        <f t="shared" si="52"/>
        <v>0</v>
      </c>
      <c r="Q187" s="918">
        <f t="shared" si="50"/>
        <v>0</v>
      </c>
    </row>
    <row r="188" spans="1:17">
      <c r="A188" s="941" t="s">
        <v>1972</v>
      </c>
      <c r="B188" s="942" t="s">
        <v>1971</v>
      </c>
      <c r="C188" s="943" t="s">
        <v>363</v>
      </c>
      <c r="D188" s="942">
        <v>2.63</v>
      </c>
      <c r="E188" s="942">
        <f t="shared" si="59"/>
        <v>2.23</v>
      </c>
      <c r="F188" s="942">
        <f t="shared" si="44"/>
        <v>5.8648999999999996</v>
      </c>
      <c r="G188" s="944">
        <v>0</v>
      </c>
      <c r="H188" s="942">
        <f t="shared" si="45"/>
        <v>5.8648999999999996</v>
      </c>
      <c r="I188" s="942">
        <v>1</v>
      </c>
      <c r="J188" s="945">
        <f t="shared" si="46"/>
        <v>5.8648999999999996</v>
      </c>
      <c r="L188" s="918">
        <f t="shared" si="51"/>
        <v>5.8648999999999996</v>
      </c>
      <c r="M188" s="918">
        <f t="shared" si="47"/>
        <v>0</v>
      </c>
      <c r="N188" s="918">
        <f t="shared" si="48"/>
        <v>0</v>
      </c>
      <c r="O188" s="918">
        <f t="shared" si="49"/>
        <v>0</v>
      </c>
      <c r="P188" s="918">
        <f t="shared" si="52"/>
        <v>0</v>
      </c>
      <c r="Q188" s="918">
        <f t="shared" si="50"/>
        <v>0</v>
      </c>
    </row>
    <row r="189" spans="1:17">
      <c r="A189" s="941" t="s">
        <v>1973</v>
      </c>
      <c r="B189" s="942" t="s">
        <v>1971</v>
      </c>
      <c r="C189" s="943" t="s">
        <v>363</v>
      </c>
      <c r="D189" s="942">
        <v>2.9</v>
      </c>
      <c r="E189" s="942">
        <f t="shared" si="59"/>
        <v>2.23</v>
      </c>
      <c r="F189" s="942">
        <f t="shared" si="44"/>
        <v>6.4669999999999996</v>
      </c>
      <c r="G189" s="944">
        <v>0</v>
      </c>
      <c r="H189" s="942">
        <f t="shared" si="45"/>
        <v>6.4669999999999996</v>
      </c>
      <c r="I189" s="942">
        <v>1</v>
      </c>
      <c r="J189" s="945">
        <f t="shared" si="46"/>
        <v>6.4669999999999996</v>
      </c>
      <c r="L189" s="918">
        <f t="shared" si="51"/>
        <v>6.4669999999999996</v>
      </c>
      <c r="M189" s="918">
        <f t="shared" si="47"/>
        <v>0</v>
      </c>
      <c r="N189" s="918">
        <f t="shared" si="48"/>
        <v>0</v>
      </c>
      <c r="O189" s="918">
        <f t="shared" si="49"/>
        <v>0</v>
      </c>
      <c r="P189" s="918">
        <f t="shared" si="52"/>
        <v>0</v>
      </c>
      <c r="Q189" s="918">
        <f t="shared" si="50"/>
        <v>0</v>
      </c>
    </row>
    <row r="190" spans="1:17">
      <c r="A190" s="941" t="s">
        <v>1970</v>
      </c>
      <c r="B190" s="942" t="s">
        <v>1969</v>
      </c>
      <c r="C190" s="943" t="s">
        <v>363</v>
      </c>
      <c r="D190" s="942">
        <v>2.91</v>
      </c>
      <c r="E190" s="942">
        <f t="shared" si="59"/>
        <v>2.23</v>
      </c>
      <c r="F190" s="942">
        <f t="shared" si="44"/>
        <v>6.4893000000000001</v>
      </c>
      <c r="G190" s="944">
        <v>0</v>
      </c>
      <c r="H190" s="942">
        <f t="shared" si="45"/>
        <v>6.4893000000000001</v>
      </c>
      <c r="I190" s="942">
        <v>1</v>
      </c>
      <c r="J190" s="945">
        <f t="shared" si="46"/>
        <v>6.4893000000000001</v>
      </c>
      <c r="L190" s="918">
        <f t="shared" si="51"/>
        <v>6.4893000000000001</v>
      </c>
      <c r="M190" s="918">
        <f t="shared" si="47"/>
        <v>0</v>
      </c>
      <c r="N190" s="918">
        <f t="shared" si="48"/>
        <v>0</v>
      </c>
      <c r="O190" s="918">
        <f t="shared" si="49"/>
        <v>0</v>
      </c>
      <c r="P190" s="918">
        <f t="shared" si="52"/>
        <v>0</v>
      </c>
      <c r="Q190" s="918">
        <f t="shared" si="50"/>
        <v>0</v>
      </c>
    </row>
    <row r="191" spans="1:17">
      <c r="A191" s="941" t="s">
        <v>1972</v>
      </c>
      <c r="B191" s="942" t="s">
        <v>1969</v>
      </c>
      <c r="C191" s="943" t="s">
        <v>363</v>
      </c>
      <c r="D191" s="942">
        <v>2.3199999999999998</v>
      </c>
      <c r="E191" s="942">
        <f t="shared" si="59"/>
        <v>2.23</v>
      </c>
      <c r="F191" s="942">
        <f t="shared" si="44"/>
        <v>5.1735999999999995</v>
      </c>
      <c r="G191" s="944">
        <v>0</v>
      </c>
      <c r="H191" s="942">
        <f t="shared" si="45"/>
        <v>5.1735999999999995</v>
      </c>
      <c r="I191" s="942">
        <v>1</v>
      </c>
      <c r="J191" s="945">
        <f t="shared" si="46"/>
        <v>5.1735999999999995</v>
      </c>
      <c r="L191" s="918">
        <f t="shared" si="51"/>
        <v>5.1735999999999995</v>
      </c>
      <c r="M191" s="918">
        <f t="shared" si="47"/>
        <v>0</v>
      </c>
      <c r="N191" s="918">
        <f t="shared" si="48"/>
        <v>0</v>
      </c>
      <c r="O191" s="918">
        <f t="shared" si="49"/>
        <v>0</v>
      </c>
      <c r="P191" s="918">
        <f t="shared" si="52"/>
        <v>0</v>
      </c>
      <c r="Q191" s="918">
        <f t="shared" si="50"/>
        <v>0</v>
      </c>
    </row>
    <row r="192" spans="1:17">
      <c r="A192" s="941" t="s">
        <v>1973</v>
      </c>
      <c r="B192" s="942" t="s">
        <v>1974</v>
      </c>
      <c r="C192" s="943" t="s">
        <v>363</v>
      </c>
      <c r="D192" s="942">
        <v>1.73</v>
      </c>
      <c r="E192" s="942">
        <v>2.68</v>
      </c>
      <c r="F192" s="942">
        <f t="shared" si="44"/>
        <v>4.6364000000000001</v>
      </c>
      <c r="G192" s="944">
        <v>0</v>
      </c>
      <c r="H192" s="942">
        <f t="shared" si="45"/>
        <v>4.6364000000000001</v>
      </c>
      <c r="I192" s="942">
        <v>1</v>
      </c>
      <c r="J192" s="945">
        <f t="shared" si="46"/>
        <v>4.6364000000000001</v>
      </c>
      <c r="L192" s="918">
        <f t="shared" si="51"/>
        <v>4.6364000000000001</v>
      </c>
      <c r="M192" s="918">
        <f t="shared" si="47"/>
        <v>0</v>
      </c>
      <c r="N192" s="918">
        <f t="shared" si="48"/>
        <v>0</v>
      </c>
      <c r="O192" s="918">
        <f t="shared" si="49"/>
        <v>0</v>
      </c>
      <c r="P192" s="918">
        <f t="shared" si="52"/>
        <v>0</v>
      </c>
      <c r="Q192" s="918">
        <f t="shared" si="50"/>
        <v>0</v>
      </c>
    </row>
    <row r="193" spans="1:17">
      <c r="A193" s="941" t="s">
        <v>1975</v>
      </c>
      <c r="B193" s="942" t="s">
        <v>1976</v>
      </c>
      <c r="C193" s="943" t="s">
        <v>363</v>
      </c>
      <c r="D193" s="942">
        <v>0.15</v>
      </c>
      <c r="E193" s="942">
        <v>2.68</v>
      </c>
      <c r="F193" s="942">
        <f t="shared" si="44"/>
        <v>0.40200000000000002</v>
      </c>
      <c r="G193" s="944"/>
      <c r="H193" s="942">
        <f t="shared" si="45"/>
        <v>0.40200000000000002</v>
      </c>
      <c r="I193" s="942">
        <v>1</v>
      </c>
      <c r="J193" s="945">
        <f t="shared" si="46"/>
        <v>0.40200000000000002</v>
      </c>
      <c r="L193" s="918">
        <f t="shared" si="51"/>
        <v>0.40200000000000002</v>
      </c>
      <c r="M193" s="918">
        <f t="shared" si="47"/>
        <v>0</v>
      </c>
      <c r="N193" s="918">
        <f t="shared" si="48"/>
        <v>0</v>
      </c>
      <c r="O193" s="918">
        <f t="shared" si="49"/>
        <v>0</v>
      </c>
      <c r="P193" s="918">
        <f t="shared" si="52"/>
        <v>0</v>
      </c>
      <c r="Q193" s="918">
        <f t="shared" si="50"/>
        <v>0</v>
      </c>
    </row>
    <row r="194" spans="1:17">
      <c r="A194" s="941" t="s">
        <v>1977</v>
      </c>
      <c r="B194" s="942" t="s">
        <v>1976</v>
      </c>
      <c r="C194" s="943" t="s">
        <v>363</v>
      </c>
      <c r="D194" s="942">
        <v>0.6</v>
      </c>
      <c r="E194" s="942">
        <v>2.68</v>
      </c>
      <c r="F194" s="942">
        <f t="shared" si="44"/>
        <v>1.6080000000000001</v>
      </c>
      <c r="G194" s="944"/>
      <c r="H194" s="942">
        <f t="shared" si="45"/>
        <v>1.6080000000000001</v>
      </c>
      <c r="I194" s="942">
        <v>1</v>
      </c>
      <c r="J194" s="945">
        <f t="shared" si="46"/>
        <v>1.6080000000000001</v>
      </c>
      <c r="L194" s="918">
        <f t="shared" si="51"/>
        <v>1.6080000000000001</v>
      </c>
      <c r="M194" s="918">
        <f t="shared" si="47"/>
        <v>0</v>
      </c>
      <c r="N194" s="918">
        <f t="shared" si="48"/>
        <v>0</v>
      </c>
      <c r="O194" s="918">
        <f t="shared" si="49"/>
        <v>0</v>
      </c>
      <c r="P194" s="918">
        <f t="shared" si="52"/>
        <v>0</v>
      </c>
      <c r="Q194" s="918">
        <f t="shared" si="50"/>
        <v>0</v>
      </c>
    </row>
    <row r="195" spans="1:17">
      <c r="A195" s="941" t="s">
        <v>1970</v>
      </c>
      <c r="B195" s="942" t="s">
        <v>1978</v>
      </c>
      <c r="C195" s="943" t="s">
        <v>363</v>
      </c>
      <c r="D195" s="942">
        <v>1.86</v>
      </c>
      <c r="E195" s="942">
        <v>2.68</v>
      </c>
      <c r="F195" s="942">
        <f t="shared" si="44"/>
        <v>4.9848000000000008</v>
      </c>
      <c r="G195" s="944">
        <v>0</v>
      </c>
      <c r="H195" s="942">
        <f t="shared" si="45"/>
        <v>4.9848000000000008</v>
      </c>
      <c r="I195" s="942">
        <v>1</v>
      </c>
      <c r="J195" s="945">
        <f t="shared" si="46"/>
        <v>4.9848000000000008</v>
      </c>
      <c r="L195" s="918">
        <f t="shared" si="51"/>
        <v>4.9848000000000008</v>
      </c>
      <c r="M195" s="918">
        <f t="shared" si="47"/>
        <v>0</v>
      </c>
      <c r="N195" s="918">
        <f t="shared" si="48"/>
        <v>0</v>
      </c>
      <c r="O195" s="918">
        <f t="shared" si="49"/>
        <v>0</v>
      </c>
      <c r="P195" s="918">
        <f t="shared" si="52"/>
        <v>0</v>
      </c>
      <c r="Q195" s="918">
        <f t="shared" si="50"/>
        <v>0</v>
      </c>
    </row>
    <row r="196" spans="1:17">
      <c r="A196" s="941" t="s">
        <v>1972</v>
      </c>
      <c r="B196" s="942" t="s">
        <v>1978</v>
      </c>
      <c r="C196" s="943" t="s">
        <v>363</v>
      </c>
      <c r="D196" s="942">
        <v>1.3</v>
      </c>
      <c r="E196" s="942">
        <v>2.68</v>
      </c>
      <c r="F196" s="942">
        <f t="shared" si="44"/>
        <v>3.4840000000000004</v>
      </c>
      <c r="G196" s="944">
        <v>0</v>
      </c>
      <c r="H196" s="942">
        <f t="shared" si="45"/>
        <v>3.4840000000000004</v>
      </c>
      <c r="I196" s="942">
        <v>1</v>
      </c>
      <c r="J196" s="945">
        <f t="shared" si="46"/>
        <v>3.4840000000000004</v>
      </c>
      <c r="L196" s="918">
        <f t="shared" si="51"/>
        <v>3.4840000000000004</v>
      </c>
      <c r="M196" s="918">
        <f t="shared" si="47"/>
        <v>0</v>
      </c>
      <c r="N196" s="918">
        <f t="shared" si="48"/>
        <v>0</v>
      </c>
      <c r="O196" s="918">
        <f t="shared" si="49"/>
        <v>0</v>
      </c>
      <c r="P196" s="918">
        <f t="shared" si="52"/>
        <v>0</v>
      </c>
      <c r="Q196" s="918">
        <f t="shared" si="50"/>
        <v>0</v>
      </c>
    </row>
    <row r="197" spans="1:17">
      <c r="A197" s="941" t="s">
        <v>1973</v>
      </c>
      <c r="B197" s="942" t="s">
        <v>1978</v>
      </c>
      <c r="C197" s="943" t="s">
        <v>363</v>
      </c>
      <c r="D197" s="942">
        <v>2.1</v>
      </c>
      <c r="E197" s="942">
        <v>2.68</v>
      </c>
      <c r="F197" s="942">
        <f t="shared" si="44"/>
        <v>5.628000000000001</v>
      </c>
      <c r="G197" s="944">
        <v>0</v>
      </c>
      <c r="H197" s="942">
        <f t="shared" si="45"/>
        <v>5.628000000000001</v>
      </c>
      <c r="I197" s="942">
        <v>1</v>
      </c>
      <c r="J197" s="945">
        <f t="shared" si="46"/>
        <v>5.628000000000001</v>
      </c>
      <c r="L197" s="918">
        <f t="shared" si="51"/>
        <v>5.628000000000001</v>
      </c>
      <c r="M197" s="918">
        <f t="shared" si="47"/>
        <v>0</v>
      </c>
      <c r="N197" s="918">
        <f t="shared" si="48"/>
        <v>0</v>
      </c>
      <c r="O197" s="918">
        <f t="shared" si="49"/>
        <v>0</v>
      </c>
      <c r="P197" s="918">
        <f t="shared" si="52"/>
        <v>0</v>
      </c>
      <c r="Q197" s="918">
        <f t="shared" si="50"/>
        <v>0</v>
      </c>
    </row>
    <row r="198" spans="1:17">
      <c r="A198" s="941" t="s">
        <v>1970</v>
      </c>
      <c r="B198" s="942" t="s">
        <v>1978</v>
      </c>
      <c r="C198" s="943" t="s">
        <v>363</v>
      </c>
      <c r="D198" s="942">
        <v>2.91</v>
      </c>
      <c r="E198" s="942">
        <v>2.68</v>
      </c>
      <c r="F198" s="942">
        <f t="shared" ref="F198:F204" si="60">+D198*E198</f>
        <v>7.7988000000000008</v>
      </c>
      <c r="G198" s="944">
        <v>0</v>
      </c>
      <c r="H198" s="942">
        <f t="shared" ref="H198:H204" si="61">+F198-G198</f>
        <v>7.7988000000000008</v>
      </c>
      <c r="I198" s="942">
        <v>1</v>
      </c>
      <c r="J198" s="945">
        <f t="shared" ref="J198:J204" si="62">+H198*I198</f>
        <v>7.7988000000000008</v>
      </c>
      <c r="L198" s="918">
        <f t="shared" si="51"/>
        <v>7.7988000000000008</v>
      </c>
      <c r="M198" s="918">
        <f t="shared" ref="M198:M204" si="63">IF(C198=$M$2,J198,0)</f>
        <v>0</v>
      </c>
      <c r="N198" s="918">
        <f t="shared" ref="N198:N204" si="64">IF(C198=$N$2,J198,0)</f>
        <v>0</v>
      </c>
      <c r="O198" s="918">
        <f t="shared" ref="O198:O204" si="65">IF(C198=$O$2,J198,0)</f>
        <v>0</v>
      </c>
      <c r="P198" s="918">
        <f t="shared" si="52"/>
        <v>0</v>
      </c>
      <c r="Q198" s="918">
        <f t="shared" si="50"/>
        <v>0</v>
      </c>
    </row>
    <row r="199" spans="1:17">
      <c r="A199" s="941" t="s">
        <v>1972</v>
      </c>
      <c r="B199" s="942" t="s">
        <v>1978</v>
      </c>
      <c r="C199" s="943" t="s">
        <v>363</v>
      </c>
      <c r="D199" s="942">
        <v>1.08</v>
      </c>
      <c r="E199" s="942">
        <f t="shared" ref="E199" si="66">2.68-0.45</f>
        <v>2.23</v>
      </c>
      <c r="F199" s="942">
        <f t="shared" si="60"/>
        <v>2.4084000000000003</v>
      </c>
      <c r="G199" s="944">
        <v>0</v>
      </c>
      <c r="H199" s="942">
        <f t="shared" si="61"/>
        <v>2.4084000000000003</v>
      </c>
      <c r="I199" s="942">
        <v>1</v>
      </c>
      <c r="J199" s="945">
        <f t="shared" si="62"/>
        <v>2.4084000000000003</v>
      </c>
      <c r="L199" s="918">
        <f t="shared" si="51"/>
        <v>2.4084000000000003</v>
      </c>
      <c r="M199" s="918">
        <f t="shared" si="63"/>
        <v>0</v>
      </c>
      <c r="N199" s="918">
        <f t="shared" si="64"/>
        <v>0</v>
      </c>
      <c r="O199" s="918">
        <f t="shared" si="65"/>
        <v>0</v>
      </c>
      <c r="P199" s="918">
        <f t="shared" si="52"/>
        <v>0</v>
      </c>
      <c r="Q199" s="918">
        <f t="shared" ref="Q199:Q210" si="67">+SUM(L199:P199)-J199</f>
        <v>0</v>
      </c>
    </row>
    <row r="200" spans="1:17">
      <c r="A200" s="941" t="s">
        <v>1973</v>
      </c>
      <c r="B200" s="942" t="s">
        <v>1978</v>
      </c>
      <c r="C200" s="943" t="s">
        <v>363</v>
      </c>
      <c r="D200" s="942">
        <v>2.97</v>
      </c>
      <c r="E200" s="942">
        <v>2.68</v>
      </c>
      <c r="F200" s="942">
        <f t="shared" si="60"/>
        <v>7.9596000000000009</v>
      </c>
      <c r="G200" s="944">
        <v>0</v>
      </c>
      <c r="H200" s="942">
        <f t="shared" si="61"/>
        <v>7.9596000000000009</v>
      </c>
      <c r="I200" s="942">
        <v>1</v>
      </c>
      <c r="J200" s="945">
        <f t="shared" si="62"/>
        <v>7.9596000000000009</v>
      </c>
      <c r="L200" s="918">
        <f t="shared" ref="L200:L204" si="68">IF(C200=$L$2,J200,0)</f>
        <v>7.9596000000000009</v>
      </c>
      <c r="M200" s="918">
        <f t="shared" si="63"/>
        <v>0</v>
      </c>
      <c r="N200" s="918">
        <f t="shared" si="64"/>
        <v>0</v>
      </c>
      <c r="O200" s="918">
        <f t="shared" si="65"/>
        <v>0</v>
      </c>
      <c r="P200" s="918">
        <f t="shared" si="52"/>
        <v>0</v>
      </c>
      <c r="Q200" s="918">
        <f t="shared" si="67"/>
        <v>0</v>
      </c>
    </row>
    <row r="201" spans="1:17">
      <c r="A201" s="941" t="s">
        <v>1975</v>
      </c>
      <c r="B201" s="942" t="s">
        <v>1979</v>
      </c>
      <c r="C201" s="943" t="s">
        <v>363</v>
      </c>
      <c r="D201" s="942">
        <v>4.7699999999999996</v>
      </c>
      <c r="E201" s="942">
        <v>2.68</v>
      </c>
      <c r="F201" s="942">
        <f t="shared" si="60"/>
        <v>12.7836</v>
      </c>
      <c r="G201" s="944"/>
      <c r="H201" s="942">
        <f t="shared" si="61"/>
        <v>12.7836</v>
      </c>
      <c r="I201" s="942">
        <v>1</v>
      </c>
      <c r="J201" s="945">
        <f t="shared" si="62"/>
        <v>12.7836</v>
      </c>
      <c r="L201" s="918">
        <f t="shared" si="68"/>
        <v>12.7836</v>
      </c>
      <c r="M201" s="918">
        <f t="shared" si="63"/>
        <v>0</v>
      </c>
      <c r="N201" s="918">
        <f t="shared" si="64"/>
        <v>0</v>
      </c>
      <c r="O201" s="918">
        <f t="shared" si="65"/>
        <v>0</v>
      </c>
      <c r="P201" s="918">
        <f t="shared" ref="P201:P235" si="69">IF(C201=$P$2,J201,0)</f>
        <v>0</v>
      </c>
      <c r="Q201" s="918">
        <f t="shared" si="67"/>
        <v>0</v>
      </c>
    </row>
    <row r="202" spans="1:17">
      <c r="A202" s="941" t="s">
        <v>1977</v>
      </c>
      <c r="B202" s="942" t="s">
        <v>1979</v>
      </c>
      <c r="C202" s="943" t="s">
        <v>363</v>
      </c>
      <c r="D202" s="942">
        <v>0.66</v>
      </c>
      <c r="E202" s="942">
        <v>2.68</v>
      </c>
      <c r="F202" s="942">
        <f t="shared" si="60"/>
        <v>1.7688000000000001</v>
      </c>
      <c r="G202" s="944"/>
      <c r="H202" s="942">
        <f t="shared" si="61"/>
        <v>1.7688000000000001</v>
      </c>
      <c r="I202" s="942">
        <v>1</v>
      </c>
      <c r="J202" s="945">
        <f t="shared" si="62"/>
        <v>1.7688000000000001</v>
      </c>
      <c r="L202" s="918">
        <f t="shared" si="68"/>
        <v>1.7688000000000001</v>
      </c>
      <c r="M202" s="918">
        <f t="shared" si="63"/>
        <v>0</v>
      </c>
      <c r="N202" s="918">
        <f t="shared" si="64"/>
        <v>0</v>
      </c>
      <c r="O202" s="918">
        <f t="shared" si="65"/>
        <v>0</v>
      </c>
      <c r="P202" s="918">
        <f t="shared" si="69"/>
        <v>0</v>
      </c>
      <c r="Q202" s="918">
        <f t="shared" si="67"/>
        <v>0</v>
      </c>
    </row>
    <row r="203" spans="1:17">
      <c r="A203" s="941" t="s">
        <v>1975</v>
      </c>
      <c r="B203" s="942" t="s">
        <v>1979</v>
      </c>
      <c r="C203" s="943" t="s">
        <v>363</v>
      </c>
      <c r="D203" s="942">
        <v>1.78</v>
      </c>
      <c r="E203" s="942">
        <v>2.68</v>
      </c>
      <c r="F203" s="942">
        <f t="shared" si="60"/>
        <v>4.7704000000000004</v>
      </c>
      <c r="G203" s="944"/>
      <c r="H203" s="942">
        <f t="shared" si="61"/>
        <v>4.7704000000000004</v>
      </c>
      <c r="I203" s="942">
        <v>1</v>
      </c>
      <c r="J203" s="945">
        <f t="shared" si="62"/>
        <v>4.7704000000000004</v>
      </c>
      <c r="L203" s="918">
        <f t="shared" si="68"/>
        <v>4.7704000000000004</v>
      </c>
      <c r="M203" s="918">
        <f t="shared" si="63"/>
        <v>0</v>
      </c>
      <c r="N203" s="918">
        <f t="shared" si="64"/>
        <v>0</v>
      </c>
      <c r="O203" s="918">
        <f t="shared" si="65"/>
        <v>0</v>
      </c>
      <c r="P203" s="918">
        <f t="shared" si="69"/>
        <v>0</v>
      </c>
      <c r="Q203" s="918">
        <f t="shared" si="67"/>
        <v>0</v>
      </c>
    </row>
    <row r="204" spans="1:17">
      <c r="A204" s="946" t="s">
        <v>1977</v>
      </c>
      <c r="B204" s="947" t="s">
        <v>1979</v>
      </c>
      <c r="C204" s="948" t="s">
        <v>363</v>
      </c>
      <c r="D204" s="947">
        <v>0.4</v>
      </c>
      <c r="E204" s="947">
        <v>2.68</v>
      </c>
      <c r="F204" s="947">
        <f t="shared" si="60"/>
        <v>1.0720000000000001</v>
      </c>
      <c r="G204" s="949"/>
      <c r="H204" s="947">
        <f t="shared" si="61"/>
        <v>1.0720000000000001</v>
      </c>
      <c r="I204" s="947">
        <v>2</v>
      </c>
      <c r="J204" s="950">
        <f t="shared" si="62"/>
        <v>2.1440000000000001</v>
      </c>
      <c r="L204" s="918">
        <f t="shared" si="68"/>
        <v>2.1440000000000001</v>
      </c>
      <c r="M204" s="918">
        <f t="shared" si="63"/>
        <v>0</v>
      </c>
      <c r="N204" s="918">
        <f t="shared" si="64"/>
        <v>0</v>
      </c>
      <c r="O204" s="918">
        <f t="shared" si="65"/>
        <v>0</v>
      </c>
      <c r="P204" s="918">
        <f t="shared" si="69"/>
        <v>0</v>
      </c>
      <c r="Q204" s="918">
        <f t="shared" si="67"/>
        <v>0</v>
      </c>
    </row>
    <row r="205" spans="1:17">
      <c r="A205" s="931" t="s">
        <v>506</v>
      </c>
      <c r="B205" s="951"/>
      <c r="C205" s="952"/>
      <c r="D205" s="951"/>
      <c r="E205" s="951"/>
      <c r="F205" s="951"/>
      <c r="G205" s="953"/>
      <c r="H205" s="951"/>
      <c r="I205" s="951"/>
      <c r="J205" s="954"/>
    </row>
    <row r="206" spans="1:17">
      <c r="A206" s="936" t="s">
        <v>1980</v>
      </c>
      <c r="B206" s="937" t="s">
        <v>385</v>
      </c>
      <c r="C206" s="938" t="s">
        <v>367</v>
      </c>
      <c r="D206" s="937">
        <v>5.0999999999999996</v>
      </c>
      <c r="E206" s="937">
        <v>5.18</v>
      </c>
      <c r="F206" s="937">
        <f t="shared" ref="F206:F229" si="70">+D206*E206</f>
        <v>26.417999999999996</v>
      </c>
      <c r="G206" s="939">
        <v>0</v>
      </c>
      <c r="H206" s="937">
        <f t="shared" ref="H206:H229" si="71">+F206-G206</f>
        <v>26.417999999999996</v>
      </c>
      <c r="I206" s="937">
        <v>1</v>
      </c>
      <c r="J206" s="940">
        <f t="shared" ref="J206:J229" si="72">+H206*I206</f>
        <v>26.417999999999996</v>
      </c>
      <c r="L206" s="918">
        <f>IF(C206=$L$2,J206,0)</f>
        <v>0</v>
      </c>
      <c r="M206" s="918">
        <f t="shared" ref="M206:M235" si="73">IF(C206=$M$2,J206,0)</f>
        <v>26.417999999999996</v>
      </c>
      <c r="N206" s="918">
        <f t="shared" ref="N206:N235" si="74">IF(C206=$N$2,J206,0)</f>
        <v>0</v>
      </c>
      <c r="O206" s="918">
        <f t="shared" ref="O206:O235" si="75">IF(C206=$O$2,J206,0)</f>
        <v>0</v>
      </c>
      <c r="P206" s="918">
        <f t="shared" si="69"/>
        <v>0</v>
      </c>
      <c r="Q206" s="918">
        <f t="shared" si="67"/>
        <v>0</v>
      </c>
    </row>
    <row r="207" spans="1:17">
      <c r="A207" s="941" t="s">
        <v>1981</v>
      </c>
      <c r="B207" s="942" t="s">
        <v>1890</v>
      </c>
      <c r="C207" s="943" t="s">
        <v>367</v>
      </c>
      <c r="D207" s="942">
        <v>8.8699999999999992</v>
      </c>
      <c r="E207" s="942">
        <v>1.76</v>
      </c>
      <c r="F207" s="942">
        <f t="shared" si="70"/>
        <v>15.611199999999998</v>
      </c>
      <c r="G207" s="944">
        <v>0</v>
      </c>
      <c r="H207" s="942">
        <f t="shared" si="71"/>
        <v>15.611199999999998</v>
      </c>
      <c r="I207" s="942">
        <v>1</v>
      </c>
      <c r="J207" s="945">
        <f t="shared" si="72"/>
        <v>15.611199999999998</v>
      </c>
      <c r="L207" s="918">
        <f t="shared" ref="L207:L235" si="76">IF(C207=$L$2,J207,0)</f>
        <v>0</v>
      </c>
      <c r="M207" s="918">
        <f t="shared" si="73"/>
        <v>15.611199999999998</v>
      </c>
      <c r="N207" s="918">
        <f t="shared" si="74"/>
        <v>0</v>
      </c>
      <c r="O207" s="918">
        <f t="shared" si="75"/>
        <v>0</v>
      </c>
      <c r="P207" s="918">
        <f t="shared" si="69"/>
        <v>0</v>
      </c>
      <c r="Q207" s="918">
        <f t="shared" si="67"/>
        <v>0</v>
      </c>
    </row>
    <row r="208" spans="1:17">
      <c r="A208" s="941" t="s">
        <v>1982</v>
      </c>
      <c r="B208" s="942" t="s">
        <v>1891</v>
      </c>
      <c r="C208" s="943" t="s">
        <v>367</v>
      </c>
      <c r="D208" s="942">
        <v>10.91</v>
      </c>
      <c r="E208" s="942">
        <v>1.76</v>
      </c>
      <c r="F208" s="942">
        <f t="shared" si="70"/>
        <v>19.201599999999999</v>
      </c>
      <c r="G208" s="944">
        <v>0</v>
      </c>
      <c r="H208" s="942">
        <f t="shared" si="71"/>
        <v>19.201599999999999</v>
      </c>
      <c r="I208" s="942">
        <v>1</v>
      </c>
      <c r="J208" s="945">
        <f t="shared" si="72"/>
        <v>19.201599999999999</v>
      </c>
      <c r="L208" s="918">
        <f t="shared" si="76"/>
        <v>0</v>
      </c>
      <c r="M208" s="918">
        <f t="shared" si="73"/>
        <v>19.201599999999999</v>
      </c>
      <c r="N208" s="918">
        <f t="shared" si="74"/>
        <v>0</v>
      </c>
      <c r="O208" s="918">
        <f t="shared" si="75"/>
        <v>0</v>
      </c>
      <c r="P208" s="918">
        <f t="shared" si="69"/>
        <v>0</v>
      </c>
      <c r="Q208" s="918">
        <f t="shared" si="67"/>
        <v>0</v>
      </c>
    </row>
    <row r="209" spans="1:17">
      <c r="A209" s="941" t="s">
        <v>1983</v>
      </c>
      <c r="B209" s="942" t="s">
        <v>1892</v>
      </c>
      <c r="C209" s="943" t="s">
        <v>367</v>
      </c>
      <c r="D209" s="942">
        <v>9.02</v>
      </c>
      <c r="E209" s="942">
        <v>1.76</v>
      </c>
      <c r="F209" s="942">
        <f t="shared" si="70"/>
        <v>15.8752</v>
      </c>
      <c r="G209" s="944">
        <v>0</v>
      </c>
      <c r="H209" s="942">
        <f t="shared" si="71"/>
        <v>15.8752</v>
      </c>
      <c r="I209" s="942">
        <v>1</v>
      </c>
      <c r="J209" s="945">
        <f t="shared" si="72"/>
        <v>15.8752</v>
      </c>
      <c r="L209" s="918">
        <f t="shared" si="76"/>
        <v>0</v>
      </c>
      <c r="M209" s="918">
        <f t="shared" si="73"/>
        <v>15.8752</v>
      </c>
      <c r="N209" s="918">
        <f t="shared" si="74"/>
        <v>0</v>
      </c>
      <c r="O209" s="918">
        <f t="shared" si="75"/>
        <v>0</v>
      </c>
      <c r="P209" s="918">
        <f t="shared" si="69"/>
        <v>0</v>
      </c>
      <c r="Q209" s="918">
        <f t="shared" si="67"/>
        <v>0</v>
      </c>
    </row>
    <row r="210" spans="1:17">
      <c r="A210" s="941" t="s">
        <v>1984</v>
      </c>
      <c r="B210" s="942" t="s">
        <v>1929</v>
      </c>
      <c r="C210" s="943" t="s">
        <v>367</v>
      </c>
      <c r="D210" s="942">
        <v>11.02</v>
      </c>
      <c r="E210" s="942">
        <v>1.76</v>
      </c>
      <c r="F210" s="942">
        <f t="shared" si="70"/>
        <v>19.395199999999999</v>
      </c>
      <c r="G210" s="944">
        <v>0</v>
      </c>
      <c r="H210" s="942">
        <f t="shared" si="71"/>
        <v>19.395199999999999</v>
      </c>
      <c r="I210" s="942">
        <v>1</v>
      </c>
      <c r="J210" s="945">
        <f t="shared" si="72"/>
        <v>19.395199999999999</v>
      </c>
      <c r="L210" s="918">
        <f t="shared" si="76"/>
        <v>0</v>
      </c>
      <c r="M210" s="918">
        <f t="shared" si="73"/>
        <v>19.395199999999999</v>
      </c>
      <c r="N210" s="918">
        <f t="shared" si="74"/>
        <v>0</v>
      </c>
      <c r="O210" s="918">
        <f t="shared" si="75"/>
        <v>0</v>
      </c>
      <c r="P210" s="918">
        <f t="shared" si="69"/>
        <v>0</v>
      </c>
      <c r="Q210" s="918">
        <f t="shared" si="67"/>
        <v>0</v>
      </c>
    </row>
    <row r="211" spans="1:17">
      <c r="A211" s="941" t="s">
        <v>383</v>
      </c>
      <c r="B211" s="942" t="s">
        <v>1985</v>
      </c>
      <c r="C211" s="943" t="s">
        <v>33</v>
      </c>
      <c r="D211" s="942">
        <v>1.25</v>
      </c>
      <c r="E211" s="942">
        <v>2.68</v>
      </c>
      <c r="F211" s="942">
        <f t="shared" si="70"/>
        <v>3.35</v>
      </c>
      <c r="G211" s="944">
        <v>0</v>
      </c>
      <c r="H211" s="942">
        <f t="shared" si="71"/>
        <v>3.35</v>
      </c>
      <c r="I211" s="942">
        <v>1</v>
      </c>
      <c r="J211" s="945">
        <f t="shared" si="72"/>
        <v>3.35</v>
      </c>
      <c r="L211" s="918">
        <f t="shared" si="76"/>
        <v>0</v>
      </c>
      <c r="M211" s="918">
        <f t="shared" si="73"/>
        <v>0</v>
      </c>
      <c r="N211" s="918">
        <f t="shared" si="74"/>
        <v>3.35</v>
      </c>
      <c r="O211" s="918">
        <f t="shared" si="75"/>
        <v>0</v>
      </c>
      <c r="P211" s="918">
        <f t="shared" si="69"/>
        <v>0</v>
      </c>
      <c r="Q211" s="918">
        <f t="shared" ref="Q211:Q235" si="77">+SUM(L211:P211)-J211</f>
        <v>0</v>
      </c>
    </row>
    <row r="212" spans="1:17">
      <c r="A212" s="941" t="s">
        <v>384</v>
      </c>
      <c r="B212" s="942" t="s">
        <v>1985</v>
      </c>
      <c r="C212" s="943" t="s">
        <v>33</v>
      </c>
      <c r="D212" s="942">
        <v>1.61</v>
      </c>
      <c r="E212" s="942">
        <f>2.68-(0.45-0.12)</f>
        <v>2.35</v>
      </c>
      <c r="F212" s="942">
        <f t="shared" si="70"/>
        <v>3.7835000000000005</v>
      </c>
      <c r="G212" s="944">
        <v>0</v>
      </c>
      <c r="H212" s="942">
        <f t="shared" si="71"/>
        <v>3.7835000000000005</v>
      </c>
      <c r="I212" s="942">
        <v>1</v>
      </c>
      <c r="J212" s="945">
        <f t="shared" si="72"/>
        <v>3.7835000000000005</v>
      </c>
      <c r="L212" s="918">
        <f t="shared" si="76"/>
        <v>0</v>
      </c>
      <c r="M212" s="918">
        <f t="shared" si="73"/>
        <v>0</v>
      </c>
      <c r="N212" s="918">
        <f t="shared" si="74"/>
        <v>3.7835000000000005</v>
      </c>
      <c r="O212" s="918">
        <f t="shared" si="75"/>
        <v>0</v>
      </c>
      <c r="P212" s="918">
        <f t="shared" si="69"/>
        <v>0</v>
      </c>
      <c r="Q212" s="918">
        <f t="shared" si="77"/>
        <v>0</v>
      </c>
    </row>
    <row r="213" spans="1:17">
      <c r="A213" s="941" t="s">
        <v>385</v>
      </c>
      <c r="B213" s="942" t="s">
        <v>412</v>
      </c>
      <c r="C213" s="943" t="s">
        <v>33</v>
      </c>
      <c r="D213" s="942">
        <v>2.3250000000000002</v>
      </c>
      <c r="E213" s="942">
        <v>1.8</v>
      </c>
      <c r="F213" s="942">
        <f t="shared" si="70"/>
        <v>4.1850000000000005</v>
      </c>
      <c r="G213" s="944">
        <v>0</v>
      </c>
      <c r="H213" s="942">
        <f t="shared" si="71"/>
        <v>4.1850000000000005</v>
      </c>
      <c r="I213" s="942">
        <v>1</v>
      </c>
      <c r="J213" s="945">
        <f t="shared" si="72"/>
        <v>4.1850000000000005</v>
      </c>
      <c r="L213" s="918">
        <f t="shared" si="76"/>
        <v>0</v>
      </c>
      <c r="M213" s="918">
        <f t="shared" si="73"/>
        <v>0</v>
      </c>
      <c r="N213" s="918">
        <f t="shared" si="74"/>
        <v>4.1850000000000005</v>
      </c>
      <c r="O213" s="918">
        <f t="shared" si="75"/>
        <v>0</v>
      </c>
      <c r="P213" s="918">
        <f t="shared" si="69"/>
        <v>0</v>
      </c>
      <c r="Q213" s="918">
        <f t="shared" si="77"/>
        <v>0</v>
      </c>
    </row>
    <row r="214" spans="1:17">
      <c r="A214" s="941" t="s">
        <v>386</v>
      </c>
      <c r="B214" s="942" t="s">
        <v>412</v>
      </c>
      <c r="C214" s="943" t="s">
        <v>33</v>
      </c>
      <c r="D214" s="942">
        <v>2.33</v>
      </c>
      <c r="E214" s="942">
        <v>1.8</v>
      </c>
      <c r="F214" s="942">
        <f t="shared" si="70"/>
        <v>4.194</v>
      </c>
      <c r="G214" s="944">
        <v>0</v>
      </c>
      <c r="H214" s="942">
        <f t="shared" si="71"/>
        <v>4.194</v>
      </c>
      <c r="I214" s="942">
        <v>1</v>
      </c>
      <c r="J214" s="945">
        <f t="shared" si="72"/>
        <v>4.194</v>
      </c>
      <c r="L214" s="918">
        <f t="shared" si="76"/>
        <v>0</v>
      </c>
      <c r="M214" s="918">
        <f t="shared" si="73"/>
        <v>0</v>
      </c>
      <c r="N214" s="918">
        <f t="shared" si="74"/>
        <v>4.194</v>
      </c>
      <c r="O214" s="918">
        <f t="shared" si="75"/>
        <v>0</v>
      </c>
      <c r="P214" s="918">
        <f t="shared" si="69"/>
        <v>0</v>
      </c>
      <c r="Q214" s="918">
        <f t="shared" si="77"/>
        <v>0</v>
      </c>
    </row>
    <row r="215" spans="1:17">
      <c r="A215" s="941" t="s">
        <v>1861</v>
      </c>
      <c r="B215" s="942" t="s">
        <v>1986</v>
      </c>
      <c r="C215" s="943" t="s">
        <v>33</v>
      </c>
      <c r="D215" s="942">
        <v>3.98</v>
      </c>
      <c r="E215" s="942">
        <v>1.2</v>
      </c>
      <c r="F215" s="942">
        <f t="shared" si="70"/>
        <v>4.7759999999999998</v>
      </c>
      <c r="G215" s="944">
        <v>0</v>
      </c>
      <c r="H215" s="942">
        <f t="shared" si="71"/>
        <v>4.7759999999999998</v>
      </c>
      <c r="I215" s="942">
        <v>1</v>
      </c>
      <c r="J215" s="945">
        <f t="shared" si="72"/>
        <v>4.7759999999999998</v>
      </c>
      <c r="L215" s="918">
        <f t="shared" si="76"/>
        <v>0</v>
      </c>
      <c r="M215" s="918">
        <f t="shared" si="73"/>
        <v>0</v>
      </c>
      <c r="N215" s="918">
        <f t="shared" si="74"/>
        <v>4.7759999999999998</v>
      </c>
      <c r="O215" s="918">
        <f t="shared" si="75"/>
        <v>0</v>
      </c>
      <c r="P215" s="918">
        <f t="shared" si="69"/>
        <v>0</v>
      </c>
      <c r="Q215" s="918">
        <f t="shared" si="77"/>
        <v>0</v>
      </c>
    </row>
    <row r="216" spans="1:17">
      <c r="A216" s="941" t="s">
        <v>1863</v>
      </c>
      <c r="B216" s="942" t="s">
        <v>1986</v>
      </c>
      <c r="C216" s="943" t="s">
        <v>33</v>
      </c>
      <c r="D216" s="942">
        <v>3.98</v>
      </c>
      <c r="E216" s="942">
        <v>1.2</v>
      </c>
      <c r="F216" s="942">
        <f t="shared" si="70"/>
        <v>4.7759999999999998</v>
      </c>
      <c r="G216" s="944">
        <v>0</v>
      </c>
      <c r="H216" s="942">
        <f t="shared" si="71"/>
        <v>4.7759999999999998</v>
      </c>
      <c r="I216" s="942">
        <v>1</v>
      </c>
      <c r="J216" s="945">
        <f t="shared" si="72"/>
        <v>4.7759999999999998</v>
      </c>
      <c r="L216" s="918">
        <f t="shared" si="76"/>
        <v>0</v>
      </c>
      <c r="M216" s="918">
        <f t="shared" si="73"/>
        <v>0</v>
      </c>
      <c r="N216" s="918">
        <f t="shared" si="74"/>
        <v>4.7759999999999998</v>
      </c>
      <c r="O216" s="918">
        <f t="shared" si="75"/>
        <v>0</v>
      </c>
      <c r="P216" s="918">
        <f t="shared" si="69"/>
        <v>0</v>
      </c>
      <c r="Q216" s="918">
        <f t="shared" si="77"/>
        <v>0</v>
      </c>
    </row>
    <row r="217" spans="1:17">
      <c r="A217" s="941" t="s">
        <v>1864</v>
      </c>
      <c r="B217" s="942" t="s">
        <v>1987</v>
      </c>
      <c r="C217" s="943" t="s">
        <v>367</v>
      </c>
      <c r="D217" s="942">
        <v>8.8699999999999992</v>
      </c>
      <c r="E217" s="942">
        <v>1.8</v>
      </c>
      <c r="F217" s="942">
        <f t="shared" si="70"/>
        <v>15.965999999999999</v>
      </c>
      <c r="G217" s="944">
        <v>0</v>
      </c>
      <c r="H217" s="942">
        <f t="shared" si="71"/>
        <v>15.965999999999999</v>
      </c>
      <c r="I217" s="942">
        <v>1</v>
      </c>
      <c r="J217" s="945">
        <f t="shared" si="72"/>
        <v>15.965999999999999</v>
      </c>
      <c r="L217" s="918">
        <f t="shared" si="76"/>
        <v>0</v>
      </c>
      <c r="M217" s="918">
        <f t="shared" si="73"/>
        <v>15.965999999999999</v>
      </c>
      <c r="N217" s="918">
        <f t="shared" si="74"/>
        <v>0</v>
      </c>
      <c r="O217" s="918">
        <f t="shared" si="75"/>
        <v>0</v>
      </c>
      <c r="P217" s="918">
        <f t="shared" si="69"/>
        <v>0</v>
      </c>
      <c r="Q217" s="918">
        <f t="shared" si="77"/>
        <v>0</v>
      </c>
    </row>
    <row r="218" spans="1:17">
      <c r="A218" s="941" t="s">
        <v>1866</v>
      </c>
      <c r="B218" s="942" t="s">
        <v>1987</v>
      </c>
      <c r="C218" s="943" t="s">
        <v>367</v>
      </c>
      <c r="D218" s="942">
        <v>10.87</v>
      </c>
      <c r="E218" s="942">
        <v>1.8</v>
      </c>
      <c r="F218" s="942">
        <f t="shared" si="70"/>
        <v>19.565999999999999</v>
      </c>
      <c r="G218" s="944">
        <v>0</v>
      </c>
      <c r="H218" s="942">
        <f t="shared" si="71"/>
        <v>19.565999999999999</v>
      </c>
      <c r="I218" s="942">
        <v>1</v>
      </c>
      <c r="J218" s="945">
        <f t="shared" si="72"/>
        <v>19.565999999999999</v>
      </c>
      <c r="L218" s="918">
        <f t="shared" si="76"/>
        <v>0</v>
      </c>
      <c r="M218" s="918">
        <f t="shared" si="73"/>
        <v>19.565999999999999</v>
      </c>
      <c r="N218" s="918">
        <f t="shared" si="74"/>
        <v>0</v>
      </c>
      <c r="O218" s="918">
        <f t="shared" si="75"/>
        <v>0</v>
      </c>
      <c r="P218" s="918">
        <f t="shared" si="69"/>
        <v>0</v>
      </c>
      <c r="Q218" s="918">
        <f t="shared" si="77"/>
        <v>0</v>
      </c>
    </row>
    <row r="219" spans="1:17">
      <c r="A219" s="941" t="s">
        <v>1868</v>
      </c>
      <c r="B219" s="942" t="s">
        <v>1988</v>
      </c>
      <c r="C219" s="943" t="s">
        <v>363</v>
      </c>
      <c r="D219" s="942">
        <v>1.52</v>
      </c>
      <c r="E219" s="942">
        <v>2.8</v>
      </c>
      <c r="F219" s="942">
        <f t="shared" si="70"/>
        <v>4.2559999999999993</v>
      </c>
      <c r="G219" s="944">
        <v>0</v>
      </c>
      <c r="H219" s="942">
        <f t="shared" si="71"/>
        <v>4.2559999999999993</v>
      </c>
      <c r="I219" s="942">
        <v>1</v>
      </c>
      <c r="J219" s="945">
        <f t="shared" si="72"/>
        <v>4.2559999999999993</v>
      </c>
      <c r="L219" s="918">
        <f t="shared" si="76"/>
        <v>4.2559999999999993</v>
      </c>
      <c r="M219" s="918">
        <f t="shared" si="73"/>
        <v>0</v>
      </c>
      <c r="N219" s="918">
        <f t="shared" si="74"/>
        <v>0</v>
      </c>
      <c r="O219" s="918">
        <f t="shared" si="75"/>
        <v>0</v>
      </c>
      <c r="P219" s="918">
        <f t="shared" si="69"/>
        <v>0</v>
      </c>
      <c r="Q219" s="918">
        <f t="shared" si="77"/>
        <v>0</v>
      </c>
    </row>
    <row r="220" spans="1:17">
      <c r="A220" s="941" t="s">
        <v>1872</v>
      </c>
      <c r="B220" s="942" t="s">
        <v>1989</v>
      </c>
      <c r="C220" s="943" t="s">
        <v>33</v>
      </c>
      <c r="D220" s="942">
        <v>2.2000000000000002</v>
      </c>
      <c r="E220" s="942">
        <v>1.2</v>
      </c>
      <c r="F220" s="942">
        <f t="shared" si="70"/>
        <v>2.64</v>
      </c>
      <c r="G220" s="944">
        <v>0</v>
      </c>
      <c r="H220" s="942">
        <f t="shared" si="71"/>
        <v>2.64</v>
      </c>
      <c r="I220" s="942">
        <v>2</v>
      </c>
      <c r="J220" s="945">
        <f t="shared" si="72"/>
        <v>5.28</v>
      </c>
      <c r="L220" s="918">
        <f t="shared" si="76"/>
        <v>0</v>
      </c>
      <c r="M220" s="918">
        <f t="shared" si="73"/>
        <v>0</v>
      </c>
      <c r="N220" s="918">
        <f t="shared" si="74"/>
        <v>5.28</v>
      </c>
      <c r="O220" s="918">
        <f t="shared" si="75"/>
        <v>0</v>
      </c>
      <c r="P220" s="918">
        <f t="shared" si="69"/>
        <v>0</v>
      </c>
      <c r="Q220" s="918">
        <f t="shared" si="77"/>
        <v>0</v>
      </c>
    </row>
    <row r="221" spans="1:17">
      <c r="A221" s="941" t="s">
        <v>1876</v>
      </c>
      <c r="B221" s="942" t="s">
        <v>1990</v>
      </c>
      <c r="C221" s="943" t="s">
        <v>33</v>
      </c>
      <c r="D221" s="942">
        <v>0.6</v>
      </c>
      <c r="E221" s="942">
        <v>1.8</v>
      </c>
      <c r="F221" s="942">
        <f t="shared" si="70"/>
        <v>1.08</v>
      </c>
      <c r="G221" s="944">
        <v>0</v>
      </c>
      <c r="H221" s="942">
        <f t="shared" si="71"/>
        <v>1.08</v>
      </c>
      <c r="I221" s="942">
        <v>4</v>
      </c>
      <c r="J221" s="945">
        <f t="shared" si="72"/>
        <v>4.32</v>
      </c>
      <c r="L221" s="918">
        <f t="shared" si="76"/>
        <v>0</v>
      </c>
      <c r="M221" s="918">
        <f t="shared" si="73"/>
        <v>0</v>
      </c>
      <c r="N221" s="918">
        <f t="shared" si="74"/>
        <v>4.32</v>
      </c>
      <c r="O221" s="918">
        <f t="shared" si="75"/>
        <v>0</v>
      </c>
      <c r="P221" s="918">
        <f t="shared" si="69"/>
        <v>0</v>
      </c>
      <c r="Q221" s="918">
        <f t="shared" si="77"/>
        <v>0</v>
      </c>
    </row>
    <row r="222" spans="1:17">
      <c r="A222" s="941"/>
      <c r="B222" s="942" t="s">
        <v>1991</v>
      </c>
      <c r="C222" s="943" t="s">
        <v>33</v>
      </c>
      <c r="D222" s="942">
        <v>8.44</v>
      </c>
      <c r="E222" s="942">
        <v>0.5</v>
      </c>
      <c r="F222" s="942">
        <f t="shared" si="70"/>
        <v>4.22</v>
      </c>
      <c r="G222" s="944">
        <v>0</v>
      </c>
      <c r="H222" s="942">
        <f t="shared" si="71"/>
        <v>4.22</v>
      </c>
      <c r="I222" s="942">
        <v>2</v>
      </c>
      <c r="J222" s="945">
        <f t="shared" si="72"/>
        <v>8.44</v>
      </c>
      <c r="L222" s="918">
        <f t="shared" si="76"/>
        <v>0</v>
      </c>
      <c r="M222" s="918">
        <f t="shared" si="73"/>
        <v>0</v>
      </c>
      <c r="N222" s="918">
        <f t="shared" si="74"/>
        <v>8.44</v>
      </c>
      <c r="O222" s="918">
        <f t="shared" si="75"/>
        <v>0</v>
      </c>
      <c r="P222" s="918">
        <f t="shared" si="69"/>
        <v>0</v>
      </c>
      <c r="Q222" s="918">
        <f t="shared" si="77"/>
        <v>0</v>
      </c>
    </row>
    <row r="223" spans="1:17">
      <c r="A223" s="941"/>
      <c r="B223" s="942" t="s">
        <v>1992</v>
      </c>
      <c r="C223" s="943" t="s">
        <v>33</v>
      </c>
      <c r="D223" s="942">
        <v>9.59</v>
      </c>
      <c r="E223" s="942">
        <v>0.35</v>
      </c>
      <c r="F223" s="942">
        <f t="shared" si="70"/>
        <v>3.3564999999999996</v>
      </c>
      <c r="G223" s="944">
        <v>0</v>
      </c>
      <c r="H223" s="942">
        <f t="shared" si="71"/>
        <v>3.3564999999999996</v>
      </c>
      <c r="I223" s="942">
        <v>2</v>
      </c>
      <c r="J223" s="945">
        <f t="shared" si="72"/>
        <v>6.7129999999999992</v>
      </c>
      <c r="L223" s="918">
        <f t="shared" si="76"/>
        <v>0</v>
      </c>
      <c r="M223" s="918">
        <f t="shared" si="73"/>
        <v>0</v>
      </c>
      <c r="N223" s="918">
        <f t="shared" si="74"/>
        <v>6.7129999999999992</v>
      </c>
      <c r="O223" s="918">
        <f t="shared" si="75"/>
        <v>0</v>
      </c>
      <c r="P223" s="918">
        <f t="shared" si="69"/>
        <v>0</v>
      </c>
      <c r="Q223" s="918">
        <f t="shared" si="77"/>
        <v>0</v>
      </c>
    </row>
    <row r="224" spans="1:17">
      <c r="A224" s="941" t="s">
        <v>1878</v>
      </c>
      <c r="B224" s="942" t="s">
        <v>1993</v>
      </c>
      <c r="C224" s="943" t="s">
        <v>367</v>
      </c>
      <c r="D224" s="942">
        <v>5.4</v>
      </c>
      <c r="E224" s="942">
        <f>2.65-(0.45-0.12)</f>
        <v>2.3199999999999998</v>
      </c>
      <c r="F224" s="942">
        <f t="shared" si="70"/>
        <v>12.528</v>
      </c>
      <c r="G224" s="944">
        <v>0</v>
      </c>
      <c r="H224" s="942">
        <f t="shared" si="71"/>
        <v>12.528</v>
      </c>
      <c r="I224" s="942">
        <v>1</v>
      </c>
      <c r="J224" s="945">
        <f t="shared" si="72"/>
        <v>12.528</v>
      </c>
      <c r="L224" s="918">
        <f t="shared" si="76"/>
        <v>0</v>
      </c>
      <c r="M224" s="918">
        <f t="shared" si="73"/>
        <v>12.528</v>
      </c>
      <c r="N224" s="918">
        <f t="shared" si="74"/>
        <v>0</v>
      </c>
      <c r="O224" s="918">
        <f t="shared" si="75"/>
        <v>0</v>
      </c>
      <c r="P224" s="918">
        <f t="shared" si="69"/>
        <v>0</v>
      </c>
      <c r="Q224" s="918">
        <f t="shared" si="77"/>
        <v>0</v>
      </c>
    </row>
    <row r="225" spans="1:17">
      <c r="A225" s="941" t="s">
        <v>1880</v>
      </c>
      <c r="B225" s="942" t="s">
        <v>1994</v>
      </c>
      <c r="C225" s="943" t="s">
        <v>367</v>
      </c>
      <c r="D225" s="942">
        <v>3.11</v>
      </c>
      <c r="E225" s="942">
        <f>2.65-(0.45-0.12)</f>
        <v>2.3199999999999998</v>
      </c>
      <c r="F225" s="942">
        <f t="shared" si="70"/>
        <v>7.2151999999999994</v>
      </c>
      <c r="G225" s="944">
        <v>0</v>
      </c>
      <c r="H225" s="942">
        <f t="shared" si="71"/>
        <v>7.2151999999999994</v>
      </c>
      <c r="I225" s="942">
        <v>1</v>
      </c>
      <c r="J225" s="945">
        <f t="shared" si="72"/>
        <v>7.2151999999999994</v>
      </c>
      <c r="L225" s="918">
        <f t="shared" si="76"/>
        <v>0</v>
      </c>
      <c r="M225" s="918">
        <f t="shared" si="73"/>
        <v>7.2151999999999994</v>
      </c>
      <c r="N225" s="918">
        <f t="shared" si="74"/>
        <v>0</v>
      </c>
      <c r="O225" s="918">
        <f t="shared" si="75"/>
        <v>0</v>
      </c>
      <c r="P225" s="918">
        <f t="shared" si="69"/>
        <v>0</v>
      </c>
      <c r="Q225" s="918">
        <f t="shared" si="77"/>
        <v>0</v>
      </c>
    </row>
    <row r="226" spans="1:17">
      <c r="A226" s="941" t="s">
        <v>1888</v>
      </c>
      <c r="B226" s="942" t="s">
        <v>1995</v>
      </c>
      <c r="C226" s="943" t="s">
        <v>363</v>
      </c>
      <c r="D226" s="942">
        <v>0.83</v>
      </c>
      <c r="E226" s="942">
        <v>2.8</v>
      </c>
      <c r="F226" s="942">
        <v>4.5599999999999996</v>
      </c>
      <c r="G226" s="944">
        <v>0</v>
      </c>
      <c r="H226" s="942">
        <f t="shared" si="71"/>
        <v>4.5599999999999996</v>
      </c>
      <c r="I226" s="942">
        <v>2</v>
      </c>
      <c r="J226" s="945">
        <f t="shared" si="72"/>
        <v>9.1199999999999992</v>
      </c>
      <c r="L226" s="918">
        <f t="shared" si="76"/>
        <v>9.1199999999999992</v>
      </c>
      <c r="M226" s="918">
        <f t="shared" si="73"/>
        <v>0</v>
      </c>
      <c r="N226" s="918">
        <f t="shared" si="74"/>
        <v>0</v>
      </c>
      <c r="O226" s="918">
        <f t="shared" si="75"/>
        <v>0</v>
      </c>
      <c r="P226" s="918">
        <f t="shared" si="69"/>
        <v>0</v>
      </c>
      <c r="Q226" s="918">
        <f t="shared" si="77"/>
        <v>0</v>
      </c>
    </row>
    <row r="227" spans="1:17">
      <c r="A227" s="941" t="s">
        <v>1889</v>
      </c>
      <c r="B227" s="942" t="s">
        <v>1882</v>
      </c>
      <c r="C227" s="943" t="s">
        <v>367</v>
      </c>
      <c r="D227" s="942">
        <v>1.8</v>
      </c>
      <c r="E227" s="942">
        <f>2.65-(0.4-0.12)</f>
        <v>2.37</v>
      </c>
      <c r="F227" s="942">
        <f t="shared" si="70"/>
        <v>4.266</v>
      </c>
      <c r="G227" s="944">
        <v>0</v>
      </c>
      <c r="H227" s="942">
        <f t="shared" si="71"/>
        <v>4.266</v>
      </c>
      <c r="I227" s="942">
        <v>1</v>
      </c>
      <c r="J227" s="945">
        <f t="shared" si="72"/>
        <v>4.266</v>
      </c>
      <c r="L227" s="918">
        <f t="shared" si="76"/>
        <v>0</v>
      </c>
      <c r="M227" s="918">
        <f t="shared" si="73"/>
        <v>4.266</v>
      </c>
      <c r="N227" s="918">
        <f t="shared" si="74"/>
        <v>0</v>
      </c>
      <c r="O227" s="918">
        <f t="shared" si="75"/>
        <v>0</v>
      </c>
      <c r="P227" s="918">
        <f t="shared" si="69"/>
        <v>0</v>
      </c>
      <c r="Q227" s="918">
        <f t="shared" si="77"/>
        <v>0</v>
      </c>
    </row>
    <row r="228" spans="1:17">
      <c r="A228" s="941"/>
      <c r="B228" s="942" t="s">
        <v>1996</v>
      </c>
      <c r="C228" s="943" t="s">
        <v>363</v>
      </c>
      <c r="D228" s="942">
        <v>0.65</v>
      </c>
      <c r="E228" s="942">
        <v>1.8</v>
      </c>
      <c r="F228" s="942">
        <f t="shared" si="70"/>
        <v>1.1700000000000002</v>
      </c>
      <c r="G228" s="944">
        <v>0</v>
      </c>
      <c r="H228" s="942">
        <f t="shared" si="71"/>
        <v>1.1700000000000002</v>
      </c>
      <c r="I228" s="942">
        <v>4</v>
      </c>
      <c r="J228" s="945">
        <f t="shared" si="72"/>
        <v>4.6800000000000006</v>
      </c>
      <c r="L228" s="918">
        <f t="shared" si="76"/>
        <v>4.6800000000000006</v>
      </c>
      <c r="M228" s="918">
        <f t="shared" si="73"/>
        <v>0</v>
      </c>
      <c r="N228" s="918">
        <f t="shared" si="74"/>
        <v>0</v>
      </c>
      <c r="O228" s="918">
        <f t="shared" si="75"/>
        <v>0</v>
      </c>
      <c r="P228" s="918">
        <f t="shared" si="69"/>
        <v>0</v>
      </c>
      <c r="Q228" s="918">
        <f t="shared" si="77"/>
        <v>0</v>
      </c>
    </row>
    <row r="229" spans="1:17">
      <c r="A229" s="946"/>
      <c r="B229" s="947" t="s">
        <v>1997</v>
      </c>
      <c r="C229" s="948" t="s">
        <v>363</v>
      </c>
      <c r="D229" s="947">
        <v>1.3</v>
      </c>
      <c r="E229" s="947">
        <v>5.58</v>
      </c>
      <c r="F229" s="947">
        <f t="shared" si="70"/>
        <v>7.2540000000000004</v>
      </c>
      <c r="G229" s="949">
        <v>0</v>
      </c>
      <c r="H229" s="947">
        <f t="shared" si="71"/>
        <v>7.2540000000000004</v>
      </c>
      <c r="I229" s="947">
        <v>1</v>
      </c>
      <c r="J229" s="950">
        <f t="shared" si="72"/>
        <v>7.2540000000000004</v>
      </c>
      <c r="L229" s="918">
        <f t="shared" si="76"/>
        <v>7.2540000000000004</v>
      </c>
      <c r="M229" s="918">
        <f t="shared" si="73"/>
        <v>0</v>
      </c>
      <c r="N229" s="918">
        <f t="shared" si="74"/>
        <v>0</v>
      </c>
      <c r="O229" s="918">
        <f t="shared" si="75"/>
        <v>0</v>
      </c>
      <c r="P229" s="918">
        <f t="shared" si="69"/>
        <v>0</v>
      </c>
      <c r="Q229" s="918">
        <f t="shared" si="77"/>
        <v>0</v>
      </c>
    </row>
    <row r="230" spans="1:17">
      <c r="A230" s="931" t="s">
        <v>507</v>
      </c>
      <c r="B230" s="951"/>
      <c r="C230" s="952"/>
      <c r="D230" s="951"/>
      <c r="E230" s="951"/>
      <c r="F230" s="951"/>
      <c r="G230" s="953"/>
      <c r="H230" s="951"/>
      <c r="I230" s="951"/>
      <c r="J230" s="954"/>
    </row>
    <row r="231" spans="1:17">
      <c r="A231" s="936"/>
      <c r="B231" s="937" t="s">
        <v>1998</v>
      </c>
      <c r="C231" s="938" t="s">
        <v>33</v>
      </c>
      <c r="D231" s="937">
        <v>3.86</v>
      </c>
      <c r="E231" s="937">
        <v>2.1800000000000002</v>
      </c>
      <c r="F231" s="937">
        <f t="shared" ref="F231:F235" si="78">+D231*E231</f>
        <v>8.4147999999999996</v>
      </c>
      <c r="G231" s="939">
        <v>0</v>
      </c>
      <c r="H231" s="937">
        <f t="shared" ref="H231:H235" si="79">+F231-G231</f>
        <v>8.4147999999999996</v>
      </c>
      <c r="I231" s="937">
        <v>1</v>
      </c>
      <c r="J231" s="940">
        <f t="shared" ref="J231:J235" si="80">+H231*I231</f>
        <v>8.4147999999999996</v>
      </c>
      <c r="L231" s="918">
        <f t="shared" si="76"/>
        <v>0</v>
      </c>
      <c r="M231" s="918">
        <f t="shared" si="73"/>
        <v>0</v>
      </c>
      <c r="N231" s="918">
        <f t="shared" si="74"/>
        <v>8.4147999999999996</v>
      </c>
      <c r="O231" s="918">
        <f t="shared" si="75"/>
        <v>0</v>
      </c>
      <c r="P231" s="918">
        <f t="shared" si="69"/>
        <v>0</v>
      </c>
      <c r="Q231" s="918">
        <f t="shared" si="77"/>
        <v>0</v>
      </c>
    </row>
    <row r="232" spans="1:17">
      <c r="A232" s="941"/>
      <c r="B232" s="942" t="s">
        <v>1999</v>
      </c>
      <c r="C232" s="943" t="s">
        <v>33</v>
      </c>
      <c r="D232" s="942">
        <v>1.6</v>
      </c>
      <c r="E232" s="942">
        <v>2.1800000000000002</v>
      </c>
      <c r="F232" s="942">
        <f t="shared" si="78"/>
        <v>3.4880000000000004</v>
      </c>
      <c r="G232" s="944">
        <v>0</v>
      </c>
      <c r="H232" s="942">
        <f t="shared" si="79"/>
        <v>3.4880000000000004</v>
      </c>
      <c r="I232" s="942">
        <v>1</v>
      </c>
      <c r="J232" s="945">
        <f t="shared" si="80"/>
        <v>3.4880000000000004</v>
      </c>
      <c r="L232" s="918">
        <f t="shared" si="76"/>
        <v>0</v>
      </c>
      <c r="M232" s="918">
        <f t="shared" si="73"/>
        <v>0</v>
      </c>
      <c r="N232" s="918">
        <f t="shared" si="74"/>
        <v>3.4880000000000004</v>
      </c>
      <c r="O232" s="918">
        <f t="shared" si="75"/>
        <v>0</v>
      </c>
      <c r="P232" s="918">
        <f t="shared" si="69"/>
        <v>0</v>
      </c>
      <c r="Q232" s="918">
        <f t="shared" si="77"/>
        <v>0</v>
      </c>
    </row>
    <row r="233" spans="1:17">
      <c r="A233" s="941"/>
      <c r="B233" s="942" t="s">
        <v>2000</v>
      </c>
      <c r="C233" s="943" t="s">
        <v>33</v>
      </c>
      <c r="D233" s="942">
        <f>1.35+0.8</f>
        <v>2.1500000000000004</v>
      </c>
      <c r="E233" s="942">
        <v>2.1800000000000002</v>
      </c>
      <c r="F233" s="942">
        <f t="shared" si="78"/>
        <v>4.6870000000000012</v>
      </c>
      <c r="G233" s="944">
        <v>0</v>
      </c>
      <c r="H233" s="942">
        <f t="shared" si="79"/>
        <v>4.6870000000000012</v>
      </c>
      <c r="I233" s="942">
        <v>1</v>
      </c>
      <c r="J233" s="945">
        <f t="shared" si="80"/>
        <v>4.6870000000000012</v>
      </c>
      <c r="L233" s="918">
        <f t="shared" si="76"/>
        <v>0</v>
      </c>
      <c r="M233" s="918">
        <f t="shared" si="73"/>
        <v>0</v>
      </c>
      <c r="N233" s="918">
        <f t="shared" si="74"/>
        <v>4.6870000000000012</v>
      </c>
      <c r="O233" s="918">
        <f t="shared" si="75"/>
        <v>0</v>
      </c>
      <c r="P233" s="918">
        <f t="shared" si="69"/>
        <v>0</v>
      </c>
      <c r="Q233" s="918">
        <f t="shared" si="77"/>
        <v>0</v>
      </c>
    </row>
    <row r="234" spans="1:17">
      <c r="A234" s="941"/>
      <c r="B234" s="942" t="s">
        <v>2001</v>
      </c>
      <c r="C234" s="943" t="s">
        <v>363</v>
      </c>
      <c r="D234" s="942">
        <v>1.1499999999999999</v>
      </c>
      <c r="E234" s="942">
        <v>2.1800000000000002</v>
      </c>
      <c r="F234" s="942">
        <f t="shared" si="78"/>
        <v>2.5070000000000001</v>
      </c>
      <c r="G234" s="944">
        <v>0</v>
      </c>
      <c r="H234" s="942">
        <f t="shared" si="79"/>
        <v>2.5070000000000001</v>
      </c>
      <c r="I234" s="942">
        <v>1</v>
      </c>
      <c r="J234" s="945">
        <f t="shared" si="80"/>
        <v>2.5070000000000001</v>
      </c>
      <c r="L234" s="918">
        <f t="shared" si="76"/>
        <v>2.5070000000000001</v>
      </c>
      <c r="M234" s="918">
        <f t="shared" si="73"/>
        <v>0</v>
      </c>
      <c r="N234" s="918">
        <f t="shared" si="74"/>
        <v>0</v>
      </c>
      <c r="O234" s="918">
        <f t="shared" si="75"/>
        <v>0</v>
      </c>
      <c r="P234" s="918">
        <f t="shared" si="69"/>
        <v>0</v>
      </c>
      <c r="Q234" s="918">
        <f t="shared" si="77"/>
        <v>0</v>
      </c>
    </row>
    <row r="235" spans="1:17">
      <c r="A235" s="946"/>
      <c r="B235" s="947" t="s">
        <v>2002</v>
      </c>
      <c r="C235" s="948" t="s">
        <v>363</v>
      </c>
      <c r="D235" s="947">
        <v>1</v>
      </c>
      <c r="E235" s="947">
        <v>3.82</v>
      </c>
      <c r="F235" s="947">
        <f t="shared" si="78"/>
        <v>3.82</v>
      </c>
      <c r="G235" s="949"/>
      <c r="H235" s="947">
        <f t="shared" si="79"/>
        <v>3.82</v>
      </c>
      <c r="I235" s="947">
        <v>1</v>
      </c>
      <c r="J235" s="950">
        <f t="shared" si="80"/>
        <v>3.82</v>
      </c>
      <c r="L235" s="918">
        <f t="shared" si="76"/>
        <v>3.82</v>
      </c>
      <c r="M235" s="918">
        <f t="shared" si="73"/>
        <v>0</v>
      </c>
      <c r="N235" s="918">
        <f t="shared" si="74"/>
        <v>0</v>
      </c>
      <c r="O235" s="918">
        <f t="shared" si="75"/>
        <v>0</v>
      </c>
      <c r="P235" s="918">
        <f t="shared" si="69"/>
        <v>0</v>
      </c>
      <c r="Q235" s="918">
        <f t="shared" si="77"/>
        <v>0</v>
      </c>
    </row>
    <row r="236" spans="1:17">
      <c r="L236" s="922">
        <f>SUM(L4:L235)</f>
        <v>818.70360000000005</v>
      </c>
      <c r="M236" s="922">
        <f>SUM(M4:M235)</f>
        <v>611.71080000000006</v>
      </c>
      <c r="N236" s="922">
        <f>SUM(N4:N235)</f>
        <v>635.50699999999995</v>
      </c>
      <c r="O236" s="922">
        <f>SUM(O4:O235)</f>
        <v>23.2395</v>
      </c>
      <c r="P236" s="922">
        <f>SUM(P4:P235)</f>
        <v>194.48</v>
      </c>
      <c r="Q236" s="918">
        <f>SUM(L236:P236)</f>
        <v>2283.6409000000003</v>
      </c>
    </row>
    <row r="237" spans="1:17">
      <c r="L237" s="918">
        <f>+ROUNDUP(L236,0)</f>
        <v>819</v>
      </c>
      <c r="M237" s="918">
        <f>+ROUNDUP(M236,0)</f>
        <v>612</v>
      </c>
      <c r="N237" s="918">
        <f>+ROUNDUP(N236,0)</f>
        <v>636</v>
      </c>
      <c r="O237" s="918">
        <f>+ROUNDUP(O236,0)</f>
        <v>24</v>
      </c>
      <c r="P237" s="918">
        <f>+ROUNDUP(P236,0)</f>
        <v>195</v>
      </c>
    </row>
  </sheetData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1BCE-83AF-4334-91DA-791B7592E81B}">
  <dimension ref="B1:M46"/>
  <sheetViews>
    <sheetView topLeftCell="A7" workbookViewId="0">
      <selection activeCell="F35" sqref="F35"/>
    </sheetView>
  </sheetViews>
  <sheetFormatPr defaultColWidth="11.453125" defaultRowHeight="13"/>
  <cols>
    <col min="1" max="1" width="3.453125" style="1" customWidth="1"/>
    <col min="2" max="2" width="23" style="1" bestFit="1" customWidth="1"/>
    <col min="3" max="3" width="7.54296875" style="1" bestFit="1" customWidth="1"/>
    <col min="4" max="4" width="9" style="1" bestFit="1" customWidth="1"/>
    <col min="5" max="5" width="11" style="1" bestFit="1" customWidth="1"/>
    <col min="6" max="6" width="15.81640625" style="1" bestFit="1" customWidth="1"/>
    <col min="7" max="16384" width="11.453125" style="1"/>
  </cols>
  <sheetData>
    <row r="1" spans="2:10">
      <c r="D1" s="1483"/>
      <c r="E1" s="1483"/>
      <c r="F1" s="1483"/>
    </row>
    <row r="2" spans="2:10">
      <c r="D2" s="1483">
        <v>5</v>
      </c>
      <c r="E2" s="1483">
        <v>80</v>
      </c>
      <c r="F2" s="1483">
        <v>150</v>
      </c>
    </row>
    <row r="3" spans="2:10">
      <c r="C3" s="117" t="s">
        <v>4</v>
      </c>
      <c r="D3" s="117" t="s">
        <v>59</v>
      </c>
      <c r="E3" s="117" t="s">
        <v>2470</v>
      </c>
      <c r="F3" s="118" t="s">
        <v>2471</v>
      </c>
      <c r="H3" s="1">
        <v>2</v>
      </c>
      <c r="I3" s="1">
        <v>4</v>
      </c>
      <c r="J3" s="1">
        <v>5</v>
      </c>
    </row>
    <row r="4" spans="2:10">
      <c r="B4" s="1484" t="s">
        <v>14</v>
      </c>
      <c r="C4" s="1">
        <v>72</v>
      </c>
      <c r="D4" s="3">
        <f t="shared" ref="D4:D19" si="0">+C4*$D$2</f>
        <v>360</v>
      </c>
      <c r="E4" s="1">
        <f t="shared" ref="E4:E19" si="1">+ROUNDUP(D4/$E$2,0)</f>
        <v>5</v>
      </c>
      <c r="F4" s="1">
        <f t="shared" ref="F4:F19" si="2">+C4*$F$2</f>
        <v>10800</v>
      </c>
    </row>
    <row r="5" spans="2:10">
      <c r="B5" s="1484" t="s">
        <v>2473</v>
      </c>
      <c r="C5" s="1">
        <v>26</v>
      </c>
      <c r="D5" s="3">
        <f t="shared" si="0"/>
        <v>130</v>
      </c>
      <c r="E5" s="1">
        <f t="shared" si="1"/>
        <v>2</v>
      </c>
      <c r="F5" s="1">
        <f t="shared" si="2"/>
        <v>3900</v>
      </c>
    </row>
    <row r="6" spans="2:10">
      <c r="B6" s="1484" t="s">
        <v>2472</v>
      </c>
      <c r="C6" s="1">
        <v>54</v>
      </c>
      <c r="D6" s="3">
        <f t="shared" si="0"/>
        <v>270</v>
      </c>
      <c r="E6" s="1">
        <f t="shared" si="1"/>
        <v>4</v>
      </c>
      <c r="F6" s="1">
        <f t="shared" si="2"/>
        <v>8100</v>
      </c>
    </row>
    <row r="7" spans="2:10">
      <c r="B7" s="1484" t="s">
        <v>2474</v>
      </c>
      <c r="C7" s="1">
        <v>26</v>
      </c>
      <c r="D7" s="3">
        <f t="shared" si="0"/>
        <v>130</v>
      </c>
      <c r="E7" s="1">
        <f t="shared" si="1"/>
        <v>2</v>
      </c>
      <c r="F7" s="1">
        <f t="shared" si="2"/>
        <v>3900</v>
      </c>
    </row>
    <row r="8" spans="2:10">
      <c r="B8" s="1484" t="s">
        <v>2475</v>
      </c>
      <c r="C8" s="1">
        <v>54</v>
      </c>
      <c r="D8" s="3">
        <f t="shared" si="0"/>
        <v>270</v>
      </c>
      <c r="E8" s="1">
        <f t="shared" si="1"/>
        <v>4</v>
      </c>
      <c r="F8" s="1">
        <f t="shared" si="2"/>
        <v>8100</v>
      </c>
    </row>
    <row r="9" spans="2:10">
      <c r="B9" s="1484" t="s">
        <v>2476</v>
      </c>
      <c r="C9" s="1">
        <v>26</v>
      </c>
      <c r="D9" s="3">
        <f t="shared" si="0"/>
        <v>130</v>
      </c>
      <c r="E9" s="1">
        <f t="shared" si="1"/>
        <v>2</v>
      </c>
      <c r="F9" s="1">
        <f t="shared" si="2"/>
        <v>3900</v>
      </c>
    </row>
    <row r="10" spans="2:10">
      <c r="B10" s="1484" t="s">
        <v>2477</v>
      </c>
      <c r="C10" s="1">
        <v>54</v>
      </c>
      <c r="D10" s="3">
        <f t="shared" si="0"/>
        <v>270</v>
      </c>
      <c r="E10" s="1">
        <f t="shared" si="1"/>
        <v>4</v>
      </c>
      <c r="F10" s="1">
        <f t="shared" si="2"/>
        <v>8100</v>
      </c>
    </row>
    <row r="11" spans="2:10">
      <c r="B11" s="1484" t="s">
        <v>2478</v>
      </c>
      <c r="C11" s="1">
        <v>26</v>
      </c>
      <c r="D11" s="3">
        <f t="shared" si="0"/>
        <v>130</v>
      </c>
      <c r="E11" s="1">
        <f t="shared" si="1"/>
        <v>2</v>
      </c>
      <c r="F11" s="1">
        <f t="shared" si="2"/>
        <v>3900</v>
      </c>
    </row>
    <row r="12" spans="2:10">
      <c r="B12" s="1484" t="s">
        <v>2479</v>
      </c>
      <c r="C12" s="1">
        <v>54</v>
      </c>
      <c r="D12" s="3">
        <f t="shared" si="0"/>
        <v>270</v>
      </c>
      <c r="E12" s="1">
        <f t="shared" si="1"/>
        <v>4</v>
      </c>
      <c r="F12" s="1">
        <f t="shared" si="2"/>
        <v>8100</v>
      </c>
    </row>
    <row r="13" spans="2:10">
      <c r="B13" s="1484" t="s">
        <v>2480</v>
      </c>
      <c r="C13" s="1">
        <v>26</v>
      </c>
      <c r="D13" s="3">
        <f t="shared" si="0"/>
        <v>130</v>
      </c>
      <c r="E13" s="1">
        <f t="shared" si="1"/>
        <v>2</v>
      </c>
      <c r="F13" s="1">
        <f t="shared" si="2"/>
        <v>3900</v>
      </c>
    </row>
    <row r="14" spans="2:10">
      <c r="B14" s="1484" t="s">
        <v>2481</v>
      </c>
      <c r="C14" s="1">
        <v>54</v>
      </c>
      <c r="D14" s="3">
        <f t="shared" si="0"/>
        <v>270</v>
      </c>
      <c r="E14" s="1">
        <f t="shared" si="1"/>
        <v>4</v>
      </c>
      <c r="F14" s="1">
        <f t="shared" si="2"/>
        <v>8100</v>
      </c>
    </row>
    <row r="15" spans="2:10">
      <c r="B15" s="1484" t="s">
        <v>2482</v>
      </c>
      <c r="C15" s="1">
        <v>26</v>
      </c>
      <c r="D15" s="3">
        <f t="shared" si="0"/>
        <v>130</v>
      </c>
      <c r="E15" s="1">
        <f t="shared" si="1"/>
        <v>2</v>
      </c>
      <c r="F15" s="1">
        <f t="shared" si="2"/>
        <v>3900</v>
      </c>
    </row>
    <row r="16" spans="2:10">
      <c r="B16" s="1484" t="s">
        <v>2483</v>
      </c>
      <c r="C16" s="1">
        <v>54</v>
      </c>
      <c r="D16" s="3">
        <f t="shared" si="0"/>
        <v>270</v>
      </c>
      <c r="E16" s="1">
        <f t="shared" si="1"/>
        <v>4</v>
      </c>
      <c r="F16" s="1">
        <f t="shared" si="2"/>
        <v>8100</v>
      </c>
    </row>
    <row r="17" spans="2:10">
      <c r="B17" s="1484" t="s">
        <v>2486</v>
      </c>
      <c r="C17" s="1">
        <v>65</v>
      </c>
      <c r="D17" s="3">
        <f t="shared" si="0"/>
        <v>325</v>
      </c>
      <c r="E17" s="1">
        <f t="shared" si="1"/>
        <v>5</v>
      </c>
      <c r="F17" s="1">
        <f t="shared" si="2"/>
        <v>9750</v>
      </c>
    </row>
    <row r="18" spans="2:10">
      <c r="B18" s="1484" t="s">
        <v>2485</v>
      </c>
      <c r="C18" s="1">
        <v>26</v>
      </c>
      <c r="D18" s="3">
        <f t="shared" si="0"/>
        <v>130</v>
      </c>
      <c r="E18" s="1">
        <f t="shared" si="1"/>
        <v>2</v>
      </c>
      <c r="F18" s="1">
        <f t="shared" si="2"/>
        <v>3900</v>
      </c>
    </row>
    <row r="19" spans="2:10">
      <c r="B19" s="1484" t="s">
        <v>2484</v>
      </c>
      <c r="C19" s="1">
        <v>51</v>
      </c>
      <c r="D19" s="3">
        <f t="shared" si="0"/>
        <v>255</v>
      </c>
      <c r="E19" s="1">
        <f t="shared" si="1"/>
        <v>4</v>
      </c>
      <c r="F19" s="1">
        <f t="shared" si="2"/>
        <v>7650</v>
      </c>
    </row>
    <row r="20" spans="2:10">
      <c r="C20" s="342">
        <f>SUM(C4:C19)</f>
        <v>694</v>
      </c>
      <c r="D20" s="342">
        <f>SUM(D4:D19)</f>
        <v>3470</v>
      </c>
    </row>
    <row r="21" spans="2:10">
      <c r="B21" s="1">
        <v>1.1000000000000001</v>
      </c>
      <c r="C21" s="3">
        <f>+ROUNDUP(B21*$C$20/1,0)</f>
        <v>764</v>
      </c>
      <c r="D21" s="3">
        <f>+ROUNDUP(B21*$D$20/240,0)</f>
        <v>16</v>
      </c>
    </row>
    <row r="26" spans="2:10">
      <c r="B26" s="3" t="s">
        <v>41</v>
      </c>
      <c r="C26" s="119" t="s">
        <v>508</v>
      </c>
      <c r="D26" s="119" t="s">
        <v>43</v>
      </c>
      <c r="E26" s="119" t="s">
        <v>567</v>
      </c>
      <c r="F26" s="119" t="s">
        <v>13</v>
      </c>
    </row>
    <row r="27" spans="2:10">
      <c r="B27" s="1" t="s">
        <v>2495</v>
      </c>
      <c r="C27" s="117" t="s">
        <v>208</v>
      </c>
      <c r="D27" s="2">
        <f>+D21</f>
        <v>16</v>
      </c>
      <c r="E27" s="1">
        <v>190020.54</v>
      </c>
      <c r="F27" s="1">
        <f>+D27*E27</f>
        <v>3040328.64</v>
      </c>
    </row>
    <row r="28" spans="2:10">
      <c r="B28" s="1" t="s">
        <v>2490</v>
      </c>
      <c r="C28" s="2" t="s">
        <v>56</v>
      </c>
      <c r="D28" s="2">
        <f>+ROUNDUP(C21/(3*2),0)</f>
        <v>128</v>
      </c>
      <c r="E28" s="1">
        <f>+Cotizaciones!D57</f>
        <v>10337.35</v>
      </c>
      <c r="F28" s="1">
        <f>+D28*E28</f>
        <v>1323180.8</v>
      </c>
    </row>
    <row r="29" spans="2:10">
      <c r="B29" s="1" t="s">
        <v>2494</v>
      </c>
      <c r="C29" s="2" t="s">
        <v>208</v>
      </c>
      <c r="D29" s="2">
        <f>+ROUNDUP(C21/20,0)</f>
        <v>39</v>
      </c>
      <c r="E29" s="1">
        <v>56674.81</v>
      </c>
      <c r="F29" s="1">
        <f>+D29*E29</f>
        <v>2210317.59</v>
      </c>
    </row>
    <row r="30" spans="2:10">
      <c r="B30" s="1" t="s">
        <v>2496</v>
      </c>
      <c r="C30" s="2" t="s">
        <v>2497</v>
      </c>
      <c r="D30" s="2">
        <f>ROUNDUP(25*C21/100,0)</f>
        <v>191</v>
      </c>
      <c r="E30" s="1">
        <v>4158.84</v>
      </c>
      <c r="F30" s="1">
        <f>+D30*E30</f>
        <v>794338.44000000006</v>
      </c>
      <c r="I30" s="117" t="s">
        <v>1570</v>
      </c>
      <c r="J30" s="117" t="s">
        <v>2501</v>
      </c>
    </row>
    <row r="31" spans="2:10">
      <c r="B31" s="1" t="s">
        <v>2504</v>
      </c>
      <c r="C31" s="2" t="s">
        <v>513</v>
      </c>
      <c r="D31" s="2">
        <f>+M34</f>
        <v>23</v>
      </c>
      <c r="E31" s="1">
        <f>30000/1.21</f>
        <v>24793.388429752067</v>
      </c>
      <c r="F31" s="1">
        <f t="shared" ref="F31:F35" si="3">+D31*E31</f>
        <v>570247.9338842975</v>
      </c>
      <c r="I31" s="117">
        <v>12</v>
      </c>
      <c r="J31" s="117">
        <v>6</v>
      </c>
    </row>
    <row r="32" spans="2:10">
      <c r="B32" s="1" t="s">
        <v>2505</v>
      </c>
      <c r="C32" s="2" t="s">
        <v>56</v>
      </c>
      <c r="D32" s="2">
        <f>+D31</f>
        <v>23</v>
      </c>
      <c r="E32" s="1">
        <v>340</v>
      </c>
      <c r="F32" s="1">
        <f t="shared" si="3"/>
        <v>7820</v>
      </c>
      <c r="I32" s="117"/>
      <c r="J32" s="117"/>
    </row>
    <row r="33" spans="2:13">
      <c r="B33" s="1" t="s">
        <v>2500</v>
      </c>
      <c r="C33" s="2" t="s">
        <v>56</v>
      </c>
      <c r="D33" s="2">
        <f>+D31*3</f>
        <v>69</v>
      </c>
      <c r="E33" s="1">
        <v>850</v>
      </c>
      <c r="F33" s="1">
        <f t="shared" si="3"/>
        <v>58650</v>
      </c>
      <c r="I33" s="117">
        <v>7</v>
      </c>
      <c r="J33" s="117">
        <v>9</v>
      </c>
      <c r="K33" s="1">
        <f>+SUM(I33:J33)</f>
        <v>16</v>
      </c>
    </row>
    <row r="34" spans="2:13">
      <c r="B34" s="1" t="s">
        <v>2506</v>
      </c>
      <c r="C34" s="2" t="s">
        <v>56</v>
      </c>
      <c r="D34" s="2">
        <f>2*16</f>
        <v>32</v>
      </c>
      <c r="E34" s="1">
        <v>1943.21</v>
      </c>
      <c r="F34" s="1">
        <f t="shared" si="3"/>
        <v>62182.720000000001</v>
      </c>
      <c r="I34" s="117">
        <f>+I31*I33</f>
        <v>84</v>
      </c>
      <c r="J34" s="117">
        <f>+J31*J33</f>
        <v>54</v>
      </c>
      <c r="K34" s="3">
        <f>+SUM(I34:J34)</f>
        <v>138</v>
      </c>
      <c r="L34" s="1">
        <v>6</v>
      </c>
      <c r="M34" s="1">
        <f>+K34/L34</f>
        <v>23</v>
      </c>
    </row>
    <row r="35" spans="2:13">
      <c r="B35" s="1" t="s">
        <v>2503</v>
      </c>
      <c r="C35" s="2" t="s">
        <v>56</v>
      </c>
      <c r="D35" s="2">
        <f>+K33*6</f>
        <v>96</v>
      </c>
      <c r="E35" s="1">
        <v>430</v>
      </c>
      <c r="F35" s="1">
        <f t="shared" si="3"/>
        <v>41280</v>
      </c>
      <c r="I35" s="117"/>
      <c r="J35" s="117"/>
      <c r="K35" s="3"/>
    </row>
    <row r="36" spans="2:13">
      <c r="F36" s="3">
        <f>+SUM(F27:F35)</f>
        <v>8108346.1238842979</v>
      </c>
      <c r="I36" s="117"/>
      <c r="J36" s="117"/>
      <c r="K36" s="2" t="s">
        <v>59</v>
      </c>
      <c r="L36" s="2" t="s">
        <v>2502</v>
      </c>
      <c r="M36" s="2" t="s">
        <v>43</v>
      </c>
    </row>
    <row r="40" spans="2:13">
      <c r="B40" s="1485" t="s">
        <v>2487</v>
      </c>
      <c r="C40" s="117" t="s">
        <v>56</v>
      </c>
      <c r="D40" s="2">
        <v>2</v>
      </c>
      <c r="E40" s="1">
        <v>303140.12</v>
      </c>
      <c r="F40" s="1">
        <f t="shared" ref="F40:F45" si="4">+D40*E40</f>
        <v>606280.24</v>
      </c>
    </row>
    <row r="41" spans="2:13">
      <c r="B41" s="1485" t="s">
        <v>2488</v>
      </c>
      <c r="C41" s="117" t="s">
        <v>56</v>
      </c>
      <c r="D41" s="2">
        <v>7</v>
      </c>
      <c r="E41" s="1">
        <v>265341.78000000003</v>
      </c>
      <c r="F41" s="1">
        <f t="shared" si="4"/>
        <v>1857392.4600000002</v>
      </c>
    </row>
    <row r="42" spans="2:13">
      <c r="B42" s="1485" t="s">
        <v>2489</v>
      </c>
      <c r="C42" s="117" t="s">
        <v>56</v>
      </c>
      <c r="D42" s="2">
        <v>7</v>
      </c>
      <c r="E42" s="1486">
        <f>+E41</f>
        <v>265341.78000000003</v>
      </c>
      <c r="F42" s="1">
        <f t="shared" si="4"/>
        <v>1857392.4600000002</v>
      </c>
    </row>
    <row r="43" spans="2:13">
      <c r="B43" s="1485" t="s">
        <v>2491</v>
      </c>
      <c r="C43" s="117" t="s">
        <v>56</v>
      </c>
      <c r="D43" s="2">
        <f>+D40</f>
        <v>2</v>
      </c>
      <c r="E43" s="1">
        <v>93125.3</v>
      </c>
      <c r="F43" s="1">
        <f t="shared" si="4"/>
        <v>186250.6</v>
      </c>
    </row>
    <row r="44" spans="2:13">
      <c r="B44" s="1485" t="s">
        <v>2492</v>
      </c>
      <c r="C44" s="117" t="s">
        <v>56</v>
      </c>
      <c r="D44" s="2">
        <f>+D41</f>
        <v>7</v>
      </c>
      <c r="E44" s="1">
        <v>73408.56</v>
      </c>
      <c r="F44" s="1">
        <f t="shared" si="4"/>
        <v>513859.92</v>
      </c>
    </row>
    <row r="45" spans="2:13">
      <c r="B45" s="1485" t="s">
        <v>2493</v>
      </c>
      <c r="C45" s="117" t="s">
        <v>56</v>
      </c>
      <c r="D45" s="2">
        <f>+D42</f>
        <v>7</v>
      </c>
      <c r="E45" s="1486">
        <f>+E44</f>
        <v>73408.56</v>
      </c>
      <c r="F45" s="1">
        <f t="shared" si="4"/>
        <v>513859.92</v>
      </c>
    </row>
    <row r="46" spans="2:13">
      <c r="F46" s="3">
        <f>+SUM(F40:F45)</f>
        <v>5535035.5999999996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34C56C9DB8474EB652E9ADB5B7A784" ma:contentTypeVersion="11" ma:contentTypeDescription="Crear nuevo documento." ma:contentTypeScope="" ma:versionID="b15eebc804a8fbf045000ac25683a7b0">
  <xsd:schema xmlns:xsd="http://www.w3.org/2001/XMLSchema" xmlns:xs="http://www.w3.org/2001/XMLSchema" xmlns:p="http://schemas.microsoft.com/office/2006/metadata/properties" xmlns:ns2="ec0867ba-afc9-41d7-832d-70b193b46750" xmlns:ns3="861eec1e-dfcf-41d4-8b29-b5dd7f9f56d3" targetNamespace="http://schemas.microsoft.com/office/2006/metadata/properties" ma:root="true" ma:fieldsID="c0cb28085f369e9ff2995073d0cd571e" ns2:_="" ns3:_="">
    <xsd:import namespace="ec0867ba-afc9-41d7-832d-70b193b46750"/>
    <xsd:import namespace="861eec1e-dfcf-41d4-8b29-b5dd7f9f5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867ba-afc9-41d7-832d-70b193b46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b6bd9f4-03c0-4cd6-9b4e-028e8076b3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eec1e-dfcf-41d4-8b29-b5dd7f9f56d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e3bcdee-b468-46d9-b6dd-c6303f0feb33}" ma:internalName="TaxCatchAll" ma:showField="CatchAllData" ma:web="861eec1e-dfcf-41d4-8b29-b5dd7f9f5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0867ba-afc9-41d7-832d-70b193b46750">
      <Terms xmlns="http://schemas.microsoft.com/office/infopath/2007/PartnerControls"/>
    </lcf76f155ced4ddcb4097134ff3c332f>
    <TaxCatchAll xmlns="861eec1e-dfcf-41d4-8b29-b5dd7f9f56d3" xsi:nil="true"/>
  </documentManagement>
</p:properties>
</file>

<file path=customXml/itemProps1.xml><?xml version="1.0" encoding="utf-8"?>
<ds:datastoreItem xmlns:ds="http://schemas.openxmlformats.org/officeDocument/2006/customXml" ds:itemID="{1F463961-2AD1-4AEC-BCC2-AFDB340AFB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C47370-483F-4BBA-9067-F157B7DBE6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867ba-afc9-41d7-832d-70b193b46750"/>
    <ds:schemaRef ds:uri="861eec1e-dfcf-41d4-8b29-b5dd7f9f56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1AD27E-EB53-465C-A035-BB47F4EBE295}">
  <ds:schemaRefs>
    <ds:schemaRef ds:uri="http://schemas.microsoft.com/office/2006/metadata/properties"/>
    <ds:schemaRef ds:uri="http://schemas.microsoft.com/office/infopath/2007/PartnerControls"/>
    <ds:schemaRef ds:uri="8fe0132c-49c9-4d66-afc7-d6721307c8b6"/>
    <ds:schemaRef ds:uri="1f8b751d-c7b0-433d-82cd-5d988a2eb46b"/>
    <ds:schemaRef ds:uri="2bb8146b-4687-4c21-8073-28304239b282"/>
    <ds:schemaRef ds:uri="ab6a9574-441b-4d3f-8a90-150a156684ce"/>
    <ds:schemaRef ds:uri="ec0867ba-afc9-41d7-832d-70b193b46750"/>
    <ds:schemaRef ds:uri="861eec1e-dfcf-41d4-8b29-b5dd7f9f56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6</vt:i4>
      </vt:variant>
    </vt:vector>
  </HeadingPairs>
  <TitlesOfParts>
    <vt:vector size="26" baseType="lpstr">
      <vt:lpstr>AING SALV4140 03</vt:lpstr>
      <vt:lpstr>INFO.</vt:lpstr>
      <vt:lpstr>01</vt:lpstr>
      <vt:lpstr>Tareas</vt:lpstr>
      <vt:lpstr>GGBB</vt:lpstr>
      <vt:lpstr>Locales</vt:lpstr>
      <vt:lpstr>Computo</vt:lpstr>
      <vt:lpstr>INCEND</vt:lpstr>
      <vt:lpstr>ELECT</vt:lpstr>
      <vt:lpstr>Cotizaciones</vt:lpstr>
      <vt:lpstr>SUBCONTRATOS</vt:lpstr>
      <vt:lpstr>APU 09.24</vt:lpstr>
      <vt:lpstr>P.MO 09.24</vt:lpstr>
      <vt:lpstr>H°A° </vt:lpstr>
      <vt:lpstr>MO HA SILVA</vt:lpstr>
      <vt:lpstr>MO HA AING</vt:lpstr>
      <vt:lpstr>COVE</vt:lpstr>
      <vt:lpstr>ENCOFRADO </vt:lpstr>
      <vt:lpstr>Mampostería</vt:lpstr>
      <vt:lpstr>CALEFA</vt:lpstr>
      <vt:lpstr>'01'!Print_Area</vt:lpstr>
      <vt:lpstr>'AING SALV4140 03'!Print_Area</vt:lpstr>
      <vt:lpstr>Tareas!Print_Area</vt:lpstr>
      <vt:lpstr>'01'!Print_Titles</vt:lpstr>
      <vt:lpstr>'AING SALV4140 03'!Print_Titles</vt:lpstr>
      <vt:lpstr>Tareas!Print_Titles</vt:lpstr>
    </vt:vector>
  </TitlesOfParts>
  <Manager/>
  <Company>ALDABE-ARAGON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MARIELA2</dc:creator>
  <cp:keywords/>
  <dc:description/>
  <cp:lastModifiedBy>Pedro Pagliaricci</cp:lastModifiedBy>
  <cp:revision/>
  <dcterms:created xsi:type="dcterms:W3CDTF">2008-01-22T16:54:47Z</dcterms:created>
  <dcterms:modified xsi:type="dcterms:W3CDTF">2026-06-26T14:26:48Z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0x0101003534C56C9DB8474EB652E9ADB5B7A784</vt:lpwstr>
  </property>
  <property fmtid="{D5CDD505-2E9C-101B-9397-08002B2CF9AE}" pid="3" name="MediaServiceImageTags">
    <vt:lpwstr/>
  </property>
</Properties>
</file>