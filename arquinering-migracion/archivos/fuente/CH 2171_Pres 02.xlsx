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edro Pagliaricci\Downloads\"/>
    </mc:Choice>
  </mc:AlternateContent>
  <xr:revisionPtr revIDLastSave="0" documentId="13_ncr:1_{00EA74AC-A0CD-453E-B6F3-531EFDBA9627}" xr6:coauthVersionLast="47" xr6:coauthVersionMax="47" xr10:uidLastSave="{00000000-0000-0000-0000-000000000000}"/>
  <bookViews>
    <workbookView xWindow="-110" yWindow="-110" windowWidth="19420" windowHeight="11500" firstSheet="1" activeTab="6" xr2:uid="{D01C7E93-E4EC-4A34-AF0F-C279C83A2D3C}"/>
  </bookViews>
  <sheets>
    <sheet name="Cotizaciones" sheetId="87" r:id="rId1"/>
    <sheet name="SUBCONTRATOS" sheetId="88" r:id="rId2"/>
    <sheet name="APU 06.25" sheetId="24" r:id="rId3"/>
    <sheet name="P.MO 06.25" sheetId="32" r:id="rId4"/>
    <sheet name="INFO." sheetId="46" r:id="rId5"/>
    <sheet name="01" sheetId="26" r:id="rId6"/>
    <sheet name="Tareas" sheetId="11" r:id="rId7"/>
    <sheet name="GGBB" sheetId="33" r:id="rId8"/>
    <sheet name="Locales" sheetId="127" r:id="rId9"/>
    <sheet name="Computo" sheetId="94" r:id="rId10"/>
    <sheet name="INCEND" sheetId="102" r:id="rId11"/>
    <sheet name="GAS" sheetId="115" r:id="rId12"/>
    <sheet name="CALEFA" sheetId="116" r:id="rId13"/>
    <sheet name="CLOACAL" sheetId="119" r:id="rId14"/>
    <sheet name="PLU" sheetId="120" r:id="rId15"/>
    <sheet name="AA.CC" sheetId="118" r:id="rId16"/>
    <sheet name="AF Y AC" sheetId="117" r:id="rId17"/>
    <sheet name="ELECT" sheetId="99" r:id="rId18"/>
    <sheet name="H°A° " sheetId="75" r:id="rId19"/>
    <sheet name="Exc." sheetId="126" r:id="rId20"/>
    <sheet name="MO HA AING" sheetId="89" r:id="rId21"/>
    <sheet name="ENCOFRADO " sheetId="76" r:id="rId22"/>
    <sheet name="MAMP." sheetId="128" r:id="rId23"/>
    <sheet name="Rev." sheetId="125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\0" localSheetId="15">#REF!</definedName>
    <definedName name="\0" localSheetId="13">#REF!</definedName>
    <definedName name="\0" localSheetId="8">#REF!</definedName>
    <definedName name="\0" localSheetId="14">#REF!</definedName>
    <definedName name="\0">#REF!</definedName>
    <definedName name="\c" localSheetId="8">#REF!</definedName>
    <definedName name="\c">#REF!</definedName>
    <definedName name="\E" localSheetId="8">#REF!</definedName>
    <definedName name="\E">#REF!</definedName>
    <definedName name="\i">#REF!</definedName>
    <definedName name="\j">#REF!</definedName>
    <definedName name="\m">#REF!</definedName>
    <definedName name="\P" localSheetId="5">#REF!</definedName>
    <definedName name="\P" localSheetId="6">#REF!</definedName>
    <definedName name="\P">#REF!</definedName>
    <definedName name="\r">#N/A</definedName>
    <definedName name="\x">#REF!</definedName>
    <definedName name="\z">#REF!</definedName>
    <definedName name="__________ben1" localSheetId="5">#REF!</definedName>
    <definedName name="__________ben1" localSheetId="8">#REF!</definedName>
    <definedName name="__________ben1" localSheetId="6">#REF!</definedName>
    <definedName name="__________ben1">#REF!</definedName>
    <definedName name="__________ben10" localSheetId="5">#REF!</definedName>
    <definedName name="__________ben10" localSheetId="6">#REF!</definedName>
    <definedName name="__________ben10">#REF!</definedName>
    <definedName name="__________ben15" localSheetId="5">#REF!</definedName>
    <definedName name="__________ben15" localSheetId="6">#REF!</definedName>
    <definedName name="__________ben15">#REF!</definedName>
    <definedName name="__________BEN2" localSheetId="15">#REF!</definedName>
    <definedName name="__________BEN2" localSheetId="13">#REF!</definedName>
    <definedName name="__________BEN2" localSheetId="19">[1]Beneficios!$C$3</definedName>
    <definedName name="__________BEN2" localSheetId="8">#REF!</definedName>
    <definedName name="__________BEN2" localSheetId="22">[1]Beneficios!$C$3</definedName>
    <definedName name="__________BEN2" localSheetId="20">#REF!</definedName>
    <definedName name="__________BEN2" localSheetId="14">#REF!</definedName>
    <definedName name="__________BEN2" localSheetId="23">[1]Beneficios!$C$3</definedName>
    <definedName name="__________BEN2">#REF!</definedName>
    <definedName name="__________ben20" localSheetId="5">#REF!</definedName>
    <definedName name="__________ben20" localSheetId="6">#REF!</definedName>
    <definedName name="__________ben20">#REF!</definedName>
    <definedName name="__________ben25" localSheetId="5">#REF!</definedName>
    <definedName name="__________ben25" localSheetId="6">#REF!</definedName>
    <definedName name="__________ben25">#REF!</definedName>
    <definedName name="__________BEN3" localSheetId="5">#REF!</definedName>
    <definedName name="__________BEN3" localSheetId="6">#REF!</definedName>
    <definedName name="__________BEN3">#REF!</definedName>
    <definedName name="__________BEN4" localSheetId="5">#REF!</definedName>
    <definedName name="__________BEN4" localSheetId="6">#REF!</definedName>
    <definedName name="__________BEN4">#REF!</definedName>
    <definedName name="__________ben5" localSheetId="5">#REF!</definedName>
    <definedName name="__________ben5" localSheetId="6">#REF!</definedName>
    <definedName name="__________ben5">#REF!</definedName>
    <definedName name="_________ben1" localSheetId="5">#REF!</definedName>
    <definedName name="_________ben1" localSheetId="6">#REF!</definedName>
    <definedName name="_________ben1">#REF!</definedName>
    <definedName name="_________ben10" localSheetId="5">#REF!</definedName>
    <definedName name="_________ben10" localSheetId="6">#REF!</definedName>
    <definedName name="_________ben10">#REF!</definedName>
    <definedName name="_________ben15" localSheetId="5">#REF!</definedName>
    <definedName name="_________ben15" localSheetId="6">#REF!</definedName>
    <definedName name="_________ben15">#REF!</definedName>
    <definedName name="_________BEN2" localSheetId="15">#REF!</definedName>
    <definedName name="_________BEN2" localSheetId="13">#REF!</definedName>
    <definedName name="_________BEN2" localSheetId="19">[1]Beneficios!$C$3</definedName>
    <definedName name="_________BEN2" localSheetId="8">#REF!</definedName>
    <definedName name="_________BEN2" localSheetId="22">[1]Beneficios!$C$3</definedName>
    <definedName name="_________BEN2" localSheetId="20">#REF!</definedName>
    <definedName name="_________BEN2" localSheetId="14">#REF!</definedName>
    <definedName name="_________BEN2" localSheetId="23">[1]Beneficios!$C$3</definedName>
    <definedName name="_________BEN2">#REF!</definedName>
    <definedName name="_________ben20" localSheetId="5">#REF!</definedName>
    <definedName name="_________ben20" localSheetId="6">#REF!</definedName>
    <definedName name="_________ben20">#REF!</definedName>
    <definedName name="_________ben25" localSheetId="5">#REF!</definedName>
    <definedName name="_________ben25" localSheetId="6">#REF!</definedName>
    <definedName name="_________ben25">#REF!</definedName>
    <definedName name="_________BEN3" localSheetId="5">#REF!</definedName>
    <definedName name="_________BEN3" localSheetId="6">#REF!</definedName>
    <definedName name="_________BEN3">#REF!</definedName>
    <definedName name="_________BEN4" localSheetId="5">#REF!</definedName>
    <definedName name="_________BEN4" localSheetId="6">#REF!</definedName>
    <definedName name="_________BEN4">#REF!</definedName>
    <definedName name="_________ben5" localSheetId="5">#REF!</definedName>
    <definedName name="_________ben5" localSheetId="6">#REF!</definedName>
    <definedName name="_________ben5">#REF!</definedName>
    <definedName name="________ben1" localSheetId="5">#REF!</definedName>
    <definedName name="________ben1" localSheetId="6">#REF!</definedName>
    <definedName name="________ben1">#REF!</definedName>
    <definedName name="________ben10" localSheetId="5">#REF!</definedName>
    <definedName name="________ben10" localSheetId="6">#REF!</definedName>
    <definedName name="________ben10">#REF!</definedName>
    <definedName name="________ben15" localSheetId="5">#REF!</definedName>
    <definedName name="________ben15" localSheetId="6">#REF!</definedName>
    <definedName name="________ben15">#REF!</definedName>
    <definedName name="________BEN2" localSheetId="15">#REF!</definedName>
    <definedName name="________BEN2" localSheetId="13">#REF!</definedName>
    <definedName name="________BEN2" localSheetId="19">[1]Beneficios!$C$3</definedName>
    <definedName name="________BEN2" localSheetId="8">#REF!</definedName>
    <definedName name="________BEN2" localSheetId="22">[1]Beneficios!$C$3</definedName>
    <definedName name="________BEN2" localSheetId="20">#REF!</definedName>
    <definedName name="________BEN2" localSheetId="14">#REF!</definedName>
    <definedName name="________BEN2" localSheetId="23">[1]Beneficios!$C$3</definedName>
    <definedName name="________BEN2">#REF!</definedName>
    <definedName name="________ben20" localSheetId="5">#REF!</definedName>
    <definedName name="________ben20" localSheetId="6">#REF!</definedName>
    <definedName name="________ben20">#REF!</definedName>
    <definedName name="________ben25" localSheetId="5">#REF!</definedName>
    <definedName name="________ben25" localSheetId="6">#REF!</definedName>
    <definedName name="________ben25">#REF!</definedName>
    <definedName name="________BEN3" localSheetId="5">#REF!</definedName>
    <definedName name="________BEN3" localSheetId="6">#REF!</definedName>
    <definedName name="________BEN3">#REF!</definedName>
    <definedName name="________BEN4" localSheetId="5">#REF!</definedName>
    <definedName name="________BEN4" localSheetId="6">#REF!</definedName>
    <definedName name="________BEN4">#REF!</definedName>
    <definedName name="________ben5" localSheetId="5">#REF!</definedName>
    <definedName name="________ben5" localSheetId="6">#REF!</definedName>
    <definedName name="________ben5">#REF!</definedName>
    <definedName name="________tu3" localSheetId="5">#REF!</definedName>
    <definedName name="________tu3" localSheetId="6">#REF!</definedName>
    <definedName name="________tu3">#REF!</definedName>
    <definedName name="_______ben1" localSheetId="5">#REF!</definedName>
    <definedName name="_______ben1" localSheetId="6">#REF!</definedName>
    <definedName name="_______ben1">#REF!</definedName>
    <definedName name="_______ben10" localSheetId="5">#REF!</definedName>
    <definedName name="_______ben10" localSheetId="6">#REF!</definedName>
    <definedName name="_______ben10">#REF!</definedName>
    <definedName name="_______ben15" localSheetId="5">#REF!</definedName>
    <definedName name="_______ben15" localSheetId="6">#REF!</definedName>
    <definedName name="_______ben15">#REF!</definedName>
    <definedName name="_______BEN2" localSheetId="15">#REF!</definedName>
    <definedName name="_______BEN2" localSheetId="13">#REF!</definedName>
    <definedName name="_______BEN2" localSheetId="19">[1]Beneficios!$C$3</definedName>
    <definedName name="_______BEN2" localSheetId="8">#REF!</definedName>
    <definedName name="_______BEN2" localSheetId="22">[1]Beneficios!$C$3</definedName>
    <definedName name="_______BEN2" localSheetId="20">#REF!</definedName>
    <definedName name="_______BEN2" localSheetId="14">#REF!</definedName>
    <definedName name="_______BEN2" localSheetId="23">[1]Beneficios!$C$3</definedName>
    <definedName name="_______BEN2">#REF!</definedName>
    <definedName name="_______ben20" localSheetId="5">#REF!</definedName>
    <definedName name="_______ben20" localSheetId="6">#REF!</definedName>
    <definedName name="_______ben20">#REF!</definedName>
    <definedName name="_______ben25" localSheetId="5">#REF!</definedName>
    <definedName name="_______ben25" localSheetId="6">#REF!</definedName>
    <definedName name="_______ben25">#REF!</definedName>
    <definedName name="_______BEN3" localSheetId="5">#REF!</definedName>
    <definedName name="_______BEN3" localSheetId="6">#REF!</definedName>
    <definedName name="_______BEN3">#REF!</definedName>
    <definedName name="_______BEN4" localSheetId="5">#REF!</definedName>
    <definedName name="_______BEN4" localSheetId="6">#REF!</definedName>
    <definedName name="_______BEN4">#REF!</definedName>
    <definedName name="_______ben5" localSheetId="5">#REF!</definedName>
    <definedName name="_______ben5" localSheetId="6">#REF!</definedName>
    <definedName name="_______ben5">#REF!</definedName>
    <definedName name="_______tu3" localSheetId="5">#REF!</definedName>
    <definedName name="_______tu3" localSheetId="6">#REF!</definedName>
    <definedName name="_______tu3">#REF!</definedName>
    <definedName name="______ben1" localSheetId="5">#REF!</definedName>
    <definedName name="______ben1" localSheetId="6">#REF!</definedName>
    <definedName name="______ben1">#REF!</definedName>
    <definedName name="______ben10" localSheetId="5">#REF!</definedName>
    <definedName name="______ben10" localSheetId="6">#REF!</definedName>
    <definedName name="______ben10">#REF!</definedName>
    <definedName name="______ben15" localSheetId="5">#REF!</definedName>
    <definedName name="______ben15" localSheetId="6">#REF!</definedName>
    <definedName name="______ben15">#REF!</definedName>
    <definedName name="______BEN2" localSheetId="15">#REF!</definedName>
    <definedName name="______BEN2" localSheetId="13">#REF!</definedName>
    <definedName name="______BEN2" localSheetId="19">[1]Beneficios!$C$3</definedName>
    <definedName name="______BEN2" localSheetId="8">#REF!</definedName>
    <definedName name="______BEN2" localSheetId="22">[1]Beneficios!$C$3</definedName>
    <definedName name="______BEN2" localSheetId="20">#REF!</definedName>
    <definedName name="______BEN2" localSheetId="14">#REF!</definedName>
    <definedName name="______BEN2" localSheetId="23">[1]Beneficios!$C$3</definedName>
    <definedName name="______BEN2">#REF!</definedName>
    <definedName name="______ben20" localSheetId="5">#REF!</definedName>
    <definedName name="______ben20" localSheetId="6">#REF!</definedName>
    <definedName name="______ben20">#REF!</definedName>
    <definedName name="______ben25" localSheetId="5">#REF!</definedName>
    <definedName name="______ben25" localSheetId="6">#REF!</definedName>
    <definedName name="______ben25">#REF!</definedName>
    <definedName name="______BEN3" localSheetId="5">#REF!</definedName>
    <definedName name="______BEN3" localSheetId="6">#REF!</definedName>
    <definedName name="______BEN3">#REF!</definedName>
    <definedName name="______BEN4" localSheetId="5">#REF!</definedName>
    <definedName name="______BEN4" localSheetId="6">#REF!</definedName>
    <definedName name="______BEN4">#REF!</definedName>
    <definedName name="______ben5" localSheetId="5">#REF!</definedName>
    <definedName name="______ben5" localSheetId="6">#REF!</definedName>
    <definedName name="______ben5">#REF!</definedName>
    <definedName name="______tu3" localSheetId="5">#REF!</definedName>
    <definedName name="______tu3" localSheetId="6">#REF!</definedName>
    <definedName name="______tu3">#REF!</definedName>
    <definedName name="_____ben1" localSheetId="5">#REF!</definedName>
    <definedName name="_____ben1" localSheetId="6">#REF!</definedName>
    <definedName name="_____ben1">#REF!</definedName>
    <definedName name="_____ben10" localSheetId="5">#REF!</definedName>
    <definedName name="_____ben10" localSheetId="6">#REF!</definedName>
    <definedName name="_____ben10">#REF!</definedName>
    <definedName name="_____ben15" localSheetId="5">#REF!</definedName>
    <definedName name="_____ben15" localSheetId="6">#REF!</definedName>
    <definedName name="_____ben15">#REF!</definedName>
    <definedName name="_____BEN2" localSheetId="15">#REF!</definedName>
    <definedName name="_____BEN2" localSheetId="13">#REF!</definedName>
    <definedName name="_____BEN2" localSheetId="19">[1]Beneficios!$C$3</definedName>
    <definedName name="_____BEN2" localSheetId="8">#REF!</definedName>
    <definedName name="_____BEN2" localSheetId="22">[1]Beneficios!$C$3</definedName>
    <definedName name="_____BEN2" localSheetId="20">#REF!</definedName>
    <definedName name="_____BEN2" localSheetId="14">#REF!</definedName>
    <definedName name="_____BEN2" localSheetId="23">[1]Beneficios!$C$3</definedName>
    <definedName name="_____BEN2">#REF!</definedName>
    <definedName name="_____ben20" localSheetId="5">#REF!</definedName>
    <definedName name="_____ben20" localSheetId="6">#REF!</definedName>
    <definedName name="_____ben20">#REF!</definedName>
    <definedName name="_____ben25" localSheetId="5">#REF!</definedName>
    <definedName name="_____ben25" localSheetId="6">#REF!</definedName>
    <definedName name="_____ben25">#REF!</definedName>
    <definedName name="_____BEN3" localSheetId="5">#REF!</definedName>
    <definedName name="_____BEN3" localSheetId="6">#REF!</definedName>
    <definedName name="_____BEN3">#REF!</definedName>
    <definedName name="_____BEN4" localSheetId="5">#REF!</definedName>
    <definedName name="_____BEN4" localSheetId="6">#REF!</definedName>
    <definedName name="_____BEN4">#REF!</definedName>
    <definedName name="_____ben5" localSheetId="5">#REF!</definedName>
    <definedName name="_____ben5" localSheetId="6">#REF!</definedName>
    <definedName name="_____ben5">#REF!</definedName>
    <definedName name="_____tu3" localSheetId="5">#REF!</definedName>
    <definedName name="_____tu3" localSheetId="6">#REF!</definedName>
    <definedName name="_____tu3">#REF!</definedName>
    <definedName name="____ben1" localSheetId="5">#REF!</definedName>
    <definedName name="____ben1" localSheetId="6">#REF!</definedName>
    <definedName name="____ben1">#REF!</definedName>
    <definedName name="____ben10" localSheetId="5">#REF!</definedName>
    <definedName name="____ben10" localSheetId="6">#REF!</definedName>
    <definedName name="____ben10">#REF!</definedName>
    <definedName name="____ben15" localSheetId="5">#REF!</definedName>
    <definedName name="____ben15" localSheetId="6">#REF!</definedName>
    <definedName name="____ben15">#REF!</definedName>
    <definedName name="____BEN2" localSheetId="15">#REF!</definedName>
    <definedName name="____BEN2" localSheetId="13">#REF!</definedName>
    <definedName name="____BEN2" localSheetId="19">[1]Beneficios!$C$3</definedName>
    <definedName name="____BEN2" localSheetId="8">#REF!</definedName>
    <definedName name="____BEN2" localSheetId="22">[1]Beneficios!$C$3</definedName>
    <definedName name="____BEN2" localSheetId="20">#REF!</definedName>
    <definedName name="____BEN2" localSheetId="14">#REF!</definedName>
    <definedName name="____BEN2" localSheetId="23">[1]Beneficios!$C$3</definedName>
    <definedName name="____BEN2">#REF!</definedName>
    <definedName name="____ben20" localSheetId="5">#REF!</definedName>
    <definedName name="____ben20" localSheetId="6">#REF!</definedName>
    <definedName name="____ben20">#REF!</definedName>
    <definedName name="____ben25" localSheetId="5">#REF!</definedName>
    <definedName name="____ben25" localSheetId="6">#REF!</definedName>
    <definedName name="____ben25">#REF!</definedName>
    <definedName name="____BEN3" localSheetId="5">#REF!</definedName>
    <definedName name="____BEN3" localSheetId="6">#REF!</definedName>
    <definedName name="____BEN3">#REF!</definedName>
    <definedName name="____BEN4" localSheetId="5">#REF!</definedName>
    <definedName name="____BEN4" localSheetId="6">#REF!</definedName>
    <definedName name="____BEN4">#REF!</definedName>
    <definedName name="____ben5" localSheetId="5">#REF!</definedName>
    <definedName name="____ben5" localSheetId="6">#REF!</definedName>
    <definedName name="____ben5">#REF!</definedName>
    <definedName name="____tu3" localSheetId="5">#REF!</definedName>
    <definedName name="____tu3" localSheetId="6">#REF!</definedName>
    <definedName name="____tu3">#REF!</definedName>
    <definedName name="___ben1" localSheetId="5">#REF!</definedName>
    <definedName name="___ben1" localSheetId="6">#REF!</definedName>
    <definedName name="___ben1">#REF!</definedName>
    <definedName name="___ben10" localSheetId="5">#REF!</definedName>
    <definedName name="___ben10" localSheetId="6">#REF!</definedName>
    <definedName name="___ben10">#REF!</definedName>
    <definedName name="___ben15" localSheetId="5">#REF!</definedName>
    <definedName name="___ben15" localSheetId="6">#REF!</definedName>
    <definedName name="___ben15">#REF!</definedName>
    <definedName name="___BEN2" localSheetId="15">#REF!</definedName>
    <definedName name="___BEN2" localSheetId="13">#REF!</definedName>
    <definedName name="___BEN2" localSheetId="19">[1]Beneficios!$C$3</definedName>
    <definedName name="___BEN2" localSheetId="8">#REF!</definedName>
    <definedName name="___BEN2" localSheetId="22">[1]Beneficios!$C$3</definedName>
    <definedName name="___BEN2" localSheetId="20">#REF!</definedName>
    <definedName name="___BEN2" localSheetId="14">#REF!</definedName>
    <definedName name="___BEN2" localSheetId="23">[1]Beneficios!$C$3</definedName>
    <definedName name="___BEN2">#REF!</definedName>
    <definedName name="___ben20" localSheetId="5">#REF!</definedName>
    <definedName name="___ben20" localSheetId="6">#REF!</definedName>
    <definedName name="___ben20">#REF!</definedName>
    <definedName name="___ben25" localSheetId="5">#REF!</definedName>
    <definedName name="___ben25" localSheetId="6">#REF!</definedName>
    <definedName name="___ben25">#REF!</definedName>
    <definedName name="___BEN3" localSheetId="5">#REF!</definedName>
    <definedName name="___BEN3" localSheetId="6">#REF!</definedName>
    <definedName name="___BEN3">#REF!</definedName>
    <definedName name="___BEN4" localSheetId="5">#REF!</definedName>
    <definedName name="___BEN4" localSheetId="6">#REF!</definedName>
    <definedName name="___BEN4">#REF!</definedName>
    <definedName name="___ben5" localSheetId="5">#REF!</definedName>
    <definedName name="___ben5" localSheetId="6">#REF!</definedName>
    <definedName name="___ben5">#REF!</definedName>
    <definedName name="___tu3" localSheetId="5">#REF!</definedName>
    <definedName name="___tu3" localSheetId="6">#REF!</definedName>
    <definedName name="___tu3">#REF!</definedName>
    <definedName name="__ben1" localSheetId="5">#REF!</definedName>
    <definedName name="__ben1" localSheetId="6">#REF!</definedName>
    <definedName name="__ben1">#REF!</definedName>
    <definedName name="__ben10" localSheetId="5">#REF!</definedName>
    <definedName name="__ben10" localSheetId="6">#REF!</definedName>
    <definedName name="__ben10">#REF!</definedName>
    <definedName name="__ben15" localSheetId="5">#REF!</definedName>
    <definedName name="__ben15" localSheetId="6">#REF!</definedName>
    <definedName name="__ben15">#REF!</definedName>
    <definedName name="__BEN2" localSheetId="15">#REF!</definedName>
    <definedName name="__BEN2" localSheetId="13">#REF!</definedName>
    <definedName name="__BEN2" localSheetId="19">[1]Beneficios!$C$3</definedName>
    <definedName name="__BEN2" localSheetId="8">#REF!</definedName>
    <definedName name="__BEN2" localSheetId="22">[1]Beneficios!$C$3</definedName>
    <definedName name="__BEN2" localSheetId="20">#REF!</definedName>
    <definedName name="__BEN2" localSheetId="14">#REF!</definedName>
    <definedName name="__BEN2" localSheetId="23">[1]Beneficios!$C$3</definedName>
    <definedName name="__BEN2">#REF!</definedName>
    <definedName name="__ben20" localSheetId="5">#REF!</definedName>
    <definedName name="__ben20" localSheetId="6">#REF!</definedName>
    <definedName name="__ben20">#REF!</definedName>
    <definedName name="__ben25" localSheetId="5">#REF!</definedName>
    <definedName name="__ben25" localSheetId="6">#REF!</definedName>
    <definedName name="__ben25">#REF!</definedName>
    <definedName name="__BEN3" localSheetId="5">#REF!</definedName>
    <definedName name="__BEN3" localSheetId="6">#REF!</definedName>
    <definedName name="__BEN3">#REF!</definedName>
    <definedName name="__BEN4" localSheetId="5">#REF!</definedName>
    <definedName name="__BEN4" localSheetId="6">#REF!</definedName>
    <definedName name="__BEN4">#REF!</definedName>
    <definedName name="__ben5" localSheetId="5">#REF!</definedName>
    <definedName name="__ben5" localSheetId="6">#REF!</definedName>
    <definedName name="__ben5">#REF!</definedName>
    <definedName name="__HJJ2">#REF!</definedName>
    <definedName name="__tu3" localSheetId="5">#REF!</definedName>
    <definedName name="__tu3" localSheetId="6">#REF!</definedName>
    <definedName name="__tu3">#REF!</definedName>
    <definedName name="_3FLE">#REF!</definedName>
    <definedName name="_6PRINT_AREA">#REF!</definedName>
    <definedName name="_ben1" localSheetId="5">#REF!</definedName>
    <definedName name="_ben1" localSheetId="6">#REF!</definedName>
    <definedName name="_ben1">#REF!</definedName>
    <definedName name="_ben10" localSheetId="5">#REF!</definedName>
    <definedName name="_ben10" localSheetId="6">#REF!</definedName>
    <definedName name="_ben10">#REF!</definedName>
    <definedName name="_ben15" localSheetId="5">#REF!</definedName>
    <definedName name="_ben15" localSheetId="6">#REF!</definedName>
    <definedName name="_ben15">#REF!</definedName>
    <definedName name="_BEN2" localSheetId="15">#REF!</definedName>
    <definedName name="_BEN2" localSheetId="13">#REF!</definedName>
    <definedName name="_BEN2" localSheetId="19">[1]Beneficios!$C$3</definedName>
    <definedName name="_BEN2" localSheetId="8">#REF!</definedName>
    <definedName name="_BEN2" localSheetId="22">[1]Beneficios!$C$3</definedName>
    <definedName name="_BEN2" localSheetId="20">#REF!</definedName>
    <definedName name="_BEN2" localSheetId="14">#REF!</definedName>
    <definedName name="_BEN2" localSheetId="23">[1]Beneficios!$C$3</definedName>
    <definedName name="_BEN2">#REF!</definedName>
    <definedName name="_ben20" localSheetId="5">#REF!</definedName>
    <definedName name="_ben20" localSheetId="6">#REF!</definedName>
    <definedName name="_ben20">#REF!</definedName>
    <definedName name="_ben21" localSheetId="5">#REF!</definedName>
    <definedName name="_ben21" localSheetId="6">#REF!</definedName>
    <definedName name="_ben21">#REF!</definedName>
    <definedName name="_ben25" localSheetId="5">#REF!</definedName>
    <definedName name="_ben25" localSheetId="6">#REF!</definedName>
    <definedName name="_ben25">#REF!</definedName>
    <definedName name="_ben29" localSheetId="5">#REF!</definedName>
    <definedName name="_ben29" localSheetId="6">#REF!</definedName>
    <definedName name="_ben29">#REF!</definedName>
    <definedName name="_BEN3" localSheetId="5">#REF!</definedName>
    <definedName name="_BEN3" localSheetId="6">#REF!</definedName>
    <definedName name="_BEN3">#REF!</definedName>
    <definedName name="_ben30" localSheetId="5">#REF!</definedName>
    <definedName name="_ben30" localSheetId="6">#REF!</definedName>
    <definedName name="_ben30">#REF!</definedName>
    <definedName name="_BEN4" localSheetId="5">#REF!</definedName>
    <definedName name="_BEN4" localSheetId="6">#REF!</definedName>
    <definedName name="_BEN4">#REF!</definedName>
    <definedName name="_ben5" localSheetId="5">#REF!</definedName>
    <definedName name="_ben5" localSheetId="6">#REF!</definedName>
    <definedName name="_ben5">#REF!</definedName>
    <definedName name="_ben52" localSheetId="5">#REF!</definedName>
    <definedName name="_ben52" localSheetId="6">#REF!</definedName>
    <definedName name="_ben52">#REF!</definedName>
    <definedName name="_d2" localSheetId="15" hidden="1">{"NORMAL",#N/A,FALSE,"02"}</definedName>
    <definedName name="_d2" localSheetId="13" hidden="1">{"NORMAL",#N/A,FALSE,"02"}</definedName>
    <definedName name="_d2" localSheetId="8" hidden="1">{"NORMAL",#N/A,FALSE,"02"}</definedName>
    <definedName name="_d2" localSheetId="14" hidden="1">{"NORMAL",#N/A,FALSE,"02"}</definedName>
    <definedName name="_d2" hidden="1">{"NORMAL",#N/A,FALSE,"02"}</definedName>
    <definedName name="_f" localSheetId="15" hidden="1">{"DECIMAL",#N/A,FALSE,"02"}</definedName>
    <definedName name="_f" localSheetId="13" hidden="1">{"DECIMAL",#N/A,FALSE,"02"}</definedName>
    <definedName name="_f" localSheetId="8" hidden="1">{"DECIMAL",#N/A,FALSE,"02"}</definedName>
    <definedName name="_f" localSheetId="14" hidden="1">{"DECIMAL",#N/A,FALSE,"02"}</definedName>
    <definedName name="_f" hidden="1">{"DECIMAL",#N/A,FALSE,"02"}</definedName>
    <definedName name="_Fill" localSheetId="5" hidden="1">#REF!</definedName>
    <definedName name="_Fill" localSheetId="7" hidden="1">#REF!</definedName>
    <definedName name="_Fill" localSheetId="8" hidden="1">#REF!</definedName>
    <definedName name="_Fill" localSheetId="3" hidden="1">#REF!</definedName>
    <definedName name="_Fill" localSheetId="6" hidden="1">#REF!</definedName>
    <definedName name="_Fill" hidden="1">#REF!</definedName>
    <definedName name="_xlnm._FilterDatabase" localSheetId="5" hidden="1">'01'!$A$8:$V$214</definedName>
    <definedName name="_xlnm._FilterDatabase" localSheetId="2" hidden="1">'APU 06.25'!$A$10:$L$89</definedName>
    <definedName name="_xlnm._FilterDatabase" localSheetId="0" hidden="1">Cotizaciones!$B$2:$F$423</definedName>
    <definedName name="_GoBack" localSheetId="5">'01'!#REF!</definedName>
    <definedName name="_GoBack" localSheetId="6">Tareas!#REF!</definedName>
    <definedName name="_HJJ2" localSheetId="15">#REF!</definedName>
    <definedName name="_HJJ2" localSheetId="13">#REF!</definedName>
    <definedName name="_HJJ2" localSheetId="8">#REF!</definedName>
    <definedName name="_HJJ2" localSheetId="14">#REF!</definedName>
    <definedName name="_HJJ2">#REF!</definedName>
    <definedName name="_Key1" localSheetId="8" hidden="1">#REF!</definedName>
    <definedName name="_Key1" hidden="1">#REF!</definedName>
    <definedName name="_KH170">#REF!</definedName>
    <definedName name="_MatMult_A" localSheetId="5" hidden="1">#REF!</definedName>
    <definedName name="_MatMult_A" localSheetId="7" hidden="1">#REF!</definedName>
    <definedName name="_MatMult_A" localSheetId="3" hidden="1">#REF!</definedName>
    <definedName name="_MatMult_A" localSheetId="6" hidden="1">#REF!</definedName>
    <definedName name="_MatMult_A" hidden="1">#REF!</definedName>
    <definedName name="_Order1">255</definedName>
    <definedName name="_Order2">255</definedName>
    <definedName name="_prc6">#REF!</definedName>
    <definedName name="_R">#REF!</definedName>
    <definedName name="_RAN1">#REF!</definedName>
    <definedName name="_RAN2">#N/A</definedName>
    <definedName name="_RAN3">#REF!</definedName>
    <definedName name="_Sort" hidden="1">#REF!</definedName>
    <definedName name="_to11">#REF!</definedName>
    <definedName name="_to12">#REF!</definedName>
    <definedName name="_to2">#REF!</definedName>
    <definedName name="_to3">#REF!</definedName>
    <definedName name="_to30">#REF!</definedName>
    <definedName name="_Toc502326724" localSheetId="5">'01'!#REF!</definedName>
    <definedName name="_Toc502326724" localSheetId="6">Tareas!#REF!</definedName>
    <definedName name="_Toc502326725" localSheetId="5">'01'!#REF!</definedName>
    <definedName name="_Toc502326725" localSheetId="6">Tareas!#REF!</definedName>
    <definedName name="_Toc502326726" localSheetId="5">'01'!#REF!</definedName>
    <definedName name="_Toc502326726" localSheetId="6">Tareas!#REF!</definedName>
    <definedName name="_tu3" localSheetId="5">#REF!</definedName>
    <definedName name="_tu3" localSheetId="20">#REF!</definedName>
    <definedName name="_tu3" localSheetId="6">#REF!</definedName>
    <definedName name="_tu3">#REF!</definedName>
    <definedName name="_VS2">#REF!</definedName>
    <definedName name="_VS3">#REF!</definedName>
    <definedName name="a">#REF!</definedName>
    <definedName name="A.1">#REF!</definedName>
    <definedName name="A.2">#REF!</definedName>
    <definedName name="A_impresión_IM" localSheetId="5">#REF!</definedName>
    <definedName name="A_impresión_IM" localSheetId="6">#REF!</definedName>
    <definedName name="A_impresión_IM">#REF!</definedName>
    <definedName name="ABA15A">#REF!</definedName>
    <definedName name="ABA15B">#REF!</definedName>
    <definedName name="ABELSON">#REF!</definedName>
    <definedName name="acdul">#REF!</definedName>
    <definedName name="Acero">#REF!</definedName>
    <definedName name="acero1200" localSheetId="15">#REF!</definedName>
    <definedName name="acero1200" localSheetId="13">#REF!</definedName>
    <definedName name="acero1200" localSheetId="19">'[2]PRECIOS ACTUALIZADOS'!$E$16</definedName>
    <definedName name="acero1200" localSheetId="8">#REF!</definedName>
    <definedName name="acero1200" localSheetId="22">'[2]PRECIOS ACTUALIZADOS'!$E$16</definedName>
    <definedName name="acero1200" localSheetId="20">#REF!</definedName>
    <definedName name="acero1200" localSheetId="14">#REF!</definedName>
    <definedName name="acero1200" localSheetId="23">'[2]PRECIOS ACTUALIZADOS'!$E$16</definedName>
    <definedName name="acero1200">#REF!</definedName>
    <definedName name="acesp">#REF!</definedName>
    <definedName name="acindec">#REF!</definedName>
    <definedName name="aCLaccesoreadec">#REF!</definedName>
    <definedName name="aCLacondct">#REF!</definedName>
    <definedName name="aCLalcantarilla">#REF!</definedName>
    <definedName name="aCLalteo">#REF!</definedName>
    <definedName name="aCLalteoreadec">#REF!</definedName>
    <definedName name="aclam">#REF!</definedName>
    <definedName name="aCLApartido">#REF!</definedName>
    <definedName name="aCLapoyos">#REF!</definedName>
    <definedName name="aCLbacheo">#REF!</definedName>
    <definedName name="aCLbacheosan">#REF!</definedName>
    <definedName name="aCLbandason">#REF!</definedName>
    <definedName name="aCLbanquina">#REF!</definedName>
    <definedName name="aCLbaranda">#REF!</definedName>
    <definedName name="aCLbase">#REF!</definedName>
    <definedName name="aCLcabezales">#REF!</definedName>
    <definedName name="aCLcalzadas">#REF!</definedName>
    <definedName name="aCLcarpeta">#REF!</definedName>
    <definedName name="aCLcarpetariego">#REF!</definedName>
    <definedName name="aCLCCura">#REF!</definedName>
    <definedName name="aCLCCurareadec">#REF!</definedName>
    <definedName name="aCLciclovía">#REF!</definedName>
    <definedName name="aCLciclovíareadec">#REF!</definedName>
    <definedName name="aCLcolumnas">#REF!</definedName>
    <definedName name="aCLcortepasto">#REF!</definedName>
    <definedName name="aCLdemolicion">#REF!</definedName>
    <definedName name="aCLdesembanque">#REF!</definedName>
    <definedName name="aCLdren">#REF!</definedName>
    <definedName name="aCLescarifbanq">#REF!</definedName>
    <definedName name="aCLescarificado">#REF!</definedName>
    <definedName name="aCLestribos">#REF!</definedName>
    <definedName name="aCLexcavacion">#REF!</definedName>
    <definedName name="aCLexcavacionreadec">#REF!</definedName>
    <definedName name="aCLgaviones">#REF!</definedName>
    <definedName name="aCLhorC">#REF!</definedName>
    <definedName name="aCLhormigon">#REF!</definedName>
    <definedName name="aCLimprimacion">#REF!</definedName>
    <definedName name="aCLimprimacionreadec">#REF!</definedName>
    <definedName name="aCLimprimrefor">#REF!</definedName>
    <definedName name="aCLinvernal">#REF!</definedName>
    <definedName name="aCLjunta">#REF!</definedName>
    <definedName name="aCLjuntadil">#REF!</definedName>
    <definedName name="aCLjuntas">#REF!</definedName>
    <definedName name="aCLlimpieza">#REF!</definedName>
    <definedName name="aCLlimpseñales">#REF!</definedName>
    <definedName name="aCLlimptransp">#REF!</definedName>
    <definedName name="aCLlosa">#REF!</definedName>
    <definedName name="aCLmicroaglom">#REF!</definedName>
    <definedName name="aCLmicroaglomreadec">#REF!</definedName>
    <definedName name="aCLmicroreadec">#REF!</definedName>
    <definedName name="aCLmontaje">#REF!</definedName>
    <definedName name="aCLpasamano">#REF!</definedName>
    <definedName name="aCLperfilado">#REF!</definedName>
    <definedName name="aCLpilotes">#REF!</definedName>
    <definedName name="aCLpintado">#REF!</definedName>
    <definedName name="aCLpretiles">#REF!</definedName>
    <definedName name="aCLpretilesreadec">#REF!</definedName>
    <definedName name="aCLprolongacion">#REF!</definedName>
    <definedName name="aCLproteccion">#REF!</definedName>
    <definedName name="aCLrelleno">#REF!</definedName>
    <definedName name="aCLrellenoreadec">#REF!</definedName>
    <definedName name="aCLrep8026">#REF!</definedName>
    <definedName name="aCLrep8026readec">#REF!</definedName>
    <definedName name="aCLrepalc">#REF!</definedName>
    <definedName name="aCLrestdrenaje">#REF!</definedName>
    <definedName name="aCLretderrumbe">#REF!</definedName>
    <definedName name="aCLretrecolbaranda">#REF!</definedName>
    <definedName name="aCLRHermoso">#REF!</definedName>
    <definedName name="aCLRHermosoreadec">#REF!</definedName>
    <definedName name="aCLriego">#REF!</definedName>
    <definedName name="aCLrotondas">#REF!</definedName>
    <definedName name="aCLsandef">#REF!</definedName>
    <definedName name="aCLsellado">#REF!</definedName>
    <definedName name="aCLsenda">#REF!</definedName>
    <definedName name="aCLsendareadec">#REF!</definedName>
    <definedName name="aCLseñalamiento">#REF!</definedName>
    <definedName name="aCLseñalextrusion">#REF!</definedName>
    <definedName name="aCLseñalizacion">#REF!</definedName>
    <definedName name="aCLseñalvertreadec">#REF!</definedName>
    <definedName name="aCLsistdren1071">#REF!</definedName>
    <definedName name="aCLsubbase">#REF!</definedName>
    <definedName name="aCLterraplen">#REF!</definedName>
    <definedName name="aCLterrapreadec">#REF!</definedName>
    <definedName name="aCLterrsincomp">#REF!</definedName>
    <definedName name="aCLtravesia">#REF!</definedName>
    <definedName name="aCLvigas">#REF!</definedName>
    <definedName name="ACUEDUCTO_A_LOS_FRENTONES_Y_H._CAMPO">#REF!</definedName>
    <definedName name="ACUEDUCTO_A_PAMPA_DEL_INDIO">#REF!</definedName>
    <definedName name="ACUEDUCTO_A_S._SYLVINA_Y_v._BERTHET">#REF!</definedName>
    <definedName name="ACUMULADA">#REF!</definedName>
    <definedName name="ACUMULADO">#REF!</definedName>
    <definedName name="Adecuación" localSheetId="15">L2C1:L372C15</definedName>
    <definedName name="Adecuación" localSheetId="16">L2C1:L372C15</definedName>
    <definedName name="Adecuación" localSheetId="12">L2C1:L372C15</definedName>
    <definedName name="Adecuación" localSheetId="13">L2C1:L372C15</definedName>
    <definedName name="Adecuación" localSheetId="11">L2C1:L372C15</definedName>
    <definedName name="Adecuación" localSheetId="8">L2C1:L372C15</definedName>
    <definedName name="Adecuación" localSheetId="14">L2C1:L372C15</definedName>
    <definedName name="Adecuación">L2C1:L372C15</definedName>
    <definedName name="ADICT" localSheetId="15">#REF!</definedName>
    <definedName name="ADICT" localSheetId="13">#REF!</definedName>
    <definedName name="ADICT" localSheetId="8">#REF!</definedName>
    <definedName name="ADICT" localSheetId="14">#REF!</definedName>
    <definedName name="ADICT">#REF!</definedName>
    <definedName name="ADICT1" localSheetId="8">#REF!</definedName>
    <definedName name="ADICT1">#REF!</definedName>
    <definedName name="aeir" localSheetId="8">#REF!</definedName>
    <definedName name="aeir">#REF!</definedName>
    <definedName name="AIML" localSheetId="15">#REF!</definedName>
    <definedName name="AIML" localSheetId="13">#REF!</definedName>
    <definedName name="AIML" localSheetId="19">[3]Constantes!#REF!</definedName>
    <definedName name="AIML" localSheetId="7">#REF!</definedName>
    <definedName name="AIML" localSheetId="8">#REF!</definedName>
    <definedName name="AIML" localSheetId="22">[3]Constantes!#REF!</definedName>
    <definedName name="AIML" localSheetId="20">#REF!</definedName>
    <definedName name="AIML" localSheetId="3">#REF!</definedName>
    <definedName name="AIML" localSheetId="14">#REF!</definedName>
    <definedName name="AIML" localSheetId="23">[3]Constantes!#REF!</definedName>
    <definedName name="AIML">#REF!</definedName>
    <definedName name="AISS" localSheetId="15">#REF!</definedName>
    <definedName name="AISS" localSheetId="13">#REF!</definedName>
    <definedName name="AISS" localSheetId="19">[3]Constantes!#REF!</definedName>
    <definedName name="AISS" localSheetId="7">#REF!</definedName>
    <definedName name="AISS" localSheetId="8">#REF!</definedName>
    <definedName name="AISS" localSheetId="22">[3]Constantes!#REF!</definedName>
    <definedName name="AISS" localSheetId="20">#REF!</definedName>
    <definedName name="AISS" localSheetId="3">#REF!</definedName>
    <definedName name="AISS" localSheetId="14">#REF!</definedName>
    <definedName name="AISS" localSheetId="23">[3]Constantes!#REF!</definedName>
    <definedName name="AISS">#REF!</definedName>
    <definedName name="ALFA" localSheetId="8">#REF!</definedName>
    <definedName name="ALFA">#REF!</definedName>
    <definedName name="alfa_s">#REF!</definedName>
    <definedName name="alfa_s_c">#REF!</definedName>
    <definedName name="ALTR" localSheetId="15">#REF!</definedName>
    <definedName name="ALTR" localSheetId="13">#REF!</definedName>
    <definedName name="ALTR" localSheetId="19">[3]Constantes!#REF!</definedName>
    <definedName name="ALTR" localSheetId="7">#REF!</definedName>
    <definedName name="ALTR" localSheetId="8">#REF!</definedName>
    <definedName name="ALTR" localSheetId="22">[3]Constantes!#REF!</definedName>
    <definedName name="ALTR" localSheetId="20">#REF!</definedName>
    <definedName name="ALTR" localSheetId="3">#REF!</definedName>
    <definedName name="ALTR" localSheetId="14">#REF!</definedName>
    <definedName name="ALTR" localSheetId="23">[3]Constantes!#REF!</definedName>
    <definedName name="ALTR">#REF!</definedName>
    <definedName name="am1cañodren" localSheetId="8">#REF!</definedName>
    <definedName name="am1cañodren">#REF!</definedName>
    <definedName name="am1cemento">#REF!</definedName>
    <definedName name="am1hierro">#REF!</definedName>
    <definedName name="aMacceso">#REF!</definedName>
    <definedName name="aMaccesoreadec">#REF!</definedName>
    <definedName name="aMacondct">#REF!</definedName>
    <definedName name="aMalcantarilla">#REF!</definedName>
    <definedName name="aMalteo">#REF!</definedName>
    <definedName name="aMalteoreadec">#REF!</definedName>
    <definedName name="aMApartido">#REF!</definedName>
    <definedName name="aMapoyos">#REF!</definedName>
    <definedName name="aMbacheo">#REF!</definedName>
    <definedName name="aMbacheosan">#REF!</definedName>
    <definedName name="aMbandason">#REF!</definedName>
    <definedName name="aMbanquina">#REF!</definedName>
    <definedName name="aMbaranda">#REF!</definedName>
    <definedName name="aMbase">#REF!</definedName>
    <definedName name="aMcabezales">#REF!</definedName>
    <definedName name="aMcalzadas">#REF!</definedName>
    <definedName name="aMcarpeta">#REF!</definedName>
    <definedName name="aMcarpetariego">#REF!</definedName>
    <definedName name="aMCCura">#REF!</definedName>
    <definedName name="aMCCurareadec">#REF!</definedName>
    <definedName name="aMciclovía">#REF!</definedName>
    <definedName name="aMciclovíareadec">#REF!</definedName>
    <definedName name="aMcolumnas">#REF!</definedName>
    <definedName name="aMcortepasto">#REF!</definedName>
    <definedName name="aMdemolicion">#REF!</definedName>
    <definedName name="aMdesembanque">#REF!</definedName>
    <definedName name="aMdren">#REF!</definedName>
    <definedName name="AMEA" localSheetId="15">#REF!</definedName>
    <definedName name="AMEA" localSheetId="13">#REF!</definedName>
    <definedName name="AMEA" localSheetId="19">[3]Constantes!#REF!</definedName>
    <definedName name="AMEA" localSheetId="7">#REF!</definedName>
    <definedName name="AMEA" localSheetId="8">#REF!</definedName>
    <definedName name="AMEA" localSheetId="22">[3]Constantes!#REF!</definedName>
    <definedName name="AMEA" localSheetId="20">#REF!</definedName>
    <definedName name="AMEA" localSheetId="3">#REF!</definedName>
    <definedName name="AMEA" localSheetId="14">#REF!</definedName>
    <definedName name="AMEA" localSheetId="23">[3]Constantes!#REF!</definedName>
    <definedName name="AMEA">#REF!</definedName>
    <definedName name="aMEacceso" localSheetId="8">#REF!</definedName>
    <definedName name="aMEacceso">#REF!</definedName>
    <definedName name="aMEaccesoreadec">#REF!</definedName>
    <definedName name="aMEacondct">#REF!</definedName>
    <definedName name="aMEalcantarilla">#REF!</definedName>
    <definedName name="aMEalteo">#REF!</definedName>
    <definedName name="aMEalteoreadec">#REF!</definedName>
    <definedName name="aMEApartido">#REF!</definedName>
    <definedName name="aMEapoyos">#REF!</definedName>
    <definedName name="aMEbacheo">#REF!</definedName>
    <definedName name="aMEbacheosan">#REF!</definedName>
    <definedName name="aMEbandason">#REF!</definedName>
    <definedName name="aMEbanquina">#REF!</definedName>
    <definedName name="aMEbaranda">#REF!</definedName>
    <definedName name="AMEC" localSheetId="15">#REF!</definedName>
    <definedName name="AMEC" localSheetId="13">#REF!</definedName>
    <definedName name="AMEC" localSheetId="19">[3]Constantes!#REF!</definedName>
    <definedName name="AMEC" localSheetId="8">#REF!</definedName>
    <definedName name="AMEC" localSheetId="22">[3]Constantes!#REF!</definedName>
    <definedName name="AMEC" localSheetId="20">#REF!</definedName>
    <definedName name="AMEC" localSheetId="14">#REF!</definedName>
    <definedName name="AMEC" localSheetId="23">[3]Constantes!#REF!</definedName>
    <definedName name="AMEC">#REF!</definedName>
    <definedName name="aMEcabezales">#REF!</definedName>
    <definedName name="aMEcalzadas">#REF!</definedName>
    <definedName name="aMEcarpeta">#REF!</definedName>
    <definedName name="aMEcarpetariego">#REF!</definedName>
    <definedName name="aMECCura">#REF!</definedName>
    <definedName name="aMECCurareadec">#REF!</definedName>
    <definedName name="aMEciclovía">#REF!</definedName>
    <definedName name="aMEciclovíareadec">#REF!</definedName>
    <definedName name="AMECL" localSheetId="15">#REF!</definedName>
    <definedName name="AMECL" localSheetId="13">#REF!</definedName>
    <definedName name="AMECL" localSheetId="19">[3]Constantes!#REF!</definedName>
    <definedName name="AMECL" localSheetId="8">#REF!</definedName>
    <definedName name="AMECL" localSheetId="22">[3]Constantes!#REF!</definedName>
    <definedName name="AMECL" localSheetId="20">#REF!</definedName>
    <definedName name="AMECL" localSheetId="14">#REF!</definedName>
    <definedName name="AMECL" localSheetId="23">[3]Constantes!#REF!</definedName>
    <definedName name="AMECL">#REF!</definedName>
    <definedName name="aMEcolumnas">#REF!</definedName>
    <definedName name="aMEcortepasto">#REF!</definedName>
    <definedName name="AMECT" localSheetId="15">#REF!</definedName>
    <definedName name="AMECT" localSheetId="13">#REF!</definedName>
    <definedName name="AMECT" localSheetId="19">[3]Constantes!#REF!</definedName>
    <definedName name="AMECT" localSheetId="8">#REF!</definedName>
    <definedName name="AMECT" localSheetId="22">[3]Constantes!#REF!</definedName>
    <definedName name="AMECT" localSheetId="20">#REF!</definedName>
    <definedName name="AMECT" localSheetId="14">#REF!</definedName>
    <definedName name="AMECT" localSheetId="23">[3]Constantes!#REF!</definedName>
    <definedName name="AMECT">#REF!</definedName>
    <definedName name="aMEdemolicion">#REF!</definedName>
    <definedName name="aMEdesembanque">#REF!</definedName>
    <definedName name="aMEdren">#REF!</definedName>
    <definedName name="AMEE" localSheetId="15">#REF!</definedName>
    <definedName name="AMEE" localSheetId="13">#REF!</definedName>
    <definedName name="AMEE" localSheetId="19">[3]Constantes!#REF!</definedName>
    <definedName name="AMEE" localSheetId="8">#REF!</definedName>
    <definedName name="AMEE" localSheetId="22">[3]Constantes!#REF!</definedName>
    <definedName name="AMEE" localSheetId="20">#REF!</definedName>
    <definedName name="AMEE" localSheetId="14">#REF!</definedName>
    <definedName name="AMEE" localSheetId="23">[3]Constantes!#REF!</definedName>
    <definedName name="AMEE">#REF!</definedName>
    <definedName name="aMEescarifbanq">#REF!</definedName>
    <definedName name="aMEescarificado">#REF!</definedName>
    <definedName name="aMEescarificadoreadec">#REF!</definedName>
    <definedName name="aMEestribos">#REF!</definedName>
    <definedName name="aMEexcavacion">#REF!</definedName>
    <definedName name="aMEexcavacionreadec">#REF!</definedName>
    <definedName name="AMEF" localSheetId="15">#REF!</definedName>
    <definedName name="AMEF" localSheetId="13">#REF!</definedName>
    <definedName name="AMEF" localSheetId="19">[3]Constantes!#REF!</definedName>
    <definedName name="AMEF" localSheetId="8">#REF!</definedName>
    <definedName name="AMEF" localSheetId="22">[3]Constantes!#REF!</definedName>
    <definedName name="AMEF" localSheetId="20">#REF!</definedName>
    <definedName name="AMEF" localSheetId="14">#REF!</definedName>
    <definedName name="AMEF" localSheetId="23">[3]Constantes!#REF!</definedName>
    <definedName name="AMEF">#REF!</definedName>
    <definedName name="AMEG" localSheetId="15">#REF!</definedName>
    <definedName name="AMEG" localSheetId="13">#REF!</definedName>
    <definedName name="AMEG" localSheetId="19">[3]Constantes!#REF!</definedName>
    <definedName name="AMEG" localSheetId="8">#REF!</definedName>
    <definedName name="AMEG" localSheetId="22">[3]Constantes!#REF!</definedName>
    <definedName name="AMEG" localSheetId="20">#REF!</definedName>
    <definedName name="AMEG" localSheetId="14">#REF!</definedName>
    <definedName name="AMEG" localSheetId="23">[3]Constantes!#REF!</definedName>
    <definedName name="AMEG">#REF!</definedName>
    <definedName name="aMEgaviones">#REF!</definedName>
    <definedName name="aMEHermosoreadec">#REF!</definedName>
    <definedName name="aMEhorC">#REF!</definedName>
    <definedName name="aMEhormigon">#REF!</definedName>
    <definedName name="aMEimprimacion">#REF!</definedName>
    <definedName name="aMEimprimacionreadec">#REF!</definedName>
    <definedName name="aMEimprimrefor">#REF!</definedName>
    <definedName name="aMEinvernal">#REF!</definedName>
    <definedName name="aMEjunta">#REF!</definedName>
    <definedName name="aMEjuntadil">#REF!</definedName>
    <definedName name="aMEjuntas">#REF!</definedName>
    <definedName name="aMElimpieza">#REF!</definedName>
    <definedName name="aMElimpseñales">#REF!</definedName>
    <definedName name="aMElimptransp">#REF!</definedName>
    <definedName name="aMElosa">#REF!</definedName>
    <definedName name="aMEmicroaglom">#REF!</definedName>
    <definedName name="aMEmicroaglomreadec">#REF!</definedName>
    <definedName name="aMEmicroreadec">#REF!</definedName>
    <definedName name="aMEmontaje">#REF!</definedName>
    <definedName name="aMEpasamano">#REF!</definedName>
    <definedName name="aMEperfilado">#REF!</definedName>
    <definedName name="aMEpilotes">#REF!</definedName>
    <definedName name="aMEpintado">#REF!</definedName>
    <definedName name="aMEpretiles">#REF!</definedName>
    <definedName name="aMEpretilesreadec">#REF!</definedName>
    <definedName name="aMEprolongacion">#REF!</definedName>
    <definedName name="aMEprolongacionreadec">#REF!</definedName>
    <definedName name="aMEproteccion">#REF!</definedName>
    <definedName name="aMErelleno">#REF!</definedName>
    <definedName name="aMErellenoreadec">#REF!</definedName>
    <definedName name="aMErep8026">#REF!</definedName>
    <definedName name="aMErep8026readec">#REF!</definedName>
    <definedName name="aMErepalc">#REF!</definedName>
    <definedName name="aMErestdrenaje">#REF!</definedName>
    <definedName name="aMErestdrenajereadec">#REF!</definedName>
    <definedName name="aMEretderrumbe">#REF!</definedName>
    <definedName name="aMEretrecolbaranda">#REF!</definedName>
    <definedName name="aMERHermoso">#REF!</definedName>
    <definedName name="aMEriego">#REF!</definedName>
    <definedName name="aMErotondas">#REF!</definedName>
    <definedName name="aMEsandef">#REF!</definedName>
    <definedName name="aMescarifbanq">#REF!</definedName>
    <definedName name="aMescarificado">#REF!</definedName>
    <definedName name="aMEsellado">#REF!</definedName>
    <definedName name="aMEsenda">#REF!</definedName>
    <definedName name="aMEsendareadec">#REF!</definedName>
    <definedName name="aMEseñalamiento">#REF!</definedName>
    <definedName name="aMEseñalamientoreadec">#REF!</definedName>
    <definedName name="aMEseñalextrusion">#REF!</definedName>
    <definedName name="aMEseñalextrusionreadec">#REF!</definedName>
    <definedName name="aMEseñalizacion">#REF!</definedName>
    <definedName name="aMEseñalizacionreadec">#REF!</definedName>
    <definedName name="aMEseñalvertreadec">#REF!</definedName>
    <definedName name="aMEsistdren1071">#REF!</definedName>
    <definedName name="aMestribos">#REF!</definedName>
    <definedName name="aMEsubbase">#REF!</definedName>
    <definedName name="aMEterraplen">#REF!</definedName>
    <definedName name="aMEterrapreadec">#REF!</definedName>
    <definedName name="aMEterrsincomp">#REF!</definedName>
    <definedName name="aMEtravesia">#REF!</definedName>
    <definedName name="aMEvigas">#REF!</definedName>
    <definedName name="aMexcavacion">#REF!</definedName>
    <definedName name="aMexcavacionreadec">#REF!</definedName>
    <definedName name="aMgaviones">#REF!</definedName>
    <definedName name="aMHermosoreadec">#REF!</definedName>
    <definedName name="aMhorC">#REF!</definedName>
    <definedName name="aMhormigon">#REF!</definedName>
    <definedName name="aMimprimacion">#REF!</definedName>
    <definedName name="aMimprimacionreadec">#REF!</definedName>
    <definedName name="aMimprimrefor">#REF!</definedName>
    <definedName name="aMinvernal">#REF!</definedName>
    <definedName name="aMjunta">#REF!</definedName>
    <definedName name="aMjuntadil">#REF!</definedName>
    <definedName name="aMjuntas">#REF!</definedName>
    <definedName name="aMlimpieza">#REF!</definedName>
    <definedName name="aMlimpseñales">#REF!</definedName>
    <definedName name="aMlimptransp">#REF!</definedName>
    <definedName name="aMlosa">#REF!</definedName>
    <definedName name="aMmatbase">#REF!</definedName>
    <definedName name="aMmicroaglem">#REF!</definedName>
    <definedName name="aMmicroaglom">#REF!</definedName>
    <definedName name="aMmicroaglomreadec">#REF!</definedName>
    <definedName name="aMmicroreadec">#REF!</definedName>
    <definedName name="aMmontaje">#REF!</definedName>
    <definedName name="aMOacceso">#REF!</definedName>
    <definedName name="aMOaccesoreadec">#REF!</definedName>
    <definedName name="aMOacondct">#REF!</definedName>
    <definedName name="aMOalcantarilla">#REF!</definedName>
    <definedName name="aMOalcantarillareadec">#REF!</definedName>
    <definedName name="aMOalteo">#REF!</definedName>
    <definedName name="aMOalteoreadec">#REF!</definedName>
    <definedName name="aMOApartido">#REF!</definedName>
    <definedName name="aMOapoyos">#REF!</definedName>
    <definedName name="aMObacheo">#REF!</definedName>
    <definedName name="aMObacheosan">#REF!</definedName>
    <definedName name="aMObandason">#REF!</definedName>
    <definedName name="aMObanquina">#REF!</definedName>
    <definedName name="aMObaranda">#REF!</definedName>
    <definedName name="aMObarandareadec">#REF!</definedName>
    <definedName name="aMObase">#REF!</definedName>
    <definedName name="aMOcabezales">#REF!</definedName>
    <definedName name="aMOcalzadahorm">#REF!</definedName>
    <definedName name="aMOcalzadas">#REF!</definedName>
    <definedName name="aMOcarpeta">#REF!</definedName>
    <definedName name="aMOcarpetariego">#REF!</definedName>
    <definedName name="aMOCCura">#REF!</definedName>
    <definedName name="aMOCCurareadec">#REF!</definedName>
    <definedName name="aMOciclovía">#REF!</definedName>
    <definedName name="aMOciclovíareadec">#REF!</definedName>
    <definedName name="aMOcolumnas">#REF!</definedName>
    <definedName name="aMOcortepasto">#REF!</definedName>
    <definedName name="aMOdemolicion">#REF!</definedName>
    <definedName name="aMOdesembanque">#REF!</definedName>
    <definedName name="aMOdren">#REF!</definedName>
    <definedName name="aMOescarifbanq">#REF!</definedName>
    <definedName name="aMOescarificado">#REF!</definedName>
    <definedName name="aMOestribos">#REF!</definedName>
    <definedName name="aMOexcavacion">#REF!</definedName>
    <definedName name="aMOexcavacionreadec">#REF!</definedName>
    <definedName name="aMOgaviones">#REF!</definedName>
    <definedName name="aMOHermosoreadec">#REF!</definedName>
    <definedName name="aMOhorC">#REF!</definedName>
    <definedName name="aMOhormigon">#REF!</definedName>
    <definedName name="aMOimprimacion">#REF!</definedName>
    <definedName name="aMOimprimacionreadec">#REF!</definedName>
    <definedName name="aMOimprimrefor">#REF!</definedName>
    <definedName name="aMOinvernal">#REF!</definedName>
    <definedName name="aMOjunta">#REF!</definedName>
    <definedName name="aMOjuntadil">#REF!</definedName>
    <definedName name="aMOjuntas">#REF!</definedName>
    <definedName name="aMOlimpieza">#REF!</definedName>
    <definedName name="aMOlimpseñales">#REF!</definedName>
    <definedName name="aMOlimptransp">#REF!</definedName>
    <definedName name="aMOlosa">#REF!</definedName>
    <definedName name="aMOmatbase">#REF!</definedName>
    <definedName name="aMOmicroaglom">#REF!</definedName>
    <definedName name="aMOmicroaglomreadec">#REF!</definedName>
    <definedName name="aMOmicroreadec">#REF!</definedName>
    <definedName name="aMOmontaje">#REF!</definedName>
    <definedName name="aMOpasamano">#REF!</definedName>
    <definedName name="aMOperfilado">#REF!</definedName>
    <definedName name="aMOpintado">#REF!</definedName>
    <definedName name="aMOpretiles">#REF!</definedName>
    <definedName name="aMOpretilesreadec">#REF!</definedName>
    <definedName name="aMOprolongacion">#REF!</definedName>
    <definedName name="aMOprolongacionreadec">#REF!</definedName>
    <definedName name="aMOproteccion">#REF!</definedName>
    <definedName name="aMOrelleno">#REF!</definedName>
    <definedName name="aMOrellenoreadec">#REF!</definedName>
    <definedName name="aMOrep8026">#REF!</definedName>
    <definedName name="aMOrep8026readec">#REF!</definedName>
    <definedName name="aMOrepalc">#REF!</definedName>
    <definedName name="aMOrestdrenaje">#REF!</definedName>
    <definedName name="aMOrestdrenajereadec">#REF!</definedName>
    <definedName name="aMOretderrumbe">#REF!</definedName>
    <definedName name="aMOretrecolbaranda">#REF!</definedName>
    <definedName name="aMOrexcavacion">#REF!</definedName>
    <definedName name="aMORHermoso">#REF!</definedName>
    <definedName name="aMOriego">#REF!</definedName>
    <definedName name="aMOrotondas">#REF!</definedName>
    <definedName name="aMOsandef">#REF!</definedName>
    <definedName name="aMOsellado">#REF!</definedName>
    <definedName name="aMOsenda">#REF!</definedName>
    <definedName name="aMOsendareadec">#REF!</definedName>
    <definedName name="aMOseñalamiento">#REF!</definedName>
    <definedName name="aMOseñalamientoreadec">#REF!</definedName>
    <definedName name="aMOseñalextrusion">#REF!</definedName>
    <definedName name="aMOseñalextrusionreadec">#REF!</definedName>
    <definedName name="aMOseñalizacion">#REF!</definedName>
    <definedName name="aMOseñalizacionreadec">#REF!</definedName>
    <definedName name="aMOseñalvertreadec">#REF!</definedName>
    <definedName name="aMOsistdren1071">#REF!</definedName>
    <definedName name="aMOsubbase">#REF!</definedName>
    <definedName name="aMOterraplen">#REF!</definedName>
    <definedName name="aMOterrapreadec">#REF!</definedName>
    <definedName name="aMOterrsincomp">#REF!</definedName>
    <definedName name="aMOtravesia">#REF!</definedName>
    <definedName name="aMOvigas">#REF!</definedName>
    <definedName name="aMpasamano">#REF!</definedName>
    <definedName name="aMperfilado">#REF!</definedName>
    <definedName name="aMpilotes">#REF!</definedName>
    <definedName name="aMpintado">#REF!</definedName>
    <definedName name="aMpretiles">#REF!</definedName>
    <definedName name="aMpretilesreadec">#REF!</definedName>
    <definedName name="aMprolongacion">#REF!</definedName>
    <definedName name="aMprolongacionreadec">#REF!</definedName>
    <definedName name="aMproteccion">#REF!</definedName>
    <definedName name="aMrelleno">#REF!</definedName>
    <definedName name="aMrellenoreadec">#REF!</definedName>
    <definedName name="aMrep8026">#REF!</definedName>
    <definedName name="aMrep8026readec">#REF!</definedName>
    <definedName name="aMrepalc">#REF!</definedName>
    <definedName name="aMrestdrenaje">#REF!</definedName>
    <definedName name="aMrestdrenajereadec">#REF!</definedName>
    <definedName name="aMretderrumbe">#REF!</definedName>
    <definedName name="aMretrecolbaranda">#REF!</definedName>
    <definedName name="aMRHermoso">#REF!</definedName>
    <definedName name="aMriego">#REF!</definedName>
    <definedName name="aMrotondas">#REF!</definedName>
    <definedName name="aMsandef">#REF!</definedName>
    <definedName name="aMsellado">#REF!</definedName>
    <definedName name="aMsenda">#REF!</definedName>
    <definedName name="aMsendareadec">#REF!</definedName>
    <definedName name="aMseñalamiento">#REF!</definedName>
    <definedName name="aMseñalamientoreadec">#REF!</definedName>
    <definedName name="aMseñalextrusion">#REF!</definedName>
    <definedName name="aMseñalextrusionreadec">#REF!</definedName>
    <definedName name="aMseñalizacion">#REF!</definedName>
    <definedName name="aMseñalizacionreadec">#REF!</definedName>
    <definedName name="aMseñalvertreadec">#REF!</definedName>
    <definedName name="aMsistdren1071">#REF!</definedName>
    <definedName name="aMsubbase">#REF!</definedName>
    <definedName name="AMTE" localSheetId="15">#REF!</definedName>
    <definedName name="AMTE" localSheetId="13">#REF!</definedName>
    <definedName name="AMTE" localSheetId="19">[3]Constantes!#REF!</definedName>
    <definedName name="AMTE" localSheetId="8">#REF!</definedName>
    <definedName name="AMTE" localSheetId="22">[3]Constantes!#REF!</definedName>
    <definedName name="AMTE" localSheetId="20">#REF!</definedName>
    <definedName name="AMTE" localSheetId="14">#REF!</definedName>
    <definedName name="AMTE" localSheetId="23">[3]Constantes!#REF!</definedName>
    <definedName name="AMTE">#REF!</definedName>
    <definedName name="aMterraplen">#REF!</definedName>
    <definedName name="aMterrapreadec">#REF!</definedName>
    <definedName name="aMterrsincomp">#REF!</definedName>
    <definedName name="aMtravesia">#REF!</definedName>
    <definedName name="aMvigas">#REF!</definedName>
    <definedName name="Ana_Cent_Com" localSheetId="15">#REF!</definedName>
    <definedName name="Ana_Cent_Com" localSheetId="13">#REF!</definedName>
    <definedName name="Ana_Cent_Com" localSheetId="19">'[4]Ana Cent Com'!$A$3:$H$1732</definedName>
    <definedName name="Ana_Cent_Com" localSheetId="8">#REF!</definedName>
    <definedName name="Ana_Cent_Com" localSheetId="22">'[4]Ana Cent Com'!$A$3:$H$1732</definedName>
    <definedName name="Ana_Cent_Com" localSheetId="20">#REF!</definedName>
    <definedName name="Ana_Cent_Com" localSheetId="14">#REF!</definedName>
    <definedName name="Ana_Cent_Com" localSheetId="23">'[4]Ana Cent Com'!$A$3:$H$1732</definedName>
    <definedName name="Ana_Cent_Com">#REF!</definedName>
    <definedName name="Ana_Ed_3" localSheetId="15">#REF!</definedName>
    <definedName name="Ana_Ed_3" localSheetId="13">#REF!</definedName>
    <definedName name="Ana_Ed_3" localSheetId="19">'[4]Ana Ed 3'!$A$3:$H$1759</definedName>
    <definedName name="Ana_Ed_3" localSheetId="8">#REF!</definedName>
    <definedName name="Ana_Ed_3" localSheetId="22">'[4]Ana Ed 3'!$A$3:$H$1759</definedName>
    <definedName name="Ana_Ed_3" localSheetId="20">#REF!</definedName>
    <definedName name="Ana_Ed_3" localSheetId="14">#REF!</definedName>
    <definedName name="Ana_Ed_3" localSheetId="23">'[4]Ana Ed 3'!$A$3:$H$1759</definedName>
    <definedName name="Ana_Ed_3">#REF!</definedName>
    <definedName name="Ana_Edi_1" localSheetId="15">#REF!</definedName>
    <definedName name="Ana_Edi_1" localSheetId="13">#REF!</definedName>
    <definedName name="Ana_Edi_1" localSheetId="19">'[4]Ana Edi 1'!$A$3:$H$1721</definedName>
    <definedName name="Ana_Edi_1" localSheetId="8">#REF!</definedName>
    <definedName name="Ana_Edi_1" localSheetId="22">'[4]Ana Edi 1'!$A$3:$H$1721</definedName>
    <definedName name="Ana_Edi_1" localSheetId="20">#REF!</definedName>
    <definedName name="Ana_Edi_1" localSheetId="14">#REF!</definedName>
    <definedName name="Ana_Edi_1" localSheetId="23">'[4]Ana Edi 1'!$A$3:$H$1721</definedName>
    <definedName name="Ana_Edi_1">#REF!</definedName>
    <definedName name="Ana_Edi_2" localSheetId="15">#REF!</definedName>
    <definedName name="Ana_Edi_2" localSheetId="13">#REF!</definedName>
    <definedName name="Ana_Edi_2" localSheetId="19">'[4]Ana Edi 2'!$A$4:$H$1795</definedName>
    <definedName name="Ana_Edi_2" localSheetId="8">#REF!</definedName>
    <definedName name="Ana_Edi_2" localSheetId="22">'[4]Ana Edi 2'!$A$4:$H$1795</definedName>
    <definedName name="Ana_Edi_2" localSheetId="20">#REF!</definedName>
    <definedName name="Ana_Edi_2" localSheetId="14">#REF!</definedName>
    <definedName name="Ana_Edi_2" localSheetId="23">'[4]Ana Edi 2'!$A$4:$H$1795</definedName>
    <definedName name="Ana_Edi_2">#REF!</definedName>
    <definedName name="Ana_Edi_2_Var" localSheetId="15">#REF!</definedName>
    <definedName name="Ana_Edi_2_Var" localSheetId="13">#REF!</definedName>
    <definedName name="Ana_Edi_2_Var" localSheetId="19">'[4]Ana Edi 2 Var'!$A$3:$H$1795</definedName>
    <definedName name="Ana_Edi_2_Var" localSheetId="8">#REF!</definedName>
    <definedName name="Ana_Edi_2_Var" localSheetId="22">'[4]Ana Edi 2 Var'!$A$3:$H$1795</definedName>
    <definedName name="Ana_Edi_2_Var" localSheetId="20">#REF!</definedName>
    <definedName name="Ana_Edi_2_Var" localSheetId="14">#REF!</definedName>
    <definedName name="Ana_Edi_2_Var" localSheetId="23">'[4]Ana Edi 2 Var'!$A$3:$H$1795</definedName>
    <definedName name="Ana_Edi_2_Var">#REF!</definedName>
    <definedName name="Ana_Edi_3_Var" localSheetId="15">#REF!</definedName>
    <definedName name="Ana_Edi_3_Var" localSheetId="13">#REF!</definedName>
    <definedName name="Ana_Edi_3_Var" localSheetId="19">'[4]Ana Edi 3 Var'!$A$4:$H$1745</definedName>
    <definedName name="Ana_Edi_3_Var" localSheetId="8">#REF!</definedName>
    <definedName name="Ana_Edi_3_Var" localSheetId="22">'[4]Ana Edi 3 Var'!$A$4:$H$1745</definedName>
    <definedName name="Ana_Edi_3_Var" localSheetId="20">#REF!</definedName>
    <definedName name="Ana_Edi_3_Var" localSheetId="14">#REF!</definedName>
    <definedName name="Ana_Edi_3_Var" localSheetId="23">'[4]Ana Edi 3 Var'!$A$4:$H$1745</definedName>
    <definedName name="Ana_Edi_3_Var">#REF!</definedName>
    <definedName name="Ana_OEX" localSheetId="15">#REF!</definedName>
    <definedName name="Ana_OEX" localSheetId="13">#REF!</definedName>
    <definedName name="Ana_OEX" localSheetId="19">'[4]Ana OEx'!$A$3:$H$220</definedName>
    <definedName name="Ana_OEX" localSheetId="8">#REF!</definedName>
    <definedName name="Ana_OEX" localSheetId="22">'[4]Ana OEx'!$A$3:$H$220</definedName>
    <definedName name="Ana_OEX" localSheetId="20">#REF!</definedName>
    <definedName name="Ana_OEX" localSheetId="14">#REF!</definedName>
    <definedName name="Ana_OEX" localSheetId="23">'[4]Ana OEx'!$A$3:$H$220</definedName>
    <definedName name="Ana_OEX">#REF!</definedName>
    <definedName name="Ana_Resumen" localSheetId="15">#REF!</definedName>
    <definedName name="Ana_Resumen" localSheetId="13">#REF!</definedName>
    <definedName name="Ana_Resumen" localSheetId="19">'[4]Ana Resumen'!$A$3:$H$112</definedName>
    <definedName name="Ana_Resumen" localSheetId="8">#REF!</definedName>
    <definedName name="Ana_Resumen" localSheetId="22">'[4]Ana Resumen'!$A$3:$H$112</definedName>
    <definedName name="Ana_Resumen" localSheetId="20">#REF!</definedName>
    <definedName name="Ana_Resumen" localSheetId="14">#REF!</definedName>
    <definedName name="Ana_Resumen" localSheetId="23">'[4]Ana Resumen'!$A$3:$H$112</definedName>
    <definedName name="Ana_Resumen">#REF!</definedName>
    <definedName name="ANAE1" localSheetId="7">#REF!</definedName>
    <definedName name="ANAE1" localSheetId="3">#REF!</definedName>
    <definedName name="ANAE1">#REF!</definedName>
    <definedName name="analiprecios" localSheetId="5">#REF!</definedName>
    <definedName name="analiprecios" localSheetId="6">#REF!</definedName>
    <definedName name="analiprecios">#REF!</definedName>
    <definedName name="ANALISIS">#REF!</definedName>
    <definedName name="AnalisisA">#REF!</definedName>
    <definedName name="AnalisisB">#REF!</definedName>
    <definedName name="AnalisisC">#REF!</definedName>
    <definedName name="analisisequipo" localSheetId="5">#REF!</definedName>
    <definedName name="analisisequipo" localSheetId="6">#REF!</definedName>
    <definedName name="analisisequipo">#REF!</definedName>
    <definedName name="analizado" localSheetId="15">#REF!</definedName>
    <definedName name="analizado" localSheetId="13">#REF!</definedName>
    <definedName name="analizado" localSheetId="19">[3]Analisis!$C$4:$J$8112</definedName>
    <definedName name="analizado" localSheetId="8">#REF!</definedName>
    <definedName name="analizado" localSheetId="22">[3]Analisis!$C$4:$J$8112</definedName>
    <definedName name="analizado" localSheetId="20">#REF!</definedName>
    <definedName name="analizado" localSheetId="14">#REF!</definedName>
    <definedName name="analizado" localSheetId="23">[3]Analisis!$C$4:$J$8112</definedName>
    <definedName name="analizado">#REF!</definedName>
    <definedName name="angulo">#REF!</definedName>
    <definedName name="angulo_lim">#REF!</definedName>
    <definedName name="angulolim">#REF!</definedName>
    <definedName name="angulolim_c">#REF!</definedName>
    <definedName name="ANTICIPO">#REF!</definedName>
    <definedName name="AR">#REF!</definedName>
    <definedName name="Arand.">#REF!</definedName>
    <definedName name="ardos">#REF!</definedName>
    <definedName name="AREA_DE_IMPRESION">#REF!</definedName>
    <definedName name="AREA1" localSheetId="15">#REF!</definedName>
    <definedName name="AREA1" localSheetId="13">#REF!</definedName>
    <definedName name="AREA1" localSheetId="14">#REF!</definedName>
    <definedName name="AREA1">#REF!</definedName>
    <definedName name="AREA2" localSheetId="15">#REF!</definedName>
    <definedName name="AREA2" localSheetId="13">#REF!</definedName>
    <definedName name="AREA2" localSheetId="14">#REF!</definedName>
    <definedName name="AREA2">#REF!</definedName>
    <definedName name="arena" localSheetId="15">#REF!</definedName>
    <definedName name="arena" localSheetId="13">#REF!</definedName>
    <definedName name="arena" localSheetId="19">'[2]PRECIOS ACTUALIZADOS'!$E$44</definedName>
    <definedName name="arena" localSheetId="8">#REF!</definedName>
    <definedName name="arena" localSheetId="22">'[2]PRECIOS ACTUALIZADOS'!$E$44</definedName>
    <definedName name="arena" localSheetId="20">#REF!</definedName>
    <definedName name="arena" localSheetId="14">#REF!</definedName>
    <definedName name="arena" localSheetId="23">'[2]PRECIOS ACTUALIZADOS'!$E$44</definedName>
    <definedName name="arena">#REF!</definedName>
    <definedName name="AReq">#REF!</definedName>
    <definedName name="Armadura">#REF!</definedName>
    <definedName name="armco">#REF!</definedName>
    <definedName name="armdis">#REF!</definedName>
    <definedName name="ARR">#N/A</definedName>
    <definedName name="ARRA" localSheetId="15">#REF!</definedName>
    <definedName name="ARRA" localSheetId="13">#REF!</definedName>
    <definedName name="ARRA" localSheetId="19">[3]Constantes!#REF!</definedName>
    <definedName name="ARRA" localSheetId="7">#REF!</definedName>
    <definedName name="ARRA" localSheetId="8">#REF!</definedName>
    <definedName name="ARRA" localSheetId="22">[3]Constantes!#REF!</definedName>
    <definedName name="ARRA" localSheetId="20">#REF!</definedName>
    <definedName name="ARRA" localSheetId="3">#REF!</definedName>
    <definedName name="ARRA" localSheetId="14">#REF!</definedName>
    <definedName name="ARRA" localSheetId="23">[3]Constantes!#REF!</definedName>
    <definedName name="ARRA">#REF!</definedName>
    <definedName name="ARRC" localSheetId="15">#REF!</definedName>
    <definedName name="ARRC" localSheetId="13">#REF!</definedName>
    <definedName name="ARRC" localSheetId="19">[3]Constantes!#REF!</definedName>
    <definedName name="ARRC" localSheetId="7">#REF!</definedName>
    <definedName name="ARRC" localSheetId="8">#REF!</definedName>
    <definedName name="ARRC" localSheetId="22">[3]Constantes!#REF!</definedName>
    <definedName name="ARRC" localSheetId="20">#REF!</definedName>
    <definedName name="ARRC" localSheetId="3">#REF!</definedName>
    <definedName name="ARRC" localSheetId="14">#REF!</definedName>
    <definedName name="ARRC" localSheetId="23">[3]Constantes!#REF!</definedName>
    <definedName name="ARRC">#REF!</definedName>
    <definedName name="ARREM" localSheetId="15">#REF!</definedName>
    <definedName name="ARREM" localSheetId="13">#REF!</definedName>
    <definedName name="ARREM" localSheetId="19">[3]Constantes!#REF!</definedName>
    <definedName name="ARREM" localSheetId="7">#REF!</definedName>
    <definedName name="ARREM" localSheetId="8">#REF!</definedName>
    <definedName name="ARREM" localSheetId="22">[3]Constantes!#REF!</definedName>
    <definedName name="ARREM" localSheetId="20">#REF!</definedName>
    <definedName name="ARREM" localSheetId="3">#REF!</definedName>
    <definedName name="ARREM" localSheetId="14">#REF!</definedName>
    <definedName name="ARREM" localSheetId="23">[3]Constantes!#REF!</definedName>
    <definedName name="ARREM">#REF!</definedName>
    <definedName name="ARREP" localSheetId="15">#REF!</definedName>
    <definedName name="ARREP" localSheetId="13">#REF!</definedName>
    <definedName name="ARREP" localSheetId="19">[3]Constantes!#REF!</definedName>
    <definedName name="ARREP" localSheetId="7">#REF!</definedName>
    <definedName name="ARREP" localSheetId="8">#REF!</definedName>
    <definedName name="ARREP" localSheetId="22">[3]Constantes!#REF!</definedName>
    <definedName name="ARREP" localSheetId="20">#REF!</definedName>
    <definedName name="ARREP" localSheetId="3">#REF!</definedName>
    <definedName name="ARREP" localSheetId="14">#REF!</definedName>
    <definedName name="ARREP" localSheetId="23">[3]Constantes!#REF!</definedName>
    <definedName name="ARREP">#REF!</definedName>
    <definedName name="arriba" localSheetId="21">#REF!</definedName>
    <definedName name="arriba" localSheetId="7">#REF!</definedName>
    <definedName name="arriba" localSheetId="3">#REF!</definedName>
    <definedName name="arriba">#REF!</definedName>
    <definedName name="ARRRR" localSheetId="15">#REF!</definedName>
    <definedName name="ARRRR" localSheetId="13">#REF!</definedName>
    <definedName name="ARRRR" localSheetId="21">#REF!</definedName>
    <definedName name="ARRRR" localSheetId="19">[3]Constantes!#REF!</definedName>
    <definedName name="ARRRR" localSheetId="7">#REF!</definedName>
    <definedName name="ARRRR" localSheetId="8">#REF!</definedName>
    <definedName name="ARRRR" localSheetId="22">[3]Constantes!#REF!</definedName>
    <definedName name="ARRRR" localSheetId="20">#REF!</definedName>
    <definedName name="ARRRR" localSheetId="3">#REF!</definedName>
    <definedName name="ARRRR" localSheetId="14">#REF!</definedName>
    <definedName name="ARRRR" localSheetId="23">[3]Constantes!#REF!</definedName>
    <definedName name="ARRRR">#REF!</definedName>
    <definedName name="ARSC" localSheetId="15">#REF!</definedName>
    <definedName name="ARSC" localSheetId="13">#REF!</definedName>
    <definedName name="ARSC" localSheetId="19">[3]Constantes!#REF!</definedName>
    <definedName name="ARSC" localSheetId="7">#REF!</definedName>
    <definedName name="ARSC" localSheetId="8">#REF!</definedName>
    <definedName name="ARSC" localSheetId="22">[3]Constantes!#REF!</definedName>
    <definedName name="ARSC" localSheetId="20">#REF!</definedName>
    <definedName name="ARSC" localSheetId="3">#REF!</definedName>
    <definedName name="ARSC" localSheetId="14">#REF!</definedName>
    <definedName name="ARSC" localSheetId="23">[3]Constantes!#REF!</definedName>
    <definedName name="ARSC">#REF!</definedName>
    <definedName name="ARSCE" localSheetId="15">#REF!</definedName>
    <definedName name="ARSCE" localSheetId="13">#REF!</definedName>
    <definedName name="ARSCE" localSheetId="19">[3]Constantes!#REF!</definedName>
    <definedName name="ARSCE" localSheetId="8">#REF!</definedName>
    <definedName name="ARSCE" localSheetId="22">[3]Constantes!#REF!</definedName>
    <definedName name="ARSCE" localSheetId="20">#REF!</definedName>
    <definedName name="ARSCE" localSheetId="14">#REF!</definedName>
    <definedName name="ARSCE" localSheetId="23">[3]Constantes!#REF!</definedName>
    <definedName name="ARSCE">#REF!</definedName>
    <definedName name="ARSDA" localSheetId="15">#REF!</definedName>
    <definedName name="ARSDA" localSheetId="13">#REF!</definedName>
    <definedName name="ARSDA" localSheetId="19">[3]Constantes!#REF!</definedName>
    <definedName name="ARSDA" localSheetId="8">#REF!</definedName>
    <definedName name="ARSDA" localSheetId="22">[3]Constantes!#REF!</definedName>
    <definedName name="ARSDA" localSheetId="20">#REF!</definedName>
    <definedName name="ARSDA" localSheetId="14">#REF!</definedName>
    <definedName name="ARSDA" localSheetId="23">[3]Constantes!#REF!</definedName>
    <definedName name="ARSDA">#REF!</definedName>
    <definedName name="ARSEC" localSheetId="15">#REF!</definedName>
    <definedName name="ARSEC" localSheetId="13">#REF!</definedName>
    <definedName name="ARSEC" localSheetId="19">[3]Constantes!#REF!</definedName>
    <definedName name="ARSEC" localSheetId="8">#REF!</definedName>
    <definedName name="ARSEC" localSheetId="22">[3]Constantes!#REF!</definedName>
    <definedName name="ARSEC" localSheetId="20">#REF!</definedName>
    <definedName name="ARSEC" localSheetId="14">#REF!</definedName>
    <definedName name="ARSEC" localSheetId="23">[3]Constantes!#REF!</definedName>
    <definedName name="ARSEC">#REF!</definedName>
    <definedName name="ARSED" localSheetId="15">#REF!</definedName>
    <definedName name="ARSED" localSheetId="13">#REF!</definedName>
    <definedName name="ARSED" localSheetId="19">[3]Constantes!#REF!</definedName>
    <definedName name="ARSED" localSheetId="8">#REF!</definedName>
    <definedName name="ARSED" localSheetId="22">[3]Constantes!#REF!</definedName>
    <definedName name="ARSED" localSheetId="20">#REF!</definedName>
    <definedName name="ARSED" localSheetId="14">#REF!</definedName>
    <definedName name="ARSED" localSheetId="23">[3]Constantes!#REF!</definedName>
    <definedName name="ARSED">#REF!</definedName>
    <definedName name="ARSEM" localSheetId="15">#REF!</definedName>
    <definedName name="ARSEM" localSheetId="13">#REF!</definedName>
    <definedName name="ARSEM" localSheetId="19">[3]Constantes!#REF!</definedName>
    <definedName name="ARSEM" localSheetId="8">#REF!</definedName>
    <definedName name="ARSEM" localSheetId="22">[3]Constantes!#REF!</definedName>
    <definedName name="ARSEM" localSheetId="20">#REF!</definedName>
    <definedName name="ARSEM" localSheetId="14">#REF!</definedName>
    <definedName name="ARSEM" localSheetId="23">[3]Constantes!#REF!</definedName>
    <definedName name="ARSEM">#REF!</definedName>
    <definedName name="ARSEP" localSheetId="15">#REF!</definedName>
    <definedName name="ARSEP" localSheetId="13">#REF!</definedName>
    <definedName name="ARSEP" localSheetId="19">[3]Constantes!#REF!</definedName>
    <definedName name="ARSEP" localSheetId="8">#REF!</definedName>
    <definedName name="ARSEP" localSheetId="22">[3]Constantes!#REF!</definedName>
    <definedName name="ARSEP" localSheetId="20">#REF!</definedName>
    <definedName name="ARSEP" localSheetId="14">#REF!</definedName>
    <definedName name="ARSEP" localSheetId="23">[3]Constantes!#REF!</definedName>
    <definedName name="ARSEP">#REF!</definedName>
    <definedName name="ARSLE" localSheetId="15">#REF!</definedName>
    <definedName name="ARSLE" localSheetId="13">#REF!</definedName>
    <definedName name="ARSLE" localSheetId="19">[3]Constantes!#REF!</definedName>
    <definedName name="ARSLE" localSheetId="8">#REF!</definedName>
    <definedName name="ARSLE" localSheetId="22">[3]Constantes!#REF!</definedName>
    <definedName name="ARSLE" localSheetId="20">#REF!</definedName>
    <definedName name="ARSLE" localSheetId="14">#REF!</definedName>
    <definedName name="ARSLE" localSheetId="23">[3]Constantes!#REF!</definedName>
    <definedName name="ARSLE">#REF!</definedName>
    <definedName name="ARSNA" localSheetId="15">#REF!</definedName>
    <definedName name="ARSNA" localSheetId="13">#REF!</definedName>
    <definedName name="ARSNA" localSheetId="19">[3]Constantes!#REF!</definedName>
    <definedName name="ARSNA" localSheetId="8">#REF!</definedName>
    <definedName name="ARSNA" localSheetId="22">[3]Constantes!#REF!</definedName>
    <definedName name="ARSNA" localSheetId="20">#REF!</definedName>
    <definedName name="ARSNA" localSheetId="14">#REF!</definedName>
    <definedName name="ARSNA" localSheetId="23">[3]Constantes!#REF!</definedName>
    <definedName name="ARSNA">#REF!</definedName>
    <definedName name="ART" localSheetId="15">#REF!</definedName>
    <definedName name="ART" localSheetId="13">#REF!</definedName>
    <definedName name="ART" localSheetId="19">[3]Constantes!$C$37</definedName>
    <definedName name="ART" localSheetId="8">#REF!</definedName>
    <definedName name="ART" localSheetId="22">[3]Constantes!$C$37</definedName>
    <definedName name="ART" localSheetId="20">#REF!</definedName>
    <definedName name="ART" localSheetId="14">#REF!</definedName>
    <definedName name="ART" localSheetId="23">[3]Constantes!$C$37</definedName>
    <definedName name="ART">#REF!</definedName>
    <definedName name="ART_Cargo_Fijo" localSheetId="15">#REF!</definedName>
    <definedName name="ART_Cargo_Fijo" localSheetId="13">#REF!</definedName>
    <definedName name="ART_Cargo_Fijo" localSheetId="19">[3]Constantes!$C$36</definedName>
    <definedName name="ART_Cargo_Fijo" localSheetId="8">#REF!</definedName>
    <definedName name="ART_Cargo_Fijo" localSheetId="22">[3]Constantes!$C$36</definedName>
    <definedName name="ART_Cargo_Fijo" localSheetId="20">#REF!</definedName>
    <definedName name="ART_Cargo_Fijo" localSheetId="14">#REF!</definedName>
    <definedName name="ART_Cargo_Fijo" localSheetId="23">[3]Constantes!$C$36</definedName>
    <definedName name="ART_Cargo_Fijo">#REF!</definedName>
    <definedName name="aruno">#REF!</definedName>
    <definedName name="as">#REF!</definedName>
    <definedName name="asd" localSheetId="15">L2C1:L372C15</definedName>
    <definedName name="asd" localSheetId="16">L2C1:L372C15</definedName>
    <definedName name="asd" localSheetId="12">L2C1:L372C15</definedName>
    <definedName name="asd" localSheetId="13">L2C1:L372C15</definedName>
    <definedName name="asd" localSheetId="11">L2C1:L372C15</definedName>
    <definedName name="asd" localSheetId="8">L2C1:L372C15</definedName>
    <definedName name="asd" localSheetId="14">L2C1:L372C15</definedName>
    <definedName name="asd">L2C1:L372C15</definedName>
    <definedName name="asdaaa" localSheetId="7">#REF!</definedName>
    <definedName name="asdaaa" localSheetId="8">#REF!</definedName>
    <definedName name="asdaaa" localSheetId="3">#REF!</definedName>
    <definedName name="asdaaa">#REF!</definedName>
    <definedName name="ASDAASD" localSheetId="15">L2C1:L372C15</definedName>
    <definedName name="ASDAASD" localSheetId="16">L2C1:L372C15</definedName>
    <definedName name="ASDAASD" localSheetId="12">L2C1:L372C15</definedName>
    <definedName name="ASDAASD" localSheetId="13">L2C1:L372C15</definedName>
    <definedName name="ASDAASD" localSheetId="11">L2C1:L372C15</definedName>
    <definedName name="ASDAASD" localSheetId="8">L2C1:L372C15</definedName>
    <definedName name="ASDAASD" localSheetId="14">L2C1:L372C15</definedName>
    <definedName name="ASDAASD">L2C1:L372C15</definedName>
    <definedName name="asdis" localSheetId="15">#REF!</definedName>
    <definedName name="asdis" localSheetId="13">#REF!</definedName>
    <definedName name="asdis" localSheetId="8">#REF!</definedName>
    <definedName name="asdis" localSheetId="14">#REF!</definedName>
    <definedName name="asdis">#REF!</definedName>
    <definedName name="asew" localSheetId="7">#REF!</definedName>
    <definedName name="asew" localSheetId="8">#REF!</definedName>
    <definedName name="asew" localSheetId="3">#REF!</definedName>
    <definedName name="asew">#REF!</definedName>
    <definedName name="Asistencia" localSheetId="8">#REF!</definedName>
    <definedName name="Asistencia">#REF!</definedName>
    <definedName name="at1cañodren">#REF!</definedName>
    <definedName name="at1cemento">#REF!</definedName>
    <definedName name="at1hierro">#REF!</definedName>
    <definedName name="aTacceso">#REF!</definedName>
    <definedName name="aTaccesoreadec">#REF!</definedName>
    <definedName name="aTacondct">#REF!</definedName>
    <definedName name="aTalcantarilla">#REF!</definedName>
    <definedName name="aTalcantarillareadec">#REF!</definedName>
    <definedName name="aTalteo">#REF!</definedName>
    <definedName name="aTalteoreadec">#REF!</definedName>
    <definedName name="aTApartido">#REF!</definedName>
    <definedName name="aTbacheo">#REF!</definedName>
    <definedName name="aTbacheosan">#REF!</definedName>
    <definedName name="aTbandason">#REF!</definedName>
    <definedName name="aTbanquina">#REF!</definedName>
    <definedName name="aTbaranda">#REF!</definedName>
    <definedName name="aTbarandareadec">#REF!</definedName>
    <definedName name="aTbase">#REF!</definedName>
    <definedName name="aTcabezales">#REF!</definedName>
    <definedName name="aTcalzadahorm">#REF!</definedName>
    <definedName name="aTcalzadas">#REF!</definedName>
    <definedName name="aTcarpeta">#REF!</definedName>
    <definedName name="aTcarpetariego">#REF!</definedName>
    <definedName name="aTCCura">#REF!</definedName>
    <definedName name="aTCCurareadec">#REF!</definedName>
    <definedName name="aTciclovía">#REF!</definedName>
    <definedName name="aTciclovíareadec">#REF!</definedName>
    <definedName name="aTcolumnas">#REF!</definedName>
    <definedName name="aTcortepasto">#REF!</definedName>
    <definedName name="aTdemolicion">#REF!</definedName>
    <definedName name="aTdesembanque">#REF!</definedName>
    <definedName name="aTdren">#REF!</definedName>
    <definedName name="aTescarifbanq">#REF!</definedName>
    <definedName name="aTescarificado">#REF!</definedName>
    <definedName name="aTestribos">#REF!</definedName>
    <definedName name="aTexcavacion">#REF!</definedName>
    <definedName name="aTexcavacionreadec">#REF!</definedName>
    <definedName name="aTgaviones">#REF!</definedName>
    <definedName name="aTHermosoreadec">#REF!</definedName>
    <definedName name="aThorC">#REF!</definedName>
    <definedName name="aThormigon">#REF!</definedName>
    <definedName name="aTimprimacion">#REF!</definedName>
    <definedName name="aTimprimacionreadec">#REF!</definedName>
    <definedName name="aTimprimrefor">#REF!</definedName>
    <definedName name="aTinvernal">#REF!</definedName>
    <definedName name="aTjunta">#REF!</definedName>
    <definedName name="aTjuntadil">#REF!</definedName>
    <definedName name="aTjuntas">#REF!</definedName>
    <definedName name="aTlimpieza">#REF!</definedName>
    <definedName name="aTlimpseñales">#REF!</definedName>
    <definedName name="aTlimptransp">#REF!</definedName>
    <definedName name="aTlosa">#REF!</definedName>
    <definedName name="aTmatbase">#REF!</definedName>
    <definedName name="aTmicroaglom">#REF!</definedName>
    <definedName name="aTmicroaglomreadec">#REF!</definedName>
    <definedName name="aTmicroreadec">#REF!</definedName>
    <definedName name="aTmontaje">#REF!</definedName>
    <definedName name="aTpasamano">#REF!</definedName>
    <definedName name="aTperfilado">#REF!</definedName>
    <definedName name="aTpilotes">#REF!</definedName>
    <definedName name="aTpintado">#REF!</definedName>
    <definedName name="aTpretiles">#REF!</definedName>
    <definedName name="aTpretilesreadec">#REF!</definedName>
    <definedName name="aTprolongacion">#REF!</definedName>
    <definedName name="aTprolongacionreadec">#REF!</definedName>
    <definedName name="aTproteccion">#REF!</definedName>
    <definedName name="aTrelleno">#REF!</definedName>
    <definedName name="aTrellenoreadec">#REF!</definedName>
    <definedName name="aTrep8026">#REF!</definedName>
    <definedName name="aTrep8026readec">#REF!</definedName>
    <definedName name="aTrepalc">#REF!</definedName>
    <definedName name="aTrepalcreadec">#REF!</definedName>
    <definedName name="aTrestdrenaje">#REF!</definedName>
    <definedName name="aTrestdrenajereadec">#REF!</definedName>
    <definedName name="aTretderrumbe">#REF!</definedName>
    <definedName name="aTretrecolbaranda">#REF!</definedName>
    <definedName name="aTRHermoso">#REF!</definedName>
    <definedName name="aTriego">#REF!</definedName>
    <definedName name="aTrotondas">#REF!</definedName>
    <definedName name="aTsandef">#REF!</definedName>
    <definedName name="aTsellado">#REF!</definedName>
    <definedName name="aTsenda">#REF!</definedName>
    <definedName name="aTsendareadec">#REF!</definedName>
    <definedName name="aTseñalamiento">#REF!</definedName>
    <definedName name="aTseñalamientoreadec">#REF!</definedName>
    <definedName name="aTseñalextrusion">#REF!</definedName>
    <definedName name="aTseñalextrusionreadec">#REF!</definedName>
    <definedName name="aTseñalizacion">#REF!</definedName>
    <definedName name="aTseñalizacionreadec">#REF!</definedName>
    <definedName name="aTseñalvertreadec">#REF!</definedName>
    <definedName name="aTsistdren1071">#REF!</definedName>
    <definedName name="aTsubbase">#REF!</definedName>
    <definedName name="aTterraplen">#REF!</definedName>
    <definedName name="aTterrapreadec">#REF!</definedName>
    <definedName name="aTterrsincomp">#REF!</definedName>
    <definedName name="aTtravesia">#REF!</definedName>
    <definedName name="aTvigas">#REF!</definedName>
    <definedName name="AUSENTISMO">#REF!</definedName>
    <definedName name="AUSENTISMO1">#REF!</definedName>
    <definedName name="AUT">#REF!</definedName>
    <definedName name="Aux_Ana">#REF!</definedName>
    <definedName name="Avance" localSheetId="15" hidden="1">{#N/A,#N/A,FALSE,"Monthly report";#N/A,#N/A,FALSE,"M.R. UEM";#N/A,#N/A,FALSE,"M.R. VCM"}</definedName>
    <definedName name="Avance" localSheetId="13" hidden="1">{#N/A,#N/A,FALSE,"Monthly report";#N/A,#N/A,FALSE,"M.R. UEM";#N/A,#N/A,FALSE,"M.R. VCM"}</definedName>
    <definedName name="Avance" localSheetId="8" hidden="1">{#N/A,#N/A,FALSE,"Monthly report";#N/A,#N/A,FALSE,"M.R. UEM";#N/A,#N/A,FALSE,"M.R. VCM"}</definedName>
    <definedName name="Avance" localSheetId="14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2" localSheetId="15" hidden="1">{#N/A,#N/A,FALSE,"Monthly report";#N/A,#N/A,FALSE,"M.R. UEM";#N/A,#N/A,FALSE,"M.R. VCM"}</definedName>
    <definedName name="Avance2" localSheetId="13" hidden="1">{#N/A,#N/A,FALSE,"Monthly report";#N/A,#N/A,FALSE,"M.R. UEM";#N/A,#N/A,FALSE,"M.R. VCM"}</definedName>
    <definedName name="Avance2" localSheetId="8" hidden="1">{#N/A,#N/A,FALSE,"Monthly report";#N/A,#N/A,FALSE,"M.R. UEM";#N/A,#N/A,FALSE,"M.R. VCM"}</definedName>
    <definedName name="Avance2" localSheetId="14" hidden="1">{#N/A,#N/A,FALSE,"Monthly report";#N/A,#N/A,FALSE,"M.R. UEM";#N/A,#N/A,FALSE,"M.R. VCM"}</definedName>
    <definedName name="Avance2" hidden="1">{#N/A,#N/A,FALSE,"Monthly report";#N/A,#N/A,FALSE,"M.R. UEM";#N/A,#N/A,FALSE,"M.R. VCM"}</definedName>
    <definedName name="AVOL">#REF!</definedName>
    <definedName name="ayudante" localSheetId="15">#REF!</definedName>
    <definedName name="ayudante" localSheetId="13">#REF!</definedName>
    <definedName name="ayudante" localSheetId="19">'[5]PRECIOS ACTUALIZADOS'!$E$12</definedName>
    <definedName name="ayudante" localSheetId="8">#REF!</definedName>
    <definedName name="ayudante" localSheetId="22">'[5]PRECIOS ACTUALIZADOS'!$E$12</definedName>
    <definedName name="ayudante" localSheetId="20">#REF!</definedName>
    <definedName name="ayudante" localSheetId="14">#REF!</definedName>
    <definedName name="ayudante" localSheetId="23">'[5]PRECIOS ACTUALIZADOS'!$E$12</definedName>
    <definedName name="ayudante">#REF!</definedName>
    <definedName name="ayudante4" localSheetId="8">#REF!</definedName>
    <definedName name="ayudante4">#REF!</definedName>
    <definedName name="ayudante6">#REF!</definedName>
    <definedName name="ayudante8">#REF!</definedName>
    <definedName name="ayudr">#REF!</definedName>
    <definedName name="b">#REF!</definedName>
    <definedName name="B.1">#REF!</definedName>
    <definedName name="B.2">#N/A</definedName>
    <definedName name="b_rec_h">#REF!</definedName>
    <definedName name="b_rec_v">#REF!</definedName>
    <definedName name="BASE">#REF!</definedName>
    <definedName name="base_insumos" localSheetId="15">#REF!</definedName>
    <definedName name="base_insumos" localSheetId="13">#REF!</definedName>
    <definedName name="base_insumos" localSheetId="19">[6]INSUMOS!$A$1:$G$2027</definedName>
    <definedName name="base_insumos" localSheetId="8">#REF!</definedName>
    <definedName name="base_insumos" localSheetId="22">[6]INSUMOS!$A$1:$G$2027</definedName>
    <definedName name="base_insumos" localSheetId="20">#REF!</definedName>
    <definedName name="base_insumos" localSheetId="14">#REF!</definedName>
    <definedName name="base_insumos" localSheetId="23">[6]INSUMOS!$A$1:$G$2027</definedName>
    <definedName name="base_insumos">#REF!</definedName>
    <definedName name="BASEABELSON">#REF!</definedName>
    <definedName name="BASEINSU" localSheetId="15">L2C1:L372C15</definedName>
    <definedName name="BASEINSU" localSheetId="16">L2C1:L372C15</definedName>
    <definedName name="BASEINSU" localSheetId="12">L2C1:L372C15</definedName>
    <definedName name="BASEINSU" localSheetId="13">L2C1:L372C15</definedName>
    <definedName name="BASEINSU" localSheetId="11">L2C1:L372C15</definedName>
    <definedName name="BASEINSU" localSheetId="8">L2C1:L372C15</definedName>
    <definedName name="BASEINSU" localSheetId="14">L2C1:L372C15</definedName>
    <definedName name="BASEINSU">L2C1:L372C15</definedName>
    <definedName name="baseinsumos" localSheetId="15">L2C1:L372C15</definedName>
    <definedName name="baseinsumos" localSheetId="16">L2C1:L372C15</definedName>
    <definedName name="baseinsumos" localSheetId="12">L2C1:L372C15</definedName>
    <definedName name="baseinsumos" localSheetId="13">L2C1:L372C15</definedName>
    <definedName name="baseinsumos" localSheetId="11">L2C1:L372C15</definedName>
    <definedName name="baseinsumos" localSheetId="8">L2C1:L372C15</definedName>
    <definedName name="baseinsumos" localSheetId="14">L2C1:L372C15</definedName>
    <definedName name="baseinsumos">L2C1:L372C15</definedName>
    <definedName name="be" localSheetId="15">#REF!</definedName>
    <definedName name="be" localSheetId="13">#REF!</definedName>
    <definedName name="be" localSheetId="8">#REF!</definedName>
    <definedName name="be" localSheetId="14">#REF!</definedName>
    <definedName name="be">#REF!</definedName>
    <definedName name="Beg_Bal" localSheetId="8">#REF!</definedName>
    <definedName name="Beg_Bal">#REF!</definedName>
    <definedName name="bene" localSheetId="5">#REF!</definedName>
    <definedName name="bene" localSheetId="8">#REF!</definedName>
    <definedName name="bene" localSheetId="6">#REF!</definedName>
    <definedName name="bene">#REF!</definedName>
    <definedName name="BENEFICIO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" localSheetId="15">L2C1:L372C15</definedName>
    <definedName name="BI" localSheetId="16">L2C1:L372C15</definedName>
    <definedName name="BI" localSheetId="12">L2C1:L372C15</definedName>
    <definedName name="BI" localSheetId="13">L2C1:L372C15</definedName>
    <definedName name="BI" localSheetId="11">L2C1:L372C15</definedName>
    <definedName name="BI" localSheetId="8">L2C1:L372C15</definedName>
    <definedName name="BI" localSheetId="14">L2C1:L372C15</definedName>
    <definedName name="BI">L2C1:L372C15</definedName>
    <definedName name="bloque20x20x40" localSheetId="15">#REF!</definedName>
    <definedName name="bloque20x20x40" localSheetId="13">#REF!</definedName>
    <definedName name="bloque20x20x40" localSheetId="19">'[2]PRECIOS ACTUALIZADOS'!$E$161</definedName>
    <definedName name="bloque20x20x40" localSheetId="8">#REF!</definedName>
    <definedName name="bloque20x20x40" localSheetId="22">'[2]PRECIOS ACTUALIZADOS'!$E$161</definedName>
    <definedName name="bloque20x20x40" localSheetId="20">#REF!</definedName>
    <definedName name="bloque20x20x40" localSheetId="14">#REF!</definedName>
    <definedName name="bloque20x20x40" localSheetId="23">'[2]PRECIOS ACTUALIZADOS'!$E$161</definedName>
    <definedName name="bloque20x20x40">#REF!</definedName>
    <definedName name="br" localSheetId="8">#REF!</definedName>
    <definedName name="br">#REF!</definedName>
    <definedName name="BRAZ" localSheetId="8">#REF!</definedName>
    <definedName name="BRAZ">#REF!</definedName>
    <definedName name="BRAZO">#REF!</definedName>
    <definedName name="bs">#REF!</definedName>
    <definedName name="BSociales">#REF!</definedName>
    <definedName name="bss">#REF!</definedName>
    <definedName name="bsss">#REF!</definedName>
    <definedName name="C_">#REF!</definedName>
    <definedName name="ca">#REF!</definedName>
    <definedName name="Caeacceso">#REF!</definedName>
    <definedName name="Caeacondct">#REF!</definedName>
    <definedName name="Caealcantarilla">#REF!</definedName>
    <definedName name="Caealcantarillareadec">#REF!</definedName>
    <definedName name="Caealteomyg">#REF!</definedName>
    <definedName name="CaeApartido">#REF!</definedName>
    <definedName name="Caeapoyos">#REF!</definedName>
    <definedName name="Caebacheo">#REF!</definedName>
    <definedName name="Caebandason">#REF!</definedName>
    <definedName name="Caebandasonreadec">#REF!</definedName>
    <definedName name="Caebanquina">#REF!</definedName>
    <definedName name="Caebaranda">#REF!</definedName>
    <definedName name="Caebarandareadec">#REF!</definedName>
    <definedName name="Caebase">#REF!</definedName>
    <definedName name="Caecabezales">#REF!</definedName>
    <definedName name="Caecalzadahorm">#REF!</definedName>
    <definedName name="Caecalzadas">#REF!</definedName>
    <definedName name="Caecarpeta">#REF!</definedName>
    <definedName name="Caecarpetariego">#REF!</definedName>
    <definedName name="CaeCCura">#REF!</definedName>
    <definedName name="Caeciclovía">#REF!</definedName>
    <definedName name="Caecolumnas">#REF!</definedName>
    <definedName name="Caecortepasto">#REF!</definedName>
    <definedName name="Caedemolicion">#REF!</definedName>
    <definedName name="Caedesembanque">#REF!</definedName>
    <definedName name="Caeescarifbanq">#REF!</definedName>
    <definedName name="Caeescarificado">#REF!</definedName>
    <definedName name="Caeestribos">#REF!</definedName>
    <definedName name="Caeexcavacion">#REF!</definedName>
    <definedName name="Caeexcavacionreadec">#REF!</definedName>
    <definedName name="Caegaviones">#REF!</definedName>
    <definedName name="Caehor">#REF!</definedName>
    <definedName name="CaehorC">#REF!</definedName>
    <definedName name="CaehorCreadec">#REF!</definedName>
    <definedName name="Caeimprimacion">#REF!</definedName>
    <definedName name="Caeimprimrefor">#REF!</definedName>
    <definedName name="Caeinvernal">#REF!</definedName>
    <definedName name="Caejunta">#REF!</definedName>
    <definedName name="Caejuntadil">#REF!</definedName>
    <definedName name="Caejuntas">#REF!</definedName>
    <definedName name="Caelimpieza">#REF!</definedName>
    <definedName name="Caelimpseñales">#REF!</definedName>
    <definedName name="Caelimptransp">#REF!</definedName>
    <definedName name="Caelosa">#REF!</definedName>
    <definedName name="Caematbase">#REF!</definedName>
    <definedName name="Caemicroaglom">#REF!</definedName>
    <definedName name="Caemicroaglomreadec">#REF!</definedName>
    <definedName name="Caepasamano">#REF!</definedName>
    <definedName name="Caeperfilado">#REF!</definedName>
    <definedName name="Caepintado">#REF!</definedName>
    <definedName name="Caepretiles">#REF!</definedName>
    <definedName name="Caeprolongacion">#REF!</definedName>
    <definedName name="Caeprolongacionreadec">#REF!</definedName>
    <definedName name="Caeproteccion">#REF!</definedName>
    <definedName name="Caereadsistdren1071">#REF!</definedName>
    <definedName name="Caerelleno">#REF!</definedName>
    <definedName name="CaeRep8026">#REF!</definedName>
    <definedName name="Caerepalc">#REF!</definedName>
    <definedName name="Caerestdrenajereadec">#REF!</definedName>
    <definedName name="Caeretderrumbe">#REF!</definedName>
    <definedName name="Caeretrecolbaranda">#REF!</definedName>
    <definedName name="CaeRHermoso">#REF!</definedName>
    <definedName name="Caeriego">#REF!</definedName>
    <definedName name="Caerotondas">#REF!</definedName>
    <definedName name="Caesandef">#REF!</definedName>
    <definedName name="Caesellado">#REF!</definedName>
    <definedName name="Caesenda">#REF!</definedName>
    <definedName name="Caeseñalamiento">#REF!</definedName>
    <definedName name="Caeseñalamientoreadec">#REF!</definedName>
    <definedName name="Caeseñalextrusion">#REF!</definedName>
    <definedName name="Caeseñalextrusionreadec">#REF!</definedName>
    <definedName name="Caeseñalizacion">#REF!</definedName>
    <definedName name="Caeseñalizacionreadec">#REF!</definedName>
    <definedName name="Caeseñalvertreadec">#REF!</definedName>
    <definedName name="Caesistdren">#REF!</definedName>
    <definedName name="Caesistdrenreadec">#REF!</definedName>
    <definedName name="Caesubbase">#REF!</definedName>
    <definedName name="Caeterraplen">#REF!</definedName>
    <definedName name="Caeterraplenreadec">#REF!</definedName>
    <definedName name="Caeterrsincomp">#REF!</definedName>
    <definedName name="Caetravesia">#REF!</definedName>
    <definedName name="Caevigas">#REF!</definedName>
    <definedName name="caga">#REF!</definedName>
    <definedName name="CalcAux">#REF!</definedName>
    <definedName name="Cálculo_de_Canales_en_Movimiento_Uniforme">#REF!</definedName>
    <definedName name="Cálculo_de_Canaleta_Parshall__A._Netto">#REF!</definedName>
    <definedName name="Cálculo_de_Canaleta_Parshall__Richter_y_A._Valencia">#REF!</definedName>
    <definedName name="Cálculo_de_f_de_Darcy_Weisbach__C_de_Williams_y_Hazen_y_n_de_Manning">#REF!</definedName>
    <definedName name="Cálculo_de_la_Potencia_de_una_Bomba.">#REF!</definedName>
    <definedName name="Cálculo_del_Gradiente_de_Velocidad">#REF!</definedName>
    <definedName name="CALCULOS">#REF!</definedName>
    <definedName name="calHidr" localSheetId="15">#REF!</definedName>
    <definedName name="calHidr" localSheetId="13">#REF!</definedName>
    <definedName name="calHidr" localSheetId="19">'[2]PRECIOS ACTUALIZADOS'!$E$54</definedName>
    <definedName name="calHidr" localSheetId="8">#REF!</definedName>
    <definedName name="calHidr" localSheetId="22">'[2]PRECIOS ACTUALIZADOS'!$E$54</definedName>
    <definedName name="calHidr" localSheetId="20">#REF!</definedName>
    <definedName name="calHidr" localSheetId="14">#REF!</definedName>
    <definedName name="calHidr" localSheetId="23">'[2]PRECIOS ACTUALIZADOS'!$E$54</definedName>
    <definedName name="calHidr">#REF!</definedName>
    <definedName name="CalidadAcero">#REF!</definedName>
    <definedName name="campocodigoanalisis" localSheetId="15">#REF!</definedName>
    <definedName name="campocodigoanalisis" localSheetId="13">#REF!</definedName>
    <definedName name="campocodigoanalisis" localSheetId="19">[3]Analisis!$A$4:$A$8106</definedName>
    <definedName name="campocodigoanalisis" localSheetId="8">#REF!</definedName>
    <definedName name="campocodigoanalisis" localSheetId="22">[3]Analisis!$A$4:$A$8106</definedName>
    <definedName name="campocodigoanalisis" localSheetId="20">#REF!</definedName>
    <definedName name="campocodigoanalisis" localSheetId="14">#REF!</definedName>
    <definedName name="campocodigoanalisis" localSheetId="23">[3]Analisis!$A$4:$A$8106</definedName>
    <definedName name="campocodigoanalisis">#REF!</definedName>
    <definedName name="CAÑERIA_DE_IMPULSION__P._LAVALLE_SAENZ_PEÑA">#REF!</definedName>
    <definedName name="Caracteres_del_Alfabeto_Griego">#REF!</definedName>
    <definedName name="CARGAS">#REF!</definedName>
    <definedName name="Cargas_Sociales" localSheetId="15">#REF!</definedName>
    <definedName name="Cargas_Sociales" localSheetId="13">#REF!</definedName>
    <definedName name="Cargas_Sociales" localSheetId="19">[3]Constantes!$C$35</definedName>
    <definedName name="Cargas_Sociales" localSheetId="8">#REF!</definedName>
    <definedName name="Cargas_Sociales" localSheetId="22">[3]Constantes!$C$35</definedName>
    <definedName name="Cargas_Sociales" localSheetId="20">#REF!</definedName>
    <definedName name="Cargas_Sociales" localSheetId="14">#REF!</definedName>
    <definedName name="Cargas_Sociales" localSheetId="23">[3]Constantes!$C$35</definedName>
    <definedName name="Cargas_Sociales">#REF!</definedName>
    <definedName name="carlosa">#REF!</definedName>
    <definedName name="carlosar">#REF!</definedName>
    <definedName name="cascada" localSheetId="15">#REF!</definedName>
    <definedName name="cascada" localSheetId="13">#REF!</definedName>
    <definedName name="cascada" localSheetId="19">[3]PATRONES!$C$11:$J$23</definedName>
    <definedName name="cascada" localSheetId="8">#REF!</definedName>
    <definedName name="cascada" localSheetId="22">[3]PATRONES!$C$11:$J$23</definedName>
    <definedName name="cascada" localSheetId="20">#REF!</definedName>
    <definedName name="cascada" localSheetId="14">#REF!</definedName>
    <definedName name="cascada" localSheetId="23">[3]PATRONES!$C$11:$J$23</definedName>
    <definedName name="cascada">#REF!</definedName>
    <definedName name="CAT">#REF!</definedName>
    <definedName name="CC">#REF!</definedName>
    <definedName name="cd">#REF!</definedName>
    <definedName name="cddos">#REF!</definedName>
    <definedName name="CDT">#REF!</definedName>
    <definedName name="CE0" localSheetId="15">#REF!</definedName>
    <definedName name="CE0" localSheetId="13">#REF!</definedName>
    <definedName name="CE0" localSheetId="19">[3]Constantes!#REF!</definedName>
    <definedName name="CE0" localSheetId="7">#REF!</definedName>
    <definedName name="CE0" localSheetId="8">#REF!</definedName>
    <definedName name="CE0" localSheetId="22">[3]Constantes!#REF!</definedName>
    <definedName name="CE0" localSheetId="20">#REF!</definedName>
    <definedName name="CE0" localSheetId="3">#REF!</definedName>
    <definedName name="CE0" localSheetId="14">#REF!</definedName>
    <definedName name="CE0" localSheetId="23">[3]Constantes!#REF!</definedName>
    <definedName name="CE0">#REF!</definedName>
    <definedName name="CE1_" localSheetId="15">#REF!</definedName>
    <definedName name="CE1_" localSheetId="13">#REF!</definedName>
    <definedName name="CE1_" localSheetId="19">[3]Constantes!#REF!</definedName>
    <definedName name="CE1_" localSheetId="7">#REF!</definedName>
    <definedName name="CE1_" localSheetId="8">#REF!</definedName>
    <definedName name="CE1_" localSheetId="22">[3]Constantes!#REF!</definedName>
    <definedName name="CE1_" localSheetId="20">#REF!</definedName>
    <definedName name="CE1_" localSheetId="3">#REF!</definedName>
    <definedName name="CE1_" localSheetId="14">#REF!</definedName>
    <definedName name="CE1_" localSheetId="23">[3]Constantes!#REF!</definedName>
    <definedName name="CE1_">#REF!</definedName>
    <definedName name="CE2_" localSheetId="15">#REF!</definedName>
    <definedName name="CE2_" localSheetId="13">#REF!</definedName>
    <definedName name="CE2_" localSheetId="19">[3]Constantes!#REF!</definedName>
    <definedName name="CE2_" localSheetId="7">#REF!</definedName>
    <definedName name="CE2_" localSheetId="8">#REF!</definedName>
    <definedName name="CE2_" localSheetId="22">[3]Constantes!#REF!</definedName>
    <definedName name="CE2_" localSheetId="20">#REF!</definedName>
    <definedName name="CE2_" localSheetId="3">#REF!</definedName>
    <definedName name="CE2_" localSheetId="14">#REF!</definedName>
    <definedName name="CE2_" localSheetId="23">[3]Constantes!#REF!</definedName>
    <definedName name="CE2_">#REF!</definedName>
    <definedName name="CE3_" localSheetId="15">#REF!</definedName>
    <definedName name="CE3_" localSheetId="13">#REF!</definedName>
    <definedName name="CE3_" localSheetId="19">[3]Constantes!#REF!</definedName>
    <definedName name="CE3_" localSheetId="7">#REF!</definedName>
    <definedName name="CE3_" localSheetId="8">#REF!</definedName>
    <definedName name="CE3_" localSheetId="22">[3]Constantes!#REF!</definedName>
    <definedName name="CE3_" localSheetId="20">#REF!</definedName>
    <definedName name="CE3_" localSheetId="3">#REF!</definedName>
    <definedName name="CE3_" localSheetId="14">#REF!</definedName>
    <definedName name="CE3_" localSheetId="23">[3]Constantes!#REF!</definedName>
    <definedName name="CE3_">#REF!</definedName>
    <definedName name="CEBE" localSheetId="15">#REF!</definedName>
    <definedName name="CEBE" localSheetId="13">#REF!</definedName>
    <definedName name="CEBE" localSheetId="19">[3]Constantes!$C$9</definedName>
    <definedName name="CEBE" localSheetId="8">#REF!</definedName>
    <definedName name="CEBE" localSheetId="22">[3]Constantes!$C$9</definedName>
    <definedName name="CEBE" localSheetId="20">#REF!</definedName>
    <definedName name="CEBE" localSheetId="14">#REF!</definedName>
    <definedName name="CEBE" localSheetId="23">[3]Constantes!$C$9</definedName>
    <definedName name="CEBE">#REF!</definedName>
    <definedName name="CECF" localSheetId="15">#REF!</definedName>
    <definedName name="CECF" localSheetId="13">#REF!</definedName>
    <definedName name="CECF" localSheetId="19">[3]Constantes!$C$8</definedName>
    <definedName name="CECF" localSheetId="8">#REF!</definedName>
    <definedName name="CECF" localSheetId="22">[3]Constantes!$C$8</definedName>
    <definedName name="CECF" localSheetId="20">#REF!</definedName>
    <definedName name="CECF" localSheetId="14">#REF!</definedName>
    <definedName name="CECF" localSheetId="23">[3]Constantes!$C$8</definedName>
    <definedName name="CECF">#REF!</definedName>
    <definedName name="CEGG" localSheetId="15">#REF!</definedName>
    <definedName name="CEGG" localSheetId="13">#REF!</definedName>
    <definedName name="CEGG" localSheetId="19">[3]Constantes!$C$7</definedName>
    <definedName name="CEGG" localSheetId="8">#REF!</definedName>
    <definedName name="CEGG" localSheetId="22">[3]Constantes!$C$7</definedName>
    <definedName name="CEGG" localSheetId="20">#REF!</definedName>
    <definedName name="CEGG" localSheetId="14">#REF!</definedName>
    <definedName name="CEGG" localSheetId="23">[3]Constantes!$C$7</definedName>
    <definedName name="CEGG">#REF!</definedName>
    <definedName name="CEIM" localSheetId="15">#REF!</definedName>
    <definedName name="CEIM" localSheetId="13">#REF!</definedName>
    <definedName name="CEIM" localSheetId="19">[3]Constantes!$C$10</definedName>
    <definedName name="CEIM" localSheetId="8">#REF!</definedName>
    <definedName name="CEIM" localSheetId="22">[3]Constantes!$C$10</definedName>
    <definedName name="CEIM" localSheetId="20">#REF!</definedName>
    <definedName name="CEIM" localSheetId="14">#REF!</definedName>
    <definedName name="CEIM" localSheetId="23">[3]Constantes!$C$10</definedName>
    <definedName name="CEIM">#REF!</definedName>
    <definedName name="ceme">#REF!</definedName>
    <definedName name="cemento" localSheetId="15">#REF!</definedName>
    <definedName name="cemento" localSheetId="13">#REF!</definedName>
    <definedName name="cemento" localSheetId="19">'[2]PRECIOS ACTUALIZADOS'!$E$56</definedName>
    <definedName name="cemento" localSheetId="8">#REF!</definedName>
    <definedName name="cemento" localSheetId="22">'[2]PRECIOS ACTUALIZADOS'!$E$56</definedName>
    <definedName name="cemento" localSheetId="20">#REF!</definedName>
    <definedName name="cemento" localSheetId="14">#REF!</definedName>
    <definedName name="cemento" localSheetId="23">'[2]PRECIOS ACTUALIZADOS'!$E$56</definedName>
    <definedName name="cemento">#REF!</definedName>
    <definedName name="CEMR">#REF!</definedName>
    <definedName name="CEo">#REF!</definedName>
    <definedName name="Certificado2" localSheetId="5">#REF!</definedName>
    <definedName name="Certificado2" localSheetId="6">#REF!</definedName>
    <definedName name="Certificado2">#REF!</definedName>
    <definedName name="Ch.Tech">#REF!</definedName>
    <definedName name="Chapa">#REF!</definedName>
    <definedName name="CHAPEAU">#REF!</definedName>
    <definedName name="CHORRO_CAIDA_LIBRE">#REF!</definedName>
    <definedName name="ci">#REF!</definedName>
    <definedName name="CICVH" localSheetId="15">#REF!</definedName>
    <definedName name="CICVH" localSheetId="13">#REF!</definedName>
    <definedName name="CICVH" localSheetId="19">[3]Constantes!#REF!</definedName>
    <definedName name="CICVH" localSheetId="8">#REF!</definedName>
    <definedName name="CICVH" localSheetId="22">[3]Constantes!#REF!</definedName>
    <definedName name="CICVH" localSheetId="20">#REF!</definedName>
    <definedName name="CICVH" localSheetId="14">#REF!</definedName>
    <definedName name="CICVH" localSheetId="23">[3]Constantes!#REF!</definedName>
    <definedName name="CICVH">#REF!</definedName>
    <definedName name="CIEA" localSheetId="15">#REF!</definedName>
    <definedName name="CIEA" localSheetId="13">#REF!</definedName>
    <definedName name="CIEA" localSheetId="19">[3]Constantes!#REF!</definedName>
    <definedName name="CIEA" localSheetId="8">#REF!</definedName>
    <definedName name="CIEA" localSheetId="22">[3]Constantes!#REF!</definedName>
    <definedName name="CIEA" localSheetId="20">#REF!</definedName>
    <definedName name="CIEA" localSheetId="14">#REF!</definedName>
    <definedName name="CIEA" localSheetId="23">[3]Constantes!#REF!</definedName>
    <definedName name="CIEA">#REF!</definedName>
    <definedName name="CIEE" localSheetId="15">#REF!</definedName>
    <definedName name="CIEE" localSheetId="13">#REF!</definedName>
    <definedName name="CIEE" localSheetId="19">[3]Constantes!#REF!</definedName>
    <definedName name="CIEE" localSheetId="8">#REF!</definedName>
    <definedName name="CIEE" localSheetId="22">[3]Constantes!#REF!</definedName>
    <definedName name="CIEE" localSheetId="20">#REF!</definedName>
    <definedName name="CIEE" localSheetId="14">#REF!</definedName>
    <definedName name="CIEE" localSheetId="23">[3]Constantes!#REF!</definedName>
    <definedName name="CIEE">#REF!</definedName>
    <definedName name="CIEF" localSheetId="15">#REF!</definedName>
    <definedName name="CIEF" localSheetId="13">#REF!</definedName>
    <definedName name="CIEF" localSheetId="19">[3]Constantes!#REF!</definedName>
    <definedName name="CIEF" localSheetId="8">#REF!</definedName>
    <definedName name="CIEF" localSheetId="22">[3]Constantes!#REF!</definedName>
    <definedName name="CIEF" localSheetId="20">#REF!</definedName>
    <definedName name="CIEF" localSheetId="14">#REF!</definedName>
    <definedName name="CIEF" localSheetId="23">[3]Constantes!#REF!</definedName>
    <definedName name="CIEF">#REF!</definedName>
    <definedName name="CIEG" localSheetId="15">#REF!</definedName>
    <definedName name="CIEG" localSheetId="13">#REF!</definedName>
    <definedName name="CIEG" localSheetId="19">[3]Constantes!#REF!</definedName>
    <definedName name="CIEG" localSheetId="8">#REF!</definedName>
    <definedName name="CIEG" localSheetId="22">[3]Constantes!#REF!</definedName>
    <definedName name="CIEG" localSheetId="20">#REF!</definedName>
    <definedName name="CIEG" localSheetId="14">#REF!</definedName>
    <definedName name="CIEG" localSheetId="23">[3]Constantes!#REF!</definedName>
    <definedName name="CIEG">#REF!</definedName>
    <definedName name="CISTERNA_Y_E.E._EN_SAENZ_PEÑA">#REF!</definedName>
    <definedName name="clase">#REF!</definedName>
    <definedName name="Clases_Edificios">#REF!</definedName>
    <definedName name="clav">#REF!</definedName>
    <definedName name="clavos">#REF!</definedName>
    <definedName name="CM0" localSheetId="15">#REF!</definedName>
    <definedName name="CM0" localSheetId="13">#REF!</definedName>
    <definedName name="CM0" localSheetId="19">[3]Constantes!#REF!</definedName>
    <definedName name="CM0" localSheetId="8">#REF!</definedName>
    <definedName name="CM0" localSheetId="22">[3]Constantes!#REF!</definedName>
    <definedName name="CM0" localSheetId="20">#REF!</definedName>
    <definedName name="CM0" localSheetId="14">#REF!</definedName>
    <definedName name="CM0" localSheetId="23">[3]Constantes!#REF!</definedName>
    <definedName name="CM0">#REF!</definedName>
    <definedName name="CM1_" localSheetId="15">#REF!</definedName>
    <definedName name="CM1_" localSheetId="13">#REF!</definedName>
    <definedName name="CM1_" localSheetId="19">[3]Constantes!#REF!</definedName>
    <definedName name="CM1_" localSheetId="8">#REF!</definedName>
    <definedName name="CM1_" localSheetId="22">[3]Constantes!#REF!</definedName>
    <definedName name="CM1_" localSheetId="20">#REF!</definedName>
    <definedName name="CM1_" localSheetId="14">#REF!</definedName>
    <definedName name="CM1_" localSheetId="23">[3]Constantes!#REF!</definedName>
    <definedName name="CM1_">#REF!</definedName>
    <definedName name="CM3_" localSheetId="15">#REF!</definedName>
    <definedName name="CM3_" localSheetId="13">#REF!</definedName>
    <definedName name="CM3_" localSheetId="19">[3]Constantes!#REF!</definedName>
    <definedName name="CM3_" localSheetId="8">#REF!</definedName>
    <definedName name="CM3_" localSheetId="22">[3]Constantes!#REF!</definedName>
    <definedName name="CM3_" localSheetId="20">#REF!</definedName>
    <definedName name="CM3_" localSheetId="14">#REF!</definedName>
    <definedName name="CM3_" localSheetId="23">[3]Constantes!#REF!</definedName>
    <definedName name="CM3_">#REF!</definedName>
    <definedName name="CM4_" localSheetId="15">#REF!</definedName>
    <definedName name="CM4_" localSheetId="13">#REF!</definedName>
    <definedName name="CM4_" localSheetId="19">[3]Constantes!#REF!</definedName>
    <definedName name="CM4_" localSheetId="8">#REF!</definedName>
    <definedName name="CM4_" localSheetId="22">[3]Constantes!#REF!</definedName>
    <definedName name="CM4_" localSheetId="20">#REF!</definedName>
    <definedName name="CM4_" localSheetId="14">#REF!</definedName>
    <definedName name="CM4_" localSheetId="23">[3]Constantes!#REF!</definedName>
    <definedName name="CM4_">#REF!</definedName>
    <definedName name="CMA" localSheetId="15">#REF!</definedName>
    <definedName name="CMA" localSheetId="13">#REF!</definedName>
    <definedName name="CMA" localSheetId="19">[3]Constantes!#REF!</definedName>
    <definedName name="CMA" localSheetId="8">#REF!</definedName>
    <definedName name="CMA" localSheetId="22">[3]Constantes!#REF!</definedName>
    <definedName name="CMA" localSheetId="20">#REF!</definedName>
    <definedName name="CMA" localSheetId="14">#REF!</definedName>
    <definedName name="CMA" localSheetId="23">[3]Constantes!#REF!</definedName>
    <definedName name="CMA">#REF!</definedName>
    <definedName name="CMAX">#REF!</definedName>
    <definedName name="CMMO" localSheetId="15">#REF!</definedName>
    <definedName name="CMMO" localSheetId="13">#REF!</definedName>
    <definedName name="CMMO" localSheetId="19">[3]Constantes!#REF!</definedName>
    <definedName name="CMMO" localSheetId="8">#REF!</definedName>
    <definedName name="CMMO" localSheetId="22">[3]Constantes!#REF!</definedName>
    <definedName name="CMMO" localSheetId="20">#REF!</definedName>
    <definedName name="CMMO" localSheetId="14">#REF!</definedName>
    <definedName name="CMMO" localSheetId="23">[3]Constantes!#REF!</definedName>
    <definedName name="CMMO">#REF!</definedName>
    <definedName name="CMO" localSheetId="15">#REF!</definedName>
    <definedName name="CMO" localSheetId="13">#REF!</definedName>
    <definedName name="CMO" localSheetId="19">[3]Constantes!#REF!</definedName>
    <definedName name="CMO" localSheetId="8">#REF!</definedName>
    <definedName name="CMO" localSheetId="22">[3]Constantes!#REF!</definedName>
    <definedName name="CMO" localSheetId="20">#REF!</definedName>
    <definedName name="CMO" localSheetId="14">#REF!</definedName>
    <definedName name="CMO" localSheetId="23">[3]Constantes!#REF!</definedName>
    <definedName name="CMO">#REF!</definedName>
    <definedName name="CMOE" localSheetId="15">#REF!</definedName>
    <definedName name="CMOE" localSheetId="13">#REF!</definedName>
    <definedName name="CMOE" localSheetId="19">[3]Constantes!#REF!</definedName>
    <definedName name="CMOE" localSheetId="8">#REF!</definedName>
    <definedName name="CMOE" localSheetId="22">[3]Constantes!#REF!</definedName>
    <definedName name="CMOE" localSheetId="20">#REF!</definedName>
    <definedName name="CMOE" localSheetId="14">#REF!</definedName>
    <definedName name="CMOE" localSheetId="23">[3]Constantes!#REF!</definedName>
    <definedName name="CMOE">#REF!</definedName>
    <definedName name="CMP" localSheetId="15">#REF!</definedName>
    <definedName name="CMP" localSheetId="13">#REF!</definedName>
    <definedName name="CMP" localSheetId="19">[3]Constantes!#REF!</definedName>
    <definedName name="CMP" localSheetId="8">#REF!</definedName>
    <definedName name="CMP" localSheetId="22">[3]Constantes!#REF!</definedName>
    <definedName name="CMP" localSheetId="20">#REF!</definedName>
    <definedName name="CMP" localSheetId="14">#REF!</definedName>
    <definedName name="CMP" localSheetId="23">[3]Constantes!#REF!</definedName>
    <definedName name="CMP">#REF!</definedName>
    <definedName name="CMZ" localSheetId="15">#REF!</definedName>
    <definedName name="CMZ" localSheetId="13">#REF!</definedName>
    <definedName name="CMZ" localSheetId="19">[3]Constantes!#REF!</definedName>
    <definedName name="CMZ" localSheetId="8">#REF!</definedName>
    <definedName name="CMZ" localSheetId="22">[3]Constantes!#REF!</definedName>
    <definedName name="CMZ" localSheetId="20">#REF!</definedName>
    <definedName name="CMZ" localSheetId="14">#REF!</definedName>
    <definedName name="CMZ" localSheetId="23">[3]Constantes!#REF!</definedName>
    <definedName name="CMZ">#REF!</definedName>
    <definedName name="codigoanalisis" localSheetId="15">#REF!</definedName>
    <definedName name="codigoanalisis" localSheetId="13">#REF!</definedName>
    <definedName name="codigoanalisis" localSheetId="19">[3]Analisis!$C$4:$C$8106</definedName>
    <definedName name="codigoanalisis" localSheetId="8">#REF!</definedName>
    <definedName name="codigoanalisis" localSheetId="22">[3]Analisis!$C$4:$C$8106</definedName>
    <definedName name="codigoanalisis" localSheetId="20">#REF!</definedName>
    <definedName name="codigoanalisis" localSheetId="14">#REF!</definedName>
    <definedName name="codigoanalisis" localSheetId="23">[3]Analisis!$C$4:$C$8106</definedName>
    <definedName name="codigoanalisis">#REF!</definedName>
    <definedName name="codigoformulas" localSheetId="15">#REF!</definedName>
    <definedName name="codigoformulas" localSheetId="13">#REF!</definedName>
    <definedName name="codigoformulas" localSheetId="19">[3]Formulas!$A$3:$A$12</definedName>
    <definedName name="codigoformulas" localSheetId="8">#REF!</definedName>
    <definedName name="codigoformulas" localSheetId="22">[3]Formulas!$A$3:$A$12</definedName>
    <definedName name="codigoformulas" localSheetId="20">#REF!</definedName>
    <definedName name="codigoformulas" localSheetId="14">#REF!</definedName>
    <definedName name="codigoformulas" localSheetId="23">[3]Formulas!$A$3:$A$12</definedName>
    <definedName name="codigoformulas">#REF!</definedName>
    <definedName name="codigoinsumos" localSheetId="15">#REF!</definedName>
    <definedName name="codigoinsumos" localSheetId="13">#REF!</definedName>
    <definedName name="codigoinsumos" localSheetId="19">[3]Insumos!$A$2:$A$3250</definedName>
    <definedName name="codigoinsumos" localSheetId="8">#REF!</definedName>
    <definedName name="codigoinsumos" localSheetId="22">[3]Insumos!$A$2:$A$3250</definedName>
    <definedName name="codigoinsumos" localSheetId="20">#REF!</definedName>
    <definedName name="codigoinsumos" localSheetId="14">#REF!</definedName>
    <definedName name="codigoinsumos" localSheetId="23">[3]Insumos!$A$2:$A$3250</definedName>
    <definedName name="codigoinsumos">#REF!</definedName>
    <definedName name="codigoitems" localSheetId="15">#REF!</definedName>
    <definedName name="codigoitems" localSheetId="13">#REF!</definedName>
    <definedName name="codigoitems" localSheetId="19">[3]Items!$A$3:$A$1213</definedName>
    <definedName name="codigoitems" localSheetId="8">#REF!</definedName>
    <definedName name="codigoitems" localSheetId="22">[3]Items!$A$3:$A$1213</definedName>
    <definedName name="codigoitems" localSheetId="20">#REF!</definedName>
    <definedName name="codigoitems" localSheetId="14">#REF!</definedName>
    <definedName name="codigoitems" localSheetId="23">[3]Items!$A$3:$A$1213</definedName>
    <definedName name="codigoitems">#REF!</definedName>
    <definedName name="codigomat">#REF!</definedName>
    <definedName name="CodigoParametrico" localSheetId="7">#REF!</definedName>
    <definedName name="CodigoParametrico" localSheetId="3">#REF!</definedName>
    <definedName name="CodigoParametrico">#REF!</definedName>
    <definedName name="coef" localSheetId="5">#REF!</definedName>
    <definedName name="coef" localSheetId="6">#REF!</definedName>
    <definedName name="coef">#REF!</definedName>
    <definedName name="Coef_GG_B_I">#REF!</definedName>
    <definedName name="columna">#REF!</definedName>
    <definedName name="COLUMNAS" localSheetId="15">#REF!</definedName>
    <definedName name="COLUMNAS" localSheetId="13">#REF!</definedName>
    <definedName name="COLUMNAS" localSheetId="19">'[7]PRES PARCIAL'!$A$14:$F$159</definedName>
    <definedName name="COLUMNAS" localSheetId="8">#REF!</definedName>
    <definedName name="COLUMNAS" localSheetId="22">'[7]PRES PARCIAL'!$A$14:$F$159</definedName>
    <definedName name="COLUMNAS" localSheetId="20">#REF!</definedName>
    <definedName name="COLUMNAS" localSheetId="14">#REF!</definedName>
    <definedName name="COLUMNAS" localSheetId="23">'[7]PRES PARCIAL'!$A$14:$F$159</definedName>
    <definedName name="COLUMNAS">#REF!</definedName>
    <definedName name="Comb">#REF!</definedName>
    <definedName name="Combinaciones_cargas">#REF!</definedName>
    <definedName name="COMPANIA" localSheetId="15">#REF!</definedName>
    <definedName name="COMPANIA" localSheetId="13">#REF!</definedName>
    <definedName name="COMPANIA" localSheetId="19">[8]Computo!#REF!</definedName>
    <definedName name="COMPANIA" localSheetId="4">#REF!</definedName>
    <definedName name="COMPANIA" localSheetId="8">#REF!</definedName>
    <definedName name="COMPANIA" localSheetId="22">[8]Computo!#REF!</definedName>
    <definedName name="COMPANIA" localSheetId="20">#REF!</definedName>
    <definedName name="COMPANIA" localSheetId="14">#REF!</definedName>
    <definedName name="COMPANIA" localSheetId="23">[8]Computo!#REF!</definedName>
    <definedName name="COMPANIA">#REF!</definedName>
    <definedName name="COMPUTO">#REF!</definedName>
    <definedName name="COMPUTOS">#REF!</definedName>
    <definedName name="Constante_de_los_Gases">#REF!</definedName>
    <definedName name="constantes" localSheetId="15">#REF!</definedName>
    <definedName name="constantes" localSheetId="13">#REF!</definedName>
    <definedName name="constantes" localSheetId="19">[3]Constantes!$A$3:$D$30</definedName>
    <definedName name="constantes" localSheetId="8">#REF!</definedName>
    <definedName name="constantes" localSheetId="22">[3]Constantes!$A$3:$D$30</definedName>
    <definedName name="constantes" localSheetId="20">#REF!</definedName>
    <definedName name="constantes" localSheetId="14">#REF!</definedName>
    <definedName name="constantes" localSheetId="23">[3]Constantes!$A$3:$D$30</definedName>
    <definedName name="constantes">#REF!</definedName>
    <definedName name="Consumo">#REF!</definedName>
    <definedName name="Contribucion_Patronal_s_Decreto_2641" localSheetId="15">#REF!</definedName>
    <definedName name="Contribucion_Patronal_s_Decreto_2641" localSheetId="13">#REF!</definedName>
    <definedName name="Contribucion_Patronal_s_Decreto_2641" localSheetId="19">[3]Constantes!$C$50</definedName>
    <definedName name="Contribucion_Patronal_s_Decreto_2641" localSheetId="8">#REF!</definedName>
    <definedName name="Contribucion_Patronal_s_Decreto_2641" localSheetId="22">[3]Constantes!$C$50</definedName>
    <definedName name="Contribucion_Patronal_s_Decreto_2641" localSheetId="20">#REF!</definedName>
    <definedName name="Contribucion_Patronal_s_Decreto_2641" localSheetId="14">#REF!</definedName>
    <definedName name="Contribucion_Patronal_s_Decreto_2641" localSheetId="23">[3]Constantes!$C$50</definedName>
    <definedName name="Contribucion_Patronal_s_Decreto_2641">#REF!</definedName>
    <definedName name="copete" localSheetId="15">#REF!</definedName>
    <definedName name="copete" localSheetId="13">#REF!</definedName>
    <definedName name="copete" localSheetId="19">[3]Copete!$C$2:$H$6</definedName>
    <definedName name="copete" localSheetId="8">#REF!</definedName>
    <definedName name="copete" localSheetId="22">[3]Copete!$C$2:$H$6</definedName>
    <definedName name="copete" localSheetId="20">#REF!</definedName>
    <definedName name="copete" localSheetId="14">#REF!</definedName>
    <definedName name="copete" localSheetId="23">[3]Copete!$C$2:$H$6</definedName>
    <definedName name="copete">#REF!</definedName>
    <definedName name="COPIA">#REF!</definedName>
    <definedName name="Correa">#REF!</definedName>
    <definedName name="COSTO">#N/A</definedName>
    <definedName name="COSTO_DIRECTO">#REF!</definedName>
    <definedName name="COSTO_INDIRECTO">#REF!</definedName>
    <definedName name="CostoEquipos">#REF!</definedName>
    <definedName name="coti3" localSheetId="21">#REF!</definedName>
    <definedName name="coti3" localSheetId="7">#REF!</definedName>
    <definedName name="coti3" localSheetId="3">#REF!</definedName>
    <definedName name="coti3">#REF!</definedName>
    <definedName name="coti4" localSheetId="21">#REF!</definedName>
    <definedName name="coti4" localSheetId="7">#REF!</definedName>
    <definedName name="coti4" localSheetId="3">#REF!</definedName>
    <definedName name="coti4">#REF!</definedName>
    <definedName name="Cotizador_automatico_del_pedido." localSheetId="21">#REF!</definedName>
    <definedName name="Cotizador_automatico_del_pedido." localSheetId="7">#REF!</definedName>
    <definedName name="Cotizador_automatico_del_pedido." localSheetId="3">#REF!</definedName>
    <definedName name="Cotizador_automatico_del_pedido.">#REF!</definedName>
    <definedName name="cotizador2" localSheetId="21">#REF!</definedName>
    <definedName name="cotizador2" localSheetId="4">#REF!</definedName>
    <definedName name="cotizador2">#REF!</definedName>
    <definedName name="CreditoFiscal">#REF!</definedName>
    <definedName name="_xlnm.Criteria">#REF!</definedName>
    <definedName name="Crracceso">#REF!</definedName>
    <definedName name="Crracondct">#REF!</definedName>
    <definedName name="Crralcantarilla">#REF!</definedName>
    <definedName name="Crralcantarillareadec">#REF!</definedName>
    <definedName name="Crralteomyg">#REF!</definedName>
    <definedName name="CrrApartido">#REF!</definedName>
    <definedName name="Crrapoyos">#REF!</definedName>
    <definedName name="Crrbacheo">#REF!</definedName>
    <definedName name="Crrbandason">#REF!</definedName>
    <definedName name="Crrbandasonreadec">#REF!</definedName>
    <definedName name="Crrbanquina">#REF!</definedName>
    <definedName name="Crrbaranda">#REF!</definedName>
    <definedName name="Crrbarandareadec">#REF!</definedName>
    <definedName name="Crrbase">#REF!</definedName>
    <definedName name="Crrcabezales">#REF!</definedName>
    <definedName name="Crrcalzadahorm">#REF!</definedName>
    <definedName name="Crrcalzadas">#REF!</definedName>
    <definedName name="Crrcarpeta">#REF!</definedName>
    <definedName name="Crrcarpetariego">#REF!</definedName>
    <definedName name="CrrCCura">#REF!</definedName>
    <definedName name="Crrciclovía">#REF!</definedName>
    <definedName name="Crrcolumnas">#REF!</definedName>
    <definedName name="crrcortepasto">#REF!</definedName>
    <definedName name="Crrdemolicion">#REF!</definedName>
    <definedName name="crrdesembanque">#REF!</definedName>
    <definedName name="Crrescarifbanq">#REF!</definedName>
    <definedName name="Crrescarificado">#REF!</definedName>
    <definedName name="Crrestribos">#REF!</definedName>
    <definedName name="Crrexcavacion">#REF!</definedName>
    <definedName name="Crrexcavacionreadec">#REF!</definedName>
    <definedName name="Crrgaviones">#REF!</definedName>
    <definedName name="Crrhor">#REF!</definedName>
    <definedName name="CrrhorC">#REF!</definedName>
    <definedName name="CrrhorCreadec">#REF!</definedName>
    <definedName name="Crrimprimacion">#REF!</definedName>
    <definedName name="Crrimprimrefor">#REF!</definedName>
    <definedName name="Crrinvernal">#REF!</definedName>
    <definedName name="Crrjunta">#REF!</definedName>
    <definedName name="Crrjuntadil">#REF!</definedName>
    <definedName name="Crrjuntas">#REF!</definedName>
    <definedName name="Crrlimpieza">#REF!</definedName>
    <definedName name="Crrlimpseñales">#REF!</definedName>
    <definedName name="Crrlimptransp">#REF!</definedName>
    <definedName name="Crrlosa">#REF!</definedName>
    <definedName name="Crrmatbase">#REF!</definedName>
    <definedName name="Crrmicroaglom">#REF!</definedName>
    <definedName name="Crrmicroaglomreadec">#REF!</definedName>
    <definedName name="Crrmontaje">#REF!</definedName>
    <definedName name="Crrpasamano">#REF!</definedName>
    <definedName name="Crrperfilado">#REF!</definedName>
    <definedName name="Crrpilotes">#REF!</definedName>
    <definedName name="Crrpintado">#REF!</definedName>
    <definedName name="Crrpretiles">#REF!</definedName>
    <definedName name="Crrprolongacion">#REF!</definedName>
    <definedName name="Crrprolongacionreadec">#REF!</definedName>
    <definedName name="Crrproteccion">#REF!</definedName>
    <definedName name="Crrreadsistdren1071">#REF!</definedName>
    <definedName name="Crrrelleno">#REF!</definedName>
    <definedName name="Crrrep8026">#REF!</definedName>
    <definedName name="Crrrepalc">#REF!</definedName>
    <definedName name="Crrrestdrenajereadec">#REF!</definedName>
    <definedName name="Crrretderrumbe">#REF!</definedName>
    <definedName name="Crrretrecolbaranda">#REF!</definedName>
    <definedName name="CrrRHermoso">#REF!</definedName>
    <definedName name="Crrriego">#REF!</definedName>
    <definedName name="Crrrotondas">#REF!</definedName>
    <definedName name="Crrsandef">#REF!</definedName>
    <definedName name="Crrsellado">#REF!</definedName>
    <definedName name="Crrsenda">#REF!</definedName>
    <definedName name="Crrseñalamientoreadec">#REF!</definedName>
    <definedName name="Crrseñalextrusion">#REF!</definedName>
    <definedName name="Crrseñalextrusionreadec">#REF!</definedName>
    <definedName name="Crrseñalizacion">#REF!</definedName>
    <definedName name="Crrseñalizacionreadec">#REF!</definedName>
    <definedName name="Crrseñalvertreadec">#REF!</definedName>
    <definedName name="Crrsistdren">#REF!</definedName>
    <definedName name="Crrsistdrenreadec">#REF!</definedName>
    <definedName name="Crrsubbase">#REF!</definedName>
    <definedName name="Crrterraplen">#REF!</definedName>
    <definedName name="Crrterraplenreadec">#REF!</definedName>
    <definedName name="Crrterrsincomp">#REF!</definedName>
    <definedName name="Crrtravesia">#REF!</definedName>
    <definedName name="Crrvigas">#REF!</definedName>
    <definedName name="Cuad.">#REF!</definedName>
    <definedName name="CUANT">#N/A</definedName>
    <definedName name="cub">#REF!</definedName>
    <definedName name="cucu">#REF!</definedName>
    <definedName name="Cus">#REF!</definedName>
    <definedName name="d" localSheetId="5">#REF!</definedName>
    <definedName name="d" localSheetId="6">#REF!</definedName>
    <definedName name="d">#REF!</definedName>
    <definedName name="d.10" localSheetId="15">#REF!</definedName>
    <definedName name="d.10" localSheetId="13">#REF!</definedName>
    <definedName name="d.10" localSheetId="19">[9]Computo!$N$5</definedName>
    <definedName name="d.10" localSheetId="8">#REF!</definedName>
    <definedName name="d.10" localSheetId="22">[9]Computo!$N$5</definedName>
    <definedName name="d.10" localSheetId="20">#REF!</definedName>
    <definedName name="d.10" localSheetId="14">#REF!</definedName>
    <definedName name="d.10" localSheetId="23">[9]Computo!$N$5</definedName>
    <definedName name="d.10">#REF!</definedName>
    <definedName name="d.12" localSheetId="15">#REF!</definedName>
    <definedName name="d.12" localSheetId="13">#REF!</definedName>
    <definedName name="d.12" localSheetId="19">[9]Computo!$N$6</definedName>
    <definedName name="d.12" localSheetId="8">#REF!</definedName>
    <definedName name="d.12" localSheetId="22">[9]Computo!$N$6</definedName>
    <definedName name="d.12" localSheetId="20">#REF!</definedName>
    <definedName name="d.12" localSheetId="14">#REF!</definedName>
    <definedName name="d.12" localSheetId="23">[9]Computo!$N$6</definedName>
    <definedName name="d.12">#REF!</definedName>
    <definedName name="d.16" localSheetId="15">#REF!</definedName>
    <definedName name="d.16" localSheetId="13">#REF!</definedName>
    <definedName name="d.16" localSheetId="19">[9]Computo!$N$7</definedName>
    <definedName name="d.16" localSheetId="8">#REF!</definedName>
    <definedName name="d.16" localSheetId="22">[9]Computo!$N$7</definedName>
    <definedName name="d.16" localSheetId="20">#REF!</definedName>
    <definedName name="d.16" localSheetId="14">#REF!</definedName>
    <definedName name="d.16" localSheetId="23">[9]Computo!$N$7</definedName>
    <definedName name="d.16">#REF!</definedName>
    <definedName name="d.20" localSheetId="15">#REF!</definedName>
    <definedName name="d.20" localSheetId="13">#REF!</definedName>
    <definedName name="d.20" localSheetId="19">[9]Computo!$N$8</definedName>
    <definedName name="d.20" localSheetId="8">#REF!</definedName>
    <definedName name="d.20" localSheetId="22">[9]Computo!$N$8</definedName>
    <definedName name="d.20" localSheetId="20">#REF!</definedName>
    <definedName name="d.20" localSheetId="14">#REF!</definedName>
    <definedName name="d.20" localSheetId="23">[9]Computo!$N$8</definedName>
    <definedName name="d.20">#REF!</definedName>
    <definedName name="d.25" localSheetId="15">#REF!</definedName>
    <definedName name="d.25" localSheetId="13">#REF!</definedName>
    <definedName name="d.25" localSheetId="19">[9]Computo!$N$9</definedName>
    <definedName name="d.25" localSheetId="8">#REF!</definedName>
    <definedName name="d.25" localSheetId="22">[9]Computo!$N$9</definedName>
    <definedName name="d.25" localSheetId="20">#REF!</definedName>
    <definedName name="d.25" localSheetId="14">#REF!</definedName>
    <definedName name="d.25" localSheetId="23">[9]Computo!$N$9</definedName>
    <definedName name="d.25">#REF!</definedName>
    <definedName name="d.6" localSheetId="15">#REF!</definedName>
    <definedName name="d.6" localSheetId="13">#REF!</definedName>
    <definedName name="d.6" localSheetId="19">[9]Computo!$N$3</definedName>
    <definedName name="d.6" localSheetId="8">#REF!</definedName>
    <definedName name="d.6" localSheetId="22">[9]Computo!$N$3</definedName>
    <definedName name="d.6" localSheetId="20">#REF!</definedName>
    <definedName name="d.6" localSheetId="14">#REF!</definedName>
    <definedName name="d.6" localSheetId="23">[9]Computo!$N$3</definedName>
    <definedName name="d.6">#REF!</definedName>
    <definedName name="d.8" localSheetId="15">#REF!</definedName>
    <definedName name="d.8" localSheetId="13">#REF!</definedName>
    <definedName name="d.8" localSheetId="19">[9]Computo!$N$4</definedName>
    <definedName name="d.8" localSheetId="8">#REF!</definedName>
    <definedName name="d.8" localSheetId="22">[9]Computo!$N$4</definedName>
    <definedName name="d.8" localSheetId="20">#REF!</definedName>
    <definedName name="d.8" localSheetId="14">#REF!</definedName>
    <definedName name="d.8" localSheetId="23">[9]Computo!$N$4</definedName>
    <definedName name="d.8">#REF!</definedName>
    <definedName name="Data">#REF!</definedName>
    <definedName name="_xlnm.Database">#REF!</definedName>
    <definedName name="DATOS">#REF!</definedName>
    <definedName name="DCC" localSheetId="15">#REF!</definedName>
    <definedName name="DCC" localSheetId="13">#REF!</definedName>
    <definedName name="DCC" localSheetId="19">[3]Constantes!#REF!</definedName>
    <definedName name="DCC" localSheetId="8">#REF!</definedName>
    <definedName name="DCC" localSheetId="22">[3]Constantes!#REF!</definedName>
    <definedName name="DCC" localSheetId="20">#REF!</definedName>
    <definedName name="DCC" localSheetId="14">#REF!</definedName>
    <definedName name="DCC" localSheetId="23">[3]Constantes!#REF!</definedName>
    <definedName name="DCC">#REF!</definedName>
    <definedName name="ddlim">#REF!</definedName>
    <definedName name="decimal" localSheetId="15" hidden="1">{"DECIMAL",#N/A,FALSE,"02"}</definedName>
    <definedName name="decimal" localSheetId="13" hidden="1">{"DECIMAL",#N/A,FALSE,"02"}</definedName>
    <definedName name="decimal" localSheetId="8" hidden="1">{"DECIMAL",#N/A,FALSE,"02"}</definedName>
    <definedName name="decimal" localSheetId="14" hidden="1">{"DECIMAL",#N/A,FALSE,"02"}</definedName>
    <definedName name="decimal" hidden="1">{"DECIMAL",#N/A,FALSE,"02"}</definedName>
    <definedName name="Decreto_2641_02" localSheetId="15">#REF!</definedName>
    <definedName name="Decreto_2641_02" localSheetId="13">#REF!</definedName>
    <definedName name="Decreto_2641_02" localSheetId="19">[3]Constantes!$C$49</definedName>
    <definedName name="Decreto_2641_02" localSheetId="8">#REF!</definedName>
    <definedName name="Decreto_2641_02" localSheetId="22">[3]Constantes!$C$49</definedName>
    <definedName name="Decreto_2641_02" localSheetId="20">#REF!</definedName>
    <definedName name="Decreto_2641_02" localSheetId="14">#REF!</definedName>
    <definedName name="Decreto_2641_02" localSheetId="23">[3]Constantes!$C$49</definedName>
    <definedName name="Decreto_2641_02">#REF!</definedName>
    <definedName name="DEESP" localSheetId="15">#REF!</definedName>
    <definedName name="DEESP" localSheetId="13">#REF!</definedName>
    <definedName name="DEESP" localSheetId="19">[3]Constantes!#REF!</definedName>
    <definedName name="DEESP" localSheetId="7">#REF!</definedName>
    <definedName name="DEESP" localSheetId="8">#REF!</definedName>
    <definedName name="DEESP" localSheetId="22">[3]Constantes!#REF!</definedName>
    <definedName name="DEESP" localSheetId="20">#REF!</definedName>
    <definedName name="DEESP" localSheetId="3">#REF!</definedName>
    <definedName name="DEESP" localSheetId="14">#REF!</definedName>
    <definedName name="DEESP" localSheetId="23">[3]Constantes!#REF!</definedName>
    <definedName name="DEESP">#REF!</definedName>
    <definedName name="DELTA">#N/A</definedName>
    <definedName name="DenominacionAcero" localSheetId="8">#REF!</definedName>
    <definedName name="DenominacionAcero">#REF!</definedName>
    <definedName name="DenominacioPerfiles" localSheetId="15">#REF!</definedName>
    <definedName name="DenominacioPerfiles" localSheetId="13">#REF!</definedName>
    <definedName name="DenominacioPerfiles" localSheetId="8">#REF!</definedName>
    <definedName name="DenominacioPerfiles" localSheetId="14">#REF!</definedName>
    <definedName name="DenominacioPerfiles">#REF!</definedName>
    <definedName name="Descuentos" localSheetId="21">#REF!</definedName>
    <definedName name="Descuentos" localSheetId="7">#REF!</definedName>
    <definedName name="Descuentos" localSheetId="8">#REF!</definedName>
    <definedName name="Descuentos" localSheetId="3">#REF!</definedName>
    <definedName name="Descuentos">#REF!</definedName>
    <definedName name="Descuentos2" localSheetId="21">#REF!</definedName>
    <definedName name="Descuentos2" localSheetId="7">#REF!</definedName>
    <definedName name="Descuentos2" localSheetId="3">#REF!</definedName>
    <definedName name="Descuentos2">#REF!</definedName>
    <definedName name="Desperdicio_Armadura" localSheetId="15">#REF!</definedName>
    <definedName name="Desperdicio_Armadura" localSheetId="13">#REF!</definedName>
    <definedName name="Desperdicio_Armadura" localSheetId="19">[3]Constantes!$C$26</definedName>
    <definedName name="Desperdicio_Armadura" localSheetId="8">#REF!</definedName>
    <definedName name="Desperdicio_Armadura" localSheetId="22">[3]Constantes!$C$26</definedName>
    <definedName name="Desperdicio_Armadura" localSheetId="20">#REF!</definedName>
    <definedName name="Desperdicio_Armadura" localSheetId="14">#REF!</definedName>
    <definedName name="Desperdicio_Armadura" localSheetId="23">[3]Constantes!$C$26</definedName>
    <definedName name="Desperdicio_Armadura">#REF!</definedName>
    <definedName name="Destino_Edificio">#REF!</definedName>
    <definedName name="Detalle" localSheetId="15" hidden="1">{"NORMAL",#N/A,FALSE,"02"}</definedName>
    <definedName name="Detalle" localSheetId="13" hidden="1">{"NORMAL",#N/A,FALSE,"02"}</definedName>
    <definedName name="Detalle" localSheetId="8" hidden="1">{"NORMAL",#N/A,FALSE,"02"}</definedName>
    <definedName name="Detalle" localSheetId="14" hidden="1">{"NORMAL",#N/A,FALSE,"02"}</definedName>
    <definedName name="Detalle" hidden="1">{"NORMAL",#N/A,FALSE,"02"}</definedName>
    <definedName name="dF">#REF!</definedName>
    <definedName name="dfgsgsg">#REF!</definedName>
    <definedName name="DHDAM" localSheetId="15">#REF!</definedName>
    <definedName name="DHDAM" localSheetId="13">#REF!</definedName>
    <definedName name="DHDAM" localSheetId="19">[3]Constantes!#REF!</definedName>
    <definedName name="DHDAM" localSheetId="7">#REF!</definedName>
    <definedName name="DHDAM" localSheetId="8">#REF!</definedName>
    <definedName name="DHDAM" localSheetId="22">[3]Constantes!#REF!</definedName>
    <definedName name="DHDAM" localSheetId="20">#REF!</definedName>
    <definedName name="DHDAM" localSheetId="3">#REF!</definedName>
    <definedName name="DHDAM" localSheetId="14">#REF!</definedName>
    <definedName name="DHDAM" localSheetId="23">[3]Constantes!#REF!</definedName>
    <definedName name="DHDAM">#REF!</definedName>
    <definedName name="DHDD" localSheetId="15">#REF!</definedName>
    <definedName name="DHDD" localSheetId="13">#REF!</definedName>
    <definedName name="DHDD" localSheetId="19">[3]Constantes!#REF!</definedName>
    <definedName name="DHDD" localSheetId="7">#REF!</definedName>
    <definedName name="DHDD" localSheetId="8">#REF!</definedName>
    <definedName name="DHDD" localSheetId="22">[3]Constantes!#REF!</definedName>
    <definedName name="DHDD" localSheetId="20">#REF!</definedName>
    <definedName name="DHDD" localSheetId="3">#REF!</definedName>
    <definedName name="DHDD" localSheetId="14">#REF!</definedName>
    <definedName name="DHDD" localSheetId="23">[3]Constantes!#REF!</definedName>
    <definedName name="DHDD">#REF!</definedName>
    <definedName name="DHDDA" localSheetId="15">#REF!</definedName>
    <definedName name="DHDDA" localSheetId="13">#REF!</definedName>
    <definedName name="DHDDA" localSheetId="19">[3]Constantes!#REF!</definedName>
    <definedName name="DHDDA" localSheetId="7">#REF!</definedName>
    <definedName name="DHDDA" localSheetId="8">#REF!</definedName>
    <definedName name="DHDDA" localSheetId="22">[3]Constantes!#REF!</definedName>
    <definedName name="DHDDA" localSheetId="20">#REF!</definedName>
    <definedName name="DHDDA" localSheetId="3">#REF!</definedName>
    <definedName name="DHDDA" localSheetId="14">#REF!</definedName>
    <definedName name="DHDDA" localSheetId="23">[3]Constantes!#REF!</definedName>
    <definedName name="DHDDA">#REF!</definedName>
    <definedName name="DHDDB" localSheetId="15">#REF!</definedName>
    <definedName name="DHDDB" localSheetId="13">#REF!</definedName>
    <definedName name="DHDDB" localSheetId="19">[10]Constantes!$C$209</definedName>
    <definedName name="DHDDB" localSheetId="8">#REF!</definedName>
    <definedName name="DHDDB" localSheetId="22">[10]Constantes!$C$209</definedName>
    <definedName name="DHDDB" localSheetId="20">#REF!</definedName>
    <definedName name="DHDDB" localSheetId="14">#REF!</definedName>
    <definedName name="DHDDB" localSheetId="23">[10]Constantes!$C$209</definedName>
    <definedName name="DHDDB">#REF!</definedName>
    <definedName name="DHDDE" localSheetId="15">#REF!</definedName>
    <definedName name="DHDDE" localSheetId="13">#REF!</definedName>
    <definedName name="DHDDE" localSheetId="19">[3]Constantes!#REF!</definedName>
    <definedName name="DHDDE" localSheetId="7">#REF!</definedName>
    <definedName name="DHDDE" localSheetId="8">#REF!</definedName>
    <definedName name="DHDDE" localSheetId="22">[3]Constantes!#REF!</definedName>
    <definedName name="DHDDE" localSheetId="20">#REF!</definedName>
    <definedName name="DHDDE" localSheetId="3">#REF!</definedName>
    <definedName name="DHDDE" localSheetId="14">#REF!</definedName>
    <definedName name="DHDDE" localSheetId="23">[3]Constantes!#REF!</definedName>
    <definedName name="DHDDE">#REF!</definedName>
    <definedName name="DHDEM" localSheetId="15">#REF!</definedName>
    <definedName name="DHDEM" localSheetId="13">#REF!</definedName>
    <definedName name="DHDEM" localSheetId="19">[3]Constantes!#REF!</definedName>
    <definedName name="DHDEM" localSheetId="7">#REF!</definedName>
    <definedName name="DHDEM" localSheetId="8">#REF!</definedName>
    <definedName name="DHDEM" localSheetId="22">[3]Constantes!#REF!</definedName>
    <definedName name="DHDEM" localSheetId="20">#REF!</definedName>
    <definedName name="DHDEM" localSheetId="3">#REF!</definedName>
    <definedName name="DHDEM" localSheetId="14">#REF!</definedName>
    <definedName name="DHDEM" localSheetId="23">[3]Constantes!#REF!</definedName>
    <definedName name="DHDEM">#REF!</definedName>
    <definedName name="DHDPO" localSheetId="15">#REF!</definedName>
    <definedName name="DHDPO" localSheetId="13">#REF!</definedName>
    <definedName name="DHDPO" localSheetId="19">[3]Constantes!#REF!</definedName>
    <definedName name="DHDPO" localSheetId="7">#REF!</definedName>
    <definedName name="DHDPO" localSheetId="8">#REF!</definedName>
    <definedName name="DHDPO" localSheetId="22">[3]Constantes!#REF!</definedName>
    <definedName name="DHDPO" localSheetId="20">#REF!</definedName>
    <definedName name="DHDPO" localSheetId="3">#REF!</definedName>
    <definedName name="DHDPO" localSheetId="14">#REF!</definedName>
    <definedName name="DHDPO" localSheetId="23">[3]Constantes!#REF!</definedName>
    <definedName name="DHDPO">#REF!</definedName>
    <definedName name="DHMPO" localSheetId="15">#REF!</definedName>
    <definedName name="DHMPO" localSheetId="13">#REF!</definedName>
    <definedName name="DHMPO" localSheetId="19">[3]Constantes!#REF!</definedName>
    <definedName name="DHMPO" localSheetId="7">#REF!</definedName>
    <definedName name="DHMPO" localSheetId="8">#REF!</definedName>
    <definedName name="DHMPO" localSheetId="22">[3]Constantes!#REF!</definedName>
    <definedName name="DHMPO" localSheetId="20">#REF!</definedName>
    <definedName name="DHMPO" localSheetId="3">#REF!</definedName>
    <definedName name="DHMPO" localSheetId="14">#REF!</definedName>
    <definedName name="DHMPO" localSheetId="23">[3]Constantes!#REF!</definedName>
    <definedName name="DHMPO">#REF!</definedName>
    <definedName name="DIAMETROS" localSheetId="8">#REF!</definedName>
    <definedName name="DIAMETROS">#REF!</definedName>
    <definedName name="Diámetros_y_Espesores_de_P.V.C.">#REF!</definedName>
    <definedName name="Dias_Enfermedad" localSheetId="15">#REF!</definedName>
    <definedName name="Dias_Enfermedad" localSheetId="13">#REF!</definedName>
    <definedName name="Dias_Enfermedad" localSheetId="19">[3]Constantes!$C$42</definedName>
    <definedName name="Dias_Enfermedad" localSheetId="8">#REF!</definedName>
    <definedName name="Dias_Enfermedad" localSheetId="22">[3]Constantes!$C$42</definedName>
    <definedName name="Dias_Enfermedad" localSheetId="20">#REF!</definedName>
    <definedName name="Dias_Enfermedad" localSheetId="14">#REF!</definedName>
    <definedName name="Dias_Enfermedad" localSheetId="23">[3]Constantes!$C$42</definedName>
    <definedName name="Dias_Enfermedad">#REF!</definedName>
    <definedName name="Diesel">#REF!</definedName>
    <definedName name="dil">#REF!</definedName>
    <definedName name="DINTS" localSheetId="15">#REF!</definedName>
    <definedName name="DINTS" localSheetId="13">#REF!</definedName>
    <definedName name="DINTS" localSheetId="19">[3]Constantes!#REF!</definedName>
    <definedName name="DINTS" localSheetId="7">#REF!</definedName>
    <definedName name="DINTS" localSheetId="8">#REF!</definedName>
    <definedName name="DINTS" localSheetId="22">[3]Constantes!#REF!</definedName>
    <definedName name="DINTS" localSheetId="20">#REF!</definedName>
    <definedName name="DINTS" localSheetId="3">#REF!</definedName>
    <definedName name="DINTS" localSheetId="14">#REF!</definedName>
    <definedName name="DINTS" localSheetId="23">[3]Constantes!#REF!</definedName>
    <definedName name="DINTS">#REF!</definedName>
    <definedName name="dlim" localSheetId="8">#REF!</definedName>
    <definedName name="dlim">#REF!</definedName>
    <definedName name="DMPGR" localSheetId="15">#REF!</definedName>
    <definedName name="DMPGR" localSheetId="13">#REF!</definedName>
    <definedName name="DMPGR" localSheetId="19">[3]Constantes!$C$21</definedName>
    <definedName name="DMPGR" localSheetId="8">#REF!</definedName>
    <definedName name="DMPGR" localSheetId="22">[3]Constantes!$C$21</definedName>
    <definedName name="DMPGR" localSheetId="20">#REF!</definedName>
    <definedName name="DMPGR" localSheetId="14">#REF!</definedName>
    <definedName name="DMPGR" localSheetId="23">[3]Constantes!$C$21</definedName>
    <definedName name="DMPGR">#REF!</definedName>
    <definedName name="DMPGRAM" localSheetId="15">#REF!</definedName>
    <definedName name="DMPGRAM" localSheetId="13">#REF!</definedName>
    <definedName name="DMPGRAM" localSheetId="19">[3]Constantes!$C$22</definedName>
    <definedName name="DMPGRAM" localSheetId="8">#REF!</definedName>
    <definedName name="DMPGRAM" localSheetId="22">[3]Constantes!$C$22</definedName>
    <definedName name="DMPGRAM" localSheetId="20">#REF!</definedName>
    <definedName name="DMPGRAM" localSheetId="14">#REF!</definedName>
    <definedName name="DMPGRAM" localSheetId="23">[3]Constantes!$C$22</definedName>
    <definedName name="DMPGRAM">#REF!</definedName>
    <definedName name="docum">#REF!</definedName>
    <definedName name="DOLAR">#REF!</definedName>
    <definedName name="Dólar">#REF!</definedName>
    <definedName name="Dollar">#REF!</definedName>
    <definedName name="DR">#REF!</definedName>
    <definedName name="DRdos">#REF!</definedName>
    <definedName name="DReq">#REF!</definedName>
    <definedName name="DReqdos">#REF!</definedName>
    <definedName name="DRuno">#REF!</definedName>
    <definedName name="drwtr">#REF!</definedName>
    <definedName name="DTHBMPG" localSheetId="15">#REF!</definedName>
    <definedName name="DTHBMPG" localSheetId="13">#REF!</definedName>
    <definedName name="DTHBMPG" localSheetId="19">[3]Constantes!$C$15</definedName>
    <definedName name="DTHBMPG" localSheetId="8">#REF!</definedName>
    <definedName name="DTHBMPG" localSheetId="22">[3]Constantes!$C$15</definedName>
    <definedName name="DTHBMPG" localSheetId="20">#REF!</definedName>
    <definedName name="DTHBMPG" localSheetId="14">#REF!</definedName>
    <definedName name="DTHBMPG" localSheetId="23">[3]Constantes!$C$15</definedName>
    <definedName name="DTHBMPG">#REF!</definedName>
    <definedName name="DTHDABM" localSheetId="15">#REF!</definedName>
    <definedName name="DTHDABM" localSheetId="13">#REF!</definedName>
    <definedName name="DTHDABM" localSheetId="19">[3]Constantes!$C$20</definedName>
    <definedName name="DTHDABM" localSheetId="8">#REF!</definedName>
    <definedName name="DTHDABM" localSheetId="22">[3]Constantes!$C$20</definedName>
    <definedName name="DTHDABM" localSheetId="20">#REF!</definedName>
    <definedName name="DTHDABM" localSheetId="14">#REF!</definedName>
    <definedName name="DTHDABM" localSheetId="23">[3]Constantes!$C$20</definedName>
    <definedName name="DTHDABM">#REF!</definedName>
    <definedName name="DTHDAPM" localSheetId="15">#REF!</definedName>
    <definedName name="DTHDAPM" localSheetId="13">#REF!</definedName>
    <definedName name="DTHDAPM" localSheetId="19">[3]Constantes!$C$18</definedName>
    <definedName name="DTHDAPM" localSheetId="8">#REF!</definedName>
    <definedName name="DTHDAPM" localSheetId="22">[3]Constantes!$C$18</definedName>
    <definedName name="DTHDAPM" localSheetId="20">#REF!</definedName>
    <definedName name="DTHDAPM" localSheetId="14">#REF!</definedName>
    <definedName name="DTHDAPM" localSheetId="23">[3]Constantes!$C$18</definedName>
    <definedName name="DTHDAPM">#REF!</definedName>
    <definedName name="DTHDBPM" localSheetId="15">#REF!</definedName>
    <definedName name="DTHDBPM" localSheetId="13">#REF!</definedName>
    <definedName name="DTHDBPM" localSheetId="19">[3]Constantes!$C$13</definedName>
    <definedName name="DTHDBPM" localSheetId="8">#REF!</definedName>
    <definedName name="DTHDBPM" localSheetId="22">[3]Constantes!$C$13</definedName>
    <definedName name="DTHDBPM" localSheetId="20">#REF!</definedName>
    <definedName name="DTHDBPM" localSheetId="14">#REF!</definedName>
    <definedName name="DTHDBPM" localSheetId="23">[3]Constantes!$C$13</definedName>
    <definedName name="DTHDBPM">#REF!</definedName>
    <definedName name="DTHPDCO" localSheetId="15">#REF!</definedName>
    <definedName name="DTHPDCO" localSheetId="13">#REF!</definedName>
    <definedName name="DTHPDCO" localSheetId="19">[3]Constantes!$C$19</definedName>
    <definedName name="DTHPDCO" localSheetId="8">#REF!</definedName>
    <definedName name="DTHPDCO" localSheetId="22">[3]Constantes!$C$19</definedName>
    <definedName name="DTHPDCO" localSheetId="20">#REF!</definedName>
    <definedName name="DTHPDCO" localSheetId="14">#REF!</definedName>
    <definedName name="DTHPDCO" localSheetId="23">[3]Constantes!$C$19</definedName>
    <definedName name="DTHPDCO">#REF!</definedName>
    <definedName name="DTHPDDA" localSheetId="15">#REF!</definedName>
    <definedName name="DTHPDDA" localSheetId="13">#REF!</definedName>
    <definedName name="DTHPDDA" localSheetId="19">[3]Constantes!$C$17</definedName>
    <definedName name="DTHPDDA" localSheetId="8">#REF!</definedName>
    <definedName name="DTHPDDA" localSheetId="22">[3]Constantes!$C$17</definedName>
    <definedName name="DTHPDDA" localSheetId="20">#REF!</definedName>
    <definedName name="DTHPDDA" localSheetId="14">#REF!</definedName>
    <definedName name="DTHPDDA" localSheetId="23">[3]Constantes!$C$17</definedName>
    <definedName name="DTHPDDA">#REF!</definedName>
    <definedName name="DTHPDDB" localSheetId="15">#REF!</definedName>
    <definedName name="DTHPDDB" localSheetId="13">#REF!</definedName>
    <definedName name="DTHPDDB" localSheetId="19">[3]Constantes!$C$12</definedName>
    <definedName name="DTHPDDB" localSheetId="8">#REF!</definedName>
    <definedName name="DTHPDDB" localSheetId="22">[3]Constantes!$C$12</definedName>
    <definedName name="DTHPDDB" localSheetId="20">#REF!</definedName>
    <definedName name="DTHPDDB" localSheetId="14">#REF!</definedName>
    <definedName name="DTHPDDB" localSheetId="23">[3]Constantes!$C$12</definedName>
    <definedName name="DTHPDDB">#REF!</definedName>
    <definedName name="DTHPGCO" localSheetId="15">#REF!</definedName>
    <definedName name="DTHPGCO" localSheetId="13">#REF!</definedName>
    <definedName name="DTHPGCO" localSheetId="19">[3]Constantes!$C$16</definedName>
    <definedName name="DTHPGCO" localSheetId="8">#REF!</definedName>
    <definedName name="DTHPGCO" localSheetId="22">[3]Constantes!$C$16</definedName>
    <definedName name="DTHPGCO" localSheetId="20">#REF!</definedName>
    <definedName name="DTHPGCO" localSheetId="14">#REF!</definedName>
    <definedName name="DTHPGCO" localSheetId="23">[3]Constantes!$C$16</definedName>
    <definedName name="DTHPGCO">#REF!</definedName>
    <definedName name="DTHPMBM" localSheetId="15">#REF!</definedName>
    <definedName name="DTHPMBM" localSheetId="13">#REF!</definedName>
    <definedName name="DTHPMBM" localSheetId="19">[3]Constantes!$C$14</definedName>
    <definedName name="DTHPMBM" localSheetId="8">#REF!</definedName>
    <definedName name="DTHPMBM" localSheetId="22">[3]Constantes!$C$14</definedName>
    <definedName name="DTHPMBM" localSheetId="20">#REF!</definedName>
    <definedName name="DTHPMBM" localSheetId="14">#REF!</definedName>
    <definedName name="DTHPMBM" localSheetId="23">[3]Constantes!$C$14</definedName>
    <definedName name="DTHPMBM">#REF!</definedName>
    <definedName name="DVDD" localSheetId="15">#REF!</definedName>
    <definedName name="DVDD" localSheetId="13">#REF!</definedName>
    <definedName name="DVDD" localSheetId="19">[3]Constantes!#REF!</definedName>
    <definedName name="DVDD" localSheetId="7">#REF!</definedName>
    <definedName name="DVDD" localSheetId="8">#REF!</definedName>
    <definedName name="DVDD" localSheetId="22">[3]Constantes!#REF!</definedName>
    <definedName name="DVDD" localSheetId="20">#REF!</definedName>
    <definedName name="DVDD" localSheetId="3">#REF!</definedName>
    <definedName name="DVDD" localSheetId="14">#REF!</definedName>
    <definedName name="DVDD" localSheetId="23">[3]Constantes!#REF!</definedName>
    <definedName name="DVDD">#REF!</definedName>
    <definedName name="DVDEM" localSheetId="15">#REF!</definedName>
    <definedName name="DVDEM" localSheetId="13">#REF!</definedName>
    <definedName name="DVDEM" localSheetId="19">[3]Constantes!#REF!</definedName>
    <definedName name="DVDEM" localSheetId="7">#REF!</definedName>
    <definedName name="DVDEM" localSheetId="8">#REF!</definedName>
    <definedName name="DVDEM" localSheetId="22">[3]Constantes!#REF!</definedName>
    <definedName name="DVDEM" localSheetId="20">#REF!</definedName>
    <definedName name="DVDEM" localSheetId="3">#REF!</definedName>
    <definedName name="DVDEM" localSheetId="14">#REF!</definedName>
    <definedName name="DVDEM" localSheetId="23">[3]Constantes!#REF!</definedName>
    <definedName name="DVDEM">#REF!</definedName>
    <definedName name="DVEM" localSheetId="15">#REF!</definedName>
    <definedName name="DVEM" localSheetId="13">#REF!</definedName>
    <definedName name="DVEM" localSheetId="19">[3]Constantes!#REF!</definedName>
    <definedName name="DVEM" localSheetId="7">#REF!</definedName>
    <definedName name="DVEM" localSheetId="8">#REF!</definedName>
    <definedName name="DVEM" localSheetId="22">[3]Constantes!#REF!</definedName>
    <definedName name="DVEM" localSheetId="20">#REF!</definedName>
    <definedName name="DVEM" localSheetId="3">#REF!</definedName>
    <definedName name="DVEM" localSheetId="14">#REF!</definedName>
    <definedName name="DVEM" localSheetId="23">[3]Constantes!#REF!</definedName>
    <definedName name="DVEM">#REF!</definedName>
    <definedName name="E">#N/A</definedName>
    <definedName name="EASP" localSheetId="15">#REF!</definedName>
    <definedName name="EASP" localSheetId="13">#REF!</definedName>
    <definedName name="EASP" localSheetId="19">[3]Constantes!#REF!</definedName>
    <definedName name="EASP" localSheetId="7">#REF!</definedName>
    <definedName name="EASP" localSheetId="8">#REF!</definedName>
    <definedName name="EASP" localSheetId="22">[3]Constantes!#REF!</definedName>
    <definedName name="EASP" localSheetId="20">#REF!</definedName>
    <definedName name="EASP" localSheetId="3">#REF!</definedName>
    <definedName name="EASP" localSheetId="14">#REF!</definedName>
    <definedName name="EASP" localSheetId="23">[3]Constantes!#REF!</definedName>
    <definedName name="EASP">#REF!</definedName>
    <definedName name="Ee" localSheetId="8">#REF!</definedName>
    <definedName name="Ee">#REF!</definedName>
    <definedName name="Ef" localSheetId="8">#REF!</definedName>
    <definedName name="Ef">#REF!</definedName>
    <definedName name="Ei">#REF!</definedName>
    <definedName name="EINC">#REF!</definedName>
    <definedName name="Eléctrica">#REF!</definedName>
    <definedName name="Em">#REF!</definedName>
    <definedName name="EMSP" localSheetId="15">#REF!</definedName>
    <definedName name="EMSP" localSheetId="13">#REF!</definedName>
    <definedName name="EMSP" localSheetId="19">[3]Constantes!#REF!</definedName>
    <definedName name="EMSP" localSheetId="8">#REF!</definedName>
    <definedName name="EMSP" localSheetId="22">[3]Constantes!#REF!</definedName>
    <definedName name="EMSP" localSheetId="20">#REF!</definedName>
    <definedName name="EMSP" localSheetId="14">#REF!</definedName>
    <definedName name="EMSP" localSheetId="23">[3]Constantes!#REF!</definedName>
    <definedName name="EMSP">#REF!</definedName>
    <definedName name="EncabezadoAnalisis" localSheetId="15">#REF!</definedName>
    <definedName name="EncabezadoAnalisis" localSheetId="13">#REF!</definedName>
    <definedName name="EncabezadoAnalisis" localSheetId="19">'[3]Analisis Nuevo'!$A$2:$I$2</definedName>
    <definedName name="EncabezadoAnalisis" localSheetId="8">#REF!</definedName>
    <definedName name="EncabezadoAnalisis" localSheetId="22">'[3]Analisis Nuevo'!$A$2:$I$2</definedName>
    <definedName name="EncabezadoAnalisis" localSheetId="20">#REF!</definedName>
    <definedName name="EncabezadoAnalisis" localSheetId="14">#REF!</definedName>
    <definedName name="EncabezadoAnalisis" localSheetId="23">'[3]Analisis Nuevo'!$A$2:$I$2</definedName>
    <definedName name="EncabezadoAnalisis">#REF!</definedName>
    <definedName name="End_Bal">#REF!</definedName>
    <definedName name="ENERGIA" localSheetId="15">#REF!</definedName>
    <definedName name="ENERGIA" localSheetId="13">#REF!</definedName>
    <definedName name="ENERGIA" localSheetId="19">[3]Insumos!$E$3007</definedName>
    <definedName name="ENERGIA" localSheetId="8">#REF!</definedName>
    <definedName name="ENERGIA" localSheetId="22">[3]Insumos!$E$3007</definedName>
    <definedName name="ENERGIA" localSheetId="20">#REF!</definedName>
    <definedName name="ENERGIA" localSheetId="14">#REF!</definedName>
    <definedName name="ENERGIA" localSheetId="23">[3]Insumos!$E$3007</definedName>
    <definedName name="ENERGIA">#REF!</definedName>
    <definedName name="ENREUTAB" localSheetId="15">#REF!</definedName>
    <definedName name="ENREUTAB" localSheetId="13">#REF!</definedName>
    <definedName name="ENREUTAB" localSheetId="19">[3]Constantes!$C$24</definedName>
    <definedName name="ENREUTAB" localSheetId="8">#REF!</definedName>
    <definedName name="ENREUTAB" localSheetId="22">[3]Constantes!$C$24</definedName>
    <definedName name="ENREUTAB" localSheetId="20">#REF!</definedName>
    <definedName name="ENREUTAB" localSheetId="14">#REF!</definedName>
    <definedName name="ENREUTAB" localSheetId="23">[3]Constantes!$C$24</definedName>
    <definedName name="ENREUTAB">#REF!</definedName>
    <definedName name="ENREUTIR" localSheetId="15">#REF!</definedName>
    <definedName name="ENREUTIR" localSheetId="13">#REF!</definedName>
    <definedName name="ENREUTIR" localSheetId="19">[3]Constantes!$C$25</definedName>
    <definedName name="ENREUTIR" localSheetId="8">#REF!</definedName>
    <definedName name="ENREUTIR" localSheetId="22">[3]Constantes!$C$25</definedName>
    <definedName name="ENREUTIR" localSheetId="20">#REF!</definedName>
    <definedName name="ENREUTIR" localSheetId="14">#REF!</definedName>
    <definedName name="ENREUTIR" localSheetId="23">[3]Constantes!$C$25</definedName>
    <definedName name="ENREUTIR">#REF!</definedName>
    <definedName name="Eo">#REF!</definedName>
    <definedName name="eq">#REF!</definedName>
    <definedName name="eqimp">#REF!</definedName>
    <definedName name="eqnac">#REF!</definedName>
    <definedName name="EQS">#REF!</definedName>
    <definedName name="equipo">#REF!</definedName>
    <definedName name="EQUIPOS">#REF!</definedName>
    <definedName name="ES">#REF!</definedName>
    <definedName name="escala">#REF!</definedName>
    <definedName name="Escenarios">#REF!</definedName>
    <definedName name="espera_del_pago">#REF!</definedName>
    <definedName name="Et">#REF!</definedName>
    <definedName name="etapaII">#REF!</definedName>
    <definedName name="etapaIII">#REF!</definedName>
    <definedName name="EX">#N/A</definedName>
    <definedName name="EXAP" localSheetId="15">#REF!</definedName>
    <definedName name="EXAP" localSheetId="13">#REF!</definedName>
    <definedName name="EXAP" localSheetId="19">[3]Constantes!#REF!</definedName>
    <definedName name="EXAP" localSheetId="7">#REF!</definedName>
    <definedName name="EXAP" localSheetId="8">#REF!</definedName>
    <definedName name="EXAP" localSheetId="22">[3]Constantes!#REF!</definedName>
    <definedName name="EXAP" localSheetId="20">#REF!</definedName>
    <definedName name="EXAP" localSheetId="3">#REF!</definedName>
    <definedName name="EXAP" localSheetId="14">#REF!</definedName>
    <definedName name="EXAP" localSheetId="23">[3]Constantes!#REF!</definedName>
    <definedName name="EXAP">#REF!</definedName>
    <definedName name="EXAPI" localSheetId="15">#REF!</definedName>
    <definedName name="EXAPI" localSheetId="13">#REF!</definedName>
    <definedName name="EXAPI" localSheetId="19">[3]Constantes!#REF!</definedName>
    <definedName name="EXAPI" localSheetId="7">#REF!</definedName>
    <definedName name="EXAPI" localSheetId="8">#REF!</definedName>
    <definedName name="EXAPI" localSheetId="22">[3]Constantes!#REF!</definedName>
    <definedName name="EXAPI" localSheetId="20">#REF!</definedName>
    <definedName name="EXAPI" localSheetId="3">#REF!</definedName>
    <definedName name="EXAPI" localSheetId="14">#REF!</definedName>
    <definedName name="EXAPI" localSheetId="23">[3]Constantes!#REF!</definedName>
    <definedName name="EXAPI">#REF!</definedName>
    <definedName name="EXAS" localSheetId="15">#REF!</definedName>
    <definedName name="EXAS" localSheetId="13">#REF!</definedName>
    <definedName name="EXAS" localSheetId="19">[3]Constantes!#REF!</definedName>
    <definedName name="EXAS" localSheetId="7">#REF!</definedName>
    <definedName name="EXAS" localSheetId="8">#REF!</definedName>
    <definedName name="EXAS" localSheetId="22">[3]Constantes!#REF!</definedName>
    <definedName name="EXAS" localSheetId="20">#REF!</definedName>
    <definedName name="EXAS" localSheetId="3">#REF!</definedName>
    <definedName name="EXAS" localSheetId="14">#REF!</definedName>
    <definedName name="EXAS" localSheetId="23">[3]Constantes!#REF!</definedName>
    <definedName name="EXAS">#REF!</definedName>
    <definedName name="EXAZ" localSheetId="15">#REF!</definedName>
    <definedName name="EXAZ" localSheetId="13">#REF!</definedName>
    <definedName name="EXAZ" localSheetId="19">[3]Constantes!#REF!</definedName>
    <definedName name="EXAZ" localSheetId="7">#REF!</definedName>
    <definedName name="EXAZ" localSheetId="8">#REF!</definedName>
    <definedName name="EXAZ" localSheetId="22">[3]Constantes!#REF!</definedName>
    <definedName name="EXAZ" localSheetId="20">#REF!</definedName>
    <definedName name="EXAZ" localSheetId="3">#REF!</definedName>
    <definedName name="EXAZ" localSheetId="14">#REF!</definedName>
    <definedName name="EXAZ" localSheetId="23">[3]Constantes!#REF!</definedName>
    <definedName name="EXAZ">#REF!</definedName>
    <definedName name="EXBE" localSheetId="15">#REF!</definedName>
    <definedName name="EXBE" localSheetId="13">#REF!</definedName>
    <definedName name="EXBE" localSheetId="19">[3]Constantes!#REF!</definedName>
    <definedName name="EXBE" localSheetId="8">#REF!</definedName>
    <definedName name="EXBE" localSheetId="22">[3]Constantes!#REF!</definedName>
    <definedName name="EXBE" localSheetId="20">#REF!</definedName>
    <definedName name="EXBE" localSheetId="14">#REF!</definedName>
    <definedName name="EXBE" localSheetId="23">[3]Constantes!#REF!</definedName>
    <definedName name="EXBE">#REF!</definedName>
    <definedName name="EXCD" localSheetId="15">#REF!</definedName>
    <definedName name="EXCD" localSheetId="13">#REF!</definedName>
    <definedName name="EXCD" localSheetId="19">[3]Constantes!#REF!</definedName>
    <definedName name="EXCD" localSheetId="8">#REF!</definedName>
    <definedName name="EXCD" localSheetId="22">[3]Constantes!#REF!</definedName>
    <definedName name="EXCD" localSheetId="20">#REF!</definedName>
    <definedName name="EXCD" localSheetId="14">#REF!</definedName>
    <definedName name="EXCD" localSheetId="23">[3]Constantes!#REF!</definedName>
    <definedName name="EXCD">#REF!</definedName>
    <definedName name="EXCM" localSheetId="15">#REF!</definedName>
    <definedName name="EXCM" localSheetId="13">#REF!</definedName>
    <definedName name="EXCM" localSheetId="19">[3]Constantes!#REF!</definedName>
    <definedName name="EXCM" localSheetId="8">#REF!</definedName>
    <definedName name="EXCM" localSheetId="22">[3]Constantes!#REF!</definedName>
    <definedName name="EXCM" localSheetId="20">#REF!</definedName>
    <definedName name="EXCM" localSheetId="14">#REF!</definedName>
    <definedName name="EXCM" localSheetId="23">[3]Constantes!#REF!</definedName>
    <definedName name="EXCM">#REF!</definedName>
    <definedName name="EXCT" localSheetId="15">#REF!</definedName>
    <definedName name="EXCT" localSheetId="13">#REF!</definedName>
    <definedName name="EXCT" localSheetId="19">[3]Constantes!#REF!</definedName>
    <definedName name="EXCT" localSheetId="8">#REF!</definedName>
    <definedName name="EXCT" localSheetId="22">[3]Constantes!#REF!</definedName>
    <definedName name="EXCT" localSheetId="20">#REF!</definedName>
    <definedName name="EXCT" localSheetId="14">#REF!</definedName>
    <definedName name="EXCT" localSheetId="23">[3]Constantes!#REF!</definedName>
    <definedName name="EXCT">#REF!</definedName>
    <definedName name="EXESP" localSheetId="15">#REF!</definedName>
    <definedName name="EXESP" localSheetId="13">#REF!</definedName>
    <definedName name="EXESP" localSheetId="19">[3]Constantes!#REF!</definedName>
    <definedName name="EXESP" localSheetId="8">#REF!</definedName>
    <definedName name="EXESP" localSheetId="22">[3]Constantes!#REF!</definedName>
    <definedName name="EXESP" localSheetId="20">#REF!</definedName>
    <definedName name="EXESP" localSheetId="14">#REF!</definedName>
    <definedName name="EXESP" localSheetId="23">[3]Constantes!#REF!</definedName>
    <definedName name="EXESP">#REF!</definedName>
    <definedName name="EXLP" localSheetId="15">#REF!</definedName>
    <definedName name="EXLP" localSheetId="13">#REF!</definedName>
    <definedName name="EXLP" localSheetId="19">[3]Constantes!#REF!</definedName>
    <definedName name="EXLP" localSheetId="8">#REF!</definedName>
    <definedName name="EXLP" localSheetId="22">[3]Constantes!#REF!</definedName>
    <definedName name="EXLP" localSheetId="20">#REF!</definedName>
    <definedName name="EXLP" localSheetId="14">#REF!</definedName>
    <definedName name="EXLP" localSheetId="23">[3]Constantes!#REF!</definedName>
    <definedName name="EXLP">#REF!</definedName>
    <definedName name="EXLS" localSheetId="15">#REF!</definedName>
    <definedName name="EXLS" localSheetId="13">#REF!</definedName>
    <definedName name="EXLS" localSheetId="19">[3]Constantes!#REF!</definedName>
    <definedName name="EXLS" localSheetId="8">#REF!</definedName>
    <definedName name="EXLS" localSheetId="22">[3]Constantes!#REF!</definedName>
    <definedName name="EXLS" localSheetId="20">#REF!</definedName>
    <definedName name="EXLS" localSheetId="14">#REF!</definedName>
    <definedName name="EXLS" localSheetId="23">[3]Constantes!#REF!</definedName>
    <definedName name="EXLS">#REF!</definedName>
    <definedName name="EXNC" localSheetId="15">#REF!</definedName>
    <definedName name="EXNC" localSheetId="13">#REF!</definedName>
    <definedName name="EXNC" localSheetId="19">[3]Constantes!#REF!</definedName>
    <definedName name="EXNC" localSheetId="8">#REF!</definedName>
    <definedName name="EXNC" localSheetId="22">[3]Constantes!#REF!</definedName>
    <definedName name="EXNC" localSheetId="20">#REF!</definedName>
    <definedName name="EXNC" localSheetId="14">#REF!</definedName>
    <definedName name="EXNC" localSheetId="23">[3]Constantes!#REF!</definedName>
    <definedName name="EXNC">#REF!</definedName>
    <definedName name="EXNP" localSheetId="15">#REF!</definedName>
    <definedName name="EXNP" localSheetId="13">#REF!</definedName>
    <definedName name="EXNP" localSheetId="19">[3]Constantes!#REF!</definedName>
    <definedName name="EXNP" localSheetId="8">#REF!</definedName>
    <definedName name="EXNP" localSheetId="22">[3]Constantes!#REF!</definedName>
    <definedName name="EXNP" localSheetId="20">#REF!</definedName>
    <definedName name="EXNP" localSheetId="14">#REF!</definedName>
    <definedName name="EXNP" localSheetId="23">[3]Constantes!#REF!</definedName>
    <definedName name="EXNP">#REF!</definedName>
    <definedName name="EXPOSICION">#REF!</definedName>
    <definedName name="EXPZ" localSheetId="15">#REF!</definedName>
    <definedName name="EXPZ" localSheetId="13">#REF!</definedName>
    <definedName name="EXPZ" localSheetId="19">[3]Constantes!#REF!</definedName>
    <definedName name="EXPZ" localSheetId="8">#REF!</definedName>
    <definedName name="EXPZ" localSheetId="22">[3]Constantes!#REF!</definedName>
    <definedName name="EXPZ" localSheetId="20">#REF!</definedName>
    <definedName name="EXPZ" localSheetId="14">#REF!</definedName>
    <definedName name="EXPZ" localSheetId="23">[3]Constantes!#REF!</definedName>
    <definedName name="EXPZ">#REF!</definedName>
    <definedName name="EXSP" localSheetId="15">#REF!</definedName>
    <definedName name="EXSP" localSheetId="13">#REF!</definedName>
    <definedName name="EXSP" localSheetId="19">[3]Constantes!#REF!</definedName>
    <definedName name="EXSP" localSheetId="8">#REF!</definedName>
    <definedName name="EXSP" localSheetId="22">[3]Constantes!#REF!</definedName>
    <definedName name="EXSP" localSheetId="20">#REF!</definedName>
    <definedName name="EXSP" localSheetId="14">#REF!</definedName>
    <definedName name="EXSP" localSheetId="23">[3]Constantes!#REF!</definedName>
    <definedName name="EXSP">#REF!</definedName>
    <definedName name="Extra_Pay">#REF!</definedName>
    <definedName name="EY">#N/A</definedName>
    <definedName name="FASES">#N/A</definedName>
    <definedName name="FCT" localSheetId="15">#REF!</definedName>
    <definedName name="FCT" localSheetId="13">#REF!</definedName>
    <definedName name="FCT" localSheetId="19">[3]Constantes!$C$4</definedName>
    <definedName name="FCT" localSheetId="8">#REF!</definedName>
    <definedName name="FCT" localSheetId="22">[3]Constantes!$C$4</definedName>
    <definedName name="FCT" localSheetId="20">#REF!</definedName>
    <definedName name="FCT" localSheetId="14">#REF!</definedName>
    <definedName name="FCT" localSheetId="23">[3]Constantes!$C$4</definedName>
    <definedName name="FCT">#REF!</definedName>
    <definedName name="Fe" localSheetId="8">#REF!</definedName>
    <definedName name="Fe">#REF!</definedName>
    <definedName name="Fecha" localSheetId="15">#REF!</definedName>
    <definedName name="Fecha" localSheetId="13">#REF!</definedName>
    <definedName name="Fecha" localSheetId="19">[3]Menu!$B$9</definedName>
    <definedName name="Fecha" localSheetId="8">#REF!</definedName>
    <definedName name="Fecha" localSheetId="22">[3]Menu!$B$9</definedName>
    <definedName name="Fecha" localSheetId="20">#REF!</definedName>
    <definedName name="Fecha" localSheetId="14">#REF!</definedName>
    <definedName name="Fecha" localSheetId="23">[3]Menu!$B$9</definedName>
    <definedName name="Fecha">#REF!</definedName>
    <definedName name="FF" localSheetId="20">#REF!</definedName>
    <definedName name="FF">#REF!</definedName>
    <definedName name="ffdfsd">#REF!</definedName>
    <definedName name="fi">#REF!</definedName>
    <definedName name="fin" localSheetId="15">#REF!</definedName>
    <definedName name="fin" localSheetId="13">#REF!</definedName>
    <definedName name="fin" localSheetId="19">'[3]Analisis Nuevo'!#REF!</definedName>
    <definedName name="fin" localSheetId="7">#REF!</definedName>
    <definedName name="fin" localSheetId="8">#REF!</definedName>
    <definedName name="fin" localSheetId="22">'[3]Analisis Nuevo'!#REF!</definedName>
    <definedName name="fin" localSheetId="20">#REF!</definedName>
    <definedName name="fin" localSheetId="3">#REF!</definedName>
    <definedName name="fin" localSheetId="14">#REF!</definedName>
    <definedName name="fin" localSheetId="23">'[3]Analisis Nuevo'!#REF!</definedName>
    <definedName name="fin">#REF!</definedName>
    <definedName name="finor" localSheetId="8">#REF!</definedName>
    <definedName name="finor">#REF!</definedName>
    <definedName name="FL">#REF!</definedName>
    <definedName name="FLECHA">#REF!</definedName>
    <definedName name="Flete">#REF!</definedName>
    <definedName name="FleteReal">#REF!</definedName>
    <definedName name="flex">#REF!</definedName>
    <definedName name="flexposte">#REF!</definedName>
    <definedName name="fo">#REF!</definedName>
    <definedName name="Fondo_Desempleo" localSheetId="15">#REF!</definedName>
    <definedName name="Fondo_Desempleo" localSheetId="13">#REF!</definedName>
    <definedName name="Fondo_Desempleo" localSheetId="19">[3]Constantes!$C$41</definedName>
    <definedName name="Fondo_Desempleo" localSheetId="8">#REF!</definedName>
    <definedName name="Fondo_Desempleo" localSheetId="22">[3]Constantes!$C$41</definedName>
    <definedName name="Fondo_Desempleo" localSheetId="20">#REF!</definedName>
    <definedName name="Fondo_Desempleo" localSheetId="14">#REF!</definedName>
    <definedName name="Fondo_Desempleo" localSheetId="23">[3]Constantes!$C$41</definedName>
    <definedName name="Fondo_Desempleo">#REF!</definedName>
    <definedName name="formula_analisis" localSheetId="15">#REF!</definedName>
    <definedName name="formula_analisis" localSheetId="13">#REF!</definedName>
    <definedName name="formula_analisis" localSheetId="19">[3]PATRONES!$A$3:$J$3</definedName>
    <definedName name="formula_analisis" localSheetId="8">#REF!</definedName>
    <definedName name="formula_analisis" localSheetId="22">[3]PATRONES!$A$3:$J$3</definedName>
    <definedName name="formula_analisis" localSheetId="20">#REF!</definedName>
    <definedName name="formula_analisis" localSheetId="14">#REF!</definedName>
    <definedName name="formula_analisis" localSheetId="23">[3]PATRONES!$A$3:$J$3</definedName>
    <definedName name="formula_analisis">#REF!</definedName>
    <definedName name="formula_formula" localSheetId="15">#REF!</definedName>
    <definedName name="formula_formula" localSheetId="13">#REF!</definedName>
    <definedName name="formula_formula" localSheetId="19">[3]PATRONES!$A$5:$J$5</definedName>
    <definedName name="formula_formula" localSheetId="8">#REF!</definedName>
    <definedName name="formula_formula" localSheetId="22">[3]PATRONES!$A$5:$J$5</definedName>
    <definedName name="formula_formula" localSheetId="20">#REF!</definedName>
    <definedName name="formula_formula" localSheetId="14">#REF!</definedName>
    <definedName name="formula_formula" localSheetId="23">[3]PATRONES!$A$5:$J$5</definedName>
    <definedName name="formula_formula">#REF!</definedName>
    <definedName name="Fórmula_General_para_Determinación_de_f">#REF!</definedName>
    <definedName name="formula_insumo" localSheetId="15">#REF!</definedName>
    <definedName name="formula_insumo" localSheetId="13">#REF!</definedName>
    <definedName name="formula_insumo" localSheetId="19">[3]PATRONES!$A$4:$J$4</definedName>
    <definedName name="formula_insumo" localSheetId="8">#REF!</definedName>
    <definedName name="formula_insumo" localSheetId="22">[3]PATRONES!$A$4:$J$4</definedName>
    <definedName name="formula_insumo" localSheetId="20">#REF!</definedName>
    <definedName name="formula_insumo" localSheetId="14">#REF!</definedName>
    <definedName name="formula_insumo" localSheetId="23">[3]PATRONES!$A$4:$J$4</definedName>
    <definedName name="formula_insumo">#REF!</definedName>
    <definedName name="formula_presupuesto" localSheetId="15">#REF!</definedName>
    <definedName name="formula_presupuesto" localSheetId="13">#REF!</definedName>
    <definedName name="formula_presupuesto" localSheetId="19">[3]PATRONES!$B$8:$J$8</definedName>
    <definedName name="formula_presupuesto" localSheetId="8">#REF!</definedName>
    <definedName name="formula_presupuesto" localSheetId="22">[3]PATRONES!$B$8:$J$8</definedName>
    <definedName name="formula_presupuesto" localSheetId="20">#REF!</definedName>
    <definedName name="formula_presupuesto" localSheetId="14">#REF!</definedName>
    <definedName name="formula_presupuesto" localSheetId="23">[3]PATRONES!$B$8:$J$8</definedName>
    <definedName name="formula_presupuesto">#REF!</definedName>
    <definedName name="formula_rubro" localSheetId="15">#REF!</definedName>
    <definedName name="formula_rubro" localSheetId="13">#REF!</definedName>
    <definedName name="formula_rubro" localSheetId="19">[3]PATRONES!$B$9:$J$9</definedName>
    <definedName name="formula_rubro" localSheetId="8">#REF!</definedName>
    <definedName name="formula_rubro" localSheetId="22">[3]PATRONES!$B$9:$J$9</definedName>
    <definedName name="formula_rubro" localSheetId="20">#REF!</definedName>
    <definedName name="formula_rubro" localSheetId="14">#REF!</definedName>
    <definedName name="formula_rubro" localSheetId="23">[3]PATRONES!$B$9:$J$9</definedName>
    <definedName name="formula_rubro">#REF!</definedName>
    <definedName name="formulapatron" localSheetId="15">#REF!</definedName>
    <definedName name="formulapatron" localSheetId="13">#REF!</definedName>
    <definedName name="formulapatron" localSheetId="19">'[3]Analisis Nuevo'!$A$1:$J$1</definedName>
    <definedName name="formulapatron" localSheetId="8">#REF!</definedName>
    <definedName name="formulapatron" localSheetId="22">'[3]Analisis Nuevo'!$A$1:$J$1</definedName>
    <definedName name="formulapatron" localSheetId="20">#REF!</definedName>
    <definedName name="formulapatron" localSheetId="14">#REF!</definedName>
    <definedName name="formulapatron" localSheetId="23">'[3]Analisis Nuevo'!$A$1:$J$1</definedName>
    <definedName name="formulapatron">#REF!</definedName>
    <definedName name="formulas" localSheetId="15">#REF!</definedName>
    <definedName name="formulas" localSheetId="13">#REF!</definedName>
    <definedName name="formulas" localSheetId="19">[3]Formulas!$A$3:$D$12</definedName>
    <definedName name="formulas" localSheetId="8">#REF!</definedName>
    <definedName name="formulas" localSheetId="22">[3]Formulas!$A$3:$D$12</definedName>
    <definedName name="formulas" localSheetId="20">#REF!</definedName>
    <definedName name="formulas" localSheetId="14">#REF!</definedName>
    <definedName name="formulas" localSheetId="23">[3]Formulas!$A$3:$D$12</definedName>
    <definedName name="formulas">#REF!</definedName>
    <definedName name="formulasenlace" localSheetId="15">#REF!</definedName>
    <definedName name="formulasenlace" localSheetId="13">#REF!</definedName>
    <definedName name="formulasenlace" localSheetId="19">[3]Items!#REF!</definedName>
    <definedName name="formulasenlace" localSheetId="7">#REF!</definedName>
    <definedName name="formulasenlace" localSheetId="8">#REF!</definedName>
    <definedName name="formulasenlace" localSheetId="22">[3]Items!#REF!</definedName>
    <definedName name="formulasenlace" localSheetId="20">#REF!</definedName>
    <definedName name="formulasenlace" localSheetId="3">#REF!</definedName>
    <definedName name="formulasenlace" localSheetId="14">#REF!</definedName>
    <definedName name="formulasenlace" localSheetId="23">[3]Items!#REF!</definedName>
    <definedName name="formulasenlace">#REF!</definedName>
    <definedName name="FP" localSheetId="8">#REF!</definedName>
    <definedName name="FP">#REF!</definedName>
    <definedName name="FP_">#REF!</definedName>
    <definedName name="FP__">#REF!</definedName>
    <definedName name="frame0">#REF!</definedName>
    <definedName name="frameF">#REF!</definedName>
    <definedName name="framevs">#REF!</definedName>
    <definedName name="FT">#REF!</definedName>
    <definedName name="fu" localSheetId="20">#REF!</definedName>
    <definedName name="fu">#REF!</definedName>
    <definedName name="Full_Print">#REF!</definedName>
    <definedName name="FX_">#REF!</definedName>
    <definedName name="FY">#REF!</definedName>
    <definedName name="g">#REF!</definedName>
    <definedName name="G0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rantia">#REF!</definedName>
    <definedName name="GASOIL" localSheetId="15">#REF!</definedName>
    <definedName name="GASOIL" localSheetId="13">#REF!</definedName>
    <definedName name="GASOIL" localSheetId="19">[3]Insumos!$E$3008</definedName>
    <definedName name="GASOIL" localSheetId="8">#REF!</definedName>
    <definedName name="GASOIL" localSheetId="22">[3]Insumos!$E$3008</definedName>
    <definedName name="GASOIL" localSheetId="20">#REF!</definedName>
    <definedName name="GASOIL" localSheetId="14">#REF!</definedName>
    <definedName name="GASOIL" localSheetId="23">[3]Insumos!$E$3008</definedName>
    <definedName name="GASOIL">#REF!</definedName>
    <definedName name="gaviones" localSheetId="8">#REF!</definedName>
    <definedName name="gaviones">#REF!</definedName>
    <definedName name="gavr">#REF!</definedName>
    <definedName name="gc">#REF!</definedName>
    <definedName name="GE">#REF!</definedName>
    <definedName name="gel">#REF!</definedName>
    <definedName name="geot">#REF!</definedName>
    <definedName name="gfgfgf" localSheetId="15">#REF!</definedName>
    <definedName name="gfgfgf" localSheetId="13">#REF!</definedName>
    <definedName name="gfgfgf" localSheetId="19">[3]Constantes!#REF!</definedName>
    <definedName name="gfgfgf" localSheetId="7">#REF!</definedName>
    <definedName name="gfgfgf" localSheetId="8">#REF!</definedName>
    <definedName name="gfgfgf" localSheetId="22">[3]Constantes!#REF!</definedName>
    <definedName name="gfgfgf" localSheetId="20">#REF!</definedName>
    <definedName name="gfgfgf" localSheetId="3">#REF!</definedName>
    <definedName name="gfgfgf" localSheetId="14">#REF!</definedName>
    <definedName name="gfgfgf" localSheetId="23">[3]Constantes!#REF!</definedName>
    <definedName name="gfgfgf">#REF!</definedName>
    <definedName name="GFINANCIEROS" localSheetId="8">#REF!</definedName>
    <definedName name="GFINANCIEROS">#REF!</definedName>
    <definedName name="GGDirecto">#REF!</definedName>
    <definedName name="GGENERALES">#REF!</definedName>
    <definedName name="GGIndirecto">#REF!</definedName>
    <definedName name="Gh">#REF!</definedName>
    <definedName name="GImpositivos">#REF!</definedName>
    <definedName name="GLDP" localSheetId="15">#REF!</definedName>
    <definedName name="GLDP" localSheetId="13">#REF!</definedName>
    <definedName name="GLDP" localSheetId="19">[3]Constantes!#REF!</definedName>
    <definedName name="GLDP" localSheetId="7">#REF!</definedName>
    <definedName name="GLDP" localSheetId="8">#REF!</definedName>
    <definedName name="GLDP" localSheetId="22">[3]Constantes!#REF!</definedName>
    <definedName name="GLDP" localSheetId="20">#REF!</definedName>
    <definedName name="GLDP" localSheetId="3">#REF!</definedName>
    <definedName name="GLDP" localSheetId="14">#REF!</definedName>
    <definedName name="GLDP" localSheetId="23">[3]Constantes!#REF!</definedName>
    <definedName name="GLDP">#REF!</definedName>
    <definedName name="go" localSheetId="8">#REF!</definedName>
    <definedName name="go">#REF!</definedName>
    <definedName name="Gradiente_En__Canales">#REF!</definedName>
    <definedName name="Gradiente_En__Canales_Circulares_a_Sección_Llena">#REF!</definedName>
    <definedName name="Gradiente_En__Orificio_de_Fondo">#REF!</definedName>
    <definedName name="Gradiente_En__Tuberías_en_Presión">#REF!</definedName>
    <definedName name="Gradiente_En_Canaleta_Parshal">#REF!</definedName>
    <definedName name="Gradiente_En_Curva_en_Canales">#REF!</definedName>
    <definedName name="Gradiente_En_Curva_en_Cañerías">#REF!</definedName>
    <definedName name="Gradiente_En_Dispersor_Hidráulico">#REF!</definedName>
    <definedName name="Gradiente_En_Floculador_Hidráulico">#REF!</definedName>
    <definedName name="Gradiente_En_Floculador_Mecánico">#REF!</definedName>
    <definedName name="Gradiente_En_Placa_Orificio">#REF!</definedName>
    <definedName name="Gradiente_En_Vertedero_de_Umbral_Horizontal">#REF!</definedName>
    <definedName name="graf" localSheetId="15" hidden="1">{#N/A,#N/A,TRUE,"Cert.Global";#N/A,#N/A,TRUE,"Cert. M&amp;C";#N/A,#N/A,TRUE,"Cert. Engineering";#N/A,#N/A,TRUE,"Cert. Procurement ";#N/A,#N/A,TRUE,"Cert. Constr. Manag."}</definedName>
    <definedName name="graf" localSheetId="13" hidden="1">{#N/A,#N/A,TRUE,"Cert.Global";#N/A,#N/A,TRUE,"Cert. M&amp;C";#N/A,#N/A,TRUE,"Cert. Engineering";#N/A,#N/A,TRUE,"Cert. Procurement ";#N/A,#N/A,TRUE,"Cert. Constr. Manag."}</definedName>
    <definedName name="graf" localSheetId="8" hidden="1">{#N/A,#N/A,TRUE,"Cert.Global";#N/A,#N/A,TRUE,"Cert. M&amp;C";#N/A,#N/A,TRUE,"Cert. Engineering";#N/A,#N/A,TRUE,"Cert. Procurement ";#N/A,#N/A,TRUE,"Cert. Constr. Manag."}</definedName>
    <definedName name="graf" localSheetId="14" hidden="1">{#N/A,#N/A,TRUE,"Cert.Global";#N/A,#N/A,TRUE,"Cert. M&amp;C";#N/A,#N/A,TRUE,"Cert. Engineering";#N/A,#N/A,TRUE,"Cert. Procurement ";#N/A,#N/A,TRUE,"Cert. Constr. Manag."}</definedName>
    <definedName name="graf" hidden="1">{#N/A,#N/A,TRUE,"Cert.Global";#N/A,#N/A,TRUE,"Cert. M&amp;C";#N/A,#N/A,TRUE,"Cert. Engineering";#N/A,#N/A,TRUE,"Cert. Procurement ";#N/A,#N/A,TRUE,"Cert. Constr. Manag."}</definedName>
    <definedName name="grr">#REF!</definedName>
    <definedName name="GRUPOS" localSheetId="15">#REF!</definedName>
    <definedName name="GRUPOS" localSheetId="13">#REF!</definedName>
    <definedName name="GRUPOS" localSheetId="19">[3]GRUPOS!$A$1:$B$7</definedName>
    <definedName name="GRUPOS" localSheetId="8">#REF!</definedName>
    <definedName name="GRUPOS" localSheetId="22">[3]GRUPOS!$A$1:$B$7</definedName>
    <definedName name="GRUPOS" localSheetId="20">#REF!</definedName>
    <definedName name="GRUPOS" localSheetId="14">#REF!</definedName>
    <definedName name="GRUPOS" localSheetId="23">[3]GRUPOS!$A$1:$B$7</definedName>
    <definedName name="GRUPOS">#REF!</definedName>
    <definedName name="guarderia" localSheetId="5">#REF!</definedName>
    <definedName name="guarderia" localSheetId="8">#REF!</definedName>
    <definedName name="guarderia" localSheetId="6">#REF!</definedName>
    <definedName name="guarderia">#REF!</definedName>
    <definedName name="H">#REF!</definedName>
    <definedName name="H.Cuad.">#REF!</definedName>
    <definedName name="H.Red.">#REF!</definedName>
    <definedName name="Ha">#REF!</definedName>
    <definedName name="HAADB" localSheetId="15">#REF!</definedName>
    <definedName name="HAADB" localSheetId="13">#REF!</definedName>
    <definedName name="HAADB" localSheetId="19">[3]Constantes!#REF!</definedName>
    <definedName name="HAADB" localSheetId="8">#REF!</definedName>
    <definedName name="HAADB" localSheetId="22">[3]Constantes!#REF!</definedName>
    <definedName name="HAADB" localSheetId="20">#REF!</definedName>
    <definedName name="HAADB" localSheetId="14">#REF!</definedName>
    <definedName name="HAADB" localSheetId="23">[3]Constantes!#REF!</definedName>
    <definedName name="HAADB">#REF!</definedName>
    <definedName name="HAADC" localSheetId="15">#REF!</definedName>
    <definedName name="HAADC" localSheetId="13">#REF!</definedName>
    <definedName name="HAADC" localSheetId="19">[3]Constantes!#REF!</definedName>
    <definedName name="HAADC" localSheetId="8">#REF!</definedName>
    <definedName name="HAADC" localSheetId="22">[3]Constantes!#REF!</definedName>
    <definedName name="HAADC" localSheetId="20">#REF!</definedName>
    <definedName name="HAADC" localSheetId="14">#REF!</definedName>
    <definedName name="HAADC" localSheetId="23">[3]Constantes!#REF!</definedName>
    <definedName name="HAADC">#REF!</definedName>
    <definedName name="HAADE" localSheetId="15">#REF!</definedName>
    <definedName name="HAADE" localSheetId="13">#REF!</definedName>
    <definedName name="HAADE" localSheetId="19">[3]Constantes!#REF!</definedName>
    <definedName name="HAADE" localSheetId="8">#REF!</definedName>
    <definedName name="HAADE" localSheetId="22">[3]Constantes!#REF!</definedName>
    <definedName name="HAADE" localSheetId="20">#REF!</definedName>
    <definedName name="HAADE" localSheetId="14">#REF!</definedName>
    <definedName name="HAADE" localSheetId="23">[3]Constantes!#REF!</definedName>
    <definedName name="HAADE">#REF!</definedName>
    <definedName name="HAADL" localSheetId="15">#REF!</definedName>
    <definedName name="HAADL" localSheetId="13">#REF!</definedName>
    <definedName name="HAADL" localSheetId="19">[3]Constantes!#REF!</definedName>
    <definedName name="HAADL" localSheetId="8">#REF!</definedName>
    <definedName name="HAADL" localSheetId="22">[3]Constantes!#REF!</definedName>
    <definedName name="HAADL" localSheetId="20">#REF!</definedName>
    <definedName name="HAADL" localSheetId="14">#REF!</definedName>
    <definedName name="HAADL" localSheetId="23">[3]Constantes!#REF!</definedName>
    <definedName name="HAADL">#REF!</definedName>
    <definedName name="HAADT" localSheetId="15">#REF!</definedName>
    <definedName name="HAADT" localSheetId="13">#REF!</definedName>
    <definedName name="HAADT" localSheetId="19">[3]Constantes!#REF!</definedName>
    <definedName name="HAADT" localSheetId="8">#REF!</definedName>
    <definedName name="HAADT" localSheetId="22">[3]Constantes!#REF!</definedName>
    <definedName name="HAADT" localSheetId="20">#REF!</definedName>
    <definedName name="HAADT" localSheetId="14">#REF!</definedName>
    <definedName name="HAADT" localSheetId="23">[3]Constantes!#REF!</definedName>
    <definedName name="HAADT">#REF!</definedName>
    <definedName name="HAADV" localSheetId="15">#REF!</definedName>
    <definedName name="HAADV" localSheetId="13">#REF!</definedName>
    <definedName name="HAADV" localSheetId="19">[3]Constantes!#REF!</definedName>
    <definedName name="HAADV" localSheetId="8">#REF!</definedName>
    <definedName name="HAADV" localSheetId="22">[3]Constantes!#REF!</definedName>
    <definedName name="HAADV" localSheetId="20">#REF!</definedName>
    <definedName name="HAADV" localSheetId="14">#REF!</definedName>
    <definedName name="HAADV" localSheetId="23">[3]Constantes!#REF!</definedName>
    <definedName name="HAADV">#REF!</definedName>
    <definedName name="HAAP" localSheetId="15">#REF!</definedName>
    <definedName name="HAAP" localSheetId="13">#REF!</definedName>
    <definedName name="HAAP" localSheetId="19">[3]Constantes!#REF!</definedName>
    <definedName name="HAAP" localSheetId="8">#REF!</definedName>
    <definedName name="HAAP" localSheetId="22">[3]Constantes!#REF!</definedName>
    <definedName name="HAAP" localSheetId="20">#REF!</definedName>
    <definedName name="HAAP" localSheetId="14">#REF!</definedName>
    <definedName name="HAAP" localSheetId="23">[3]Constantes!#REF!</definedName>
    <definedName name="HAAP">#REF!</definedName>
    <definedName name="HAAT" localSheetId="15">#REF!</definedName>
    <definedName name="HAAT" localSheetId="13">#REF!</definedName>
    <definedName name="HAAT" localSheetId="19">[3]Constantes!#REF!</definedName>
    <definedName name="HAAT" localSheetId="8">#REF!</definedName>
    <definedName name="HAAT" localSheetId="22">[3]Constantes!#REF!</definedName>
    <definedName name="HAAT" localSheetId="20">#REF!</definedName>
    <definedName name="HAAT" localSheetId="14">#REF!</definedName>
    <definedName name="HAAT" localSheetId="23">[3]Constantes!#REF!</definedName>
    <definedName name="HAAT">#REF!</definedName>
    <definedName name="HAAV" localSheetId="15">#REF!</definedName>
    <definedName name="HAAV" localSheetId="13">#REF!</definedName>
    <definedName name="HAAV" localSheetId="19">[3]Constantes!#REF!</definedName>
    <definedName name="HAAV" localSheetId="8">#REF!</definedName>
    <definedName name="HAAV" localSheetId="22">[3]Constantes!#REF!</definedName>
    <definedName name="HAAV" localSheetId="20">#REF!</definedName>
    <definedName name="HAAV" localSheetId="14">#REF!</definedName>
    <definedName name="HAAV" localSheetId="23">[3]Constantes!#REF!</definedName>
    <definedName name="HAAV">#REF!</definedName>
    <definedName name="HACAB" localSheetId="15">#REF!</definedName>
    <definedName name="HACAB" localSheetId="13">#REF!</definedName>
    <definedName name="HACAB" localSheetId="19">[3]Constantes!#REF!</definedName>
    <definedName name="HACAB" localSheetId="8">#REF!</definedName>
    <definedName name="HACAB" localSheetId="22">[3]Constantes!#REF!</definedName>
    <definedName name="HACAB" localSheetId="20">#REF!</definedName>
    <definedName name="HACAB" localSheetId="14">#REF!</definedName>
    <definedName name="HACAB" localSheetId="23">[3]Constantes!#REF!</definedName>
    <definedName name="HACAB">#REF!</definedName>
    <definedName name="HACABCP" localSheetId="15">#REF!</definedName>
    <definedName name="HACABCP" localSheetId="13">#REF!</definedName>
    <definedName name="HACABCP" localSheetId="19">[3]Constantes!#REF!</definedName>
    <definedName name="HACABCP" localSheetId="8">#REF!</definedName>
    <definedName name="HACABCP" localSheetId="22">[3]Constantes!#REF!</definedName>
    <definedName name="HACABCP" localSheetId="20">#REF!</definedName>
    <definedName name="HACABCP" localSheetId="14">#REF!</definedName>
    <definedName name="HACABCP" localSheetId="23">[3]Constantes!#REF!</definedName>
    <definedName name="HACABCP">#REF!</definedName>
    <definedName name="HACABE" localSheetId="15">#REF!</definedName>
    <definedName name="HACABE" localSheetId="13">#REF!</definedName>
    <definedName name="HACABE" localSheetId="19">[3]Constantes!#REF!</definedName>
    <definedName name="HACABE" localSheetId="8">#REF!</definedName>
    <definedName name="HACABE" localSheetId="22">[3]Constantes!#REF!</definedName>
    <definedName name="HACABE" localSheetId="20">#REF!</definedName>
    <definedName name="HACABE" localSheetId="14">#REF!</definedName>
    <definedName name="HACABE" localSheetId="23">[3]Constantes!#REF!</definedName>
    <definedName name="HACABE">#REF!</definedName>
    <definedName name="HACABEE" localSheetId="15">#REF!</definedName>
    <definedName name="HACABEE" localSheetId="13">#REF!</definedName>
    <definedName name="HACABEE" localSheetId="19">[3]Constantes!#REF!</definedName>
    <definedName name="HACABEE" localSheetId="8">#REF!</definedName>
    <definedName name="HACABEE" localSheetId="22">[3]Constantes!#REF!</definedName>
    <definedName name="HACABEE" localSheetId="20">#REF!</definedName>
    <definedName name="HACABEE" localSheetId="14">#REF!</definedName>
    <definedName name="HACABEE" localSheetId="23">[3]Constantes!#REF!</definedName>
    <definedName name="HACABEE">#REF!</definedName>
    <definedName name="HACABLA" localSheetId="15">#REF!</definedName>
    <definedName name="HACABLA" localSheetId="13">#REF!</definedName>
    <definedName name="HACABLA" localSheetId="19">[3]Constantes!#REF!</definedName>
    <definedName name="HACABLA" localSheetId="8">#REF!</definedName>
    <definedName name="HACABLA" localSheetId="22">[3]Constantes!#REF!</definedName>
    <definedName name="HACABLA" localSheetId="20">#REF!</definedName>
    <definedName name="HACABLA" localSheetId="14">#REF!</definedName>
    <definedName name="HACABLA" localSheetId="23">[3]Constantes!#REF!</definedName>
    <definedName name="HACABLA">#REF!</definedName>
    <definedName name="HACABLB" localSheetId="15">#REF!</definedName>
    <definedName name="HACABLB" localSheetId="13">#REF!</definedName>
    <definedName name="HACABLB" localSheetId="19">[3]Constantes!#REF!</definedName>
    <definedName name="HACABLB" localSheetId="8">#REF!</definedName>
    <definedName name="HACABLB" localSheetId="22">[3]Constantes!#REF!</definedName>
    <definedName name="HACABLB" localSheetId="20">#REF!</definedName>
    <definedName name="HACABLB" localSheetId="14">#REF!</definedName>
    <definedName name="HACABLB" localSheetId="23">[3]Constantes!#REF!</definedName>
    <definedName name="HACABLB">#REF!</definedName>
    <definedName name="HACAC" localSheetId="15">#REF!</definedName>
    <definedName name="HACAC" localSheetId="13">#REF!</definedName>
    <definedName name="HACAC" localSheetId="19">[3]Constantes!#REF!</definedName>
    <definedName name="HACAC" localSheetId="8">#REF!</definedName>
    <definedName name="HACAC" localSheetId="22">[3]Constantes!#REF!</definedName>
    <definedName name="HACAC" localSheetId="20">#REF!</definedName>
    <definedName name="HACAC" localSheetId="14">#REF!</definedName>
    <definedName name="HACAC" localSheetId="23">[3]Constantes!#REF!</definedName>
    <definedName name="HACAC">#REF!</definedName>
    <definedName name="HACACT" localSheetId="15">#REF!</definedName>
    <definedName name="HACACT" localSheetId="13">#REF!</definedName>
    <definedName name="HACACT" localSheetId="19">[3]Constantes!#REF!</definedName>
    <definedName name="HACACT" localSheetId="8">#REF!</definedName>
    <definedName name="HACACT" localSheetId="22">[3]Constantes!#REF!</definedName>
    <definedName name="HACACT" localSheetId="20">#REF!</definedName>
    <definedName name="HACACT" localSheetId="14">#REF!</definedName>
    <definedName name="HACACT" localSheetId="23">[3]Constantes!#REF!</definedName>
    <definedName name="HACACT">#REF!</definedName>
    <definedName name="HACAE" localSheetId="15">#REF!</definedName>
    <definedName name="HACAE" localSheetId="13">#REF!</definedName>
    <definedName name="HACAE" localSheetId="19">[3]Constantes!#REF!</definedName>
    <definedName name="HACAE" localSheetId="8">#REF!</definedName>
    <definedName name="HACAE" localSheetId="22">[3]Constantes!#REF!</definedName>
    <definedName name="HACAE" localSheetId="20">#REF!</definedName>
    <definedName name="HACAE" localSheetId="14">#REF!</definedName>
    <definedName name="HACAE" localSheetId="23">[3]Constantes!#REF!</definedName>
    <definedName name="HACAE">#REF!</definedName>
    <definedName name="HACAL" localSheetId="15">#REF!</definedName>
    <definedName name="HACAL" localSheetId="13">#REF!</definedName>
    <definedName name="HACAL" localSheetId="19">[3]Constantes!#REF!</definedName>
    <definedName name="HACAL" localSheetId="8">#REF!</definedName>
    <definedName name="HACAL" localSheetId="22">[3]Constantes!#REF!</definedName>
    <definedName name="HACAL" localSheetId="20">#REF!</definedName>
    <definedName name="HACAL" localSheetId="14">#REF!</definedName>
    <definedName name="HACAL" localSheetId="23">[3]Constantes!#REF!</definedName>
    <definedName name="HACAL">#REF!</definedName>
    <definedName name="HACALF" localSheetId="15">#REF!</definedName>
    <definedName name="HACALF" localSheetId="13">#REF!</definedName>
    <definedName name="HACALF" localSheetId="19">[3]Constantes!#REF!</definedName>
    <definedName name="HACALF" localSheetId="8">#REF!</definedName>
    <definedName name="HACALF" localSheetId="22">[3]Constantes!#REF!</definedName>
    <definedName name="HACALF" localSheetId="20">#REF!</definedName>
    <definedName name="HACALF" localSheetId="14">#REF!</definedName>
    <definedName name="HACALF" localSheetId="23">[3]Constantes!#REF!</definedName>
    <definedName name="HACALF">#REF!</definedName>
    <definedName name="HACAP" localSheetId="15">#REF!</definedName>
    <definedName name="HACAP" localSheetId="13">#REF!</definedName>
    <definedName name="HACAP" localSheetId="19">[3]Constantes!#REF!</definedName>
    <definedName name="HACAP" localSheetId="8">#REF!</definedName>
    <definedName name="HACAP" localSheetId="22">[3]Constantes!#REF!</definedName>
    <definedName name="HACAP" localSheetId="20">#REF!</definedName>
    <definedName name="HACAP" localSheetId="14">#REF!</definedName>
    <definedName name="HACAP" localSheetId="23">[3]Constantes!#REF!</definedName>
    <definedName name="HACAP">#REF!</definedName>
    <definedName name="HACAT" localSheetId="15">#REF!</definedName>
    <definedName name="HACAT" localSheetId="13">#REF!</definedName>
    <definedName name="HACAT" localSheetId="19">[3]Constantes!#REF!</definedName>
    <definedName name="HACAT" localSheetId="8">#REF!</definedName>
    <definedName name="HACAT" localSheetId="22">[3]Constantes!#REF!</definedName>
    <definedName name="HACAT" localSheetId="20">#REF!</definedName>
    <definedName name="HACAT" localSheetId="14">#REF!</definedName>
    <definedName name="HACAT" localSheetId="23">[3]Constantes!#REF!</definedName>
    <definedName name="HACAT">#REF!</definedName>
    <definedName name="HACATS" localSheetId="15">#REF!</definedName>
    <definedName name="HACATS" localSheetId="13">#REF!</definedName>
    <definedName name="HACATS" localSheetId="19">[3]Constantes!#REF!</definedName>
    <definedName name="HACATS" localSheetId="8">#REF!</definedName>
    <definedName name="HACATS" localSheetId="22">[3]Constantes!#REF!</definedName>
    <definedName name="HACATS" localSheetId="20">#REF!</definedName>
    <definedName name="HACATS" localSheetId="14">#REF!</definedName>
    <definedName name="HACATS" localSheetId="23">[3]Constantes!#REF!</definedName>
    <definedName name="HACATS">#REF!</definedName>
    <definedName name="HACAV" localSheetId="15">#REF!</definedName>
    <definedName name="HACAV" localSheetId="13">#REF!</definedName>
    <definedName name="HACAV" localSheetId="19">[3]Constantes!#REF!</definedName>
    <definedName name="HACAV" localSheetId="8">#REF!</definedName>
    <definedName name="HACAV" localSheetId="22">[3]Constantes!#REF!</definedName>
    <definedName name="HACAV" localSheetId="20">#REF!</definedName>
    <definedName name="HACAV" localSheetId="14">#REF!</definedName>
    <definedName name="HACAV" localSheetId="23">[3]Constantes!#REF!</definedName>
    <definedName name="HACAV">#REF!</definedName>
    <definedName name="HACAVF" localSheetId="15">#REF!</definedName>
    <definedName name="HACAVF" localSheetId="13">#REF!</definedName>
    <definedName name="HACAVF" localSheetId="19">[3]Constantes!#REF!</definedName>
    <definedName name="HACAVF" localSheetId="8">#REF!</definedName>
    <definedName name="HACAVF" localSheetId="22">[3]Constantes!#REF!</definedName>
    <definedName name="HACAVF" localSheetId="20">#REF!</definedName>
    <definedName name="HACAVF" localSheetId="14">#REF!</definedName>
    <definedName name="HACAVF" localSheetId="23">[3]Constantes!#REF!</definedName>
    <definedName name="HACAVF">#REF!</definedName>
    <definedName name="HACHE">#N/A</definedName>
    <definedName name="HACLB" localSheetId="15">#REF!</definedName>
    <definedName name="HACLB" localSheetId="13">#REF!</definedName>
    <definedName name="HACLB" localSheetId="19">[3]Constantes!#REF!</definedName>
    <definedName name="HACLB" localSheetId="8">#REF!</definedName>
    <definedName name="HACLB" localSheetId="22">[3]Constantes!#REF!</definedName>
    <definedName name="HACLB" localSheetId="20">#REF!</definedName>
    <definedName name="HACLB" localSheetId="14">#REF!</definedName>
    <definedName name="HACLB" localSheetId="23">[3]Constantes!#REF!</definedName>
    <definedName name="HACLB">#REF!</definedName>
    <definedName name="HACLD" localSheetId="15">#REF!</definedName>
    <definedName name="HACLD" localSheetId="13">#REF!</definedName>
    <definedName name="HACLD" localSheetId="19">[3]Constantes!#REF!</definedName>
    <definedName name="HACLD" localSheetId="8">#REF!</definedName>
    <definedName name="HACLD" localSheetId="22">[3]Constantes!#REF!</definedName>
    <definedName name="HACLD" localSheetId="20">#REF!</definedName>
    <definedName name="HACLD" localSheetId="14">#REF!</definedName>
    <definedName name="HACLD" localSheetId="23">[3]Constantes!#REF!</definedName>
    <definedName name="HACLD">#REF!</definedName>
    <definedName name="HACTLB" localSheetId="15">#REF!</definedName>
    <definedName name="HACTLB" localSheetId="13">#REF!</definedName>
    <definedName name="HACTLB" localSheetId="19">[3]Constantes!#REF!</definedName>
    <definedName name="HACTLB" localSheetId="8">#REF!</definedName>
    <definedName name="HACTLB" localSheetId="22">[3]Constantes!#REF!</definedName>
    <definedName name="HACTLB" localSheetId="20">#REF!</definedName>
    <definedName name="HACTLB" localSheetId="14">#REF!</definedName>
    <definedName name="HACTLB" localSheetId="23">[3]Constantes!#REF!</definedName>
    <definedName name="HACTLB">#REF!</definedName>
    <definedName name="HACTLD" localSheetId="15">#REF!</definedName>
    <definedName name="HACTLD" localSheetId="13">#REF!</definedName>
    <definedName name="HACTLD" localSheetId="19">[3]Constantes!#REF!</definedName>
    <definedName name="HACTLD" localSheetId="8">#REF!</definedName>
    <definedName name="HACTLD" localSheetId="22">[3]Constantes!#REF!</definedName>
    <definedName name="HACTLD" localSheetId="20">#REF!</definedName>
    <definedName name="HACTLD" localSheetId="14">#REF!</definedName>
    <definedName name="HACTLD" localSheetId="23">[3]Constantes!#REF!</definedName>
    <definedName name="HACTLD">#REF!</definedName>
    <definedName name="HAEL" localSheetId="15">#REF!</definedName>
    <definedName name="HAEL" localSheetId="13">#REF!</definedName>
    <definedName name="HAEL" localSheetId="19">[3]Constantes!#REF!</definedName>
    <definedName name="HAEL" localSheetId="8">#REF!</definedName>
    <definedName name="HAEL" localSheetId="22">[3]Constantes!#REF!</definedName>
    <definedName name="HAEL" localSheetId="20">#REF!</definedName>
    <definedName name="HAEL" localSheetId="14">#REF!</definedName>
    <definedName name="HAEL" localSheetId="23">[3]Constantes!#REF!</definedName>
    <definedName name="HAEL">#REF!</definedName>
    <definedName name="HAEMPSA" localSheetId="15">#REF!</definedName>
    <definedName name="HAEMPSA" localSheetId="13">#REF!</definedName>
    <definedName name="HAEMPSA" localSheetId="19">[3]Constantes!#REF!</definedName>
    <definedName name="HAEMPSA" localSheetId="8">#REF!</definedName>
    <definedName name="HAEMPSA" localSheetId="22">[3]Constantes!#REF!</definedName>
    <definedName name="HAEMPSA" localSheetId="20">#REF!</definedName>
    <definedName name="HAEMPSA" localSheetId="14">#REF!</definedName>
    <definedName name="HAEMPSA" localSheetId="23">[3]Constantes!#REF!</definedName>
    <definedName name="HAEMPSA">#REF!</definedName>
    <definedName name="HAEMZA" localSheetId="15">#REF!</definedName>
    <definedName name="HAEMZA" localSheetId="13">#REF!</definedName>
    <definedName name="HAEMZA" localSheetId="19">[3]Constantes!#REF!</definedName>
    <definedName name="HAEMZA" localSheetId="8">#REF!</definedName>
    <definedName name="HAEMZA" localSheetId="22">[3]Constantes!#REF!</definedName>
    <definedName name="HAEMZA" localSheetId="20">#REF!</definedName>
    <definedName name="HAEMZA" localSheetId="14">#REF!</definedName>
    <definedName name="HAEMZA" localSheetId="23">[3]Constantes!#REF!</definedName>
    <definedName name="HAEMZA">#REF!</definedName>
    <definedName name="HAET" localSheetId="15">#REF!</definedName>
    <definedName name="HAET" localSheetId="13">#REF!</definedName>
    <definedName name="HAET" localSheetId="19">[3]Constantes!#REF!</definedName>
    <definedName name="HAET" localSheetId="8">#REF!</definedName>
    <definedName name="HAET" localSheetId="22">[3]Constantes!#REF!</definedName>
    <definedName name="HAET" localSheetId="20">#REF!</definedName>
    <definedName name="HAET" localSheetId="14">#REF!</definedName>
    <definedName name="HAET" localSheetId="23">[3]Constantes!#REF!</definedName>
    <definedName name="HAET">#REF!</definedName>
    <definedName name="HAETBCP" localSheetId="15">#REF!</definedName>
    <definedName name="HAETBCP" localSheetId="13">#REF!</definedName>
    <definedName name="HAETBCP" localSheetId="19">[3]Constantes!#REF!</definedName>
    <definedName name="HAETBCP" localSheetId="8">#REF!</definedName>
    <definedName name="HAETBCP" localSheetId="22">[3]Constantes!#REF!</definedName>
    <definedName name="HAETBCP" localSheetId="20">#REF!</definedName>
    <definedName name="HAETBCP" localSheetId="14">#REF!</definedName>
    <definedName name="HAETBCP" localSheetId="23">[3]Constantes!#REF!</definedName>
    <definedName name="HAETBCP">#REF!</definedName>
    <definedName name="HAETS" localSheetId="15">#REF!</definedName>
    <definedName name="HAETS" localSheetId="13">#REF!</definedName>
    <definedName name="HAETS" localSheetId="19">[3]Constantes!#REF!</definedName>
    <definedName name="HAETS" localSheetId="8">#REF!</definedName>
    <definedName name="HAETS" localSheetId="22">[3]Constantes!#REF!</definedName>
    <definedName name="HAETS" localSheetId="20">#REF!</definedName>
    <definedName name="HAETS" localSheetId="14">#REF!</definedName>
    <definedName name="HAETS" localSheetId="23">[3]Constantes!#REF!</definedName>
    <definedName name="HAETS">#REF!</definedName>
    <definedName name="HAEV" localSheetId="15">#REF!</definedName>
    <definedName name="HAEV" localSheetId="13">#REF!</definedName>
    <definedName name="HAEV" localSheetId="19">[3]Constantes!#REF!</definedName>
    <definedName name="HAEV" localSheetId="8">#REF!</definedName>
    <definedName name="HAEV" localSheetId="22">[3]Constantes!#REF!</definedName>
    <definedName name="HAEV" localSheetId="20">#REF!</definedName>
    <definedName name="HAEV" localSheetId="14">#REF!</definedName>
    <definedName name="HAEV" localSheetId="23">[3]Constantes!#REF!</definedName>
    <definedName name="HAEV">#REF!</definedName>
    <definedName name="HAMH" localSheetId="15">#REF!</definedName>
    <definedName name="HAMH" localSheetId="13">#REF!</definedName>
    <definedName name="HAMH" localSheetId="19">[3]Constantes!#REF!</definedName>
    <definedName name="HAMH" localSheetId="8">#REF!</definedName>
    <definedName name="HAMH" localSheetId="22">[3]Constantes!#REF!</definedName>
    <definedName name="HAMH" localSheetId="20">#REF!</definedName>
    <definedName name="HAMH" localSheetId="14">#REF!</definedName>
    <definedName name="HAMH" localSheetId="23">[3]Constantes!#REF!</definedName>
    <definedName name="HAMH">#REF!</definedName>
    <definedName name="HAPC" localSheetId="15">#REF!</definedName>
    <definedName name="HAPC" localSheetId="13">#REF!</definedName>
    <definedName name="HAPC" localSheetId="19">[3]Constantes!#REF!</definedName>
    <definedName name="HAPC" localSheetId="8">#REF!</definedName>
    <definedName name="HAPC" localSheetId="22">[3]Constantes!#REF!</definedName>
    <definedName name="HAPC" localSheetId="20">#REF!</definedName>
    <definedName name="HAPC" localSheetId="14">#REF!</definedName>
    <definedName name="HAPC" localSheetId="23">[3]Constantes!#REF!</definedName>
    <definedName name="HAPC">#REF!</definedName>
    <definedName name="HAPL" localSheetId="15">#REF!</definedName>
    <definedName name="HAPL" localSheetId="13">#REF!</definedName>
    <definedName name="HAPL" localSheetId="19">[3]Constantes!#REF!</definedName>
    <definedName name="HAPL" localSheetId="8">#REF!</definedName>
    <definedName name="HAPL" localSheetId="22">[3]Constantes!#REF!</definedName>
    <definedName name="HAPL" localSheetId="20">#REF!</definedName>
    <definedName name="HAPL" localSheetId="14">#REF!</definedName>
    <definedName name="HAPL" localSheetId="23">[3]Constantes!#REF!</definedName>
    <definedName name="HAPL">#REF!</definedName>
    <definedName name="HAPV" localSheetId="15">#REF!</definedName>
    <definedName name="HAPV" localSheetId="13">#REF!</definedName>
    <definedName name="HAPV" localSheetId="19">[3]Constantes!#REF!</definedName>
    <definedName name="HAPV" localSheetId="8">#REF!</definedName>
    <definedName name="HAPV" localSheetId="22">[3]Constantes!#REF!</definedName>
    <definedName name="HAPV" localSheetId="20">#REF!</definedName>
    <definedName name="HAPV" localSheetId="14">#REF!</definedName>
    <definedName name="HAPV" localSheetId="23">[3]Constantes!#REF!</definedName>
    <definedName name="HAPV">#REF!</definedName>
    <definedName name="HAREM" localSheetId="15">#REF!</definedName>
    <definedName name="HAREM" localSheetId="13">#REF!</definedName>
    <definedName name="HAREM" localSheetId="19">[3]Constantes!#REF!</definedName>
    <definedName name="HAREM" localSheetId="8">#REF!</definedName>
    <definedName name="HAREM" localSheetId="22">[3]Constantes!#REF!</definedName>
    <definedName name="HAREM" localSheetId="20">#REF!</definedName>
    <definedName name="HAREM" localSheetId="14">#REF!</definedName>
    <definedName name="HAREM" localSheetId="23">[3]Constantes!#REF!</definedName>
    <definedName name="HAREM">#REF!</definedName>
    <definedName name="HARHE" localSheetId="15">#REF!</definedName>
    <definedName name="HARHE" localSheetId="13">#REF!</definedName>
    <definedName name="HARHE" localSheetId="19">[3]Constantes!#REF!</definedName>
    <definedName name="HARHE" localSheetId="8">#REF!</definedName>
    <definedName name="HARHE" localSheetId="22">[3]Constantes!#REF!</definedName>
    <definedName name="HARHE" localSheetId="20">#REF!</definedName>
    <definedName name="HARHE" localSheetId="14">#REF!</definedName>
    <definedName name="HARHE" localSheetId="23">[3]Constantes!#REF!</definedName>
    <definedName name="HARHE">#REF!</definedName>
    <definedName name="HATF" localSheetId="15">#REF!</definedName>
    <definedName name="HATF" localSheetId="13">#REF!</definedName>
    <definedName name="HATF" localSheetId="19">[3]Constantes!#REF!</definedName>
    <definedName name="HATF" localSheetId="8">#REF!</definedName>
    <definedName name="HATF" localSheetId="22">[3]Constantes!#REF!</definedName>
    <definedName name="HATF" localSheetId="20">#REF!</definedName>
    <definedName name="HATF" localSheetId="14">#REF!</definedName>
    <definedName name="HATF" localSheetId="23">[3]Constantes!#REF!</definedName>
    <definedName name="HATF">#REF!</definedName>
    <definedName name="HAVE" localSheetId="15">#REF!</definedName>
    <definedName name="HAVE" localSheetId="13">#REF!</definedName>
    <definedName name="HAVE" localSheetId="19">[3]Constantes!#REF!</definedName>
    <definedName name="HAVE" localSheetId="8">#REF!</definedName>
    <definedName name="HAVE" localSheetId="22">[3]Constantes!#REF!</definedName>
    <definedName name="HAVE" localSheetId="20">#REF!</definedName>
    <definedName name="HAVE" localSheetId="14">#REF!</definedName>
    <definedName name="HAVE" localSheetId="23">[3]Constantes!#REF!</definedName>
    <definedName name="HAVE">#REF!</definedName>
    <definedName name="HEA">#REF!</definedName>
    <definedName name="HEAA">#REF!</definedName>
    <definedName name="Header_Row">ROW(#REF!)</definedName>
    <definedName name="HEB">#REF!</definedName>
    <definedName name="HEM">#REF!</definedName>
    <definedName name="Hipotesis">#REF!</definedName>
    <definedName name="HJJ">#REF!</definedName>
    <definedName name="HOCI" localSheetId="15">#REF!</definedName>
    <definedName name="HOCI" localSheetId="13">#REF!</definedName>
    <definedName name="HOCI" localSheetId="19">[3]Constantes!#REF!</definedName>
    <definedName name="HOCI" localSheetId="8">#REF!</definedName>
    <definedName name="HOCI" localSheetId="22">[3]Constantes!#REF!</definedName>
    <definedName name="HOCI" localSheetId="20">#REF!</definedName>
    <definedName name="HOCI" localSheetId="14">#REF!</definedName>
    <definedName name="HOCI" localSheetId="23">[3]Constantes!#REF!</definedName>
    <definedName name="HOCI">#REF!</definedName>
    <definedName name="HOCP" localSheetId="15">#REF!</definedName>
    <definedName name="HOCP" localSheetId="13">#REF!</definedName>
    <definedName name="HOCP" localSheetId="19">[3]Constantes!#REF!</definedName>
    <definedName name="HOCP" localSheetId="8">#REF!</definedName>
    <definedName name="HOCP" localSheetId="22">[3]Constantes!#REF!</definedName>
    <definedName name="HOCP" localSheetId="20">#REF!</definedName>
    <definedName name="HOCP" localSheetId="14">#REF!</definedName>
    <definedName name="HOCP" localSheetId="23">[3]Constantes!#REF!</definedName>
    <definedName name="HOCP">#REF!</definedName>
    <definedName name="HOJA1">#REF!</definedName>
    <definedName name="HOJA2">#REF!</definedName>
    <definedName name="HOJA3">#REF!</definedName>
    <definedName name="HOJA4">#REF!</definedName>
    <definedName name="HOJA5">#REF!</definedName>
    <definedName name="HOJA6">#REF!</definedName>
    <definedName name="HOJA7">#REF!</definedName>
    <definedName name="HOJA8">#REF!</definedName>
    <definedName name="HORA">#N/A</definedName>
    <definedName name="Horas_Trabajadas_x_mes" localSheetId="15">#REF!</definedName>
    <definedName name="Horas_Trabajadas_x_mes" localSheetId="13">#REF!</definedName>
    <definedName name="Horas_Trabajadas_x_mes" localSheetId="19">[3]Constantes!$C$34</definedName>
    <definedName name="Horas_Trabajadas_x_mes" localSheetId="8">#REF!</definedName>
    <definedName name="Horas_Trabajadas_x_mes" localSheetId="22">[3]Constantes!$C$34</definedName>
    <definedName name="Horas_Trabajadas_x_mes" localSheetId="20">#REF!</definedName>
    <definedName name="Horas_Trabajadas_x_mes" localSheetId="14">#REF!</definedName>
    <definedName name="Horas_Trabajadas_x_mes" localSheetId="23">[3]Constantes!$C$34</definedName>
    <definedName name="Horas_Trabajadas_x_mes">#REF!</definedName>
    <definedName name="HORM" localSheetId="8">#REF!</definedName>
    <definedName name="HORM">#REF!</definedName>
    <definedName name="HORMA" localSheetId="8">#REF!</definedName>
    <definedName name="HORMA">#REF!</definedName>
    <definedName name="HP">#REF!</definedName>
    <definedName name="HR">#REF!</definedName>
    <definedName name="Hs">#REF!</definedName>
    <definedName name="HTR" localSheetId="15">#REF!</definedName>
    <definedName name="HTR" localSheetId="13">#REF!</definedName>
    <definedName name="HTR" localSheetId="19">[3]Constantes!#REF!</definedName>
    <definedName name="HTR" localSheetId="7">#REF!</definedName>
    <definedName name="HTR" localSheetId="8">#REF!</definedName>
    <definedName name="HTR" localSheetId="22">[3]Constantes!#REF!</definedName>
    <definedName name="HTR" localSheetId="20">#REF!</definedName>
    <definedName name="HTR" localSheetId="3">#REF!</definedName>
    <definedName name="HTR" localSheetId="14">#REF!</definedName>
    <definedName name="HTR" localSheetId="23">[3]Constantes!#REF!</definedName>
    <definedName name="HTR">#REF!</definedName>
    <definedName name="Huno" localSheetId="8">#REF!</definedName>
    <definedName name="Huno">#REF!</definedName>
    <definedName name="I.E.R.I.C." localSheetId="15">#REF!</definedName>
    <definedName name="I.E.R.I.C." localSheetId="13">#REF!</definedName>
    <definedName name="I.E.R.I.C." localSheetId="19">[3]Constantes!$C$43</definedName>
    <definedName name="I.E.R.I.C." localSheetId="8">#REF!</definedName>
    <definedName name="I.E.R.I.C." localSheetId="22">[3]Constantes!$C$43</definedName>
    <definedName name="I.E.R.I.C." localSheetId="20">#REF!</definedName>
    <definedName name="I.E.R.I.C." localSheetId="14">#REF!</definedName>
    <definedName name="I.E.R.I.C." localSheetId="23">[3]Constantes!$C$43</definedName>
    <definedName name="I.E.R.I.C.">#REF!</definedName>
    <definedName name="ifnc">#REF!</definedName>
    <definedName name="iiiiluminacion">#REF!</definedName>
    <definedName name="iipuentes">#REF!</definedName>
    <definedName name="Imdice_de_rubros">#REF!</definedName>
    <definedName name="impacto">#REF!</definedName>
    <definedName name="IMPREDIAMETRO">#REF!</definedName>
    <definedName name="IMPRESION">#REF!</definedName>
    <definedName name="IMPRIMIR">#REF!</definedName>
    <definedName name="Incap">#REF!</definedName>
    <definedName name="Inenc">#REF!</definedName>
    <definedName name="inicia">#REF!</definedName>
    <definedName name="INSSJP">#REF!</definedName>
    <definedName name="Insumos" localSheetId="7">#REF!</definedName>
    <definedName name="Insumos" localSheetId="3">#REF!</definedName>
    <definedName name="Insumos">#REF!</definedName>
    <definedName name="Insup">#REF!</definedName>
    <definedName name="Int">#REF!</definedName>
    <definedName name="INTERESES">#REF!</definedName>
    <definedName name="Interest_Rate">#REF!</definedName>
    <definedName name="Intop">#REF!</definedName>
    <definedName name="Ip">#REF!</definedName>
    <definedName name="IPE">#REF!</definedName>
    <definedName name="IPEA">#REF!</definedName>
    <definedName name="IPEO">#REF!</definedName>
    <definedName name="IPN">#REF!</definedName>
    <definedName name="it25c">#REF!</definedName>
    <definedName name="it28ac">#REF!</definedName>
    <definedName name="it28bc">#REF!</definedName>
    <definedName name="it29c">#REF!</definedName>
    <definedName name="it30c">#REF!</definedName>
    <definedName name="it31c">#REF!</definedName>
    <definedName name="it32c">#REF!</definedName>
    <definedName name="it33c">#REF!</definedName>
    <definedName name="it34c">#REF!</definedName>
    <definedName name="it35c">#REF!</definedName>
    <definedName name="it36ac">#REF!</definedName>
    <definedName name="it36bc">#REF!</definedName>
    <definedName name="it37c">#REF!</definedName>
    <definedName name="it38c">#REF!</definedName>
    <definedName name="it39c">#REF!</definedName>
    <definedName name="it3ac">#REF!</definedName>
    <definedName name="it3bc">#REF!</definedName>
    <definedName name="it3p">#REF!</definedName>
    <definedName name="it41c1mod">#REF!</definedName>
    <definedName name="it42c1mod">#REF!</definedName>
    <definedName name="it4c">#REF!</definedName>
    <definedName name="it4p">#REF!</definedName>
    <definedName name="it5c">#REF!</definedName>
    <definedName name="it5p">#REF!</definedName>
    <definedName name="it6p">#REF!</definedName>
    <definedName name="it7ac">#REF!</definedName>
    <definedName name="it7bc">#REF!</definedName>
    <definedName name="it7cc">#REF!</definedName>
    <definedName name="it8c">#REF!</definedName>
    <definedName name="it9p">#REF!</definedName>
    <definedName name="Item_Ana">#REF!</definedName>
    <definedName name="item1">#REF!</definedName>
    <definedName name="ITEM30">#REF!</definedName>
    <definedName name="items" localSheetId="15">#REF!</definedName>
    <definedName name="items" localSheetId="13">#REF!</definedName>
    <definedName name="items" localSheetId="19">[3]Items!$A$3:$G$1213</definedName>
    <definedName name="items" localSheetId="8">#REF!</definedName>
    <definedName name="items" localSheetId="22">[3]Items!$A$3:$G$1213</definedName>
    <definedName name="items" localSheetId="20">#REF!</definedName>
    <definedName name="items" localSheetId="14">#REF!</definedName>
    <definedName name="items" localSheetId="23">[3]Items!$A$3:$G$1213</definedName>
    <definedName name="items">#REF!</definedName>
    <definedName name="IVA">#REF!</definedName>
    <definedName name="jj_indice_de_materiales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R">#REF!</definedName>
    <definedName name="JORNADA">#REF!</definedName>
    <definedName name="JORNADA1">#REF!</definedName>
    <definedName name="Jornal_Basico_Ayudante" localSheetId="15">#REF!</definedName>
    <definedName name="Jornal_Basico_Ayudante" localSheetId="13">#REF!</definedName>
    <definedName name="Jornal_Basico_Ayudante" localSheetId="19">[3]Constantes!$C$31</definedName>
    <definedName name="Jornal_Basico_Ayudante" localSheetId="8">#REF!</definedName>
    <definedName name="Jornal_Basico_Ayudante" localSheetId="22">[3]Constantes!$C$31</definedName>
    <definedName name="Jornal_Basico_Ayudante" localSheetId="20">#REF!</definedName>
    <definedName name="Jornal_Basico_Ayudante" localSheetId="14">#REF!</definedName>
    <definedName name="Jornal_Basico_Ayudante" localSheetId="23">[3]Constantes!$C$31</definedName>
    <definedName name="Jornal_Basico_Ayudante">#REF!</definedName>
    <definedName name="Jornal_Basico_Oficial" localSheetId="15">#REF!</definedName>
    <definedName name="Jornal_Basico_Oficial" localSheetId="13">#REF!</definedName>
    <definedName name="Jornal_Basico_Oficial" localSheetId="19">[3]Constantes!$C$32</definedName>
    <definedName name="Jornal_Basico_Oficial" localSheetId="8">#REF!</definedName>
    <definedName name="Jornal_Basico_Oficial" localSheetId="22">[3]Constantes!$C$32</definedName>
    <definedName name="Jornal_Basico_Oficial" localSheetId="20">#REF!</definedName>
    <definedName name="Jornal_Basico_Oficial" localSheetId="14">#REF!</definedName>
    <definedName name="Jornal_Basico_Oficial" localSheetId="23">[3]Constantes!$C$32</definedName>
    <definedName name="Jornal_Basico_Oficial">#REF!</definedName>
    <definedName name="Jornal_Basico_Oficial_Especializado" localSheetId="15">#REF!</definedName>
    <definedName name="Jornal_Basico_Oficial_Especializado" localSheetId="13">#REF!</definedName>
    <definedName name="Jornal_Basico_Oficial_Especializado" localSheetId="19">[3]Constantes!$C$33</definedName>
    <definedName name="Jornal_Basico_Oficial_Especializado" localSheetId="8">#REF!</definedName>
    <definedName name="Jornal_Basico_Oficial_Especializado" localSheetId="22">[3]Constantes!$C$33</definedName>
    <definedName name="Jornal_Basico_Oficial_Especializado" localSheetId="20">#REF!</definedName>
    <definedName name="Jornal_Basico_Oficial_Especializado" localSheetId="14">#REF!</definedName>
    <definedName name="Jornal_Basico_Oficial_Especializado" localSheetId="23">[3]Constantes!$C$33</definedName>
    <definedName name="Jornal_Basico_Oficial_Especializado">#REF!</definedName>
    <definedName name="JP">#REF!</definedName>
    <definedName name="JT">#REF!</definedName>
    <definedName name="JUBI">#REF!</definedName>
    <definedName name="K" localSheetId="5">#REF!</definedName>
    <definedName name="K" localSheetId="6">#REF!</definedName>
    <definedName name="K">#REF!</definedName>
    <definedName name="kh">#REF!</definedName>
    <definedName name="kha">#REF!</definedName>
    <definedName name="l" localSheetId="5">#REF!</definedName>
    <definedName name="l" localSheetId="6">#REF!</definedName>
    <definedName name="l">#REF!</definedName>
    <definedName name="LA">#N/A</definedName>
    <definedName name="Last_Row">#N/A</definedName>
    <definedName name="LB">#N/A</definedName>
    <definedName name="LCPCB" localSheetId="15">#REF!</definedName>
    <definedName name="LCPCB" localSheetId="13">#REF!</definedName>
    <definedName name="LCPCB" localSheetId="19">[3]Constantes!#REF!</definedName>
    <definedName name="LCPCB" localSheetId="8">#REF!</definedName>
    <definedName name="LCPCB" localSheetId="22">[3]Constantes!#REF!</definedName>
    <definedName name="LCPCB" localSheetId="20">#REF!</definedName>
    <definedName name="LCPCB" localSheetId="14">#REF!</definedName>
    <definedName name="LCPCB" localSheetId="23">[3]Constantes!#REF!</definedName>
    <definedName name="LCPCB">#REF!</definedName>
    <definedName name="LCPCI06" localSheetId="15">#REF!</definedName>
    <definedName name="LCPCI06" localSheetId="13">#REF!</definedName>
    <definedName name="LCPCI06" localSheetId="19">[3]Constantes!#REF!</definedName>
    <definedName name="LCPCI06" localSheetId="8">#REF!</definedName>
    <definedName name="LCPCI06" localSheetId="22">[3]Constantes!#REF!</definedName>
    <definedName name="LCPCI06" localSheetId="20">#REF!</definedName>
    <definedName name="LCPCI06" localSheetId="14">#REF!</definedName>
    <definedName name="LCPCI06" localSheetId="23">[3]Constantes!#REF!</definedName>
    <definedName name="LCPCI06">#REF!</definedName>
    <definedName name="LCPCID12" localSheetId="15">#REF!</definedName>
    <definedName name="LCPCID12" localSheetId="13">#REF!</definedName>
    <definedName name="LCPCID12" localSheetId="19">[3]Constantes!#REF!</definedName>
    <definedName name="LCPCID12" localSheetId="8">#REF!</definedName>
    <definedName name="LCPCID12" localSheetId="22">[3]Constantes!#REF!</definedName>
    <definedName name="LCPCID12" localSheetId="20">#REF!</definedName>
    <definedName name="LCPCID12" localSheetId="14">#REF!</definedName>
    <definedName name="LCPCID12" localSheetId="23">[3]Constantes!#REF!</definedName>
    <definedName name="LCPCID12">#REF!</definedName>
    <definedName name="LCPCR" localSheetId="15">#REF!</definedName>
    <definedName name="LCPCR" localSheetId="13">#REF!</definedName>
    <definedName name="LCPCR" localSheetId="19">[3]Constantes!#REF!</definedName>
    <definedName name="LCPCR" localSheetId="8">#REF!</definedName>
    <definedName name="LCPCR" localSheetId="22">[3]Constantes!#REF!</definedName>
    <definedName name="LCPCR" localSheetId="20">#REF!</definedName>
    <definedName name="LCPCR" localSheetId="14">#REF!</definedName>
    <definedName name="LCPCR" localSheetId="23">[3]Constantes!#REF!</definedName>
    <definedName name="LCPCR">#REF!</definedName>
    <definedName name="LCPCRE" localSheetId="15">#REF!</definedName>
    <definedName name="LCPCRE" localSheetId="13">#REF!</definedName>
    <definedName name="LCPCRE" localSheetId="19">[3]Constantes!#REF!</definedName>
    <definedName name="LCPCRE" localSheetId="8">#REF!</definedName>
    <definedName name="LCPCRE" localSheetId="22">[3]Constantes!#REF!</definedName>
    <definedName name="LCPCRE" localSheetId="20">#REF!</definedName>
    <definedName name="LCPCRE" localSheetId="14">#REF!</definedName>
    <definedName name="LCPCRE" localSheetId="23">[3]Constantes!#REF!</definedName>
    <definedName name="LCPCRE">#REF!</definedName>
    <definedName name="LCPCV" localSheetId="15">#REF!</definedName>
    <definedName name="LCPCV" localSheetId="13">#REF!</definedName>
    <definedName name="LCPCV" localSheetId="19">[3]Constantes!#REF!</definedName>
    <definedName name="LCPCV" localSheetId="8">#REF!</definedName>
    <definedName name="LCPCV" localSheetId="22">[3]Constantes!#REF!</definedName>
    <definedName name="LCPCV" localSheetId="20">#REF!</definedName>
    <definedName name="LCPCV" localSheetId="14">#REF!</definedName>
    <definedName name="LCPCV" localSheetId="23">[3]Constantes!#REF!</definedName>
    <definedName name="LCPCV">#REF!</definedName>
    <definedName name="LCPPA" localSheetId="15">#REF!</definedName>
    <definedName name="LCPPA" localSheetId="13">#REF!</definedName>
    <definedName name="LCPPA" localSheetId="19">[3]Constantes!#REF!</definedName>
    <definedName name="LCPPA" localSheetId="8">#REF!</definedName>
    <definedName name="LCPPA" localSheetId="22">[3]Constantes!#REF!</definedName>
    <definedName name="LCPPA" localSheetId="20">#REF!</definedName>
    <definedName name="LCPPA" localSheetId="14">#REF!</definedName>
    <definedName name="LCPPA" localSheetId="23">[3]Constantes!#REF!</definedName>
    <definedName name="LCPPA">#REF!</definedName>
    <definedName name="LIC">#REF!</definedName>
    <definedName name="lista" hidden="1">#REF!</definedName>
    <definedName name="Listaperfiles">#REF!</definedName>
    <definedName name="ll_tabla_para_calculo_de_costos">#REF!</definedName>
    <definedName name="llll">#REF!</definedName>
    <definedName name="Lm">#REF!</definedName>
    <definedName name="Lo">#REF!</definedName>
    <definedName name="Loan_Amount">#REF!</definedName>
    <definedName name="Loan_Start">#REF!</definedName>
    <definedName name="Loan_Years">#REF!</definedName>
    <definedName name="loser">#REF!</definedName>
    <definedName name="Lubr">#REF!</definedName>
    <definedName name="Lubricantes">#REF!</definedName>
    <definedName name="M">#REF!</definedName>
    <definedName name="MAABC" localSheetId="15">#REF!</definedName>
    <definedName name="MAABC" localSheetId="13">#REF!</definedName>
    <definedName name="MAABC" localSheetId="19">[3]Constantes!#REF!</definedName>
    <definedName name="MAABC" localSheetId="8">#REF!</definedName>
    <definedName name="MAABC" localSheetId="22">[3]Constantes!#REF!</definedName>
    <definedName name="MAABC" localSheetId="20">#REF!</definedName>
    <definedName name="MAABC" localSheetId="14">#REF!</definedName>
    <definedName name="MAABC" localSheetId="23">[3]Constantes!#REF!</definedName>
    <definedName name="MAABC">#REF!</definedName>
    <definedName name="MAABY" localSheetId="15">#REF!</definedName>
    <definedName name="MAABY" localSheetId="13">#REF!</definedName>
    <definedName name="MAABY" localSheetId="19">[3]Constantes!#REF!</definedName>
    <definedName name="MAABY" localSheetId="8">#REF!</definedName>
    <definedName name="MAABY" localSheetId="22">[3]Constantes!#REF!</definedName>
    <definedName name="MAABY" localSheetId="20">#REF!</definedName>
    <definedName name="MAABY" localSheetId="14">#REF!</definedName>
    <definedName name="MAABY" localSheetId="23">[3]Constantes!#REF!</definedName>
    <definedName name="MAABY">#REF!</definedName>
    <definedName name="MAALC" localSheetId="15">#REF!</definedName>
    <definedName name="MAALC" localSheetId="13">#REF!</definedName>
    <definedName name="MAALC" localSheetId="19">[3]Constantes!#REF!</definedName>
    <definedName name="MAALC" localSheetId="8">#REF!</definedName>
    <definedName name="MAALC" localSheetId="22">[3]Constantes!#REF!</definedName>
    <definedName name="MAALC" localSheetId="20">#REF!</definedName>
    <definedName name="MAALC" localSheetId="14">#REF!</definedName>
    <definedName name="MAALC" localSheetId="23">[3]Constantes!#REF!</definedName>
    <definedName name="MAALC">#REF!</definedName>
    <definedName name="MAALH" localSheetId="15">#REF!</definedName>
    <definedName name="MAALH" localSheetId="13">#REF!</definedName>
    <definedName name="MAALH" localSheetId="19">[3]Constantes!#REF!</definedName>
    <definedName name="MAALH" localSheetId="8">#REF!</definedName>
    <definedName name="MAALH" localSheetId="22">[3]Constantes!#REF!</definedName>
    <definedName name="MAALH" localSheetId="20">#REF!</definedName>
    <definedName name="MAALH" localSheetId="14">#REF!</definedName>
    <definedName name="MAALH" localSheetId="23">[3]Constantes!#REF!</definedName>
    <definedName name="MAALH">#REF!</definedName>
    <definedName name="MAALHP" localSheetId="15">#REF!</definedName>
    <definedName name="MAALHP" localSheetId="13">#REF!</definedName>
    <definedName name="MAALHP" localSheetId="19">[3]Constantes!#REF!</definedName>
    <definedName name="MAALHP" localSheetId="8">#REF!</definedName>
    <definedName name="MAALHP" localSheetId="22">[3]Constantes!#REF!</definedName>
    <definedName name="MAALHP" localSheetId="20">#REF!</definedName>
    <definedName name="MAALHP" localSheetId="14">#REF!</definedName>
    <definedName name="MAALHP" localSheetId="23">[3]Constantes!#REF!</definedName>
    <definedName name="MAALHP">#REF!</definedName>
    <definedName name="MAALV" localSheetId="15">#REF!</definedName>
    <definedName name="MAALV" localSheetId="13">#REF!</definedName>
    <definedName name="MAALV" localSheetId="19">[3]Constantes!#REF!</definedName>
    <definedName name="MAALV" localSheetId="8">#REF!</definedName>
    <definedName name="MAALV" localSheetId="22">[3]Constantes!#REF!</definedName>
    <definedName name="MAALV" localSheetId="20">#REF!</definedName>
    <definedName name="MAALV" localSheetId="14">#REF!</definedName>
    <definedName name="MAALV" localSheetId="23">[3]Constantes!#REF!</definedName>
    <definedName name="MAALV">#REF!</definedName>
    <definedName name="MAAP" localSheetId="15">#REF!</definedName>
    <definedName name="MAAP" localSheetId="13">#REF!</definedName>
    <definedName name="MAAP" localSheetId="19">[3]Constantes!#REF!</definedName>
    <definedName name="MAAP" localSheetId="8">#REF!</definedName>
    <definedName name="MAAP" localSheetId="22">[3]Constantes!#REF!</definedName>
    <definedName name="MAAP" localSheetId="20">#REF!</definedName>
    <definedName name="MAAP" localSheetId="14">#REF!</definedName>
    <definedName name="MAAP" localSheetId="23">[3]Constantes!#REF!</definedName>
    <definedName name="MAAP">#REF!</definedName>
    <definedName name="MAAPY" localSheetId="15">#REF!</definedName>
    <definedName name="MAAPY" localSheetId="13">#REF!</definedName>
    <definedName name="MAAPY" localSheetId="19">[3]Constantes!#REF!</definedName>
    <definedName name="MAAPY" localSheetId="8">#REF!</definedName>
    <definedName name="MAAPY" localSheetId="22">[3]Constantes!#REF!</definedName>
    <definedName name="MAAPY" localSheetId="20">#REF!</definedName>
    <definedName name="MAAPY" localSheetId="14">#REF!</definedName>
    <definedName name="MAAPY" localSheetId="23">[3]Constantes!#REF!</definedName>
    <definedName name="MAAPY">#REF!</definedName>
    <definedName name="MABBC" localSheetId="15">#REF!</definedName>
    <definedName name="MABBC" localSheetId="13">#REF!</definedName>
    <definedName name="MABBC" localSheetId="19">[3]Constantes!#REF!</definedName>
    <definedName name="MABBC" localSheetId="8">#REF!</definedName>
    <definedName name="MABBC" localSheetId="22">[3]Constantes!#REF!</definedName>
    <definedName name="MABBC" localSheetId="20">#REF!</definedName>
    <definedName name="MABBC" localSheetId="14">#REF!</definedName>
    <definedName name="MABBC" localSheetId="23">[3]Constantes!#REF!</definedName>
    <definedName name="MABBC">#REF!</definedName>
    <definedName name="MABBY" localSheetId="15">#REF!</definedName>
    <definedName name="MABBY" localSheetId="13">#REF!</definedName>
    <definedName name="MABBY" localSheetId="19">[3]Constantes!#REF!</definedName>
    <definedName name="MABBY" localSheetId="8">#REF!</definedName>
    <definedName name="MABBY" localSheetId="22">[3]Constantes!#REF!</definedName>
    <definedName name="MABBY" localSheetId="20">#REF!</definedName>
    <definedName name="MABBY" localSheetId="14">#REF!</definedName>
    <definedName name="MABBY" localSheetId="23">[3]Constantes!#REF!</definedName>
    <definedName name="MABBY">#REF!</definedName>
    <definedName name="MABLC" localSheetId="15">#REF!</definedName>
    <definedName name="MABLC" localSheetId="13">#REF!</definedName>
    <definedName name="MABLC" localSheetId="19">[3]Constantes!#REF!</definedName>
    <definedName name="MABLC" localSheetId="8">#REF!</definedName>
    <definedName name="MABLC" localSheetId="22">[3]Constantes!#REF!</definedName>
    <definedName name="MABLC" localSheetId="20">#REF!</definedName>
    <definedName name="MABLC" localSheetId="14">#REF!</definedName>
    <definedName name="MABLC" localSheetId="23">[3]Constantes!#REF!</definedName>
    <definedName name="MABLC">#REF!</definedName>
    <definedName name="MABLH" localSheetId="15">#REF!</definedName>
    <definedName name="MABLH" localSheetId="13">#REF!</definedName>
    <definedName name="MABLH" localSheetId="19">[3]Constantes!#REF!</definedName>
    <definedName name="MABLH" localSheetId="8">#REF!</definedName>
    <definedName name="MABLH" localSheetId="22">[3]Constantes!#REF!</definedName>
    <definedName name="MABLH" localSheetId="20">#REF!</definedName>
    <definedName name="MABLH" localSheetId="14">#REF!</definedName>
    <definedName name="MABLH" localSheetId="23">[3]Constantes!#REF!</definedName>
    <definedName name="MABLH">#REF!</definedName>
    <definedName name="MABLHP" localSheetId="15">#REF!</definedName>
    <definedName name="MABLHP" localSheetId="13">#REF!</definedName>
    <definedName name="MABLHP" localSheetId="19">[3]Constantes!#REF!</definedName>
    <definedName name="MABLHP" localSheetId="8">#REF!</definedName>
    <definedName name="MABLHP" localSheetId="22">[3]Constantes!#REF!</definedName>
    <definedName name="MABLHP" localSheetId="20">#REF!</definedName>
    <definedName name="MABLHP" localSheetId="14">#REF!</definedName>
    <definedName name="MABLHP" localSheetId="23">[3]Constantes!#REF!</definedName>
    <definedName name="MABLHP">#REF!</definedName>
    <definedName name="MABLV" localSheetId="15">#REF!</definedName>
    <definedName name="MABLV" localSheetId="13">#REF!</definedName>
    <definedName name="MABLV" localSheetId="19">[3]Constantes!#REF!</definedName>
    <definedName name="MABLV" localSheetId="8">#REF!</definedName>
    <definedName name="MABLV" localSheetId="22">[3]Constantes!#REF!</definedName>
    <definedName name="MABLV" localSheetId="20">#REF!</definedName>
    <definedName name="MABLV" localSheetId="14">#REF!</definedName>
    <definedName name="MABLV" localSheetId="23">[3]Constantes!#REF!</definedName>
    <definedName name="MABLV">#REF!</definedName>
    <definedName name="MABP" localSheetId="15">#REF!</definedName>
    <definedName name="MABP" localSheetId="13">#REF!</definedName>
    <definedName name="MABP" localSheetId="19">[3]Constantes!#REF!</definedName>
    <definedName name="MABP" localSheetId="8">#REF!</definedName>
    <definedName name="MABP" localSheetId="22">[3]Constantes!#REF!</definedName>
    <definedName name="MABP" localSheetId="20">#REF!</definedName>
    <definedName name="MABP" localSheetId="14">#REF!</definedName>
    <definedName name="MABP" localSheetId="23">[3]Constantes!#REF!</definedName>
    <definedName name="MABP">#REF!</definedName>
    <definedName name="MABPY" localSheetId="15">#REF!</definedName>
    <definedName name="MABPY" localSheetId="13">#REF!</definedName>
    <definedName name="MABPY" localSheetId="19">[3]Constantes!#REF!</definedName>
    <definedName name="MABPY" localSheetId="8">#REF!</definedName>
    <definedName name="MABPY" localSheetId="22">[3]Constantes!#REF!</definedName>
    <definedName name="MABPY" localSheetId="20">#REF!</definedName>
    <definedName name="MABPY" localSheetId="14">#REF!</definedName>
    <definedName name="MABPY" localSheetId="23">[3]Constantes!#REF!</definedName>
    <definedName name="MABPY">#REF!</definedName>
    <definedName name="MACBC" localSheetId="15">#REF!</definedName>
    <definedName name="MACBC" localSheetId="13">#REF!</definedName>
    <definedName name="MACBC" localSheetId="19">[3]Constantes!#REF!</definedName>
    <definedName name="MACBC" localSheetId="8">#REF!</definedName>
    <definedName name="MACBC" localSheetId="22">[3]Constantes!#REF!</definedName>
    <definedName name="MACBC" localSheetId="20">#REF!</definedName>
    <definedName name="MACBC" localSheetId="14">#REF!</definedName>
    <definedName name="MACBC" localSheetId="23">[3]Constantes!#REF!</definedName>
    <definedName name="MACBC">#REF!</definedName>
    <definedName name="MACBY" localSheetId="15">#REF!</definedName>
    <definedName name="MACBY" localSheetId="13">#REF!</definedName>
    <definedName name="MACBY" localSheetId="19">[3]Constantes!#REF!</definedName>
    <definedName name="MACBY" localSheetId="8">#REF!</definedName>
    <definedName name="MACBY" localSheetId="22">[3]Constantes!#REF!</definedName>
    <definedName name="MACBY" localSheetId="20">#REF!</definedName>
    <definedName name="MACBY" localSheetId="14">#REF!</definedName>
    <definedName name="MACBY" localSheetId="23">[3]Constantes!#REF!</definedName>
    <definedName name="MACBY">#REF!</definedName>
    <definedName name="MACLC" localSheetId="15">#REF!</definedName>
    <definedName name="MACLC" localSheetId="13">#REF!</definedName>
    <definedName name="MACLC" localSheetId="19">[3]Constantes!#REF!</definedName>
    <definedName name="MACLC" localSheetId="8">#REF!</definedName>
    <definedName name="MACLC" localSheetId="22">[3]Constantes!#REF!</definedName>
    <definedName name="MACLC" localSheetId="20">#REF!</definedName>
    <definedName name="MACLC" localSheetId="14">#REF!</definedName>
    <definedName name="MACLC" localSheetId="23">[3]Constantes!#REF!</definedName>
    <definedName name="MACLC">#REF!</definedName>
    <definedName name="MACLH" localSheetId="15">#REF!</definedName>
    <definedName name="MACLH" localSheetId="13">#REF!</definedName>
    <definedName name="MACLH" localSheetId="19">[3]Constantes!#REF!</definedName>
    <definedName name="MACLH" localSheetId="8">#REF!</definedName>
    <definedName name="MACLH" localSheetId="22">[3]Constantes!#REF!</definedName>
    <definedName name="MACLH" localSheetId="20">#REF!</definedName>
    <definedName name="MACLH" localSheetId="14">#REF!</definedName>
    <definedName name="MACLH" localSheetId="23">[3]Constantes!#REF!</definedName>
    <definedName name="MACLH">#REF!</definedName>
    <definedName name="MACLHP" localSheetId="15">#REF!</definedName>
    <definedName name="MACLHP" localSheetId="13">#REF!</definedName>
    <definedName name="MACLHP" localSheetId="19">[3]Constantes!#REF!</definedName>
    <definedName name="MACLHP" localSheetId="8">#REF!</definedName>
    <definedName name="MACLHP" localSheetId="22">[3]Constantes!#REF!</definedName>
    <definedName name="MACLHP" localSheetId="20">#REF!</definedName>
    <definedName name="MACLHP" localSheetId="14">#REF!</definedName>
    <definedName name="MACLHP" localSheetId="23">[3]Constantes!#REF!</definedName>
    <definedName name="MACLHP">#REF!</definedName>
    <definedName name="MACLV" localSheetId="15">#REF!</definedName>
    <definedName name="MACLV" localSheetId="13">#REF!</definedName>
    <definedName name="MACLV" localSheetId="19">[3]Constantes!#REF!</definedName>
    <definedName name="MACLV" localSheetId="8">#REF!</definedName>
    <definedName name="MACLV" localSheetId="22">[3]Constantes!#REF!</definedName>
    <definedName name="MACLV" localSheetId="20">#REF!</definedName>
    <definedName name="MACLV" localSheetId="14">#REF!</definedName>
    <definedName name="MACLV" localSheetId="23">[3]Constantes!#REF!</definedName>
    <definedName name="MACLV">#REF!</definedName>
    <definedName name="MACPLY" localSheetId="15">#REF!</definedName>
    <definedName name="MACPLY" localSheetId="13">#REF!</definedName>
    <definedName name="MACPLY" localSheetId="19">[3]Constantes!#REF!</definedName>
    <definedName name="MACPLY" localSheetId="8">#REF!</definedName>
    <definedName name="MACPLY" localSheetId="22">[3]Constantes!#REF!</definedName>
    <definedName name="MACPLY" localSheetId="20">#REF!</definedName>
    <definedName name="MACPLY" localSheetId="14">#REF!</definedName>
    <definedName name="MACPLY" localSheetId="23">[3]Constantes!#REF!</definedName>
    <definedName name="MACPLY">#REF!</definedName>
    <definedName name="MACPY" localSheetId="15">#REF!</definedName>
    <definedName name="MACPY" localSheetId="13">#REF!</definedName>
    <definedName name="MACPY" localSheetId="19">[3]Constantes!#REF!</definedName>
    <definedName name="MACPY" localSheetId="8">#REF!</definedName>
    <definedName name="MACPY" localSheetId="22">[3]Constantes!#REF!</definedName>
    <definedName name="MACPY" localSheetId="20">#REF!</definedName>
    <definedName name="MACPY" localSheetId="14">#REF!</definedName>
    <definedName name="MACPY" localSheetId="23">[3]Constantes!#REF!</definedName>
    <definedName name="MACPY">#REF!</definedName>
    <definedName name="MACV" localSheetId="15">#REF!</definedName>
    <definedName name="MACV" localSheetId="13">#REF!</definedName>
    <definedName name="MACV" localSheetId="19">[3]Constantes!#REF!</definedName>
    <definedName name="MACV" localSheetId="8">#REF!</definedName>
    <definedName name="MACV" localSheetId="22">[3]Constantes!#REF!</definedName>
    <definedName name="MACV" localSheetId="20">#REF!</definedName>
    <definedName name="MACV" localSheetId="14">#REF!</definedName>
    <definedName name="MACV" localSheetId="23">[3]Constantes!#REF!</definedName>
    <definedName name="MACV">#REF!</definedName>
    <definedName name="mad">#REF!</definedName>
    <definedName name="MADLH" localSheetId="15">#REF!</definedName>
    <definedName name="MADLH" localSheetId="13">#REF!</definedName>
    <definedName name="MADLH" localSheetId="19">[3]Constantes!#REF!</definedName>
    <definedName name="MADLH" localSheetId="8">#REF!</definedName>
    <definedName name="MADLH" localSheetId="22">[3]Constantes!#REF!</definedName>
    <definedName name="MADLH" localSheetId="20">#REF!</definedName>
    <definedName name="MADLH" localSheetId="14">#REF!</definedName>
    <definedName name="MADLH" localSheetId="23">[3]Constantes!#REF!</definedName>
    <definedName name="MADLH">#REF!</definedName>
    <definedName name="MAEJ" localSheetId="15">#REF!</definedName>
    <definedName name="MAEJ" localSheetId="13">#REF!</definedName>
    <definedName name="MAEJ" localSheetId="19">[3]Constantes!#REF!</definedName>
    <definedName name="MAEJ" localSheetId="8">#REF!</definedName>
    <definedName name="MAEJ" localSheetId="22">[3]Constantes!#REF!</definedName>
    <definedName name="MAEJ" localSheetId="20">#REF!</definedName>
    <definedName name="MAEJ" localSheetId="14">#REF!</definedName>
    <definedName name="MAEJ" localSheetId="23">[3]Constantes!#REF!</definedName>
    <definedName name="MAEJ">#REF!</definedName>
    <definedName name="MAENM" localSheetId="15">#REF!</definedName>
    <definedName name="MAENM" localSheetId="13">#REF!</definedName>
    <definedName name="MAENM" localSheetId="19">[3]Constantes!#REF!</definedName>
    <definedName name="MAENM" localSheetId="8">#REF!</definedName>
    <definedName name="MAENM" localSheetId="22">[3]Constantes!#REF!</definedName>
    <definedName name="MAENM" localSheetId="20">#REF!</definedName>
    <definedName name="MAENM" localSheetId="14">#REF!</definedName>
    <definedName name="MAENM" localSheetId="23">[3]Constantes!#REF!</definedName>
    <definedName name="MAENM">#REF!</definedName>
    <definedName name="MAMPOSTERIA" localSheetId="15">#REF!</definedName>
    <definedName name="MAMPOSTERIA" localSheetId="13">#REF!</definedName>
    <definedName name="MAMPOSTERIA" localSheetId="19">'[7]REVOQUES EXTERIORES'!$A$3:$I$324</definedName>
    <definedName name="MAMPOSTERIA" localSheetId="8">#REF!</definedName>
    <definedName name="MAMPOSTERIA" localSheetId="22">'[7]REVOQUES EXTERIORES'!$A$3:$I$324</definedName>
    <definedName name="MAMPOSTERIA" localSheetId="20">#REF!</definedName>
    <definedName name="MAMPOSTERIA" localSheetId="14">#REF!</definedName>
    <definedName name="MAMPOSTERIA" localSheetId="23">'[7]REVOQUES EXTERIORES'!$A$3:$I$324</definedName>
    <definedName name="MAMPOSTERIA">#REF!</definedName>
    <definedName name="MANOBRA">#N/A</definedName>
    <definedName name="manodeo" localSheetId="15">#REF!</definedName>
    <definedName name="manodeo" localSheetId="13">#REF!</definedName>
    <definedName name="manodeo" localSheetId="8">#REF!</definedName>
    <definedName name="manodeo" localSheetId="14">#REF!</definedName>
    <definedName name="manodeo">#REF!</definedName>
    <definedName name="manodeobra" localSheetId="5">#REF!</definedName>
    <definedName name="manodeobra" localSheetId="8">#REF!</definedName>
    <definedName name="manodeobra" localSheetId="6">#REF!</definedName>
    <definedName name="manodeobra">#REF!</definedName>
    <definedName name="MAPBC" localSheetId="15">#REF!</definedName>
    <definedName name="MAPBC" localSheetId="13">#REF!</definedName>
    <definedName name="MAPBC" localSheetId="19">[3]Constantes!#REF!</definedName>
    <definedName name="MAPBC" localSheetId="8">#REF!</definedName>
    <definedName name="MAPBC" localSheetId="22">[3]Constantes!#REF!</definedName>
    <definedName name="MAPBC" localSheetId="20">#REF!</definedName>
    <definedName name="MAPBC" localSheetId="14">#REF!</definedName>
    <definedName name="MAPBC" localSheetId="23">[3]Constantes!#REF!</definedName>
    <definedName name="MAPBC">#REF!</definedName>
    <definedName name="MAPBY" localSheetId="15">#REF!</definedName>
    <definedName name="MAPBY" localSheetId="13">#REF!</definedName>
    <definedName name="MAPBY" localSheetId="19">[3]Constantes!#REF!</definedName>
    <definedName name="MAPBY" localSheetId="8">#REF!</definedName>
    <definedName name="MAPBY" localSheetId="22">[3]Constantes!#REF!</definedName>
    <definedName name="MAPBY" localSheetId="20">#REF!</definedName>
    <definedName name="MAPBY" localSheetId="14">#REF!</definedName>
    <definedName name="MAPBY" localSheetId="23">[3]Constantes!#REF!</definedName>
    <definedName name="MAPBY">#REF!</definedName>
    <definedName name="MAPJ" localSheetId="15">#REF!</definedName>
    <definedName name="MAPJ" localSheetId="13">#REF!</definedName>
    <definedName name="MAPJ" localSheetId="19">[3]Constantes!#REF!</definedName>
    <definedName name="MAPJ" localSheetId="8">#REF!</definedName>
    <definedName name="MAPJ" localSheetId="22">[3]Constantes!#REF!</definedName>
    <definedName name="MAPJ" localSheetId="20">#REF!</definedName>
    <definedName name="MAPJ" localSheetId="14">#REF!</definedName>
    <definedName name="MAPJ" localSheetId="23">[3]Constantes!#REF!</definedName>
    <definedName name="MAPJ">#REF!</definedName>
    <definedName name="MAPLC" localSheetId="15">#REF!</definedName>
    <definedName name="MAPLC" localSheetId="13">#REF!</definedName>
    <definedName name="MAPLC" localSheetId="19">[3]Constantes!#REF!</definedName>
    <definedName name="MAPLC" localSheetId="8">#REF!</definedName>
    <definedName name="MAPLC" localSheetId="22">[3]Constantes!#REF!</definedName>
    <definedName name="MAPLC" localSheetId="20">#REF!</definedName>
    <definedName name="MAPLC" localSheetId="14">#REF!</definedName>
    <definedName name="MAPLC" localSheetId="23">[3]Constantes!#REF!</definedName>
    <definedName name="MAPLC">#REF!</definedName>
    <definedName name="MAPLH" localSheetId="15">#REF!</definedName>
    <definedName name="MAPLH" localSheetId="13">#REF!</definedName>
    <definedName name="MAPLH" localSheetId="19">[3]Constantes!#REF!</definedName>
    <definedName name="MAPLH" localSheetId="8">#REF!</definedName>
    <definedName name="MAPLH" localSheetId="22">[3]Constantes!#REF!</definedName>
    <definedName name="MAPLH" localSheetId="20">#REF!</definedName>
    <definedName name="MAPLH" localSheetId="14">#REF!</definedName>
    <definedName name="MAPLH" localSheetId="23">[3]Constantes!#REF!</definedName>
    <definedName name="MAPLH">#REF!</definedName>
    <definedName name="MAPLHP" localSheetId="15">#REF!</definedName>
    <definedName name="MAPLHP" localSheetId="13">#REF!</definedName>
    <definedName name="MAPLHP" localSheetId="19">[3]Constantes!#REF!</definedName>
    <definedName name="MAPLHP" localSheetId="8">#REF!</definedName>
    <definedName name="MAPLHP" localSheetId="22">[3]Constantes!#REF!</definedName>
    <definedName name="MAPLHP" localSheetId="20">#REF!</definedName>
    <definedName name="MAPLHP" localSheetId="14">#REF!</definedName>
    <definedName name="MAPLHP" localSheetId="23">[3]Constantes!#REF!</definedName>
    <definedName name="MAPLHP">#REF!</definedName>
    <definedName name="MAPLV" localSheetId="15">#REF!</definedName>
    <definedName name="MAPLV" localSheetId="13">#REF!</definedName>
    <definedName name="MAPLV" localSheetId="19">[3]Constantes!#REF!</definedName>
    <definedName name="MAPLV" localSheetId="8">#REF!</definedName>
    <definedName name="MAPLV" localSheetId="22">[3]Constantes!#REF!</definedName>
    <definedName name="MAPLV" localSheetId="20">#REF!</definedName>
    <definedName name="MAPLV" localSheetId="14">#REF!</definedName>
    <definedName name="MAPLV" localSheetId="23">[3]Constantes!#REF!</definedName>
    <definedName name="MAPLV">#REF!</definedName>
    <definedName name="MAPPY" localSheetId="15">#REF!</definedName>
    <definedName name="MAPPY" localSheetId="13">#REF!</definedName>
    <definedName name="MAPPY" localSheetId="19">[3]Constantes!#REF!</definedName>
    <definedName name="MAPPY" localSheetId="8">#REF!</definedName>
    <definedName name="MAPPY" localSheetId="22">[3]Constantes!#REF!</definedName>
    <definedName name="MAPPY" localSheetId="20">#REF!</definedName>
    <definedName name="MAPPY" localSheetId="14">#REF!</definedName>
    <definedName name="MAPPY" localSheetId="23">[3]Constantes!#REF!</definedName>
    <definedName name="MAPPY">#REF!</definedName>
    <definedName name="MAR" localSheetId="15">#REF!</definedName>
    <definedName name="MAR" localSheetId="13">#REF!</definedName>
    <definedName name="MAR" localSheetId="19">[3]Constantes!#REF!</definedName>
    <definedName name="MAR" localSheetId="8">#REF!</definedName>
    <definedName name="MAR" localSheetId="22">[3]Constantes!#REF!</definedName>
    <definedName name="MAR" localSheetId="20">#REF!</definedName>
    <definedName name="MAR" localSheetId="14">#REF!</definedName>
    <definedName name="MAR" localSheetId="23">[3]Constantes!#REF!</definedName>
    <definedName name="MAR">#REF!</definedName>
    <definedName name="MARHD" localSheetId="15">#REF!</definedName>
    <definedName name="MARHD" localSheetId="13">#REF!</definedName>
    <definedName name="MARHD" localSheetId="19">[3]Constantes!#REF!</definedName>
    <definedName name="MARHD" localSheetId="8">#REF!</definedName>
    <definedName name="MARHD" localSheetId="22">[3]Constantes!#REF!</definedName>
    <definedName name="MARHD" localSheetId="20">#REF!</definedName>
    <definedName name="MARHD" localSheetId="14">#REF!</definedName>
    <definedName name="MARHD" localSheetId="23">[3]Constantes!#REF!</definedName>
    <definedName name="MARHD">#REF!</definedName>
    <definedName name="MARHH" localSheetId="15">#REF!</definedName>
    <definedName name="MARHH" localSheetId="13">#REF!</definedName>
    <definedName name="MARHH" localSheetId="19">[3]Constantes!#REF!</definedName>
    <definedName name="MARHH" localSheetId="8">#REF!</definedName>
    <definedName name="MARHH" localSheetId="22">[3]Constantes!#REF!</definedName>
    <definedName name="MARHH" localSheetId="20">#REF!</definedName>
    <definedName name="MARHH" localSheetId="14">#REF!</definedName>
    <definedName name="MARHH" localSheetId="23">[3]Constantes!#REF!</definedName>
    <definedName name="MARHH">#REF!</definedName>
    <definedName name="MARHM" localSheetId="15">#REF!</definedName>
    <definedName name="MARHM" localSheetId="13">#REF!</definedName>
    <definedName name="MARHM" localSheetId="19">[3]Constantes!#REF!</definedName>
    <definedName name="MARHM" localSheetId="8">#REF!</definedName>
    <definedName name="MARHM" localSheetId="22">[3]Constantes!#REF!</definedName>
    <definedName name="MARHM" localSheetId="20">#REF!</definedName>
    <definedName name="MARHM" localSheetId="14">#REF!</definedName>
    <definedName name="MARHM" localSheetId="23">[3]Constantes!#REF!</definedName>
    <definedName name="MARHM">#REF!</definedName>
    <definedName name="MARHR" localSheetId="15">#REF!</definedName>
    <definedName name="MARHR" localSheetId="13">#REF!</definedName>
    <definedName name="MARHR" localSheetId="19">[3]Constantes!#REF!</definedName>
    <definedName name="MARHR" localSheetId="8">#REF!</definedName>
    <definedName name="MARHR" localSheetId="22">[3]Constantes!#REF!</definedName>
    <definedName name="MARHR" localSheetId="20">#REF!</definedName>
    <definedName name="MARHR" localSheetId="14">#REF!</definedName>
    <definedName name="MARHR" localSheetId="23">[3]Constantes!#REF!</definedName>
    <definedName name="MARHR">#REF!</definedName>
    <definedName name="MARHT" localSheetId="15">#REF!</definedName>
    <definedName name="MARHT" localSheetId="13">#REF!</definedName>
    <definedName name="MARHT" localSheetId="19">[3]Constantes!#REF!</definedName>
    <definedName name="MARHT" localSheetId="8">#REF!</definedName>
    <definedName name="MARHT" localSheetId="22">[3]Constantes!#REF!</definedName>
    <definedName name="MARHT" localSheetId="20">#REF!</definedName>
    <definedName name="MARHT" localSheetId="14">#REF!</definedName>
    <definedName name="MARHT" localSheetId="23">[3]Constantes!#REF!</definedName>
    <definedName name="MARHT">#REF!</definedName>
    <definedName name="MARLA" localSheetId="15">#REF!</definedName>
    <definedName name="MARLA" localSheetId="13">#REF!</definedName>
    <definedName name="MARLA" localSheetId="19">[3]Constantes!#REF!</definedName>
    <definedName name="MARLA" localSheetId="8">#REF!</definedName>
    <definedName name="MARLA" localSheetId="22">[3]Constantes!#REF!</definedName>
    <definedName name="MARLA" localSheetId="20">#REF!</definedName>
    <definedName name="MARLA" localSheetId="14">#REF!</definedName>
    <definedName name="MARLA" localSheetId="23">[3]Constantes!#REF!</definedName>
    <definedName name="MARLA">#REF!</definedName>
    <definedName name="MARLB" localSheetId="15">#REF!</definedName>
    <definedName name="MARLB" localSheetId="13">#REF!</definedName>
    <definedName name="MARLB" localSheetId="19">[3]Constantes!#REF!</definedName>
    <definedName name="MARLB" localSheetId="8">#REF!</definedName>
    <definedName name="MARLB" localSheetId="22">[3]Constantes!#REF!</definedName>
    <definedName name="MARLB" localSheetId="20">#REF!</definedName>
    <definedName name="MARLB" localSheetId="14">#REF!</definedName>
    <definedName name="MARLB" localSheetId="23">[3]Constantes!#REF!</definedName>
    <definedName name="MARLB">#REF!</definedName>
    <definedName name="MARP" localSheetId="15">#REF!</definedName>
    <definedName name="MARP" localSheetId="13">#REF!</definedName>
    <definedName name="MARP" localSheetId="19">[3]Constantes!#REF!</definedName>
    <definedName name="MARP" localSheetId="8">#REF!</definedName>
    <definedName name="MARP" localSheetId="22">[3]Constantes!#REF!</definedName>
    <definedName name="MARP" localSheetId="20">#REF!</definedName>
    <definedName name="MARP" localSheetId="14">#REF!</definedName>
    <definedName name="MARP" localSheetId="23">[3]Constantes!#REF!</definedName>
    <definedName name="MARP">#REF!</definedName>
    <definedName name="mat">#REF!</definedName>
    <definedName name="materiales">#REF!</definedName>
    <definedName name="MATR" localSheetId="15">#REF!</definedName>
    <definedName name="MATR" localSheetId="13">#REF!</definedName>
    <definedName name="MATR" localSheetId="19">[3]Constantes!#REF!</definedName>
    <definedName name="MATR" localSheetId="8">#REF!</definedName>
    <definedName name="MATR" localSheetId="22">[3]Constantes!#REF!</definedName>
    <definedName name="MATR" localSheetId="20">#REF!</definedName>
    <definedName name="MATR" localSheetId="14">#REF!</definedName>
    <definedName name="MATR" localSheetId="23">[3]Constantes!#REF!</definedName>
    <definedName name="MATR">#REF!</definedName>
    <definedName name="MATS">#REF!</definedName>
    <definedName name="mb">#REF!</definedName>
    <definedName name="mbs">#REF!</definedName>
    <definedName name="MC">#REF!</definedName>
    <definedName name="Mdespl.">#REF!</definedName>
    <definedName name="MDODNV">#REF!</definedName>
    <definedName name="MDODPV">#REF!</definedName>
    <definedName name="Medio_Oficial">#REF!</definedName>
    <definedName name="medioofr">#REF!</definedName>
    <definedName name="MEDOLAR" localSheetId="15">#REF!</definedName>
    <definedName name="MEDOLAR" localSheetId="13">#REF!</definedName>
    <definedName name="MEDOLAR" localSheetId="19">[3]Constantes!$C$28</definedName>
    <definedName name="MEDOLAR" localSheetId="8">#REF!</definedName>
    <definedName name="MEDOLAR" localSheetId="22">[3]Constantes!$C$28</definedName>
    <definedName name="MEDOLAR" localSheetId="20">#REF!</definedName>
    <definedName name="MEDOLAR" localSheetId="14">#REF!</definedName>
    <definedName name="MEDOLAR" localSheetId="23">[3]Constantes!$C$28</definedName>
    <definedName name="MEDOLAR">#REF!</definedName>
    <definedName name="MENSUAL">#REF!</definedName>
    <definedName name="MENU">#REF!</definedName>
    <definedName name="MES">#REF!</definedName>
    <definedName name="mes_retiro">#REF!</definedName>
    <definedName name="MisAna">#REF!</definedName>
    <definedName name="MMCC" localSheetId="15">#REF!</definedName>
    <definedName name="MMCC" localSheetId="13">#REF!</definedName>
    <definedName name="MMCC" localSheetId="19">[3]Constantes!#REF!</definedName>
    <definedName name="MMCC" localSheetId="7">#REF!</definedName>
    <definedName name="MMCC" localSheetId="8">#REF!</definedName>
    <definedName name="MMCC" localSheetId="22">[3]Constantes!#REF!</definedName>
    <definedName name="MMCC" localSheetId="20">#REF!</definedName>
    <definedName name="MMCC" localSheetId="3">#REF!</definedName>
    <definedName name="MMCC" localSheetId="14">#REF!</definedName>
    <definedName name="MMCC" localSheetId="23">[3]Constantes!#REF!</definedName>
    <definedName name="MMCC">#REF!</definedName>
    <definedName name="MMCCA" localSheetId="15">#REF!</definedName>
    <definedName name="MMCCA" localSheetId="13">#REF!</definedName>
    <definedName name="MMCCA" localSheetId="19">[3]Constantes!#REF!</definedName>
    <definedName name="MMCCA" localSheetId="7">#REF!</definedName>
    <definedName name="MMCCA" localSheetId="8">#REF!</definedName>
    <definedName name="MMCCA" localSheetId="22">[3]Constantes!#REF!</definedName>
    <definedName name="MMCCA" localSheetId="20">#REF!</definedName>
    <definedName name="MMCCA" localSheetId="3">#REF!</definedName>
    <definedName name="MMCCA" localSheetId="14">#REF!</definedName>
    <definedName name="MMCCA" localSheetId="23">[3]Constantes!#REF!</definedName>
    <definedName name="MMCCA">#REF!</definedName>
    <definedName name="MMCDE" localSheetId="15">#REF!</definedName>
    <definedName name="MMCDE" localSheetId="13">#REF!</definedName>
    <definedName name="MMCDE" localSheetId="19">[3]Constantes!#REF!</definedName>
    <definedName name="MMCDE" localSheetId="7">#REF!</definedName>
    <definedName name="MMCDE" localSheetId="8">#REF!</definedName>
    <definedName name="MMCDE" localSheetId="22">[3]Constantes!#REF!</definedName>
    <definedName name="MMCDE" localSheetId="20">#REF!</definedName>
    <definedName name="MMCDE" localSheetId="3">#REF!</definedName>
    <definedName name="MMCDE" localSheetId="14">#REF!</definedName>
    <definedName name="MMCDE" localSheetId="23">[3]Constantes!#REF!</definedName>
    <definedName name="MMCDE">#REF!</definedName>
    <definedName name="MMDMA" localSheetId="15">#REF!</definedName>
    <definedName name="MMDMA" localSheetId="13">#REF!</definedName>
    <definedName name="MMDMA" localSheetId="19">[3]Constantes!#REF!</definedName>
    <definedName name="MMDMA" localSheetId="7">#REF!</definedName>
    <definedName name="MMDMA" localSheetId="8">#REF!</definedName>
    <definedName name="MMDMA" localSheetId="22">[3]Constantes!#REF!</definedName>
    <definedName name="MMDMA" localSheetId="20">#REF!</definedName>
    <definedName name="MMDMA" localSheetId="3">#REF!</definedName>
    <definedName name="MMDMA" localSheetId="14">#REF!</definedName>
    <definedName name="MMDMA" localSheetId="23">[3]Constantes!#REF!</definedName>
    <definedName name="MMDMA">#REF!</definedName>
    <definedName name="MMDMC" localSheetId="15">#REF!</definedName>
    <definedName name="MMDMC" localSheetId="13">#REF!</definedName>
    <definedName name="MMDMC" localSheetId="19">[3]Constantes!#REF!</definedName>
    <definedName name="MMDMC" localSheetId="8">#REF!</definedName>
    <definedName name="MMDMC" localSheetId="22">[3]Constantes!#REF!</definedName>
    <definedName name="MMDMC" localSheetId="20">#REF!</definedName>
    <definedName name="MMDMC" localSheetId="14">#REF!</definedName>
    <definedName name="MMDMC" localSheetId="23">[3]Constantes!#REF!</definedName>
    <definedName name="MMDMC">#REF!</definedName>
    <definedName name="MMDMD" localSheetId="15">#REF!</definedName>
    <definedName name="MMDMD" localSheetId="13">#REF!</definedName>
    <definedName name="MMDMD" localSheetId="19">[3]Constantes!#REF!</definedName>
    <definedName name="MMDMD" localSheetId="8">#REF!</definedName>
    <definedName name="MMDMD" localSheetId="22">[3]Constantes!#REF!</definedName>
    <definedName name="MMDMD" localSheetId="20">#REF!</definedName>
    <definedName name="MMDMD" localSheetId="14">#REF!</definedName>
    <definedName name="MMDMD" localSheetId="23">[3]Constantes!#REF!</definedName>
    <definedName name="MMDMD">#REF!</definedName>
    <definedName name="MMDME" localSheetId="15">#REF!</definedName>
    <definedName name="MMDME" localSheetId="13">#REF!</definedName>
    <definedName name="MMDME" localSheetId="19">[3]Constantes!#REF!</definedName>
    <definedName name="MMDME" localSheetId="8">#REF!</definedName>
    <definedName name="MMDME" localSheetId="22">[3]Constantes!#REF!</definedName>
    <definedName name="MMDME" localSheetId="20">#REF!</definedName>
    <definedName name="MMDME" localSheetId="14">#REF!</definedName>
    <definedName name="MMDME" localSheetId="23">[3]Constantes!#REF!</definedName>
    <definedName name="MMDME">#REF!</definedName>
    <definedName name="MMDMP" localSheetId="15">#REF!</definedName>
    <definedName name="MMDMP" localSheetId="13">#REF!</definedName>
    <definedName name="MMDMP" localSheetId="19">[3]Constantes!#REF!</definedName>
    <definedName name="MMDMP" localSheetId="8">#REF!</definedName>
    <definedName name="MMDMP" localSheetId="22">[3]Constantes!#REF!</definedName>
    <definedName name="MMDMP" localSheetId="20">#REF!</definedName>
    <definedName name="MMDMP" localSheetId="14">#REF!</definedName>
    <definedName name="MMDMP" localSheetId="23">[3]Constantes!#REF!</definedName>
    <definedName name="MMDMP">#REF!</definedName>
    <definedName name="MMDMT" localSheetId="15">#REF!</definedName>
    <definedName name="MMDMT" localSheetId="13">#REF!</definedName>
    <definedName name="MMDMT" localSheetId="19">[3]Constantes!#REF!</definedName>
    <definedName name="MMDMT" localSheetId="8">#REF!</definedName>
    <definedName name="MMDMT" localSheetId="22">[3]Constantes!#REF!</definedName>
    <definedName name="MMDMT" localSheetId="20">#REF!</definedName>
    <definedName name="MMDMT" localSheetId="14">#REF!</definedName>
    <definedName name="MMDMT" localSheetId="23">[3]Constantes!#REF!</definedName>
    <definedName name="MMDMT">#REF!</definedName>
    <definedName name="MMDMV" localSheetId="15">#REF!</definedName>
    <definedName name="MMDMV" localSheetId="13">#REF!</definedName>
    <definedName name="MMDMV" localSheetId="19">[3]Constantes!#REF!</definedName>
    <definedName name="MMDMV" localSheetId="8">#REF!</definedName>
    <definedName name="MMDMV" localSheetId="22">[3]Constantes!#REF!</definedName>
    <definedName name="MMDMV" localSheetId="20">#REF!</definedName>
    <definedName name="MMDMV" localSheetId="14">#REF!</definedName>
    <definedName name="MMDMV" localSheetId="23">[3]Constantes!#REF!</definedName>
    <definedName name="MMDMV">#REF!</definedName>
    <definedName name="mmm">#REF!</definedName>
    <definedName name="MMRC" localSheetId="15">#REF!</definedName>
    <definedName name="MMRC" localSheetId="13">#REF!</definedName>
    <definedName name="MMRC" localSheetId="19">[3]Constantes!#REF!</definedName>
    <definedName name="MMRC" localSheetId="8">#REF!</definedName>
    <definedName name="MMRC" localSheetId="22">[3]Constantes!#REF!</definedName>
    <definedName name="MMRC" localSheetId="20">#REF!</definedName>
    <definedName name="MMRC" localSheetId="14">#REF!</definedName>
    <definedName name="MMRC" localSheetId="23">[3]Constantes!#REF!</definedName>
    <definedName name="MMRC">#REF!</definedName>
    <definedName name="MMVC" localSheetId="15">#REF!</definedName>
    <definedName name="MMVC" localSheetId="13">#REF!</definedName>
    <definedName name="MMVC" localSheetId="19">[3]Constantes!#REF!</definedName>
    <definedName name="MMVC" localSheetId="8">#REF!</definedName>
    <definedName name="MMVC" localSheetId="22">[3]Constantes!#REF!</definedName>
    <definedName name="MMVC" localSheetId="20">#REF!</definedName>
    <definedName name="MMVC" localSheetId="14">#REF!</definedName>
    <definedName name="MMVC" localSheetId="23">[3]Constantes!#REF!</definedName>
    <definedName name="MMVC">#REF!</definedName>
    <definedName name="Monto_Certif." localSheetId="20">#REF!</definedName>
    <definedName name="Monto_Certif.">#REF!</definedName>
    <definedName name="MOREGAS" localSheetId="15">#REF!</definedName>
    <definedName name="MOREGAS" localSheetId="13">#REF!</definedName>
    <definedName name="MOREGAS" localSheetId="19">[3]Constantes!$C$30</definedName>
    <definedName name="MOREGAS" localSheetId="8">#REF!</definedName>
    <definedName name="MOREGAS" localSheetId="22">[3]Constantes!$C$30</definedName>
    <definedName name="MOREGAS" localSheetId="20">#REF!</definedName>
    <definedName name="MOREGAS" localSheetId="14">#REF!</definedName>
    <definedName name="MOREGAS" localSheetId="23">[3]Constantes!$C$30</definedName>
    <definedName name="MOREGAS">#REF!</definedName>
    <definedName name="mov">#REF!</definedName>
    <definedName name="movilizacion">#REF!</definedName>
    <definedName name="MQ">#REF!</definedName>
    <definedName name="MSAP" localSheetId="15">#REF!</definedName>
    <definedName name="MSAP" localSheetId="13">#REF!</definedName>
    <definedName name="MSAP" localSheetId="19">[3]Constantes!#REF!</definedName>
    <definedName name="MSAP" localSheetId="7">#REF!</definedName>
    <definedName name="MSAP" localSheetId="8">#REF!</definedName>
    <definedName name="MSAP" localSheetId="22">[3]Constantes!#REF!</definedName>
    <definedName name="MSAP" localSheetId="20">#REF!</definedName>
    <definedName name="MSAP" localSheetId="3">#REF!</definedName>
    <definedName name="MSAP" localSheetId="14">#REF!</definedName>
    <definedName name="MSAP" localSheetId="23">[3]Constantes!#REF!</definedName>
    <definedName name="MSAP">#REF!</definedName>
    <definedName name="MSAS" localSheetId="15">#REF!</definedName>
    <definedName name="MSAS" localSheetId="13">#REF!</definedName>
    <definedName name="MSAS" localSheetId="19">[3]Constantes!#REF!</definedName>
    <definedName name="MSAS" localSheetId="7">#REF!</definedName>
    <definedName name="MSAS" localSheetId="8">#REF!</definedName>
    <definedName name="MSAS" localSheetId="22">[3]Constantes!#REF!</definedName>
    <definedName name="MSAS" localSheetId="20">#REF!</definedName>
    <definedName name="MSAS" localSheetId="3">#REF!</definedName>
    <definedName name="MSAS" localSheetId="14">#REF!</definedName>
    <definedName name="MSAS" localSheetId="23">[3]Constantes!#REF!</definedName>
    <definedName name="MSAS">#REF!</definedName>
    <definedName name="MSLS" localSheetId="15">#REF!</definedName>
    <definedName name="MSLS" localSheetId="13">#REF!</definedName>
    <definedName name="MSLS" localSheetId="19">[3]Constantes!#REF!</definedName>
    <definedName name="MSLS" localSheetId="7">#REF!</definedName>
    <definedName name="MSLS" localSheetId="8">#REF!</definedName>
    <definedName name="MSLS" localSheetId="22">[3]Constantes!#REF!</definedName>
    <definedName name="MSLS" localSheetId="20">#REF!</definedName>
    <definedName name="MSLS" localSheetId="3">#REF!</definedName>
    <definedName name="MSLS" localSheetId="14">#REF!</definedName>
    <definedName name="MSLS" localSheetId="23">[3]Constantes!#REF!</definedName>
    <definedName name="MSLS">#REF!</definedName>
    <definedName name="MSNP" localSheetId="15">#REF!</definedName>
    <definedName name="MSNP" localSheetId="13">#REF!</definedName>
    <definedName name="MSNP" localSheetId="19">[3]Constantes!#REF!</definedName>
    <definedName name="MSNP" localSheetId="7">#REF!</definedName>
    <definedName name="MSNP" localSheetId="8">#REF!</definedName>
    <definedName name="MSNP" localSheetId="22">[3]Constantes!#REF!</definedName>
    <definedName name="MSNP" localSheetId="20">#REF!</definedName>
    <definedName name="MSNP" localSheetId="3">#REF!</definedName>
    <definedName name="MSNP" localSheetId="14">#REF!</definedName>
    <definedName name="MSNP" localSheetId="23">[3]Constantes!#REF!</definedName>
    <definedName name="MSNP">#REF!</definedName>
    <definedName name="MU" localSheetId="8">#REF!</definedName>
    <definedName name="MU">#REF!</definedName>
    <definedName name="MWx">#REF!</definedName>
    <definedName name="MWz">#REF!</definedName>
    <definedName name="MX">#N/A</definedName>
    <definedName name="mxx_max">#REF!</definedName>
    <definedName name="mxx_min">#REF!</definedName>
    <definedName name="MY">#N/A</definedName>
    <definedName name="myy">#REF!</definedName>
    <definedName name="N">#N/A</definedName>
    <definedName name="NAFTA" localSheetId="15">#REF!</definedName>
    <definedName name="NAFTA" localSheetId="13">#REF!</definedName>
    <definedName name="NAFTA" localSheetId="19">[3]Insumos!$E$3009</definedName>
    <definedName name="NAFTA" localSheetId="8">#REF!</definedName>
    <definedName name="NAFTA" localSheetId="22">[3]Insumos!$E$3009</definedName>
    <definedName name="NAFTA" localSheetId="20">#REF!</definedName>
    <definedName name="NAFTA" localSheetId="14">#REF!</definedName>
    <definedName name="NAFTA" localSheetId="23">[3]Insumos!$E$3009</definedName>
    <definedName name="NAFTA">#REF!</definedName>
    <definedName name="nago" localSheetId="8">#REF!</definedName>
    <definedName name="nago">#REF!</definedName>
    <definedName name="NEW" localSheetId="8">#REF!</definedName>
    <definedName name="NEW">#REF!</definedName>
    <definedName name="NEW_E1" localSheetId="7">#REF!</definedName>
    <definedName name="NEW_E1" localSheetId="3">#REF!</definedName>
    <definedName name="NEW_E1">#REF!</definedName>
    <definedName name="Normal">#REF!</definedName>
    <definedName name="NRO">#REF!</definedName>
    <definedName name="Nro_Pisos" localSheetId="15">#REF!</definedName>
    <definedName name="Nro_Pisos" localSheetId="13">#REF!</definedName>
    <definedName name="Nro_Pisos" localSheetId="19">[3]Menu!#REF!</definedName>
    <definedName name="Nro_Pisos" localSheetId="7">#REF!</definedName>
    <definedName name="Nro_Pisos" localSheetId="8">#REF!</definedName>
    <definedName name="Nro_Pisos" localSheetId="22">[3]Menu!#REF!</definedName>
    <definedName name="Nro_Pisos" localSheetId="20">#REF!</definedName>
    <definedName name="Nro_Pisos" localSheetId="3">#REF!</definedName>
    <definedName name="Nro_Pisos" localSheetId="14">#REF!</definedName>
    <definedName name="Nro_Pisos" localSheetId="23">[3]Menu!#REF!</definedName>
    <definedName name="Nro_Pisos">#REF!</definedName>
    <definedName name="NUEVAHOJA" localSheetId="8">#REF!</definedName>
    <definedName name="NUEVAHOJA">#REF!</definedName>
    <definedName name="Num_Pmt_Per_Year">#REF!</definedName>
    <definedName name="Number_of_Payments" localSheetId="15">MATCH(0.01,End_Bal,-1)+1</definedName>
    <definedName name="Number_of_Payments" localSheetId="13">MATCH(0.01,[0]!End_Bal,-1)+1</definedName>
    <definedName name="Number_of_Payments" localSheetId="8">MATCH(0.01,End_Bal,-1)+1</definedName>
    <definedName name="Number_of_Payments" localSheetId="14">MATCH(0.01,[0]!End_Bal,-1)+1</definedName>
    <definedName name="Number_of_Payments">MATCH(0.01,End_Bal,-1)+1</definedName>
    <definedName name="Numero_Unidades_Funcionales" localSheetId="15">#REF!</definedName>
    <definedName name="Numero_Unidades_Funcionales" localSheetId="13">#REF!</definedName>
    <definedName name="Numero_Unidades_Funcionales" localSheetId="19">[11]Constantes!$C$54</definedName>
    <definedName name="Numero_Unidades_Funcionales" localSheetId="8">#REF!</definedName>
    <definedName name="Numero_Unidades_Funcionales" localSheetId="22">[11]Constantes!$C$54</definedName>
    <definedName name="Numero_Unidades_Funcionales" localSheetId="20">#REF!</definedName>
    <definedName name="Numero_Unidades_Funcionales" localSheetId="14">#REF!</definedName>
    <definedName name="Numero_Unidades_Funcionales" localSheetId="23">[11]Constantes!$C$54</definedName>
    <definedName name="Numero_Unidades_Funcionales">#REF!</definedName>
    <definedName name="OBR" localSheetId="8">#REF!</definedName>
    <definedName name="OBR">#REF!</definedName>
    <definedName name="Obra" localSheetId="15">#REF!</definedName>
    <definedName name="Obra" localSheetId="13">#REF!</definedName>
    <definedName name="Obra" localSheetId="19">[3]Menu!$B$8</definedName>
    <definedName name="Obra" localSheetId="8">#REF!</definedName>
    <definedName name="Obra" localSheetId="22">[3]Menu!$B$8</definedName>
    <definedName name="Obra" localSheetId="20">#REF!</definedName>
    <definedName name="Obra" localSheetId="14">#REF!</definedName>
    <definedName name="Obra" localSheetId="23">[3]Menu!$B$8</definedName>
    <definedName name="Obra">#REF!</definedName>
    <definedName name="OBRA__CASA_LOUZAN" localSheetId="5">#REF!</definedName>
    <definedName name="OBRA__CASA_LOUZAN" localSheetId="15">#REF!</definedName>
    <definedName name="OBRA__CASA_LOUZAN" localSheetId="13">#REF!</definedName>
    <definedName name="OBRA__CASA_LOUZAN" localSheetId="19">'[12]PLANILLA TIPO'!#REF!</definedName>
    <definedName name="OBRA__CASA_LOUZAN" localSheetId="8">#REF!</definedName>
    <definedName name="OBRA__CASA_LOUZAN" localSheetId="22">'[12]PLANILLA TIPO'!#REF!</definedName>
    <definedName name="OBRA__CASA_LOUZAN" localSheetId="20">#REF!</definedName>
    <definedName name="OBRA__CASA_LOUZAN" localSheetId="14">#REF!</definedName>
    <definedName name="OBRA__CASA_LOUZAN" localSheetId="23">'[12]PLANILLA TIPO'!#REF!</definedName>
    <definedName name="OBRA__CASA_LOUZAN" localSheetId="6">#REF!</definedName>
    <definedName name="OBRA__CASA_LOUZAN">#REF!</definedName>
    <definedName name="OBRA_DE_TOMA" localSheetId="8">#REF!</definedName>
    <definedName name="OBRA_DE_TOMA">#REF!</definedName>
    <definedName name="OFER">#REF!</definedName>
    <definedName name="ofEspecial" localSheetId="15">#REF!</definedName>
    <definedName name="ofEspecial" localSheetId="13">#REF!</definedName>
    <definedName name="ofEspecial" localSheetId="19">'[5]PRECIOS ACTUALIZADOS'!$E$10</definedName>
    <definedName name="ofEspecial" localSheetId="8">#REF!</definedName>
    <definedName name="ofEspecial" localSheetId="22">'[5]PRECIOS ACTUALIZADOS'!$E$10</definedName>
    <definedName name="ofEspecial" localSheetId="20">#REF!</definedName>
    <definedName name="ofEspecial" localSheetId="14">#REF!</definedName>
    <definedName name="ofEspecial" localSheetId="23">'[5]PRECIOS ACTUALIZADOS'!$E$10</definedName>
    <definedName name="ofEspecial">#REF!</definedName>
    <definedName name="oficial" localSheetId="15">#REF!</definedName>
    <definedName name="oficial" localSheetId="13">#REF!</definedName>
    <definedName name="oficial" localSheetId="19">'[5]PRECIOS ACTUALIZADOS'!$E$11</definedName>
    <definedName name="oficial" localSheetId="8">#REF!</definedName>
    <definedName name="oficial" localSheetId="22">'[5]PRECIOS ACTUALIZADOS'!$E$11</definedName>
    <definedName name="oficial" localSheetId="20">#REF!</definedName>
    <definedName name="oficial" localSheetId="14">#REF!</definedName>
    <definedName name="oficial" localSheetId="23">'[5]PRECIOS ACTUALIZADOS'!$E$11</definedName>
    <definedName name="oficial">#REF!</definedName>
    <definedName name="Oficial_Especializado">#REF!</definedName>
    <definedName name="oficial4">#REF!</definedName>
    <definedName name="oficial6">#REF!</definedName>
    <definedName name="ofies4">#REF!</definedName>
    <definedName name="ofr">#REF!</definedName>
    <definedName name="Organismo1">#REF!</definedName>
    <definedName name="Organismo2">#REF!</definedName>
    <definedName name="OSOC">#REF!</definedName>
    <definedName name="OTRA">#REF!</definedName>
    <definedName name="OTROS">#REF!</definedName>
    <definedName name="OTROS_RUBROS_NO_DESAGREGADOS">#REF!</definedName>
    <definedName name="OTROS1">#REF!</definedName>
    <definedName name="P">#REF!</definedName>
    <definedName name="PANDEO">#REF!</definedName>
    <definedName name="PANDEO1">#REF!</definedName>
    <definedName name="PARC">#N/A</definedName>
    <definedName name="Paridad">#REF!</definedName>
    <definedName name="PASE" localSheetId="5">#REF!</definedName>
    <definedName name="PASE" localSheetId="8">#REF!</definedName>
    <definedName name="PASE" localSheetId="6">#REF!</definedName>
    <definedName name="PASE">#REF!</definedName>
    <definedName name="paso" localSheetId="8">#REF!</definedName>
    <definedName name="paso">#REF!</definedName>
    <definedName name="Pay_Date">#REF!</definedName>
    <definedName name="Pay_Num">#REF!</definedName>
    <definedName name="Payment_Date" localSheetId="15">DATE(YEAR(Loan_Start),MONTH(Loan_Start)+Payment_Number,DAY(Loan_Start))</definedName>
    <definedName name="Payment_Date" localSheetId="16">DATE(YEAR([0]!Loan_Start),MONTH([0]!Loan_Start)+Payment_Number,DAY([0]!Loan_Start))</definedName>
    <definedName name="Payment_Date" localSheetId="12">DATE(YEAR([0]!Loan_Start),MONTH([0]!Loan_Start)+Payment_Number,DAY([0]!Loan_Start))</definedName>
    <definedName name="Payment_Date" localSheetId="13">DATE(YEAR([0]!Loan_Start),MONTH([0]!Loan_Start)+Payment_Number,DAY([0]!Loan_Start))</definedName>
    <definedName name="Payment_Date" localSheetId="11">DATE(YEAR([0]!Loan_Start),MONTH([0]!Loan_Start)+Payment_Number,DAY([0]!Loan_Start))</definedName>
    <definedName name="Payment_Date" localSheetId="8">DATE(YEAR(Loan_Start),MONTH(Loan_Start)+Payment_Number,DAY(Loan_Start))</definedName>
    <definedName name="Payment_Date" localSheetId="14">DATE(YEAR([0]!Loan_Start),MONTH([0]!Loan_Start)+Payment_Number,DAY([0]!Loan_Start))</definedName>
    <definedName name="Payment_Date">DATE(YEAR(Loan_Start),MONTH(Loan_Start)+Payment_Number,DAY(Loan_Start))</definedName>
    <definedName name="PEESC" localSheetId="15">#REF!</definedName>
    <definedName name="PEESC" localSheetId="13">#REF!</definedName>
    <definedName name="PEESC" localSheetId="19">[3]Constantes!#REF!</definedName>
    <definedName name="PEESC" localSheetId="8">#REF!</definedName>
    <definedName name="PEESC" localSheetId="22">[3]Constantes!#REF!</definedName>
    <definedName name="PEESC" localSheetId="20">#REF!</definedName>
    <definedName name="PEESC" localSheetId="14">#REF!</definedName>
    <definedName name="PEESC" localSheetId="23">[3]Constantes!#REF!</definedName>
    <definedName name="PEESC">#REF!</definedName>
    <definedName name="pepe" localSheetId="8">#REF!</definedName>
    <definedName name="pepe">#REF!</definedName>
    <definedName name="PerfilC" comment="PERFIL C" localSheetId="8">#REF!</definedName>
    <definedName name="PerfilC" comment="PERFIL C">#REF!</definedName>
    <definedName name="perfiles">#REF!</definedName>
    <definedName name="Pern.">#REF!</definedName>
    <definedName name="pf">#REF!</definedName>
    <definedName name="PIAM" localSheetId="15">#REF!</definedName>
    <definedName name="PIAM" localSheetId="13">#REF!</definedName>
    <definedName name="PIAM" localSheetId="19">[3]Constantes!#REF!</definedName>
    <definedName name="PIAM" localSheetId="8">#REF!</definedName>
    <definedName name="PIAM" localSheetId="22">[3]Constantes!#REF!</definedName>
    <definedName name="PIAM" localSheetId="20">#REF!</definedName>
    <definedName name="PIAM" localSheetId="14">#REF!</definedName>
    <definedName name="PIAM" localSheetId="23">[3]Constantes!#REF!</definedName>
    <definedName name="PIAM">#REF!</definedName>
    <definedName name="pibe" localSheetId="15">#REF!</definedName>
    <definedName name="pibe" localSheetId="13">#REF!</definedName>
    <definedName name="pibe" localSheetId="19">[13]Items!$A$3:$F$60</definedName>
    <definedName name="pibe" localSheetId="8">#REF!</definedName>
    <definedName name="pibe" localSheetId="22">[13]Items!$A$3:$F$60</definedName>
    <definedName name="pibe" localSheetId="20">#REF!</definedName>
    <definedName name="pibe" localSheetId="14">#REF!</definedName>
    <definedName name="pibe" localSheetId="23">[13]Items!$A$3:$F$60</definedName>
    <definedName name="pibe">#REF!</definedName>
    <definedName name="pintref">#REF!</definedName>
    <definedName name="Pl">#REF!</definedName>
    <definedName name="PLAN">#REF!</definedName>
    <definedName name="PLANTA_DE_TRATAMIENTO">#REF!</definedName>
    <definedName name="plazo">#REF!</definedName>
    <definedName name="plazo.mes" localSheetId="20">#REF!</definedName>
    <definedName name="plazo.mes">#REF!</definedName>
    <definedName name="Plazo_de_obra" localSheetId="15">#REF!</definedName>
    <definedName name="Plazo_de_obra" localSheetId="13">#REF!</definedName>
    <definedName name="Plazo_de_obra" localSheetId="19">[3]Menu!$B$10</definedName>
    <definedName name="Plazo_de_obra" localSheetId="8">#REF!</definedName>
    <definedName name="Plazo_de_obra" localSheetId="22">[3]Menu!$B$10</definedName>
    <definedName name="Plazo_de_obra" localSheetId="20">#REF!</definedName>
    <definedName name="Plazo_de_obra" localSheetId="14">#REF!</definedName>
    <definedName name="Plazo_de_obra" localSheetId="23">[3]Menu!$B$10</definedName>
    <definedName name="Plazo_de_obra">#REF!</definedName>
    <definedName name="Plazo_Obra" localSheetId="15">#REF!</definedName>
    <definedName name="Plazo_Obra" localSheetId="13">#REF!</definedName>
    <definedName name="Plazo_Obra" localSheetId="19">[11]Constantes!$C$58</definedName>
    <definedName name="Plazo_Obra" localSheetId="8">#REF!</definedName>
    <definedName name="Plazo_Obra" localSheetId="22">[11]Constantes!$C$58</definedName>
    <definedName name="Plazo_Obra" localSheetId="20">#REF!</definedName>
    <definedName name="Plazo_Obra" localSheetId="14">#REF!</definedName>
    <definedName name="Plazo_Obra" localSheetId="23">[11]Constantes!$C$58</definedName>
    <definedName name="Plazo_Obra">#REF!</definedName>
    <definedName name="Plus" localSheetId="15">#REF!</definedName>
    <definedName name="Plus" localSheetId="13">#REF!</definedName>
    <definedName name="Plus" localSheetId="19">'[3]Detalle M de O'!$M$18</definedName>
    <definedName name="Plus" localSheetId="8">#REF!</definedName>
    <definedName name="Plus" localSheetId="22">'[3]Detalle M de O'!$M$18</definedName>
    <definedName name="Plus" localSheetId="20">#REF!</definedName>
    <definedName name="Plus" localSheetId="14">#REF!</definedName>
    <definedName name="Plus" localSheetId="23">'[3]Detalle M de O'!$M$18</definedName>
    <definedName name="Plus">#REF!</definedName>
    <definedName name="Plus_No_Remunerativo" localSheetId="15">#REF!</definedName>
    <definedName name="Plus_No_Remunerativo" localSheetId="13">#REF!</definedName>
    <definedName name="Plus_No_Remunerativo" localSheetId="19">[14]Constantes!$C$45</definedName>
    <definedName name="Plus_No_Remunerativo" localSheetId="8">#REF!</definedName>
    <definedName name="Plus_No_Remunerativo" localSheetId="22">[14]Constantes!$C$45</definedName>
    <definedName name="Plus_No_Remunerativo" localSheetId="20">#REF!</definedName>
    <definedName name="Plus_No_Remunerativo" localSheetId="14">#REF!</definedName>
    <definedName name="Plus_No_Remunerativo" localSheetId="23">[14]Constantes!$C$45</definedName>
    <definedName name="Plus_No_Remunerativo">#REF!</definedName>
    <definedName name="Plus_No_Remunerativo_Ayudante" localSheetId="15">#REF!</definedName>
    <definedName name="Plus_No_Remunerativo_Ayudante" localSheetId="13">#REF!</definedName>
    <definedName name="Plus_No_Remunerativo_Ayudante" localSheetId="19">[3]Constantes!$C$46</definedName>
    <definedName name="Plus_No_Remunerativo_Ayudante" localSheetId="8">#REF!</definedName>
    <definedName name="Plus_No_Remunerativo_Ayudante" localSheetId="22">[3]Constantes!$C$46</definedName>
    <definedName name="Plus_No_Remunerativo_Ayudante" localSheetId="20">#REF!</definedName>
    <definedName name="Plus_No_Remunerativo_Ayudante" localSheetId="14">#REF!</definedName>
    <definedName name="Plus_No_Remunerativo_Ayudante" localSheetId="23">[3]Constantes!$C$46</definedName>
    <definedName name="Plus_No_Remunerativo_Ayudante">#REF!</definedName>
    <definedName name="Plus_No_Remunerativo_Oficial" localSheetId="15">#REF!</definedName>
    <definedName name="Plus_No_Remunerativo_Oficial" localSheetId="13">#REF!</definedName>
    <definedName name="Plus_No_Remunerativo_Oficial" localSheetId="19">[3]Constantes!$C$47</definedName>
    <definedName name="Plus_No_Remunerativo_Oficial" localSheetId="8">#REF!</definedName>
    <definedName name="Plus_No_Remunerativo_Oficial" localSheetId="22">[3]Constantes!$C$47</definedName>
    <definedName name="Plus_No_Remunerativo_Oficial" localSheetId="20">#REF!</definedName>
    <definedName name="Plus_No_Remunerativo_Oficial" localSheetId="14">#REF!</definedName>
    <definedName name="Plus_No_Remunerativo_Oficial" localSheetId="23">[3]Constantes!$C$47</definedName>
    <definedName name="Plus_No_Remunerativo_Oficial">#REF!</definedName>
    <definedName name="Plus_No_Remunerativo_Oficial_Especializado" localSheetId="15">#REF!</definedName>
    <definedName name="Plus_No_Remunerativo_Oficial_Especializado" localSheetId="13">#REF!</definedName>
    <definedName name="Plus_No_Remunerativo_Oficial_Especializado" localSheetId="19">[3]Constantes!$C$48</definedName>
    <definedName name="Plus_No_Remunerativo_Oficial_Especializado" localSheetId="8">#REF!</definedName>
    <definedName name="Plus_No_Remunerativo_Oficial_Especializado" localSheetId="22">[3]Constantes!$C$48</definedName>
    <definedName name="Plus_No_Remunerativo_Oficial_Especializado" localSheetId="20">#REF!</definedName>
    <definedName name="Plus_No_Remunerativo_Oficial_Especializado" localSheetId="14">#REF!</definedName>
    <definedName name="Plus_No_Remunerativo_Oficial_Especializado" localSheetId="23">[3]Constantes!$C$48</definedName>
    <definedName name="Plus_No_Remunerativo_Oficial_Especializado">#REF!</definedName>
    <definedName name="Pmax">#REF!</definedName>
    <definedName name="PNA" localSheetId="15">#REF!</definedName>
    <definedName name="PNA" localSheetId="13">#REF!</definedName>
    <definedName name="PNA" localSheetId="19">[3]Constantes!#REF!</definedName>
    <definedName name="PNA" localSheetId="7">#REF!</definedName>
    <definedName name="PNA" localSheetId="8">#REF!</definedName>
    <definedName name="PNA" localSheetId="22">[3]Constantes!#REF!</definedName>
    <definedName name="PNA" localSheetId="20">#REF!</definedName>
    <definedName name="PNA" localSheetId="3">#REF!</definedName>
    <definedName name="PNA" localSheetId="14">#REF!</definedName>
    <definedName name="PNA" localSheetId="23">[3]Constantes!#REF!</definedName>
    <definedName name="PNA">#REF!</definedName>
    <definedName name="PNAV" localSheetId="15">#REF!</definedName>
    <definedName name="PNAV" localSheetId="13">#REF!</definedName>
    <definedName name="PNAV" localSheetId="19">[3]Constantes!#REF!</definedName>
    <definedName name="PNAV" localSheetId="7">#REF!</definedName>
    <definedName name="PNAV" localSheetId="8">#REF!</definedName>
    <definedName name="PNAV" localSheetId="22">[3]Constantes!#REF!</definedName>
    <definedName name="PNAV" localSheetId="20">#REF!</definedName>
    <definedName name="PNAV" localSheetId="3">#REF!</definedName>
    <definedName name="PNAV" localSheetId="14">#REF!</definedName>
    <definedName name="PNAV" localSheetId="23">[3]Constantes!#REF!</definedName>
    <definedName name="PNAV">#REF!</definedName>
    <definedName name="PNL" localSheetId="15">#REF!</definedName>
    <definedName name="PNL" localSheetId="13">#REF!</definedName>
    <definedName name="PNL" localSheetId="19">[3]Constantes!#REF!</definedName>
    <definedName name="PNL" localSheetId="7">#REF!</definedName>
    <definedName name="PNL" localSheetId="8">#REF!</definedName>
    <definedName name="PNL" localSheetId="22">[3]Constantes!#REF!</definedName>
    <definedName name="PNL" localSheetId="20">#REF!</definedName>
    <definedName name="PNL" localSheetId="3">#REF!</definedName>
    <definedName name="PNL" localSheetId="14">#REF!</definedName>
    <definedName name="PNL" localSheetId="23">[3]Constantes!#REF!</definedName>
    <definedName name="PNL">#REF!</definedName>
    <definedName name="PNP" localSheetId="15">#REF!</definedName>
    <definedName name="PNP" localSheetId="13">#REF!</definedName>
    <definedName name="PNP" localSheetId="19">[3]Constantes!#REF!</definedName>
    <definedName name="PNP" localSheetId="7">#REF!</definedName>
    <definedName name="PNP" localSheetId="8">#REF!</definedName>
    <definedName name="PNP" localSheetId="22">[3]Constantes!#REF!</definedName>
    <definedName name="PNP" localSheetId="20">#REF!</definedName>
    <definedName name="PNP" localSheetId="3">#REF!</definedName>
    <definedName name="PNP" localSheetId="14">#REF!</definedName>
    <definedName name="PNP" localSheetId="23">[3]Constantes!#REF!</definedName>
    <definedName name="PNP">#REF!</definedName>
    <definedName name="POficial" localSheetId="8">#REF!</definedName>
    <definedName name="POficial">#REF!</definedName>
    <definedName name="Pp">#REF!</definedName>
    <definedName name="PPA" localSheetId="15">#REF!</definedName>
    <definedName name="PPA" localSheetId="13">#REF!</definedName>
    <definedName name="PPA" localSheetId="19">[3]Constantes!#REF!</definedName>
    <definedName name="PPA" localSheetId="8">#REF!</definedName>
    <definedName name="PPA" localSheetId="22">[3]Constantes!#REF!</definedName>
    <definedName name="PPA" localSheetId="20">#REF!</definedName>
    <definedName name="PPA" localSheetId="14">#REF!</definedName>
    <definedName name="PPA" localSheetId="23">[3]Constantes!#REF!</definedName>
    <definedName name="PPA">#REF!</definedName>
    <definedName name="PPCOL" localSheetId="15">#REF!</definedName>
    <definedName name="PPCOL" localSheetId="13">#REF!</definedName>
    <definedName name="PPCOL" localSheetId="19">[3]Constantes!#REF!</definedName>
    <definedName name="PPCOL" localSheetId="8">#REF!</definedName>
    <definedName name="PPCOL" localSheetId="22">[3]Constantes!#REF!</definedName>
    <definedName name="PPCOL" localSheetId="20">#REF!</definedName>
    <definedName name="PPCOL" localSheetId="14">#REF!</definedName>
    <definedName name="PPCOL" localSheetId="23">[3]Constantes!#REF!</definedName>
    <definedName name="PPCOL">#REF!</definedName>
    <definedName name="praccesoreadec">#REF!</definedName>
    <definedName name="praceroptereadec">#REF!</definedName>
    <definedName name="pracondct">#REF!</definedName>
    <definedName name="praguareadec">#REF!</definedName>
    <definedName name="pralcantreadec">#REF!</definedName>
    <definedName name="pralteo">#REF!</definedName>
    <definedName name="pralteomyg">#REF!</definedName>
    <definedName name="pralteoreadec">#REF!</definedName>
    <definedName name="prapoyos">#REF!</definedName>
    <definedName name="prarena">#REF!</definedName>
    <definedName name="prarenatrit">#REF!</definedName>
    <definedName name="prb">#REF!</definedName>
    <definedName name="prbacheo">#REF!</definedName>
    <definedName name="prbacheosan">#REF!</definedName>
    <definedName name="prbacheosanreadec">#REF!</definedName>
    <definedName name="prbandas">#REF!</definedName>
    <definedName name="prbandassonoras">#REF!</definedName>
    <definedName name="prbandassonorasreadec">#REF!</definedName>
    <definedName name="prbandassonreadec">#REF!</definedName>
    <definedName name="prbanq">#REF!</definedName>
    <definedName name="prbanqreadec">#REF!</definedName>
    <definedName name="prbanquina">#REF!</definedName>
    <definedName name="prbanquinasreadec">#REF!</definedName>
    <definedName name="prbaranda">#REF!</definedName>
    <definedName name="prbarandareadec">#REF!</definedName>
    <definedName name="prbarpasareadec">#REF!</definedName>
    <definedName name="prbase">#REF!</definedName>
    <definedName name="prbasereadec">#REF!</definedName>
    <definedName name="prbflexreadec">#REF!</definedName>
    <definedName name="prc5readec">#REF!</definedName>
    <definedName name="prc6readec">#REF!</definedName>
    <definedName name="prca70100readec">#REF!</definedName>
    <definedName name="prcabezales">#REF!</definedName>
    <definedName name="prcalesreadec">#REF!</definedName>
    <definedName name="prcalzadahorm">#REF!</definedName>
    <definedName name="prcalzadas">#REF!</definedName>
    <definedName name="prcemreadec">#REF!</definedName>
    <definedName name="prciclovía">#REF!</definedName>
    <definedName name="prcicloviareadec">#REF!</definedName>
    <definedName name="prcolocacionalc">#REF!</definedName>
    <definedName name="prcolocacionalcreadec">#REF!</definedName>
    <definedName name="prcolumnas">#REF!</definedName>
    <definedName name="prcortepasto">#REF!</definedName>
    <definedName name="prcortepastoreadec">#REF!</definedName>
    <definedName name="prdemalcantarilla">#REF!</definedName>
    <definedName name="prdemalcantarillareadec">#REF!</definedName>
    <definedName name="prdesembanque">#REF!</definedName>
    <definedName name="prdesembanquereadec">#REF!</definedName>
    <definedName name="prdren">#REF!</definedName>
    <definedName name="pre" localSheetId="15">#REF!</definedName>
    <definedName name="pre" localSheetId="13">#REF!</definedName>
    <definedName name="pre" localSheetId="19">[7]Presupuesto!$C$3:$H$141</definedName>
    <definedName name="pre" localSheetId="8">#REF!</definedName>
    <definedName name="pre" localSheetId="22">[7]Presupuesto!$C$3:$H$141</definedName>
    <definedName name="pre" localSheetId="20">#REF!</definedName>
    <definedName name="pre" localSheetId="14">#REF!</definedName>
    <definedName name="pre" localSheetId="23">[7]Presupuesto!$C$3:$H$141</definedName>
    <definedName name="pre">#REF!</definedName>
    <definedName name="PRECIO">#REF!</definedName>
    <definedName name="PRECIO_TOTAL">#REF!</definedName>
    <definedName name="premerreadec">#REF!</definedName>
    <definedName name="PRENUEVO" localSheetId="15">#REF!</definedName>
    <definedName name="PRENUEVO" localSheetId="13">#REF!</definedName>
    <definedName name="PRENUEVO" localSheetId="19">'[15]Presupuesto NUEVO'!$C$3:$H$173</definedName>
    <definedName name="PRENUEVO" localSheetId="8">#REF!</definedName>
    <definedName name="PRENUEVO" localSheetId="22">'[15]Presupuesto NUEVO'!$C$3:$H$173</definedName>
    <definedName name="PRENUEVO" localSheetId="20">#REF!</definedName>
    <definedName name="PRENUEVO" localSheetId="14">#REF!</definedName>
    <definedName name="PRENUEVO" localSheetId="23">'[15]Presupuesto NUEVO'!$C$3:$H$173</definedName>
    <definedName name="PRENUEVO">#REF!</definedName>
    <definedName name="prescarif">#REF!</definedName>
    <definedName name="prescarifbanq">#REF!</definedName>
    <definedName name="prescarifbanqreadec">#REF!</definedName>
    <definedName name="prescarifreadec">#REF!</definedName>
    <definedName name="Presión_de_Vapor_del_Agua">#REF!</definedName>
    <definedName name="prestribos">#REF!</definedName>
    <definedName name="PRESUP" localSheetId="5">#REF!</definedName>
    <definedName name="PRESUP" localSheetId="6">#REF!</definedName>
    <definedName name="PRESUP">#REF!</definedName>
    <definedName name="presuporcentaje" localSheetId="5">#REF!</definedName>
    <definedName name="presuporcentaje" localSheetId="6">#REF!</definedName>
    <definedName name="presuporcentaje">#REF!</definedName>
    <definedName name="PRESUPUESTO">#REF!</definedName>
    <definedName name="prexcavreadec">#REF!</definedName>
    <definedName name="prfereadec">#REF!</definedName>
    <definedName name="prfisuras">#REF!</definedName>
    <definedName name="prfisurasreadec">#REF!</definedName>
    <definedName name="prfresado">#REF!</definedName>
    <definedName name="prfresado22cm">#REF!</definedName>
    <definedName name="prfresadoreadec">#REF!</definedName>
    <definedName name="prhermoso">#REF!</definedName>
    <definedName name="prhermosoreadec">#REF!</definedName>
    <definedName name="prhlosaptereadec">#REF!</definedName>
    <definedName name="prhor">#REF!</definedName>
    <definedName name="prhorcunreadec">#REF!</definedName>
    <definedName name="PRIMERA">#REF!</definedName>
    <definedName name="primpr">#REF!</definedName>
    <definedName name="primpreforzada">#REF!</definedName>
    <definedName name="primpreforzadareadec">#REF!</definedName>
    <definedName name="primprimreadec">#REF!</definedName>
    <definedName name="primprref">#REF!</definedName>
    <definedName name="Princ">#REF!</definedName>
    <definedName name="_xlnm.Print_Area" localSheetId="5">'01'!$A$1:$X$221</definedName>
    <definedName name="_xlnm.Print_Area" localSheetId="15">#REF!</definedName>
    <definedName name="_xlnm.Print_Area" localSheetId="13">#REF!</definedName>
    <definedName name="_xlnm.Print_Area" localSheetId="8">#REF!</definedName>
    <definedName name="_xlnm.Print_Area" localSheetId="14">#REF!</definedName>
    <definedName name="_xlnm.Print_Area" localSheetId="6">Tareas!$A$3:$E$168</definedName>
    <definedName name="_xlnm.Print_Area">#REF!</definedName>
    <definedName name="PRINT_AREA_MI">#REF!</definedName>
    <definedName name="Print_Area_Reset" localSheetId="15">OFFSET(Full_Print,0,0,Last_Row)</definedName>
    <definedName name="Print_Area_Reset" localSheetId="13">OFFSET([0]!Full_Print,0,0,[0]!Last_Row)</definedName>
    <definedName name="Print_Area_Reset" localSheetId="8">OFFSET(Full_Print,0,0,Last_Row)</definedName>
    <definedName name="Print_Area_Reset" localSheetId="14">OFFSET([0]!Full_Print,0,0,[0]!Last_Row)</definedName>
    <definedName name="Print_Area_Reset">OFFSET(Full_Print,0,0,Last_Row)</definedName>
    <definedName name="Print_Area2">#REF!</definedName>
    <definedName name="_xlnm.Print_Titles" localSheetId="5">'01'!$7:$7</definedName>
    <definedName name="_xlnm.Print_Titles" localSheetId="8">#REF!</definedName>
    <definedName name="_xlnm.Print_Titles" localSheetId="6">Tareas!$6:$6</definedName>
    <definedName name="_xlnm.Print_Titles">#REF!</definedName>
    <definedName name="Print_Titles2">#REF!</definedName>
    <definedName name="printercanal" localSheetId="15">#REF!</definedName>
    <definedName name="printercanal" localSheetId="13">#REF!</definedName>
    <definedName name="printercanal" localSheetId="8">#REF!</definedName>
    <definedName name="printercanal" localSheetId="14">#REF!</definedName>
    <definedName name="printercanal">#REF!</definedName>
    <definedName name="prinvernal" localSheetId="8">#REF!</definedName>
    <definedName name="prinvernal">#REF!</definedName>
    <definedName name="prjunta">#REF!</definedName>
    <definedName name="prjuntas">#REF!</definedName>
    <definedName name="prlechada">#REF!</definedName>
    <definedName name="prlechadareadec">#REF!</definedName>
    <definedName name="prlimpieza">#REF!</definedName>
    <definedName name="prlimpiezareadec">#REF!</definedName>
    <definedName name="prlimpseñales">#REF!</definedName>
    <definedName name="prlimpseñalesreadec">#REF!</definedName>
    <definedName name="prlimptransp">#REF!</definedName>
    <definedName name="prlosa">#REF!</definedName>
    <definedName name="prmatbanquina">#REF!</definedName>
    <definedName name="prmatbanquinareadec">#REF!</definedName>
    <definedName name="prmaterialbase">#REF!</definedName>
    <definedName name="prmicroaglomerado">#REF!</definedName>
    <definedName name="prmicroreadec">#REF!</definedName>
    <definedName name="prmontaje">#REF!</definedName>
    <definedName name="pro" localSheetId="15" hidden="1">{"DECIMAL",#N/A,FALSE,"02"}</definedName>
    <definedName name="pro" localSheetId="13" hidden="1">{"DECIMAL",#N/A,FALSE,"02"}</definedName>
    <definedName name="pro" localSheetId="8" hidden="1">{"DECIMAL",#N/A,FALSE,"02"}</definedName>
    <definedName name="pro" localSheetId="14" hidden="1">{"DECIMAL",#N/A,FALSE,"02"}</definedName>
    <definedName name="pro" hidden="1">{"DECIMAL",#N/A,FALSE,"02"}</definedName>
    <definedName name="Prof_fund" localSheetId="15">#REF!</definedName>
    <definedName name="Prof_fund" localSheetId="13">#REF!</definedName>
    <definedName name="Prof_fund" localSheetId="19">[7]Presupuesto!$B$7</definedName>
    <definedName name="Prof_fund" localSheetId="8">#REF!</definedName>
    <definedName name="Prof_fund" localSheetId="22">[7]Presupuesto!$B$7</definedName>
    <definedName name="Prof_fund" localSheetId="20">#REF!</definedName>
    <definedName name="Prof_fund" localSheetId="14">#REF!</definedName>
    <definedName name="Prof_fund" localSheetId="23">[7]Presupuesto!$B$7</definedName>
    <definedName name="Prof_fund">#REF!</definedName>
    <definedName name="Prof_Tensor" localSheetId="15">#REF!</definedName>
    <definedName name="Prof_Tensor" localSheetId="13">#REF!</definedName>
    <definedName name="Prof_Tensor" localSheetId="19">[7]Presupuesto!$B$8</definedName>
    <definedName name="Prof_Tensor" localSheetId="8">#REF!</definedName>
    <definedName name="Prof_Tensor" localSheetId="22">[7]Presupuesto!$B$8</definedName>
    <definedName name="Prof_Tensor" localSheetId="20">#REF!</definedName>
    <definedName name="Prof_Tensor" localSheetId="14">#REF!</definedName>
    <definedName name="Prof_Tensor" localSheetId="23">[7]Presupuesto!$B$8</definedName>
    <definedName name="Prof_Tensor">#REF!</definedName>
    <definedName name="Progress" localSheetId="15" hidden="1">{#N/A,#N/A,FALSE,"Monthly report";#N/A,#N/A,FALSE,"M.R. UEM";#N/A,#N/A,FALSE,"M.R. VCM"}</definedName>
    <definedName name="Progress" localSheetId="13" hidden="1">{#N/A,#N/A,FALSE,"Monthly report";#N/A,#N/A,FALSE,"M.R. UEM";#N/A,#N/A,FALSE,"M.R. VCM"}</definedName>
    <definedName name="Progress" localSheetId="8" hidden="1">{#N/A,#N/A,FALSE,"Monthly report";#N/A,#N/A,FALSE,"M.R. UEM";#N/A,#N/A,FALSE,"M.R. VCM"}</definedName>
    <definedName name="Progress" localSheetId="14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VEEDOR">#REF!</definedName>
    <definedName name="Proyecto1">#REF!</definedName>
    <definedName name="Proyecto2">#REF!</definedName>
    <definedName name="prPartido">#REF!</definedName>
    <definedName name="prPCCura">#REF!</definedName>
    <definedName name="prperfilado">#REF!</definedName>
    <definedName name="prperfiladoreadec">#REF!</definedName>
    <definedName name="prpiedratrit">#REF!</definedName>
    <definedName name="prpilotes">#REF!</definedName>
    <definedName name="prpintado">#REF!</definedName>
    <definedName name="prpintadoreadec">#REF!</definedName>
    <definedName name="prpostereadec">#REF!</definedName>
    <definedName name="prpretiles">#REF!</definedName>
    <definedName name="prpretilesreadec">#REF!</definedName>
    <definedName name="prprolongacion">#REF!</definedName>
    <definedName name="prprolongacionreadec">#REF!</definedName>
    <definedName name="prproteccion">#REF!</definedName>
    <definedName name="prpteccurareadec">#REF!</definedName>
    <definedName name="prrecolprereadec">#REF!</definedName>
    <definedName name="prrefuerzo6">#REF!</definedName>
    <definedName name="prrefuerzo6readec">#REF!</definedName>
    <definedName name="prrefuerzo8">#REF!</definedName>
    <definedName name="prrefuerzo8readec">#REF!</definedName>
    <definedName name="prrelleno">#REF!</definedName>
    <definedName name="prrellenoreadec">#REF!</definedName>
    <definedName name="prrepalc">#REF!</definedName>
    <definedName name="prrepAlcPtes">#REF!</definedName>
    <definedName name="prrepalcreadec">#REF!</definedName>
    <definedName name="prreparacionalc">#REF!</definedName>
    <definedName name="prreparacionalcreadec">#REF!</definedName>
    <definedName name="prrestdrenaje">#REF!</definedName>
    <definedName name="prrestdrenajereadec">#REF!</definedName>
    <definedName name="prretderrumbe">#REF!</definedName>
    <definedName name="prretrecolbaranda">#REF!</definedName>
    <definedName name="prriegoimpreadec">#REF!</definedName>
    <definedName name="prriegoliga">#REF!</definedName>
    <definedName name="prriegoligareadec">#REF!</definedName>
    <definedName name="prrieimpr">#REF!</definedName>
    <definedName name="prrotondas">#REF!</definedName>
    <definedName name="prrotondasreadec">#REF!</definedName>
    <definedName name="prsandef">#REF!</definedName>
    <definedName name="prsb">#REF!</definedName>
    <definedName name="prsellado">#REF!</definedName>
    <definedName name="prselladoreadec">#REF!</definedName>
    <definedName name="prsenda">#REF!</definedName>
    <definedName name="prsendareadec">#REF!</definedName>
    <definedName name="prseñalamiento">#REF!</definedName>
    <definedName name="prseñalamientoreadec">#REF!</definedName>
    <definedName name="prseñalizacion">#REF!</definedName>
    <definedName name="prseñalizacionext">#REF!</definedName>
    <definedName name="prseñalizacionextreadec">#REF!</definedName>
    <definedName name="prseñalizaciónreadec">#REF!</definedName>
    <definedName name="prseñalizreadec">#REF!</definedName>
    <definedName name="prsistdren">#REF!</definedName>
    <definedName name="prsistdren1071">#REF!</definedName>
    <definedName name="prSoc8026">#REF!</definedName>
    <definedName name="prsocavacionreadec">#REF!</definedName>
    <definedName name="prsubbase">#REF!</definedName>
    <definedName name="prsubbasereadec">#REF!</definedName>
    <definedName name="prterr">#REF!</definedName>
    <definedName name="prterrapreadec">#REF!</definedName>
    <definedName name="prterrsincomp">#REF!</definedName>
    <definedName name="prtravsenillosareadec">#REF!</definedName>
    <definedName name="Prueba">#REF!</definedName>
    <definedName name="prvigas">#REF!</definedName>
    <definedName name="pvc">#REF!</definedName>
    <definedName name="q">#REF!</definedName>
    <definedName name="Q0">#REF!</definedName>
    <definedName name="QCAR">#REF!</definedName>
    <definedName name="RANGO">#REF!</definedName>
    <definedName name="rangobase" localSheetId="15">L2C1:L372C15</definedName>
    <definedName name="rangobase" localSheetId="16">L2C1:L372C15</definedName>
    <definedName name="rangobase" localSheetId="12">L2C1:L372C15</definedName>
    <definedName name="rangobase" localSheetId="13">L2C1:L372C15</definedName>
    <definedName name="rangobase" localSheetId="11">L2C1:L372C15</definedName>
    <definedName name="rangobase" localSheetId="8">L2C1:L372C15</definedName>
    <definedName name="rangobase" localSheetId="14">L2C1:L372C15</definedName>
    <definedName name="rangobase">L2C1:L372C15</definedName>
    <definedName name="rangoformulas" localSheetId="15">#REF!</definedName>
    <definedName name="rangoformulas" localSheetId="13">#REF!</definedName>
    <definedName name="rangoformulas" localSheetId="19">'[3]Analisis Nuevo'!#REF!</definedName>
    <definedName name="rangoformulas" localSheetId="7">#REF!</definedName>
    <definedName name="rangoformulas" localSheetId="8">#REF!</definedName>
    <definedName name="rangoformulas" localSheetId="22">'[3]Analisis Nuevo'!#REF!</definedName>
    <definedName name="rangoformulas" localSheetId="20">#REF!</definedName>
    <definedName name="rangoformulas" localSheetId="3">#REF!</definedName>
    <definedName name="rangoformulas" localSheetId="14">#REF!</definedName>
    <definedName name="rangoformulas" localSheetId="23">'[3]Analisis Nuevo'!#REF!</definedName>
    <definedName name="rangoformulas">#REF!</definedName>
    <definedName name="RB" localSheetId="15">L2C1:L372C15</definedName>
    <definedName name="RB" localSheetId="16">L2C1:L372C15</definedName>
    <definedName name="RB" localSheetId="12">L2C1:L372C15</definedName>
    <definedName name="RB" localSheetId="13">L2C1:L372C15</definedName>
    <definedName name="RB" localSheetId="11">L2C1:L372C15</definedName>
    <definedName name="RB" localSheetId="8">L2C1:L372C15</definedName>
    <definedName name="RB" localSheetId="14">L2C1:L372C15</definedName>
    <definedName name="RB">L2C1:L372C15</definedName>
    <definedName name="RBASE" localSheetId="15">L2C1:L372C15</definedName>
    <definedName name="RBASE" localSheetId="16">L2C1:L372C15</definedName>
    <definedName name="RBASE" localSheetId="12">L2C1:L372C15</definedName>
    <definedName name="RBASE" localSheetId="13">L2C1:L372C15</definedName>
    <definedName name="RBASE" localSheetId="11">L2C1:L372C15</definedName>
    <definedName name="RBASE" localSheetId="8">L2C1:L372C15</definedName>
    <definedName name="RBASE" localSheetId="14">L2C1:L372C15</definedName>
    <definedName name="RBASE">L2C1:L372C15</definedName>
    <definedName name="re" localSheetId="15" hidden="1">{#N/A,#N/A,FALSE,"Monthly report";#N/A,#N/A,FALSE,"M.R. UEM";#N/A,#N/A,FALSE,"M.R. VCM"}</definedName>
    <definedName name="re" localSheetId="13" hidden="1">{#N/A,#N/A,FALSE,"Monthly report";#N/A,#N/A,FALSE,"M.R. UEM";#N/A,#N/A,FALSE,"M.R. VCM"}</definedName>
    <definedName name="re" localSheetId="8" hidden="1">{#N/A,#N/A,FALSE,"Monthly report";#N/A,#N/A,FALSE,"M.R. UEM";#N/A,#N/A,FALSE,"M.R. VCM"}</definedName>
    <definedName name="re" localSheetId="14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acc">#REF!</definedName>
    <definedName name="rec">#REF!</definedName>
    <definedName name="rec_c">#REF!</definedName>
    <definedName name="Rejilla">#REF!</definedName>
    <definedName name="rellr">#REF!</definedName>
    <definedName name="rend" localSheetId="7">#REF!</definedName>
    <definedName name="rend" localSheetId="3">#REF!</definedName>
    <definedName name="rend">#REF!</definedName>
    <definedName name="Reparaciones">#REF!</definedName>
    <definedName name="REPOTENCIACION_ACUEDUCTO_A_V._ANGELA">#REF!</definedName>
    <definedName name="RES">#N/A</definedName>
    <definedName name="Residual">#REF!</definedName>
    <definedName name="RESUMEN">#N/A</definedName>
    <definedName name="RN">#REF!</definedName>
    <definedName name="RR">#REF!</definedName>
    <definedName name="RSAD" localSheetId="15">#REF!</definedName>
    <definedName name="RSAD" localSheetId="13">#REF!</definedName>
    <definedName name="RSAD" localSheetId="19">[3]Constantes!#REF!</definedName>
    <definedName name="RSAD" localSheetId="7">#REF!</definedName>
    <definedName name="RSAD" localSheetId="8">#REF!</definedName>
    <definedName name="RSAD" localSheetId="22">[3]Constantes!#REF!</definedName>
    <definedName name="RSAD" localSheetId="20">#REF!</definedName>
    <definedName name="RSAD" localSheetId="3">#REF!</definedName>
    <definedName name="RSAD" localSheetId="14">#REF!</definedName>
    <definedName name="RSAD" localSheetId="23">[3]Constantes!#REF!</definedName>
    <definedName name="RSAD">#REF!</definedName>
    <definedName name="RSARL" localSheetId="15">#REF!</definedName>
    <definedName name="RSARL" localSheetId="13">#REF!</definedName>
    <definedName name="RSARL" localSheetId="19">[3]Constantes!#REF!</definedName>
    <definedName name="RSARL" localSheetId="7">#REF!</definedName>
    <definedName name="RSARL" localSheetId="8">#REF!</definedName>
    <definedName name="RSARL" localSheetId="22">[3]Constantes!#REF!</definedName>
    <definedName name="RSARL" localSheetId="20">#REF!</definedName>
    <definedName name="RSARL" localSheetId="3">#REF!</definedName>
    <definedName name="RSARL" localSheetId="14">#REF!</definedName>
    <definedName name="RSARL" localSheetId="23">[3]Constantes!#REF!</definedName>
    <definedName name="RSARL">#REF!</definedName>
    <definedName name="RSAZCE" localSheetId="15">#REF!</definedName>
    <definedName name="RSAZCE" localSheetId="13">#REF!</definedName>
    <definedName name="RSAZCE" localSheetId="19">[3]Constantes!#REF!</definedName>
    <definedName name="RSAZCE" localSheetId="7">#REF!</definedName>
    <definedName name="RSAZCE" localSheetId="8">#REF!</definedName>
    <definedName name="RSAZCE" localSheetId="22">[3]Constantes!#REF!</definedName>
    <definedName name="RSAZCE" localSheetId="20">#REF!</definedName>
    <definedName name="RSAZCE" localSheetId="3">#REF!</definedName>
    <definedName name="RSAZCE" localSheetId="14">#REF!</definedName>
    <definedName name="RSAZCE" localSheetId="23">[3]Constantes!#REF!</definedName>
    <definedName name="RSAZCE">#REF!</definedName>
    <definedName name="RSAZM" localSheetId="15">#REF!</definedName>
    <definedName name="RSAZM" localSheetId="13">#REF!</definedName>
    <definedName name="RSAZM" localSheetId="19">[3]Constantes!#REF!</definedName>
    <definedName name="RSAZM" localSheetId="7">#REF!</definedName>
    <definedName name="RSAZM" localSheetId="8">#REF!</definedName>
    <definedName name="RSAZM" localSheetId="22">[3]Constantes!#REF!</definedName>
    <definedName name="RSAZM" localSheetId="20">#REF!</definedName>
    <definedName name="RSAZM" localSheetId="3">#REF!</definedName>
    <definedName name="RSAZM" localSheetId="14">#REF!</definedName>
    <definedName name="RSAZM" localSheetId="23">[3]Constantes!#REF!</definedName>
    <definedName name="RSAZM">#REF!</definedName>
    <definedName name="RSCOL" localSheetId="15">#REF!</definedName>
    <definedName name="RSCOL" localSheetId="13">#REF!</definedName>
    <definedName name="RSCOL" localSheetId="19">[3]Constantes!#REF!</definedName>
    <definedName name="RSCOL" localSheetId="7">#REF!</definedName>
    <definedName name="RSCOL" localSheetId="8">#REF!</definedName>
    <definedName name="RSCOL" localSheetId="22">[3]Constantes!#REF!</definedName>
    <definedName name="RSCOL" localSheetId="20">#REF!</definedName>
    <definedName name="RSCOL" localSheetId="3">#REF!</definedName>
    <definedName name="RSCOL" localSheetId="14">#REF!</definedName>
    <definedName name="RSCOL" localSheetId="23">[3]Constantes!#REF!</definedName>
    <definedName name="RSCOL">#REF!</definedName>
    <definedName name="RSLD" localSheetId="15">#REF!</definedName>
    <definedName name="RSLD" localSheetId="13">#REF!</definedName>
    <definedName name="RSLD" localSheetId="19">[3]Constantes!#REF!</definedName>
    <definedName name="RSLD" localSheetId="8">#REF!</definedName>
    <definedName name="RSLD" localSheetId="22">[3]Constantes!#REF!</definedName>
    <definedName name="RSLD" localSheetId="20">#REF!</definedName>
    <definedName name="RSLD" localSheetId="14">#REF!</definedName>
    <definedName name="RSLD" localSheetId="23">[3]Constantes!#REF!</definedName>
    <definedName name="RSLD">#REF!</definedName>
    <definedName name="RSPD" localSheetId="15">#REF!</definedName>
    <definedName name="RSPD" localSheetId="13">#REF!</definedName>
    <definedName name="RSPD" localSheetId="19">[3]Constantes!#REF!</definedName>
    <definedName name="RSPD" localSheetId="8">#REF!</definedName>
    <definedName name="RSPD" localSheetId="22">[3]Constantes!#REF!</definedName>
    <definedName name="RSPD" localSheetId="20">#REF!</definedName>
    <definedName name="RSPD" localSheetId="14">#REF!</definedName>
    <definedName name="RSPD" localSheetId="23">[3]Constantes!#REF!</definedName>
    <definedName name="RSPD">#REF!</definedName>
    <definedName name="RSPZM" localSheetId="15">#REF!</definedName>
    <definedName name="RSPZM" localSheetId="13">#REF!</definedName>
    <definedName name="RSPZM" localSheetId="19">[3]Constantes!#REF!</definedName>
    <definedName name="RSPZM" localSheetId="8">#REF!</definedName>
    <definedName name="RSPZM" localSheetId="22">[3]Constantes!#REF!</definedName>
    <definedName name="RSPZM" localSheetId="20">#REF!</definedName>
    <definedName name="RSPZM" localSheetId="14">#REF!</definedName>
    <definedName name="RSPZM" localSheetId="23">[3]Constantes!#REF!</definedName>
    <definedName name="RSPZM">#REF!</definedName>
    <definedName name="ryrc">#REF!</definedName>
    <definedName name="ryrr">#REF!</definedName>
    <definedName name="S">#REF!</definedName>
    <definedName name="sa" localSheetId="5" hidden="1">#REF!</definedName>
    <definedName name="sa" localSheetId="7" hidden="1">#REF!</definedName>
    <definedName name="sa" localSheetId="3" hidden="1">#REF!</definedName>
    <definedName name="sa" localSheetId="6" hidden="1">#REF!</definedName>
    <definedName name="sa" hidden="1">#REF!</definedName>
    <definedName name="sadDSadsa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ECCIONES" localSheetId="15">#REF!</definedName>
    <definedName name="SECCIONES" localSheetId="13">#REF!</definedName>
    <definedName name="SECCIONES" localSheetId="19">[3]Secciones!$A$1:$C$218</definedName>
    <definedName name="SECCIONES" localSheetId="8">#REF!</definedName>
    <definedName name="SECCIONES" localSheetId="22">[3]Secciones!$A$1:$C$218</definedName>
    <definedName name="SECCIONES" localSheetId="20">#REF!</definedName>
    <definedName name="SECCIONES" localSheetId="14">#REF!</definedName>
    <definedName name="SECCIONES" localSheetId="23">[3]Secciones!$A$1:$C$218</definedName>
    <definedName name="SECCIONES">#REF!</definedName>
    <definedName name="SECCIONES_DIV" localSheetId="15">#REF!</definedName>
    <definedName name="SECCIONES_DIV" localSheetId="13">#REF!</definedName>
    <definedName name="SECCIONES_DIV" localSheetId="19">[3]Secciones!$A$1:$A$218</definedName>
    <definedName name="SECCIONES_DIV" localSheetId="8">#REF!</definedName>
    <definedName name="SECCIONES_DIV" localSheetId="22">[3]Secciones!$A$1:$A$218</definedName>
    <definedName name="SECCIONES_DIV" localSheetId="20">#REF!</definedName>
    <definedName name="SECCIONES_DIV" localSheetId="14">#REF!</definedName>
    <definedName name="SECCIONES_DIV" localSheetId="23">[3]Secciones!$A$1:$A$218</definedName>
    <definedName name="SECCIONES_DIV">#REF!</definedName>
    <definedName name="SEG">#REF!</definedName>
    <definedName name="SEGUNDA">#REF!</definedName>
    <definedName name="Seguro_de_Vida_Obligatorio" localSheetId="15">#REF!</definedName>
    <definedName name="Seguro_de_Vida_Obligatorio" localSheetId="13">#REF!</definedName>
    <definedName name="Seguro_de_Vida_Obligatorio" localSheetId="19">[3]Constantes!$C$38</definedName>
    <definedName name="Seguro_de_Vida_Obligatorio" localSheetId="8">#REF!</definedName>
    <definedName name="Seguro_de_Vida_Obligatorio" localSheetId="22">[3]Constantes!$C$38</definedName>
    <definedName name="Seguro_de_Vida_Obligatorio" localSheetId="20">#REF!</definedName>
    <definedName name="Seguro_de_Vida_Obligatorio" localSheetId="14">#REF!</definedName>
    <definedName name="Seguro_de_Vida_Obligatorio" localSheetId="23">[3]Constantes!$C$38</definedName>
    <definedName name="Seguro_de_Vida_Obligatorio">#REF!</definedName>
    <definedName name="SIG__">#N/A</definedName>
    <definedName name="SIG2__">#N/A</definedName>
    <definedName name="sigmabk" localSheetId="15">#REF!</definedName>
    <definedName name="sigmabk" localSheetId="13">#REF!</definedName>
    <definedName name="sigmabk" localSheetId="8">#REF!</definedName>
    <definedName name="sigmabk" localSheetId="14">#REF!</definedName>
    <definedName name="sigmabk">#REF!</definedName>
    <definedName name="sigmabk_c" localSheetId="8">#REF!</definedName>
    <definedName name="sigmabk_c">#REF!</definedName>
    <definedName name="sigmas" localSheetId="8">#REF!</definedName>
    <definedName name="sigmas">#REF!</definedName>
    <definedName name="sin_reaj">#REF!</definedName>
    <definedName name="sob">#REF!</definedName>
    <definedName name="sob_c">#REF!</definedName>
    <definedName name="SObrero">#REF!</definedName>
    <definedName name="ssdfsdgsdfgfgb">#REF!</definedName>
    <definedName name="SUBTOTAL">#REF!</definedName>
    <definedName name="Sueldo_Anual_Complementario" localSheetId="15">#REF!</definedName>
    <definedName name="Sueldo_Anual_Complementario" localSheetId="13">#REF!</definedName>
    <definedName name="Sueldo_Anual_Complementario" localSheetId="19">[3]Constantes!$C$39</definedName>
    <definedName name="Sueldo_Anual_Complementario" localSheetId="8">#REF!</definedName>
    <definedName name="Sueldo_Anual_Complementario" localSheetId="22">[3]Constantes!$C$39</definedName>
    <definedName name="Sueldo_Anual_Complementario" localSheetId="20">#REF!</definedName>
    <definedName name="Sueldo_Anual_Complementario" localSheetId="14">#REF!</definedName>
    <definedName name="Sueldo_Anual_Complementario" localSheetId="23">[3]Constantes!$C$39</definedName>
    <definedName name="Sueldo_Anual_Complementario">#REF!</definedName>
    <definedName name="Suelo">#REF!</definedName>
    <definedName name="SumaItems" localSheetId="15">#REF!</definedName>
    <definedName name="SumaItems" localSheetId="13">#REF!</definedName>
    <definedName name="SumaItems" localSheetId="19">[3]SISTEMA!$B$1</definedName>
    <definedName name="SumaItems" localSheetId="8">#REF!</definedName>
    <definedName name="SumaItems" localSheetId="22">[3]SISTEMA!$B$1</definedName>
    <definedName name="SumaItems" localSheetId="20">#REF!</definedName>
    <definedName name="SumaItems" localSheetId="14">#REF!</definedName>
    <definedName name="SumaItems" localSheetId="23">[3]SISTEMA!$B$1</definedName>
    <definedName name="SumaItems">#REF!</definedName>
    <definedName name="Summary" localSheetId="7">#REF!</definedName>
    <definedName name="Summary" localSheetId="3">#REF!</definedName>
    <definedName name="Summary">#REF!</definedName>
    <definedName name="Sup_Cubierta" localSheetId="15">#REF!</definedName>
    <definedName name="Sup_Cubierta" localSheetId="13">#REF!</definedName>
    <definedName name="Sup_Cubierta" localSheetId="19">[3]Menu!#REF!</definedName>
    <definedName name="Sup_Cubierta" localSheetId="8">#REF!</definedName>
    <definedName name="Sup_Cubierta" localSheetId="22">[3]Menu!#REF!</definedName>
    <definedName name="Sup_Cubierta" localSheetId="20">#REF!</definedName>
    <definedName name="Sup_Cubierta" localSheetId="14">#REF!</definedName>
    <definedName name="Sup_Cubierta" localSheetId="23">[3]Menu!#REF!</definedName>
    <definedName name="Sup_Cubierta">#REF!</definedName>
    <definedName name="Sup_Lote" localSheetId="15">#REF!</definedName>
    <definedName name="Sup_Lote" localSheetId="13">#REF!</definedName>
    <definedName name="Sup_Lote" localSheetId="19">[7]Presupuesto!$B$10</definedName>
    <definedName name="Sup_Lote" localSheetId="8">#REF!</definedName>
    <definedName name="Sup_Lote" localSheetId="22">[7]Presupuesto!$B$10</definedName>
    <definedName name="Sup_Lote" localSheetId="20">#REF!</definedName>
    <definedName name="Sup_Lote" localSheetId="14">#REF!</definedName>
    <definedName name="Sup_Lote" localSheetId="23">[7]Presupuesto!$B$10</definedName>
    <definedName name="Sup_Lote">#REF!</definedName>
    <definedName name="Sup_Proyecto" localSheetId="15">#REF!</definedName>
    <definedName name="Sup_Proyecto" localSheetId="13">#REF!</definedName>
    <definedName name="Sup_Proyecto" localSheetId="19">[3]Menu!#REF!</definedName>
    <definedName name="Sup_Proyecto" localSheetId="7">#REF!</definedName>
    <definedName name="Sup_Proyecto" localSheetId="8">#REF!</definedName>
    <definedName name="Sup_Proyecto" localSheetId="22">[3]Menu!#REF!</definedName>
    <definedName name="Sup_Proyecto" localSheetId="20">#REF!</definedName>
    <definedName name="Sup_Proyecto" localSheetId="3">#REF!</definedName>
    <definedName name="Sup_Proyecto" localSheetId="14">#REF!</definedName>
    <definedName name="Sup_Proyecto" localSheetId="23">[3]Menu!#REF!</definedName>
    <definedName name="Sup_Proyecto">#REF!</definedName>
    <definedName name="Sup_Terreno" localSheetId="15">#REF!</definedName>
    <definedName name="Sup_Terreno" localSheetId="13">#REF!</definedName>
    <definedName name="Sup_Terreno" localSheetId="19">[3]Menu!#REF!</definedName>
    <definedName name="Sup_Terreno" localSheetId="7">#REF!</definedName>
    <definedName name="Sup_Terreno" localSheetId="8">#REF!</definedName>
    <definedName name="Sup_Terreno" localSheetId="22">[3]Menu!#REF!</definedName>
    <definedName name="Sup_Terreno" localSheetId="20">#REF!</definedName>
    <definedName name="Sup_Terreno" localSheetId="3">#REF!</definedName>
    <definedName name="Sup_Terreno" localSheetId="14">#REF!</definedName>
    <definedName name="Sup_Terreno" localSheetId="23">[3]Menu!#REF!</definedName>
    <definedName name="Sup_Terreno">#REF!</definedName>
    <definedName name="Superficie_Cubierta" localSheetId="15">#REF!</definedName>
    <definedName name="Superficie_Cubierta" localSheetId="13">#REF!</definedName>
    <definedName name="Superficie_Cubierta" localSheetId="19">[16]Constantes!$C$57</definedName>
    <definedName name="Superficie_Cubierta" localSheetId="8">#REF!</definedName>
    <definedName name="Superficie_Cubierta" localSheetId="22">[16]Constantes!$C$57</definedName>
    <definedName name="Superficie_Cubierta" localSheetId="20">#REF!</definedName>
    <definedName name="Superficie_Cubierta" localSheetId="14">#REF!</definedName>
    <definedName name="Superficie_Cubierta" localSheetId="23">[16]Constantes!$C$57</definedName>
    <definedName name="Superficie_Cubierta">#REF!</definedName>
    <definedName name="T.Cuad.">#REF!</definedName>
    <definedName name="T.Rect.">#REF!</definedName>
    <definedName name="T.Red.">#REF!</definedName>
    <definedName name="T_2">#REF!</definedName>
    <definedName name="t1000k">#REF!</definedName>
    <definedName name="t15k">#REF!</definedName>
    <definedName name="t400k">#REF!</definedName>
    <definedName name="t490k">#REF!</definedName>
    <definedName name="t90k">#REF!</definedName>
    <definedName name="TABLA2">#REF!</definedName>
    <definedName name="TABLA3">#REF!</definedName>
    <definedName name="TABLA6.2">#REF!</definedName>
    <definedName name="tablas">#REF!</definedName>
    <definedName name="TAC">#REF!</definedName>
    <definedName name="TAREAS" localSheetId="7">#REF!</definedName>
    <definedName name="TAREAS" localSheetId="3">#REF!</definedName>
    <definedName name="TAREAS">#REF!</definedName>
    <definedName name="TASA" localSheetId="15">#REF!</definedName>
    <definedName name="TASA" localSheetId="13">#REF!</definedName>
    <definedName name="TASA" localSheetId="19">[3]Constantes!$C$5</definedName>
    <definedName name="TASA" localSheetId="8">#REF!</definedName>
    <definedName name="TASA" localSheetId="22">[3]Constantes!$C$5</definedName>
    <definedName name="TASA" localSheetId="20">#REF!</definedName>
    <definedName name="TASA" localSheetId="14">#REF!</definedName>
    <definedName name="TASA" localSheetId="23">[3]Constantes!$C$5</definedName>
    <definedName name="TASA">#REF!</definedName>
    <definedName name="tasa_cero">#REF!</definedName>
    <definedName name="tau">#REF!</definedName>
    <definedName name="Tdos">#REF!</definedName>
    <definedName name="te">#REF!</definedName>
    <definedName name="Temperatura_Kelvin">#REF!</definedName>
    <definedName name="TERCERA">#REF!</definedName>
    <definedName name="terramesh">#REF!</definedName>
    <definedName name="ThO">#REF!</definedName>
    <definedName name="ThPH">#REF!</definedName>
    <definedName name="Tip.Conj.">#REF!</definedName>
    <definedName name="TIPIFICACION">#REF!</definedName>
    <definedName name="Tipo.Informe">#REF!</definedName>
    <definedName name="TIRANTE_CRITICO_CANALES">#REF!</definedName>
    <definedName name="TITULO" localSheetId="15">#REF!</definedName>
    <definedName name="TITULO" localSheetId="13">#REF!</definedName>
    <definedName name="TITULO" localSheetId="21">#REF!</definedName>
    <definedName name="TITULO" localSheetId="19">[8]Computo!#REF!</definedName>
    <definedName name="TITULO" localSheetId="8">#REF!</definedName>
    <definedName name="TITULO" localSheetId="22">[8]Computo!#REF!</definedName>
    <definedName name="TITULO" localSheetId="20">#REF!</definedName>
    <definedName name="TITULO" localSheetId="14">#REF!</definedName>
    <definedName name="TITULO" localSheetId="23">[8]Computo!#REF!</definedName>
    <definedName name="TITULO">#REF!</definedName>
    <definedName name="TITULOS">#REF!</definedName>
    <definedName name="TITULOS_A_IMPRIMIR">#REF!</definedName>
    <definedName name="Títulos_a_imprimir_IM" localSheetId="5">#REF!</definedName>
    <definedName name="Títulos_a_imprimir_IM" localSheetId="6">#REF!</definedName>
    <definedName name="Títulos_a_imprimir_IM">#REF!</definedName>
    <definedName name="TIUF" localSheetId="15">#REF!</definedName>
    <definedName name="TIUF" localSheetId="13">#REF!</definedName>
    <definedName name="TIUF" localSheetId="19">[3]Constantes!$C$52</definedName>
    <definedName name="TIUF" localSheetId="8">#REF!</definedName>
    <definedName name="TIUF" localSheetId="22">[3]Constantes!$C$52</definedName>
    <definedName name="TIUF" localSheetId="20">#REF!</definedName>
    <definedName name="TIUF" localSheetId="14">#REF!</definedName>
    <definedName name="TIUF" localSheetId="23">[3]Constantes!$C$52</definedName>
    <definedName name="TIUF">#REF!</definedName>
    <definedName name="to11_c">#REF!</definedName>
    <definedName name="TOBR1">#REF!</definedName>
    <definedName name="TOBRA">#REF!</definedName>
    <definedName name="tor">#REF!</definedName>
    <definedName name="tota1">#REF!</definedName>
    <definedName name="TOTAL">#REF!</definedName>
    <definedName name="Total_Interest">#REF!</definedName>
    <definedName name="Total_Pay">#REF!</definedName>
    <definedName name="Total_Payment" localSheetId="15">Scheduled_Payment+Extra_Payment</definedName>
    <definedName name="Total_Payment" localSheetId="16">Scheduled_Payment+Extra_Payment</definedName>
    <definedName name="Total_Payment" localSheetId="12">Scheduled_Payment+Extra_Payment</definedName>
    <definedName name="Total_Payment" localSheetId="13">Scheduled_Payment+Extra_Payment</definedName>
    <definedName name="Total_Payment" localSheetId="11">Scheduled_Payment+Extra_Payment</definedName>
    <definedName name="Total_Payment" localSheetId="8">Scheduled_Payment+Extra_Payment</definedName>
    <definedName name="Total_Payment" localSheetId="14">Scheduled_Payment+Extra_Payment</definedName>
    <definedName name="Total_Payment">Scheduled_Payment+Extra_Payment</definedName>
    <definedName name="TOTAL_SISTEMA_DE_ACUEDUCTOS_A_PRECIO_FINAL" localSheetId="15">#REF!</definedName>
    <definedName name="TOTAL_SISTEMA_DE_ACUEDUCTOS_A_PRECIO_FINAL" localSheetId="13">#REF!</definedName>
    <definedName name="TOTAL_SISTEMA_DE_ACUEDUCTOS_A_PRECIO_FINAL" localSheetId="8">#REF!</definedName>
    <definedName name="TOTAL_SISTEMA_DE_ACUEDUCTOS_A_PRECIO_FINAL" localSheetId="14">#REF!</definedName>
    <definedName name="TOTAL_SISTEMA_DE_ACUEDUCTOS_A_PRECIO_FINAL">#REF!</definedName>
    <definedName name="totalcert" localSheetId="8">#REF!</definedName>
    <definedName name="totalcert" localSheetId="20">#REF!</definedName>
    <definedName name="totalcert">#REF!</definedName>
    <definedName name="TOTALES" localSheetId="7">#REF!</definedName>
    <definedName name="TOTALES" localSheetId="8">#REF!</definedName>
    <definedName name="TOTALES" localSheetId="3">#REF!</definedName>
    <definedName name="TOTALES">#REF!</definedName>
    <definedName name="TPA">#REF!</definedName>
    <definedName name="TRANSPORTE">#N/A</definedName>
    <definedName name="trentiuno">#REF!</definedName>
    <definedName name="TUBERIAS">#REF!</definedName>
    <definedName name="Tuberías_de_P.E.A.D.">#REF!</definedName>
    <definedName name="Tuberías_de_P.R.F.V.">#REF!</definedName>
    <definedName name="Tuberias_de_P.V.C.">#REF!</definedName>
    <definedName name="Tuerc.">#REF!</definedName>
    <definedName name="Tuno">#REF!</definedName>
    <definedName name="u">#REF!</definedName>
    <definedName name="Unidades" localSheetId="15">#REF!</definedName>
    <definedName name="Unidades" localSheetId="13">#REF!</definedName>
    <definedName name="Unidades" localSheetId="19">[3]Menu!#REF!</definedName>
    <definedName name="Unidades" localSheetId="7">#REF!</definedName>
    <definedName name="Unidades" localSheetId="8">#REF!</definedName>
    <definedName name="Unidades" localSheetId="22">[3]Menu!#REF!</definedName>
    <definedName name="Unidades" localSheetId="20">#REF!</definedName>
    <definedName name="Unidades" localSheetId="3">#REF!</definedName>
    <definedName name="Unidades" localSheetId="14">#REF!</definedName>
    <definedName name="Unidades" localSheetId="23">[3]Menu!#REF!</definedName>
    <definedName name="Unidades">#REF!</definedName>
    <definedName name="UOCRA" localSheetId="15">#REF!</definedName>
    <definedName name="UOCRA" localSheetId="13">#REF!</definedName>
    <definedName name="UOCRA" localSheetId="19">[3]Constantes!$C$44</definedName>
    <definedName name="UOCRA" localSheetId="8">#REF!</definedName>
    <definedName name="UOCRA" localSheetId="22">[3]Constantes!$C$44</definedName>
    <definedName name="UOCRA" localSheetId="20">#REF!</definedName>
    <definedName name="UOCRA" localSheetId="14">#REF!</definedName>
    <definedName name="UOCRA" localSheetId="23">[3]Constantes!$C$44</definedName>
    <definedName name="UOCRA">#REF!</definedName>
    <definedName name="UOCRA_Cargo_Fijo" localSheetId="15">#REF!</definedName>
    <definedName name="UOCRA_Cargo_Fijo" localSheetId="13">#REF!</definedName>
    <definedName name="UOCRA_Cargo_Fijo" localSheetId="19">[3]Constantes!$C$45</definedName>
    <definedName name="UOCRA_Cargo_Fijo" localSheetId="8">#REF!</definedName>
    <definedName name="UOCRA_Cargo_Fijo" localSheetId="22">[3]Constantes!$C$45</definedName>
    <definedName name="UOCRA_Cargo_Fijo" localSheetId="20">#REF!</definedName>
    <definedName name="UOCRA_Cargo_Fijo" localSheetId="14">#REF!</definedName>
    <definedName name="UOCRA_Cargo_Fijo" localSheetId="23">[3]Constantes!$C$45</definedName>
    <definedName name="UOCRA_Cargo_Fijo">#REF!</definedName>
    <definedName name="UPN">#REF!</definedName>
    <definedName name="USD">#REF!</definedName>
    <definedName name="USD.BNA" localSheetId="20">#REF!</definedName>
    <definedName name="USD.BNA">#REF!</definedName>
    <definedName name="V">#REF!</definedName>
    <definedName name="V.R.">#REF!</definedName>
    <definedName name="V.Rosc">#REF!</definedName>
    <definedName name="V0">#REF!</definedName>
    <definedName name="Vacaciones" localSheetId="15">#REF!</definedName>
    <definedName name="Vacaciones" localSheetId="13">#REF!</definedName>
    <definedName name="Vacaciones" localSheetId="19">[3]Constantes!$C$40</definedName>
    <definedName name="Vacaciones" localSheetId="8">#REF!</definedName>
    <definedName name="Vacaciones" localSheetId="22">[3]Constantes!$C$40</definedName>
    <definedName name="Vacaciones" localSheetId="20">#REF!</definedName>
    <definedName name="Vacaciones" localSheetId="14">#REF!</definedName>
    <definedName name="Vacaciones" localSheetId="23">[3]Constantes!$C$40</definedName>
    <definedName name="Vacaciones">#REF!</definedName>
    <definedName name="vacdul">#REF!</definedName>
    <definedName name="vacdul1mod">#REF!</definedName>
    <definedName name="vacete">#REF!</definedName>
    <definedName name="vaclam">#REF!</definedName>
    <definedName name="vaclam1mod">#REF!</definedName>
    <definedName name="vadih">#REF!</definedName>
    <definedName name="val">#REF!</definedName>
    <definedName name="valgalv">#REF!</definedName>
    <definedName name="valgalv1mod">#REF!</definedName>
    <definedName name="validez">#REF!</definedName>
    <definedName name="Valor">#REF!</definedName>
    <definedName name="valoresequipo" localSheetId="5">#REF!</definedName>
    <definedName name="valoresequipo" localSheetId="6">#REF!</definedName>
    <definedName name="valoresequipo">#REF!</definedName>
    <definedName name="Values_Entered" localSheetId="15">IF(Loan_Amount*Interest_Rate*Loan_Years*Loan_Start&gt;0,1,0)</definedName>
    <definedName name="Values_Entered" localSheetId="13">IF([0]!Loan_Amount*[0]!Interest_Rate*[0]!Loan_Years*[0]!Loan_Start&gt;0,1,0)</definedName>
    <definedName name="Values_Entered" localSheetId="8">IF(Loan_Amount*Interest_Rate*Loan_Years*Loan_Start&gt;0,1,0)</definedName>
    <definedName name="Values_Entered" localSheetId="14">IF([0]!Loan_Amount*[0]!Interest_Rate*[0]!Loan_Years*[0]!Loan_Start&gt;0,1,0)</definedName>
    <definedName name="Values_Entered">IF(Loan_Amount*Interest_Rate*Loan_Years*Loan_Start&gt;0,1,0)</definedName>
    <definedName name="vaponeo" localSheetId="15">#REF!</definedName>
    <definedName name="vaponeo" localSheetId="13">#REF!</definedName>
    <definedName name="vaponeo" localSheetId="8">#REF!</definedName>
    <definedName name="vaponeo" localSheetId="14">#REF!</definedName>
    <definedName name="vaponeo">#REF!</definedName>
    <definedName name="varmco" localSheetId="8">#REF!</definedName>
    <definedName name="varmco">#REF!</definedName>
    <definedName name="varmco1mod" localSheetId="8">#REF!</definedName>
    <definedName name="varmco1mod">#REF!</definedName>
    <definedName name="vbarra">#REF!</definedName>
    <definedName name="vbarra1mod">#REF!</definedName>
    <definedName name="vbroca">#REF!</definedName>
    <definedName name="vbroca1mod">#REF!</definedName>
    <definedName name="vca">#REF!</definedName>
    <definedName name="vca1mod">#REF!</definedName>
    <definedName name="vcem1mod">#REF!</definedName>
    <definedName name="vclav">#REF!</definedName>
    <definedName name="vclav1mod">#REF!</definedName>
    <definedName name="vcub">#REF!</definedName>
    <definedName name="vcub1mod">#REF!</definedName>
    <definedName name="vdil">#REF!</definedName>
    <definedName name="vdil1mod">#REF!</definedName>
    <definedName name="VENTA">#N/A</definedName>
    <definedName name="veqc1mod">#REF!</definedName>
    <definedName name="veqh1mod">#REF!</definedName>
    <definedName name="veqh2mod">#REF!</definedName>
    <definedName name="veqh3mod">#REF!</definedName>
    <definedName name="veqhc">#REF!</definedName>
    <definedName name="veqhc1mod">#REF!</definedName>
    <definedName name="veqimp1mod">#REF!</definedName>
    <definedName name="veqnac1mod">#REF!</definedName>
    <definedName name="veqp1mod">#REF!</definedName>
    <definedName name="VERTEDERO_EN__V">#REF!</definedName>
    <definedName name="VERTEDERO_HORIZONTAL__REHBOCK">#REF!</definedName>
    <definedName name="vfiller">#REF!</definedName>
    <definedName name="vfiller1mod">#REF!</definedName>
    <definedName name="vflex1mod">#REF!</definedName>
    <definedName name="vflexposte">#REF!</definedName>
    <definedName name="vflexposte1mod">#REF!</definedName>
    <definedName name="vfo">#REF!</definedName>
    <definedName name="vfo1mod">#REF!</definedName>
    <definedName name="vgav1mod">#REF!</definedName>
    <definedName name="vgavhex">#REF!</definedName>
    <definedName name="vgavhex1mod">#REF!</definedName>
    <definedName name="vgel">#REF!</definedName>
    <definedName name="vgel1mod">#REF!</definedName>
    <definedName name="vgeot">#REF!</definedName>
    <definedName name="vgeot1mod">#REF!</definedName>
    <definedName name="vgf">#REF!</definedName>
    <definedName name="vgf1mod">#REF!</definedName>
    <definedName name="vgf3mod">#REF!</definedName>
    <definedName name="vggrales">#REF!</definedName>
    <definedName name="vgo">#REF!</definedName>
    <definedName name="vgo1mod">#REF!</definedName>
    <definedName name="VH">#N/A</definedName>
    <definedName name="Vida">#REF!</definedName>
    <definedName name="Viscosidad_Dinámica_y_Cinemática_del_Agua">#REF!</definedName>
    <definedName name="viv">#REF!</definedName>
    <definedName name="vjunexp">#REF!</definedName>
    <definedName name="vjunt">#REF!</definedName>
    <definedName name="vjunt1mod">#REF!</definedName>
    <definedName name="vmad">#REF!</definedName>
    <definedName name="vmad1mod">#REF!</definedName>
    <definedName name="vmas">#REF!</definedName>
    <definedName name="vmdeo1mod">#REF!</definedName>
    <definedName name="vmhex">#REF!</definedName>
    <definedName name="vmhex1mod">#REF!</definedName>
    <definedName name="vmov1mod">#REF!</definedName>
    <definedName name="vnago">#REF!</definedName>
    <definedName name="vnago1mod">#REF!</definedName>
    <definedName name="VOLT">#N/A</definedName>
    <definedName name="vomathap">#REF!</definedName>
    <definedName name="vomathpp">#REF!</definedName>
    <definedName name="votros">#REF!</definedName>
    <definedName name="votros1mod">#REF!</definedName>
    <definedName name="vpintref">#REF!</definedName>
    <definedName name="vpintref1mod">#REF!</definedName>
    <definedName name="vpvc">#REF!</definedName>
    <definedName name="vpvc1mod">#REF!</definedName>
    <definedName name="vrrc1mod">#REF!</definedName>
    <definedName name="vrrp1mod">#REF!</definedName>
    <definedName name="vseñ">#REF!</definedName>
    <definedName name="vseñ1mod">#REF!</definedName>
    <definedName name="VT">#N/A</definedName>
    <definedName name="vt100k">#REF!</definedName>
    <definedName name="vt1400k">#REF!</definedName>
    <definedName name="vt1450k">#REF!</definedName>
    <definedName name="vt50k">#REF!</definedName>
    <definedName name="vtmesh">#REF!</definedName>
    <definedName name="vtmesh1mod">#REF!</definedName>
    <definedName name="vtopes">#REF!</definedName>
    <definedName name="vviv">#REF!</definedName>
    <definedName name="vviv1mod">#REF!</definedName>
    <definedName name="W" localSheetId="15" hidden="1">{"NORMAL",#N/A,FALSE,"02"}</definedName>
    <definedName name="W" localSheetId="13" hidden="1">{"NORMAL",#N/A,FALSE,"02"}</definedName>
    <definedName name="W" localSheetId="8" hidden="1">{"NORMAL",#N/A,FALSE,"02"}</definedName>
    <definedName name="W" localSheetId="14" hidden="1">{"NORMAL",#N/A,FALSE,"02"}</definedName>
    <definedName name="W" hidden="1">{"NORMAL",#N/A,FALSE,"02"}</definedName>
    <definedName name="we" localSheetId="5">#REF!</definedName>
    <definedName name="we" localSheetId="8">#REF!</definedName>
    <definedName name="we" localSheetId="20">#REF!</definedName>
    <definedName name="we" localSheetId="6">#REF!</definedName>
    <definedName name="we">#REF!</definedName>
    <definedName name="wrn.02INFORME." localSheetId="15" hidden="1">{"NORMAL",#N/A,FALSE,"02"}</definedName>
    <definedName name="wrn.02INFORME." localSheetId="13" hidden="1">{"NORMAL",#N/A,FALSE,"02"}</definedName>
    <definedName name="wrn.02INFORME." localSheetId="8" hidden="1">{"NORMAL",#N/A,FALSE,"02"}</definedName>
    <definedName name="wrn.02INFORME." localSheetId="14" hidden="1">{"NORMAL",#N/A,FALSE,"02"}</definedName>
    <definedName name="wrn.02INFORME." hidden="1">{"NORMAL",#N/A,FALSE,"02"}</definedName>
    <definedName name="wrn.DECIMAL." localSheetId="15" hidden="1">{"DECIMAL",#N/A,FALSE,"02"}</definedName>
    <definedName name="wrn.DECIMAL." localSheetId="13" hidden="1">{"DECIMAL",#N/A,FALSE,"02"}</definedName>
    <definedName name="wrn.DECIMAL." localSheetId="8" hidden="1">{"DECIMAL",#N/A,FALSE,"02"}</definedName>
    <definedName name="wrn.DECIMAL." localSheetId="14" hidden="1">{"DECIMAL",#N/A,FALSE,"02"}</definedName>
    <definedName name="wrn.DECIMAL." hidden="1">{"DECIMAL",#N/A,FALSE,"02"}</definedName>
    <definedName name="wrn.Graficos._.CG." localSheetId="15" hidden="1">{#N/A,#N/A,TRUE,"Cert.Global";#N/A,#N/A,TRUE,"Cert. M&amp;C";#N/A,#N/A,TRUE,"Cert. Engineering";#N/A,#N/A,TRUE,"Cert. Procurement ";#N/A,#N/A,TRUE,"Cert. Constr. Manag."}</definedName>
    <definedName name="wrn.Graficos._.CG." localSheetId="13" hidden="1">{#N/A,#N/A,TRUE,"Cert.Global";#N/A,#N/A,TRUE,"Cert. M&amp;C";#N/A,#N/A,TRUE,"Cert. Engineering";#N/A,#N/A,TRUE,"Cert. Procurement ";#N/A,#N/A,TRUE,"Cert. Constr. Manag."}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14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Presentación._.Budget." localSheetId="15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3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4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Report._.Mensual." localSheetId="15" hidden="1">{#N/A,#N/A,FALSE,"Monthly report";#N/A,#N/A,FALSE,"M.R. UEM";#N/A,#N/A,FALSE,"M.R. VCM"}</definedName>
    <definedName name="wrn.Report._.Mensual." localSheetId="13" hidden="1">{#N/A,#N/A,FALSE,"Monthly report";#N/A,#N/A,FALSE,"M.R. UEM";#N/A,#N/A,FALSE,"M.R. VCM"}</definedName>
    <definedName name="wrn.Report._.Mensual." localSheetId="8" hidden="1">{#N/A,#N/A,FALSE,"Monthly report";#N/A,#N/A,FALSE,"M.R. UEM";#N/A,#N/A,FALSE,"M.R. VCM"}</definedName>
    <definedName name="wrn.Report._.Mensual." localSheetId="14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x">#REF!</definedName>
    <definedName name="WY">#N/A</definedName>
    <definedName name="Wz">#REF!</definedName>
    <definedName name="x" localSheetId="15" hidden="1">{"DECIMAL",#N/A,FALSE,"02"}</definedName>
    <definedName name="x" localSheetId="13" hidden="1">{"DECIMAL",#N/A,FALSE,"02"}</definedName>
    <definedName name="x" localSheetId="8" hidden="1">{"DECIMAL",#N/A,FALSE,"02"}</definedName>
    <definedName name="x" localSheetId="14" hidden="1">{"DECIMAL",#N/A,FALSE,"02"}</definedName>
    <definedName name="x" hidden="1">{"DECIMAL",#N/A,FALSE,"02"}</definedName>
    <definedName name="XXX" localSheetId="15" hidden="1">{"NORMAL",#N/A,FALSE,"02"}</definedName>
    <definedName name="XXX" localSheetId="13" hidden="1">{"NORMAL",#N/A,FALSE,"02"}</definedName>
    <definedName name="XXX" localSheetId="8" hidden="1">{"NORMAL",#N/A,FALSE,"02"}</definedName>
    <definedName name="XXX" localSheetId="14" hidden="1">{"NORMAL",#N/A,FALSE,"02"}</definedName>
    <definedName name="XXX" hidden="1">{"NORMAL",#N/A,FALSE,"02"}</definedName>
    <definedName name="z">#REF!</definedName>
    <definedName name="Z_3EF0D3E3_8069_11D6_A032_005004A43871_.wvu.PrintTitles" localSheetId="15" hidden="1">#REF!</definedName>
    <definedName name="Z_3EF0D3E3_8069_11D6_A032_005004A43871_.wvu.PrintTitles" localSheetId="13" hidden="1">#REF!</definedName>
    <definedName name="Z_3EF0D3E3_8069_11D6_A032_005004A43871_.wvu.PrintTitles" localSheetId="19" hidden="1">[3]Constantes!$A$3:$IV$3</definedName>
    <definedName name="Z_3EF0D3E3_8069_11D6_A032_005004A43871_.wvu.PrintTitles" localSheetId="8" hidden="1">#REF!</definedName>
    <definedName name="Z_3EF0D3E3_8069_11D6_A032_005004A43871_.wvu.PrintTitles" localSheetId="22" hidden="1">[3]Constantes!$A$3:$IV$3</definedName>
    <definedName name="Z_3EF0D3E3_8069_11D6_A032_005004A43871_.wvu.PrintTitles" localSheetId="20" hidden="1">#REF!</definedName>
    <definedName name="Z_3EF0D3E3_8069_11D6_A032_005004A43871_.wvu.PrintTitles" localSheetId="14" hidden="1">#REF!</definedName>
    <definedName name="Z_3EF0D3E3_8069_11D6_A032_005004A43871_.wvu.PrintTitles" localSheetId="23" hidden="1">[3]Constantes!$A$3:$IV$3</definedName>
    <definedName name="Z_3EF0D3E3_8069_11D6_A032_005004A43871_.wvu.PrintTitles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8" i="76" l="1"/>
  <c r="F143" i="26"/>
  <c r="L108" i="26"/>
  <c r="L179" i="11" l="1"/>
  <c r="G144" i="11"/>
  <c r="K148" i="11" l="1"/>
  <c r="K120" i="11"/>
  <c r="X102" i="11"/>
  <c r="K106" i="11"/>
  <c r="K105" i="11"/>
  <c r="K104" i="11"/>
  <c r="K103" i="11"/>
  <c r="I32" i="26"/>
  <c r="J54" i="26"/>
  <c r="G47" i="26"/>
  <c r="F206" i="11"/>
  <c r="W46" i="11" l="1"/>
  <c r="V46" i="11"/>
  <c r="U46" i="11"/>
  <c r="W44" i="11"/>
  <c r="V44" i="11"/>
  <c r="U44" i="11"/>
  <c r="W43" i="11"/>
  <c r="V43" i="11"/>
  <c r="U43" i="11"/>
  <c r="W37" i="11"/>
  <c r="V37" i="11"/>
  <c r="U37" i="11"/>
  <c r="U32" i="11"/>
  <c r="V32" i="11"/>
  <c r="W32" i="11"/>
  <c r="T95" i="11" l="1"/>
  <c r="L75" i="11"/>
  <c r="E233" i="11" l="1"/>
  <c r="D233" i="11"/>
  <c r="C233" i="11"/>
  <c r="A233" i="11"/>
  <c r="S234" i="11"/>
  <c r="U233" i="11" s="1"/>
  <c r="B233" i="11"/>
  <c r="E230" i="11"/>
  <c r="E231" i="11" s="1"/>
  <c r="J12" i="115"/>
  <c r="F42" i="115"/>
  <c r="Q233" i="11" l="1"/>
  <c r="I198" i="26" s="1"/>
  <c r="J234" i="11"/>
  <c r="J233" i="11" s="1"/>
  <c r="H233" i="11" s="1"/>
  <c r="F198" i="26" s="1"/>
  <c r="N198" i="26" s="1"/>
  <c r="K234" i="11"/>
  <c r="K233" i="11" s="1"/>
  <c r="I233" i="11" s="1"/>
  <c r="G198" i="26" s="1"/>
  <c r="O198" i="26" s="1"/>
  <c r="E16" i="102"/>
  <c r="E17" i="102" s="1"/>
  <c r="O178" i="26"/>
  <c r="Q178" i="26"/>
  <c r="P45" i="120"/>
  <c r="D61" i="120"/>
  <c r="D62" i="120" s="1"/>
  <c r="D40" i="120"/>
  <c r="F31" i="120"/>
  <c r="D14" i="120"/>
  <c r="D13" i="120" s="1"/>
  <c r="D33" i="118"/>
  <c r="D29" i="118"/>
  <c r="D16" i="118"/>
  <c r="D12" i="118"/>
  <c r="D182" i="119"/>
  <c r="D157" i="119"/>
  <c r="D158" i="119" s="1"/>
  <c r="D162" i="119"/>
  <c r="D163" i="119" s="1"/>
  <c r="D161" i="119"/>
  <c r="F133" i="119"/>
  <c r="D125" i="119"/>
  <c r="D124" i="119"/>
  <c r="D105" i="119"/>
  <c r="D280" i="117"/>
  <c r="D279" i="117"/>
  <c r="D276" i="117"/>
  <c r="D287" i="117"/>
  <c r="D286" i="117"/>
  <c r="D282" i="117"/>
  <c r="D260" i="117"/>
  <c r="D235" i="117"/>
  <c r="D234" i="117"/>
  <c r="D246" i="117"/>
  <c r="D245" i="117"/>
  <c r="E219" i="117"/>
  <c r="F219" i="117" s="1"/>
  <c r="D241" i="117"/>
  <c r="D216" i="117"/>
  <c r="D190" i="117"/>
  <c r="D191" i="117"/>
  <c r="F179" i="117"/>
  <c r="D184" i="117"/>
  <c r="D183" i="117"/>
  <c r="D182" i="117"/>
  <c r="D135" i="117"/>
  <c r="D131" i="117"/>
  <c r="D130" i="117"/>
  <c r="D129" i="117"/>
  <c r="D128" i="117"/>
  <c r="D127" i="117"/>
  <c r="D126" i="117"/>
  <c r="D158" i="117"/>
  <c r="D157" i="117"/>
  <c r="D153" i="117"/>
  <c r="D151" i="117"/>
  <c r="D147" i="117"/>
  <c r="D124" i="117"/>
  <c r="F153" i="94"/>
  <c r="F151" i="94"/>
  <c r="F150" i="94"/>
  <c r="F148" i="94"/>
  <c r="F147" i="94"/>
  <c r="F146" i="94"/>
  <c r="F143" i="94"/>
  <c r="F141" i="94"/>
  <c r="F142" i="94"/>
  <c r="E144" i="94"/>
  <c r="G144" i="94"/>
  <c r="H144" i="94"/>
  <c r="I144" i="94"/>
  <c r="J144" i="94"/>
  <c r="K144" i="94"/>
  <c r="L144" i="94"/>
  <c r="D144" i="94"/>
  <c r="C144" i="94"/>
  <c r="D85" i="117"/>
  <c r="D75" i="117"/>
  <c r="D72" i="117"/>
  <c r="D55" i="117"/>
  <c r="D242" i="94"/>
  <c r="D243" i="94" s="1"/>
  <c r="M88" i="99"/>
  <c r="M90" i="99" s="1"/>
  <c r="L88" i="99"/>
  <c r="L90" i="99" s="1"/>
  <c r="E209" i="11"/>
  <c r="E104" i="99"/>
  <c r="G207" i="94"/>
  <c r="I207" i="94" s="1"/>
  <c r="M207" i="94" s="1"/>
  <c r="G233" i="94"/>
  <c r="I233" i="94" s="1"/>
  <c r="O233" i="94" s="1"/>
  <c r="G232" i="94"/>
  <c r="I232" i="94" s="1"/>
  <c r="O232" i="94" s="1"/>
  <c r="O207" i="94"/>
  <c r="O208" i="94"/>
  <c r="O209" i="94"/>
  <c r="O210" i="94"/>
  <c r="O211" i="94"/>
  <c r="O212" i="94"/>
  <c r="O213" i="94"/>
  <c r="O214" i="94"/>
  <c r="O215" i="94"/>
  <c r="O216" i="94"/>
  <c r="O217" i="94"/>
  <c r="O218" i="94"/>
  <c r="O219" i="94"/>
  <c r="O220" i="94"/>
  <c r="O221" i="94"/>
  <c r="O222" i="94"/>
  <c r="O223" i="94"/>
  <c r="O224" i="94"/>
  <c r="O225" i="94"/>
  <c r="O226" i="94"/>
  <c r="O227" i="94"/>
  <c r="O228" i="94"/>
  <c r="O229" i="94"/>
  <c r="O230" i="94"/>
  <c r="O231" i="94"/>
  <c r="F234" i="94"/>
  <c r="F236" i="94" s="1"/>
  <c r="F238" i="94" s="1"/>
  <c r="E103" i="99" s="1"/>
  <c r="E107" i="99" s="1"/>
  <c r="K233" i="94"/>
  <c r="L233" i="94"/>
  <c r="M233" i="94"/>
  <c r="N233" i="94"/>
  <c r="N208" i="94"/>
  <c r="N209" i="94"/>
  <c r="N210" i="94"/>
  <c r="N211" i="94"/>
  <c r="N212" i="94"/>
  <c r="N213" i="94"/>
  <c r="N214" i="94"/>
  <c r="N215" i="94"/>
  <c r="N216" i="94"/>
  <c r="N217" i="94"/>
  <c r="N218" i="94"/>
  <c r="N219" i="94"/>
  <c r="N220" i="94"/>
  <c r="N221" i="94"/>
  <c r="N222" i="94"/>
  <c r="N223" i="94"/>
  <c r="N224" i="94"/>
  <c r="N225" i="94"/>
  <c r="N226" i="94"/>
  <c r="N227" i="94"/>
  <c r="N228" i="94"/>
  <c r="N229" i="94"/>
  <c r="N230" i="94"/>
  <c r="N232" i="94"/>
  <c r="N207" i="94"/>
  <c r="G231" i="94"/>
  <c r="I231" i="94" s="1"/>
  <c r="N231" i="94" s="1"/>
  <c r="K231" i="94"/>
  <c r="G230" i="94"/>
  <c r="I230" i="94" s="1"/>
  <c r="L230" i="94" s="1"/>
  <c r="G229" i="94"/>
  <c r="I229" i="94" s="1"/>
  <c r="K229" i="94" s="1"/>
  <c r="G228" i="94"/>
  <c r="I228" i="94" s="1"/>
  <c r="L228" i="94" s="1"/>
  <c r="G227" i="94"/>
  <c r="I227" i="94" s="1"/>
  <c r="K227" i="94" s="1"/>
  <c r="G226" i="94"/>
  <c r="I226" i="94" s="1"/>
  <c r="L226" i="94" s="1"/>
  <c r="G225" i="94"/>
  <c r="I225" i="94" s="1"/>
  <c r="K225" i="94" s="1"/>
  <c r="G224" i="94"/>
  <c r="I224" i="94" s="1"/>
  <c r="L224" i="94" s="1"/>
  <c r="G223" i="94"/>
  <c r="I223" i="94" s="1"/>
  <c r="K223" i="94" s="1"/>
  <c r="G222" i="94"/>
  <c r="I222" i="94" s="1"/>
  <c r="L222" i="94" s="1"/>
  <c r="G221" i="94"/>
  <c r="I221" i="94" s="1"/>
  <c r="K221" i="94" s="1"/>
  <c r="G220" i="94"/>
  <c r="I220" i="94" s="1"/>
  <c r="L220" i="94" s="1"/>
  <c r="G219" i="94"/>
  <c r="I219" i="94" s="1"/>
  <c r="K219" i="94" s="1"/>
  <c r="G218" i="94"/>
  <c r="I218" i="94" s="1"/>
  <c r="L218" i="94" s="1"/>
  <c r="G217" i="94"/>
  <c r="I217" i="94" s="1"/>
  <c r="K217" i="94" s="1"/>
  <c r="G216" i="94"/>
  <c r="I216" i="94" s="1"/>
  <c r="L216" i="94" s="1"/>
  <c r="G215" i="94"/>
  <c r="I215" i="94" s="1"/>
  <c r="K215" i="94" s="1"/>
  <c r="G214" i="94"/>
  <c r="I214" i="94" s="1"/>
  <c r="L214" i="94" s="1"/>
  <c r="G213" i="94"/>
  <c r="I213" i="94" s="1"/>
  <c r="K213" i="94" s="1"/>
  <c r="G212" i="94"/>
  <c r="I212" i="94" s="1"/>
  <c r="L212" i="94" s="1"/>
  <c r="K210" i="94"/>
  <c r="M210" i="94"/>
  <c r="L211" i="94"/>
  <c r="M211" i="94"/>
  <c r="K212" i="94"/>
  <c r="M212" i="94"/>
  <c r="L213" i="94"/>
  <c r="M213" i="94"/>
  <c r="K214" i="94"/>
  <c r="M214" i="94"/>
  <c r="L215" i="94"/>
  <c r="M215" i="94"/>
  <c r="K216" i="94"/>
  <c r="M216" i="94"/>
  <c r="L217" i="94"/>
  <c r="M217" i="94"/>
  <c r="K218" i="94"/>
  <c r="M218" i="94"/>
  <c r="L219" i="94"/>
  <c r="M219" i="94"/>
  <c r="K220" i="94"/>
  <c r="M220" i="94"/>
  <c r="L221" i="94"/>
  <c r="M221" i="94"/>
  <c r="K222" i="94"/>
  <c r="M222" i="94"/>
  <c r="L223" i="94"/>
  <c r="M223" i="94"/>
  <c r="K224" i="94"/>
  <c r="M224" i="94"/>
  <c r="L225" i="94"/>
  <c r="M225" i="94"/>
  <c r="K226" i="94"/>
  <c r="M226" i="94"/>
  <c r="L227" i="94"/>
  <c r="M227" i="94"/>
  <c r="K228" i="94"/>
  <c r="M228" i="94"/>
  <c r="L229" i="94"/>
  <c r="M229" i="94"/>
  <c r="K230" i="94"/>
  <c r="M230" i="94"/>
  <c r="L231" i="94"/>
  <c r="M231" i="94"/>
  <c r="K232" i="94"/>
  <c r="L232" i="94"/>
  <c r="M232" i="94"/>
  <c r="K207" i="94"/>
  <c r="L207" i="94"/>
  <c r="M209" i="94"/>
  <c r="M208" i="94"/>
  <c r="L209" i="94"/>
  <c r="K208" i="94"/>
  <c r="G211" i="94"/>
  <c r="I211" i="94" s="1"/>
  <c r="K211" i="94" s="1"/>
  <c r="G210" i="94"/>
  <c r="I210" i="94" s="1"/>
  <c r="L210" i="94" s="1"/>
  <c r="G209" i="94"/>
  <c r="I209" i="94" s="1"/>
  <c r="K209" i="94" s="1"/>
  <c r="G208" i="94"/>
  <c r="I208" i="94" s="1"/>
  <c r="L208" i="94" s="1"/>
  <c r="F195" i="94"/>
  <c r="F194" i="94"/>
  <c r="F193" i="94"/>
  <c r="F199" i="94"/>
  <c r="F198" i="94"/>
  <c r="F197" i="94"/>
  <c r="L83" i="26"/>
  <c r="B151" i="11"/>
  <c r="C151" i="11"/>
  <c r="D151" i="11"/>
  <c r="E151" i="11"/>
  <c r="A151" i="11"/>
  <c r="E155" i="11"/>
  <c r="S155" i="11" s="1"/>
  <c r="S154" i="11"/>
  <c r="K154" i="11"/>
  <c r="E150" i="11"/>
  <c r="F187" i="94"/>
  <c r="F186" i="94"/>
  <c r="F185" i="94"/>
  <c r="F183" i="94"/>
  <c r="F182" i="94"/>
  <c r="F181" i="94"/>
  <c r="F175" i="94"/>
  <c r="H175" i="94" s="1"/>
  <c r="F173" i="94"/>
  <c r="H173" i="94" s="1"/>
  <c r="F174" i="94"/>
  <c r="H174" i="94" s="1"/>
  <c r="F172" i="94"/>
  <c r="H172" i="94" s="1"/>
  <c r="F171" i="94"/>
  <c r="H171" i="94" s="1"/>
  <c r="F170" i="94"/>
  <c r="H170" i="94" s="1"/>
  <c r="F165" i="94"/>
  <c r="H165" i="94" s="1"/>
  <c r="F164" i="94"/>
  <c r="H164" i="94" s="1"/>
  <c r="F168" i="94"/>
  <c r="H168" i="94" s="1"/>
  <c r="F163" i="94"/>
  <c r="H163" i="94" s="1"/>
  <c r="F166" i="94"/>
  <c r="H166" i="94" s="1"/>
  <c r="F167" i="94"/>
  <c r="H167" i="94" s="1"/>
  <c r="E157" i="11"/>
  <c r="D157" i="11"/>
  <c r="C157" i="11"/>
  <c r="A157" i="11"/>
  <c r="S159" i="11"/>
  <c r="K159" i="11"/>
  <c r="J159" i="11"/>
  <c r="S158" i="11"/>
  <c r="K158" i="11"/>
  <c r="J158" i="11"/>
  <c r="B157" i="11"/>
  <c r="D17" i="87"/>
  <c r="F170" i="11" s="1"/>
  <c r="BK43" i="127"/>
  <c r="BK100" i="127" s="1"/>
  <c r="E100" i="26" s="1"/>
  <c r="L98" i="26"/>
  <c r="L99" i="26"/>
  <c r="J99" i="26"/>
  <c r="J98" i="26"/>
  <c r="G99" i="26"/>
  <c r="G98" i="26"/>
  <c r="L104" i="26"/>
  <c r="J104" i="26"/>
  <c r="G104" i="26"/>
  <c r="C130" i="94"/>
  <c r="E130" i="94" s="1"/>
  <c r="C128" i="94"/>
  <c r="E128" i="94" s="1"/>
  <c r="E129" i="94"/>
  <c r="E127" i="94"/>
  <c r="E126" i="94"/>
  <c r="E125" i="94"/>
  <c r="C123" i="94"/>
  <c r="E123" i="94" s="1"/>
  <c r="E122" i="94"/>
  <c r="C121" i="94"/>
  <c r="E121" i="94" s="1"/>
  <c r="C120" i="94"/>
  <c r="E120" i="94" s="1"/>
  <c r="E119" i="94"/>
  <c r="E118" i="94"/>
  <c r="E117" i="94"/>
  <c r="C114" i="94"/>
  <c r="E114" i="94" s="1"/>
  <c r="C115" i="94"/>
  <c r="E115" i="94" s="1"/>
  <c r="C113" i="94"/>
  <c r="E113" i="94" s="1"/>
  <c r="E111" i="94"/>
  <c r="E110" i="94"/>
  <c r="E109" i="94"/>
  <c r="E108" i="94"/>
  <c r="C112" i="94"/>
  <c r="E112" i="94" s="1"/>
  <c r="S245" i="11"/>
  <c r="J245" i="11"/>
  <c r="K245" i="11"/>
  <c r="E186" i="11"/>
  <c r="F183" i="11"/>
  <c r="D182" i="11"/>
  <c r="C182" i="11"/>
  <c r="A182" i="11"/>
  <c r="E82" i="125"/>
  <c r="G82" i="125" s="1"/>
  <c r="F198" i="11"/>
  <c r="F78" i="94"/>
  <c r="H78" i="94" s="1"/>
  <c r="I78" i="94" s="1"/>
  <c r="F70" i="94"/>
  <c r="H70" i="94" s="1"/>
  <c r="I70" i="94" s="1"/>
  <c r="F73" i="94"/>
  <c r="H73" i="94" s="1"/>
  <c r="I73" i="94" s="1"/>
  <c r="F72" i="94"/>
  <c r="H72" i="94" s="1"/>
  <c r="I72" i="94" s="1"/>
  <c r="S149" i="11"/>
  <c r="G143" i="11"/>
  <c r="I73" i="125"/>
  <c r="I74" i="125"/>
  <c r="I75" i="125"/>
  <c r="I76" i="125"/>
  <c r="I77" i="125"/>
  <c r="I78" i="125"/>
  <c r="H72" i="125"/>
  <c r="Q65" i="125"/>
  <c r="P65" i="125"/>
  <c r="N65" i="125"/>
  <c r="Q64" i="125"/>
  <c r="P64" i="125"/>
  <c r="N64" i="125"/>
  <c r="C65" i="125"/>
  <c r="E65" i="125" s="1"/>
  <c r="G65" i="125" s="1"/>
  <c r="I65" i="125" s="1"/>
  <c r="C64" i="125"/>
  <c r="C72" i="125" s="1"/>
  <c r="Q49" i="125"/>
  <c r="P49" i="125"/>
  <c r="O49" i="125"/>
  <c r="Q48" i="125"/>
  <c r="P48" i="125"/>
  <c r="O48" i="125"/>
  <c r="E49" i="125"/>
  <c r="G49" i="125" s="1"/>
  <c r="I49" i="125" s="1"/>
  <c r="N49" i="125" s="1"/>
  <c r="E48" i="125"/>
  <c r="G48" i="125" s="1"/>
  <c r="I48" i="125" s="1"/>
  <c r="N48" i="125" s="1"/>
  <c r="P15" i="125"/>
  <c r="Q11" i="125"/>
  <c r="P11" i="125"/>
  <c r="O11" i="125"/>
  <c r="E11" i="125"/>
  <c r="G11" i="125" s="1"/>
  <c r="I11" i="125" s="1"/>
  <c r="N11" i="125" s="1"/>
  <c r="O9" i="125"/>
  <c r="P9" i="125"/>
  <c r="Q9" i="125"/>
  <c r="O10" i="125"/>
  <c r="P10" i="125"/>
  <c r="Q10" i="125"/>
  <c r="O12" i="125"/>
  <c r="P12" i="125"/>
  <c r="Q12" i="125"/>
  <c r="O13" i="125"/>
  <c r="P13" i="125"/>
  <c r="Q13" i="125"/>
  <c r="E10" i="125"/>
  <c r="G10" i="125" s="1"/>
  <c r="I10" i="125" s="1"/>
  <c r="N10" i="125" s="1"/>
  <c r="E9" i="125"/>
  <c r="G9" i="125" s="1"/>
  <c r="I9" i="125" s="1"/>
  <c r="N9" i="125" s="1"/>
  <c r="Q40" i="125"/>
  <c r="P40" i="125"/>
  <c r="O40" i="125"/>
  <c r="Q39" i="125"/>
  <c r="P39" i="125"/>
  <c r="O39" i="125"/>
  <c r="E40" i="125"/>
  <c r="G40" i="125" s="1"/>
  <c r="I40" i="125" s="1"/>
  <c r="N40" i="125" s="1"/>
  <c r="E39" i="125"/>
  <c r="G39" i="125" s="1"/>
  <c r="I39" i="125" s="1"/>
  <c r="N39" i="125" s="1"/>
  <c r="Q29" i="125"/>
  <c r="P29" i="125"/>
  <c r="O29" i="125"/>
  <c r="Q28" i="125"/>
  <c r="P28" i="125"/>
  <c r="O28" i="125"/>
  <c r="E29" i="125"/>
  <c r="G29" i="125" s="1"/>
  <c r="I29" i="125" s="1"/>
  <c r="N29" i="125" s="1"/>
  <c r="E28" i="125"/>
  <c r="G28" i="125" s="1"/>
  <c r="I28" i="125" s="1"/>
  <c r="N28" i="125" s="1"/>
  <c r="F27" i="125"/>
  <c r="G58" i="125"/>
  <c r="I58" i="125" s="1"/>
  <c r="Q58" i="125" s="1"/>
  <c r="N58" i="125"/>
  <c r="O58" i="125"/>
  <c r="P58" i="125"/>
  <c r="O22" i="125"/>
  <c r="P22" i="125"/>
  <c r="Q22" i="125"/>
  <c r="O23" i="125"/>
  <c r="P23" i="125"/>
  <c r="Q23" i="125"/>
  <c r="O24" i="125"/>
  <c r="P24" i="125"/>
  <c r="Q24" i="125"/>
  <c r="E24" i="125"/>
  <c r="G24" i="125" s="1"/>
  <c r="I24" i="125" s="1"/>
  <c r="N24" i="125" s="1"/>
  <c r="E23" i="125"/>
  <c r="G23" i="125" s="1"/>
  <c r="I23" i="125" s="1"/>
  <c r="N23" i="125" s="1"/>
  <c r="O19" i="125"/>
  <c r="P19" i="125"/>
  <c r="Q19" i="125"/>
  <c r="O20" i="125"/>
  <c r="P20" i="125"/>
  <c r="Q20" i="125"/>
  <c r="E20" i="125"/>
  <c r="G20" i="125" s="1"/>
  <c r="I20" i="125" s="1"/>
  <c r="N20" i="125" s="1"/>
  <c r="E19" i="125"/>
  <c r="G19" i="125" s="1"/>
  <c r="I19" i="125" s="1"/>
  <c r="N19" i="125" s="1"/>
  <c r="E13" i="125"/>
  <c r="E12" i="125"/>
  <c r="E8" i="125"/>
  <c r="E64" i="11"/>
  <c r="F25" i="11"/>
  <c r="T40" i="128"/>
  <c r="T6" i="128"/>
  <c r="T7" i="128"/>
  <c r="T8" i="128"/>
  <c r="T9" i="128"/>
  <c r="T10" i="128"/>
  <c r="T11" i="128"/>
  <c r="T12" i="128"/>
  <c r="T13" i="128"/>
  <c r="T14" i="128"/>
  <c r="T15" i="128"/>
  <c r="T16" i="128"/>
  <c r="T17" i="128"/>
  <c r="T18" i="128"/>
  <c r="T19" i="128"/>
  <c r="T20" i="128"/>
  <c r="T21" i="128"/>
  <c r="T22" i="128"/>
  <c r="T23" i="128"/>
  <c r="T24" i="128"/>
  <c r="T25" i="128"/>
  <c r="T26" i="128"/>
  <c r="T27" i="128"/>
  <c r="T29" i="128"/>
  <c r="T30" i="128"/>
  <c r="T31" i="128"/>
  <c r="T32" i="128"/>
  <c r="T33" i="128"/>
  <c r="T34" i="128"/>
  <c r="T35" i="128"/>
  <c r="T36" i="128"/>
  <c r="T37" i="128"/>
  <c r="T38" i="128"/>
  <c r="T39" i="128"/>
  <c r="T5" i="128"/>
  <c r="E38" i="94"/>
  <c r="G38" i="94" s="1"/>
  <c r="E37" i="94"/>
  <c r="G37" i="94" s="1"/>
  <c r="E36" i="94"/>
  <c r="G36" i="94" s="1"/>
  <c r="E35" i="94"/>
  <c r="G35" i="94" s="1"/>
  <c r="E34" i="94"/>
  <c r="G34" i="94" s="1"/>
  <c r="E33" i="94"/>
  <c r="G33" i="94" s="1"/>
  <c r="E32" i="94"/>
  <c r="G32" i="94" s="1"/>
  <c r="E31" i="94"/>
  <c r="G31" i="94" s="1"/>
  <c r="E30" i="94"/>
  <c r="G30" i="94" s="1"/>
  <c r="E40" i="94"/>
  <c r="G40" i="94" s="1"/>
  <c r="C12" i="94"/>
  <c r="C13" i="94" s="1"/>
  <c r="E52" i="26" s="1"/>
  <c r="F11" i="94"/>
  <c r="F10" i="94"/>
  <c r="F9" i="94"/>
  <c r="F8" i="94"/>
  <c r="F7" i="94"/>
  <c r="F6" i="94"/>
  <c r="F5" i="94"/>
  <c r="D18" i="87"/>
  <c r="F165" i="11" s="1"/>
  <c r="F118" i="11"/>
  <c r="E61" i="26"/>
  <c r="L51" i="26"/>
  <c r="I51" i="26"/>
  <c r="K51" i="26" s="1"/>
  <c r="F51" i="26"/>
  <c r="Q216" i="128"/>
  <c r="P216" i="128"/>
  <c r="O216" i="128"/>
  <c r="N216" i="128"/>
  <c r="L216" i="128"/>
  <c r="Q215" i="128"/>
  <c r="P215" i="128"/>
  <c r="O215" i="128"/>
  <c r="N215" i="128"/>
  <c r="M215" i="128"/>
  <c r="D215" i="128"/>
  <c r="F215" i="128" s="1"/>
  <c r="H215" i="128" s="1"/>
  <c r="J215" i="128" s="1"/>
  <c r="L215" i="128" s="1"/>
  <c r="Q214" i="128"/>
  <c r="P214" i="128"/>
  <c r="O214" i="128"/>
  <c r="N214" i="128"/>
  <c r="L214" i="128"/>
  <c r="Q213" i="128"/>
  <c r="P213" i="128"/>
  <c r="O213" i="128"/>
  <c r="N213" i="128"/>
  <c r="M213" i="128"/>
  <c r="D213" i="128"/>
  <c r="Q212" i="128"/>
  <c r="P212" i="128"/>
  <c r="O212" i="128"/>
  <c r="N212" i="128"/>
  <c r="M212" i="128"/>
  <c r="D212" i="128"/>
  <c r="F212" i="128" s="1"/>
  <c r="H212" i="128" s="1"/>
  <c r="J212" i="128" s="1"/>
  <c r="L212" i="128" s="1"/>
  <c r="Q211" i="128"/>
  <c r="P211" i="128"/>
  <c r="O211" i="128"/>
  <c r="N211" i="128"/>
  <c r="M211" i="128"/>
  <c r="F211" i="128"/>
  <c r="H211" i="128" s="1"/>
  <c r="J211" i="128" s="1"/>
  <c r="L211" i="128" s="1"/>
  <c r="Q210" i="128"/>
  <c r="P210" i="128"/>
  <c r="O210" i="128"/>
  <c r="N210" i="128"/>
  <c r="M210" i="128"/>
  <c r="F210" i="128"/>
  <c r="H210" i="128" s="1"/>
  <c r="J210" i="128" s="1"/>
  <c r="L210" i="128" s="1"/>
  <c r="Q209" i="128"/>
  <c r="P209" i="128"/>
  <c r="O209" i="128"/>
  <c r="N209" i="128"/>
  <c r="M209" i="128"/>
  <c r="D209" i="128"/>
  <c r="Q208" i="128"/>
  <c r="P208" i="128"/>
  <c r="O208" i="128"/>
  <c r="N208" i="128"/>
  <c r="L208" i="128"/>
  <c r="Q207" i="128"/>
  <c r="P207" i="128"/>
  <c r="O207" i="128"/>
  <c r="M207" i="128"/>
  <c r="L207" i="128"/>
  <c r="E207" i="128"/>
  <c r="F207" i="128" s="1"/>
  <c r="H207" i="128" s="1"/>
  <c r="J207" i="128" s="1"/>
  <c r="N207" i="128" s="1"/>
  <c r="Q206" i="128"/>
  <c r="P206" i="128"/>
  <c r="O206" i="128"/>
  <c r="M206" i="128"/>
  <c r="L206" i="128"/>
  <c r="Q205" i="128"/>
  <c r="P205" i="128"/>
  <c r="O205" i="128"/>
  <c r="M205" i="128"/>
  <c r="L205" i="128"/>
  <c r="F205" i="128"/>
  <c r="H205" i="128" s="1"/>
  <c r="J205" i="128" s="1"/>
  <c r="N205" i="128" s="1"/>
  <c r="Q204" i="128"/>
  <c r="P204" i="128"/>
  <c r="O204" i="128"/>
  <c r="M204" i="128"/>
  <c r="L204" i="128"/>
  <c r="Q203" i="128"/>
  <c r="P203" i="128"/>
  <c r="O203" i="128"/>
  <c r="M203" i="128"/>
  <c r="L203" i="128"/>
  <c r="Q202" i="128"/>
  <c r="P202" i="128"/>
  <c r="O202" i="128"/>
  <c r="N202" i="128"/>
  <c r="L202" i="128"/>
  <c r="Q201" i="128"/>
  <c r="P201" i="128"/>
  <c r="O201" i="128"/>
  <c r="M201" i="128"/>
  <c r="L201" i="128"/>
  <c r="E201" i="128"/>
  <c r="Q200" i="128"/>
  <c r="P200" i="128"/>
  <c r="O200" i="128"/>
  <c r="N200" i="128"/>
  <c r="L200" i="128"/>
  <c r="F200" i="128"/>
  <c r="H200" i="128" s="1"/>
  <c r="J200" i="128" s="1"/>
  <c r="M200" i="128" s="1"/>
  <c r="Q199" i="128"/>
  <c r="P199" i="128"/>
  <c r="O199" i="128"/>
  <c r="M199" i="128"/>
  <c r="L199" i="128"/>
  <c r="F199" i="128"/>
  <c r="H199" i="128" s="1"/>
  <c r="J199" i="128" s="1"/>
  <c r="N199" i="128" s="1"/>
  <c r="Q198" i="128"/>
  <c r="P198" i="128"/>
  <c r="O198" i="128"/>
  <c r="M198" i="128"/>
  <c r="L198" i="128"/>
  <c r="F198" i="128"/>
  <c r="H198" i="128" s="1"/>
  <c r="J198" i="128" s="1"/>
  <c r="N198" i="128" s="1"/>
  <c r="Q197" i="128"/>
  <c r="P197" i="128"/>
  <c r="O197" i="128"/>
  <c r="M197" i="128"/>
  <c r="L197" i="128"/>
  <c r="F197" i="128"/>
  <c r="H197" i="128" s="1"/>
  <c r="J197" i="128" s="1"/>
  <c r="N197" i="128" s="1"/>
  <c r="Q196" i="128"/>
  <c r="P196" i="128"/>
  <c r="O196" i="128"/>
  <c r="M196" i="128"/>
  <c r="L196" i="128"/>
  <c r="F196" i="128"/>
  <c r="H196" i="128" s="1"/>
  <c r="J196" i="128" s="1"/>
  <c r="N196" i="128" s="1"/>
  <c r="Q195" i="128"/>
  <c r="P195" i="128"/>
  <c r="O195" i="128"/>
  <c r="N195" i="128"/>
  <c r="L195" i="128"/>
  <c r="F195" i="128"/>
  <c r="H195" i="128" s="1"/>
  <c r="J195" i="128" s="1"/>
  <c r="M195" i="128" s="1"/>
  <c r="Q194" i="128"/>
  <c r="P194" i="128"/>
  <c r="O194" i="128"/>
  <c r="N194" i="128"/>
  <c r="L194" i="128"/>
  <c r="F194" i="128"/>
  <c r="H194" i="128" s="1"/>
  <c r="J194" i="128" s="1"/>
  <c r="M194" i="128" s="1"/>
  <c r="Q193" i="128"/>
  <c r="P193" i="128"/>
  <c r="O193" i="128"/>
  <c r="N193" i="128"/>
  <c r="L193" i="128"/>
  <c r="F193" i="128"/>
  <c r="H193" i="128" s="1"/>
  <c r="J193" i="128" s="1"/>
  <c r="M193" i="128" s="1"/>
  <c r="Q192" i="128"/>
  <c r="P192" i="128"/>
  <c r="O192" i="128"/>
  <c r="N192" i="128"/>
  <c r="L192" i="128"/>
  <c r="F192" i="128"/>
  <c r="H192" i="128" s="1"/>
  <c r="J192" i="128" s="1"/>
  <c r="M192" i="128" s="1"/>
  <c r="Q190" i="128"/>
  <c r="P190" i="128"/>
  <c r="O190" i="128"/>
  <c r="M190" i="128"/>
  <c r="L190" i="128"/>
  <c r="F190" i="128"/>
  <c r="H190" i="128" s="1"/>
  <c r="J190" i="128" s="1"/>
  <c r="N190" i="128" s="1"/>
  <c r="Q189" i="128"/>
  <c r="P189" i="128"/>
  <c r="O189" i="128"/>
  <c r="M189" i="128"/>
  <c r="L189" i="128"/>
  <c r="Q188" i="128"/>
  <c r="P188" i="128"/>
  <c r="O188" i="128"/>
  <c r="M188" i="128"/>
  <c r="L188" i="128"/>
  <c r="Q187" i="128"/>
  <c r="P187" i="128"/>
  <c r="O187" i="128"/>
  <c r="M187" i="128"/>
  <c r="L187" i="128"/>
  <c r="E187" i="128"/>
  <c r="F187" i="128" s="1"/>
  <c r="H187" i="128" s="1"/>
  <c r="J187" i="128" s="1"/>
  <c r="N187" i="128" s="1"/>
  <c r="Q186" i="128"/>
  <c r="P186" i="128"/>
  <c r="O186" i="128"/>
  <c r="M186" i="128"/>
  <c r="L186" i="128"/>
  <c r="F186" i="128"/>
  <c r="H186" i="128" s="1"/>
  <c r="J186" i="128" s="1"/>
  <c r="N186" i="128" s="1"/>
  <c r="Q185" i="128"/>
  <c r="P185" i="128"/>
  <c r="O185" i="128"/>
  <c r="N185" i="128"/>
  <c r="M185" i="128"/>
  <c r="Q184" i="128"/>
  <c r="P184" i="128"/>
  <c r="O184" i="128"/>
  <c r="M184" i="128"/>
  <c r="L184" i="128"/>
  <c r="Q183" i="128"/>
  <c r="P183" i="128"/>
  <c r="O183" i="128"/>
  <c r="M183" i="128"/>
  <c r="L183" i="128"/>
  <c r="Q182" i="128"/>
  <c r="P182" i="128"/>
  <c r="O182" i="128"/>
  <c r="N182" i="128"/>
  <c r="M182" i="128"/>
  <c r="Q181" i="128"/>
  <c r="P181" i="128"/>
  <c r="O181" i="128"/>
  <c r="N181" i="128"/>
  <c r="L181" i="128"/>
  <c r="Q180" i="128"/>
  <c r="P180" i="128"/>
  <c r="O180" i="128"/>
  <c r="N180" i="128"/>
  <c r="L180" i="128"/>
  <c r="Q179" i="128"/>
  <c r="P179" i="128"/>
  <c r="O179" i="128"/>
  <c r="N179" i="128"/>
  <c r="L179" i="128"/>
  <c r="Q178" i="128"/>
  <c r="P178" i="128"/>
  <c r="O178" i="128"/>
  <c r="N178" i="128"/>
  <c r="M178" i="128"/>
  <c r="Q177" i="128"/>
  <c r="P177" i="128"/>
  <c r="O177" i="128"/>
  <c r="N177" i="128"/>
  <c r="M177" i="128"/>
  <c r="Q176" i="128"/>
  <c r="P176" i="128"/>
  <c r="O176" i="128"/>
  <c r="N176" i="128"/>
  <c r="M176" i="128"/>
  <c r="Q175" i="128"/>
  <c r="P175" i="128"/>
  <c r="O175" i="128"/>
  <c r="N175" i="128"/>
  <c r="M175" i="128"/>
  <c r="Q174" i="128"/>
  <c r="P174" i="128"/>
  <c r="O174" i="128"/>
  <c r="N174" i="128"/>
  <c r="L174" i="128"/>
  <c r="Q173" i="128"/>
  <c r="P173" i="128"/>
  <c r="O173" i="128"/>
  <c r="N173" i="128"/>
  <c r="L173" i="128"/>
  <c r="Q172" i="128"/>
  <c r="P172" i="128"/>
  <c r="O172" i="128"/>
  <c r="M172" i="128"/>
  <c r="L172" i="128"/>
  <c r="F172" i="128"/>
  <c r="H172" i="128" s="1"/>
  <c r="J172" i="128" s="1"/>
  <c r="N172" i="128" s="1"/>
  <c r="Q171" i="128"/>
  <c r="P171" i="128"/>
  <c r="O171" i="128"/>
  <c r="M171" i="128"/>
  <c r="L171" i="128"/>
  <c r="Q170" i="128"/>
  <c r="P170" i="128"/>
  <c r="O170" i="128"/>
  <c r="M170" i="128"/>
  <c r="L170" i="128"/>
  <c r="Q169" i="128"/>
  <c r="P169" i="128"/>
  <c r="O169" i="128"/>
  <c r="M169" i="128"/>
  <c r="L169" i="128"/>
  <c r="F169" i="128"/>
  <c r="H169" i="128" s="1"/>
  <c r="J169" i="128" s="1"/>
  <c r="N169" i="128" s="1"/>
  <c r="Q168" i="128"/>
  <c r="P168" i="128"/>
  <c r="O168" i="128"/>
  <c r="N168" i="128"/>
  <c r="L168" i="128"/>
  <c r="Q167" i="128"/>
  <c r="P167" i="128"/>
  <c r="O167" i="128"/>
  <c r="N167" i="128"/>
  <c r="M167" i="128"/>
  <c r="D167" i="128"/>
  <c r="Q166" i="128"/>
  <c r="P166" i="128"/>
  <c r="O166" i="128"/>
  <c r="N166" i="128"/>
  <c r="M166" i="128"/>
  <c r="Q165" i="128"/>
  <c r="P165" i="128"/>
  <c r="O165" i="128"/>
  <c r="N165" i="128"/>
  <c r="M165" i="128"/>
  <c r="Q164" i="128"/>
  <c r="P164" i="128"/>
  <c r="O164" i="128"/>
  <c r="N164" i="128"/>
  <c r="M164" i="128"/>
  <c r="Q163" i="128"/>
  <c r="P163" i="128"/>
  <c r="O163" i="128"/>
  <c r="N163" i="128"/>
  <c r="L163" i="128"/>
  <c r="Q162" i="128"/>
  <c r="P162" i="128"/>
  <c r="O162" i="128"/>
  <c r="N162" i="128"/>
  <c r="L162" i="128"/>
  <c r="Q161" i="128"/>
  <c r="P161" i="128"/>
  <c r="O161" i="128"/>
  <c r="M161" i="128"/>
  <c r="L161" i="128"/>
  <c r="Q160" i="128"/>
  <c r="P160" i="128"/>
  <c r="O160" i="128"/>
  <c r="M160" i="128"/>
  <c r="L160" i="128"/>
  <c r="Q159" i="128"/>
  <c r="P159" i="128"/>
  <c r="O159" i="128"/>
  <c r="N159" i="128"/>
  <c r="L159" i="128"/>
  <c r="Q158" i="128"/>
  <c r="P158" i="128"/>
  <c r="O158" i="128"/>
  <c r="N158" i="128"/>
  <c r="L158" i="128"/>
  <c r="Q157" i="128"/>
  <c r="P157" i="128"/>
  <c r="O157" i="128"/>
  <c r="N157" i="128"/>
  <c r="L157" i="128"/>
  <c r="Q156" i="128"/>
  <c r="P156" i="128"/>
  <c r="O156" i="128"/>
  <c r="N156" i="128"/>
  <c r="M156" i="128"/>
  <c r="Q155" i="128"/>
  <c r="P155" i="128"/>
  <c r="O155" i="128"/>
  <c r="N155" i="128"/>
  <c r="M155" i="128"/>
  <c r="Q154" i="128"/>
  <c r="P154" i="128"/>
  <c r="O154" i="128"/>
  <c r="N154" i="128"/>
  <c r="M154" i="128"/>
  <c r="Q153" i="128"/>
  <c r="P153" i="128"/>
  <c r="O153" i="128"/>
  <c r="N153" i="128"/>
  <c r="M153" i="128"/>
  <c r="E153" i="128"/>
  <c r="E167" i="128" s="1"/>
  <c r="D153" i="128"/>
  <c r="Q152" i="128"/>
  <c r="P152" i="128"/>
  <c r="O152" i="128"/>
  <c r="N152" i="128"/>
  <c r="L152" i="128"/>
  <c r="E152" i="128"/>
  <c r="E170" i="128" s="1"/>
  <c r="F170" i="128" s="1"/>
  <c r="H170" i="128" s="1"/>
  <c r="J170" i="128" s="1"/>
  <c r="N170" i="128" s="1"/>
  <c r="Q151" i="128"/>
  <c r="P151" i="128"/>
  <c r="O151" i="128"/>
  <c r="N151" i="128"/>
  <c r="L151" i="128"/>
  <c r="F151" i="128"/>
  <c r="H151" i="128" s="1"/>
  <c r="J151" i="128" s="1"/>
  <c r="M151" i="128" s="1"/>
  <c r="Q149" i="128"/>
  <c r="P149" i="128"/>
  <c r="O149" i="128"/>
  <c r="M149" i="128"/>
  <c r="L149" i="128"/>
  <c r="F149" i="128"/>
  <c r="H149" i="128" s="1"/>
  <c r="J149" i="128" s="1"/>
  <c r="N149" i="128" s="1"/>
  <c r="Q148" i="128"/>
  <c r="P148" i="128"/>
  <c r="O148" i="128"/>
  <c r="N148" i="128"/>
  <c r="L148" i="128"/>
  <c r="F148" i="128"/>
  <c r="H148" i="128" s="1"/>
  <c r="J148" i="128" s="1"/>
  <c r="M148" i="128" s="1"/>
  <c r="Q147" i="128"/>
  <c r="P147" i="128"/>
  <c r="O147" i="128"/>
  <c r="M147" i="128"/>
  <c r="L147" i="128"/>
  <c r="Q146" i="128"/>
  <c r="P146" i="128"/>
  <c r="O146" i="128"/>
  <c r="M146" i="128"/>
  <c r="L146" i="128"/>
  <c r="Q145" i="128"/>
  <c r="P145" i="128"/>
  <c r="O145" i="128"/>
  <c r="M145" i="128"/>
  <c r="L145" i="128"/>
  <c r="Q144" i="128"/>
  <c r="P144" i="128"/>
  <c r="O144" i="128"/>
  <c r="M144" i="128"/>
  <c r="L144" i="128"/>
  <c r="Q143" i="128"/>
  <c r="P143" i="128"/>
  <c r="O143" i="128"/>
  <c r="M143" i="128"/>
  <c r="L143" i="128"/>
  <c r="Q142" i="128"/>
  <c r="P142" i="128"/>
  <c r="O142" i="128"/>
  <c r="N142" i="128"/>
  <c r="L142" i="128"/>
  <c r="Q141" i="128"/>
  <c r="P141" i="128"/>
  <c r="O141" i="128"/>
  <c r="M141" i="128"/>
  <c r="L141" i="128"/>
  <c r="Q140" i="128"/>
  <c r="P140" i="128"/>
  <c r="O140" i="128"/>
  <c r="M140" i="128"/>
  <c r="L140" i="128"/>
  <c r="Q139" i="128"/>
  <c r="P139" i="128"/>
  <c r="O139" i="128"/>
  <c r="N139" i="128"/>
  <c r="L139" i="128"/>
  <c r="Q138" i="128"/>
  <c r="P138" i="128"/>
  <c r="O138" i="128"/>
  <c r="N138" i="128"/>
  <c r="L138" i="128"/>
  <c r="Q137" i="128"/>
  <c r="P137" i="128"/>
  <c r="O137" i="128"/>
  <c r="N137" i="128"/>
  <c r="L137" i="128"/>
  <c r="Q136" i="128"/>
  <c r="P136" i="128"/>
  <c r="O136" i="128"/>
  <c r="N136" i="128"/>
  <c r="L136" i="128"/>
  <c r="Q135" i="128"/>
  <c r="P135" i="128"/>
  <c r="O135" i="128"/>
  <c r="N135" i="128"/>
  <c r="L135" i="128"/>
  <c r="Q134" i="128"/>
  <c r="P134" i="128"/>
  <c r="O134" i="128"/>
  <c r="N134" i="128"/>
  <c r="M134" i="128"/>
  <c r="Q133" i="128"/>
  <c r="P133" i="128"/>
  <c r="O133" i="128"/>
  <c r="N133" i="128"/>
  <c r="M133" i="128"/>
  <c r="Q132" i="128"/>
  <c r="P132" i="128"/>
  <c r="O132" i="128"/>
  <c r="N132" i="128"/>
  <c r="M132" i="128"/>
  <c r="Q131" i="128"/>
  <c r="P131" i="128"/>
  <c r="O131" i="128"/>
  <c r="N131" i="128"/>
  <c r="M131" i="128"/>
  <c r="Q130" i="128"/>
  <c r="P130" i="128"/>
  <c r="O130" i="128"/>
  <c r="N130" i="128"/>
  <c r="M130" i="128"/>
  <c r="Q129" i="128"/>
  <c r="P129" i="128"/>
  <c r="O129" i="128"/>
  <c r="N129" i="128"/>
  <c r="M129" i="128"/>
  <c r="Q128" i="128"/>
  <c r="P128" i="128"/>
  <c r="O128" i="128"/>
  <c r="N128" i="128"/>
  <c r="M128" i="128"/>
  <c r="Q127" i="128"/>
  <c r="P127" i="128"/>
  <c r="O127" i="128"/>
  <c r="M127" i="128"/>
  <c r="L127" i="128"/>
  <c r="Q126" i="128"/>
  <c r="P126" i="128"/>
  <c r="O126" i="128"/>
  <c r="M126" i="128"/>
  <c r="L126" i="128"/>
  <c r="Q125" i="128"/>
  <c r="P125" i="128"/>
  <c r="O125" i="128"/>
  <c r="M125" i="128"/>
  <c r="L125" i="128"/>
  <c r="Q124" i="128"/>
  <c r="P124" i="128"/>
  <c r="O124" i="128"/>
  <c r="M124" i="128"/>
  <c r="L124" i="128"/>
  <c r="Q123" i="128"/>
  <c r="P123" i="128"/>
  <c r="O123" i="128"/>
  <c r="N123" i="128"/>
  <c r="L123" i="128"/>
  <c r="Q122" i="128"/>
  <c r="P122" i="128"/>
  <c r="O122" i="128"/>
  <c r="N122" i="128"/>
  <c r="L122" i="128"/>
  <c r="Q121" i="128"/>
  <c r="P121" i="128"/>
  <c r="O121" i="128"/>
  <c r="N121" i="128"/>
  <c r="L121" i="128"/>
  <c r="Q120" i="128"/>
  <c r="P120" i="128"/>
  <c r="O120" i="128"/>
  <c r="N120" i="128"/>
  <c r="L120" i="128"/>
  <c r="Q119" i="128"/>
  <c r="P119" i="128"/>
  <c r="O119" i="128"/>
  <c r="N119" i="128"/>
  <c r="L119" i="128"/>
  <c r="Q118" i="128"/>
  <c r="P118" i="128"/>
  <c r="O118" i="128"/>
  <c r="N118" i="128"/>
  <c r="L118" i="128"/>
  <c r="Q117" i="128"/>
  <c r="P117" i="128"/>
  <c r="O117" i="128"/>
  <c r="N117" i="128"/>
  <c r="M117" i="128"/>
  <c r="Q116" i="128"/>
  <c r="P116" i="128"/>
  <c r="O116" i="128"/>
  <c r="N116" i="128"/>
  <c r="M116" i="128"/>
  <c r="Q115" i="128"/>
  <c r="P115" i="128"/>
  <c r="O115" i="128"/>
  <c r="N115" i="128"/>
  <c r="M115" i="128"/>
  <c r="Q114" i="128"/>
  <c r="P114" i="128"/>
  <c r="O114" i="128"/>
  <c r="N114" i="128"/>
  <c r="M114" i="128"/>
  <c r="Q113" i="128"/>
  <c r="P113" i="128"/>
  <c r="O113" i="128"/>
  <c r="N113" i="128"/>
  <c r="M113" i="128"/>
  <c r="Q112" i="128"/>
  <c r="P112" i="128"/>
  <c r="O112" i="128"/>
  <c r="N112" i="128"/>
  <c r="L112" i="128"/>
  <c r="Q111" i="128"/>
  <c r="P111" i="128"/>
  <c r="O111" i="128"/>
  <c r="M111" i="128"/>
  <c r="L111" i="128"/>
  <c r="Q110" i="128"/>
  <c r="P110" i="128"/>
  <c r="O110" i="128"/>
  <c r="M110" i="128"/>
  <c r="L110" i="128"/>
  <c r="Q109" i="128"/>
  <c r="P109" i="128"/>
  <c r="O109" i="128"/>
  <c r="N109" i="128"/>
  <c r="L109" i="128"/>
  <c r="Q108" i="128"/>
  <c r="P108" i="128"/>
  <c r="O108" i="128"/>
  <c r="N108" i="128"/>
  <c r="L108" i="128"/>
  <c r="Q107" i="128"/>
  <c r="P107" i="128"/>
  <c r="O107" i="128"/>
  <c r="N107" i="128"/>
  <c r="L107" i="128"/>
  <c r="Q106" i="128"/>
  <c r="P106" i="128"/>
  <c r="O106" i="128"/>
  <c r="N106" i="128"/>
  <c r="M106" i="128"/>
  <c r="Q105" i="128"/>
  <c r="P105" i="128"/>
  <c r="O105" i="128"/>
  <c r="N105" i="128"/>
  <c r="L105" i="128"/>
  <c r="Q104" i="128"/>
  <c r="P104" i="128"/>
  <c r="O104" i="128"/>
  <c r="N104" i="128"/>
  <c r="M104" i="128"/>
  <c r="Q103" i="128"/>
  <c r="P103" i="128"/>
  <c r="O103" i="128"/>
  <c r="N103" i="128"/>
  <c r="M103" i="128"/>
  <c r="Q102" i="128"/>
  <c r="P102" i="128"/>
  <c r="O102" i="128"/>
  <c r="N102" i="128"/>
  <c r="M102" i="128"/>
  <c r="E102" i="128"/>
  <c r="E115" i="128" s="1"/>
  <c r="F115" i="128" s="1"/>
  <c r="H115" i="128" s="1"/>
  <c r="J115" i="128" s="1"/>
  <c r="L115" i="128" s="1"/>
  <c r="Q101" i="128"/>
  <c r="P101" i="128"/>
  <c r="O101" i="128"/>
  <c r="N101" i="128"/>
  <c r="L101" i="128"/>
  <c r="Q100" i="128"/>
  <c r="P100" i="128"/>
  <c r="O100" i="128"/>
  <c r="N100" i="128"/>
  <c r="L100" i="128"/>
  <c r="E100" i="128"/>
  <c r="E123" i="128" s="1"/>
  <c r="F123" i="128" s="1"/>
  <c r="H123" i="128" s="1"/>
  <c r="J123" i="128" s="1"/>
  <c r="M123" i="128" s="1"/>
  <c r="Q98" i="128"/>
  <c r="P98" i="128"/>
  <c r="O98" i="128"/>
  <c r="N98" i="128"/>
  <c r="M98" i="128"/>
  <c r="F98" i="128"/>
  <c r="H98" i="128" s="1"/>
  <c r="J98" i="128" s="1"/>
  <c r="L98" i="128" s="1"/>
  <c r="Q97" i="128"/>
  <c r="P97" i="128"/>
  <c r="O97" i="128"/>
  <c r="N97" i="128"/>
  <c r="L97" i="128"/>
  <c r="F97" i="128"/>
  <c r="H97" i="128" s="1"/>
  <c r="J97" i="128" s="1"/>
  <c r="M97" i="128" s="1"/>
  <c r="Q96" i="128"/>
  <c r="P96" i="128"/>
  <c r="O96" i="128"/>
  <c r="N96" i="128"/>
  <c r="L96" i="128"/>
  <c r="F96" i="128"/>
  <c r="H96" i="128" s="1"/>
  <c r="J96" i="128" s="1"/>
  <c r="M96" i="128" s="1"/>
  <c r="Q95" i="128"/>
  <c r="P95" i="128"/>
  <c r="O95" i="128"/>
  <c r="M95" i="128"/>
  <c r="L95" i="128"/>
  <c r="Q94" i="128"/>
  <c r="P94" i="128"/>
  <c r="O94" i="128"/>
  <c r="M94" i="128"/>
  <c r="L94" i="128"/>
  <c r="Q93" i="128"/>
  <c r="P93" i="128"/>
  <c r="N93" i="128"/>
  <c r="M93" i="128"/>
  <c r="L93" i="128"/>
  <c r="Q92" i="128"/>
  <c r="P92" i="128"/>
  <c r="O92" i="128"/>
  <c r="M92" i="128"/>
  <c r="L92" i="128"/>
  <c r="Q91" i="128"/>
  <c r="P91" i="128"/>
  <c r="N91" i="128"/>
  <c r="M91" i="128"/>
  <c r="L91" i="128"/>
  <c r="Q90" i="128"/>
  <c r="P90" i="128"/>
  <c r="O90" i="128"/>
  <c r="M90" i="128"/>
  <c r="L90" i="128"/>
  <c r="Q89" i="128"/>
  <c r="P89" i="128"/>
  <c r="N89" i="128"/>
  <c r="M89" i="128"/>
  <c r="L89" i="128"/>
  <c r="Q88" i="128"/>
  <c r="P88" i="128"/>
  <c r="O88" i="128"/>
  <c r="M88" i="128"/>
  <c r="L88" i="128"/>
  <c r="Q87" i="128"/>
  <c r="O87" i="128"/>
  <c r="N87" i="128"/>
  <c r="M87" i="128"/>
  <c r="L87" i="128"/>
  <c r="Q86" i="128"/>
  <c r="P86" i="128"/>
  <c r="O86" i="128"/>
  <c r="N86" i="128"/>
  <c r="L86" i="128"/>
  <c r="Q85" i="128"/>
  <c r="P85" i="128"/>
  <c r="O85" i="128"/>
  <c r="M85" i="128"/>
  <c r="L85" i="128"/>
  <c r="Q84" i="128"/>
  <c r="P84" i="128"/>
  <c r="O84" i="128"/>
  <c r="M84" i="128"/>
  <c r="L84" i="128"/>
  <c r="Q83" i="128"/>
  <c r="P83" i="128"/>
  <c r="O83" i="128"/>
  <c r="N83" i="128"/>
  <c r="M83" i="128"/>
  <c r="Q82" i="128"/>
  <c r="P82" i="128"/>
  <c r="O82" i="128"/>
  <c r="N82" i="128"/>
  <c r="L82" i="128"/>
  <c r="Q81" i="128"/>
  <c r="P81" i="128"/>
  <c r="O81" i="128"/>
  <c r="N81" i="128"/>
  <c r="L81" i="128"/>
  <c r="Q80" i="128"/>
  <c r="P80" i="128"/>
  <c r="O80" i="128"/>
  <c r="N80" i="128"/>
  <c r="L80" i="128"/>
  <c r="Q79" i="128"/>
  <c r="P79" i="128"/>
  <c r="O79" i="128"/>
  <c r="N79" i="128"/>
  <c r="L79" i="128"/>
  <c r="Q78" i="128"/>
  <c r="P78" i="128"/>
  <c r="O78" i="128"/>
  <c r="N78" i="128"/>
  <c r="L78" i="128"/>
  <c r="Q77" i="128"/>
  <c r="P77" i="128"/>
  <c r="O77" i="128"/>
  <c r="N77" i="128"/>
  <c r="L77" i="128"/>
  <c r="Q76" i="128"/>
  <c r="P76" i="128"/>
  <c r="O76" i="128"/>
  <c r="N76" i="128"/>
  <c r="M76" i="128"/>
  <c r="Q75" i="128"/>
  <c r="P75" i="128"/>
  <c r="O75" i="128"/>
  <c r="N75" i="128"/>
  <c r="M75" i="128"/>
  <c r="Q74" i="128"/>
  <c r="P74" i="128"/>
  <c r="O74" i="128"/>
  <c r="N74" i="128"/>
  <c r="M74" i="128"/>
  <c r="Q73" i="128"/>
  <c r="P73" i="128"/>
  <c r="O73" i="128"/>
  <c r="N73" i="128"/>
  <c r="M73" i="128"/>
  <c r="Q72" i="128"/>
  <c r="P72" i="128"/>
  <c r="O72" i="128"/>
  <c r="N72" i="128"/>
  <c r="M72" i="128"/>
  <c r="Q71" i="128"/>
  <c r="P71" i="128"/>
  <c r="O71" i="128"/>
  <c r="M71" i="128"/>
  <c r="L71" i="128"/>
  <c r="Q70" i="128"/>
  <c r="P70" i="128"/>
  <c r="O70" i="128"/>
  <c r="M70" i="128"/>
  <c r="L70" i="128"/>
  <c r="Q69" i="128"/>
  <c r="P69" i="128"/>
  <c r="O69" i="128"/>
  <c r="M69" i="128"/>
  <c r="L69" i="128"/>
  <c r="Q68" i="128"/>
  <c r="P68" i="128"/>
  <c r="O68" i="128"/>
  <c r="M68" i="128"/>
  <c r="L68" i="128"/>
  <c r="Q67" i="128"/>
  <c r="P67" i="128"/>
  <c r="O67" i="128"/>
  <c r="N67" i="128"/>
  <c r="L67" i="128"/>
  <c r="Q66" i="128"/>
  <c r="P66" i="128"/>
  <c r="O66" i="128"/>
  <c r="N66" i="128"/>
  <c r="L66" i="128"/>
  <c r="Q65" i="128"/>
  <c r="P65" i="128"/>
  <c r="O65" i="128"/>
  <c r="N65" i="128"/>
  <c r="L65" i="128"/>
  <c r="Q64" i="128"/>
  <c r="P64" i="128"/>
  <c r="O64" i="128"/>
  <c r="N64" i="128"/>
  <c r="L64" i="128"/>
  <c r="Q63" i="128"/>
  <c r="P63" i="128"/>
  <c r="O63" i="128"/>
  <c r="N63" i="128"/>
  <c r="L63" i="128"/>
  <c r="Q62" i="128"/>
  <c r="P62" i="128"/>
  <c r="O62" i="128"/>
  <c r="N62" i="128"/>
  <c r="L62" i="128"/>
  <c r="Q61" i="128"/>
  <c r="P61" i="128"/>
  <c r="O61" i="128"/>
  <c r="N61" i="128"/>
  <c r="M61" i="128"/>
  <c r="Q60" i="128"/>
  <c r="P60" i="128"/>
  <c r="O60" i="128"/>
  <c r="N60" i="128"/>
  <c r="M60" i="128"/>
  <c r="Q59" i="128"/>
  <c r="P59" i="128"/>
  <c r="O59" i="128"/>
  <c r="N59" i="128"/>
  <c r="M59" i="128"/>
  <c r="Q58" i="128"/>
  <c r="P58" i="128"/>
  <c r="O58" i="128"/>
  <c r="N58" i="128"/>
  <c r="M58" i="128"/>
  <c r="Q57" i="128"/>
  <c r="P57" i="128"/>
  <c r="O57" i="128"/>
  <c r="N57" i="128"/>
  <c r="L57" i="128"/>
  <c r="Q56" i="128"/>
  <c r="P56" i="128"/>
  <c r="O56" i="128"/>
  <c r="N56" i="128"/>
  <c r="L56" i="128"/>
  <c r="Q55" i="128"/>
  <c r="P55" i="128"/>
  <c r="O55" i="128"/>
  <c r="M55" i="128"/>
  <c r="L55" i="128"/>
  <c r="Q54" i="128"/>
  <c r="P54" i="128"/>
  <c r="O54" i="128"/>
  <c r="N54" i="128"/>
  <c r="L54" i="128"/>
  <c r="Q53" i="128"/>
  <c r="P53" i="128"/>
  <c r="O53" i="128"/>
  <c r="N53" i="128"/>
  <c r="L53" i="128"/>
  <c r="Q52" i="128"/>
  <c r="P52" i="128"/>
  <c r="O52" i="128"/>
  <c r="N52" i="128"/>
  <c r="M52" i="128"/>
  <c r="Q51" i="128"/>
  <c r="P51" i="128"/>
  <c r="O51" i="128"/>
  <c r="N51" i="128"/>
  <c r="M51" i="128"/>
  <c r="Q50" i="128"/>
  <c r="P50" i="128"/>
  <c r="O50" i="128"/>
  <c r="N50" i="128"/>
  <c r="M50" i="128"/>
  <c r="Q49" i="128"/>
  <c r="P49" i="128"/>
  <c r="O49" i="128"/>
  <c r="N49" i="128"/>
  <c r="M49" i="128"/>
  <c r="Q48" i="128"/>
  <c r="P48" i="128"/>
  <c r="O48" i="128"/>
  <c r="N48" i="128"/>
  <c r="M48" i="128"/>
  <c r="Q47" i="128"/>
  <c r="P47" i="128"/>
  <c r="O47" i="128"/>
  <c r="N47" i="128"/>
  <c r="L47" i="128"/>
  <c r="Q46" i="128"/>
  <c r="P46" i="128"/>
  <c r="O46" i="128"/>
  <c r="N46" i="128"/>
  <c r="L46" i="128"/>
  <c r="E46" i="128"/>
  <c r="E59" i="128" s="1"/>
  <c r="F59" i="128" s="1"/>
  <c r="H59" i="128" s="1"/>
  <c r="J59" i="128" s="1"/>
  <c r="L59" i="128" s="1"/>
  <c r="Q45" i="128"/>
  <c r="P45" i="128"/>
  <c r="O45" i="128"/>
  <c r="N45" i="128"/>
  <c r="L45" i="128"/>
  <c r="Q44" i="128"/>
  <c r="P44" i="128"/>
  <c r="O44" i="128"/>
  <c r="N44" i="128"/>
  <c r="L44" i="128"/>
  <c r="Q43" i="128"/>
  <c r="P43" i="128"/>
  <c r="O43" i="128"/>
  <c r="N43" i="128"/>
  <c r="L43" i="128"/>
  <c r="Q42" i="128"/>
  <c r="P42" i="128"/>
  <c r="O42" i="128"/>
  <c r="N42" i="128"/>
  <c r="L42" i="128"/>
  <c r="E42" i="128"/>
  <c r="E92" i="128" s="1"/>
  <c r="F92" i="128" s="1"/>
  <c r="H92" i="128" s="1"/>
  <c r="J92" i="128" s="1"/>
  <c r="N92" i="128" s="1"/>
  <c r="P40" i="128"/>
  <c r="O40" i="128"/>
  <c r="N40" i="128"/>
  <c r="M40" i="128"/>
  <c r="L40" i="128"/>
  <c r="F40" i="128"/>
  <c r="H40" i="128" s="1"/>
  <c r="J40" i="128" s="1"/>
  <c r="Q40" i="128" s="1"/>
  <c r="P39" i="128"/>
  <c r="O39" i="128"/>
  <c r="N39" i="128"/>
  <c r="M39" i="128"/>
  <c r="L39" i="128"/>
  <c r="F39" i="128"/>
  <c r="H39" i="128" s="1"/>
  <c r="J39" i="128" s="1"/>
  <c r="Q39" i="128" s="1"/>
  <c r="P38" i="128"/>
  <c r="O38" i="128"/>
  <c r="N38" i="128"/>
  <c r="M38" i="128"/>
  <c r="L38" i="128"/>
  <c r="P37" i="128"/>
  <c r="O37" i="128"/>
  <c r="N37" i="128"/>
  <c r="M37" i="128"/>
  <c r="L37" i="128"/>
  <c r="Q36" i="128"/>
  <c r="P36" i="128"/>
  <c r="N36" i="128"/>
  <c r="M36" i="128"/>
  <c r="L36" i="128"/>
  <c r="F36" i="128"/>
  <c r="H36" i="128" s="1"/>
  <c r="J36" i="128" s="1"/>
  <c r="O36" i="128" s="1"/>
  <c r="Q35" i="128"/>
  <c r="P35" i="128"/>
  <c r="N35" i="128"/>
  <c r="M35" i="128"/>
  <c r="L35" i="128"/>
  <c r="F35" i="128"/>
  <c r="H35" i="128" s="1"/>
  <c r="J35" i="128" s="1"/>
  <c r="O35" i="128" s="1"/>
  <c r="Q34" i="128"/>
  <c r="P34" i="128"/>
  <c r="N34" i="128"/>
  <c r="M34" i="128"/>
  <c r="L34" i="128"/>
  <c r="Q33" i="128"/>
  <c r="P33" i="128"/>
  <c r="N33" i="128"/>
  <c r="M33" i="128"/>
  <c r="L33" i="128"/>
  <c r="Q32" i="128"/>
  <c r="P32" i="128"/>
  <c r="N32" i="128"/>
  <c r="M32" i="128"/>
  <c r="L32" i="128"/>
  <c r="Q31" i="128"/>
  <c r="P31" i="128"/>
  <c r="N31" i="128"/>
  <c r="M31" i="128"/>
  <c r="L31" i="128"/>
  <c r="Q30" i="128"/>
  <c r="P30" i="128"/>
  <c r="N30" i="128"/>
  <c r="M30" i="128"/>
  <c r="L30" i="128"/>
  <c r="Q29" i="128"/>
  <c r="P29" i="128"/>
  <c r="O29" i="128"/>
  <c r="M29" i="128"/>
  <c r="L29" i="128"/>
  <c r="F29" i="128"/>
  <c r="H29" i="128" s="1"/>
  <c r="J29" i="128" s="1"/>
  <c r="N29" i="128" s="1"/>
  <c r="Q28" i="128"/>
  <c r="P28" i="128"/>
  <c r="O28" i="128"/>
  <c r="N28" i="128"/>
  <c r="L28" i="128"/>
  <c r="D28" i="128"/>
  <c r="F28" i="128" s="1"/>
  <c r="H28" i="128" s="1"/>
  <c r="J28" i="128" s="1"/>
  <c r="M28" i="128" s="1"/>
  <c r="Q27" i="128"/>
  <c r="P27" i="128"/>
  <c r="O27" i="128"/>
  <c r="M27" i="128"/>
  <c r="L27" i="128"/>
  <c r="Q26" i="128"/>
  <c r="P26" i="128"/>
  <c r="O26" i="128"/>
  <c r="N26" i="128"/>
  <c r="L26" i="128"/>
  <c r="F26" i="128"/>
  <c r="H26" i="128" s="1"/>
  <c r="J26" i="128" s="1"/>
  <c r="M26" i="128" s="1"/>
  <c r="Q25" i="128"/>
  <c r="P25" i="128"/>
  <c r="O25" i="128"/>
  <c r="N25" i="128"/>
  <c r="L25" i="128"/>
  <c r="F25" i="128"/>
  <c r="H25" i="128" s="1"/>
  <c r="J25" i="128" s="1"/>
  <c r="M25" i="128" s="1"/>
  <c r="Q24" i="128"/>
  <c r="P24" i="128"/>
  <c r="O24" i="128"/>
  <c r="N24" i="128"/>
  <c r="L24" i="128"/>
  <c r="F24" i="128"/>
  <c r="H24" i="128" s="1"/>
  <c r="J24" i="128" s="1"/>
  <c r="M24" i="128" s="1"/>
  <c r="Q23" i="128"/>
  <c r="P23" i="128"/>
  <c r="O23" i="128"/>
  <c r="N23" i="128"/>
  <c r="L23" i="128"/>
  <c r="Q22" i="128"/>
  <c r="P22" i="128"/>
  <c r="O22" i="128"/>
  <c r="N22" i="128"/>
  <c r="L22" i="128"/>
  <c r="F22" i="128"/>
  <c r="H22" i="128" s="1"/>
  <c r="J22" i="128" s="1"/>
  <c r="M22" i="128" s="1"/>
  <c r="Q21" i="128"/>
  <c r="P21" i="128"/>
  <c r="N21" i="128"/>
  <c r="M21" i="128"/>
  <c r="L21" i="128"/>
  <c r="F21" i="128"/>
  <c r="H21" i="128" s="1"/>
  <c r="J21" i="128" s="1"/>
  <c r="O21" i="128" s="1"/>
  <c r="Q20" i="128"/>
  <c r="P20" i="128"/>
  <c r="N20" i="128"/>
  <c r="M20" i="128"/>
  <c r="L20" i="128"/>
  <c r="F20" i="128"/>
  <c r="H20" i="128" s="1"/>
  <c r="J20" i="128" s="1"/>
  <c r="O20" i="128" s="1"/>
  <c r="Q19" i="128"/>
  <c r="P19" i="128"/>
  <c r="N19" i="128"/>
  <c r="M19" i="128"/>
  <c r="L19" i="128"/>
  <c r="Q18" i="128"/>
  <c r="P18" i="128"/>
  <c r="N18" i="128"/>
  <c r="M18" i="128"/>
  <c r="L18" i="128"/>
  <c r="Q17" i="128"/>
  <c r="P17" i="128"/>
  <c r="N17" i="128"/>
  <c r="M17" i="128"/>
  <c r="L17" i="128"/>
  <c r="Q16" i="128"/>
  <c r="P16" i="128"/>
  <c r="N16" i="128"/>
  <c r="M16" i="128"/>
  <c r="L16" i="128"/>
  <c r="Q15" i="128"/>
  <c r="P15" i="128"/>
  <c r="O15" i="128"/>
  <c r="N15" i="128"/>
  <c r="L15" i="128"/>
  <c r="F15" i="128"/>
  <c r="H15" i="128" s="1"/>
  <c r="J15" i="128" s="1"/>
  <c r="M15" i="128" s="1"/>
  <c r="Q14" i="128"/>
  <c r="O14" i="128"/>
  <c r="N14" i="128"/>
  <c r="M14" i="128"/>
  <c r="L14" i="128"/>
  <c r="F14" i="128"/>
  <c r="H14" i="128" s="1"/>
  <c r="J14" i="128" s="1"/>
  <c r="P14" i="128" s="1"/>
  <c r="Q13" i="128"/>
  <c r="P13" i="128"/>
  <c r="O13" i="128"/>
  <c r="M13" i="128"/>
  <c r="L13" i="128"/>
  <c r="F13" i="128"/>
  <c r="H13" i="128" s="1"/>
  <c r="J13" i="128" s="1"/>
  <c r="N13" i="128" s="1"/>
  <c r="Q12" i="128"/>
  <c r="P12" i="128"/>
  <c r="O12" i="128"/>
  <c r="N12" i="128"/>
  <c r="L12" i="128"/>
  <c r="F12" i="128"/>
  <c r="H12" i="128" s="1"/>
  <c r="J12" i="128" s="1"/>
  <c r="M12" i="128" s="1"/>
  <c r="Q11" i="128"/>
  <c r="P11" i="128"/>
  <c r="O11" i="128"/>
  <c r="N11" i="128"/>
  <c r="L11" i="128"/>
  <c r="F11" i="128"/>
  <c r="H11" i="128" s="1"/>
  <c r="J11" i="128" s="1"/>
  <c r="M11" i="128" s="1"/>
  <c r="Q10" i="128"/>
  <c r="P10" i="128"/>
  <c r="O10" i="128"/>
  <c r="N10" i="128"/>
  <c r="L10" i="128"/>
  <c r="Q9" i="128"/>
  <c r="P9" i="128"/>
  <c r="O9" i="128"/>
  <c r="N9" i="128"/>
  <c r="L9" i="128"/>
  <c r="F9" i="128"/>
  <c r="H9" i="128" s="1"/>
  <c r="J9" i="128" s="1"/>
  <c r="M9" i="128" s="1"/>
  <c r="Q8" i="128"/>
  <c r="P8" i="128"/>
  <c r="O8" i="128"/>
  <c r="N8" i="128"/>
  <c r="M8" i="128"/>
  <c r="F8" i="128"/>
  <c r="H8" i="128" s="1"/>
  <c r="J8" i="128" s="1"/>
  <c r="L8" i="128" s="1"/>
  <c r="Q7" i="128"/>
  <c r="P7" i="128"/>
  <c r="O7" i="128"/>
  <c r="N7" i="128"/>
  <c r="L7" i="128"/>
  <c r="Q6" i="128"/>
  <c r="P6" i="128"/>
  <c r="O6" i="128"/>
  <c r="N6" i="128"/>
  <c r="L6" i="128"/>
  <c r="F6" i="128"/>
  <c r="H6" i="128" s="1"/>
  <c r="J6" i="128" s="1"/>
  <c r="M6" i="128" s="1"/>
  <c r="Q5" i="128"/>
  <c r="P5" i="128"/>
  <c r="O5" i="128"/>
  <c r="N5" i="128"/>
  <c r="L5" i="128"/>
  <c r="E5" i="128"/>
  <c r="E30" i="128" s="1"/>
  <c r="F30" i="128" s="1"/>
  <c r="H30" i="128" s="1"/>
  <c r="J30" i="128" s="1"/>
  <c r="O30" i="128" s="1"/>
  <c r="I72" i="125" l="1"/>
  <c r="J71" i="125" s="1"/>
  <c r="E65" i="26" s="1"/>
  <c r="F119" i="11"/>
  <c r="F153" i="128"/>
  <c r="H153" i="128" s="1"/>
  <c r="J153" i="128" s="1"/>
  <c r="L153" i="128" s="1"/>
  <c r="E209" i="128"/>
  <c r="F209" i="128" s="1"/>
  <c r="H209" i="128" s="1"/>
  <c r="J209" i="128" s="1"/>
  <c r="L209" i="128" s="1"/>
  <c r="E107" i="128"/>
  <c r="F107" i="128" s="1"/>
  <c r="H107" i="128" s="1"/>
  <c r="J107" i="128" s="1"/>
  <c r="M107" i="128" s="1"/>
  <c r="E85" i="128"/>
  <c r="F85" i="128" s="1"/>
  <c r="H85" i="128" s="1"/>
  <c r="J85" i="128" s="1"/>
  <c r="N85" i="128" s="1"/>
  <c r="E53" i="128"/>
  <c r="F53" i="128" s="1"/>
  <c r="H53" i="128" s="1"/>
  <c r="J53" i="128" s="1"/>
  <c r="M53" i="128" s="1"/>
  <c r="F171" i="11"/>
  <c r="E121" i="128"/>
  <c r="F121" i="128" s="1"/>
  <c r="H121" i="128" s="1"/>
  <c r="J121" i="128" s="1"/>
  <c r="M121" i="128" s="1"/>
  <c r="E55" i="128"/>
  <c r="F55" i="128" s="1"/>
  <c r="H55" i="128" s="1"/>
  <c r="J55" i="128" s="1"/>
  <c r="N55" i="128" s="1"/>
  <c r="E62" i="128"/>
  <c r="F62" i="128" s="1"/>
  <c r="H62" i="128" s="1"/>
  <c r="J62" i="128" s="1"/>
  <c r="M62" i="128" s="1"/>
  <c r="E78" i="128"/>
  <c r="F78" i="128" s="1"/>
  <c r="H78" i="128" s="1"/>
  <c r="J78" i="128" s="1"/>
  <c r="M78" i="128" s="1"/>
  <c r="E87" i="128"/>
  <c r="F87" i="128" s="1"/>
  <c r="H87" i="128" s="1"/>
  <c r="J87" i="128" s="1"/>
  <c r="P87" i="128" s="1"/>
  <c r="P217" i="128" s="1"/>
  <c r="P218" i="128" s="1"/>
  <c r="E137" i="128"/>
  <c r="F137" i="128" s="1"/>
  <c r="H137" i="128" s="1"/>
  <c r="J137" i="128" s="1"/>
  <c r="M137" i="128" s="1"/>
  <c r="E140" i="128"/>
  <c r="F140" i="128" s="1"/>
  <c r="H140" i="128" s="1"/>
  <c r="J140" i="128" s="1"/>
  <c r="N140" i="128" s="1"/>
  <c r="E45" i="128"/>
  <c r="F45" i="128" s="1"/>
  <c r="H45" i="128" s="1"/>
  <c r="J45" i="128" s="1"/>
  <c r="M45" i="128" s="1"/>
  <c r="E54" i="128"/>
  <c r="F54" i="128" s="1"/>
  <c r="H54" i="128" s="1"/>
  <c r="J54" i="128" s="1"/>
  <c r="M54" i="128" s="1"/>
  <c r="E159" i="128"/>
  <c r="F159" i="128" s="1"/>
  <c r="H159" i="128" s="1"/>
  <c r="J159" i="128" s="1"/>
  <c r="M159" i="128" s="1"/>
  <c r="E162" i="128"/>
  <c r="F162" i="128" s="1"/>
  <c r="H162" i="128" s="1"/>
  <c r="J162" i="128" s="1"/>
  <c r="M162" i="128" s="1"/>
  <c r="E67" i="128"/>
  <c r="F67" i="128" s="1"/>
  <c r="H67" i="128" s="1"/>
  <c r="J67" i="128" s="1"/>
  <c r="M67" i="128" s="1"/>
  <c r="E79" i="128"/>
  <c r="F79" i="128" s="1"/>
  <c r="H79" i="128" s="1"/>
  <c r="J79" i="128" s="1"/>
  <c r="M79" i="128" s="1"/>
  <c r="E88" i="128"/>
  <c r="F88" i="128" s="1"/>
  <c r="H88" i="128" s="1"/>
  <c r="J88" i="128" s="1"/>
  <c r="N88" i="128" s="1"/>
  <c r="E43" i="128"/>
  <c r="F43" i="128" s="1"/>
  <c r="H43" i="128" s="1"/>
  <c r="J43" i="128" s="1"/>
  <c r="M43" i="128" s="1"/>
  <c r="E77" i="128"/>
  <c r="F77" i="128" s="1"/>
  <c r="H77" i="128" s="1"/>
  <c r="J77" i="128" s="1"/>
  <c r="M77" i="128" s="1"/>
  <c r="E95" i="128"/>
  <c r="F95" i="128" s="1"/>
  <c r="H95" i="128" s="1"/>
  <c r="J95" i="128" s="1"/>
  <c r="N95" i="128" s="1"/>
  <c r="E71" i="128"/>
  <c r="F71" i="128" s="1"/>
  <c r="H71" i="128" s="1"/>
  <c r="J71" i="128" s="1"/>
  <c r="N71" i="128" s="1"/>
  <c r="E10" i="128"/>
  <c r="F10" i="128" s="1"/>
  <c r="H10" i="128" s="1"/>
  <c r="J10" i="128" s="1"/>
  <c r="M10" i="128" s="1"/>
  <c r="E51" i="128"/>
  <c r="F51" i="128" s="1"/>
  <c r="H51" i="128" s="1"/>
  <c r="J51" i="128" s="1"/>
  <c r="L51" i="128" s="1"/>
  <c r="E70" i="128"/>
  <c r="F70" i="128" s="1"/>
  <c r="H70" i="128" s="1"/>
  <c r="J70" i="128" s="1"/>
  <c r="N70" i="128" s="1"/>
  <c r="E81" i="128"/>
  <c r="F81" i="128" s="1"/>
  <c r="H81" i="128" s="1"/>
  <c r="J81" i="128" s="1"/>
  <c r="M81" i="128" s="1"/>
  <c r="E113" i="128"/>
  <c r="F113" i="128" s="1"/>
  <c r="H113" i="128" s="1"/>
  <c r="J113" i="128" s="1"/>
  <c r="L113" i="128" s="1"/>
  <c r="E131" i="128"/>
  <c r="F131" i="128" s="1"/>
  <c r="H131" i="128" s="1"/>
  <c r="J131" i="128" s="1"/>
  <c r="L131" i="128" s="1"/>
  <c r="E34" i="128"/>
  <c r="F34" i="128" s="1"/>
  <c r="H34" i="128" s="1"/>
  <c r="J34" i="128" s="1"/>
  <c r="O34" i="128" s="1"/>
  <c r="E57" i="128"/>
  <c r="F57" i="128" s="1"/>
  <c r="H57" i="128" s="1"/>
  <c r="J57" i="128" s="1"/>
  <c r="M57" i="128" s="1"/>
  <c r="E65" i="128"/>
  <c r="F65" i="128" s="1"/>
  <c r="H65" i="128" s="1"/>
  <c r="J65" i="128" s="1"/>
  <c r="M65" i="128" s="1"/>
  <c r="D216" i="128"/>
  <c r="F216" i="128" s="1"/>
  <c r="H216" i="128" s="1"/>
  <c r="J216" i="128" s="1"/>
  <c r="M216" i="128" s="1"/>
  <c r="T28" i="128"/>
  <c r="T41" i="128" s="1"/>
  <c r="U41" i="128" s="1"/>
  <c r="E55" i="26" s="1"/>
  <c r="E180" i="128"/>
  <c r="F180" i="128" s="1"/>
  <c r="H180" i="128" s="1"/>
  <c r="J180" i="128" s="1"/>
  <c r="M180" i="128" s="1"/>
  <c r="E93" i="128"/>
  <c r="F93" i="128" s="1"/>
  <c r="H93" i="128" s="1"/>
  <c r="J93" i="128" s="1"/>
  <c r="O93" i="128" s="1"/>
  <c r="E49" i="128"/>
  <c r="F49" i="128" s="1"/>
  <c r="H49" i="128" s="1"/>
  <c r="J49" i="128" s="1"/>
  <c r="L49" i="128" s="1"/>
  <c r="E105" i="128"/>
  <c r="F105" i="128" s="1"/>
  <c r="H105" i="128" s="1"/>
  <c r="J105" i="128" s="1"/>
  <c r="M105" i="128" s="1"/>
  <c r="E129" i="128"/>
  <c r="F129" i="128" s="1"/>
  <c r="H129" i="128" s="1"/>
  <c r="J129" i="128" s="1"/>
  <c r="L129" i="128" s="1"/>
  <c r="E91" i="128"/>
  <c r="F91" i="128" s="1"/>
  <c r="H91" i="128" s="1"/>
  <c r="J91" i="128" s="1"/>
  <c r="O91" i="128" s="1"/>
  <c r="E19" i="128"/>
  <c r="F19" i="128" s="1"/>
  <c r="H19" i="128" s="1"/>
  <c r="J19" i="128" s="1"/>
  <c r="O19" i="128" s="1"/>
  <c r="E27" i="128"/>
  <c r="F27" i="128" s="1"/>
  <c r="H27" i="128" s="1"/>
  <c r="J27" i="128" s="1"/>
  <c r="N27" i="128" s="1"/>
  <c r="E61" i="128"/>
  <c r="F61" i="128" s="1"/>
  <c r="H61" i="128" s="1"/>
  <c r="J61" i="128" s="1"/>
  <c r="L61" i="128" s="1"/>
  <c r="E69" i="128"/>
  <c r="F69" i="128" s="1"/>
  <c r="H69" i="128" s="1"/>
  <c r="J69" i="128" s="1"/>
  <c r="N69" i="128" s="1"/>
  <c r="E175" i="128"/>
  <c r="F175" i="128" s="1"/>
  <c r="H175" i="128" s="1"/>
  <c r="J175" i="128" s="1"/>
  <c r="L175" i="128" s="1"/>
  <c r="F16" i="102"/>
  <c r="E37" i="128"/>
  <c r="F37" i="128" s="1"/>
  <c r="H37" i="128" s="1"/>
  <c r="J37" i="128" s="1"/>
  <c r="Q37" i="128" s="1"/>
  <c r="E47" i="128"/>
  <c r="F47" i="128" s="1"/>
  <c r="H47" i="128" s="1"/>
  <c r="J47" i="128" s="1"/>
  <c r="M47" i="128" s="1"/>
  <c r="E80" i="128"/>
  <c r="F80" i="128" s="1"/>
  <c r="H80" i="128" s="1"/>
  <c r="J80" i="128" s="1"/>
  <c r="M80" i="128" s="1"/>
  <c r="E94" i="128"/>
  <c r="F94" i="128" s="1"/>
  <c r="H94" i="128" s="1"/>
  <c r="J94" i="128" s="1"/>
  <c r="N94" i="128" s="1"/>
  <c r="E142" i="128"/>
  <c r="F142" i="128" s="1"/>
  <c r="H142" i="128" s="1"/>
  <c r="J142" i="128" s="1"/>
  <c r="M142" i="128" s="1"/>
  <c r="E83" i="128"/>
  <c r="F83" i="128" s="1"/>
  <c r="H83" i="128" s="1"/>
  <c r="J83" i="128" s="1"/>
  <c r="L83" i="128" s="1"/>
  <c r="F167" i="128"/>
  <c r="H167" i="128" s="1"/>
  <c r="J167" i="128" s="1"/>
  <c r="L167" i="128" s="1"/>
  <c r="E64" i="128"/>
  <c r="F64" i="128" s="1"/>
  <c r="H64" i="128" s="1"/>
  <c r="J64" i="128" s="1"/>
  <c r="M64" i="128" s="1"/>
  <c r="E72" i="128"/>
  <c r="F72" i="128" s="1"/>
  <c r="H72" i="128" s="1"/>
  <c r="J72" i="128" s="1"/>
  <c r="L72" i="128" s="1"/>
  <c r="E89" i="128"/>
  <c r="F89" i="128" s="1"/>
  <c r="H89" i="128" s="1"/>
  <c r="J89" i="128" s="1"/>
  <c r="O89" i="128" s="1"/>
  <c r="E188" i="128"/>
  <c r="F188" i="128" s="1"/>
  <c r="H188" i="128" s="1"/>
  <c r="J188" i="128" s="1"/>
  <c r="N188" i="128" s="1"/>
  <c r="H198" i="26"/>
  <c r="P198" i="26"/>
  <c r="G196" i="94"/>
  <c r="E242" i="94"/>
  <c r="E243" i="94" s="1"/>
  <c r="L234" i="94"/>
  <c r="L236" i="94" s="1"/>
  <c r="E118" i="99" s="1"/>
  <c r="K234" i="94"/>
  <c r="K236" i="94" s="1"/>
  <c r="E117" i="99" s="1"/>
  <c r="N234" i="94"/>
  <c r="N236" i="94" s="1"/>
  <c r="E119" i="99" s="1"/>
  <c r="M234" i="94"/>
  <c r="M236" i="94" s="1"/>
  <c r="E121" i="99" s="1"/>
  <c r="O234" i="94"/>
  <c r="O236" i="94" s="1"/>
  <c r="E120" i="99" s="1"/>
  <c r="G180" i="94"/>
  <c r="G192" i="94"/>
  <c r="I169" i="94"/>
  <c r="G184" i="94"/>
  <c r="I162" i="94"/>
  <c r="H176" i="94"/>
  <c r="F188" i="94"/>
  <c r="U157" i="11"/>
  <c r="Q157" i="11" s="1"/>
  <c r="I85" i="26" s="1"/>
  <c r="J155" i="11"/>
  <c r="K155" i="11"/>
  <c r="K157" i="11"/>
  <c r="I157" i="11" s="1"/>
  <c r="G85" i="26" s="1"/>
  <c r="J157" i="11"/>
  <c r="H157" i="11" s="1"/>
  <c r="F85" i="26" s="1"/>
  <c r="F124" i="94"/>
  <c r="F116" i="94"/>
  <c r="F107" i="94"/>
  <c r="J186" i="11"/>
  <c r="K186" i="11"/>
  <c r="S186" i="11"/>
  <c r="E64" i="125"/>
  <c r="G64" i="125" s="1"/>
  <c r="I64" i="125" s="1"/>
  <c r="O64" i="125" s="1"/>
  <c r="O65" i="125"/>
  <c r="F12" i="94"/>
  <c r="G4" i="94"/>
  <c r="H51" i="26"/>
  <c r="M51" i="26" s="1"/>
  <c r="D214" i="128"/>
  <c r="F214" i="128" s="1"/>
  <c r="H214" i="128" s="1"/>
  <c r="J214" i="128" s="1"/>
  <c r="M214" i="128" s="1"/>
  <c r="F213" i="128"/>
  <c r="H213" i="128" s="1"/>
  <c r="J213" i="128" s="1"/>
  <c r="L213" i="128" s="1"/>
  <c r="E165" i="128"/>
  <c r="F165" i="128" s="1"/>
  <c r="H165" i="128" s="1"/>
  <c r="J165" i="128" s="1"/>
  <c r="L165" i="128" s="1"/>
  <c r="E157" i="128"/>
  <c r="F157" i="128" s="1"/>
  <c r="H157" i="128" s="1"/>
  <c r="J157" i="128" s="1"/>
  <c r="M157" i="128" s="1"/>
  <c r="E181" i="128"/>
  <c r="F181" i="128" s="1"/>
  <c r="H181" i="128" s="1"/>
  <c r="J181" i="128" s="1"/>
  <c r="M181" i="128" s="1"/>
  <c r="E173" i="128"/>
  <c r="F173" i="128" s="1"/>
  <c r="H173" i="128" s="1"/>
  <c r="J173" i="128" s="1"/>
  <c r="M173" i="128" s="1"/>
  <c r="E163" i="128"/>
  <c r="F163" i="128" s="1"/>
  <c r="H163" i="128" s="1"/>
  <c r="J163" i="128" s="1"/>
  <c r="M163" i="128" s="1"/>
  <c r="E155" i="128"/>
  <c r="F155" i="128" s="1"/>
  <c r="H155" i="128" s="1"/>
  <c r="J155" i="128" s="1"/>
  <c r="L155" i="128" s="1"/>
  <c r="E166" i="128"/>
  <c r="F166" i="128" s="1"/>
  <c r="H166" i="128" s="1"/>
  <c r="J166" i="128" s="1"/>
  <c r="L166" i="128" s="1"/>
  <c r="E179" i="128"/>
  <c r="F179" i="128" s="1"/>
  <c r="H179" i="128" s="1"/>
  <c r="J179" i="128" s="1"/>
  <c r="M179" i="128" s="1"/>
  <c r="E185" i="128"/>
  <c r="F185" i="128" s="1"/>
  <c r="H185" i="128" s="1"/>
  <c r="J185" i="128" s="1"/>
  <c r="L185" i="128" s="1"/>
  <c r="E164" i="128"/>
  <c r="F164" i="128" s="1"/>
  <c r="H164" i="128" s="1"/>
  <c r="J164" i="128" s="1"/>
  <c r="L164" i="128" s="1"/>
  <c r="E154" i="128"/>
  <c r="F154" i="128" s="1"/>
  <c r="H154" i="128" s="1"/>
  <c r="J154" i="128" s="1"/>
  <c r="L154" i="128" s="1"/>
  <c r="E182" i="128"/>
  <c r="F182" i="128" s="1"/>
  <c r="H182" i="128" s="1"/>
  <c r="J182" i="128" s="1"/>
  <c r="L182" i="128" s="1"/>
  <c r="E178" i="128"/>
  <c r="F178" i="128" s="1"/>
  <c r="H178" i="128" s="1"/>
  <c r="J178" i="128" s="1"/>
  <c r="L178" i="128" s="1"/>
  <c r="E156" i="128"/>
  <c r="F156" i="128" s="1"/>
  <c r="H156" i="128" s="1"/>
  <c r="J156" i="128" s="1"/>
  <c r="L156" i="128" s="1"/>
  <c r="E174" i="128"/>
  <c r="F174" i="128" s="1"/>
  <c r="H174" i="128" s="1"/>
  <c r="J174" i="128" s="1"/>
  <c r="M174" i="128" s="1"/>
  <c r="E177" i="128"/>
  <c r="F177" i="128" s="1"/>
  <c r="H177" i="128" s="1"/>
  <c r="J177" i="128" s="1"/>
  <c r="L177" i="128" s="1"/>
  <c r="E161" i="128"/>
  <c r="F161" i="128" s="1"/>
  <c r="H161" i="128" s="1"/>
  <c r="J161" i="128" s="1"/>
  <c r="N161" i="128" s="1"/>
  <c r="E143" i="128"/>
  <c r="F143" i="128" s="1"/>
  <c r="H143" i="128" s="1"/>
  <c r="J143" i="128" s="1"/>
  <c r="N143" i="128" s="1"/>
  <c r="E135" i="128"/>
  <c r="F135" i="128" s="1"/>
  <c r="H135" i="128" s="1"/>
  <c r="J135" i="128" s="1"/>
  <c r="M135" i="128" s="1"/>
  <c r="E127" i="128"/>
  <c r="F127" i="128" s="1"/>
  <c r="H127" i="128" s="1"/>
  <c r="J127" i="128" s="1"/>
  <c r="N127" i="128" s="1"/>
  <c r="E111" i="128"/>
  <c r="F111" i="128" s="1"/>
  <c r="H111" i="128" s="1"/>
  <c r="J111" i="128" s="1"/>
  <c r="N111" i="128" s="1"/>
  <c r="E146" i="128"/>
  <c r="F146" i="128" s="1"/>
  <c r="H146" i="128" s="1"/>
  <c r="J146" i="128" s="1"/>
  <c r="N146" i="128" s="1"/>
  <c r="E138" i="128"/>
  <c r="F138" i="128" s="1"/>
  <c r="H138" i="128" s="1"/>
  <c r="J138" i="128" s="1"/>
  <c r="M138" i="128" s="1"/>
  <c r="E122" i="128"/>
  <c r="F122" i="128" s="1"/>
  <c r="H122" i="128" s="1"/>
  <c r="J122" i="128" s="1"/>
  <c r="M122" i="128" s="1"/>
  <c r="E141" i="128"/>
  <c r="F141" i="128" s="1"/>
  <c r="H141" i="128" s="1"/>
  <c r="J141" i="128" s="1"/>
  <c r="N141" i="128" s="1"/>
  <c r="E125" i="128"/>
  <c r="F125" i="128" s="1"/>
  <c r="H125" i="128" s="1"/>
  <c r="J125" i="128" s="1"/>
  <c r="N125" i="128" s="1"/>
  <c r="E109" i="128"/>
  <c r="F109" i="128" s="1"/>
  <c r="H109" i="128" s="1"/>
  <c r="J109" i="128" s="1"/>
  <c r="M109" i="128" s="1"/>
  <c r="E101" i="128"/>
  <c r="F101" i="128" s="1"/>
  <c r="H101" i="128" s="1"/>
  <c r="J101" i="128" s="1"/>
  <c r="M101" i="128" s="1"/>
  <c r="E144" i="128"/>
  <c r="F144" i="128" s="1"/>
  <c r="H144" i="128" s="1"/>
  <c r="J144" i="128" s="1"/>
  <c r="N144" i="128" s="1"/>
  <c r="E136" i="128"/>
  <c r="F136" i="128" s="1"/>
  <c r="H136" i="128" s="1"/>
  <c r="J136" i="128" s="1"/>
  <c r="M136" i="128" s="1"/>
  <c r="E120" i="128"/>
  <c r="F120" i="128" s="1"/>
  <c r="H120" i="128" s="1"/>
  <c r="J120" i="128" s="1"/>
  <c r="M120" i="128" s="1"/>
  <c r="E112" i="128"/>
  <c r="F112" i="128" s="1"/>
  <c r="H112" i="128" s="1"/>
  <c r="J112" i="128" s="1"/>
  <c r="M112" i="128" s="1"/>
  <c r="E126" i="128"/>
  <c r="F126" i="128" s="1"/>
  <c r="H126" i="128" s="1"/>
  <c r="J126" i="128" s="1"/>
  <c r="N126" i="128" s="1"/>
  <c r="E145" i="128"/>
  <c r="F145" i="128" s="1"/>
  <c r="H145" i="128" s="1"/>
  <c r="J145" i="128" s="1"/>
  <c r="N145" i="128" s="1"/>
  <c r="E124" i="128"/>
  <c r="F124" i="128" s="1"/>
  <c r="H124" i="128" s="1"/>
  <c r="J124" i="128" s="1"/>
  <c r="N124" i="128" s="1"/>
  <c r="E108" i="128"/>
  <c r="F108" i="128" s="1"/>
  <c r="H108" i="128" s="1"/>
  <c r="J108" i="128" s="1"/>
  <c r="M108" i="128" s="1"/>
  <c r="E147" i="128"/>
  <c r="F147" i="128" s="1"/>
  <c r="H147" i="128" s="1"/>
  <c r="J147" i="128" s="1"/>
  <c r="N147" i="128" s="1"/>
  <c r="F100" i="128"/>
  <c r="H100" i="128" s="1"/>
  <c r="J100" i="128" s="1"/>
  <c r="M100" i="128" s="1"/>
  <c r="E110" i="128"/>
  <c r="F110" i="128" s="1"/>
  <c r="H110" i="128" s="1"/>
  <c r="J110" i="128" s="1"/>
  <c r="N110" i="128" s="1"/>
  <c r="E139" i="128"/>
  <c r="F139" i="128" s="1"/>
  <c r="H139" i="128" s="1"/>
  <c r="J139" i="128" s="1"/>
  <c r="M139" i="128" s="1"/>
  <c r="E204" i="128"/>
  <c r="F204" i="128" s="1"/>
  <c r="H204" i="128" s="1"/>
  <c r="J204" i="128" s="1"/>
  <c r="N204" i="128" s="1"/>
  <c r="E202" i="128"/>
  <c r="F201" i="128"/>
  <c r="H201" i="128" s="1"/>
  <c r="J201" i="128" s="1"/>
  <c r="N201" i="128" s="1"/>
  <c r="E119" i="128"/>
  <c r="F119" i="128" s="1"/>
  <c r="H119" i="128" s="1"/>
  <c r="J119" i="128" s="1"/>
  <c r="M119" i="128" s="1"/>
  <c r="E103" i="128"/>
  <c r="F103" i="128" s="1"/>
  <c r="H103" i="128" s="1"/>
  <c r="J103" i="128" s="1"/>
  <c r="L103" i="128" s="1"/>
  <c r="E130" i="128"/>
  <c r="F130" i="128" s="1"/>
  <c r="H130" i="128" s="1"/>
  <c r="J130" i="128" s="1"/>
  <c r="L130" i="128" s="1"/>
  <c r="E114" i="128"/>
  <c r="F114" i="128" s="1"/>
  <c r="H114" i="128" s="1"/>
  <c r="J114" i="128" s="1"/>
  <c r="L114" i="128" s="1"/>
  <c r="E106" i="128"/>
  <c r="F106" i="128" s="1"/>
  <c r="H106" i="128" s="1"/>
  <c r="J106" i="128" s="1"/>
  <c r="L106" i="128" s="1"/>
  <c r="E133" i="128"/>
  <c r="F133" i="128" s="1"/>
  <c r="H133" i="128" s="1"/>
  <c r="J133" i="128" s="1"/>
  <c r="L133" i="128" s="1"/>
  <c r="E117" i="128"/>
  <c r="F117" i="128" s="1"/>
  <c r="H117" i="128" s="1"/>
  <c r="J117" i="128" s="1"/>
  <c r="L117" i="128" s="1"/>
  <c r="E128" i="128"/>
  <c r="F128" i="128" s="1"/>
  <c r="H128" i="128" s="1"/>
  <c r="J128" i="128" s="1"/>
  <c r="L128" i="128" s="1"/>
  <c r="E76" i="128"/>
  <c r="F76" i="128" s="1"/>
  <c r="H76" i="128" s="1"/>
  <c r="J76" i="128" s="1"/>
  <c r="L76" i="128" s="1"/>
  <c r="E60" i="128"/>
  <c r="F60" i="128" s="1"/>
  <c r="H60" i="128" s="1"/>
  <c r="J60" i="128" s="1"/>
  <c r="L60" i="128" s="1"/>
  <c r="E52" i="128"/>
  <c r="F52" i="128" s="1"/>
  <c r="H52" i="128" s="1"/>
  <c r="J52" i="128" s="1"/>
  <c r="L52" i="128" s="1"/>
  <c r="E82" i="128"/>
  <c r="F82" i="128" s="1"/>
  <c r="H82" i="128" s="1"/>
  <c r="J82" i="128" s="1"/>
  <c r="M82" i="128" s="1"/>
  <c r="E74" i="128"/>
  <c r="F74" i="128" s="1"/>
  <c r="H74" i="128" s="1"/>
  <c r="J74" i="128" s="1"/>
  <c r="L74" i="128" s="1"/>
  <c r="E58" i="128"/>
  <c r="F58" i="128" s="1"/>
  <c r="H58" i="128" s="1"/>
  <c r="J58" i="128" s="1"/>
  <c r="L58" i="128" s="1"/>
  <c r="E50" i="128"/>
  <c r="F50" i="128" s="1"/>
  <c r="H50" i="128" s="1"/>
  <c r="J50" i="128" s="1"/>
  <c r="L50" i="128" s="1"/>
  <c r="F102" i="128"/>
  <c r="H102" i="128" s="1"/>
  <c r="J102" i="128" s="1"/>
  <c r="L102" i="128" s="1"/>
  <c r="F46" i="128"/>
  <c r="H46" i="128" s="1"/>
  <c r="J46" i="128" s="1"/>
  <c r="M46" i="128" s="1"/>
  <c r="E48" i="128"/>
  <c r="F48" i="128" s="1"/>
  <c r="H48" i="128" s="1"/>
  <c r="J48" i="128" s="1"/>
  <c r="L48" i="128" s="1"/>
  <c r="E63" i="128"/>
  <c r="F63" i="128" s="1"/>
  <c r="H63" i="128" s="1"/>
  <c r="J63" i="128" s="1"/>
  <c r="M63" i="128" s="1"/>
  <c r="E86" i="128"/>
  <c r="F86" i="128" s="1"/>
  <c r="H86" i="128" s="1"/>
  <c r="J86" i="128" s="1"/>
  <c r="M86" i="128" s="1"/>
  <c r="F5" i="128"/>
  <c r="H5" i="128" s="1"/>
  <c r="J5" i="128" s="1"/>
  <c r="E116" i="128"/>
  <c r="F116" i="128" s="1"/>
  <c r="H116" i="128" s="1"/>
  <c r="J116" i="128" s="1"/>
  <c r="L116" i="128" s="1"/>
  <c r="E118" i="128"/>
  <c r="F118" i="128" s="1"/>
  <c r="H118" i="128" s="1"/>
  <c r="J118" i="128" s="1"/>
  <c r="M118" i="128" s="1"/>
  <c r="E176" i="128"/>
  <c r="F176" i="128" s="1"/>
  <c r="H176" i="128" s="1"/>
  <c r="J176" i="128" s="1"/>
  <c r="L176" i="128" s="1"/>
  <c r="E168" i="128"/>
  <c r="F168" i="128" s="1"/>
  <c r="H168" i="128" s="1"/>
  <c r="J168" i="128" s="1"/>
  <c r="M168" i="128" s="1"/>
  <c r="E184" i="128"/>
  <c r="F184" i="128" s="1"/>
  <c r="H184" i="128" s="1"/>
  <c r="J184" i="128" s="1"/>
  <c r="N184" i="128" s="1"/>
  <c r="E189" i="128"/>
  <c r="F189" i="128" s="1"/>
  <c r="H189" i="128" s="1"/>
  <c r="J189" i="128" s="1"/>
  <c r="N189" i="128" s="1"/>
  <c r="E160" i="128"/>
  <c r="F160" i="128" s="1"/>
  <c r="H160" i="128" s="1"/>
  <c r="J160" i="128" s="1"/>
  <c r="N160" i="128" s="1"/>
  <c r="F152" i="128"/>
  <c r="H152" i="128" s="1"/>
  <c r="J152" i="128" s="1"/>
  <c r="M152" i="128" s="1"/>
  <c r="E171" i="128"/>
  <c r="F171" i="128" s="1"/>
  <c r="H171" i="128" s="1"/>
  <c r="J171" i="128" s="1"/>
  <c r="N171" i="128" s="1"/>
  <c r="E158" i="128"/>
  <c r="F158" i="128" s="1"/>
  <c r="H158" i="128" s="1"/>
  <c r="J158" i="128" s="1"/>
  <c r="M158" i="128" s="1"/>
  <c r="E7" i="128"/>
  <c r="F7" i="128" s="1"/>
  <c r="H7" i="128" s="1"/>
  <c r="J7" i="128" s="1"/>
  <c r="M7" i="128" s="1"/>
  <c r="E56" i="128"/>
  <c r="F56" i="128" s="1"/>
  <c r="H56" i="128" s="1"/>
  <c r="J56" i="128" s="1"/>
  <c r="M56" i="128" s="1"/>
  <c r="E18" i="128"/>
  <c r="F18" i="128" s="1"/>
  <c r="H18" i="128" s="1"/>
  <c r="J18" i="128" s="1"/>
  <c r="O18" i="128" s="1"/>
  <c r="E38" i="128"/>
  <c r="F38" i="128" s="1"/>
  <c r="H38" i="128" s="1"/>
  <c r="J38" i="128" s="1"/>
  <c r="Q38" i="128" s="1"/>
  <c r="E33" i="128"/>
  <c r="F33" i="128" s="1"/>
  <c r="H33" i="128" s="1"/>
  <c r="J33" i="128" s="1"/>
  <c r="O33" i="128" s="1"/>
  <c r="E23" i="128"/>
  <c r="F23" i="128" s="1"/>
  <c r="H23" i="128" s="1"/>
  <c r="J23" i="128" s="1"/>
  <c r="M23" i="128" s="1"/>
  <c r="E16" i="128"/>
  <c r="F16" i="128" s="1"/>
  <c r="H16" i="128" s="1"/>
  <c r="J16" i="128" s="1"/>
  <c r="O16" i="128" s="1"/>
  <c r="E31" i="128"/>
  <c r="F31" i="128" s="1"/>
  <c r="H31" i="128" s="1"/>
  <c r="J31" i="128" s="1"/>
  <c r="O31" i="128" s="1"/>
  <c r="E104" i="128"/>
  <c r="F104" i="128" s="1"/>
  <c r="H104" i="128" s="1"/>
  <c r="J104" i="128" s="1"/>
  <c r="L104" i="128" s="1"/>
  <c r="E17" i="128"/>
  <c r="F17" i="128" s="1"/>
  <c r="H17" i="128" s="1"/>
  <c r="J17" i="128" s="1"/>
  <c r="O17" i="128" s="1"/>
  <c r="E32" i="128"/>
  <c r="F32" i="128" s="1"/>
  <c r="H32" i="128" s="1"/>
  <c r="J32" i="128" s="1"/>
  <c r="O32" i="128" s="1"/>
  <c r="E75" i="128"/>
  <c r="F75" i="128" s="1"/>
  <c r="H75" i="128" s="1"/>
  <c r="J75" i="128" s="1"/>
  <c r="L75" i="128" s="1"/>
  <c r="E132" i="128"/>
  <c r="F132" i="128" s="1"/>
  <c r="H132" i="128" s="1"/>
  <c r="J132" i="128" s="1"/>
  <c r="L132" i="128" s="1"/>
  <c r="E134" i="128"/>
  <c r="F134" i="128" s="1"/>
  <c r="H134" i="128" s="1"/>
  <c r="J134" i="128" s="1"/>
  <c r="L134" i="128" s="1"/>
  <c r="E183" i="128"/>
  <c r="F183" i="128" s="1"/>
  <c r="H183" i="128" s="1"/>
  <c r="J183" i="128" s="1"/>
  <c r="N183" i="128" s="1"/>
  <c r="E66" i="128"/>
  <c r="F66" i="128" s="1"/>
  <c r="H66" i="128" s="1"/>
  <c r="J66" i="128" s="1"/>
  <c r="M66" i="128" s="1"/>
  <c r="E90" i="128"/>
  <c r="F90" i="128" s="1"/>
  <c r="H90" i="128" s="1"/>
  <c r="J90" i="128" s="1"/>
  <c r="N90" i="128" s="1"/>
  <c r="F42" i="128"/>
  <c r="H42" i="128" s="1"/>
  <c r="J42" i="128" s="1"/>
  <c r="M42" i="128" s="1"/>
  <c r="E44" i="128"/>
  <c r="F44" i="128" s="1"/>
  <c r="H44" i="128" s="1"/>
  <c r="J44" i="128" s="1"/>
  <c r="M44" i="128" s="1"/>
  <c r="E68" i="128"/>
  <c r="F68" i="128" s="1"/>
  <c r="H68" i="128" s="1"/>
  <c r="J68" i="128" s="1"/>
  <c r="N68" i="128" s="1"/>
  <c r="E84" i="128"/>
  <c r="F84" i="128" s="1"/>
  <c r="H84" i="128" s="1"/>
  <c r="J84" i="128" s="1"/>
  <c r="N84" i="128" s="1"/>
  <c r="Q217" i="128" l="1"/>
  <c r="Q218" i="128" s="1"/>
  <c r="E51" i="26" s="1"/>
  <c r="Q51" i="26" s="1"/>
  <c r="G200" i="94"/>
  <c r="G201" i="94" s="1"/>
  <c r="E83" i="26" s="1"/>
  <c r="E73" i="128"/>
  <c r="F73" i="128" s="1"/>
  <c r="H73" i="128" s="1"/>
  <c r="J73" i="128" s="1"/>
  <c r="L73" i="128" s="1"/>
  <c r="L217" i="128" s="1"/>
  <c r="L218" i="128" s="1"/>
  <c r="E47" i="26" s="1"/>
  <c r="O217" i="128"/>
  <c r="O218" i="128" s="1"/>
  <c r="E50" i="26" s="1"/>
  <c r="G188" i="94"/>
  <c r="G189" i="94" s="1"/>
  <c r="E152" i="11" s="1"/>
  <c r="K152" i="11" s="1"/>
  <c r="I176" i="94"/>
  <c r="E148" i="11" s="1"/>
  <c r="F131" i="94"/>
  <c r="F132" i="94" s="1"/>
  <c r="E104" i="26" s="1"/>
  <c r="G12" i="94"/>
  <c r="G13" i="94" s="1"/>
  <c r="E104" i="11" s="1"/>
  <c r="E105" i="11" s="1"/>
  <c r="H4" i="94"/>
  <c r="H12" i="94" s="1"/>
  <c r="H13" i="94" s="1"/>
  <c r="E102" i="11" s="1"/>
  <c r="E103" i="11" s="1"/>
  <c r="M5" i="128"/>
  <c r="F202" i="128"/>
  <c r="H202" i="128" s="1"/>
  <c r="J202" i="128" s="1"/>
  <c r="M202" i="128" s="1"/>
  <c r="E208" i="128"/>
  <c r="F208" i="128" s="1"/>
  <c r="H208" i="128" s="1"/>
  <c r="J208" i="128" s="1"/>
  <c r="M208" i="128" s="1"/>
  <c r="E206" i="128"/>
  <c r="F206" i="128" s="1"/>
  <c r="H206" i="128" s="1"/>
  <c r="J206" i="128" s="1"/>
  <c r="N206" i="128" s="1"/>
  <c r="E203" i="128"/>
  <c r="F203" i="128" s="1"/>
  <c r="H203" i="128" s="1"/>
  <c r="J203" i="128" s="1"/>
  <c r="N203" i="128" s="1"/>
  <c r="O51" i="26" l="1"/>
  <c r="N51" i="26"/>
  <c r="P51" i="26"/>
  <c r="R51" i="26"/>
  <c r="N217" i="128"/>
  <c r="N218" i="128" s="1"/>
  <c r="E48" i="26" s="1"/>
  <c r="E153" i="11"/>
  <c r="J152" i="11"/>
  <c r="S152" i="11"/>
  <c r="J218" i="128"/>
  <c r="T217" i="128" s="1"/>
  <c r="M217" i="128"/>
  <c r="S51" i="26" l="1"/>
  <c r="S153" i="11"/>
  <c r="U151" i="11" s="1"/>
  <c r="Q151" i="11" s="1"/>
  <c r="I82" i="26" s="1"/>
  <c r="P82" i="26" s="1"/>
  <c r="K153" i="11"/>
  <c r="K151" i="11" s="1"/>
  <c r="I151" i="11" s="1"/>
  <c r="G82" i="26" s="1"/>
  <c r="O82" i="26" s="1"/>
  <c r="M218" i="128"/>
  <c r="S217" i="128"/>
  <c r="U217" i="128" s="1"/>
  <c r="S218" i="128" l="1"/>
  <c r="E49" i="26"/>
  <c r="K99" i="26"/>
  <c r="K98" i="26"/>
  <c r="H99" i="26"/>
  <c r="H98" i="26"/>
  <c r="G72" i="26"/>
  <c r="H72" i="26" s="1"/>
  <c r="J72" i="26"/>
  <c r="K72" i="26" s="1"/>
  <c r="L72" i="26"/>
  <c r="CH100" i="127"/>
  <c r="E155" i="26" s="1"/>
  <c r="G99" i="127"/>
  <c r="AJ99" i="127" s="1"/>
  <c r="F99" i="127"/>
  <c r="R99" i="127" s="1"/>
  <c r="BI98" i="127"/>
  <c r="AI98" i="127"/>
  <c r="AH98" i="127"/>
  <c r="AG98" i="127"/>
  <c r="S98" i="127"/>
  <c r="R98" i="127"/>
  <c r="N98" i="127"/>
  <c r="I98" i="127"/>
  <c r="CC97" i="127"/>
  <c r="AJ97" i="127"/>
  <c r="I97" i="127"/>
  <c r="BO97" i="127" s="1"/>
  <c r="F97" i="127"/>
  <c r="N97" i="127" s="1"/>
  <c r="CC96" i="127"/>
  <c r="V96" i="127"/>
  <c r="G96" i="127"/>
  <c r="I96" i="127" s="1"/>
  <c r="U96" i="127" s="1"/>
  <c r="F96" i="127"/>
  <c r="BZ95" i="127"/>
  <c r="AU95" i="127"/>
  <c r="Q95" i="127"/>
  <c r="I95" i="127"/>
  <c r="U95" i="127" s="1"/>
  <c r="G94" i="127"/>
  <c r="AJ94" i="127" s="1"/>
  <c r="F94" i="127"/>
  <c r="AG94" i="127" s="1"/>
  <c r="CM93" i="127"/>
  <c r="BX93" i="127"/>
  <c r="BQ93" i="127"/>
  <c r="BT93" i="127" s="1"/>
  <c r="BL93" i="127"/>
  <c r="BF93" i="127"/>
  <c r="AS93" i="127"/>
  <c r="AR93" i="127"/>
  <c r="AA93" i="127"/>
  <c r="X93" i="127"/>
  <c r="Q93" i="127"/>
  <c r="I93" i="127"/>
  <c r="BX92" i="127"/>
  <c r="BL92" i="127"/>
  <c r="BF92" i="127"/>
  <c r="AS92" i="127"/>
  <c r="AR92" i="127"/>
  <c r="AA92" i="127"/>
  <c r="Q92" i="127"/>
  <c r="I92" i="127"/>
  <c r="BU92" i="127" s="1"/>
  <c r="BW91" i="127"/>
  <c r="BG91" i="127"/>
  <c r="AN91" i="127"/>
  <c r="AM91" i="127"/>
  <c r="S91" i="127"/>
  <c r="R91" i="127"/>
  <c r="I91" i="127"/>
  <c r="X91" i="127" s="1"/>
  <c r="G90" i="127"/>
  <c r="I90" i="127" s="1"/>
  <c r="BR90" i="127" s="1"/>
  <c r="F90" i="127"/>
  <c r="R90" i="127" s="1"/>
  <c r="BW89" i="127"/>
  <c r="BG89" i="127"/>
  <c r="AN89" i="127"/>
  <c r="AM89" i="127"/>
  <c r="S89" i="127"/>
  <c r="R89" i="127"/>
  <c r="I89" i="127"/>
  <c r="BR89" i="127" s="1"/>
  <c r="G88" i="127"/>
  <c r="F88" i="127"/>
  <c r="BG88" i="127" s="1"/>
  <c r="CM87" i="127"/>
  <c r="BX87" i="127"/>
  <c r="BQ87" i="127"/>
  <c r="BT87" i="127" s="1"/>
  <c r="BL87" i="127"/>
  <c r="BF87" i="127"/>
  <c r="AS87" i="127"/>
  <c r="AR87" i="127"/>
  <c r="AA87" i="127"/>
  <c r="X87" i="127"/>
  <c r="Q87" i="127"/>
  <c r="I87" i="127"/>
  <c r="BX86" i="127"/>
  <c r="BL86" i="127"/>
  <c r="BF86" i="127"/>
  <c r="AS86" i="127"/>
  <c r="AR86" i="127"/>
  <c r="AA86" i="127"/>
  <c r="Q86" i="127"/>
  <c r="I86" i="127"/>
  <c r="Z86" i="127" s="1"/>
  <c r="G85" i="127"/>
  <c r="F85" i="127"/>
  <c r="BW84" i="127"/>
  <c r="BO84" i="127"/>
  <c r="BE84" i="127"/>
  <c r="AO84" i="127"/>
  <c r="AN84" i="127"/>
  <c r="AL84" i="127"/>
  <c r="AA84" i="127"/>
  <c r="Q84" i="127"/>
  <c r="I84" i="127"/>
  <c r="Z84" i="127" s="1"/>
  <c r="BZ83" i="127"/>
  <c r="AU83" i="127"/>
  <c r="Q83" i="127"/>
  <c r="I83" i="127"/>
  <c r="BV83" i="127" s="1"/>
  <c r="H82" i="127"/>
  <c r="G82" i="127"/>
  <c r="AJ82" i="127" s="1"/>
  <c r="F82" i="127"/>
  <c r="G81" i="127"/>
  <c r="I81" i="127" s="1"/>
  <c r="X81" i="127" s="1"/>
  <c r="F81" i="127"/>
  <c r="BW81" i="127" s="1"/>
  <c r="AA80" i="127"/>
  <c r="G80" i="127"/>
  <c r="AS80" i="127" s="1"/>
  <c r="F80" i="127"/>
  <c r="BW79" i="127"/>
  <c r="BG79" i="127"/>
  <c r="AN79" i="127"/>
  <c r="AM79" i="127"/>
  <c r="Q79" i="127"/>
  <c r="I79" i="127"/>
  <c r="BR79" i="127" s="1"/>
  <c r="BX78" i="127"/>
  <c r="BF78" i="127"/>
  <c r="AS78" i="127"/>
  <c r="AR78" i="127"/>
  <c r="AP78" i="127"/>
  <c r="BW78" i="127" s="1"/>
  <c r="AA78" i="127"/>
  <c r="Q78" i="127"/>
  <c r="I78" i="127"/>
  <c r="BW77" i="127"/>
  <c r="BF77" i="127"/>
  <c r="AN77" i="127"/>
  <c r="AL77" i="127"/>
  <c r="AA77" i="127"/>
  <c r="Q77" i="127"/>
  <c r="I77" i="127"/>
  <c r="AT76" i="127"/>
  <c r="AA76" i="127"/>
  <c r="H76" i="127"/>
  <c r="G76" i="127"/>
  <c r="F76" i="127"/>
  <c r="BW75" i="127"/>
  <c r="BQ75" i="127"/>
  <c r="BF75" i="127"/>
  <c r="AN75" i="127"/>
  <c r="AL75" i="127"/>
  <c r="AA75" i="127"/>
  <c r="Q75" i="127"/>
  <c r="H75" i="127"/>
  <c r="AO75" i="127" s="1"/>
  <c r="H74" i="127"/>
  <c r="G74" i="127"/>
  <c r="BN74" i="127" s="1"/>
  <c r="F74" i="127"/>
  <c r="BF74" i="127" s="1"/>
  <c r="BW73" i="127"/>
  <c r="BG73" i="127"/>
  <c r="AN73" i="127"/>
  <c r="AM73" i="127"/>
  <c r="AE73" i="127"/>
  <c r="AD73" i="127"/>
  <c r="S73" i="127"/>
  <c r="R73" i="127"/>
  <c r="I73" i="127"/>
  <c r="X73" i="127" s="1"/>
  <c r="BX72" i="127"/>
  <c r="BW72" i="127"/>
  <c r="BQ72" i="127"/>
  <c r="BT72" i="127" s="1"/>
  <c r="BF72" i="127"/>
  <c r="AR72" i="127"/>
  <c r="AN72" i="127"/>
  <c r="AA72" i="127"/>
  <c r="X72" i="127"/>
  <c r="Q72" i="127"/>
  <c r="I72" i="127"/>
  <c r="H71" i="127"/>
  <c r="G71" i="127"/>
  <c r="F71" i="127"/>
  <c r="BW70" i="127"/>
  <c r="BG70" i="127"/>
  <c r="AN70" i="127"/>
  <c r="AM70" i="127"/>
  <c r="AE70" i="127"/>
  <c r="AD70" i="127"/>
  <c r="S70" i="127"/>
  <c r="R70" i="127"/>
  <c r="I70" i="127"/>
  <c r="AA69" i="127"/>
  <c r="G69" i="127"/>
  <c r="AS69" i="127" s="1"/>
  <c r="F69" i="127"/>
  <c r="BX69" i="127" s="1"/>
  <c r="AA68" i="127"/>
  <c r="H68" i="127"/>
  <c r="G68" i="127"/>
  <c r="AS68" i="127" s="1"/>
  <c r="F68" i="127"/>
  <c r="AR68" i="127" s="1"/>
  <c r="H67" i="127"/>
  <c r="AP67" i="127" s="1"/>
  <c r="BW67" i="127" s="1"/>
  <c r="G67" i="127"/>
  <c r="AN67" i="127" s="1"/>
  <c r="F67" i="127"/>
  <c r="BF67" i="127" s="1"/>
  <c r="BW66" i="127"/>
  <c r="BF66" i="127"/>
  <c r="AO66" i="127"/>
  <c r="AN66" i="127"/>
  <c r="AL66" i="127"/>
  <c r="AA66" i="127"/>
  <c r="Q66" i="127"/>
  <c r="I66" i="127"/>
  <c r="BW65" i="127"/>
  <c r="BO65" i="127"/>
  <c r="BE65" i="127"/>
  <c r="AO65" i="127"/>
  <c r="AN65" i="127"/>
  <c r="AL65" i="127"/>
  <c r="AA65" i="127"/>
  <c r="Q65" i="127"/>
  <c r="I65" i="127"/>
  <c r="Z65" i="127" s="1"/>
  <c r="BZ64" i="127"/>
  <c r="AU64" i="127"/>
  <c r="Q64" i="127"/>
  <c r="I64" i="127"/>
  <c r="H63" i="127"/>
  <c r="G63" i="127"/>
  <c r="BN63" i="127" s="1"/>
  <c r="F63" i="127"/>
  <c r="BF63" i="127" s="1"/>
  <c r="BW62" i="127"/>
  <c r="BG62" i="127"/>
  <c r="AN62" i="127"/>
  <c r="AM62" i="127"/>
  <c r="AE62" i="127"/>
  <c r="AD62" i="127"/>
  <c r="S62" i="127"/>
  <c r="R62" i="127"/>
  <c r="I62" i="127"/>
  <c r="BR62" i="127" s="1"/>
  <c r="BX61" i="127"/>
  <c r="BW61" i="127"/>
  <c r="BQ61" i="127"/>
  <c r="BT61" i="127" s="1"/>
  <c r="BL61" i="127"/>
  <c r="BF61" i="127"/>
  <c r="AR61" i="127"/>
  <c r="AN61" i="127"/>
  <c r="AA61" i="127"/>
  <c r="X61" i="127"/>
  <c r="Q61" i="127"/>
  <c r="I61" i="127"/>
  <c r="H60" i="127"/>
  <c r="G60" i="127"/>
  <c r="F60" i="127"/>
  <c r="BF60" i="127" s="1"/>
  <c r="AA59" i="127"/>
  <c r="G59" i="127"/>
  <c r="I59" i="127" s="1"/>
  <c r="F59" i="127"/>
  <c r="BX59" i="127" s="1"/>
  <c r="BW58" i="127"/>
  <c r="BG58" i="127"/>
  <c r="AN58" i="127"/>
  <c r="AM58" i="127"/>
  <c r="AE58" i="127"/>
  <c r="AD58" i="127"/>
  <c r="S58" i="127"/>
  <c r="R58" i="127"/>
  <c r="I58" i="127"/>
  <c r="BR58" i="127" s="1"/>
  <c r="AP57" i="127"/>
  <c r="BW57" i="127" s="1"/>
  <c r="AA57" i="127"/>
  <c r="H57" i="127"/>
  <c r="G57" i="127"/>
  <c r="AS57" i="127" s="1"/>
  <c r="F57" i="127"/>
  <c r="BF57" i="127" s="1"/>
  <c r="BQ56" i="127"/>
  <c r="H56" i="127"/>
  <c r="AP56" i="127" s="1"/>
  <c r="BW56" i="127" s="1"/>
  <c r="G56" i="127"/>
  <c r="F56" i="127"/>
  <c r="Q56" i="127" s="1"/>
  <c r="BW55" i="127"/>
  <c r="BF55" i="127"/>
  <c r="AO55" i="127"/>
  <c r="AN55" i="127"/>
  <c r="AL55" i="127"/>
  <c r="AA55" i="127"/>
  <c r="Q55" i="127"/>
  <c r="I55" i="127"/>
  <c r="Z55" i="127" s="1"/>
  <c r="H54" i="127"/>
  <c r="G54" i="127"/>
  <c r="BN54" i="127" s="1"/>
  <c r="F54" i="127"/>
  <c r="BW53" i="127"/>
  <c r="BG53" i="127"/>
  <c r="AN53" i="127"/>
  <c r="AM53" i="127"/>
  <c r="AE53" i="127"/>
  <c r="AD53" i="127"/>
  <c r="S53" i="127"/>
  <c r="R53" i="127"/>
  <c r="I53" i="127"/>
  <c r="X53" i="127" s="1"/>
  <c r="BX52" i="127"/>
  <c r="BW52" i="127"/>
  <c r="BQ52" i="127"/>
  <c r="BT52" i="127" s="1"/>
  <c r="BL52" i="127"/>
  <c r="BF52" i="127"/>
  <c r="AR52" i="127"/>
  <c r="AN52" i="127"/>
  <c r="AA52" i="127"/>
  <c r="X52" i="127"/>
  <c r="Q52" i="127"/>
  <c r="I52" i="127"/>
  <c r="H51" i="127"/>
  <c r="G51" i="127"/>
  <c r="F51" i="127"/>
  <c r="BY51" i="127" s="1"/>
  <c r="BW50" i="127"/>
  <c r="BG50" i="127"/>
  <c r="AN50" i="127"/>
  <c r="AM50" i="127"/>
  <c r="AE50" i="127"/>
  <c r="AD50" i="127"/>
  <c r="S50" i="127"/>
  <c r="R50" i="127"/>
  <c r="I50" i="127"/>
  <c r="BR50" i="127" s="1"/>
  <c r="G49" i="127"/>
  <c r="AS49" i="127" s="1"/>
  <c r="F49" i="127"/>
  <c r="AA48" i="127"/>
  <c r="H48" i="127"/>
  <c r="G48" i="127"/>
  <c r="AS48" i="127" s="1"/>
  <c r="F48" i="127"/>
  <c r="Q48" i="127" s="1"/>
  <c r="BQ47" i="127"/>
  <c r="AP47" i="127"/>
  <c r="BW47" i="127" s="1"/>
  <c r="H47" i="127"/>
  <c r="G47" i="127"/>
  <c r="AN47" i="127" s="1"/>
  <c r="F47" i="127"/>
  <c r="AO46" i="127"/>
  <c r="AA46" i="127"/>
  <c r="H46" i="127"/>
  <c r="G46" i="127"/>
  <c r="F46" i="127"/>
  <c r="Q46" i="127" s="1"/>
  <c r="BW45" i="127"/>
  <c r="BO45" i="127"/>
  <c r="BE45" i="127"/>
  <c r="AO45" i="127"/>
  <c r="AN45" i="127"/>
  <c r="AL45" i="127"/>
  <c r="AA45" i="127"/>
  <c r="Q45" i="127"/>
  <c r="I45" i="127"/>
  <c r="BU45" i="127" s="1"/>
  <c r="BZ44" i="127"/>
  <c r="AU44" i="127"/>
  <c r="Q44" i="127"/>
  <c r="I44" i="127"/>
  <c r="U44" i="127" s="1"/>
  <c r="DI43" i="127"/>
  <c r="DI100" i="127" s="1"/>
  <c r="DH43" i="127"/>
  <c r="DH100" i="127" s="1"/>
  <c r="DG43" i="127"/>
  <c r="DG100" i="127" s="1"/>
  <c r="DF43" i="127"/>
  <c r="DF100" i="127" s="1"/>
  <c r="DE43" i="127"/>
  <c r="DE100" i="127" s="1"/>
  <c r="DD43" i="127"/>
  <c r="DD100" i="127" s="1"/>
  <c r="DC43" i="127"/>
  <c r="DC100" i="127" s="1"/>
  <c r="DB43" i="127"/>
  <c r="DB100" i="127" s="1"/>
  <c r="DA43" i="127"/>
  <c r="DA100" i="127" s="1"/>
  <c r="CZ43" i="127"/>
  <c r="CZ100" i="127" s="1"/>
  <c r="CX43" i="127"/>
  <c r="CX100" i="127" s="1"/>
  <c r="E143" i="26" s="1"/>
  <c r="CW43" i="127"/>
  <c r="CW100" i="127" s="1"/>
  <c r="CV43" i="127"/>
  <c r="CV100" i="127" s="1"/>
  <c r="CU43" i="127"/>
  <c r="CU100" i="127" s="1"/>
  <c r="CT43" i="127"/>
  <c r="CT100" i="127" s="1"/>
  <c r="CS43" i="127"/>
  <c r="CS100" i="127" s="1"/>
  <c r="CR43" i="127"/>
  <c r="CR100" i="127" s="1"/>
  <c r="E150" i="26" s="1"/>
  <c r="CQ43" i="127"/>
  <c r="CQ100" i="127" s="1"/>
  <c r="E149" i="26" s="1"/>
  <c r="CP43" i="127"/>
  <c r="CP100" i="127" s="1"/>
  <c r="E140" i="26" s="1"/>
  <c r="CO43" i="127"/>
  <c r="CO100" i="127" s="1"/>
  <c r="CN43" i="127"/>
  <c r="CN100" i="127" s="1"/>
  <c r="CM43" i="127"/>
  <c r="CL43" i="127"/>
  <c r="CL100" i="127" s="1"/>
  <c r="CK43" i="127"/>
  <c r="CK100" i="127" s="1"/>
  <c r="CJ43" i="127"/>
  <c r="CJ100" i="127" s="1"/>
  <c r="CI43" i="127"/>
  <c r="CI100" i="127" s="1"/>
  <c r="CG43" i="127"/>
  <c r="CG100" i="127" s="1"/>
  <c r="E137" i="26" s="1"/>
  <c r="CF43" i="127"/>
  <c r="CF100" i="127" s="1"/>
  <c r="E136" i="26" s="1"/>
  <c r="CE43" i="127"/>
  <c r="CE100" i="127" s="1"/>
  <c r="E135" i="26" s="1"/>
  <c r="CD43" i="127"/>
  <c r="CD100" i="127" s="1"/>
  <c r="E158" i="26" s="1"/>
  <c r="CC43" i="127"/>
  <c r="CB43" i="127"/>
  <c r="CB100" i="127" s="1"/>
  <c r="E138" i="26" s="1"/>
  <c r="BS43" i="127"/>
  <c r="BS100" i="127" s="1"/>
  <c r="BM43" i="127"/>
  <c r="BJ43" i="127"/>
  <c r="BI43" i="127"/>
  <c r="BH43" i="127"/>
  <c r="BD43" i="127"/>
  <c r="BB43" i="127"/>
  <c r="BB100" i="127" s="1"/>
  <c r="E132" i="26" s="1"/>
  <c r="BA43" i="127"/>
  <c r="BA100" i="127" s="1"/>
  <c r="AZ43" i="127"/>
  <c r="AZ100" i="127" s="1"/>
  <c r="C58" i="94" s="1"/>
  <c r="AY43" i="127"/>
  <c r="AY100" i="127" s="1"/>
  <c r="AX43" i="127"/>
  <c r="AX100" i="127" s="1"/>
  <c r="C56" i="94" s="1"/>
  <c r="AW43" i="127"/>
  <c r="AW100" i="127" s="1"/>
  <c r="C57" i="94" s="1"/>
  <c r="AT43" i="127"/>
  <c r="AQ43" i="127"/>
  <c r="AQ100" i="127" s="1"/>
  <c r="AH43" i="127"/>
  <c r="AG43" i="127"/>
  <c r="AF43" i="127"/>
  <c r="AB43" i="127"/>
  <c r="AB100" i="127" s="1"/>
  <c r="E69" i="26" s="1"/>
  <c r="Y43" i="127"/>
  <c r="Y100" i="127" s="1"/>
  <c r="W43" i="127"/>
  <c r="W100" i="127" s="1"/>
  <c r="V43" i="127"/>
  <c r="P43" i="127"/>
  <c r="O43" i="127"/>
  <c r="N43" i="127"/>
  <c r="H42" i="127"/>
  <c r="G42" i="127"/>
  <c r="AJ42" i="127" s="1"/>
  <c r="F42" i="127"/>
  <c r="BW41" i="127"/>
  <c r="BG41" i="127"/>
  <c r="AN41" i="127"/>
  <c r="AM41" i="127"/>
  <c r="AE41" i="127"/>
  <c r="AD41" i="127"/>
  <c r="S41" i="127"/>
  <c r="R41" i="127"/>
  <c r="I41" i="127"/>
  <c r="BR41" i="127" s="1"/>
  <c r="BX40" i="127"/>
  <c r="BW40" i="127"/>
  <c r="BQ40" i="127"/>
  <c r="BT40" i="127" s="1"/>
  <c r="BL40" i="127"/>
  <c r="BF40" i="127"/>
  <c r="AR40" i="127"/>
  <c r="AN40" i="127"/>
  <c r="AA40" i="127"/>
  <c r="X40" i="127"/>
  <c r="Q40" i="127"/>
  <c r="I40" i="127"/>
  <c r="H39" i="127"/>
  <c r="G39" i="127"/>
  <c r="F39" i="127"/>
  <c r="AA38" i="127"/>
  <c r="G38" i="127"/>
  <c r="F38" i="127"/>
  <c r="BX38" i="127" s="1"/>
  <c r="BW37" i="127"/>
  <c r="BG37" i="127"/>
  <c r="AN37" i="127"/>
  <c r="AM37" i="127"/>
  <c r="AE37" i="127"/>
  <c r="AD37" i="127"/>
  <c r="S37" i="127"/>
  <c r="R37" i="127"/>
  <c r="I37" i="127"/>
  <c r="BR37" i="127" s="1"/>
  <c r="AA36" i="127"/>
  <c r="H36" i="127"/>
  <c r="G36" i="127"/>
  <c r="BL36" i="127" s="1"/>
  <c r="F36" i="127"/>
  <c r="BF36" i="127" s="1"/>
  <c r="H35" i="127"/>
  <c r="AP35" i="127" s="1"/>
  <c r="BW35" i="127" s="1"/>
  <c r="G35" i="127"/>
  <c r="F35" i="127"/>
  <c r="BF35" i="127" s="1"/>
  <c r="BW34" i="127"/>
  <c r="BL34" i="127"/>
  <c r="BF34" i="127"/>
  <c r="AO34" i="127"/>
  <c r="AN34" i="127"/>
  <c r="AL34" i="127"/>
  <c r="AA34" i="127"/>
  <c r="Q34" i="127"/>
  <c r="I34" i="127"/>
  <c r="Z34" i="127" s="1"/>
  <c r="H33" i="127"/>
  <c r="G33" i="127"/>
  <c r="F33" i="127"/>
  <c r="BW32" i="127"/>
  <c r="BG32" i="127"/>
  <c r="AN32" i="127"/>
  <c r="AM32" i="127"/>
  <c r="AE32" i="127"/>
  <c r="AD32" i="127"/>
  <c r="S32" i="127"/>
  <c r="R32" i="127"/>
  <c r="I32" i="127"/>
  <c r="BR32" i="127" s="1"/>
  <c r="BX31" i="127"/>
  <c r="BW31" i="127"/>
  <c r="BQ31" i="127"/>
  <c r="BT31" i="127" s="1"/>
  <c r="BL31" i="127"/>
  <c r="BF31" i="127"/>
  <c r="AR31" i="127"/>
  <c r="AN31" i="127"/>
  <c r="AA31" i="127"/>
  <c r="X31" i="127"/>
  <c r="Q31" i="127"/>
  <c r="I31" i="127"/>
  <c r="H30" i="127"/>
  <c r="G30" i="127"/>
  <c r="F30" i="127"/>
  <c r="BW29" i="127"/>
  <c r="BG29" i="127"/>
  <c r="AN29" i="127"/>
  <c r="AM29" i="127"/>
  <c r="AE29" i="127"/>
  <c r="AD29" i="127"/>
  <c r="S29" i="127"/>
  <c r="R29" i="127"/>
  <c r="I29" i="127"/>
  <c r="AA28" i="127"/>
  <c r="G28" i="127"/>
  <c r="AS28" i="127" s="1"/>
  <c r="F28" i="127"/>
  <c r="BX28" i="127" s="1"/>
  <c r="AA27" i="127"/>
  <c r="H27" i="127"/>
  <c r="G27" i="127"/>
  <c r="AS27" i="127" s="1"/>
  <c r="F27" i="127"/>
  <c r="BX27" i="127" s="1"/>
  <c r="BQ26" i="127"/>
  <c r="AP26" i="127"/>
  <c r="H26" i="127"/>
  <c r="G26" i="127"/>
  <c r="F26" i="127"/>
  <c r="BF26" i="127" s="1"/>
  <c r="AO25" i="127"/>
  <c r="AA25" i="127"/>
  <c r="H25" i="127"/>
  <c r="G25" i="127"/>
  <c r="F25" i="127"/>
  <c r="AL25" i="127" s="1"/>
  <c r="BW24" i="127"/>
  <c r="BO24" i="127"/>
  <c r="BO43" i="127" s="1"/>
  <c r="BE24" i="127"/>
  <c r="AO24" i="127"/>
  <c r="AN24" i="127"/>
  <c r="AL24" i="127"/>
  <c r="AA24" i="127"/>
  <c r="Q24" i="127"/>
  <c r="I24" i="127"/>
  <c r="BU24" i="127" s="1"/>
  <c r="BZ23" i="127"/>
  <c r="AU23" i="127"/>
  <c r="Q23" i="127"/>
  <c r="I23" i="127"/>
  <c r="BV23" i="127" s="1"/>
  <c r="BV43" i="127" s="1"/>
  <c r="BZ22" i="127"/>
  <c r="AU22" i="127"/>
  <c r="AF22" i="127"/>
  <c r="V22" i="127"/>
  <c r="I22" i="127"/>
  <c r="BV22" i="127" s="1"/>
  <c r="L21" i="127"/>
  <c r="G21" i="127"/>
  <c r="I21" i="127" s="1"/>
  <c r="F21" i="127"/>
  <c r="BZ20" i="127"/>
  <c r="BH20" i="127"/>
  <c r="AU20" i="127"/>
  <c r="AF20" i="127"/>
  <c r="V20" i="127"/>
  <c r="P20" i="127"/>
  <c r="I20" i="127"/>
  <c r="BM20" i="127" s="1"/>
  <c r="V19" i="127"/>
  <c r="G19" i="127"/>
  <c r="I19" i="127" s="1"/>
  <c r="F19" i="127"/>
  <c r="P19" i="127" s="1"/>
  <c r="BZ18" i="127"/>
  <c r="BH18" i="127"/>
  <c r="AU18" i="127"/>
  <c r="AF18" i="127"/>
  <c r="V18" i="127"/>
  <c r="P18" i="127"/>
  <c r="I18" i="127"/>
  <c r="BM18" i="127" s="1"/>
  <c r="BW17" i="127"/>
  <c r="BJ17" i="127"/>
  <c r="AO17" i="127"/>
  <c r="AM17" i="127"/>
  <c r="AF17" i="127"/>
  <c r="P17" i="127"/>
  <c r="I17" i="127"/>
  <c r="H16" i="127"/>
  <c r="G16" i="127"/>
  <c r="F16" i="127"/>
  <c r="BH16" i="127" s="1"/>
  <c r="H15" i="127"/>
  <c r="I15" i="127" s="1"/>
  <c r="L14" i="127"/>
  <c r="H14" i="127"/>
  <c r="G14" i="127"/>
  <c r="F14" i="127"/>
  <c r="H13" i="127"/>
  <c r="G13" i="127"/>
  <c r="F13" i="127"/>
  <c r="H12" i="127"/>
  <c r="D12" i="127"/>
  <c r="G12" i="127" s="1"/>
  <c r="H11" i="127"/>
  <c r="G11" i="127"/>
  <c r="F11" i="127"/>
  <c r="BH11" i="127" s="1"/>
  <c r="H10" i="127"/>
  <c r="G10" i="127"/>
  <c r="F10" i="127"/>
  <c r="L9" i="127"/>
  <c r="AU9" i="127" s="1"/>
  <c r="G9" i="127"/>
  <c r="I9" i="127" s="1"/>
  <c r="F9" i="127"/>
  <c r="G8" i="127"/>
  <c r="I8" i="127" s="1"/>
  <c r="F8" i="127"/>
  <c r="O8" i="127" s="1"/>
  <c r="I13" i="127" l="1"/>
  <c r="Z61" i="127"/>
  <c r="R60" i="127"/>
  <c r="AI60" i="127"/>
  <c r="AN78" i="127"/>
  <c r="Z52" i="127"/>
  <c r="I76" i="127"/>
  <c r="BU76" i="127" s="1"/>
  <c r="BL55" i="127"/>
  <c r="I14" i="127"/>
  <c r="I46" i="127"/>
  <c r="BL46" i="127" s="1"/>
  <c r="I10" i="127"/>
  <c r="I16" i="127"/>
  <c r="I25" i="127"/>
  <c r="Z25" i="127" s="1"/>
  <c r="M98" i="26"/>
  <c r="M99" i="26"/>
  <c r="AU33" i="127"/>
  <c r="BY33" i="127"/>
  <c r="S39" i="127"/>
  <c r="BY39" i="127"/>
  <c r="I11" i="127"/>
  <c r="BU55" i="127"/>
  <c r="BF42" i="127"/>
  <c r="BY42" i="127"/>
  <c r="BF30" i="127"/>
  <c r="BY30" i="127"/>
  <c r="I35" i="127"/>
  <c r="X35" i="127" s="1"/>
  <c r="E141" i="26"/>
  <c r="E194" i="26"/>
  <c r="BU34" i="127"/>
  <c r="AI54" i="127"/>
  <c r="BY54" i="127"/>
  <c r="AU39" i="127"/>
  <c r="BU40" i="127"/>
  <c r="BN94" i="127"/>
  <c r="BV20" i="127"/>
  <c r="S60" i="127"/>
  <c r="BI100" i="127"/>
  <c r="E93" i="26" s="1"/>
  <c r="BX36" i="127"/>
  <c r="BX43" i="127" s="1"/>
  <c r="R39" i="127"/>
  <c r="I26" i="127"/>
  <c r="BL26" i="127" s="1"/>
  <c r="Z87" i="127"/>
  <c r="BX48" i="127"/>
  <c r="BF46" i="127"/>
  <c r="BR53" i="127"/>
  <c r="BU93" i="127"/>
  <c r="BF28" i="127"/>
  <c r="R63" i="127"/>
  <c r="AE81" i="127"/>
  <c r="AH99" i="127"/>
  <c r="S63" i="127"/>
  <c r="AN81" i="127"/>
  <c r="AI99" i="127"/>
  <c r="AI63" i="127"/>
  <c r="BR73" i="127"/>
  <c r="BG81" i="127"/>
  <c r="BD97" i="127"/>
  <c r="BD100" i="127" s="1"/>
  <c r="E92" i="26" s="1"/>
  <c r="AR48" i="127"/>
  <c r="X58" i="127"/>
  <c r="BF48" i="127"/>
  <c r="BU86" i="127"/>
  <c r="F12" i="127"/>
  <c r="BJ12" i="127" s="1"/>
  <c r="BU61" i="127"/>
  <c r="X89" i="127"/>
  <c r="AS76" i="127"/>
  <c r="BR81" i="127"/>
  <c r="AL46" i="127"/>
  <c r="Q28" i="127"/>
  <c r="BV44" i="127"/>
  <c r="S99" i="127"/>
  <c r="AR28" i="127"/>
  <c r="BW46" i="127"/>
  <c r="AG99" i="127"/>
  <c r="BN42" i="127"/>
  <c r="BU65" i="127"/>
  <c r="AD43" i="127"/>
  <c r="CM100" i="127"/>
  <c r="CM103" i="127" s="1"/>
  <c r="E156" i="26" s="1"/>
  <c r="BU84" i="127"/>
  <c r="BF94" i="127"/>
  <c r="BM19" i="127"/>
  <c r="BV19" i="127"/>
  <c r="U19" i="127"/>
  <c r="AN17" i="127"/>
  <c r="AU17" i="127"/>
  <c r="AF13" i="127"/>
  <c r="BJ13" i="127"/>
  <c r="BU77" i="127"/>
  <c r="Z77" i="127"/>
  <c r="BL77" i="127"/>
  <c r="BZ9" i="127"/>
  <c r="P13" i="127"/>
  <c r="X37" i="127"/>
  <c r="BN60" i="127"/>
  <c r="AJ60" i="127"/>
  <c r="BU66" i="127"/>
  <c r="BL66" i="127"/>
  <c r="Z66" i="127"/>
  <c r="I48" i="127"/>
  <c r="I60" i="127"/>
  <c r="X70" i="127"/>
  <c r="BR70" i="127"/>
  <c r="BN51" i="127"/>
  <c r="AJ51" i="127"/>
  <c r="I51" i="127"/>
  <c r="AJ74" i="127"/>
  <c r="X29" i="127"/>
  <c r="BR29" i="127"/>
  <c r="BR43" i="127" s="1"/>
  <c r="C55" i="94"/>
  <c r="E130" i="26"/>
  <c r="BF47" i="127"/>
  <c r="Q47" i="127"/>
  <c r="AN56" i="127"/>
  <c r="I56" i="127"/>
  <c r="AI51" i="127"/>
  <c r="S51" i="127"/>
  <c r="BF51" i="127"/>
  <c r="AU51" i="127"/>
  <c r="R51" i="127"/>
  <c r="I74" i="127"/>
  <c r="BZ10" i="127"/>
  <c r="AU10" i="127"/>
  <c r="BJ10" i="127"/>
  <c r="AF10" i="127"/>
  <c r="BN33" i="127"/>
  <c r="AJ33" i="127"/>
  <c r="I33" i="127"/>
  <c r="Z24" i="127"/>
  <c r="Q26" i="127"/>
  <c r="P10" i="127"/>
  <c r="AA43" i="127"/>
  <c r="AA100" i="127" s="1"/>
  <c r="E68" i="26" s="1"/>
  <c r="AN26" i="127"/>
  <c r="C59" i="94"/>
  <c r="E133" i="26"/>
  <c r="AP43" i="127"/>
  <c r="AP100" i="127" s="1"/>
  <c r="E108" i="26" s="1"/>
  <c r="BW26" i="127"/>
  <c r="I47" i="127"/>
  <c r="BT47" i="127" s="1"/>
  <c r="AR80" i="127"/>
  <c r="BX80" i="127"/>
  <c r="BF80" i="127"/>
  <c r="I68" i="127"/>
  <c r="Z68" i="127" s="1"/>
  <c r="Z78" i="127"/>
  <c r="BL78" i="127"/>
  <c r="BU78" i="127"/>
  <c r="Q80" i="127"/>
  <c r="BZ19" i="127"/>
  <c r="BH19" i="127"/>
  <c r="AU19" i="127"/>
  <c r="AF19" i="127"/>
  <c r="X41" i="127"/>
  <c r="BU52" i="127"/>
  <c r="Q68" i="127"/>
  <c r="I80" i="127"/>
  <c r="R96" i="127"/>
  <c r="BH96" i="127"/>
  <c r="AU96" i="127"/>
  <c r="BZ96" i="127"/>
  <c r="S90" i="127"/>
  <c r="O100" i="127"/>
  <c r="E72" i="26" s="1"/>
  <c r="P72" i="26" s="1"/>
  <c r="I36" i="127"/>
  <c r="BU36" i="127" s="1"/>
  <c r="BM96" i="127"/>
  <c r="AZ102" i="127"/>
  <c r="E131" i="26" s="1"/>
  <c r="AM90" i="127"/>
  <c r="I94" i="127"/>
  <c r="BV96" i="127"/>
  <c r="BZ8" i="127"/>
  <c r="AR36" i="127"/>
  <c r="CC100" i="127"/>
  <c r="E157" i="26" s="1"/>
  <c r="AR69" i="127"/>
  <c r="BU72" i="127"/>
  <c r="AN90" i="127"/>
  <c r="AH94" i="127"/>
  <c r="AE43" i="127"/>
  <c r="I54" i="127"/>
  <c r="BO100" i="127"/>
  <c r="E99" i="26" s="1"/>
  <c r="P99" i="26" s="1"/>
  <c r="BU87" i="127"/>
  <c r="AD90" i="127"/>
  <c r="BG43" i="127"/>
  <c r="Q36" i="127"/>
  <c r="Q69" i="127"/>
  <c r="AE90" i="127"/>
  <c r="AU8" i="127"/>
  <c r="AS36" i="127"/>
  <c r="I42" i="127"/>
  <c r="AT100" i="127"/>
  <c r="E112" i="26" s="1"/>
  <c r="BF69" i="127"/>
  <c r="BG90" i="127"/>
  <c r="AI94" i="127"/>
  <c r="BA104" i="127"/>
  <c r="AZ103" i="127"/>
  <c r="E236" i="11" s="1"/>
  <c r="I12" i="127"/>
  <c r="BW90" i="127"/>
  <c r="Z93" i="127"/>
  <c r="N99" i="127"/>
  <c r="N100" i="127" s="1"/>
  <c r="E74" i="26" s="1"/>
  <c r="M72" i="26"/>
  <c r="BR21" i="127"/>
  <c r="X21" i="127"/>
  <c r="U8" i="127"/>
  <c r="BV8" i="127"/>
  <c r="CK102" i="127"/>
  <c r="E154" i="26" s="1"/>
  <c r="BU59" i="127"/>
  <c r="BL59" i="127"/>
  <c r="Z59" i="127"/>
  <c r="BQ35" i="127"/>
  <c r="BQ43" i="127" s="1"/>
  <c r="AI82" i="127"/>
  <c r="AH82" i="127"/>
  <c r="AG82" i="127"/>
  <c r="S82" i="127"/>
  <c r="R82" i="127"/>
  <c r="AF9" i="127"/>
  <c r="P9" i="127"/>
  <c r="R33" i="127"/>
  <c r="BV21" i="127"/>
  <c r="I63" i="127"/>
  <c r="I82" i="127"/>
  <c r="AI97" i="127"/>
  <c r="AG97" i="127"/>
  <c r="AH97" i="127"/>
  <c r="S97" i="127"/>
  <c r="R97" i="127"/>
  <c r="I28" i="127"/>
  <c r="U23" i="127"/>
  <c r="U43" i="127" s="1"/>
  <c r="Q25" i="127"/>
  <c r="I57" i="127"/>
  <c r="S30" i="127"/>
  <c r="P11" i="127"/>
  <c r="AU16" i="127"/>
  <c r="BF25" i="127"/>
  <c r="AN46" i="127"/>
  <c r="I69" i="127"/>
  <c r="AN88" i="127"/>
  <c r="AE88" i="127"/>
  <c r="AU11" i="127"/>
  <c r="X32" i="127"/>
  <c r="R54" i="127"/>
  <c r="BZ14" i="127"/>
  <c r="BJ14" i="127"/>
  <c r="AU14" i="127"/>
  <c r="P14" i="127"/>
  <c r="BV18" i="127"/>
  <c r="AL43" i="127"/>
  <c r="Q27" i="127"/>
  <c r="S54" i="127"/>
  <c r="AJ63" i="127"/>
  <c r="I67" i="127"/>
  <c r="X79" i="127"/>
  <c r="BN85" i="127"/>
  <c r="AJ85" i="127"/>
  <c r="R88" i="127"/>
  <c r="BZ11" i="127"/>
  <c r="U22" i="127"/>
  <c r="BW25" i="127"/>
  <c r="X50" i="127"/>
  <c r="Q67" i="127"/>
  <c r="AD81" i="127"/>
  <c r="R81" i="127"/>
  <c r="S81" i="127"/>
  <c r="U83" i="127"/>
  <c r="I85" i="127"/>
  <c r="Z92" i="127"/>
  <c r="BV95" i="127"/>
  <c r="BZ21" i="127"/>
  <c r="AU21" i="127"/>
  <c r="AR57" i="127"/>
  <c r="Q57" i="127"/>
  <c r="AS38" i="127"/>
  <c r="I38" i="127"/>
  <c r="V100" i="127"/>
  <c r="AF16" i="127"/>
  <c r="AF11" i="127"/>
  <c r="BX76" i="127"/>
  <c r="BF76" i="127"/>
  <c r="BN82" i="127"/>
  <c r="BG21" i="127"/>
  <c r="I27" i="127"/>
  <c r="BF33" i="127"/>
  <c r="BF85" i="127"/>
  <c r="AI85" i="127"/>
  <c r="X90" i="127"/>
  <c r="U20" i="127"/>
  <c r="BU31" i="127"/>
  <c r="Q35" i="127"/>
  <c r="AI42" i="127"/>
  <c r="S42" i="127"/>
  <c r="R42" i="127"/>
  <c r="Q59" i="127"/>
  <c r="AO43" i="127"/>
  <c r="AO100" i="127" s="1"/>
  <c r="AN35" i="127"/>
  <c r="BF39" i="127"/>
  <c r="AI39" i="127"/>
  <c r="AJ54" i="127"/>
  <c r="BX57" i="127"/>
  <c r="X62" i="127"/>
  <c r="BF71" i="127"/>
  <c r="AI71" i="127"/>
  <c r="S71" i="127"/>
  <c r="R71" i="127"/>
  <c r="Q76" i="127"/>
  <c r="R85" i="127"/>
  <c r="BZ17" i="127"/>
  <c r="AU30" i="127"/>
  <c r="AI30" i="127"/>
  <c r="R30" i="127"/>
  <c r="AJ30" i="127"/>
  <c r="I30" i="127"/>
  <c r="AR38" i="127"/>
  <c r="Q38" i="127"/>
  <c r="S33" i="127"/>
  <c r="I49" i="127"/>
  <c r="P16" i="127"/>
  <c r="P21" i="127"/>
  <c r="AN25" i="127"/>
  <c r="AI33" i="127"/>
  <c r="BF82" i="127"/>
  <c r="AM88" i="127"/>
  <c r="AD88" i="127"/>
  <c r="S88" i="127"/>
  <c r="BR91" i="127"/>
  <c r="AF21" i="127"/>
  <c r="BN30" i="127"/>
  <c r="BL72" i="127"/>
  <c r="BL38" i="127"/>
  <c r="I88" i="127"/>
  <c r="BE43" i="127"/>
  <c r="BE100" i="127" s="1"/>
  <c r="E89" i="26" s="1"/>
  <c r="AR27" i="127"/>
  <c r="BL35" i="127"/>
  <c r="BN39" i="127"/>
  <c r="AJ39" i="127"/>
  <c r="BF56" i="127"/>
  <c r="AR59" i="127"/>
  <c r="BV64" i="127"/>
  <c r="U64" i="127"/>
  <c r="BN71" i="127"/>
  <c r="AJ71" i="127"/>
  <c r="S85" i="127"/>
  <c r="BW88" i="127"/>
  <c r="BF27" i="127"/>
  <c r="AM43" i="127"/>
  <c r="AS59" i="127"/>
  <c r="BX68" i="127"/>
  <c r="BF68" i="127"/>
  <c r="AM81" i="127"/>
  <c r="AG85" i="127"/>
  <c r="BF49" i="127"/>
  <c r="AR49" i="127"/>
  <c r="Q49" i="127"/>
  <c r="Z72" i="127"/>
  <c r="U18" i="127"/>
  <c r="BF54" i="127"/>
  <c r="AU54" i="127"/>
  <c r="Z40" i="127"/>
  <c r="BX49" i="127"/>
  <c r="AI74" i="127"/>
  <c r="S74" i="127"/>
  <c r="R74" i="127"/>
  <c r="BF38" i="127"/>
  <c r="Z45" i="127"/>
  <c r="BJ9" i="127"/>
  <c r="Z31" i="127"/>
  <c r="AF14" i="127"/>
  <c r="I39" i="127"/>
  <c r="AU42" i="127"/>
  <c r="BF59" i="127"/>
  <c r="I71" i="127"/>
  <c r="I75" i="127"/>
  <c r="AR76" i="127"/>
  <c r="AH85" i="127"/>
  <c r="R94" i="127"/>
  <c r="S94" i="127"/>
  <c r="BU68" i="127" l="1"/>
  <c r="BL68" i="127"/>
  <c r="Z76" i="127"/>
  <c r="BL76" i="127"/>
  <c r="BU25" i="127"/>
  <c r="CM102" i="127"/>
  <c r="E139" i="26" s="1"/>
  <c r="BL25" i="127"/>
  <c r="BU46" i="127"/>
  <c r="Z46" i="127"/>
  <c r="BM100" i="127"/>
  <c r="BY43" i="127"/>
  <c r="BY100" i="127" s="1"/>
  <c r="G87" i="125" s="1"/>
  <c r="BT26" i="127"/>
  <c r="Q99" i="26"/>
  <c r="O99" i="26"/>
  <c r="N99" i="26"/>
  <c r="R99" i="26"/>
  <c r="BH100" i="127"/>
  <c r="E94" i="26" s="1"/>
  <c r="X26" i="127"/>
  <c r="X43" i="127" s="1"/>
  <c r="Z36" i="127"/>
  <c r="AL100" i="127"/>
  <c r="E106" i="26" s="1"/>
  <c r="BW43" i="127"/>
  <c r="BW100" i="127" s="1"/>
  <c r="BT35" i="127"/>
  <c r="AE100" i="127"/>
  <c r="AE102" i="127" s="1"/>
  <c r="R72" i="26"/>
  <c r="BG100" i="127"/>
  <c r="E91" i="26" s="1"/>
  <c r="P12" i="127"/>
  <c r="P100" i="127" s="1"/>
  <c r="E73" i="26" s="1"/>
  <c r="AU12" i="127"/>
  <c r="AF12" i="127"/>
  <c r="AF100" i="127" s="1"/>
  <c r="E56" i="26" s="1"/>
  <c r="BZ12" i="127"/>
  <c r="O72" i="26"/>
  <c r="AM100" i="127"/>
  <c r="E107" i="26" s="1"/>
  <c r="X56" i="127"/>
  <c r="BT56" i="127"/>
  <c r="BL56" i="127"/>
  <c r="Z48" i="127"/>
  <c r="BU48" i="127"/>
  <c r="BL48" i="127"/>
  <c r="BL47" i="127"/>
  <c r="X47" i="127"/>
  <c r="AU43" i="127"/>
  <c r="Q43" i="127"/>
  <c r="Q100" i="127" s="1"/>
  <c r="E75" i="26" s="1"/>
  <c r="BZ43" i="127"/>
  <c r="N72" i="26"/>
  <c r="BL80" i="127"/>
  <c r="BU80" i="127"/>
  <c r="Z80" i="127"/>
  <c r="AP102" i="127"/>
  <c r="AD100" i="127"/>
  <c r="AG100" i="127"/>
  <c r="E58" i="26" s="1"/>
  <c r="AH100" i="127"/>
  <c r="E57" i="26" s="1"/>
  <c r="AS43" i="127"/>
  <c r="AS100" i="127" s="1"/>
  <c r="E111" i="26" s="1"/>
  <c r="BX100" i="127"/>
  <c r="E119" i="26" s="1"/>
  <c r="Q72" i="26"/>
  <c r="Z57" i="127"/>
  <c r="BL57" i="127"/>
  <c r="BU57" i="127"/>
  <c r="BF43" i="127"/>
  <c r="BF100" i="127" s="1"/>
  <c r="E90" i="26" s="1"/>
  <c r="AN43" i="127"/>
  <c r="AN100" i="127" s="1"/>
  <c r="AO102" i="127" s="1"/>
  <c r="E109" i="26" s="1"/>
  <c r="BL49" i="127"/>
  <c r="Z49" i="127"/>
  <c r="BU49" i="127"/>
  <c r="BU28" i="127"/>
  <c r="BL28" i="127"/>
  <c r="Z28" i="127"/>
  <c r="X88" i="127"/>
  <c r="BR88" i="127"/>
  <c r="BR100" i="127" s="1"/>
  <c r="E102" i="26" s="1"/>
  <c r="BV100" i="127"/>
  <c r="E116" i="26" s="1"/>
  <c r="U100" i="127"/>
  <c r="E66" i="26" s="1"/>
  <c r="AI43" i="127"/>
  <c r="AI100" i="127" s="1"/>
  <c r="E59" i="26" s="1"/>
  <c r="S43" i="127"/>
  <c r="S100" i="127" s="1"/>
  <c r="E77" i="26" s="1"/>
  <c r="AR43" i="127"/>
  <c r="AR100" i="127" s="1"/>
  <c r="E110" i="26" s="1"/>
  <c r="BT75" i="127"/>
  <c r="BL75" i="127"/>
  <c r="X75" i="127"/>
  <c r="Z38" i="127"/>
  <c r="BU38" i="127"/>
  <c r="BJ100" i="127"/>
  <c r="E95" i="26" s="1"/>
  <c r="BN43" i="127"/>
  <c r="BN100" i="127" s="1"/>
  <c r="E98" i="26" s="1"/>
  <c r="AJ43" i="127"/>
  <c r="AJ100" i="127" s="1"/>
  <c r="AJ102" i="127" s="1"/>
  <c r="BU27" i="127"/>
  <c r="BL27" i="127"/>
  <c r="Z27" i="127"/>
  <c r="BQ67" i="127"/>
  <c r="BQ100" i="127" s="1"/>
  <c r="E103" i="26" s="1"/>
  <c r="BL67" i="127"/>
  <c r="X67" i="127"/>
  <c r="BL69" i="127"/>
  <c r="Z69" i="127"/>
  <c r="BU69" i="127"/>
  <c r="R43" i="127"/>
  <c r="R100" i="127" s="1"/>
  <c r="E76" i="26" s="1"/>
  <c r="BL43" i="127" l="1"/>
  <c r="BT43" i="127"/>
  <c r="S99" i="26"/>
  <c r="N68" i="125"/>
  <c r="X100" i="127"/>
  <c r="E70" i="26" s="1"/>
  <c r="BZ100" i="127"/>
  <c r="BZ102" i="127" s="1"/>
  <c r="S72" i="26"/>
  <c r="BL100" i="127"/>
  <c r="E97" i="26" s="1"/>
  <c r="E118" i="26"/>
  <c r="BZ103" i="127"/>
  <c r="AU103" i="127"/>
  <c r="AU100" i="127"/>
  <c r="E113" i="26" s="1"/>
  <c r="BT67" i="127"/>
  <c r="BT100" i="127" s="1"/>
  <c r="AE103" i="127"/>
  <c r="AE104" i="127" s="1"/>
  <c r="E54" i="26"/>
  <c r="N98" i="26"/>
  <c r="Q98" i="26"/>
  <c r="P98" i="26"/>
  <c r="O98" i="26"/>
  <c r="R98" i="26"/>
  <c r="Z43" i="127"/>
  <c r="Z100" i="127" s="1"/>
  <c r="BU43" i="127"/>
  <c r="BU100" i="127" s="1"/>
  <c r="AJ103" i="127"/>
  <c r="AJ104" i="127" s="1"/>
  <c r="Z103" i="127" l="1"/>
  <c r="E67" i="26"/>
  <c r="Z102" i="127"/>
  <c r="E120" i="26"/>
  <c r="E117" i="26"/>
  <c r="BV103" i="127"/>
  <c r="AU102" i="127"/>
  <c r="BV102" i="127"/>
  <c r="E115" i="26"/>
  <c r="S98" i="26"/>
  <c r="F143" i="76"/>
  <c r="F141" i="76"/>
  <c r="F139" i="76"/>
  <c r="F138" i="76"/>
  <c r="E141" i="76"/>
  <c r="E138" i="76"/>
  <c r="E139" i="76" s="1"/>
  <c r="Z26" i="26"/>
  <c r="K80" i="11" l="1"/>
  <c r="J80" i="11"/>
  <c r="L79" i="11"/>
  <c r="L80" i="11"/>
  <c r="S80" i="11" s="1"/>
  <c r="L78" i="11"/>
  <c r="D77" i="11"/>
  <c r="C77" i="11"/>
  <c r="A77" i="11"/>
  <c r="H25" i="88"/>
  <c r="D25" i="88" s="1"/>
  <c r="D24" i="88"/>
  <c r="J21" i="26"/>
  <c r="E53" i="126"/>
  <c r="G53" i="126" s="1"/>
  <c r="E19" i="26" s="1"/>
  <c r="L48" i="126"/>
  <c r="F48" i="126" s="1"/>
  <c r="E48" i="126"/>
  <c r="L47" i="126"/>
  <c r="F47" i="126" s="1"/>
  <c r="E47" i="126"/>
  <c r="L46" i="126"/>
  <c r="F46" i="126" s="1"/>
  <c r="E46" i="126"/>
  <c r="L45" i="126"/>
  <c r="F45" i="126" s="1"/>
  <c r="E45" i="126"/>
  <c r="L44" i="126"/>
  <c r="F44" i="126" s="1"/>
  <c r="E44" i="126"/>
  <c r="L43" i="126"/>
  <c r="F43" i="126" s="1"/>
  <c r="E43" i="126"/>
  <c r="L42" i="126"/>
  <c r="F42" i="126" s="1"/>
  <c r="G42" i="126" s="1"/>
  <c r="L41" i="126"/>
  <c r="F41" i="126" s="1"/>
  <c r="E41" i="126"/>
  <c r="L40" i="126"/>
  <c r="F40" i="126" s="1"/>
  <c r="E40" i="126"/>
  <c r="L39" i="126"/>
  <c r="F39" i="126" s="1"/>
  <c r="E39" i="126"/>
  <c r="L38" i="126"/>
  <c r="F38" i="126" s="1"/>
  <c r="E38" i="126"/>
  <c r="L37" i="126"/>
  <c r="F37" i="126" s="1"/>
  <c r="E37" i="126"/>
  <c r="L36" i="126"/>
  <c r="F36" i="126" s="1"/>
  <c r="E36" i="126"/>
  <c r="L35" i="126"/>
  <c r="F35" i="126" s="1"/>
  <c r="E35" i="126"/>
  <c r="L34" i="126"/>
  <c r="F34" i="126" s="1"/>
  <c r="E34" i="126"/>
  <c r="L33" i="126"/>
  <c r="F33" i="126" s="1"/>
  <c r="E33" i="126"/>
  <c r="L32" i="126"/>
  <c r="F32" i="126" s="1"/>
  <c r="E32" i="126"/>
  <c r="L31" i="126"/>
  <c r="F31" i="126" s="1"/>
  <c r="E31" i="126"/>
  <c r="L30" i="126"/>
  <c r="F30" i="126" s="1"/>
  <c r="E30" i="126"/>
  <c r="L29" i="126"/>
  <c r="F29" i="126" s="1"/>
  <c r="E29" i="126"/>
  <c r="L28" i="126"/>
  <c r="F28" i="126" s="1"/>
  <c r="E28" i="126"/>
  <c r="L27" i="126"/>
  <c r="F27" i="126" s="1"/>
  <c r="E27" i="126"/>
  <c r="L26" i="126"/>
  <c r="F26" i="126" s="1"/>
  <c r="E26" i="126"/>
  <c r="L25" i="126"/>
  <c r="F25" i="126" s="1"/>
  <c r="E25" i="126"/>
  <c r="L24" i="126"/>
  <c r="F24" i="126" s="1"/>
  <c r="E24" i="126"/>
  <c r="G24" i="126" s="1"/>
  <c r="L23" i="126"/>
  <c r="F23" i="126" s="1"/>
  <c r="E23" i="126"/>
  <c r="L22" i="126"/>
  <c r="F22" i="126" s="1"/>
  <c r="E22" i="126"/>
  <c r="L21" i="126"/>
  <c r="F21" i="126" s="1"/>
  <c r="E21" i="126"/>
  <c r="L20" i="126"/>
  <c r="F20" i="126" s="1"/>
  <c r="E20" i="126"/>
  <c r="L19" i="126"/>
  <c r="F19" i="126" s="1"/>
  <c r="E19" i="126"/>
  <c r="L18" i="126"/>
  <c r="F18" i="126" s="1"/>
  <c r="E18" i="126"/>
  <c r="L17" i="126"/>
  <c r="F17" i="126" s="1"/>
  <c r="E17" i="126"/>
  <c r="L16" i="126"/>
  <c r="F16" i="126" s="1"/>
  <c r="E16" i="126"/>
  <c r="L15" i="126"/>
  <c r="F15" i="126" s="1"/>
  <c r="E15" i="126"/>
  <c r="L14" i="126"/>
  <c r="F14" i="126" s="1"/>
  <c r="E14" i="126"/>
  <c r="L13" i="126"/>
  <c r="F13" i="126" s="1"/>
  <c r="E13" i="126"/>
  <c r="K12" i="126"/>
  <c r="L12" i="126" s="1"/>
  <c r="F12" i="126" s="1"/>
  <c r="E12" i="126"/>
  <c r="E11" i="126"/>
  <c r="G11" i="126" s="1"/>
  <c r="E10" i="126"/>
  <c r="G10" i="126" s="1"/>
  <c r="D9" i="126"/>
  <c r="E9" i="126" s="1"/>
  <c r="G9" i="126" s="1"/>
  <c r="E7" i="126"/>
  <c r="G7" i="126" s="1"/>
  <c r="G36" i="126" l="1"/>
  <c r="G28" i="126"/>
  <c r="G46" i="126"/>
  <c r="G48" i="126"/>
  <c r="G16" i="126"/>
  <c r="G39" i="126"/>
  <c r="G18" i="126"/>
  <c r="G25" i="126"/>
  <c r="G32" i="126"/>
  <c r="G19" i="126"/>
  <c r="G30" i="126"/>
  <c r="G17" i="126"/>
  <c r="G13" i="126"/>
  <c r="G26" i="126"/>
  <c r="G45" i="126"/>
  <c r="G33" i="126"/>
  <c r="G20" i="126"/>
  <c r="G40" i="126"/>
  <c r="G27" i="126"/>
  <c r="G15" i="126"/>
  <c r="G34" i="126"/>
  <c r="G38" i="126"/>
  <c r="G41" i="126"/>
  <c r="G47" i="126"/>
  <c r="G23" i="126"/>
  <c r="G29" i="126"/>
  <c r="G35" i="126"/>
  <c r="G21" i="126"/>
  <c r="G22" i="126"/>
  <c r="G12" i="126"/>
  <c r="G31" i="126"/>
  <c r="G43" i="126"/>
  <c r="G44" i="126"/>
  <c r="G37" i="126"/>
  <c r="G14" i="126"/>
  <c r="H6" i="126"/>
  <c r="H8" i="126" l="1"/>
  <c r="I8" i="126" s="1"/>
  <c r="E21" i="26" s="1"/>
  <c r="G49" i="126"/>
  <c r="H49" i="126"/>
  <c r="I6" i="126"/>
  <c r="E20" i="26" s="1"/>
  <c r="E77" i="11" s="1"/>
  <c r="E79" i="11" s="1"/>
  <c r="K93" i="11" l="1"/>
  <c r="J93" i="11"/>
  <c r="E92" i="11"/>
  <c r="P95" i="88"/>
  <c r="P94" i="88"/>
  <c r="P96" i="88" l="1"/>
  <c r="E91" i="11"/>
  <c r="L90" i="11"/>
  <c r="J90" i="11"/>
  <c r="K90" i="11"/>
  <c r="L89" i="11"/>
  <c r="L86" i="88"/>
  <c r="M85" i="88" s="1"/>
  <c r="N85" i="88" s="1"/>
  <c r="L95" i="88"/>
  <c r="L94" i="88"/>
  <c r="L93" i="88"/>
  <c r="L91" i="88"/>
  <c r="L90" i="88"/>
  <c r="L89" i="88"/>
  <c r="L88" i="88"/>
  <c r="S93" i="11"/>
  <c r="B88" i="11"/>
  <c r="C88" i="11"/>
  <c r="D88" i="11"/>
  <c r="E88" i="11"/>
  <c r="A88" i="11"/>
  <c r="N42" i="26"/>
  <c r="O42" i="26"/>
  <c r="P42" i="26"/>
  <c r="Q42" i="26"/>
  <c r="H42" i="26"/>
  <c r="H43" i="26"/>
  <c r="H44" i="26"/>
  <c r="K42" i="26"/>
  <c r="K44" i="26"/>
  <c r="B53" i="75"/>
  <c r="O13" i="75"/>
  <c r="E34" i="26" s="1"/>
  <c r="B48" i="75"/>
  <c r="B49" i="75"/>
  <c r="B50" i="75"/>
  <c r="B51" i="75"/>
  <c r="B52" i="75"/>
  <c r="B54" i="75"/>
  <c r="B55" i="75"/>
  <c r="B56" i="75"/>
  <c r="B57" i="75"/>
  <c r="B58" i="75"/>
  <c r="B59" i="75"/>
  <c r="B60" i="75"/>
  <c r="B61" i="75"/>
  <c r="B62" i="75"/>
  <c r="B63" i="75"/>
  <c r="B47" i="75"/>
  <c r="D36" i="75"/>
  <c r="D37" i="75"/>
  <c r="D38" i="75"/>
  <c r="D39" i="75"/>
  <c r="D40" i="75"/>
  <c r="D41" i="75"/>
  <c r="D35" i="75"/>
  <c r="D21" i="75"/>
  <c r="E21" i="75"/>
  <c r="F21" i="75"/>
  <c r="G21" i="75"/>
  <c r="H21" i="75"/>
  <c r="I21" i="75"/>
  <c r="J21" i="75"/>
  <c r="K21" i="75"/>
  <c r="L21" i="75"/>
  <c r="M21" i="75"/>
  <c r="N21" i="75"/>
  <c r="C21" i="75"/>
  <c r="O20" i="75"/>
  <c r="E41" i="26" s="1"/>
  <c r="O41" i="26" s="1"/>
  <c r="M92" i="88" l="1"/>
  <c r="N92" i="88" s="1"/>
  <c r="M87" i="88"/>
  <c r="N87" i="88" s="1"/>
  <c r="Q20" i="75"/>
  <c r="P38" i="75"/>
  <c r="E25" i="75" s="1"/>
  <c r="S43" i="75" l="1"/>
  <c r="O6" i="75"/>
  <c r="E28" i="26" s="1"/>
  <c r="O7" i="75"/>
  <c r="E29" i="26" s="1"/>
  <c r="O8" i="75"/>
  <c r="E30" i="26" s="1"/>
  <c r="O9" i="75"/>
  <c r="E31" i="26" s="1"/>
  <c r="O10" i="75"/>
  <c r="O12" i="75"/>
  <c r="E33" i="26" s="1"/>
  <c r="O14" i="75"/>
  <c r="E35" i="26" s="1"/>
  <c r="O15" i="75"/>
  <c r="E36" i="26" s="1"/>
  <c r="O16" i="75"/>
  <c r="E37" i="26" s="1"/>
  <c r="O17" i="75"/>
  <c r="E38" i="26" s="1"/>
  <c r="O18" i="75"/>
  <c r="E39" i="26" s="1"/>
  <c r="O19" i="75"/>
  <c r="E40" i="26" s="1"/>
  <c r="Q28" i="75"/>
  <c r="Q29" i="75"/>
  <c r="Q30" i="75"/>
  <c r="Q31" i="75"/>
  <c r="Q32" i="75"/>
  <c r="Q33" i="75"/>
  <c r="Q34" i="75"/>
  <c r="Q35" i="75"/>
  <c r="R35" i="75" s="1"/>
  <c r="S35" i="75" s="1"/>
  <c r="Q36" i="75"/>
  <c r="R36" i="75" s="1"/>
  <c r="S36" i="75" s="1"/>
  <c r="Q37" i="75"/>
  <c r="R37" i="75" s="1"/>
  <c r="S37" i="75" s="1"/>
  <c r="O5" i="75"/>
  <c r="O4" i="75"/>
  <c r="E26" i="26" s="1"/>
  <c r="Q27" i="75" l="1"/>
  <c r="E27" i="26"/>
  <c r="Q29" i="26"/>
  <c r="O29" i="26"/>
  <c r="Q28" i="26"/>
  <c r="O28" i="26"/>
  <c r="Q26" i="75"/>
  <c r="R26" i="75" s="1"/>
  <c r="S26" i="75" s="1"/>
  <c r="O21" i="75"/>
  <c r="G25" i="75" s="1"/>
  <c r="Q38" i="75" l="1"/>
  <c r="Q12" i="33"/>
  <c r="Q5" i="33"/>
  <c r="O14" i="33"/>
  <c r="O13" i="33"/>
  <c r="O12" i="33"/>
  <c r="O11" i="33"/>
  <c r="D15" i="46"/>
  <c r="D16" i="46" s="1"/>
  <c r="D17" i="46"/>
  <c r="D18" i="46"/>
  <c r="C16" i="46"/>
  <c r="I5" i="32"/>
  <c r="I6" i="32"/>
  <c r="I7" i="32"/>
  <c r="I4" i="32"/>
  <c r="I14" i="89"/>
  <c r="J16" i="89"/>
  <c r="H24" i="89"/>
  <c r="C18" i="89"/>
  <c r="D18" i="89" s="1"/>
  <c r="H18" i="89" s="1"/>
  <c r="C19" i="89"/>
  <c r="D19" i="89" s="1"/>
  <c r="H19" i="89" s="1"/>
  <c r="C20" i="89"/>
  <c r="D20" i="89" s="1"/>
  <c r="H20" i="89" s="1"/>
  <c r="C21" i="89"/>
  <c r="D21" i="89" s="1"/>
  <c r="H21" i="89" s="1"/>
  <c r="C22" i="89"/>
  <c r="D22" i="89" s="1"/>
  <c r="H22" i="89" s="1"/>
  <c r="B18" i="89"/>
  <c r="B19" i="89"/>
  <c r="B20" i="89"/>
  <c r="B21" i="89"/>
  <c r="B22" i="89"/>
  <c r="E254" i="26"/>
  <c r="E253" i="26"/>
  <c r="E252" i="26"/>
  <c r="E251" i="26"/>
  <c r="E250" i="26"/>
  <c r="E249" i="26"/>
  <c r="E248" i="26"/>
  <c r="E243" i="26"/>
  <c r="E242" i="26"/>
  <c r="E241" i="26"/>
  <c r="E240" i="26"/>
  <c r="D184" i="119"/>
  <c r="D165" i="119"/>
  <c r="D57" i="119"/>
  <c r="F85" i="119"/>
  <c r="D77" i="119"/>
  <c r="D29" i="119"/>
  <c r="D28" i="119"/>
  <c r="Z169" i="26"/>
  <c r="D173" i="117"/>
  <c r="P35" i="117"/>
  <c r="G35" i="117"/>
  <c r="C155" i="94"/>
  <c r="D103" i="117" s="1"/>
  <c r="F138" i="94"/>
  <c r="F220" i="26"/>
  <c r="D45" i="117"/>
  <c r="D42" i="117"/>
  <c r="D426" i="87"/>
  <c r="D416" i="87"/>
  <c r="H279" i="87"/>
  <c r="H278" i="87"/>
  <c r="H265" i="87"/>
  <c r="F221" i="26"/>
  <c r="G11" i="99"/>
  <c r="G31" i="99"/>
  <c r="G33" i="99"/>
  <c r="G99" i="99"/>
  <c r="K84" i="87"/>
  <c r="D204" i="87" s="1"/>
  <c r="K83" i="87"/>
  <c r="H209" i="87"/>
  <c r="H208" i="87"/>
  <c r="H207" i="87"/>
  <c r="H206" i="87"/>
  <c r="H205" i="87"/>
  <c r="H197" i="87"/>
  <c r="H186" i="87"/>
  <c r="H96" i="87"/>
  <c r="H95" i="87"/>
  <c r="H90" i="87"/>
  <c r="H85" i="87"/>
  <c r="H81" i="87"/>
  <c r="H23" i="89" l="1"/>
  <c r="H25" i="89" s="1"/>
  <c r="H419" i="87"/>
  <c r="D419" i="87" s="1"/>
  <c r="D401" i="87"/>
  <c r="D400" i="87"/>
  <c r="H423" i="87"/>
  <c r="D423" i="87" s="1"/>
  <c r="H422" i="87"/>
  <c r="D422" i="87" s="1"/>
  <c r="D76" i="119"/>
  <c r="H421" i="87"/>
  <c r="D421" i="87" s="1"/>
  <c r="H420" i="87"/>
  <c r="D420" i="87" s="1"/>
  <c r="D81" i="87"/>
  <c r="D262" i="87"/>
  <c r="D320" i="87"/>
  <c r="D265" i="87"/>
  <c r="D314" i="87"/>
  <c r="E222" i="117" s="1"/>
  <c r="F222" i="117" s="1"/>
  <c r="D298" i="87"/>
  <c r="D282" i="87"/>
  <c r="D328" i="87"/>
  <c r="D380" i="87"/>
  <c r="E137" i="119" s="1"/>
  <c r="F137" i="119" s="1"/>
  <c r="D364" i="87"/>
  <c r="D348" i="87"/>
  <c r="D398" i="87"/>
  <c r="D334" i="87"/>
  <c r="D129" i="87"/>
  <c r="D376" i="87"/>
  <c r="E140" i="119" s="1"/>
  <c r="F140" i="119" s="1"/>
  <c r="D278" i="87"/>
  <c r="D285" i="87"/>
  <c r="D351" i="87"/>
  <c r="D267" i="87"/>
  <c r="D322" i="87"/>
  <c r="D299" i="87"/>
  <c r="D365" i="87"/>
  <c r="D313" i="87"/>
  <c r="E224" i="117" s="1"/>
  <c r="F224" i="117" s="1"/>
  <c r="D379" i="87"/>
  <c r="D347" i="87"/>
  <c r="E130" i="119" s="1"/>
  <c r="F130" i="119" s="1"/>
  <c r="D263" i="87"/>
  <c r="D346" i="87"/>
  <c r="D311" i="87"/>
  <c r="E223" i="117" s="1"/>
  <c r="F223" i="117" s="1"/>
  <c r="D295" i="87"/>
  <c r="D333" i="87"/>
  <c r="D377" i="87"/>
  <c r="E28" i="118" s="1"/>
  <c r="F28" i="118" s="1"/>
  <c r="D345" i="87"/>
  <c r="D270" i="87"/>
  <c r="D323" i="87"/>
  <c r="D360" i="87"/>
  <c r="E124" i="119" s="1"/>
  <c r="F124" i="119" s="1"/>
  <c r="D394" i="87"/>
  <c r="D114" i="87"/>
  <c r="D309" i="87"/>
  <c r="D325" i="87"/>
  <c r="E226" i="117" s="1"/>
  <c r="F226" i="117" s="1"/>
  <c r="D375" i="87"/>
  <c r="D359" i="87"/>
  <c r="D343" i="87"/>
  <c r="D274" i="87"/>
  <c r="D292" i="87"/>
  <c r="D339" i="87"/>
  <c r="D392" i="87"/>
  <c r="D237" i="87"/>
  <c r="D275" i="87"/>
  <c r="D326" i="87"/>
  <c r="D357" i="87"/>
  <c r="D205" i="87"/>
  <c r="D277" i="87"/>
  <c r="D306" i="87"/>
  <c r="D290" i="87"/>
  <c r="D329" i="87"/>
  <c r="D388" i="87"/>
  <c r="D372" i="87"/>
  <c r="D356" i="87"/>
  <c r="D340" i="87"/>
  <c r="D367" i="87"/>
  <c r="E131" i="119" s="1"/>
  <c r="F131" i="119" s="1"/>
  <c r="D366" i="87"/>
  <c r="D146" i="87"/>
  <c r="D332" i="87"/>
  <c r="D312" i="87"/>
  <c r="E225" i="117" s="1"/>
  <c r="F225" i="117" s="1"/>
  <c r="D296" i="87"/>
  <c r="D378" i="87"/>
  <c r="D396" i="87"/>
  <c r="D268" i="87"/>
  <c r="D321" i="87"/>
  <c r="D361" i="87"/>
  <c r="E125" i="119" s="1"/>
  <c r="F125" i="119" s="1"/>
  <c r="D395" i="87"/>
  <c r="D128" i="87"/>
  <c r="D310" i="87"/>
  <c r="D294" i="87"/>
  <c r="D336" i="87"/>
  <c r="E103" i="119" s="1"/>
  <c r="F103" i="119" s="1"/>
  <c r="D344" i="87"/>
  <c r="D273" i="87"/>
  <c r="D293" i="87"/>
  <c r="D337" i="87"/>
  <c r="E108" i="119" s="1"/>
  <c r="F108" i="119" s="1"/>
  <c r="D393" i="87"/>
  <c r="D200" i="87"/>
  <c r="D308" i="87"/>
  <c r="D327" i="87"/>
  <c r="D374" i="87"/>
  <c r="D358" i="87"/>
  <c r="E104" i="119" s="1"/>
  <c r="F104" i="119" s="1"/>
  <c r="D342" i="87"/>
  <c r="D307" i="87"/>
  <c r="D291" i="87"/>
  <c r="D389" i="87"/>
  <c r="D373" i="87"/>
  <c r="D341" i="87"/>
  <c r="D221" i="87"/>
  <c r="D206" i="87"/>
  <c r="D255" i="87"/>
  <c r="D269" i="87"/>
  <c r="D305" i="87"/>
  <c r="D289" i="87"/>
  <c r="D330" i="87"/>
  <c r="D387" i="87"/>
  <c r="D371" i="87"/>
  <c r="D355" i="87"/>
  <c r="D335" i="87"/>
  <c r="D301" i="87"/>
  <c r="D383" i="87"/>
  <c r="E141" i="119" s="1"/>
  <c r="F141" i="119" s="1"/>
  <c r="D300" i="87"/>
  <c r="D350" i="87"/>
  <c r="D266" i="87"/>
  <c r="D324" i="87"/>
  <c r="D349" i="87"/>
  <c r="E128" i="119" s="1"/>
  <c r="F128" i="119" s="1"/>
  <c r="D145" i="87"/>
  <c r="D297" i="87"/>
  <c r="D397" i="87"/>
  <c r="D130" i="87"/>
  <c r="D362" i="87"/>
  <c r="D207" i="87"/>
  <c r="D304" i="87"/>
  <c r="D288" i="87"/>
  <c r="D386" i="87"/>
  <c r="D354" i="87"/>
  <c r="D338" i="87"/>
  <c r="D303" i="87"/>
  <c r="D369" i="87"/>
  <c r="E26" i="118" s="1"/>
  <c r="F26" i="118" s="1"/>
  <c r="D279" i="87"/>
  <c r="D284" i="87"/>
  <c r="D382" i="87"/>
  <c r="D281" i="87"/>
  <c r="D283" i="87"/>
  <c r="D381" i="87"/>
  <c r="E25" i="118" s="1"/>
  <c r="F25" i="118" s="1"/>
  <c r="D399" i="87"/>
  <c r="D144" i="87"/>
  <c r="D264" i="87"/>
  <c r="D317" i="87"/>
  <c r="D363" i="87"/>
  <c r="D318" i="87"/>
  <c r="D271" i="87"/>
  <c r="D315" i="87"/>
  <c r="D370" i="87"/>
  <c r="E27" i="118" s="1"/>
  <c r="F27" i="118" s="1"/>
  <c r="D208" i="87"/>
  <c r="D272" i="87"/>
  <c r="D287" i="87"/>
  <c r="D316" i="87"/>
  <c r="D385" i="87"/>
  <c r="D353" i="87"/>
  <c r="D391" i="87"/>
  <c r="D209" i="87"/>
  <c r="D276" i="87"/>
  <c r="D302" i="87"/>
  <c r="D286" i="87"/>
  <c r="D319" i="87"/>
  <c r="D384" i="87"/>
  <c r="E138" i="119" s="1"/>
  <c r="F138" i="119" s="1"/>
  <c r="D368" i="87"/>
  <c r="D352" i="87"/>
  <c r="D402" i="87"/>
  <c r="D197" i="87"/>
  <c r="D112" i="87"/>
  <c r="D98" i="87"/>
  <c r="D178" i="87"/>
  <c r="D177" i="87"/>
  <c r="D176" i="87"/>
  <c r="D162" i="87"/>
  <c r="D161" i="87"/>
  <c r="D202" i="87"/>
  <c r="D113" i="87"/>
  <c r="D97" i="87"/>
  <c r="D96" i="87"/>
  <c r="D203" i="87"/>
  <c r="D160" i="87"/>
  <c r="D201" i="87"/>
  <c r="D143" i="87"/>
  <c r="D196" i="87"/>
  <c r="D126" i="87"/>
  <c r="D253" i="87"/>
  <c r="D173" i="87"/>
  <c r="D234" i="87"/>
  <c r="D155" i="87"/>
  <c r="D175" i="87"/>
  <c r="D95" i="87"/>
  <c r="D220" i="87"/>
  <c r="D174" i="87"/>
  <c r="D110" i="87"/>
  <c r="D219" i="87"/>
  <c r="D157" i="87"/>
  <c r="D93" i="87"/>
  <c r="D252" i="87"/>
  <c r="D188" i="87"/>
  <c r="D140" i="87"/>
  <c r="D193" i="87"/>
  <c r="D217" i="87"/>
  <c r="D171" i="87"/>
  <c r="D248" i="87"/>
  <c r="D138" i="87"/>
  <c r="D191" i="87"/>
  <c r="D153" i="87"/>
  <c r="D89" i="87"/>
  <c r="D230" i="87"/>
  <c r="D184" i="87"/>
  <c r="D120" i="87"/>
  <c r="D229" i="87"/>
  <c r="D167" i="87"/>
  <c r="D103" i="87"/>
  <c r="D228" i="87"/>
  <c r="D182" i="87"/>
  <c r="D166" i="87"/>
  <c r="D150" i="87"/>
  <c r="D134" i="87"/>
  <c r="D118" i="87"/>
  <c r="D102" i="87"/>
  <c r="D86" i="87"/>
  <c r="D243" i="87"/>
  <c r="D227" i="87"/>
  <c r="D251" i="87"/>
  <c r="D159" i="87"/>
  <c r="D142" i="87"/>
  <c r="D199" i="87"/>
  <c r="D189" i="87"/>
  <c r="D109" i="87"/>
  <c r="D218" i="87"/>
  <c r="D172" i="87"/>
  <c r="D92" i="87"/>
  <c r="D187" i="87"/>
  <c r="D107" i="87"/>
  <c r="D232" i="87"/>
  <c r="D154" i="87"/>
  <c r="D90" i="87"/>
  <c r="D215" i="87"/>
  <c r="D185" i="87"/>
  <c r="D121" i="87"/>
  <c r="D214" i="87"/>
  <c r="D168" i="87"/>
  <c r="D88" i="87"/>
  <c r="D151" i="87"/>
  <c r="D212" i="87"/>
  <c r="D181" i="87"/>
  <c r="D165" i="87"/>
  <c r="D149" i="87"/>
  <c r="D133" i="87"/>
  <c r="D117" i="87"/>
  <c r="D101" i="87"/>
  <c r="D85" i="87"/>
  <c r="D242" i="87"/>
  <c r="D226" i="87"/>
  <c r="D260" i="87"/>
  <c r="D127" i="87"/>
  <c r="D254" i="87"/>
  <c r="D158" i="87"/>
  <c r="D195" i="87"/>
  <c r="D235" i="87"/>
  <c r="D125" i="87"/>
  <c r="D190" i="87"/>
  <c r="D156" i="87"/>
  <c r="D108" i="87"/>
  <c r="D233" i="87"/>
  <c r="D139" i="87"/>
  <c r="D91" i="87"/>
  <c r="D216" i="87"/>
  <c r="D170" i="87"/>
  <c r="D122" i="87"/>
  <c r="D247" i="87"/>
  <c r="D169" i="87"/>
  <c r="D105" i="87"/>
  <c r="D246" i="87"/>
  <c r="D152" i="87"/>
  <c r="D104" i="87"/>
  <c r="D245" i="87"/>
  <c r="D183" i="87"/>
  <c r="D119" i="87"/>
  <c r="D87" i="87"/>
  <c r="D244" i="87"/>
  <c r="D180" i="87"/>
  <c r="D164" i="87"/>
  <c r="D148" i="87"/>
  <c r="D132" i="87"/>
  <c r="D116" i="87"/>
  <c r="D100" i="87"/>
  <c r="D84" i="87"/>
  <c r="D241" i="87"/>
  <c r="D225" i="87"/>
  <c r="D259" i="87"/>
  <c r="D111" i="87"/>
  <c r="D236" i="87"/>
  <c r="D94" i="87"/>
  <c r="D141" i="87"/>
  <c r="D211" i="87"/>
  <c r="D124" i="87"/>
  <c r="D249" i="87"/>
  <c r="D123" i="87"/>
  <c r="D192" i="87"/>
  <c r="D186" i="87"/>
  <c r="D106" i="87"/>
  <c r="D231" i="87"/>
  <c r="D137" i="87"/>
  <c r="D198" i="87"/>
  <c r="D136" i="87"/>
  <c r="D213" i="87"/>
  <c r="D135" i="87"/>
  <c r="D179" i="87"/>
  <c r="D163" i="87"/>
  <c r="D147" i="87"/>
  <c r="D131" i="87"/>
  <c r="D115" i="87"/>
  <c r="D99" i="87"/>
  <c r="D83" i="87"/>
  <c r="D240" i="87"/>
  <c r="D224" i="87"/>
  <c r="D258" i="87"/>
  <c r="D82" i="87"/>
  <c r="D239" i="87"/>
  <c r="D223" i="87"/>
  <c r="D257" i="87"/>
  <c r="D194" i="87"/>
  <c r="D238" i="87"/>
  <c r="D222" i="87"/>
  <c r="D256" i="87"/>
  <c r="E72" i="119" l="1"/>
  <c r="F72" i="119" s="1"/>
  <c r="E120" i="119"/>
  <c r="F120" i="119" s="1"/>
  <c r="E84" i="119"/>
  <c r="F84" i="119" s="1"/>
  <c r="E132" i="119"/>
  <c r="F132" i="119" s="1"/>
  <c r="E68" i="119"/>
  <c r="F68" i="119" s="1"/>
  <c r="E116" i="119"/>
  <c r="F116" i="119" s="1"/>
  <c r="E79" i="119"/>
  <c r="F79" i="119" s="1"/>
  <c r="E127" i="119"/>
  <c r="F127" i="119" s="1"/>
  <c r="E61" i="119"/>
  <c r="F61" i="119" s="1"/>
  <c r="E109" i="119"/>
  <c r="F109" i="119" s="1"/>
  <c r="E78" i="119"/>
  <c r="F78" i="119" s="1"/>
  <c r="E126" i="119"/>
  <c r="F126" i="119" s="1"/>
  <c r="E71" i="119"/>
  <c r="F71" i="119" s="1"/>
  <c r="E119" i="119"/>
  <c r="F119" i="119" s="1"/>
  <c r="E63" i="119"/>
  <c r="F63" i="119" s="1"/>
  <c r="E111" i="119"/>
  <c r="F111" i="119" s="1"/>
  <c r="E86" i="119"/>
  <c r="F86" i="119" s="1"/>
  <c r="E134" i="119"/>
  <c r="F134" i="119" s="1"/>
  <c r="E65" i="119"/>
  <c r="F65" i="119" s="1"/>
  <c r="E113" i="119"/>
  <c r="F113" i="119" s="1"/>
  <c r="E73" i="119"/>
  <c r="F73" i="119" s="1"/>
  <c r="E121" i="119"/>
  <c r="F121" i="119" s="1"/>
  <c r="E58" i="119"/>
  <c r="F58" i="119" s="1"/>
  <c r="E106" i="119"/>
  <c r="F106" i="119" s="1"/>
  <c r="E70" i="119"/>
  <c r="F70" i="119" s="1"/>
  <c r="E118" i="119"/>
  <c r="F118" i="119" s="1"/>
  <c r="E81" i="119"/>
  <c r="F81" i="119" s="1"/>
  <c r="E129" i="119"/>
  <c r="F129" i="119" s="1"/>
  <c r="E88" i="119"/>
  <c r="F88" i="119" s="1"/>
  <c r="E136" i="119"/>
  <c r="F136" i="119" s="1"/>
  <c r="E57" i="119"/>
  <c r="F57" i="119" s="1"/>
  <c r="E105" i="119"/>
  <c r="F105" i="119" s="1"/>
  <c r="E87" i="119"/>
  <c r="F87" i="119" s="1"/>
  <c r="E135" i="119"/>
  <c r="F135" i="119" s="1"/>
  <c r="E66" i="119"/>
  <c r="F66" i="119" s="1"/>
  <c r="E114" i="119"/>
  <c r="F114" i="119" s="1"/>
  <c r="E74" i="119"/>
  <c r="F74" i="119" s="1"/>
  <c r="E122" i="119"/>
  <c r="F122" i="119" s="1"/>
  <c r="E62" i="119"/>
  <c r="F62" i="119" s="1"/>
  <c r="E110" i="119"/>
  <c r="F110" i="119" s="1"/>
  <c r="E67" i="119"/>
  <c r="F67" i="119" s="1"/>
  <c r="E115" i="119"/>
  <c r="F115" i="119" s="1"/>
  <c r="E91" i="119"/>
  <c r="F91" i="119" s="1"/>
  <c r="E139" i="119"/>
  <c r="F139" i="119" s="1"/>
  <c r="E278" i="117"/>
  <c r="F278" i="117" s="1"/>
  <c r="E237" i="117"/>
  <c r="F237" i="117" s="1"/>
  <c r="E266" i="117"/>
  <c r="F266" i="117" s="1"/>
  <c r="E277" i="117"/>
  <c r="F277" i="117" s="1"/>
  <c r="E259" i="117"/>
  <c r="F259" i="117" s="1"/>
  <c r="E236" i="117"/>
  <c r="F236" i="117" s="1"/>
  <c r="E286" i="117"/>
  <c r="F286" i="117" s="1"/>
  <c r="E215" i="117"/>
  <c r="F215" i="117" s="1"/>
  <c r="E245" i="117"/>
  <c r="F245" i="117" s="1"/>
  <c r="E44" i="117"/>
  <c r="F44" i="117" s="1"/>
  <c r="E74" i="117"/>
  <c r="F74" i="117" s="1"/>
  <c r="E261" i="117"/>
  <c r="F261" i="117" s="1"/>
  <c r="E217" i="117"/>
  <c r="F217" i="117" s="1"/>
  <c r="E264" i="117"/>
  <c r="F264" i="117" s="1"/>
  <c r="E42" i="117"/>
  <c r="F42" i="117" s="1"/>
  <c r="E72" i="117"/>
  <c r="F72" i="117" s="1"/>
  <c r="E57" i="117"/>
  <c r="F57" i="117" s="1"/>
  <c r="E87" i="117"/>
  <c r="F87" i="117" s="1"/>
  <c r="E40" i="117"/>
  <c r="F40" i="117" s="1"/>
  <c r="E70" i="117"/>
  <c r="F70" i="117" s="1"/>
  <c r="E53" i="117"/>
  <c r="F53" i="117" s="1"/>
  <c r="E83" i="117"/>
  <c r="F83" i="117" s="1"/>
  <c r="E55" i="117"/>
  <c r="F55" i="117" s="1"/>
  <c r="E85" i="117"/>
  <c r="F85" i="117" s="1"/>
  <c r="E54" i="117"/>
  <c r="F54" i="117" s="1"/>
  <c r="E84" i="117"/>
  <c r="F84" i="117" s="1"/>
  <c r="E195" i="117"/>
  <c r="F195" i="117" s="1"/>
  <c r="E276" i="117"/>
  <c r="F276" i="117" s="1"/>
  <c r="E265" i="117"/>
  <c r="F265" i="117" s="1"/>
  <c r="E235" i="117"/>
  <c r="F235" i="117" s="1"/>
  <c r="E221" i="117"/>
  <c r="F221" i="117" s="1"/>
  <c r="G220" i="117" s="1"/>
  <c r="E247" i="117"/>
  <c r="F247" i="117" s="1"/>
  <c r="E288" i="117"/>
  <c r="F288" i="117" s="1"/>
  <c r="E50" i="117"/>
  <c r="F50" i="117" s="1"/>
  <c r="E80" i="117"/>
  <c r="F80" i="117" s="1"/>
  <c r="E267" i="117"/>
  <c r="F267" i="117" s="1"/>
  <c r="E283" i="117"/>
  <c r="F283" i="117" s="1"/>
  <c r="E242" i="117"/>
  <c r="F242" i="117" s="1"/>
  <c r="E241" i="117"/>
  <c r="F241" i="117" s="1"/>
  <c r="E260" i="117"/>
  <c r="F260" i="117" s="1"/>
  <c r="E216" i="117"/>
  <c r="F216" i="117" s="1"/>
  <c r="E246" i="117"/>
  <c r="F246" i="117" s="1"/>
  <c r="E287" i="117"/>
  <c r="F287" i="117" s="1"/>
  <c r="E282" i="117"/>
  <c r="F282" i="117" s="1"/>
  <c r="E41" i="117"/>
  <c r="F41" i="117" s="1"/>
  <c r="E71" i="117"/>
  <c r="F71" i="117" s="1"/>
  <c r="E270" i="117"/>
  <c r="F270" i="117" s="1"/>
  <c r="E239" i="117"/>
  <c r="F239" i="117" s="1"/>
  <c r="E280" i="117"/>
  <c r="F280" i="117" s="1"/>
  <c r="E178" i="117"/>
  <c r="F178" i="117" s="1"/>
  <c r="E229" i="117"/>
  <c r="F229" i="117" s="1"/>
  <c r="E49" i="117"/>
  <c r="F49" i="117" s="1"/>
  <c r="E79" i="117"/>
  <c r="F79" i="117" s="1"/>
  <c r="E281" i="117"/>
  <c r="F281" i="117" s="1"/>
  <c r="E240" i="117"/>
  <c r="F240" i="117" s="1"/>
  <c r="E218" i="117"/>
  <c r="F218" i="117" s="1"/>
  <c r="E156" i="117"/>
  <c r="F156" i="117" s="1"/>
  <c r="E262" i="117"/>
  <c r="F262" i="117" s="1"/>
  <c r="E58" i="117"/>
  <c r="F58" i="117" s="1"/>
  <c r="E88" i="117"/>
  <c r="F88" i="117" s="1"/>
  <c r="E48" i="117"/>
  <c r="F48" i="117" s="1"/>
  <c r="E78" i="117"/>
  <c r="F78" i="117" s="1"/>
  <c r="E56" i="117"/>
  <c r="F56" i="117" s="1"/>
  <c r="E271" i="117"/>
  <c r="F271" i="117" s="1"/>
  <c r="E86" i="117"/>
  <c r="F86" i="117" s="1"/>
  <c r="E230" i="117"/>
  <c r="F230" i="117" s="1"/>
  <c r="E175" i="117"/>
  <c r="F175" i="117" s="1"/>
  <c r="E228" i="117"/>
  <c r="F228" i="117" s="1"/>
  <c r="E238" i="117"/>
  <c r="F238" i="117" s="1"/>
  <c r="E279" i="117"/>
  <c r="F279" i="117" s="1"/>
  <c r="E269" i="117"/>
  <c r="F269" i="117" s="1"/>
  <c r="E46" i="117"/>
  <c r="F46" i="117" s="1"/>
  <c r="E76" i="117"/>
  <c r="F76" i="117" s="1"/>
  <c r="E43" i="117"/>
  <c r="F43" i="117" s="1"/>
  <c r="E73" i="117"/>
  <c r="F73" i="117" s="1"/>
  <c r="E234" i="117"/>
  <c r="F234" i="117" s="1"/>
  <c r="E258" i="117"/>
  <c r="F258" i="117" s="1"/>
  <c r="E275" i="117"/>
  <c r="F275" i="117" s="1"/>
  <c r="E214" i="117"/>
  <c r="F214" i="117" s="1"/>
  <c r="E274" i="117"/>
  <c r="F274" i="117" s="1"/>
  <c r="E233" i="117"/>
  <c r="F233" i="117" s="1"/>
  <c r="E244" i="117"/>
  <c r="F244" i="117" s="1"/>
  <c r="E285" i="117"/>
  <c r="F285" i="117" s="1"/>
  <c r="E59" i="117"/>
  <c r="F59" i="117" s="1"/>
  <c r="E89" i="117"/>
  <c r="F89" i="117" s="1"/>
  <c r="E52" i="117"/>
  <c r="F52" i="117" s="1"/>
  <c r="E231" i="117"/>
  <c r="F231" i="117" s="1"/>
  <c r="E272" i="117"/>
  <c r="F272" i="117" s="1"/>
  <c r="E82" i="117"/>
  <c r="F82" i="117" s="1"/>
  <c r="E47" i="117"/>
  <c r="F47" i="117" s="1"/>
  <c r="E77" i="117"/>
  <c r="F77" i="117" s="1"/>
  <c r="E45" i="117"/>
  <c r="F45" i="117" s="1"/>
  <c r="E75" i="117"/>
  <c r="F75" i="117" s="1"/>
  <c r="E60" i="117"/>
  <c r="F60" i="117" s="1"/>
  <c r="E90" i="117"/>
  <c r="F90" i="117" s="1"/>
  <c r="E62" i="117"/>
  <c r="F62" i="117" s="1"/>
  <c r="E92" i="117"/>
  <c r="F92" i="117" s="1"/>
  <c r="E92" i="119"/>
  <c r="F92" i="119" s="1"/>
  <c r="E82" i="119"/>
  <c r="F82" i="119" s="1"/>
  <c r="E17" i="120"/>
  <c r="F17" i="120" s="1"/>
  <c r="E55" i="119"/>
  <c r="F55" i="119" s="1"/>
  <c r="E56" i="119"/>
  <c r="F56" i="119" s="1"/>
  <c r="E76" i="119"/>
  <c r="F76" i="119" s="1"/>
  <c r="E32" i="118"/>
  <c r="F32" i="118" s="1"/>
  <c r="E60" i="119"/>
  <c r="F60" i="119" s="1"/>
  <c r="E93" i="119"/>
  <c r="F93" i="119" s="1"/>
  <c r="E45" i="119"/>
  <c r="F45" i="119" s="1"/>
  <c r="E158" i="119"/>
  <c r="F158" i="119" s="1"/>
  <c r="E77" i="119"/>
  <c r="F77" i="119" s="1"/>
  <c r="E89" i="119"/>
  <c r="F89" i="119" s="1"/>
  <c r="E166" i="119"/>
  <c r="F166" i="119" s="1"/>
  <c r="E90" i="119"/>
  <c r="F90" i="119" s="1"/>
  <c r="E31" i="118"/>
  <c r="F31" i="118" s="1"/>
  <c r="E80" i="119"/>
  <c r="F80" i="119" s="1"/>
  <c r="E83" i="119"/>
  <c r="F83" i="119" s="1"/>
  <c r="E162" i="119"/>
  <c r="F162" i="119" s="1"/>
  <c r="E29" i="118"/>
  <c r="F29" i="118" s="1"/>
  <c r="E33" i="118"/>
  <c r="F33" i="118" s="1"/>
  <c r="F8" i="99"/>
  <c r="E47" i="115"/>
  <c r="F47" i="115" s="1"/>
  <c r="E143" i="119" l="1"/>
  <c r="F143" i="119" s="1"/>
  <c r="G101" i="119" s="1"/>
  <c r="G144" i="119" s="1"/>
  <c r="G146" i="119" s="1"/>
  <c r="G243" i="117"/>
  <c r="G263" i="117"/>
  <c r="G51" i="117"/>
  <c r="G39" i="117"/>
  <c r="G273" i="117"/>
  <c r="G257" i="117"/>
  <c r="E290" i="117"/>
  <c r="F290" i="117" s="1"/>
  <c r="G289" i="117" s="1"/>
  <c r="E63" i="117"/>
  <c r="F63" i="117" s="1"/>
  <c r="G61" i="117" s="1"/>
  <c r="G213" i="117"/>
  <c r="G268" i="117"/>
  <c r="G284" i="117"/>
  <c r="E93" i="117"/>
  <c r="F93" i="117" s="1"/>
  <c r="G91" i="117" s="1"/>
  <c r="G69" i="117"/>
  <c r="E249" i="117"/>
  <c r="F249" i="117" s="1"/>
  <c r="G248" i="117" s="1"/>
  <c r="G227" i="117"/>
  <c r="G81" i="117"/>
  <c r="G232" i="117"/>
  <c r="E95" i="119"/>
  <c r="F95" i="119" s="1"/>
  <c r="F96" i="119" s="1"/>
  <c r="E35" i="118"/>
  <c r="F35" i="118" s="1"/>
  <c r="G34" i="118" s="1"/>
  <c r="F144" i="119" l="1"/>
  <c r="R144" i="119"/>
  <c r="F250" i="117"/>
  <c r="F291" i="117"/>
  <c r="G64" i="117"/>
  <c r="R64" i="117" s="1"/>
  <c r="G250" i="117"/>
  <c r="G253" i="117" s="1"/>
  <c r="G94" i="117"/>
  <c r="G291" i="117"/>
  <c r="G294" i="117" s="1"/>
  <c r="G66" i="117"/>
  <c r="G53" i="119"/>
  <c r="G96" i="119" s="1"/>
  <c r="G98" i="119" s="1"/>
  <c r="D52" i="88"/>
  <c r="D51" i="88"/>
  <c r="J231" i="11"/>
  <c r="L231" i="11"/>
  <c r="S228" i="11"/>
  <c r="K228" i="11"/>
  <c r="K229" i="11"/>
  <c r="J229" i="11"/>
  <c r="S232" i="11"/>
  <c r="E226" i="11"/>
  <c r="E227" i="11" s="1"/>
  <c r="S227" i="11" s="1"/>
  <c r="D226" i="11"/>
  <c r="C226" i="11"/>
  <c r="A226" i="11"/>
  <c r="K232" i="11"/>
  <c r="J232" i="11"/>
  <c r="B226" i="11"/>
  <c r="S236" i="11"/>
  <c r="E235" i="11"/>
  <c r="D235" i="11"/>
  <c r="C235" i="11"/>
  <c r="A235" i="11"/>
  <c r="S238" i="11"/>
  <c r="K238" i="11"/>
  <c r="J238" i="11"/>
  <c r="J237" i="11"/>
  <c r="S237" i="11"/>
  <c r="B235" i="11"/>
  <c r="F83" i="94"/>
  <c r="H83" i="94" s="1"/>
  <c r="I83" i="94" s="1"/>
  <c r="F82" i="94"/>
  <c r="H82" i="94" s="1"/>
  <c r="I82" i="94" s="1"/>
  <c r="F81" i="94"/>
  <c r="H81" i="94" s="1"/>
  <c r="I81" i="94" s="1"/>
  <c r="F80" i="94"/>
  <c r="H80" i="94" s="1"/>
  <c r="I80" i="94" s="1"/>
  <c r="F77" i="94"/>
  <c r="H77" i="94" s="1"/>
  <c r="I77" i="94" s="1"/>
  <c r="F76" i="94"/>
  <c r="H76" i="94" s="1"/>
  <c r="I76" i="94" s="1"/>
  <c r="F69" i="94"/>
  <c r="H69" i="94" s="1"/>
  <c r="I69" i="94" s="1"/>
  <c r="S194" i="11"/>
  <c r="K194" i="11"/>
  <c r="J194" i="11"/>
  <c r="L142" i="26"/>
  <c r="I142" i="26"/>
  <c r="F142" i="26"/>
  <c r="L192" i="11"/>
  <c r="S192" i="11" s="1"/>
  <c r="K192" i="11"/>
  <c r="J192" i="11"/>
  <c r="L190" i="11"/>
  <c r="L191" i="11" s="1"/>
  <c r="B187" i="11"/>
  <c r="C187" i="11"/>
  <c r="D187" i="11"/>
  <c r="A187" i="11"/>
  <c r="S189" i="11"/>
  <c r="K189" i="11"/>
  <c r="F188" i="11"/>
  <c r="L122" i="26"/>
  <c r="B182" i="11"/>
  <c r="S184" i="11"/>
  <c r="K184" i="11"/>
  <c r="B163" i="11"/>
  <c r="C163" i="11"/>
  <c r="D163" i="11"/>
  <c r="E163" i="11"/>
  <c r="E164" i="11" s="1"/>
  <c r="A163" i="11"/>
  <c r="S167" i="11"/>
  <c r="K167" i="11"/>
  <c r="E160" i="11"/>
  <c r="D160" i="11"/>
  <c r="A160" i="11"/>
  <c r="C160" i="11"/>
  <c r="E84" i="125"/>
  <c r="G84" i="125" s="1"/>
  <c r="E83" i="125"/>
  <c r="G83" i="125" s="1"/>
  <c r="I122" i="26"/>
  <c r="J122" i="26" s="1"/>
  <c r="F122" i="26"/>
  <c r="L121" i="26"/>
  <c r="I121" i="26"/>
  <c r="F121" i="26"/>
  <c r="L119" i="26"/>
  <c r="I119" i="26"/>
  <c r="F119" i="26"/>
  <c r="H119" i="26" s="1"/>
  <c r="L117" i="26"/>
  <c r="I117" i="26"/>
  <c r="K117" i="26" s="1"/>
  <c r="F117" i="26"/>
  <c r="O117" i="26"/>
  <c r="L116" i="26"/>
  <c r="I116" i="26"/>
  <c r="F116" i="26"/>
  <c r="L115" i="26"/>
  <c r="I115" i="26"/>
  <c r="F115" i="26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8" i="24"/>
  <c r="L39" i="24"/>
  <c r="L40" i="24"/>
  <c r="L41" i="24"/>
  <c r="L42" i="24"/>
  <c r="L43" i="24"/>
  <c r="L44" i="24"/>
  <c r="L45" i="24"/>
  <c r="L46" i="24"/>
  <c r="L47" i="24"/>
  <c r="L48" i="24"/>
  <c r="L49" i="24"/>
  <c r="L50" i="24"/>
  <c r="L51" i="24"/>
  <c r="L52" i="24"/>
  <c r="L53" i="24"/>
  <c r="L54" i="24"/>
  <c r="L55" i="24"/>
  <c r="L56" i="24"/>
  <c r="L57" i="24"/>
  <c r="L58" i="24"/>
  <c r="L59" i="24"/>
  <c r="L60" i="24"/>
  <c r="L61" i="24"/>
  <c r="L62" i="24"/>
  <c r="L63" i="24"/>
  <c r="L64" i="24"/>
  <c r="L65" i="24"/>
  <c r="L66" i="24"/>
  <c r="L67" i="24"/>
  <c r="L68" i="24"/>
  <c r="L69" i="24"/>
  <c r="L70" i="24"/>
  <c r="L71" i="24"/>
  <c r="L72" i="24"/>
  <c r="L73" i="24"/>
  <c r="L74" i="24"/>
  <c r="L75" i="24"/>
  <c r="L76" i="24"/>
  <c r="L77" i="24"/>
  <c r="L78" i="24"/>
  <c r="L79" i="24"/>
  <c r="L80" i="24"/>
  <c r="L81" i="24"/>
  <c r="L82" i="24"/>
  <c r="L83" i="24"/>
  <c r="L84" i="24"/>
  <c r="L85" i="24"/>
  <c r="L86" i="24"/>
  <c r="L87" i="24"/>
  <c r="L88" i="24"/>
  <c r="L89" i="24"/>
  <c r="L90" i="24"/>
  <c r="L91" i="24"/>
  <c r="L92" i="24"/>
  <c r="G85" i="125" l="1"/>
  <c r="R253" i="117"/>
  <c r="F173" i="26"/>
  <c r="F178" i="26" s="1"/>
  <c r="G96" i="117"/>
  <c r="R92" i="117"/>
  <c r="R294" i="117"/>
  <c r="F174" i="26"/>
  <c r="J75" i="94"/>
  <c r="R96" i="119"/>
  <c r="S230" i="11"/>
  <c r="K230" i="11"/>
  <c r="J230" i="11"/>
  <c r="K231" i="11"/>
  <c r="S231" i="11"/>
  <c r="S229" i="11"/>
  <c r="J227" i="11"/>
  <c r="F228" i="11" s="1"/>
  <c r="J228" i="11" s="1"/>
  <c r="J236" i="11"/>
  <c r="K227" i="11"/>
  <c r="K236" i="11"/>
  <c r="U235" i="11"/>
  <c r="J235" i="11"/>
  <c r="K237" i="11"/>
  <c r="K235" i="11" s="1"/>
  <c r="E165" i="11"/>
  <c r="S165" i="11" s="1"/>
  <c r="E166" i="11"/>
  <c r="S166" i="11" s="1"/>
  <c r="J164" i="11"/>
  <c r="K164" i="11"/>
  <c r="S164" i="11"/>
  <c r="R117" i="26"/>
  <c r="N117" i="26"/>
  <c r="H122" i="26"/>
  <c r="H121" i="26"/>
  <c r="Q117" i="26"/>
  <c r="P117" i="26"/>
  <c r="K119" i="26"/>
  <c r="M119" i="26" s="1"/>
  <c r="D14" i="102"/>
  <c r="D13" i="102"/>
  <c r="E100" i="94"/>
  <c r="S161" i="11"/>
  <c r="S162" i="11"/>
  <c r="E214" i="11"/>
  <c r="E213" i="11"/>
  <c r="E212" i="11"/>
  <c r="F115" i="99"/>
  <c r="F114" i="99"/>
  <c r="F113" i="99"/>
  <c r="E113" i="99"/>
  <c r="F112" i="99"/>
  <c r="E112" i="99"/>
  <c r="F111" i="99"/>
  <c r="G111" i="99" s="1"/>
  <c r="E87" i="99"/>
  <c r="L67" i="99"/>
  <c r="L66" i="99"/>
  <c r="L65" i="99"/>
  <c r="L15" i="99"/>
  <c r="K15" i="99"/>
  <c r="I144" i="26"/>
  <c r="I143" i="26"/>
  <c r="I141" i="26"/>
  <c r="I140" i="26"/>
  <c r="I139" i="26"/>
  <c r="I138" i="26"/>
  <c r="I137" i="26"/>
  <c r="I136" i="26"/>
  <c r="I135" i="26"/>
  <c r="L100" i="26"/>
  <c r="J100" i="26"/>
  <c r="G100" i="26"/>
  <c r="K149" i="11"/>
  <c r="K150" i="11"/>
  <c r="J150" i="11"/>
  <c r="F148" i="11"/>
  <c r="S150" i="11"/>
  <c r="S135" i="11"/>
  <c r="K135" i="11"/>
  <c r="F136" i="11"/>
  <c r="F135" i="11"/>
  <c r="J135" i="11" s="1"/>
  <c r="S139" i="11"/>
  <c r="J139" i="11"/>
  <c r="G138" i="11"/>
  <c r="G137" i="11"/>
  <c r="F134" i="11"/>
  <c r="B133" i="11"/>
  <c r="C133" i="11"/>
  <c r="D133" i="11"/>
  <c r="A133" i="11"/>
  <c r="P61" i="125"/>
  <c r="O61" i="125"/>
  <c r="N61" i="125"/>
  <c r="G61" i="125"/>
  <c r="I61" i="125" s="1"/>
  <c r="P59" i="125"/>
  <c r="O59" i="125"/>
  <c r="N59" i="125"/>
  <c r="G59" i="125"/>
  <c r="I59" i="125" s="1"/>
  <c r="Q52" i="125"/>
  <c r="P52" i="125"/>
  <c r="O52" i="125"/>
  <c r="Q51" i="125"/>
  <c r="P51" i="125"/>
  <c r="O51" i="125"/>
  <c r="E51" i="125"/>
  <c r="G51" i="125" s="1"/>
  <c r="I51" i="125" s="1"/>
  <c r="N51" i="125" s="1"/>
  <c r="Q50" i="125"/>
  <c r="P50" i="125"/>
  <c r="O50" i="125"/>
  <c r="E50" i="125"/>
  <c r="G50" i="125" s="1"/>
  <c r="I50" i="125" s="1"/>
  <c r="N50" i="125" s="1"/>
  <c r="Q47" i="125"/>
  <c r="P47" i="125"/>
  <c r="O47" i="125"/>
  <c r="E47" i="125"/>
  <c r="G47" i="125" s="1"/>
  <c r="I47" i="125" s="1"/>
  <c r="N47" i="125" s="1"/>
  <c r="Q46" i="125"/>
  <c r="P46" i="125"/>
  <c r="O46" i="125"/>
  <c r="E46" i="125"/>
  <c r="G46" i="125" s="1"/>
  <c r="I46" i="125" s="1"/>
  <c r="N46" i="125" s="1"/>
  <c r="Q45" i="125"/>
  <c r="P45" i="125"/>
  <c r="O45" i="125"/>
  <c r="E45" i="125"/>
  <c r="G45" i="125" s="1"/>
  <c r="I45" i="125" s="1"/>
  <c r="N45" i="125" s="1"/>
  <c r="Q44" i="125"/>
  <c r="P44" i="125"/>
  <c r="O44" i="125"/>
  <c r="E44" i="125"/>
  <c r="G44" i="125" s="1"/>
  <c r="I44" i="125" s="1"/>
  <c r="N44" i="125" s="1"/>
  <c r="Q43" i="125"/>
  <c r="P43" i="125"/>
  <c r="O43" i="125"/>
  <c r="E43" i="125"/>
  <c r="G43" i="125" s="1"/>
  <c r="I43" i="125" s="1"/>
  <c r="N43" i="125" s="1"/>
  <c r="Q42" i="125"/>
  <c r="P42" i="125"/>
  <c r="O42" i="125"/>
  <c r="E42" i="125"/>
  <c r="G42" i="125" s="1"/>
  <c r="I42" i="125" s="1"/>
  <c r="Q38" i="125"/>
  <c r="P38" i="125"/>
  <c r="O38" i="125"/>
  <c r="F38" i="125"/>
  <c r="E38" i="125"/>
  <c r="Q36" i="125"/>
  <c r="P36" i="125"/>
  <c r="O36" i="125"/>
  <c r="E36" i="125"/>
  <c r="G36" i="125" s="1"/>
  <c r="I36" i="125" s="1"/>
  <c r="N36" i="125" s="1"/>
  <c r="Q35" i="125"/>
  <c r="P35" i="125"/>
  <c r="O35" i="125"/>
  <c r="F35" i="125"/>
  <c r="E35" i="125"/>
  <c r="Q34" i="125"/>
  <c r="P34" i="125"/>
  <c r="O34" i="125"/>
  <c r="E34" i="125"/>
  <c r="G34" i="125" s="1"/>
  <c r="I34" i="125" s="1"/>
  <c r="Q31" i="125"/>
  <c r="P31" i="125"/>
  <c r="O31" i="125"/>
  <c r="F31" i="125"/>
  <c r="E31" i="125"/>
  <c r="Q27" i="125"/>
  <c r="P27" i="125"/>
  <c r="O27" i="125"/>
  <c r="E27" i="125"/>
  <c r="Q63" i="125"/>
  <c r="P63" i="125"/>
  <c r="E63" i="125"/>
  <c r="G63" i="125" s="1"/>
  <c r="I63" i="125" s="1"/>
  <c r="E22" i="125"/>
  <c r="Q18" i="125"/>
  <c r="P18" i="125"/>
  <c r="O18" i="125"/>
  <c r="E18" i="125"/>
  <c r="G18" i="125" s="1"/>
  <c r="I18" i="125" s="1"/>
  <c r="Q15" i="125"/>
  <c r="O15" i="125"/>
  <c r="E15" i="125"/>
  <c r="G15" i="125" s="1"/>
  <c r="I15" i="125" s="1"/>
  <c r="N15" i="125" s="1"/>
  <c r="Q14" i="125"/>
  <c r="O14" i="125"/>
  <c r="E14" i="125"/>
  <c r="G14" i="125" s="1"/>
  <c r="I14" i="125" s="1"/>
  <c r="N14" i="125" s="1"/>
  <c r="G13" i="125"/>
  <c r="I13" i="125" s="1"/>
  <c r="N13" i="125" s="1"/>
  <c r="G12" i="125"/>
  <c r="I12" i="125" s="1"/>
  <c r="N12" i="125" s="1"/>
  <c r="Q8" i="125"/>
  <c r="P8" i="125"/>
  <c r="O8" i="125"/>
  <c r="G8" i="125"/>
  <c r="I8" i="125" s="1"/>
  <c r="K226" i="11" l="1"/>
  <c r="I226" i="11" s="1"/>
  <c r="G197" i="26" s="1"/>
  <c r="H178" i="26"/>
  <c r="N178" i="26"/>
  <c r="N63" i="125"/>
  <c r="J62" i="125"/>
  <c r="N8" i="125"/>
  <c r="G35" i="125"/>
  <c r="I35" i="125" s="1"/>
  <c r="N35" i="125" s="1"/>
  <c r="O63" i="125"/>
  <c r="G38" i="125"/>
  <c r="I38" i="125" s="1"/>
  <c r="N38" i="125" s="1"/>
  <c r="Q59" i="125"/>
  <c r="J57" i="125"/>
  <c r="G31" i="125"/>
  <c r="I31" i="125" s="1"/>
  <c r="N31" i="125" s="1"/>
  <c r="G22" i="125"/>
  <c r="I22" i="125" s="1"/>
  <c r="N22" i="125" s="1"/>
  <c r="E115" i="99"/>
  <c r="G115" i="99" s="1"/>
  <c r="G112" i="99"/>
  <c r="G113" i="99"/>
  <c r="J226" i="11"/>
  <c r="H226" i="11" s="1"/>
  <c r="F197" i="26" s="1"/>
  <c r="U226" i="11"/>
  <c r="Q226" i="11" s="1"/>
  <c r="I197" i="26" s="1"/>
  <c r="J165" i="11"/>
  <c r="S117" i="26"/>
  <c r="J166" i="11"/>
  <c r="K166" i="11"/>
  <c r="K165" i="11"/>
  <c r="U163" i="11"/>
  <c r="Q163" i="11" s="1"/>
  <c r="I87" i="26" s="1"/>
  <c r="I66" i="125"/>
  <c r="I67" i="125" s="1"/>
  <c r="G27" i="125"/>
  <c r="I27" i="125" s="1"/>
  <c r="N27" i="125" s="1"/>
  <c r="E114" i="99"/>
  <c r="G114" i="99" s="1"/>
  <c r="N42" i="125"/>
  <c r="N18" i="125"/>
  <c r="J60" i="125"/>
  <c r="Q61" i="125"/>
  <c r="N34" i="125"/>
  <c r="P14" i="125"/>
  <c r="P66" i="125" s="1"/>
  <c r="J7" i="125"/>
  <c r="E52" i="125"/>
  <c r="G52" i="125" s="1"/>
  <c r="I52" i="125" s="1"/>
  <c r="N52" i="125" s="1"/>
  <c r="Q66" i="125" l="1"/>
  <c r="Q67" i="125" s="1"/>
  <c r="E124" i="26" s="1"/>
  <c r="E187" i="11" s="1"/>
  <c r="E190" i="11" s="1"/>
  <c r="N66" i="125"/>
  <c r="O66" i="125"/>
  <c r="O67" i="125" s="1"/>
  <c r="P67" i="125"/>
  <c r="I53" i="125"/>
  <c r="J16" i="125"/>
  <c r="J32" i="125"/>
  <c r="N67" i="125"/>
  <c r="N69" i="125" s="1"/>
  <c r="E121" i="26" s="1"/>
  <c r="J25" i="125"/>
  <c r="F167" i="11"/>
  <c r="J167" i="11" s="1"/>
  <c r="J163" i="11" s="1"/>
  <c r="H163" i="11" s="1"/>
  <c r="F87" i="26" s="1"/>
  <c r="K163" i="11"/>
  <c r="I163" i="11" s="1"/>
  <c r="G87" i="26" s="1"/>
  <c r="J66" i="125"/>
  <c r="J67" i="125" s="1"/>
  <c r="E64" i="26" s="1"/>
  <c r="I54" i="125"/>
  <c r="I69" i="125" s="1"/>
  <c r="J41" i="125"/>
  <c r="J53" i="125" l="1"/>
  <c r="J54" i="125" s="1"/>
  <c r="R68" i="125"/>
  <c r="E188" i="11"/>
  <c r="S188" i="11" s="1"/>
  <c r="E191" i="11"/>
  <c r="K190" i="11"/>
  <c r="S190" i="11"/>
  <c r="J190" i="11"/>
  <c r="K185" i="11"/>
  <c r="S185" i="11"/>
  <c r="J185" i="11"/>
  <c r="N121" i="26"/>
  <c r="O121" i="26"/>
  <c r="Q121" i="26"/>
  <c r="S107" i="11"/>
  <c r="K107" i="11"/>
  <c r="J107" i="11"/>
  <c r="E144" i="76"/>
  <c r="E142" i="76"/>
  <c r="E145" i="76" s="1"/>
  <c r="F140" i="76"/>
  <c r="E140" i="76"/>
  <c r="F92" i="11"/>
  <c r="D66" i="87"/>
  <c r="C74" i="11"/>
  <c r="J69" i="125" l="1"/>
  <c r="E63" i="26"/>
  <c r="J188" i="11"/>
  <c r="K188" i="11"/>
  <c r="K191" i="11"/>
  <c r="S191" i="11"/>
  <c r="U187" i="11" s="1"/>
  <c r="Q187" i="11" s="1"/>
  <c r="I124" i="26" s="1"/>
  <c r="J191" i="11"/>
  <c r="P124" i="26" l="1"/>
  <c r="F189" i="11"/>
  <c r="J189" i="11" s="1"/>
  <c r="J187" i="11" s="1"/>
  <c r="H187" i="11" s="1"/>
  <c r="F124" i="26" s="1"/>
  <c r="K187" i="11"/>
  <c r="I187" i="11" s="1"/>
  <c r="G124" i="26" s="1"/>
  <c r="O124" i="26" s="1"/>
  <c r="E47" i="11"/>
  <c r="E50" i="11" s="1"/>
  <c r="D47" i="11"/>
  <c r="C47" i="11"/>
  <c r="A47" i="11"/>
  <c r="K51" i="11"/>
  <c r="J51" i="11"/>
  <c r="B47" i="11"/>
  <c r="S20" i="11"/>
  <c r="K20" i="11"/>
  <c r="E202" i="26"/>
  <c r="H187" i="26"/>
  <c r="R187" i="26"/>
  <c r="Q187" i="26"/>
  <c r="O187" i="26"/>
  <c r="N187" i="26"/>
  <c r="I186" i="26"/>
  <c r="I187" i="26" s="1"/>
  <c r="P187" i="26" s="1"/>
  <c r="E189" i="26"/>
  <c r="P63" i="88"/>
  <c r="V69" i="88"/>
  <c r="V68" i="88"/>
  <c r="V67" i="88"/>
  <c r="V66" i="88"/>
  <c r="R69" i="88"/>
  <c r="T69" i="88" s="1"/>
  <c r="R68" i="88"/>
  <c r="T68" i="88" s="1"/>
  <c r="R67" i="88"/>
  <c r="T67" i="88" s="1"/>
  <c r="R66" i="88"/>
  <c r="T66" i="88" s="1"/>
  <c r="D53" i="88"/>
  <c r="J4" i="88"/>
  <c r="R100" i="26"/>
  <c r="Q100" i="26"/>
  <c r="P100" i="26"/>
  <c r="O100" i="26"/>
  <c r="N100" i="26"/>
  <c r="K100" i="26"/>
  <c r="H100" i="26"/>
  <c r="G90" i="26"/>
  <c r="K93" i="26"/>
  <c r="H93" i="26"/>
  <c r="N93" i="26"/>
  <c r="L92" i="26"/>
  <c r="J92" i="26"/>
  <c r="K92" i="26" s="1"/>
  <c r="G92" i="26"/>
  <c r="H92" i="26" s="1"/>
  <c r="D73" i="87"/>
  <c r="D54" i="87"/>
  <c r="L50" i="26"/>
  <c r="J50" i="26"/>
  <c r="G50" i="26"/>
  <c r="H50" i="26" s="1"/>
  <c r="N133" i="26"/>
  <c r="P95" i="26"/>
  <c r="N124" i="26" l="1"/>
  <c r="H124" i="26"/>
  <c r="V70" i="88"/>
  <c r="T70" i="88"/>
  <c r="L66" i="88" s="1"/>
  <c r="K187" i="26"/>
  <c r="M187" i="26" s="1"/>
  <c r="S187" i="26"/>
  <c r="N132" i="26"/>
  <c r="J50" i="11"/>
  <c r="K50" i="11"/>
  <c r="E48" i="11"/>
  <c r="E49" i="11"/>
  <c r="M100" i="26"/>
  <c r="S100" i="26"/>
  <c r="N95" i="26"/>
  <c r="M93" i="26"/>
  <c r="R93" i="26"/>
  <c r="Q93" i="26"/>
  <c r="P93" i="26"/>
  <c r="O93" i="26"/>
  <c r="M92" i="26"/>
  <c r="N92" i="26"/>
  <c r="E133" i="11"/>
  <c r="M62" i="88" l="1"/>
  <c r="P132" i="26"/>
  <c r="Q92" i="26"/>
  <c r="O92" i="26"/>
  <c r="P92" i="26"/>
  <c r="E137" i="11"/>
  <c r="E140" i="11"/>
  <c r="E138" i="11"/>
  <c r="E134" i="11"/>
  <c r="E136" i="11" s="1"/>
  <c r="R92" i="26"/>
  <c r="K48" i="11"/>
  <c r="J48" i="11"/>
  <c r="K49" i="11"/>
  <c r="J49" i="11"/>
  <c r="S93" i="26"/>
  <c r="Q119" i="26" l="1"/>
  <c r="O119" i="26"/>
  <c r="N119" i="26"/>
  <c r="R119" i="26"/>
  <c r="P119" i="26"/>
  <c r="O118" i="26"/>
  <c r="Q118" i="26"/>
  <c r="O120" i="26"/>
  <c r="Q120" i="26"/>
  <c r="S92" i="26"/>
  <c r="K138" i="11"/>
  <c r="J138" i="11"/>
  <c r="S138" i="11"/>
  <c r="N94" i="26"/>
  <c r="P94" i="26"/>
  <c r="J136" i="11"/>
  <c r="K136" i="11"/>
  <c r="S136" i="11"/>
  <c r="S140" i="11"/>
  <c r="K140" i="11"/>
  <c r="J140" i="11"/>
  <c r="J47" i="11"/>
  <c r="H47" i="11" s="1"/>
  <c r="F14" i="26" s="1"/>
  <c r="K47" i="11"/>
  <c r="I47" i="11" s="1"/>
  <c r="G14" i="26" s="1"/>
  <c r="S119" i="26" l="1"/>
  <c r="Q15" i="75" l="1"/>
  <c r="H133" i="76"/>
  <c r="S91" i="11"/>
  <c r="D144" i="76" l="1"/>
  <c r="G144" i="76" s="1"/>
  <c r="D142" i="76"/>
  <c r="G142" i="76" s="1"/>
  <c r="D138" i="76"/>
  <c r="D140" i="76"/>
  <c r="G140" i="76" s="1"/>
  <c r="D136" i="76"/>
  <c r="D146" i="76"/>
  <c r="D145" i="76"/>
  <c r="D143" i="76"/>
  <c r="D141" i="76"/>
  <c r="D139" i="76"/>
  <c r="D137" i="76"/>
  <c r="K91" i="11"/>
  <c r="F91" i="11"/>
  <c r="J91" i="11" s="1"/>
  <c r="S95" i="11"/>
  <c r="K95" i="11"/>
  <c r="J95" i="11"/>
  <c r="S94" i="11"/>
  <c r="K94" i="11"/>
  <c r="D21" i="88"/>
  <c r="S45" i="11"/>
  <c r="K45" i="11"/>
  <c r="J45" i="11"/>
  <c r="H80" i="88"/>
  <c r="H82" i="88" s="1"/>
  <c r="J24" i="88"/>
  <c r="J81" i="11" l="1"/>
  <c r="F84" i="11"/>
  <c r="D77" i="87"/>
  <c r="D76" i="87"/>
  <c r="D75" i="87"/>
  <c r="K81" i="11" l="1"/>
  <c r="S78" i="11"/>
  <c r="K78" i="11"/>
  <c r="J78" i="11"/>
  <c r="S81" i="11"/>
  <c r="D67" i="87"/>
  <c r="D16" i="87"/>
  <c r="F153" i="11" s="1"/>
  <c r="J153" i="11" s="1"/>
  <c r="F154" i="11" s="1"/>
  <c r="J154" i="11" s="1"/>
  <c r="J151" i="11" s="1"/>
  <c r="H151" i="11" s="1"/>
  <c r="F82" i="26" s="1"/>
  <c r="D15" i="87"/>
  <c r="D14" i="87"/>
  <c r="D13" i="87"/>
  <c r="D12" i="87"/>
  <c r="D10" i="87"/>
  <c r="D11" i="87"/>
  <c r="D9" i="87"/>
  <c r="D8" i="87"/>
  <c r="D7" i="87"/>
  <c r="D6" i="87"/>
  <c r="D5" i="87"/>
  <c r="D4" i="87"/>
  <c r="F24" i="11" s="1"/>
  <c r="D22" i="87"/>
  <c r="D24" i="87"/>
  <c r="D23" i="87"/>
  <c r="N82" i="26" l="1"/>
  <c r="H82" i="26"/>
  <c r="F243" i="11"/>
  <c r="F26" i="11"/>
  <c r="F244" i="11"/>
  <c r="F27" i="11"/>
  <c r="O34" i="26"/>
  <c r="Q34" i="26"/>
  <c r="O33" i="26"/>
  <c r="Q33" i="26"/>
  <c r="J79" i="11"/>
  <c r="J77" i="11" s="1"/>
  <c r="H77" i="11" s="1"/>
  <c r="F20" i="26" s="1"/>
  <c r="S79" i="11"/>
  <c r="U77" i="11" s="1"/>
  <c r="Q77" i="11" s="1"/>
  <c r="I20" i="26" s="1"/>
  <c r="K79" i="11"/>
  <c r="K77" i="11" s="1"/>
  <c r="I77" i="11" s="1"/>
  <c r="G20" i="26" s="1"/>
  <c r="F20" i="11"/>
  <c r="J20" i="11" s="1"/>
  <c r="O39" i="26"/>
  <c r="O15" i="33"/>
  <c r="E19" i="46"/>
  <c r="E18" i="46"/>
  <c r="E14" i="46"/>
  <c r="F14" i="46" s="1"/>
  <c r="O30" i="26" l="1"/>
  <c r="Q30" i="26"/>
  <c r="AA31" i="26"/>
  <c r="F168" i="99"/>
  <c r="G168" i="99" s="1"/>
  <c r="F167" i="99"/>
  <c r="G167" i="99" s="1"/>
  <c r="F166" i="99"/>
  <c r="G166" i="99" s="1"/>
  <c r="F144" i="99"/>
  <c r="G144" i="99" s="1"/>
  <c r="F162" i="99"/>
  <c r="G162" i="99" s="1"/>
  <c r="F161" i="99"/>
  <c r="G161" i="99" s="1"/>
  <c r="F160" i="99"/>
  <c r="G160" i="99" s="1"/>
  <c r="F156" i="99"/>
  <c r="G156" i="99" s="1"/>
  <c r="F155" i="99"/>
  <c r="G155" i="99" s="1"/>
  <c r="F149" i="99"/>
  <c r="G149" i="99" s="1"/>
  <c r="F151" i="99"/>
  <c r="G151" i="99" s="1"/>
  <c r="F150" i="99"/>
  <c r="G150" i="99" s="1"/>
  <c r="F146" i="99"/>
  <c r="G146" i="99" s="1"/>
  <c r="F145" i="99"/>
  <c r="G145" i="99" s="1"/>
  <c r="F140" i="99"/>
  <c r="G140" i="99" s="1"/>
  <c r="F141" i="99"/>
  <c r="G141" i="99" s="1"/>
  <c r="F139" i="99"/>
  <c r="G139" i="99" s="1"/>
  <c r="K252" i="26"/>
  <c r="R252" i="26"/>
  <c r="Q254" i="26"/>
  <c r="K249" i="26"/>
  <c r="K253" i="26"/>
  <c r="R249" i="26"/>
  <c r="R251" i="26"/>
  <c r="R250" i="26"/>
  <c r="K254" i="26"/>
  <c r="K251" i="26"/>
  <c r="K250" i="26"/>
  <c r="K248" i="26"/>
  <c r="O252" i="26" l="1"/>
  <c r="O250" i="26"/>
  <c r="P252" i="26"/>
  <c r="Q252" i="26"/>
  <c r="P254" i="26"/>
  <c r="H165" i="99"/>
  <c r="F254" i="26" s="1"/>
  <c r="N254" i="26" s="1"/>
  <c r="H159" i="99"/>
  <c r="F252" i="26" s="1"/>
  <c r="H252" i="26" s="1"/>
  <c r="M252" i="26" s="1"/>
  <c r="U252" i="26" s="1"/>
  <c r="V252" i="26" s="1"/>
  <c r="H138" i="99"/>
  <c r="F248" i="26" s="1"/>
  <c r="H248" i="26" s="1"/>
  <c r="M248" i="26" s="1"/>
  <c r="U248" i="26" s="1"/>
  <c r="V248" i="26" s="1"/>
  <c r="H148" i="99"/>
  <c r="F250" i="26" s="1"/>
  <c r="H250" i="26" s="1"/>
  <c r="M250" i="26" s="1"/>
  <c r="U250" i="26" s="1"/>
  <c r="V250" i="26" s="1"/>
  <c r="H143" i="99"/>
  <c r="F249" i="26" s="1"/>
  <c r="H249" i="26" s="1"/>
  <c r="M249" i="26" s="1"/>
  <c r="U249" i="26" s="1"/>
  <c r="V249" i="26" s="1"/>
  <c r="P250" i="26"/>
  <c r="Q250" i="26"/>
  <c r="P253" i="26"/>
  <c r="Q253" i="26"/>
  <c r="Q248" i="26"/>
  <c r="O248" i="26"/>
  <c r="R248" i="26"/>
  <c r="P248" i="26"/>
  <c r="R253" i="26"/>
  <c r="O249" i="26"/>
  <c r="P249" i="26"/>
  <c r="Q249" i="26"/>
  <c r="O254" i="26"/>
  <c r="R254" i="26"/>
  <c r="O251" i="26"/>
  <c r="P251" i="26"/>
  <c r="Q251" i="26"/>
  <c r="O31" i="26" l="1"/>
  <c r="H254" i="26"/>
  <c r="M254" i="26" s="1"/>
  <c r="U254" i="26" s="1"/>
  <c r="V254" i="26" s="1"/>
  <c r="N252" i="26"/>
  <c r="S252" i="26" s="1"/>
  <c r="S254" i="26"/>
  <c r="N250" i="26"/>
  <c r="S250" i="26" s="1"/>
  <c r="N248" i="26"/>
  <c r="S248" i="26" s="1"/>
  <c r="N249" i="26"/>
  <c r="S249" i="26" s="1"/>
  <c r="H229" i="26" l="1"/>
  <c r="O229" i="26"/>
  <c r="K229" i="26"/>
  <c r="N228" i="26"/>
  <c r="R228" i="26"/>
  <c r="Q228" i="26"/>
  <c r="P228" i="26"/>
  <c r="O228" i="26"/>
  <c r="K228" i="26"/>
  <c r="K223" i="26"/>
  <c r="O223" i="26"/>
  <c r="P223" i="26"/>
  <c r="Q223" i="26"/>
  <c r="R223" i="26"/>
  <c r="H224" i="26"/>
  <c r="K224" i="26"/>
  <c r="N224" i="26"/>
  <c r="O224" i="26"/>
  <c r="P224" i="26"/>
  <c r="Q224" i="26"/>
  <c r="R224" i="26"/>
  <c r="H225" i="26"/>
  <c r="K225" i="26"/>
  <c r="N225" i="26"/>
  <c r="O225" i="26"/>
  <c r="P225" i="26"/>
  <c r="Q225" i="26"/>
  <c r="R225" i="26"/>
  <c r="H226" i="26"/>
  <c r="K226" i="26"/>
  <c r="N226" i="26"/>
  <c r="O226" i="26"/>
  <c r="P226" i="26"/>
  <c r="Q226" i="26"/>
  <c r="R226" i="26"/>
  <c r="S226" i="26" l="1"/>
  <c r="M225" i="26"/>
  <c r="U225" i="26" s="1"/>
  <c r="V225" i="26" s="1"/>
  <c r="M229" i="26"/>
  <c r="U229" i="26" s="1"/>
  <c r="V229" i="26" s="1"/>
  <c r="M224" i="26"/>
  <c r="U224" i="26" s="1"/>
  <c r="V224" i="26" s="1"/>
  <c r="R229" i="26"/>
  <c r="P229" i="26"/>
  <c r="N229" i="26"/>
  <c r="Q229" i="26"/>
  <c r="S225" i="26"/>
  <c r="S224" i="26"/>
  <c r="H228" i="26"/>
  <c r="M228" i="26" s="1"/>
  <c r="U228" i="26" s="1"/>
  <c r="V228" i="26" s="1"/>
  <c r="S228" i="26"/>
  <c r="M226" i="26"/>
  <c r="U226" i="26" s="1"/>
  <c r="V226" i="26" s="1"/>
  <c r="F68" i="94"/>
  <c r="H68" i="94" s="1"/>
  <c r="I68" i="94" s="1"/>
  <c r="J67" i="94" s="1"/>
  <c r="F66" i="94"/>
  <c r="H66" i="94" s="1"/>
  <c r="I66" i="94" s="1"/>
  <c r="F74" i="94"/>
  <c r="H74" i="94" s="1"/>
  <c r="I74" i="94" s="1"/>
  <c r="J71" i="94" s="1"/>
  <c r="H154" i="26"/>
  <c r="H155" i="26"/>
  <c r="H156" i="26"/>
  <c r="H157" i="26"/>
  <c r="H158" i="26"/>
  <c r="S202" i="11"/>
  <c r="D425" i="87"/>
  <c r="J65" i="94" l="1"/>
  <c r="I84" i="94"/>
  <c r="S229" i="26"/>
  <c r="R65" i="26"/>
  <c r="Q65" i="26"/>
  <c r="O65" i="26"/>
  <c r="N65" i="26"/>
  <c r="H65" i="26"/>
  <c r="J79" i="94" l="1"/>
  <c r="J162" i="11" l="1"/>
  <c r="K161" i="11"/>
  <c r="B160" i="11"/>
  <c r="B156" i="11"/>
  <c r="C156" i="11"/>
  <c r="A156" i="11"/>
  <c r="S106" i="11"/>
  <c r="F105" i="11"/>
  <c r="J108" i="11"/>
  <c r="K108" i="11"/>
  <c r="F104" i="11"/>
  <c r="B101" i="11"/>
  <c r="C101" i="11"/>
  <c r="D101" i="11"/>
  <c r="A101" i="11"/>
  <c r="E101" i="11"/>
  <c r="K162" i="11" l="1"/>
  <c r="S108" i="11"/>
  <c r="N55" i="26"/>
  <c r="L55" i="26"/>
  <c r="J55" i="26"/>
  <c r="G55" i="26"/>
  <c r="J104" i="11" l="1"/>
  <c r="J103" i="11"/>
  <c r="S102" i="11"/>
  <c r="K102" i="11"/>
  <c r="J102" i="11"/>
  <c r="S104" i="11"/>
  <c r="O55" i="26"/>
  <c r="R55" i="26"/>
  <c r="Q55" i="26"/>
  <c r="P55" i="26"/>
  <c r="K55" i="26"/>
  <c r="H55" i="26"/>
  <c r="J161" i="11" l="1"/>
  <c r="J160" i="11" s="1"/>
  <c r="M55" i="26"/>
  <c r="S55" i="26"/>
  <c r="K160" i="11"/>
  <c r="U160" i="11"/>
  <c r="S105" i="11"/>
  <c r="J105" i="11"/>
  <c r="S103" i="11"/>
  <c r="N50" i="26"/>
  <c r="U101" i="11" l="1"/>
  <c r="Q101" i="11" s="1"/>
  <c r="I52" i="26" s="1"/>
  <c r="P50" i="26"/>
  <c r="P52" i="26" l="1"/>
  <c r="S212" i="11" l="1"/>
  <c r="S208" i="11"/>
  <c r="K208" i="11"/>
  <c r="J208" i="11"/>
  <c r="E105" i="99"/>
  <c r="K212" i="11" l="1"/>
  <c r="J212" i="11"/>
  <c r="F98" i="99" l="1"/>
  <c r="F97" i="99"/>
  <c r="F96" i="99"/>
  <c r="F95" i="99"/>
  <c r="E95" i="99"/>
  <c r="E96" i="99"/>
  <c r="F94" i="99"/>
  <c r="G94" i="99" s="1"/>
  <c r="E84" i="99"/>
  <c r="E83" i="99"/>
  <c r="F19" i="99"/>
  <c r="G19" i="99" s="1"/>
  <c r="F18" i="99"/>
  <c r="G18" i="99" s="1"/>
  <c r="F17" i="99"/>
  <c r="G17" i="99" s="1"/>
  <c r="F16" i="99"/>
  <c r="G16" i="99" s="1"/>
  <c r="F15" i="99"/>
  <c r="G15" i="99" s="1"/>
  <c r="F14" i="99"/>
  <c r="G14" i="99" s="1"/>
  <c r="L144" i="26"/>
  <c r="L143" i="26"/>
  <c r="F144" i="26"/>
  <c r="L141" i="26"/>
  <c r="F141" i="26"/>
  <c r="L140" i="26"/>
  <c r="F140" i="26"/>
  <c r="L136" i="26"/>
  <c r="F136" i="26"/>
  <c r="H136" i="26" s="1"/>
  <c r="L135" i="26"/>
  <c r="F135" i="26"/>
  <c r="E10" i="99"/>
  <c r="E9" i="99"/>
  <c r="F32" i="99"/>
  <c r="G32" i="99" s="1"/>
  <c r="O148" i="26"/>
  <c r="Q148" i="26"/>
  <c r="O147" i="26"/>
  <c r="Q147" i="26"/>
  <c r="L138" i="26"/>
  <c r="F138" i="26"/>
  <c r="H138" i="26" s="1"/>
  <c r="Q141" i="26"/>
  <c r="O149" i="26"/>
  <c r="D48" i="88"/>
  <c r="D46" i="88"/>
  <c r="D45" i="88"/>
  <c r="G96" i="99" l="1"/>
  <c r="E98" i="99"/>
  <c r="G98" i="99" s="1"/>
  <c r="G95" i="99"/>
  <c r="D47" i="88"/>
  <c r="E97" i="99"/>
  <c r="G97" i="99" s="1"/>
  <c r="R136" i="26"/>
  <c r="O136" i="26"/>
  <c r="N136" i="26"/>
  <c r="Q136" i="26"/>
  <c r="Q150" i="26"/>
  <c r="O150" i="26"/>
  <c r="Q149" i="26"/>
  <c r="O141" i="26"/>
  <c r="R141" i="26"/>
  <c r="N141" i="26"/>
  <c r="H141" i="26"/>
  <c r="F103" i="120"/>
  <c r="F104" i="120"/>
  <c r="E100" i="120"/>
  <c r="F100" i="120" s="1"/>
  <c r="E101" i="120"/>
  <c r="F101" i="120" s="1"/>
  <c r="E102" i="120"/>
  <c r="F102" i="120" s="1"/>
  <c r="E99" i="120"/>
  <c r="F99" i="120" s="1"/>
  <c r="E98" i="120"/>
  <c r="F98" i="120" s="1"/>
  <c r="E97" i="120"/>
  <c r="F97" i="120" s="1"/>
  <c r="E96" i="120"/>
  <c r="F96" i="120" s="1"/>
  <c r="E95" i="120"/>
  <c r="F95" i="120" s="1"/>
  <c r="E94" i="120"/>
  <c r="F94" i="120" s="1"/>
  <c r="E93" i="120"/>
  <c r="F93" i="120" s="1"/>
  <c r="E92" i="120"/>
  <c r="F92" i="120" s="1"/>
  <c r="E91" i="120"/>
  <c r="F91" i="120" s="1"/>
  <c r="E90" i="120"/>
  <c r="F90" i="120" s="1"/>
  <c r="E75" i="120"/>
  <c r="F75" i="120" s="1"/>
  <c r="E76" i="120"/>
  <c r="F76" i="120" s="1"/>
  <c r="E77" i="120"/>
  <c r="F77" i="120" s="1"/>
  <c r="E78" i="120"/>
  <c r="F78" i="120" s="1"/>
  <c r="E79" i="120"/>
  <c r="F79" i="120" s="1"/>
  <c r="E80" i="120"/>
  <c r="F80" i="120" s="1"/>
  <c r="E81" i="120"/>
  <c r="F81" i="120" s="1"/>
  <c r="E82" i="120"/>
  <c r="F82" i="120" s="1"/>
  <c r="E83" i="120"/>
  <c r="F83" i="120" s="1"/>
  <c r="F53" i="120"/>
  <c r="E57" i="120"/>
  <c r="F57" i="120" s="1"/>
  <c r="E58" i="120"/>
  <c r="F58" i="120" s="1"/>
  <c r="E59" i="120"/>
  <c r="F59" i="120" s="1"/>
  <c r="E60" i="120"/>
  <c r="F60" i="120" s="1"/>
  <c r="E61" i="120"/>
  <c r="F61" i="120" s="1"/>
  <c r="E62" i="120"/>
  <c r="F62" i="120" s="1"/>
  <c r="E63" i="120"/>
  <c r="F63" i="120" s="1"/>
  <c r="E51" i="120"/>
  <c r="E52" i="120"/>
  <c r="F52" i="120" s="1"/>
  <c r="E34" i="120"/>
  <c r="E32" i="120"/>
  <c r="E33" i="120"/>
  <c r="F33" i="120" s="1"/>
  <c r="E35" i="120"/>
  <c r="F35" i="120" s="1"/>
  <c r="E36" i="120"/>
  <c r="F36" i="120" s="1"/>
  <c r="E37" i="120"/>
  <c r="F37" i="120" s="1"/>
  <c r="E30" i="120"/>
  <c r="F30" i="120" s="1"/>
  <c r="E38" i="120"/>
  <c r="F38" i="120" s="1"/>
  <c r="E39" i="120"/>
  <c r="F39" i="120" s="1"/>
  <c r="E40" i="120"/>
  <c r="F40" i="120" s="1"/>
  <c r="E41" i="120"/>
  <c r="F41" i="120" s="1"/>
  <c r="E16" i="120"/>
  <c r="F16" i="120" s="1"/>
  <c r="E11" i="120"/>
  <c r="F11" i="120" s="1"/>
  <c r="E12" i="120"/>
  <c r="F12" i="120" s="1"/>
  <c r="E13" i="120"/>
  <c r="F13" i="120" s="1"/>
  <c r="E14" i="120"/>
  <c r="F14" i="120" s="1"/>
  <c r="E15" i="120"/>
  <c r="F15" i="120" s="1"/>
  <c r="E56" i="120"/>
  <c r="F56" i="120" s="1"/>
  <c r="E55" i="120"/>
  <c r="F55" i="120" s="1"/>
  <c r="E54" i="120"/>
  <c r="E50" i="120"/>
  <c r="F50" i="120" s="1"/>
  <c r="E49" i="120"/>
  <c r="F49" i="120" s="1"/>
  <c r="E29" i="120"/>
  <c r="F29" i="120" s="1"/>
  <c r="E10" i="120"/>
  <c r="F10" i="120" s="1"/>
  <c r="E9" i="120"/>
  <c r="F9" i="120" s="1"/>
  <c r="E8" i="120"/>
  <c r="F8" i="120" s="1"/>
  <c r="N4" i="120"/>
  <c r="M4" i="120"/>
  <c r="L4" i="120"/>
  <c r="K4" i="120"/>
  <c r="E202" i="119"/>
  <c r="F202" i="119" s="1"/>
  <c r="E203" i="119"/>
  <c r="F203" i="119" s="1"/>
  <c r="E204" i="119"/>
  <c r="F204" i="119" s="1"/>
  <c r="E205" i="119"/>
  <c r="F205" i="119" s="1"/>
  <c r="E206" i="119"/>
  <c r="F206" i="119" s="1"/>
  <c r="E207" i="119"/>
  <c r="F207" i="119" s="1"/>
  <c r="E208" i="119"/>
  <c r="F208" i="119" s="1"/>
  <c r="E181" i="119"/>
  <c r="F181" i="119" s="1"/>
  <c r="E190" i="119"/>
  <c r="F190" i="119" s="1"/>
  <c r="E178" i="119"/>
  <c r="F178" i="119" s="1"/>
  <c r="E179" i="119"/>
  <c r="F179" i="119" s="1"/>
  <c r="E180" i="119"/>
  <c r="F180" i="119" s="1"/>
  <c r="E182" i="119"/>
  <c r="F182" i="119" s="1"/>
  <c r="E183" i="119"/>
  <c r="F183" i="119" s="1"/>
  <c r="E184" i="119"/>
  <c r="F184" i="119" s="1"/>
  <c r="E185" i="119"/>
  <c r="F185" i="119" s="1"/>
  <c r="E186" i="119"/>
  <c r="F186" i="119" s="1"/>
  <c r="E187" i="119"/>
  <c r="F187" i="119" s="1"/>
  <c r="E188" i="119"/>
  <c r="F188" i="119" s="1"/>
  <c r="E189" i="119"/>
  <c r="F189" i="119" s="1"/>
  <c r="E191" i="119"/>
  <c r="F191" i="119" s="1"/>
  <c r="E192" i="119"/>
  <c r="F192" i="119" s="1"/>
  <c r="E193" i="119"/>
  <c r="F193" i="119" s="1"/>
  <c r="E177" i="119"/>
  <c r="F177" i="119" s="1"/>
  <c r="E159" i="119"/>
  <c r="F159" i="119" s="1"/>
  <c r="E154" i="119"/>
  <c r="F154" i="119" s="1"/>
  <c r="E155" i="119"/>
  <c r="F155" i="119" s="1"/>
  <c r="E156" i="119"/>
  <c r="F156" i="119" s="1"/>
  <c r="E157" i="119"/>
  <c r="F157" i="119" s="1"/>
  <c r="E161" i="119"/>
  <c r="F161" i="119" s="1"/>
  <c r="E163" i="119"/>
  <c r="F163" i="119" s="1"/>
  <c r="E164" i="119"/>
  <c r="F164" i="119" s="1"/>
  <c r="E165" i="119"/>
  <c r="F165" i="119" s="1"/>
  <c r="E153" i="119"/>
  <c r="F153" i="119" s="1"/>
  <c r="E19" i="120" l="1"/>
  <c r="F19" i="120" s="1"/>
  <c r="G6" i="120" s="1"/>
  <c r="O18" i="120"/>
  <c r="O43" i="120"/>
  <c r="O44" i="120" s="1"/>
  <c r="P44" i="120" s="1"/>
  <c r="O64" i="120"/>
  <c r="O65" i="120"/>
  <c r="O19" i="120"/>
  <c r="O104" i="120"/>
  <c r="O102" i="120"/>
  <c r="K138" i="26"/>
  <c r="M138" i="26" s="1"/>
  <c r="E74" i="120"/>
  <c r="F74" i="120" s="1"/>
  <c r="G73" i="120" s="1"/>
  <c r="O83" i="120"/>
  <c r="O103" i="120"/>
  <c r="O82" i="120"/>
  <c r="O105" i="120"/>
  <c r="O81" i="120"/>
  <c r="O84" i="120"/>
  <c r="E106" i="120"/>
  <c r="F106" i="120" s="1"/>
  <c r="G105" i="120" s="1"/>
  <c r="G89" i="120"/>
  <c r="F32" i="120"/>
  <c r="F54" i="120"/>
  <c r="F51" i="120"/>
  <c r="F34" i="120"/>
  <c r="E210" i="119"/>
  <c r="F210" i="119" s="1"/>
  <c r="G201" i="119" s="1"/>
  <c r="E194" i="119"/>
  <c r="F194" i="119" s="1"/>
  <c r="E168" i="119"/>
  <c r="F168" i="119" s="1"/>
  <c r="G152" i="119" s="1"/>
  <c r="O66" i="120" l="1"/>
  <c r="P66" i="120" s="1"/>
  <c r="O20" i="120"/>
  <c r="S44" i="120"/>
  <c r="P46" i="120"/>
  <c r="O86" i="120"/>
  <c r="P86" i="120" s="1"/>
  <c r="S86" i="120" s="1"/>
  <c r="F195" i="119"/>
  <c r="G176" i="119"/>
  <c r="G195" i="119" s="1"/>
  <c r="G198" i="119" s="1"/>
  <c r="R198" i="119" s="1"/>
  <c r="O107" i="120"/>
  <c r="P107" i="120" s="1"/>
  <c r="S107" i="120" s="1"/>
  <c r="K141" i="26"/>
  <c r="M141" i="26" s="1"/>
  <c r="P141" i="26"/>
  <c r="S141" i="26" s="1"/>
  <c r="K136" i="26"/>
  <c r="M136" i="26" s="1"/>
  <c r="P136" i="26"/>
  <c r="S136" i="26" s="1"/>
  <c r="E85" i="120"/>
  <c r="F85" i="120" s="1"/>
  <c r="G84" i="120" s="1"/>
  <c r="G86" i="120" s="1"/>
  <c r="E65" i="120"/>
  <c r="F65" i="120" s="1"/>
  <c r="G48" i="120" s="1"/>
  <c r="E43" i="120"/>
  <c r="F43" i="120" s="1"/>
  <c r="G28" i="120" s="1"/>
  <c r="G107" i="120"/>
  <c r="F107" i="120"/>
  <c r="G211" i="119"/>
  <c r="F20" i="120"/>
  <c r="G20" i="120" s="1"/>
  <c r="G23" i="120" s="1"/>
  <c r="R23" i="120" s="1"/>
  <c r="F211" i="119"/>
  <c r="F169" i="119"/>
  <c r="G169" i="119"/>
  <c r="G172" i="119" s="1"/>
  <c r="R172" i="119" s="1"/>
  <c r="P69" i="120" l="1"/>
  <c r="S69" i="120" s="1"/>
  <c r="S66" i="120"/>
  <c r="I169" i="26"/>
  <c r="R107" i="120"/>
  <c r="T107" i="120" s="1"/>
  <c r="R104" i="120" s="1"/>
  <c r="F168" i="26"/>
  <c r="F164" i="26"/>
  <c r="R211" i="119"/>
  <c r="F166" i="26"/>
  <c r="F86" i="120"/>
  <c r="F66" i="120"/>
  <c r="G66" i="120"/>
  <c r="G44" i="120"/>
  <c r="F44" i="120"/>
  <c r="R86" i="120"/>
  <c r="T86" i="120" s="1"/>
  <c r="G46" i="120" l="1"/>
  <c r="G69" i="120" s="1"/>
  <c r="R69" i="120" s="1"/>
  <c r="T69" i="120" s="1"/>
  <c r="R44" i="120"/>
  <c r="T44" i="120" s="1"/>
  <c r="R66" i="120"/>
  <c r="T66" i="120" s="1"/>
  <c r="S104" i="120"/>
  <c r="R83" i="120"/>
  <c r="S83" i="120"/>
  <c r="R70" i="120" l="1"/>
  <c r="S70" i="120"/>
  <c r="F169" i="26"/>
  <c r="R64" i="120"/>
  <c r="S64" i="120"/>
  <c r="R42" i="120"/>
  <c r="S42" i="120"/>
  <c r="E42" i="119"/>
  <c r="F42" i="119" s="1"/>
  <c r="E43" i="119"/>
  <c r="F43" i="119" s="1"/>
  <c r="E44" i="119"/>
  <c r="F44" i="119" s="1"/>
  <c r="E38" i="119"/>
  <c r="F38" i="119" s="1"/>
  <c r="E39" i="119"/>
  <c r="F39" i="119" s="1"/>
  <c r="E13" i="119"/>
  <c r="F13" i="119" s="1"/>
  <c r="E14" i="119"/>
  <c r="F14" i="119" s="1"/>
  <c r="E15" i="119"/>
  <c r="F15" i="119" s="1"/>
  <c r="E17" i="119"/>
  <c r="F17" i="119" s="1"/>
  <c r="E18" i="119"/>
  <c r="F18" i="119" s="1"/>
  <c r="E19" i="119"/>
  <c r="F19" i="119" s="1"/>
  <c r="E20" i="119"/>
  <c r="F20" i="119" s="1"/>
  <c r="E22" i="119"/>
  <c r="F22" i="119" s="1"/>
  <c r="E23" i="119"/>
  <c r="F23" i="119" s="1"/>
  <c r="E24" i="119"/>
  <c r="F24" i="119" s="1"/>
  <c r="E25" i="119"/>
  <c r="F25" i="119" s="1"/>
  <c r="E26" i="119"/>
  <c r="F26" i="119" s="1"/>
  <c r="E28" i="119"/>
  <c r="F28" i="119" s="1"/>
  <c r="E29" i="119"/>
  <c r="F29" i="119" s="1"/>
  <c r="E30" i="119"/>
  <c r="F30" i="119" s="1"/>
  <c r="E31" i="119"/>
  <c r="F31" i="119" s="1"/>
  <c r="E32" i="119"/>
  <c r="F32" i="119" s="1"/>
  <c r="E33" i="119"/>
  <c r="F33" i="119" s="1"/>
  <c r="E34" i="119"/>
  <c r="F34" i="119" s="1"/>
  <c r="E35" i="119"/>
  <c r="F35" i="119" s="1"/>
  <c r="E36" i="119"/>
  <c r="F36" i="119" s="1"/>
  <c r="F37" i="119"/>
  <c r="E40" i="119"/>
  <c r="F40" i="119" s="1"/>
  <c r="E41" i="119"/>
  <c r="F41" i="119" s="1"/>
  <c r="E8" i="119"/>
  <c r="F8" i="119" s="1"/>
  <c r="E9" i="119"/>
  <c r="F9" i="119" s="1"/>
  <c r="E10" i="119"/>
  <c r="F10" i="119" s="1"/>
  <c r="E12" i="119"/>
  <c r="F12" i="119" s="1"/>
  <c r="E7" i="119"/>
  <c r="F7" i="119" s="1"/>
  <c r="N3" i="119"/>
  <c r="M3" i="119"/>
  <c r="L3" i="119"/>
  <c r="K3" i="119"/>
  <c r="O193" i="119" s="1"/>
  <c r="O143" i="119" l="1"/>
  <c r="O141" i="119"/>
  <c r="O142" i="119"/>
  <c r="O210" i="119"/>
  <c r="O211" i="119" s="1"/>
  <c r="P211" i="119" s="1"/>
  <c r="O194" i="119"/>
  <c r="O195" i="119" s="1"/>
  <c r="P195" i="119" s="1"/>
  <c r="P198" i="119" s="1"/>
  <c r="S198" i="119" s="1"/>
  <c r="O168" i="119"/>
  <c r="O167" i="119"/>
  <c r="O166" i="119"/>
  <c r="O93" i="119"/>
  <c r="O47" i="119"/>
  <c r="O95" i="119"/>
  <c r="O46" i="119"/>
  <c r="O94" i="119"/>
  <c r="E47" i="119"/>
  <c r="F47" i="119" s="1"/>
  <c r="G5" i="119" s="1"/>
  <c r="G48" i="119" s="1"/>
  <c r="T198" i="119" l="1"/>
  <c r="R199" i="119" s="1"/>
  <c r="O144" i="119"/>
  <c r="P144" i="119" s="1"/>
  <c r="G50" i="119"/>
  <c r="G149" i="119" s="1"/>
  <c r="R48" i="119"/>
  <c r="I164" i="26"/>
  <c r="S211" i="119"/>
  <c r="O169" i="119"/>
  <c r="P169" i="119" s="1"/>
  <c r="P172" i="119" s="1"/>
  <c r="S172" i="119" s="1"/>
  <c r="T172" i="119" s="1"/>
  <c r="O96" i="119"/>
  <c r="P96" i="119" s="1"/>
  <c r="O48" i="119"/>
  <c r="P48" i="119" s="1"/>
  <c r="F48" i="119"/>
  <c r="S199" i="119" l="1"/>
  <c r="S173" i="119"/>
  <c r="R173" i="119"/>
  <c r="F165" i="26"/>
  <c r="R149" i="119"/>
  <c r="P146" i="119"/>
  <c r="S144" i="119"/>
  <c r="P50" i="119"/>
  <c r="S48" i="119"/>
  <c r="T211" i="119"/>
  <c r="R209" i="119" s="1"/>
  <c r="I166" i="26"/>
  <c r="S96" i="119"/>
  <c r="T96" i="119" s="1"/>
  <c r="R94" i="119" s="1"/>
  <c r="P98" i="119"/>
  <c r="P149" i="119" s="1"/>
  <c r="I165" i="26" l="1"/>
  <c r="S149" i="119"/>
  <c r="T149" i="119" s="1"/>
  <c r="R150" i="119" s="1"/>
  <c r="T144" i="119"/>
  <c r="R142" i="119" s="1"/>
  <c r="T48" i="119"/>
  <c r="R46" i="119" s="1"/>
  <c r="S209" i="119"/>
  <c r="S94" i="119"/>
  <c r="S150" i="119" l="1"/>
  <c r="S142" i="119"/>
  <c r="S46" i="119"/>
  <c r="E9" i="118"/>
  <c r="F9" i="118" s="1"/>
  <c r="E10" i="118"/>
  <c r="F10" i="118" s="1"/>
  <c r="E11" i="118"/>
  <c r="F11" i="118" s="1"/>
  <c r="E12" i="118"/>
  <c r="E14" i="118"/>
  <c r="F14" i="118" s="1"/>
  <c r="E15" i="118"/>
  <c r="F15" i="118" s="1"/>
  <c r="E16" i="118"/>
  <c r="F16" i="118" s="1"/>
  <c r="E8" i="118"/>
  <c r="F8" i="118" s="1"/>
  <c r="N4" i="118"/>
  <c r="M4" i="118"/>
  <c r="L4" i="118"/>
  <c r="K4" i="118"/>
  <c r="O36" i="118" l="1"/>
  <c r="F12" i="118"/>
  <c r="G6" i="118" s="1"/>
  <c r="O37" i="118"/>
  <c r="O38" i="118" s="1"/>
  <c r="E18" i="118" l="1"/>
  <c r="G23" i="118"/>
  <c r="G36" i="118" s="1"/>
  <c r="G38" i="118" s="1"/>
  <c r="P38" i="118" l="1"/>
  <c r="P41" i="118" s="1"/>
  <c r="S41" i="118" s="1"/>
  <c r="I180" i="26" l="1"/>
  <c r="Q176" i="26" l="1"/>
  <c r="O176" i="26"/>
  <c r="E173" i="117"/>
  <c r="F173" i="117" s="1"/>
  <c r="E171" i="117"/>
  <c r="F171" i="117" s="1"/>
  <c r="E172" i="117"/>
  <c r="F172" i="117" s="1"/>
  <c r="E174" i="117"/>
  <c r="F174" i="117" s="1"/>
  <c r="E176" i="117"/>
  <c r="F176" i="117" s="1"/>
  <c r="E177" i="117"/>
  <c r="F177" i="117" s="1"/>
  <c r="E170" i="117"/>
  <c r="F170" i="117" s="1"/>
  <c r="E169" i="117"/>
  <c r="F169" i="117" s="1"/>
  <c r="F184" i="117"/>
  <c r="F191" i="117"/>
  <c r="E182" i="117"/>
  <c r="F182" i="117" s="1"/>
  <c r="E183" i="117"/>
  <c r="F183" i="117" s="1"/>
  <c r="E185" i="117"/>
  <c r="F185" i="117" s="1"/>
  <c r="E186" i="117"/>
  <c r="F186" i="117" s="1"/>
  <c r="E187" i="117"/>
  <c r="F187" i="117" s="1"/>
  <c r="E189" i="117"/>
  <c r="F189" i="117" s="1"/>
  <c r="E190" i="117"/>
  <c r="F190" i="117" s="1"/>
  <c r="E193" i="117"/>
  <c r="F193" i="117" s="1"/>
  <c r="E194" i="117"/>
  <c r="F194" i="117" s="1"/>
  <c r="E196" i="117"/>
  <c r="F196" i="117" s="1"/>
  <c r="E197" i="117"/>
  <c r="F197" i="117" s="1"/>
  <c r="E198" i="117"/>
  <c r="F198" i="117" s="1"/>
  <c r="E199" i="117"/>
  <c r="F199" i="117" s="1"/>
  <c r="E200" i="117"/>
  <c r="F200" i="117" s="1"/>
  <c r="E201" i="117"/>
  <c r="F201" i="117" s="1"/>
  <c r="E202" i="117"/>
  <c r="F202" i="117" s="1"/>
  <c r="E203" i="117"/>
  <c r="F203" i="117" s="1"/>
  <c r="E181" i="117"/>
  <c r="F181" i="117" s="1"/>
  <c r="O173" i="26"/>
  <c r="Q173" i="26"/>
  <c r="O174" i="26"/>
  <c r="Q174" i="26"/>
  <c r="O175" i="26"/>
  <c r="Q175" i="26"/>
  <c r="F128" i="117"/>
  <c r="F135" i="117"/>
  <c r="E123" i="117"/>
  <c r="F123" i="117" s="1"/>
  <c r="E124" i="117"/>
  <c r="F124" i="117" s="1"/>
  <c r="E125" i="117"/>
  <c r="F125" i="117" s="1"/>
  <c r="E126" i="117"/>
  <c r="F126" i="117" s="1"/>
  <c r="E127" i="117"/>
  <c r="F127" i="117" s="1"/>
  <c r="E129" i="117"/>
  <c r="F129" i="117" s="1"/>
  <c r="E130" i="117"/>
  <c r="F130" i="117" s="1"/>
  <c r="E131" i="117"/>
  <c r="F131" i="117" s="1"/>
  <c r="E133" i="117"/>
  <c r="F133" i="117" s="1"/>
  <c r="E134" i="117"/>
  <c r="F134" i="117" s="1"/>
  <c r="E137" i="117"/>
  <c r="F137" i="117" s="1"/>
  <c r="E138" i="117"/>
  <c r="F138" i="117" s="1"/>
  <c r="E139" i="117"/>
  <c r="F139" i="117" s="1"/>
  <c r="E140" i="117"/>
  <c r="F140" i="117" s="1"/>
  <c r="E141" i="117"/>
  <c r="F141" i="117" s="1"/>
  <c r="E142" i="117"/>
  <c r="F142" i="117" s="1"/>
  <c r="E143" i="117"/>
  <c r="F143" i="117" s="1"/>
  <c r="E145" i="117"/>
  <c r="F145" i="117" s="1"/>
  <c r="E146" i="117"/>
  <c r="F146" i="117" s="1"/>
  <c r="E147" i="117"/>
  <c r="F147" i="117" s="1"/>
  <c r="E148" i="117"/>
  <c r="F148" i="117" s="1"/>
  <c r="E150" i="117"/>
  <c r="F150" i="117" s="1"/>
  <c r="E151" i="117"/>
  <c r="F151" i="117" s="1"/>
  <c r="E152" i="117"/>
  <c r="F152" i="117" s="1"/>
  <c r="E153" i="117"/>
  <c r="F153" i="117" s="1"/>
  <c r="E154" i="117"/>
  <c r="F154" i="117" s="1"/>
  <c r="E155" i="117"/>
  <c r="F155" i="117" s="1"/>
  <c r="E157" i="117"/>
  <c r="F157" i="117" s="1"/>
  <c r="E158" i="117"/>
  <c r="F158" i="117" s="1"/>
  <c r="E122" i="117"/>
  <c r="F122" i="117" s="1"/>
  <c r="AA162" i="26"/>
  <c r="L155" i="94"/>
  <c r="D112" i="117" s="1"/>
  <c r="K155" i="94"/>
  <c r="D111" i="117" s="1"/>
  <c r="J155" i="94"/>
  <c r="D110" i="117" s="1"/>
  <c r="I155" i="94"/>
  <c r="D109" i="117" s="1"/>
  <c r="H155" i="94"/>
  <c r="D108" i="117" s="1"/>
  <c r="G155" i="94"/>
  <c r="E155" i="94"/>
  <c r="D155" i="94"/>
  <c r="D104" i="117" s="1"/>
  <c r="E104" i="117"/>
  <c r="E105" i="117"/>
  <c r="E106" i="117"/>
  <c r="E108" i="117"/>
  <c r="E109" i="117"/>
  <c r="E110" i="117"/>
  <c r="E111" i="117"/>
  <c r="E112" i="117"/>
  <c r="E103" i="117"/>
  <c r="E8" i="117"/>
  <c r="F8" i="117" s="1"/>
  <c r="E9" i="117"/>
  <c r="F9" i="117" s="1"/>
  <c r="E10" i="117"/>
  <c r="F10" i="117" s="1"/>
  <c r="E11" i="117"/>
  <c r="F11" i="117" s="1"/>
  <c r="E12" i="117"/>
  <c r="F12" i="117" s="1"/>
  <c r="E13" i="117"/>
  <c r="F13" i="117" s="1"/>
  <c r="E14" i="117"/>
  <c r="F14" i="117" s="1"/>
  <c r="E15" i="117"/>
  <c r="F15" i="117" s="1"/>
  <c r="E16" i="117"/>
  <c r="F16" i="117" s="1"/>
  <c r="E17" i="117"/>
  <c r="F17" i="117" s="1"/>
  <c r="E19" i="117"/>
  <c r="F19" i="117" s="1"/>
  <c r="E20" i="117"/>
  <c r="F20" i="117" s="1"/>
  <c r="E21" i="117"/>
  <c r="F21" i="117" s="1"/>
  <c r="E22" i="117"/>
  <c r="F22" i="117" s="1"/>
  <c r="E23" i="117"/>
  <c r="F23" i="117" s="1"/>
  <c r="E24" i="117"/>
  <c r="F24" i="117" s="1"/>
  <c r="E25" i="117"/>
  <c r="F25" i="117" s="1"/>
  <c r="E26" i="117"/>
  <c r="F26" i="117" s="1"/>
  <c r="E27" i="117"/>
  <c r="F27" i="117" s="1"/>
  <c r="E29" i="117"/>
  <c r="F29" i="117" s="1"/>
  <c r="E7" i="117"/>
  <c r="F7" i="117" s="1"/>
  <c r="N3" i="117"/>
  <c r="M3" i="117"/>
  <c r="L3" i="117"/>
  <c r="K3" i="117"/>
  <c r="O247" i="117" l="1"/>
  <c r="O290" i="117"/>
  <c r="O289" i="117"/>
  <c r="O288" i="117"/>
  <c r="O249" i="117"/>
  <c r="O248" i="117"/>
  <c r="G168" i="117"/>
  <c r="O93" i="117"/>
  <c r="O92" i="117"/>
  <c r="O91" i="117"/>
  <c r="D106" i="117"/>
  <c r="D107" i="117" s="1"/>
  <c r="F107" i="117" s="1"/>
  <c r="E205" i="117"/>
  <c r="F205" i="117" s="1"/>
  <c r="G204" i="117" s="1"/>
  <c r="O112" i="117"/>
  <c r="O61" i="117"/>
  <c r="O63" i="117"/>
  <c r="O62" i="117"/>
  <c r="O203" i="117"/>
  <c r="O204" i="117"/>
  <c r="O205" i="117"/>
  <c r="F110" i="117"/>
  <c r="F103" i="117"/>
  <c r="G180" i="117"/>
  <c r="G188" i="117"/>
  <c r="G192" i="117"/>
  <c r="G149" i="117"/>
  <c r="O159" i="117"/>
  <c r="G144" i="117"/>
  <c r="F108" i="117"/>
  <c r="O158" i="117"/>
  <c r="G136" i="117"/>
  <c r="G132" i="117"/>
  <c r="O160" i="117"/>
  <c r="F104" i="117"/>
  <c r="F111" i="117"/>
  <c r="O113" i="117"/>
  <c r="G121" i="117"/>
  <c r="E160" i="117"/>
  <c r="F160" i="117" s="1"/>
  <c r="F112" i="117"/>
  <c r="O29" i="117"/>
  <c r="F109" i="117"/>
  <c r="F140" i="94"/>
  <c r="F144" i="94" s="1"/>
  <c r="G6" i="117"/>
  <c r="O30" i="117"/>
  <c r="G18" i="117"/>
  <c r="O291" i="117" l="1"/>
  <c r="P291" i="117" s="1"/>
  <c r="P294" i="117" s="1"/>
  <c r="O250" i="117"/>
  <c r="P250" i="117" s="1"/>
  <c r="P253" i="117" s="1"/>
  <c r="O94" i="117"/>
  <c r="P94" i="117" s="1"/>
  <c r="F106" i="117"/>
  <c r="G206" i="117"/>
  <c r="O114" i="117"/>
  <c r="P114" i="117" s="1"/>
  <c r="O64" i="117"/>
  <c r="P64" i="117" s="1"/>
  <c r="O206" i="117"/>
  <c r="P206" i="117" s="1"/>
  <c r="P209" i="117" s="1"/>
  <c r="S209" i="117" s="1"/>
  <c r="O161" i="117"/>
  <c r="P161" i="117" s="1"/>
  <c r="P164" i="117" s="1"/>
  <c r="S164" i="117" s="1"/>
  <c r="F206" i="117"/>
  <c r="G159" i="117"/>
  <c r="F161" i="117"/>
  <c r="F155" i="94"/>
  <c r="O31" i="117"/>
  <c r="P31" i="117" s="1"/>
  <c r="P36" i="117" s="1"/>
  <c r="E30" i="117"/>
  <c r="F30" i="117" s="1"/>
  <c r="G28" i="117" s="1"/>
  <c r="G31" i="117" s="1"/>
  <c r="G36" i="117" s="1"/>
  <c r="G99" i="117" s="1"/>
  <c r="R99" i="117" s="1"/>
  <c r="S294" i="117" l="1"/>
  <c r="T294" i="117" s="1"/>
  <c r="S295" i="117" s="1"/>
  <c r="I174" i="26"/>
  <c r="S253" i="117"/>
  <c r="T253" i="117" s="1"/>
  <c r="S254" i="117" s="1"/>
  <c r="I173" i="26"/>
  <c r="I178" i="26" s="1"/>
  <c r="F171" i="26"/>
  <c r="G209" i="117"/>
  <c r="R209" i="117" s="1"/>
  <c r="T209" i="117" s="1"/>
  <c r="I177" i="26"/>
  <c r="P117" i="117"/>
  <c r="S117" i="117" s="1"/>
  <c r="P96" i="117"/>
  <c r="S92" i="117"/>
  <c r="D105" i="117"/>
  <c r="F105" i="117" s="1"/>
  <c r="E113" i="117" s="1"/>
  <c r="F113" i="117" s="1"/>
  <c r="G102" i="117" s="1"/>
  <c r="G114" i="117" s="1"/>
  <c r="G117" i="117" s="1"/>
  <c r="R117" i="117" s="1"/>
  <c r="I172" i="26"/>
  <c r="I171" i="26"/>
  <c r="P66" i="117"/>
  <c r="S64" i="117"/>
  <c r="G161" i="117"/>
  <c r="G164" i="117" s="1"/>
  <c r="R164" i="117" s="1"/>
  <c r="F175" i="26"/>
  <c r="R31" i="117"/>
  <c r="S31" i="117"/>
  <c r="R254" i="117" l="1"/>
  <c r="P178" i="26"/>
  <c r="K178" i="26"/>
  <c r="R295" i="117"/>
  <c r="R210" i="117"/>
  <c r="S210" i="117"/>
  <c r="T164" i="117"/>
  <c r="S165" i="117" s="1"/>
  <c r="T117" i="117"/>
  <c r="R118" i="117" s="1"/>
  <c r="P99" i="117"/>
  <c r="S99" i="117" s="1"/>
  <c r="T92" i="117"/>
  <c r="R90" i="117" s="1"/>
  <c r="F177" i="26"/>
  <c r="K173" i="26"/>
  <c r="F172" i="26"/>
  <c r="T64" i="117"/>
  <c r="R62" i="117" s="1"/>
  <c r="N175" i="26"/>
  <c r="H175" i="26"/>
  <c r="T31" i="117"/>
  <c r="R29" i="117" s="1"/>
  <c r="L178" i="26" l="1"/>
  <c r="R178" i="26" s="1"/>
  <c r="S178" i="26" s="1"/>
  <c r="R165" i="117"/>
  <c r="S118" i="117"/>
  <c r="T99" i="117"/>
  <c r="R100" i="117" s="1"/>
  <c r="I175" i="26"/>
  <c r="S90" i="117"/>
  <c r="P173" i="26"/>
  <c r="P176" i="26"/>
  <c r="K176" i="26"/>
  <c r="N176" i="26"/>
  <c r="H176" i="26"/>
  <c r="P174" i="26"/>
  <c r="K174" i="26"/>
  <c r="N174" i="26"/>
  <c r="H174" i="26"/>
  <c r="H173" i="26"/>
  <c r="S62" i="117"/>
  <c r="S29" i="117"/>
  <c r="L176" i="26" l="1"/>
  <c r="M178" i="26"/>
  <c r="K175" i="26"/>
  <c r="AD165" i="26"/>
  <c r="P175" i="26"/>
  <c r="S100" i="117"/>
  <c r="N173" i="26"/>
  <c r="R176" i="26"/>
  <c r="S176" i="26" s="1"/>
  <c r="L173" i="26"/>
  <c r="R173" i="26" s="1"/>
  <c r="S173" i="26" l="1"/>
  <c r="M176" i="26"/>
  <c r="M173" i="26"/>
  <c r="J12" i="33"/>
  <c r="I202" i="26" s="1"/>
  <c r="K237" i="26"/>
  <c r="O237" i="26"/>
  <c r="P237" i="26"/>
  <c r="Q237" i="26"/>
  <c r="R237" i="26"/>
  <c r="K238" i="26"/>
  <c r="O238" i="26"/>
  <c r="P238" i="26"/>
  <c r="Q238" i="26"/>
  <c r="R238" i="26"/>
  <c r="O246" i="26"/>
  <c r="P246" i="26"/>
  <c r="Q246" i="26"/>
  <c r="R246" i="26"/>
  <c r="K246" i="26"/>
  <c r="F246" i="26"/>
  <c r="H246" i="26" s="1"/>
  <c r="M246" i="26" s="1"/>
  <c r="U246" i="26" s="1"/>
  <c r="V246" i="26" s="1"/>
  <c r="R245" i="26"/>
  <c r="Q245" i="26"/>
  <c r="P245" i="26"/>
  <c r="O245" i="26"/>
  <c r="K245" i="26"/>
  <c r="R244" i="26"/>
  <c r="Q244" i="26"/>
  <c r="P244" i="26"/>
  <c r="O244" i="26"/>
  <c r="K244" i="26"/>
  <c r="F244" i="26"/>
  <c r="N244" i="26" s="1"/>
  <c r="R243" i="26"/>
  <c r="Q243" i="26"/>
  <c r="P243" i="26"/>
  <c r="O243" i="26"/>
  <c r="K243" i="26"/>
  <c r="F243" i="26"/>
  <c r="H243" i="26" s="1"/>
  <c r="R242" i="26"/>
  <c r="Q242" i="26"/>
  <c r="P242" i="26"/>
  <c r="O242" i="26"/>
  <c r="K242" i="26"/>
  <c r="F242" i="26"/>
  <c r="N242" i="26" s="1"/>
  <c r="R241" i="26"/>
  <c r="Q241" i="26"/>
  <c r="P241" i="26"/>
  <c r="O241" i="26"/>
  <c r="K241" i="26"/>
  <c r="F241" i="26"/>
  <c r="N241" i="26" s="1"/>
  <c r="R240" i="26"/>
  <c r="Q240" i="26"/>
  <c r="P240" i="26"/>
  <c r="O240" i="26"/>
  <c r="K240" i="26"/>
  <c r="F240" i="26"/>
  <c r="H240" i="26" s="1"/>
  <c r="F14" i="116"/>
  <c r="F15" i="116"/>
  <c r="E16" i="116"/>
  <c r="F16" i="116" s="1"/>
  <c r="D17" i="116"/>
  <c r="E12" i="116"/>
  <c r="F12" i="116" s="1"/>
  <c r="E11" i="116"/>
  <c r="F11" i="116" s="1"/>
  <c r="M240" i="26" l="1"/>
  <c r="U240" i="26" s="1"/>
  <c r="V240" i="26" s="1"/>
  <c r="M243" i="26"/>
  <c r="U243" i="26" s="1"/>
  <c r="V243" i="26" s="1"/>
  <c r="S241" i="26"/>
  <c r="N246" i="26"/>
  <c r="S246" i="26" s="1"/>
  <c r="S244" i="26"/>
  <c r="S242" i="26"/>
  <c r="N243" i="26"/>
  <c r="S243" i="26" s="1"/>
  <c r="H242" i="26"/>
  <c r="M242" i="26" s="1"/>
  <c r="U242" i="26" s="1"/>
  <c r="V242" i="26" s="1"/>
  <c r="H244" i="26"/>
  <c r="M244" i="26" s="1"/>
  <c r="U244" i="26" s="1"/>
  <c r="V244" i="26" s="1"/>
  <c r="H241" i="26"/>
  <c r="M241" i="26" s="1"/>
  <c r="U241" i="26" s="1"/>
  <c r="V241" i="26" s="1"/>
  <c r="N240" i="26"/>
  <c r="S240" i="26" s="1"/>
  <c r="E17" i="116"/>
  <c r="F17" i="116" s="1"/>
  <c r="E10" i="116"/>
  <c r="F10" i="116" s="1"/>
  <c r="E9" i="116"/>
  <c r="F9" i="116" s="1"/>
  <c r="E8" i="116"/>
  <c r="F8" i="116" s="1"/>
  <c r="E7" i="116"/>
  <c r="F7" i="116" s="1"/>
  <c r="E23" i="116"/>
  <c r="F23" i="116" s="1"/>
  <c r="E22" i="116"/>
  <c r="F22" i="116" s="1"/>
  <c r="E21" i="116"/>
  <c r="F21" i="116" s="1"/>
  <c r="E20" i="116"/>
  <c r="F20" i="116" s="1"/>
  <c r="N3" i="116"/>
  <c r="M3" i="116"/>
  <c r="L3" i="116"/>
  <c r="K3" i="116"/>
  <c r="G19" i="116" l="1"/>
  <c r="E18" i="116"/>
  <c r="F18" i="116" s="1"/>
  <c r="G5" i="116" s="1"/>
  <c r="E46" i="115"/>
  <c r="F46" i="115" s="1"/>
  <c r="E48" i="115"/>
  <c r="F48" i="115" s="1"/>
  <c r="E45" i="115"/>
  <c r="F45" i="115" s="1"/>
  <c r="F15" i="102"/>
  <c r="E11" i="115"/>
  <c r="F11" i="115" s="1"/>
  <c r="E12" i="115"/>
  <c r="F12" i="115" s="1"/>
  <c r="E13" i="115"/>
  <c r="F13" i="115" s="1"/>
  <c r="E14" i="115"/>
  <c r="F14" i="115" s="1"/>
  <c r="E15" i="115"/>
  <c r="F15" i="115" s="1"/>
  <c r="E16" i="115"/>
  <c r="F16" i="115" s="1"/>
  <c r="E17" i="115"/>
  <c r="F17" i="115" s="1"/>
  <c r="E18" i="115"/>
  <c r="F18" i="115" s="1"/>
  <c r="E19" i="115"/>
  <c r="F19" i="115" s="1"/>
  <c r="E20" i="115"/>
  <c r="F20" i="115" s="1"/>
  <c r="E21" i="115"/>
  <c r="F21" i="115" s="1"/>
  <c r="E22" i="115"/>
  <c r="F22" i="115" s="1"/>
  <c r="E23" i="115"/>
  <c r="F23" i="115" s="1"/>
  <c r="E24" i="115"/>
  <c r="F24" i="115" s="1"/>
  <c r="E25" i="115"/>
  <c r="F25" i="115" s="1"/>
  <c r="E26" i="115"/>
  <c r="F26" i="115" s="1"/>
  <c r="E27" i="115"/>
  <c r="F27" i="115" s="1"/>
  <c r="E28" i="115"/>
  <c r="F28" i="115" s="1"/>
  <c r="E29" i="115"/>
  <c r="F29" i="115" s="1"/>
  <c r="E30" i="115"/>
  <c r="F30" i="115" s="1"/>
  <c r="E31" i="115"/>
  <c r="F31" i="115" s="1"/>
  <c r="E32" i="115"/>
  <c r="F32" i="115" s="1"/>
  <c r="E33" i="115"/>
  <c r="F33" i="115" s="1"/>
  <c r="E34" i="115"/>
  <c r="F34" i="115" s="1"/>
  <c r="E35" i="115"/>
  <c r="F35" i="115" s="1"/>
  <c r="E36" i="115"/>
  <c r="F36" i="115" s="1"/>
  <c r="E37" i="115"/>
  <c r="F37" i="115" s="1"/>
  <c r="E38" i="115"/>
  <c r="F38" i="115" s="1"/>
  <c r="E39" i="115"/>
  <c r="F39" i="115" s="1"/>
  <c r="E40" i="115"/>
  <c r="F40" i="115" s="1"/>
  <c r="E41" i="115"/>
  <c r="F41" i="115" s="1"/>
  <c r="F237" i="26"/>
  <c r="F238" i="26"/>
  <c r="E10" i="115"/>
  <c r="F10" i="115" s="1"/>
  <c r="E9" i="115"/>
  <c r="F9" i="115" s="1"/>
  <c r="E8" i="115"/>
  <c r="F8" i="115" s="1"/>
  <c r="E7" i="115"/>
  <c r="F7" i="115" s="1"/>
  <c r="N4" i="115"/>
  <c r="M4" i="115"/>
  <c r="L4" i="115"/>
  <c r="K4" i="115"/>
  <c r="Q185" i="26"/>
  <c r="O185" i="26"/>
  <c r="L103" i="26"/>
  <c r="J103" i="26"/>
  <c r="K103" i="26" s="1"/>
  <c r="G103" i="26"/>
  <c r="H103" i="26" s="1"/>
  <c r="H117" i="26"/>
  <c r="M117" i="26" s="1"/>
  <c r="O7" i="115" l="1"/>
  <c r="O11" i="115"/>
  <c r="G24" i="116"/>
  <c r="F24" i="116"/>
  <c r="O9" i="115"/>
  <c r="O10" i="115"/>
  <c r="H238" i="26"/>
  <c r="M238" i="26" s="1"/>
  <c r="U238" i="26" s="1"/>
  <c r="V238" i="26" s="1"/>
  <c r="N238" i="26"/>
  <c r="S238" i="26" s="1"/>
  <c r="N237" i="26"/>
  <c r="S237" i="26" s="1"/>
  <c r="H237" i="26"/>
  <c r="M237" i="26" s="1"/>
  <c r="U237" i="26" s="1"/>
  <c r="V237" i="26" s="1"/>
  <c r="E49" i="115"/>
  <c r="F49" i="115" s="1"/>
  <c r="G44" i="115" s="1"/>
  <c r="E43" i="115"/>
  <c r="F43" i="115" s="1"/>
  <c r="O16" i="115"/>
  <c r="O17" i="115"/>
  <c r="O8" i="115"/>
  <c r="O12" i="115" s="1"/>
  <c r="M103" i="26"/>
  <c r="O18" i="115" l="1"/>
  <c r="O19" i="115" s="1"/>
  <c r="I185" i="26" s="1"/>
  <c r="R18" i="115"/>
  <c r="O13" i="115"/>
  <c r="I184" i="26" s="1"/>
  <c r="R19" i="115" l="1"/>
  <c r="Q19" i="115" s="1"/>
  <c r="AD167" i="26"/>
  <c r="G6" i="115"/>
  <c r="R12" i="115" s="1"/>
  <c r="R13" i="115" s="1"/>
  <c r="F185" i="26"/>
  <c r="S112" i="11"/>
  <c r="K112" i="11"/>
  <c r="G110" i="11"/>
  <c r="G109" i="11"/>
  <c r="G50" i="115" l="1"/>
  <c r="F184" i="26"/>
  <c r="Q13" i="115"/>
  <c r="N185" i="26"/>
  <c r="H185" i="26"/>
  <c r="J108" i="26" l="1"/>
  <c r="G108" i="26"/>
  <c r="H112" i="26"/>
  <c r="H111" i="26"/>
  <c r="H21" i="26"/>
  <c r="S115" i="11"/>
  <c r="K115" i="11"/>
  <c r="S114" i="11"/>
  <c r="J114" i="11"/>
  <c r="H71" i="88"/>
  <c r="H77" i="88" s="1"/>
  <c r="D77" i="88" s="1"/>
  <c r="I74" i="88"/>
  <c r="S144" i="11"/>
  <c r="J143" i="11"/>
  <c r="E142" i="11"/>
  <c r="D142" i="11"/>
  <c r="A142" i="11"/>
  <c r="C142" i="11"/>
  <c r="S145" i="11"/>
  <c r="B142" i="11"/>
  <c r="S141" i="11"/>
  <c r="B132" i="11"/>
  <c r="C132" i="11"/>
  <c r="A132" i="11"/>
  <c r="N21" i="26" l="1"/>
  <c r="O21" i="26"/>
  <c r="H78" i="88"/>
  <c r="D78" i="88" s="1"/>
  <c r="J115" i="11"/>
  <c r="K114" i="11"/>
  <c r="H75" i="88"/>
  <c r="I75" i="88" s="1"/>
  <c r="D75" i="88" s="1"/>
  <c r="H76" i="88"/>
  <c r="D76" i="88" s="1"/>
  <c r="K144" i="11"/>
  <c r="K143" i="11"/>
  <c r="S143" i="11"/>
  <c r="U142" i="11" s="1"/>
  <c r="Q142" i="11" s="1"/>
  <c r="I79" i="26" s="1"/>
  <c r="J144" i="11"/>
  <c r="J145" i="11"/>
  <c r="K145" i="11"/>
  <c r="K141" i="11"/>
  <c r="J141" i="11"/>
  <c r="J83" i="26"/>
  <c r="I83" i="26" s="1"/>
  <c r="G83" i="26"/>
  <c r="P21" i="26" l="1"/>
  <c r="S134" i="11"/>
  <c r="I54" i="26"/>
  <c r="J59" i="26"/>
  <c r="I59" i="26" s="1"/>
  <c r="K137" i="11"/>
  <c r="J142" i="11"/>
  <c r="H142" i="11" s="1"/>
  <c r="F79" i="26" s="1"/>
  <c r="K142" i="11"/>
  <c r="I142" i="11" s="1"/>
  <c r="G79" i="26" s="1"/>
  <c r="J134" i="11" l="1"/>
  <c r="K134" i="11"/>
  <c r="S137" i="11"/>
  <c r="U133" i="11" s="1"/>
  <c r="Q133" i="11" s="1"/>
  <c r="J137" i="11"/>
  <c r="G139" i="11" s="1"/>
  <c r="K139" i="11" s="1"/>
  <c r="J30" i="33"/>
  <c r="I201" i="26" s="1"/>
  <c r="L74" i="26"/>
  <c r="J74" i="26"/>
  <c r="G74" i="26"/>
  <c r="I73" i="26" l="1"/>
  <c r="K133" i="11"/>
  <c r="I133" i="11" s="1"/>
  <c r="J133" i="11"/>
  <c r="H133" i="11" s="1"/>
  <c r="P78" i="26"/>
  <c r="G3" i="89"/>
  <c r="C6" i="89" s="1"/>
  <c r="I30" i="26" s="1"/>
  <c r="K30" i="26" l="1"/>
  <c r="P30" i="26"/>
  <c r="F73" i="26"/>
  <c r="O78" i="26"/>
  <c r="G73" i="26"/>
  <c r="H78" i="26"/>
  <c r="N78" i="26"/>
  <c r="C5" i="89"/>
  <c r="C13" i="89"/>
  <c r="J13" i="89" s="1"/>
  <c r="C12" i="89"/>
  <c r="J12" i="89" s="1"/>
  <c r="C11" i="89"/>
  <c r="J11" i="89" s="1"/>
  <c r="C10" i="89"/>
  <c r="J10" i="89" s="1"/>
  <c r="C9" i="89"/>
  <c r="J9" i="89" s="1"/>
  <c r="C8" i="89"/>
  <c r="C7" i="89"/>
  <c r="Q137" i="26"/>
  <c r="O137" i="26"/>
  <c r="E110" i="11"/>
  <c r="E113" i="11"/>
  <c r="E111" i="11"/>
  <c r="E109" i="11"/>
  <c r="Q108" i="26"/>
  <c r="R108" i="26"/>
  <c r="O108" i="26"/>
  <c r="I29" i="26" l="1"/>
  <c r="I28" i="26"/>
  <c r="J15" i="89"/>
  <c r="J17" i="89" s="1"/>
  <c r="N138" i="26"/>
  <c r="P138" i="26"/>
  <c r="R138" i="26"/>
  <c r="O138" i="26"/>
  <c r="Q138" i="26"/>
  <c r="O158" i="26"/>
  <c r="Q158" i="26"/>
  <c r="N158" i="26"/>
  <c r="J109" i="11"/>
  <c r="K109" i="11"/>
  <c r="S109" i="11"/>
  <c r="S111" i="11"/>
  <c r="K111" i="11"/>
  <c r="J111" i="11"/>
  <c r="S113" i="11"/>
  <c r="J113" i="11"/>
  <c r="K113" i="11"/>
  <c r="J110" i="11"/>
  <c r="K110" i="11"/>
  <c r="S110" i="11"/>
  <c r="K28" i="26" l="1"/>
  <c r="P28" i="26"/>
  <c r="K29" i="26"/>
  <c r="P29" i="26"/>
  <c r="S138" i="26"/>
  <c r="O139" i="26"/>
  <c r="Q139" i="26"/>
  <c r="P103" i="26"/>
  <c r="Q103" i="26"/>
  <c r="N103" i="26"/>
  <c r="O103" i="26"/>
  <c r="R103" i="26"/>
  <c r="F112" i="11"/>
  <c r="J112" i="11" s="1"/>
  <c r="Q109" i="26"/>
  <c r="O109" i="26"/>
  <c r="S103" i="26" l="1"/>
  <c r="N111" i="26"/>
  <c r="Q111" i="26"/>
  <c r="O111" i="26"/>
  <c r="R112" i="26"/>
  <c r="Q112" i="26"/>
  <c r="O112" i="26"/>
  <c r="N112" i="26"/>
  <c r="F19" i="11"/>
  <c r="O220" i="26"/>
  <c r="K220" i="26"/>
  <c r="K221" i="26"/>
  <c r="O221" i="26"/>
  <c r="P221" i="26"/>
  <c r="Q221" i="26"/>
  <c r="R221" i="26"/>
  <c r="AA167" i="26"/>
  <c r="K87" i="11"/>
  <c r="F85" i="11"/>
  <c r="F86" i="11"/>
  <c r="J86" i="11" s="1"/>
  <c r="K86" i="11"/>
  <c r="S86" i="11"/>
  <c r="B83" i="11"/>
  <c r="C83" i="11"/>
  <c r="D83" i="11"/>
  <c r="E83" i="11"/>
  <c r="A83" i="11"/>
  <c r="E84" i="11" l="1"/>
  <c r="J84" i="11" s="1"/>
  <c r="AC167" i="26"/>
  <c r="AE167" i="26" s="1"/>
  <c r="R220" i="26"/>
  <c r="Q220" i="26"/>
  <c r="P220" i="26"/>
  <c r="E85" i="11"/>
  <c r="K85" i="11" s="1"/>
  <c r="J87" i="11"/>
  <c r="S87" i="11"/>
  <c r="S84" i="11" l="1"/>
  <c r="K84" i="11"/>
  <c r="K83" i="11" s="1"/>
  <c r="I83" i="11" s="1"/>
  <c r="S92" i="11"/>
  <c r="K92" i="11"/>
  <c r="J92" i="11"/>
  <c r="S89" i="11"/>
  <c r="J89" i="11"/>
  <c r="J85" i="11"/>
  <c r="J83" i="11" s="1"/>
  <c r="H83" i="11" s="1"/>
  <c r="F24" i="26" s="1"/>
  <c r="S85" i="11"/>
  <c r="G24" i="26" l="1"/>
  <c r="O24" i="26" s="1"/>
  <c r="U83" i="11"/>
  <c r="Q83" i="11" s="1"/>
  <c r="U88" i="11"/>
  <c r="Q88" i="11" s="1"/>
  <c r="I25" i="26" s="1"/>
  <c r="N24" i="26"/>
  <c r="P185" i="26"/>
  <c r="K185" i="26"/>
  <c r="P20" i="26"/>
  <c r="O20" i="26"/>
  <c r="N20" i="26"/>
  <c r="H20" i="26"/>
  <c r="E17" i="46"/>
  <c r="E13" i="46"/>
  <c r="H24" i="26" l="1"/>
  <c r="P25" i="26"/>
  <c r="I24" i="26"/>
  <c r="P24" i="26" s="1"/>
  <c r="F18" i="46"/>
  <c r="L185" i="26"/>
  <c r="R185" i="26" s="1"/>
  <c r="S185" i="26" s="1"/>
  <c r="O36" i="26"/>
  <c r="F17" i="46"/>
  <c r="G145" i="76" l="1"/>
  <c r="G141" i="76"/>
  <c r="M185" i="26"/>
  <c r="H72" i="88"/>
  <c r="D72" i="88" s="1"/>
  <c r="G73" i="88"/>
  <c r="H73" i="88" s="1"/>
  <c r="D73" i="88" s="1"/>
  <c r="S46" i="11"/>
  <c r="K46" i="11"/>
  <c r="J46" i="11"/>
  <c r="D12" i="33" l="1"/>
  <c r="O20" i="33"/>
  <c r="O19" i="33"/>
  <c r="R12" i="33"/>
  <c r="E44" i="26" s="1"/>
  <c r="N21" i="33"/>
  <c r="F4" i="33" s="1"/>
  <c r="O6" i="33"/>
  <c r="E211" i="26" l="1"/>
  <c r="E212" i="26"/>
  <c r="E209" i="26"/>
  <c r="E208" i="26"/>
  <c r="E206" i="26"/>
  <c r="E203" i="26"/>
  <c r="E205" i="26"/>
  <c r="E201" i="26"/>
  <c r="E12" i="46" l="1"/>
  <c r="G12" i="33"/>
  <c r="G95" i="26" l="1"/>
  <c r="O95" i="26" s="1"/>
  <c r="L91" i="26"/>
  <c r="J91" i="26"/>
  <c r="G91" i="26"/>
  <c r="H91" i="26" s="1"/>
  <c r="L90" i="26"/>
  <c r="J90" i="26"/>
  <c r="H90" i="26"/>
  <c r="L56" i="26"/>
  <c r="J56" i="26"/>
  <c r="G56" i="26"/>
  <c r="D55" i="88"/>
  <c r="D54" i="88"/>
  <c r="H95" i="26" l="1"/>
  <c r="J31" i="88"/>
  <c r="L31" i="88" s="1"/>
  <c r="J32" i="88"/>
  <c r="L32" i="88" s="1"/>
  <c r="J34" i="88"/>
  <c r="L34" i="88" s="1"/>
  <c r="J35" i="88"/>
  <c r="L35" i="88" s="1"/>
  <c r="J36" i="88"/>
  <c r="L36" i="88" s="1"/>
  <c r="J33" i="88"/>
  <c r="L33" i="88" s="1"/>
  <c r="J30" i="88"/>
  <c r="L30" i="88" s="1"/>
  <c r="J38" i="88"/>
  <c r="L38" i="88" s="1"/>
  <c r="K91" i="26"/>
  <c r="M91" i="26" s="1"/>
  <c r="K90" i="26"/>
  <c r="M90" i="26" s="1"/>
  <c r="L62" i="88"/>
  <c r="K64" i="88"/>
  <c r="N3" i="88"/>
  <c r="L137" i="26"/>
  <c r="R137" i="26" s="1"/>
  <c r="F137" i="26"/>
  <c r="O145" i="26"/>
  <c r="Q145" i="26"/>
  <c r="O146" i="26"/>
  <c r="Q146" i="26"/>
  <c r="N137" i="26" l="1"/>
  <c r="H137" i="26"/>
  <c r="L64" i="88"/>
  <c r="D43" i="88"/>
  <c r="D42" i="88"/>
  <c r="D41" i="88"/>
  <c r="E47" i="94"/>
  <c r="G47" i="94" s="1"/>
  <c r="E46" i="94"/>
  <c r="G46" i="94" s="1"/>
  <c r="E45" i="94"/>
  <c r="G45" i="94" s="1"/>
  <c r="E44" i="94"/>
  <c r="G44" i="94" s="1"/>
  <c r="E43" i="94"/>
  <c r="G43" i="94" s="1"/>
  <c r="E42" i="94"/>
  <c r="G42" i="94" s="1"/>
  <c r="E41" i="94"/>
  <c r="G41" i="94" s="1"/>
  <c r="L77" i="26"/>
  <c r="J77" i="26"/>
  <c r="K77" i="26" s="1"/>
  <c r="G77" i="26"/>
  <c r="H77" i="26" s="1"/>
  <c r="H74" i="26"/>
  <c r="N79" i="26"/>
  <c r="O79" i="26"/>
  <c r="P79" i="26"/>
  <c r="H79" i="26"/>
  <c r="K56" i="26"/>
  <c r="H56" i="26"/>
  <c r="H39" i="94" l="1"/>
  <c r="M64" i="88"/>
  <c r="D64" i="88" s="1"/>
  <c r="L67" i="88"/>
  <c r="K50" i="26"/>
  <c r="Q50" i="26"/>
  <c r="M56" i="26"/>
  <c r="M44" i="26"/>
  <c r="M77" i="26"/>
  <c r="D67" i="88" l="1"/>
  <c r="H67" i="88" s="1"/>
  <c r="N74" i="26"/>
  <c r="N73" i="26"/>
  <c r="O91" i="26" l="1"/>
  <c r="P91" i="26"/>
  <c r="N91" i="26"/>
  <c r="Q91" i="26"/>
  <c r="R91" i="26"/>
  <c r="Q74" i="26"/>
  <c r="O74" i="26"/>
  <c r="R74" i="26"/>
  <c r="N90" i="26"/>
  <c r="P90" i="26"/>
  <c r="R90" i="26"/>
  <c r="O90" i="26"/>
  <c r="Q90" i="26"/>
  <c r="P74" i="26"/>
  <c r="P73" i="26"/>
  <c r="N56" i="26"/>
  <c r="P56" i="26"/>
  <c r="O56" i="26"/>
  <c r="R56" i="26"/>
  <c r="Q56" i="26"/>
  <c r="O77" i="26"/>
  <c r="N77" i="26"/>
  <c r="Q77" i="26"/>
  <c r="P77" i="26"/>
  <c r="R77" i="26"/>
  <c r="N75" i="26"/>
  <c r="P75" i="26"/>
  <c r="H201" i="26"/>
  <c r="H202" i="26"/>
  <c r="Q202" i="26"/>
  <c r="S74" i="26" l="1"/>
  <c r="S77" i="26"/>
  <c r="S56" i="26"/>
  <c r="S90" i="26"/>
  <c r="S91" i="26"/>
  <c r="R202" i="26"/>
  <c r="O202" i="26"/>
  <c r="N202" i="26"/>
  <c r="G143" i="76" l="1"/>
  <c r="G139" i="76"/>
  <c r="G138" i="76"/>
  <c r="G136" i="76"/>
  <c r="G150" i="76"/>
  <c r="G149" i="76"/>
  <c r="S41" i="75"/>
  <c r="E146" i="76" l="1"/>
  <c r="G146" i="76" s="1"/>
  <c r="O44" i="26"/>
  <c r="P44" i="26"/>
  <c r="N44" i="26"/>
  <c r="Q44" i="26"/>
  <c r="R44" i="26"/>
  <c r="S44" i="26" l="1"/>
  <c r="G137" i="76"/>
  <c r="R29" i="75"/>
  <c r="S29" i="75" s="1"/>
  <c r="R30" i="75"/>
  <c r="S30" i="75" s="1"/>
  <c r="R31" i="75"/>
  <c r="S31" i="75" s="1"/>
  <c r="R32" i="75"/>
  <c r="S32" i="75" s="1"/>
  <c r="R33" i="75"/>
  <c r="S33" i="75" s="1"/>
  <c r="R34" i="75"/>
  <c r="S34" i="75" s="1"/>
  <c r="O40" i="26" l="1"/>
  <c r="Q40" i="26"/>
  <c r="Q27" i="26"/>
  <c r="O27" i="26"/>
  <c r="S28" i="11"/>
  <c r="S29" i="11"/>
  <c r="S30" i="11"/>
  <c r="S31" i="11"/>
  <c r="S36" i="11"/>
  <c r="S37" i="11"/>
  <c r="S38" i="11"/>
  <c r="S39" i="11"/>
  <c r="S40" i="11"/>
  <c r="S41" i="11"/>
  <c r="S42" i="11"/>
  <c r="K31" i="11"/>
  <c r="J31" i="11"/>
  <c r="K29" i="11"/>
  <c r="AD25" i="11"/>
  <c r="AE25" i="11" s="1"/>
  <c r="AF25" i="11" s="1"/>
  <c r="AD27" i="11"/>
  <c r="AE27" i="11" s="1"/>
  <c r="AF27" i="11" s="1"/>
  <c r="AD26" i="11"/>
  <c r="K28" i="11"/>
  <c r="K36" i="11"/>
  <c r="AB27" i="11"/>
  <c r="Z25" i="11"/>
  <c r="J41" i="11"/>
  <c r="O26" i="26"/>
  <c r="O38" i="26"/>
  <c r="Q38" i="26"/>
  <c r="H35" i="87"/>
  <c r="H36" i="87"/>
  <c r="H37" i="87"/>
  <c r="H38" i="87"/>
  <c r="H39" i="87"/>
  <c r="H34" i="87"/>
  <c r="E74" i="11"/>
  <c r="E75" i="11" s="1"/>
  <c r="D74" i="11"/>
  <c r="A74" i="11"/>
  <c r="J40" i="11"/>
  <c r="K40" i="11"/>
  <c r="K41" i="11"/>
  <c r="J42" i="11"/>
  <c r="K42" i="11"/>
  <c r="J43" i="11"/>
  <c r="K43" i="11"/>
  <c r="C20" i="46"/>
  <c r="F12" i="46"/>
  <c r="H221" i="26" l="1"/>
  <c r="M221" i="26" s="1"/>
  <c r="U221" i="26" s="1"/>
  <c r="V221" i="26" s="1"/>
  <c r="N221" i="26"/>
  <c r="S221" i="26" s="1"/>
  <c r="H40" i="87"/>
  <c r="Q26" i="26"/>
  <c r="H15" i="87"/>
  <c r="F28" i="11"/>
  <c r="J28" i="11" s="1"/>
  <c r="O16" i="33"/>
  <c r="O17" i="33"/>
  <c r="O18" i="33"/>
  <c r="C27" i="89"/>
  <c r="D27" i="89" s="1"/>
  <c r="AA165" i="26" l="1"/>
  <c r="AC165" i="26" s="1"/>
  <c r="AA166" i="26"/>
  <c r="AC166" i="26" s="1"/>
  <c r="AA164" i="26"/>
  <c r="AA169" i="26" l="1"/>
  <c r="AC164" i="26"/>
  <c r="AC169" i="26" l="1"/>
  <c r="AE165" i="26"/>
  <c r="F236" i="26" l="1"/>
  <c r="F235" i="26"/>
  <c r="F234" i="26"/>
  <c r="F233" i="26"/>
  <c r="F232" i="26"/>
  <c r="F231" i="26"/>
  <c r="N227" i="26"/>
  <c r="K227" i="26"/>
  <c r="O227" i="26"/>
  <c r="P227" i="26"/>
  <c r="Q227" i="26"/>
  <c r="R227" i="26"/>
  <c r="H223" i="26" l="1"/>
  <c r="M223" i="26" s="1"/>
  <c r="U223" i="26" s="1"/>
  <c r="V223" i="26" s="1"/>
  <c r="N223" i="26"/>
  <c r="S223" i="26" s="1"/>
  <c r="H227" i="26"/>
  <c r="M227" i="26" s="1"/>
  <c r="U227" i="26" s="1"/>
  <c r="V227" i="26" s="1"/>
  <c r="S227" i="26"/>
  <c r="T222" i="26" l="1"/>
  <c r="W222" i="26"/>
  <c r="J8" i="102"/>
  <c r="G42" i="33" l="1"/>
  <c r="D62" i="88"/>
  <c r="D61" i="88"/>
  <c r="D60" i="88"/>
  <c r="D59" i="88"/>
  <c r="D58" i="88"/>
  <c r="D57" i="88"/>
  <c r="D56" i="88"/>
  <c r="L220" i="11" s="1"/>
  <c r="D50" i="88"/>
  <c r="D49" i="88"/>
  <c r="F132" i="99"/>
  <c r="F108" i="99"/>
  <c r="G108" i="99" s="1"/>
  <c r="F109" i="99"/>
  <c r="F121" i="99"/>
  <c r="G121" i="99" s="1"/>
  <c r="F120" i="99"/>
  <c r="G120" i="99" s="1"/>
  <c r="I150" i="26" l="1"/>
  <c r="I158" i="26"/>
  <c r="P158" i="26" s="1"/>
  <c r="P150" i="26" l="1"/>
  <c r="K150" i="26"/>
  <c r="K158" i="26"/>
  <c r="F119" i="99"/>
  <c r="G119" i="99" s="1"/>
  <c r="F107" i="99"/>
  <c r="G107" i="99" s="1"/>
  <c r="F104" i="99"/>
  <c r="G104" i="99" s="1"/>
  <c r="F103" i="99"/>
  <c r="G103" i="99" s="1"/>
  <c r="L158" i="26" l="1"/>
  <c r="R158" i="26" s="1"/>
  <c r="S158" i="26" s="1"/>
  <c r="M158" i="26" l="1"/>
  <c r="I148" i="26"/>
  <c r="I145" i="26"/>
  <c r="M92" i="99"/>
  <c r="L92" i="99"/>
  <c r="L218" i="11"/>
  <c r="L217" i="11"/>
  <c r="L219" i="11"/>
  <c r="S219" i="11" s="1"/>
  <c r="S220" i="11"/>
  <c r="L221" i="11"/>
  <c r="S221" i="11" s="1"/>
  <c r="F93" i="99"/>
  <c r="G93" i="99" s="1"/>
  <c r="F92" i="99"/>
  <c r="F91" i="99"/>
  <c r="G91" i="99" s="1"/>
  <c r="J220" i="11"/>
  <c r="K220" i="11"/>
  <c r="J221" i="11"/>
  <c r="K221" i="11"/>
  <c r="J219" i="11"/>
  <c r="K219" i="11"/>
  <c r="I149" i="26"/>
  <c r="L73" i="99"/>
  <c r="L77" i="99"/>
  <c r="L76" i="99"/>
  <c r="L75" i="99"/>
  <c r="L74" i="99"/>
  <c r="L72" i="99"/>
  <c r="L71" i="99"/>
  <c r="F74" i="99"/>
  <c r="G74" i="99" s="1"/>
  <c r="F72" i="99"/>
  <c r="G72" i="99" s="1"/>
  <c r="F71" i="99"/>
  <c r="G71" i="99" s="1"/>
  <c r="F154" i="99"/>
  <c r="G154" i="99" s="1"/>
  <c r="L64" i="99"/>
  <c r="L63" i="99"/>
  <c r="F65" i="99"/>
  <c r="G65" i="99" s="1"/>
  <c r="F78" i="99"/>
  <c r="G78" i="99" s="1"/>
  <c r="F73" i="99"/>
  <c r="G73" i="99" s="1"/>
  <c r="F77" i="99"/>
  <c r="G77" i="99" s="1"/>
  <c r="F76" i="99"/>
  <c r="G76" i="99" s="1"/>
  <c r="F75" i="99"/>
  <c r="G75" i="99" s="1"/>
  <c r="I155" i="26"/>
  <c r="K155" i="26" s="1"/>
  <c r="I156" i="26"/>
  <c r="K156" i="26" s="1"/>
  <c r="I154" i="26"/>
  <c r="K154" i="26" s="1"/>
  <c r="H142" i="26"/>
  <c r="K143" i="26"/>
  <c r="H143" i="26"/>
  <c r="L139" i="26"/>
  <c r="R139" i="26" s="1"/>
  <c r="H153" i="99" l="1"/>
  <c r="P149" i="26"/>
  <c r="K149" i="26"/>
  <c r="K148" i="26"/>
  <c r="P148" i="26"/>
  <c r="P145" i="26"/>
  <c r="K145" i="26"/>
  <c r="N92" i="99"/>
  <c r="F106" i="99"/>
  <c r="F105" i="99"/>
  <c r="G105" i="99" s="1"/>
  <c r="F79" i="99"/>
  <c r="G79" i="99" s="1"/>
  <c r="L78" i="99"/>
  <c r="L68" i="99"/>
  <c r="F251" i="26" l="1"/>
  <c r="N251" i="26" s="1"/>
  <c r="S251" i="26" s="1"/>
  <c r="F253" i="26"/>
  <c r="E92" i="99"/>
  <c r="G92" i="99" s="1"/>
  <c r="H39" i="88"/>
  <c r="S120" i="11"/>
  <c r="S121" i="11"/>
  <c r="K121" i="11"/>
  <c r="J121" i="11"/>
  <c r="D117" i="11"/>
  <c r="C117" i="11"/>
  <c r="A117" i="11"/>
  <c r="C116" i="11"/>
  <c r="A116" i="11"/>
  <c r="E117" i="11"/>
  <c r="G253" i="26" l="1"/>
  <c r="O253" i="26" s="1"/>
  <c r="H251" i="26"/>
  <c r="M251" i="26" s="1"/>
  <c r="U251" i="26" s="1"/>
  <c r="V251" i="26" s="1"/>
  <c r="N253" i="26"/>
  <c r="E119" i="11"/>
  <c r="K119" i="11" s="1"/>
  <c r="J39" i="88"/>
  <c r="L39" i="88" s="1"/>
  <c r="D39" i="88" s="1"/>
  <c r="E118" i="11"/>
  <c r="S253" i="26" l="1"/>
  <c r="T247" i="26" s="1"/>
  <c r="H253" i="26"/>
  <c r="M253" i="26" s="1"/>
  <c r="U253" i="26" s="1"/>
  <c r="V253" i="26" s="1"/>
  <c r="W247" i="26" s="1"/>
  <c r="S119" i="11"/>
  <c r="J119" i="11"/>
  <c r="H70" i="99"/>
  <c r="F150" i="26" s="1"/>
  <c r="H150" i="26" s="1"/>
  <c r="E131" i="94"/>
  <c r="O197" i="26"/>
  <c r="K118" i="11"/>
  <c r="K117" i="11" s="1"/>
  <c r="I117" i="11" s="1"/>
  <c r="G61" i="26" s="1"/>
  <c r="S118" i="11"/>
  <c r="J118" i="11"/>
  <c r="F120" i="11" l="1"/>
  <c r="J120" i="11" s="1"/>
  <c r="J117" i="11" s="1"/>
  <c r="H117" i="11" s="1"/>
  <c r="F61" i="26" s="1"/>
  <c r="U117" i="11"/>
  <c r="Q117" i="11" s="1"/>
  <c r="I61" i="26" s="1"/>
  <c r="N150" i="26"/>
  <c r="L150" i="26" l="1"/>
  <c r="R150" i="26" s="1"/>
  <c r="S150" i="26" s="1"/>
  <c r="M150" i="26" l="1"/>
  <c r="K202" i="11"/>
  <c r="F201" i="11"/>
  <c r="H59" i="94"/>
  <c r="G58" i="94"/>
  <c r="H58" i="94"/>
  <c r="I56" i="94"/>
  <c r="I59" i="94"/>
  <c r="I58" i="94"/>
  <c r="D147" i="11"/>
  <c r="C147" i="11"/>
  <c r="A147" i="11"/>
  <c r="B147" i="11"/>
  <c r="L120" i="26"/>
  <c r="R120" i="26" s="1"/>
  <c r="I120" i="26"/>
  <c r="F120" i="26"/>
  <c r="P120" i="26" l="1"/>
  <c r="K120" i="26"/>
  <c r="N120" i="26"/>
  <c r="H120" i="26"/>
  <c r="J58" i="94"/>
  <c r="Z36" i="24"/>
  <c r="U35" i="24"/>
  <c r="W35" i="24" s="1"/>
  <c r="U34" i="24"/>
  <c r="W34" i="24" s="1"/>
  <c r="U33" i="24"/>
  <c r="W33" i="24" s="1"/>
  <c r="U32" i="24"/>
  <c r="W32" i="24" s="1"/>
  <c r="U31" i="24"/>
  <c r="W31" i="24" s="1"/>
  <c r="U30" i="24"/>
  <c r="W30" i="24" s="1"/>
  <c r="T31" i="24"/>
  <c r="T35" i="24"/>
  <c r="T34" i="24"/>
  <c r="T33" i="24"/>
  <c r="T32" i="24"/>
  <c r="T30" i="24"/>
  <c r="D169" i="11"/>
  <c r="C169" i="11"/>
  <c r="C168" i="11"/>
  <c r="A168" i="11"/>
  <c r="H108" i="76"/>
  <c r="I108" i="76" s="1"/>
  <c r="G108" i="76"/>
  <c r="H107" i="76"/>
  <c r="I107" i="76" s="1"/>
  <c r="H106" i="76"/>
  <c r="I106" i="76" s="1"/>
  <c r="G106" i="76"/>
  <c r="H105" i="76"/>
  <c r="I105" i="76" s="1"/>
  <c r="G105" i="76"/>
  <c r="H104" i="76"/>
  <c r="G104" i="76"/>
  <c r="H103" i="76"/>
  <c r="G103" i="76"/>
  <c r="H102" i="76"/>
  <c r="G102" i="76"/>
  <c r="H100" i="76"/>
  <c r="I100" i="76" s="1"/>
  <c r="H98" i="76"/>
  <c r="I98" i="76" s="1"/>
  <c r="H97" i="76"/>
  <c r="I97" i="76" s="1"/>
  <c r="H96" i="76"/>
  <c r="H95" i="76"/>
  <c r="H94" i="76"/>
  <c r="G100" i="76"/>
  <c r="G97" i="76"/>
  <c r="G98" i="76"/>
  <c r="H99" i="76"/>
  <c r="I99" i="76" s="1"/>
  <c r="G96" i="76"/>
  <c r="G95" i="76"/>
  <c r="G94" i="76"/>
  <c r="T94" i="76"/>
  <c r="S94" i="76"/>
  <c r="H14" i="76"/>
  <c r="I14" i="76" s="1"/>
  <c r="T15" i="76"/>
  <c r="V15" i="76" s="1"/>
  <c r="W15" i="76" s="1"/>
  <c r="G15" i="76" s="1"/>
  <c r="F15" i="76"/>
  <c r="F13" i="76"/>
  <c r="H15" i="76"/>
  <c r="T17" i="76"/>
  <c r="V17" i="76" s="1"/>
  <c r="X17" i="76"/>
  <c r="Y17" i="76" s="1"/>
  <c r="Z17" i="76" s="1"/>
  <c r="T13" i="76"/>
  <c r="V13" i="76" s="1"/>
  <c r="W13" i="76" s="1"/>
  <c r="G13" i="76" s="1"/>
  <c r="G14" i="76" s="1"/>
  <c r="T12" i="76"/>
  <c r="V12" i="76" s="1"/>
  <c r="W12" i="76" s="1"/>
  <c r="G12" i="76" s="1"/>
  <c r="H16" i="76"/>
  <c r="G82" i="76"/>
  <c r="G80" i="76"/>
  <c r="G89" i="76"/>
  <c r="H91" i="76"/>
  <c r="I91" i="76" s="1"/>
  <c r="G91" i="76"/>
  <c r="H90" i="76"/>
  <c r="I90" i="76" s="1"/>
  <c r="K90" i="76" s="1"/>
  <c r="L90" i="76" s="1"/>
  <c r="H89" i="76"/>
  <c r="I89" i="76" s="1"/>
  <c r="H88" i="76"/>
  <c r="I88" i="76" s="1"/>
  <c r="H87" i="76"/>
  <c r="I87" i="76" s="1"/>
  <c r="H86" i="76"/>
  <c r="I86" i="76" s="1"/>
  <c r="K86" i="76" s="1"/>
  <c r="L86" i="76" s="1"/>
  <c r="H85" i="76"/>
  <c r="I85" i="76" s="1"/>
  <c r="H80" i="76"/>
  <c r="I80" i="76" s="1"/>
  <c r="T77" i="76"/>
  <c r="U77" i="76" s="1"/>
  <c r="Y77" i="76" s="1"/>
  <c r="G83" i="76" s="1"/>
  <c r="H74" i="76"/>
  <c r="H73" i="76"/>
  <c r="G73" i="76"/>
  <c r="H72" i="76"/>
  <c r="I72" i="76" s="1"/>
  <c r="H71" i="76"/>
  <c r="I71" i="76" s="1"/>
  <c r="K71" i="76" s="1"/>
  <c r="L71" i="76" s="1"/>
  <c r="H70" i="76"/>
  <c r="I70" i="76" s="1"/>
  <c r="K70" i="76" s="1"/>
  <c r="L70" i="76" s="1"/>
  <c r="H69" i="76"/>
  <c r="I69" i="76" s="1"/>
  <c r="K69" i="76" s="1"/>
  <c r="L69" i="76" s="1"/>
  <c r="H68" i="76"/>
  <c r="I68" i="76" s="1"/>
  <c r="G65" i="76"/>
  <c r="H65" i="76"/>
  <c r="T60" i="76"/>
  <c r="U60" i="76" s="1"/>
  <c r="Y60" i="76" s="1"/>
  <c r="G66" i="76" s="1"/>
  <c r="H58" i="76"/>
  <c r="H57" i="76"/>
  <c r="I57" i="76" s="1"/>
  <c r="H56" i="76"/>
  <c r="I56" i="76" s="1"/>
  <c r="H55" i="76"/>
  <c r="I55" i="76" s="1"/>
  <c r="H54" i="76"/>
  <c r="I54" i="76" s="1"/>
  <c r="H53" i="76"/>
  <c r="I53" i="76" s="1"/>
  <c r="H52" i="76"/>
  <c r="I52" i="76" s="1"/>
  <c r="H51" i="76"/>
  <c r="I51" i="76" s="1"/>
  <c r="G51" i="76"/>
  <c r="H50" i="76"/>
  <c r="I50" i="76" s="1"/>
  <c r="H49" i="76"/>
  <c r="I49" i="76" s="1"/>
  <c r="G49" i="76"/>
  <c r="G50" i="76" s="1"/>
  <c r="G40" i="76"/>
  <c r="H46" i="76"/>
  <c r="I46" i="76" s="1"/>
  <c r="G38" i="76"/>
  <c r="G44" i="76" s="1"/>
  <c r="H44" i="76"/>
  <c r="I44" i="76" s="1"/>
  <c r="T38" i="76"/>
  <c r="U38" i="76" s="1"/>
  <c r="Y38" i="76" s="1"/>
  <c r="G27" i="76"/>
  <c r="G26" i="76"/>
  <c r="G33" i="76"/>
  <c r="G32" i="76"/>
  <c r="H36" i="76"/>
  <c r="H35" i="76"/>
  <c r="I35" i="76" s="1"/>
  <c r="G35" i="76"/>
  <c r="H34" i="76"/>
  <c r="I34" i="76" s="1"/>
  <c r="G34" i="76"/>
  <c r="H33" i="76"/>
  <c r="I33" i="76" s="1"/>
  <c r="H32" i="76"/>
  <c r="I32" i="76" s="1"/>
  <c r="K32" i="76" s="1"/>
  <c r="G28" i="76"/>
  <c r="G29" i="76"/>
  <c r="H28" i="76"/>
  <c r="I28" i="76" s="1"/>
  <c r="T30" i="76"/>
  <c r="U30" i="76" s="1"/>
  <c r="W30" i="76" s="1"/>
  <c r="H18" i="76"/>
  <c r="I18" i="76" s="1"/>
  <c r="H19" i="76"/>
  <c r="I19" i="76" s="1"/>
  <c r="G19" i="76"/>
  <c r="G21" i="76"/>
  <c r="G22" i="76"/>
  <c r="G23" i="76"/>
  <c r="H20" i="76"/>
  <c r="I20" i="76" s="1"/>
  <c r="H21" i="76"/>
  <c r="I21" i="76" s="1"/>
  <c r="H22" i="76"/>
  <c r="I22" i="76" s="1"/>
  <c r="H23" i="76"/>
  <c r="I23" i="76" s="1"/>
  <c r="T24" i="76"/>
  <c r="U24" i="76" s="1"/>
  <c r="G24" i="76" s="1"/>
  <c r="D6" i="76"/>
  <c r="J24" i="76" s="1"/>
  <c r="K58" i="94" l="1"/>
  <c r="N58" i="94"/>
  <c r="S120" i="26"/>
  <c r="M120" i="26"/>
  <c r="Z34" i="24"/>
  <c r="W36" i="24"/>
  <c r="T36" i="24"/>
  <c r="J94" i="76"/>
  <c r="K94" i="76" s="1"/>
  <c r="L94" i="76" s="1"/>
  <c r="J95" i="76"/>
  <c r="K95" i="76" s="1"/>
  <c r="L95" i="76" s="1"/>
  <c r="J96" i="76"/>
  <c r="K96" i="76" s="1"/>
  <c r="L96" i="76" s="1"/>
  <c r="U94" i="76"/>
  <c r="W94" i="76" s="1"/>
  <c r="I15" i="76"/>
  <c r="J16" i="76"/>
  <c r="K16" i="76" s="1"/>
  <c r="AA17" i="76"/>
  <c r="G16" i="76" s="1"/>
  <c r="J113" i="76"/>
  <c r="K113" i="76" s="1"/>
  <c r="L113" i="76" s="1"/>
  <c r="G92" i="76"/>
  <c r="J83" i="76"/>
  <c r="K83" i="76" s="1"/>
  <c r="L83" i="76" s="1"/>
  <c r="J65" i="76"/>
  <c r="K65" i="76" s="1"/>
  <c r="L65" i="76" s="1"/>
  <c r="J73" i="76"/>
  <c r="K73" i="76" s="1"/>
  <c r="L73" i="76" s="1"/>
  <c r="G74" i="76"/>
  <c r="J66" i="76"/>
  <c r="K66" i="76" s="1"/>
  <c r="L66" i="76" s="1"/>
  <c r="G57" i="76"/>
  <c r="G55" i="76"/>
  <c r="G54" i="76"/>
  <c r="J30" i="76"/>
  <c r="J47" i="76"/>
  <c r="K47" i="76" s="1"/>
  <c r="L47" i="76" s="1"/>
  <c r="G46" i="76"/>
  <c r="G39" i="76"/>
  <c r="G43" i="76"/>
  <c r="L32" i="76"/>
  <c r="Y30" i="76"/>
  <c r="W38" i="76"/>
  <c r="K24" i="76"/>
  <c r="L24" i="76" s="1"/>
  <c r="Y36" i="24" l="1"/>
  <c r="Y37" i="24" s="1"/>
  <c r="AA37" i="24" s="1"/>
  <c r="L16" i="76"/>
  <c r="G30" i="76"/>
  <c r="G36" i="76"/>
  <c r="L51" i="11"/>
  <c r="S51" i="11" s="1"/>
  <c r="H3" i="87"/>
  <c r="D415" i="87" s="1"/>
  <c r="I3" i="87"/>
  <c r="I1" i="87"/>
  <c r="F245" i="26" l="1"/>
  <c r="H245" i="26" s="1"/>
  <c r="M245" i="26" s="1"/>
  <c r="U245" i="26" s="1"/>
  <c r="V245" i="26" s="1"/>
  <c r="W239" i="26" s="1"/>
  <c r="D403" i="87"/>
  <c r="AA36" i="24"/>
  <c r="AA39" i="24" s="1"/>
  <c r="D414" i="87"/>
  <c r="D413" i="87"/>
  <c r="D409" i="87"/>
  <c r="D412" i="87"/>
  <c r="D411" i="87"/>
  <c r="D410" i="87"/>
  <c r="D408" i="87"/>
  <c r="D407" i="87"/>
  <c r="D406" i="87"/>
  <c r="D405" i="87"/>
  <c r="D404" i="87"/>
  <c r="N245" i="26" l="1"/>
  <c r="S245" i="26" s="1"/>
  <c r="T239" i="26" s="1"/>
  <c r="L50" i="11"/>
  <c r="S50" i="11" s="1"/>
  <c r="L49" i="11"/>
  <c r="S49" i="11" s="1"/>
  <c r="L48" i="11"/>
  <c r="S48" i="11" s="1"/>
  <c r="L131" i="26"/>
  <c r="J131" i="26"/>
  <c r="G131" i="26"/>
  <c r="K57" i="26"/>
  <c r="U47" i="11" l="1"/>
  <c r="Q47" i="11" s="1"/>
  <c r="I14" i="26" s="1"/>
  <c r="H131" i="26"/>
  <c r="K131" i="26"/>
  <c r="L58" i="94"/>
  <c r="M131" i="26" l="1"/>
  <c r="P131" i="26" l="1"/>
  <c r="R131" i="26"/>
  <c r="N131" i="26"/>
  <c r="O131" i="26"/>
  <c r="Q131" i="26"/>
  <c r="K75" i="11"/>
  <c r="J75" i="11"/>
  <c r="S76" i="11"/>
  <c r="S75" i="11"/>
  <c r="U74" i="11" l="1"/>
  <c r="S131" i="26"/>
  <c r="E29" i="94" l="1"/>
  <c r="G29" i="94" s="1"/>
  <c r="D31" i="88" l="1"/>
  <c r="D32" i="88"/>
  <c r="D33" i="88"/>
  <c r="D34" i="88"/>
  <c r="I112" i="26" s="1"/>
  <c r="D35" i="88"/>
  <c r="D36" i="88"/>
  <c r="I65" i="26" s="1"/>
  <c r="D38" i="88"/>
  <c r="D30" i="88"/>
  <c r="E33" i="75"/>
  <c r="D20" i="46"/>
  <c r="D7" i="76"/>
  <c r="P65" i="26" l="1"/>
  <c r="S65" i="26" s="1"/>
  <c r="K65" i="26"/>
  <c r="M65" i="26" s="1"/>
  <c r="K112" i="26"/>
  <c r="M112" i="26" s="1"/>
  <c r="P112" i="26"/>
  <c r="S112" i="26" s="1"/>
  <c r="I194" i="26"/>
  <c r="J36" i="76"/>
  <c r="K36" i="76" s="1"/>
  <c r="L36" i="76" s="1"/>
  <c r="J102" i="76"/>
  <c r="K102" i="76" s="1"/>
  <c r="L102" i="76" s="1"/>
  <c r="J103" i="76"/>
  <c r="K103" i="76" s="1"/>
  <c r="L103" i="76" s="1"/>
  <c r="J104" i="76"/>
  <c r="K104" i="76" s="1"/>
  <c r="L104" i="76" s="1"/>
  <c r="J58" i="76"/>
  <c r="K58" i="76" s="1"/>
  <c r="L58" i="76" s="1"/>
  <c r="J92" i="76"/>
  <c r="K92" i="76" s="1"/>
  <c r="L92" i="76" s="1"/>
  <c r="J74" i="76"/>
  <c r="K74" i="76" s="1"/>
  <c r="L74" i="76" s="1"/>
  <c r="B28" i="75"/>
  <c r="B27" i="75"/>
  <c r="B26" i="75"/>
  <c r="B25" i="75"/>
  <c r="H28" i="75" s="1"/>
  <c r="P121" i="26" l="1"/>
  <c r="K121" i="26"/>
  <c r="K122" i="26"/>
  <c r="O9" i="33"/>
  <c r="M2" i="102"/>
  <c r="N2" i="102"/>
  <c r="K2" i="102"/>
  <c r="R121" i="26" l="1"/>
  <c r="S121" i="26" s="1"/>
  <c r="L2" i="102"/>
  <c r="O7" i="102" s="1"/>
  <c r="G48" i="26"/>
  <c r="G49" i="26"/>
  <c r="H49" i="26" s="1"/>
  <c r="G54" i="26"/>
  <c r="F54" i="26" s="1"/>
  <c r="G59" i="26"/>
  <c r="F59" i="26" s="1"/>
  <c r="G57" i="26"/>
  <c r="G58" i="26"/>
  <c r="G63" i="26"/>
  <c r="G64" i="26"/>
  <c r="G66" i="26"/>
  <c r="G70" i="26"/>
  <c r="O73" i="26"/>
  <c r="G75" i="26"/>
  <c r="G76" i="26"/>
  <c r="H76" i="26" s="1"/>
  <c r="G89" i="26"/>
  <c r="G94" i="26"/>
  <c r="G102" i="26"/>
  <c r="F106" i="26"/>
  <c r="F107" i="26"/>
  <c r="F108" i="26"/>
  <c r="F109" i="26"/>
  <c r="N109" i="26" s="1"/>
  <c r="F118" i="26"/>
  <c r="G130" i="26"/>
  <c r="G133" i="26" s="1"/>
  <c r="O133" i="26" s="1"/>
  <c r="G132" i="26"/>
  <c r="O132" i="26" s="1"/>
  <c r="J47" i="26"/>
  <c r="J48" i="26"/>
  <c r="J49" i="26"/>
  <c r="J58" i="26"/>
  <c r="K58" i="26" s="1"/>
  <c r="J63" i="26"/>
  <c r="J64" i="26"/>
  <c r="J66" i="26"/>
  <c r="J70" i="26"/>
  <c r="J75" i="26"/>
  <c r="Q75" i="26" s="1"/>
  <c r="J76" i="26"/>
  <c r="J89" i="26"/>
  <c r="J94" i="26"/>
  <c r="J95" i="26"/>
  <c r="J102" i="26"/>
  <c r="I106" i="26"/>
  <c r="I107" i="26"/>
  <c r="I108" i="26"/>
  <c r="I109" i="26"/>
  <c r="I118" i="26"/>
  <c r="J130" i="26"/>
  <c r="J133" i="26" s="1"/>
  <c r="J132" i="26"/>
  <c r="Q132" i="26" s="1"/>
  <c r="L47" i="26"/>
  <c r="L48" i="26"/>
  <c r="L49" i="26"/>
  <c r="R50" i="26"/>
  <c r="L54" i="26"/>
  <c r="L59" i="26"/>
  <c r="L58" i="26"/>
  <c r="L63" i="26"/>
  <c r="L64" i="26"/>
  <c r="L66" i="26"/>
  <c r="L70" i="26"/>
  <c r="L75" i="26"/>
  <c r="R75" i="26" s="1"/>
  <c r="L76" i="26"/>
  <c r="L89" i="26"/>
  <c r="L94" i="26"/>
  <c r="R94" i="26" s="1"/>
  <c r="L95" i="26"/>
  <c r="R95" i="26" s="1"/>
  <c r="L102" i="26"/>
  <c r="L106" i="26"/>
  <c r="L107" i="26"/>
  <c r="L109" i="26"/>
  <c r="R109" i="26" s="1"/>
  <c r="L118" i="26"/>
  <c r="R118" i="26" s="1"/>
  <c r="L130" i="26"/>
  <c r="L133" i="26" s="1"/>
  <c r="R133" i="26" s="1"/>
  <c r="L132" i="26"/>
  <c r="R132" i="26" s="1"/>
  <c r="H118" i="26" l="1"/>
  <c r="N118" i="26"/>
  <c r="M122" i="26"/>
  <c r="P118" i="26"/>
  <c r="K118" i="26"/>
  <c r="M121" i="26"/>
  <c r="O94" i="26"/>
  <c r="H94" i="26"/>
  <c r="Q94" i="26"/>
  <c r="K94" i="26"/>
  <c r="Q95" i="26"/>
  <c r="S95" i="26" s="1"/>
  <c r="K95" i="26"/>
  <c r="M95" i="26" s="1"/>
  <c r="S132" i="26"/>
  <c r="I133" i="26"/>
  <c r="Q133" i="26"/>
  <c r="O6" i="102"/>
  <c r="O4" i="102"/>
  <c r="O50" i="26"/>
  <c r="S50" i="26" s="1"/>
  <c r="M50" i="26"/>
  <c r="K109" i="26"/>
  <c r="P109" i="26"/>
  <c r="S109" i="26" s="1"/>
  <c r="K108" i="26"/>
  <c r="P108" i="26"/>
  <c r="H108" i="26"/>
  <c r="N108" i="26"/>
  <c r="O5" i="102"/>
  <c r="K59" i="26"/>
  <c r="K54" i="26"/>
  <c r="O75" i="26"/>
  <c r="S75" i="26" s="1"/>
  <c r="H75" i="26"/>
  <c r="K76" i="26"/>
  <c r="K74" i="26"/>
  <c r="M74" i="26" s="1"/>
  <c r="S118" i="26" l="1"/>
  <c r="M118" i="26"/>
  <c r="M94" i="26"/>
  <c r="S94" i="26"/>
  <c r="K133" i="26"/>
  <c r="P133" i="26"/>
  <c r="S133" i="26" s="1"/>
  <c r="O8" i="102"/>
  <c r="O9" i="102" s="1"/>
  <c r="I182" i="26" s="1"/>
  <c r="AD166" i="26" s="1"/>
  <c r="S108" i="26"/>
  <c r="M108" i="26"/>
  <c r="AE166" i="26" l="1"/>
  <c r="P197" i="26" l="1"/>
  <c r="O87" i="26"/>
  <c r="F3" i="46"/>
  <c r="F41" i="33"/>
  <c r="A146" i="11" l="1"/>
  <c r="C146" i="11"/>
  <c r="E147" i="11" l="1"/>
  <c r="J148" i="11" l="1"/>
  <c r="S148" i="11"/>
  <c r="U147" i="11" s="1"/>
  <c r="K147" i="11"/>
  <c r="K142" i="26"/>
  <c r="S257" i="11"/>
  <c r="K257" i="11"/>
  <c r="J257" i="11"/>
  <c r="S256" i="11"/>
  <c r="K256" i="11"/>
  <c r="J256" i="11"/>
  <c r="B255" i="11"/>
  <c r="C255" i="11"/>
  <c r="D255" i="11"/>
  <c r="E255" i="11"/>
  <c r="A255" i="11"/>
  <c r="D252" i="11"/>
  <c r="C252" i="11"/>
  <c r="B252" i="11"/>
  <c r="A252" i="11"/>
  <c r="K208" i="26"/>
  <c r="H208" i="26"/>
  <c r="B248" i="11"/>
  <c r="C248" i="11"/>
  <c r="D248" i="11"/>
  <c r="A248" i="11"/>
  <c r="B258" i="11"/>
  <c r="C258" i="11"/>
  <c r="D258" i="11"/>
  <c r="A258" i="11"/>
  <c r="K247" i="11"/>
  <c r="J247" i="11"/>
  <c r="D94" i="94"/>
  <c r="S247" i="11"/>
  <c r="E98" i="94"/>
  <c r="E93" i="94"/>
  <c r="E92" i="94"/>
  <c r="E91" i="94"/>
  <c r="F149" i="11" l="1"/>
  <c r="J149" i="11" s="1"/>
  <c r="J147" i="11" s="1"/>
  <c r="K139" i="26"/>
  <c r="P139" i="26"/>
  <c r="K137" i="26"/>
  <c r="M137" i="26" s="1"/>
  <c r="P137" i="26"/>
  <c r="S137" i="26" s="1"/>
  <c r="E246" i="11"/>
  <c r="E101" i="94"/>
  <c r="E242" i="11" s="1"/>
  <c r="E94" i="94"/>
  <c r="U255" i="11"/>
  <c r="Q255" i="11" s="1"/>
  <c r="J255" i="11"/>
  <c r="H255" i="11" s="1"/>
  <c r="K255" i="11"/>
  <c r="I255" i="11" s="1"/>
  <c r="M208" i="26"/>
  <c r="B240" i="11"/>
  <c r="C240" i="11"/>
  <c r="D240" i="11"/>
  <c r="E240" i="11"/>
  <c r="A240" i="11"/>
  <c r="B239" i="11"/>
  <c r="C239" i="11"/>
  <c r="A239" i="11"/>
  <c r="S246" i="11" l="1"/>
  <c r="J246" i="11"/>
  <c r="K246" i="11"/>
  <c r="E241" i="11"/>
  <c r="S241" i="11" s="1"/>
  <c r="F207" i="26"/>
  <c r="N207" i="26" s="1"/>
  <c r="I207" i="26"/>
  <c r="P207" i="26" s="1"/>
  <c r="G207" i="26"/>
  <c r="O207" i="26" s="1"/>
  <c r="E243" i="11"/>
  <c r="S243" i="11" s="1"/>
  <c r="E244" i="11"/>
  <c r="S244" i="11" s="1"/>
  <c r="S242" i="11"/>
  <c r="J242" i="11"/>
  <c r="K242" i="11"/>
  <c r="K241" i="11" l="1"/>
  <c r="H207" i="26"/>
  <c r="K244" i="11"/>
  <c r="J244" i="11"/>
  <c r="U240" i="11"/>
  <c r="Q240" i="11" s="1"/>
  <c r="I204" i="26" s="1"/>
  <c r="J243" i="11"/>
  <c r="K243" i="11"/>
  <c r="B225" i="11"/>
  <c r="C225" i="11"/>
  <c r="A225" i="11"/>
  <c r="K240" i="11" l="1"/>
  <c r="I240" i="11" l="1"/>
  <c r="G204" i="26" s="1"/>
  <c r="L198" i="11"/>
  <c r="B197" i="11"/>
  <c r="C197" i="11"/>
  <c r="D197" i="11"/>
  <c r="A197" i="11"/>
  <c r="L196" i="11" l="1"/>
  <c r="F196" i="11"/>
  <c r="J59" i="94"/>
  <c r="N59" i="94" s="1"/>
  <c r="G59" i="94"/>
  <c r="I57" i="94"/>
  <c r="H57" i="94"/>
  <c r="G57" i="94"/>
  <c r="I55" i="94"/>
  <c r="H56" i="94"/>
  <c r="G56" i="94"/>
  <c r="H55" i="94"/>
  <c r="G55" i="94"/>
  <c r="B193" i="11"/>
  <c r="C193" i="11"/>
  <c r="D193" i="11"/>
  <c r="A193" i="11"/>
  <c r="S179" i="11"/>
  <c r="K179" i="11"/>
  <c r="K178" i="11" s="1"/>
  <c r="J179" i="11"/>
  <c r="J178" i="11" s="1"/>
  <c r="B178" i="11"/>
  <c r="C178" i="11"/>
  <c r="D178" i="11"/>
  <c r="A178" i="11"/>
  <c r="B169" i="11"/>
  <c r="B168" i="11"/>
  <c r="J57" i="94" l="1"/>
  <c r="K59" i="94"/>
  <c r="J84" i="94"/>
  <c r="E198" i="11" s="1"/>
  <c r="J55" i="94"/>
  <c r="J56" i="94"/>
  <c r="K56" i="94" l="1"/>
  <c r="N56" i="94"/>
  <c r="K55" i="94"/>
  <c r="N55" i="94"/>
  <c r="K57" i="94"/>
  <c r="N57" i="94"/>
  <c r="K198" i="11"/>
  <c r="K197" i="11" s="1"/>
  <c r="J198" i="11"/>
  <c r="J197" i="11" s="1"/>
  <c r="S198" i="11"/>
  <c r="U197" i="11" s="1"/>
  <c r="N60" i="94" l="1"/>
  <c r="H197" i="26" l="1"/>
  <c r="O194" i="26"/>
  <c r="Q194" i="26"/>
  <c r="R194" i="26"/>
  <c r="N197" i="26" l="1"/>
  <c r="N220" i="26" l="1"/>
  <c r="S220" i="26" s="1"/>
  <c r="H220" i="26" l="1"/>
  <c r="M220" i="26" s="1"/>
  <c r="U220" i="26" s="1"/>
  <c r="V220" i="26" s="1"/>
  <c r="P87" i="26"/>
  <c r="H87" i="26"/>
  <c r="N87" i="26"/>
  <c r="T219" i="26" l="1"/>
  <c r="W219" i="26"/>
  <c r="N164" i="26" l="1"/>
  <c r="O164" i="26"/>
  <c r="P164" i="26"/>
  <c r="Q164" i="26"/>
  <c r="O165" i="26"/>
  <c r="P165" i="26"/>
  <c r="Q165" i="26"/>
  <c r="N166" i="26"/>
  <c r="O166" i="26"/>
  <c r="P166" i="26"/>
  <c r="Q166" i="26"/>
  <c r="N168" i="26"/>
  <c r="O168" i="26"/>
  <c r="Q168" i="26"/>
  <c r="N169" i="26"/>
  <c r="O169" i="26"/>
  <c r="P169" i="26"/>
  <c r="Q169" i="26"/>
  <c r="O171" i="26"/>
  <c r="P171" i="26"/>
  <c r="Q171" i="26"/>
  <c r="N172" i="26"/>
  <c r="O172" i="26"/>
  <c r="P172" i="26"/>
  <c r="Q172" i="26"/>
  <c r="K169" i="26" l="1"/>
  <c r="H169" i="26"/>
  <c r="H168" i="26"/>
  <c r="H166" i="26"/>
  <c r="K166" i="26"/>
  <c r="O177" i="26"/>
  <c r="Q177" i="26"/>
  <c r="O180" i="26"/>
  <c r="Q180" i="26"/>
  <c r="K164" i="26"/>
  <c r="K165" i="26"/>
  <c r="K171" i="26"/>
  <c r="K172" i="26"/>
  <c r="H172" i="26"/>
  <c r="L174" i="26" l="1"/>
  <c r="L169" i="26"/>
  <c r="R169" i="26" s="1"/>
  <c r="S169" i="26" s="1"/>
  <c r="L172" i="26"/>
  <c r="R172" i="26" s="1"/>
  <c r="S172" i="26" s="1"/>
  <c r="L166" i="26"/>
  <c r="R166" i="26" s="1"/>
  <c r="S166" i="26" s="1"/>
  <c r="R174" i="26" l="1"/>
  <c r="S174" i="26" s="1"/>
  <c r="M174" i="26"/>
  <c r="M172" i="26"/>
  <c r="M169" i="26"/>
  <c r="M166" i="26"/>
  <c r="F17" i="102"/>
  <c r="E8" i="102"/>
  <c r="F8" i="102" s="1"/>
  <c r="E9" i="102"/>
  <c r="F9" i="102" s="1"/>
  <c r="E10" i="102"/>
  <c r="F10" i="102" s="1"/>
  <c r="E11" i="102"/>
  <c r="F11" i="102" s="1"/>
  <c r="E12" i="102"/>
  <c r="F12" i="102" s="1"/>
  <c r="E13" i="102"/>
  <c r="F13" i="102" s="1"/>
  <c r="E14" i="102"/>
  <c r="F14" i="102" s="1"/>
  <c r="E7" i="102"/>
  <c r="F7" i="102" s="1"/>
  <c r="E6" i="102"/>
  <c r="F6" i="102" s="1"/>
  <c r="E5" i="102"/>
  <c r="F5" i="102" s="1"/>
  <c r="E26" i="102"/>
  <c r="F26" i="102" s="1"/>
  <c r="E25" i="102"/>
  <c r="F25" i="102" s="1"/>
  <c r="E21" i="102"/>
  <c r="F21" i="102" s="1"/>
  <c r="E22" i="102"/>
  <c r="F22" i="102" s="1"/>
  <c r="E23" i="102"/>
  <c r="F23" i="102" s="1"/>
  <c r="E20" i="102"/>
  <c r="F20" i="102" s="1"/>
  <c r="K232" i="26"/>
  <c r="O232" i="26"/>
  <c r="P232" i="26"/>
  <c r="Q232" i="26"/>
  <c r="R232" i="26"/>
  <c r="K233" i="26"/>
  <c r="O233" i="26"/>
  <c r="P233" i="26"/>
  <c r="Q233" i="26"/>
  <c r="R233" i="26"/>
  <c r="K234" i="26"/>
  <c r="O234" i="26"/>
  <c r="P234" i="26"/>
  <c r="Q234" i="26"/>
  <c r="R234" i="26"/>
  <c r="K235" i="26"/>
  <c r="O235" i="26"/>
  <c r="P235" i="26"/>
  <c r="Q235" i="26"/>
  <c r="R235" i="26"/>
  <c r="K236" i="26"/>
  <c r="O236" i="26"/>
  <c r="P236" i="26"/>
  <c r="Q236" i="26"/>
  <c r="R236" i="26"/>
  <c r="R231" i="26"/>
  <c r="Q231" i="26"/>
  <c r="P231" i="26"/>
  <c r="O231" i="26"/>
  <c r="K231" i="26"/>
  <c r="H233" i="26"/>
  <c r="H234" i="26"/>
  <c r="H235" i="26"/>
  <c r="N236" i="26"/>
  <c r="H231" i="26"/>
  <c r="N232" i="26"/>
  <c r="O182" i="26"/>
  <c r="N186" i="26"/>
  <c r="O186" i="26"/>
  <c r="Q186" i="26"/>
  <c r="R186" i="26"/>
  <c r="H186" i="26"/>
  <c r="O255" i="26" l="1"/>
  <c r="P255" i="26"/>
  <c r="Q255" i="26"/>
  <c r="R255" i="26"/>
  <c r="G24" i="102"/>
  <c r="G19" i="102"/>
  <c r="E18" i="102"/>
  <c r="F18" i="102" s="1"/>
  <c r="M235" i="26"/>
  <c r="U235" i="26" s="1"/>
  <c r="V235" i="26" s="1"/>
  <c r="N233" i="26"/>
  <c r="S233" i="26" s="1"/>
  <c r="M233" i="26"/>
  <c r="U233" i="26" s="1"/>
  <c r="V233" i="26" s="1"/>
  <c r="M234" i="26"/>
  <c r="U234" i="26" s="1"/>
  <c r="V234" i="26" s="1"/>
  <c r="S236" i="26"/>
  <c r="H232" i="26"/>
  <c r="M232" i="26" s="1"/>
  <c r="U232" i="26" s="1"/>
  <c r="V232" i="26" s="1"/>
  <c r="N235" i="26"/>
  <c r="S235" i="26" s="1"/>
  <c r="N231" i="26"/>
  <c r="S232" i="26"/>
  <c r="H236" i="26"/>
  <c r="M236" i="26" s="1"/>
  <c r="U236" i="26" s="1"/>
  <c r="V236" i="26" s="1"/>
  <c r="M231" i="26"/>
  <c r="U231" i="26" s="1"/>
  <c r="V231" i="26" s="1"/>
  <c r="N234" i="26"/>
  <c r="S234" i="26" s="1"/>
  <c r="E205" i="11"/>
  <c r="K224" i="11"/>
  <c r="J224" i="11"/>
  <c r="K223" i="11"/>
  <c r="S223" i="11"/>
  <c r="L224" i="11"/>
  <c r="S224" i="11" s="1"/>
  <c r="B222" i="11"/>
  <c r="C222" i="11"/>
  <c r="D222" i="11"/>
  <c r="K218" i="11"/>
  <c r="J218" i="11"/>
  <c r="K217" i="11"/>
  <c r="J217" i="11"/>
  <c r="K216" i="11"/>
  <c r="S216" i="11"/>
  <c r="S218" i="11"/>
  <c r="S217" i="11"/>
  <c r="B215" i="11"/>
  <c r="C215" i="11"/>
  <c r="D215" i="11"/>
  <c r="F126" i="99"/>
  <c r="F127" i="99"/>
  <c r="F128" i="99"/>
  <c r="F129" i="99"/>
  <c r="F130" i="99"/>
  <c r="G130" i="99" s="1"/>
  <c r="F131" i="99"/>
  <c r="F125" i="99"/>
  <c r="S214" i="11"/>
  <c r="K214" i="11"/>
  <c r="J214" i="11"/>
  <c r="S213" i="11"/>
  <c r="K213" i="11"/>
  <c r="J213" i="11"/>
  <c r="S211" i="11"/>
  <c r="K211" i="11"/>
  <c r="B210" i="11"/>
  <c r="C210" i="11"/>
  <c r="D210" i="11"/>
  <c r="S206" i="11"/>
  <c r="K206" i="11"/>
  <c r="B205" i="11"/>
  <c r="C205" i="11"/>
  <c r="D205" i="11"/>
  <c r="V255" i="26" l="1"/>
  <c r="N255" i="26"/>
  <c r="W230" i="26"/>
  <c r="K215" i="11"/>
  <c r="S231" i="26"/>
  <c r="S255" i="26" s="1"/>
  <c r="N194" i="26"/>
  <c r="H194" i="26"/>
  <c r="K222" i="11"/>
  <c r="U222" i="11"/>
  <c r="U215" i="11"/>
  <c r="J209" i="11"/>
  <c r="K207" i="11"/>
  <c r="U210" i="11"/>
  <c r="K210" i="11"/>
  <c r="I146" i="26"/>
  <c r="I147" i="26"/>
  <c r="F118" i="99"/>
  <c r="G118" i="99" s="1"/>
  <c r="F117" i="99"/>
  <c r="G117" i="99" s="1"/>
  <c r="F90" i="99"/>
  <c r="G90" i="99" s="1"/>
  <c r="F89" i="99"/>
  <c r="G89" i="99" s="1"/>
  <c r="F88" i="99"/>
  <c r="G88" i="99" s="1"/>
  <c r="F87" i="99"/>
  <c r="G87" i="99" s="1"/>
  <c r="F83" i="99"/>
  <c r="G83" i="99" s="1"/>
  <c r="F84" i="99"/>
  <c r="G84" i="99" s="1"/>
  <c r="F82" i="99"/>
  <c r="G82" i="99" s="1"/>
  <c r="F81" i="99"/>
  <c r="G81" i="99" s="1"/>
  <c r="F68" i="99"/>
  <c r="G68" i="99" s="1"/>
  <c r="F67" i="99"/>
  <c r="G67" i="99" s="1"/>
  <c r="F66" i="99"/>
  <c r="G66" i="99" s="1"/>
  <c r="F63" i="99"/>
  <c r="G63" i="99" s="1"/>
  <c r="F64" i="99"/>
  <c r="G64" i="99" s="1"/>
  <c r="F54" i="99"/>
  <c r="G54" i="99" s="1"/>
  <c r="F55" i="99"/>
  <c r="G55" i="99" s="1"/>
  <c r="F57" i="99"/>
  <c r="G57" i="99" s="1"/>
  <c r="F58" i="99"/>
  <c r="G58" i="99" s="1"/>
  <c r="F59" i="99"/>
  <c r="G59" i="99" s="1"/>
  <c r="F60" i="99"/>
  <c r="G60" i="99" s="1"/>
  <c r="F53" i="99"/>
  <c r="G53" i="99" s="1"/>
  <c r="F50" i="99"/>
  <c r="G50" i="99" s="1"/>
  <c r="F49" i="99"/>
  <c r="G49" i="99" s="1"/>
  <c r="F47" i="99"/>
  <c r="G47" i="99" s="1"/>
  <c r="F46" i="99"/>
  <c r="G46" i="99" s="1"/>
  <c r="F37" i="99"/>
  <c r="G37" i="99" s="1"/>
  <c r="F38" i="99"/>
  <c r="G38" i="99" s="1"/>
  <c r="F39" i="99"/>
  <c r="G39" i="99" s="1"/>
  <c r="F40" i="99"/>
  <c r="G40" i="99" s="1"/>
  <c r="F42" i="99"/>
  <c r="G42" i="99" s="1"/>
  <c r="F43" i="99"/>
  <c r="G43" i="99" s="1"/>
  <c r="F36" i="99"/>
  <c r="G36" i="99" s="1"/>
  <c r="F20" i="99"/>
  <c r="G20" i="99" s="1"/>
  <c r="F7" i="99"/>
  <c r="G7" i="99" s="1"/>
  <c r="F9" i="99"/>
  <c r="G9" i="99" s="1"/>
  <c r="F10" i="99"/>
  <c r="G10" i="99" s="1"/>
  <c r="F21" i="99"/>
  <c r="G21" i="99" s="1"/>
  <c r="F22" i="99"/>
  <c r="G22" i="99" s="1"/>
  <c r="F23" i="99"/>
  <c r="G23" i="99" s="1"/>
  <c r="F24" i="99"/>
  <c r="G24" i="99" s="1"/>
  <c r="F25" i="99"/>
  <c r="G25" i="99" s="1"/>
  <c r="F26" i="99"/>
  <c r="G26" i="99" s="1"/>
  <c r="F27" i="99"/>
  <c r="G27" i="99" s="1"/>
  <c r="F28" i="99"/>
  <c r="G28" i="99" s="1"/>
  <c r="F29" i="99"/>
  <c r="G29" i="99" s="1"/>
  <c r="F13" i="99"/>
  <c r="F12" i="99"/>
  <c r="F100" i="99" l="1"/>
  <c r="G100" i="99" s="1"/>
  <c r="W255" i="26"/>
  <c r="X247" i="26" s="1"/>
  <c r="P147" i="26"/>
  <c r="K147" i="26"/>
  <c r="T230" i="26"/>
  <c r="T255" i="26" s="1"/>
  <c r="L175" i="26"/>
  <c r="P146" i="26"/>
  <c r="K146" i="26"/>
  <c r="G4" i="102"/>
  <c r="F69" i="99"/>
  <c r="G69" i="99" s="1"/>
  <c r="F30" i="99"/>
  <c r="G30" i="99" s="1"/>
  <c r="P194" i="26"/>
  <c r="S194" i="26" s="1"/>
  <c r="K194" i="26"/>
  <c r="F56" i="99"/>
  <c r="G56" i="99" s="1"/>
  <c r="F41" i="99"/>
  <c r="G41" i="99" s="1"/>
  <c r="F48" i="99"/>
  <c r="G48" i="99" s="1"/>
  <c r="J207" i="11"/>
  <c r="S209" i="11"/>
  <c r="K209" i="11"/>
  <c r="K205" i="11" s="1"/>
  <c r="S207" i="11"/>
  <c r="F85" i="99"/>
  <c r="G85" i="99" s="1"/>
  <c r="H80" i="99" s="1"/>
  <c r="X219" i="26" l="1"/>
  <c r="X239" i="26"/>
  <c r="R175" i="26"/>
  <c r="S175" i="26" s="1"/>
  <c r="M175" i="26"/>
  <c r="F44" i="99"/>
  <c r="G44" i="99" s="1"/>
  <c r="F51" i="99"/>
  <c r="G51" i="99" s="1"/>
  <c r="F182" i="26"/>
  <c r="Q182" i="26" s="1"/>
  <c r="G27" i="102"/>
  <c r="F27" i="102"/>
  <c r="X230" i="26"/>
  <c r="X222" i="26"/>
  <c r="X255" i="26"/>
  <c r="I205" i="11"/>
  <c r="G151" i="26" s="1"/>
  <c r="N177" i="26"/>
  <c r="H177" i="26"/>
  <c r="U205" i="11"/>
  <c r="Q205" i="11" s="1"/>
  <c r="I151" i="26" s="1"/>
  <c r="H161" i="26"/>
  <c r="Q157" i="26"/>
  <c r="N161" i="26"/>
  <c r="K83" i="26"/>
  <c r="H83" i="26"/>
  <c r="O195" i="26"/>
  <c r="O144" i="26"/>
  <c r="N184" i="26"/>
  <c r="O184" i="26"/>
  <c r="Q184" i="26"/>
  <c r="H184" i="26"/>
  <c r="H115" i="26"/>
  <c r="K115" i="26"/>
  <c r="H116" i="26"/>
  <c r="K116" i="26"/>
  <c r="H86" i="99" l="1"/>
  <c r="F216" i="11" s="1"/>
  <c r="J216" i="11" s="1"/>
  <c r="J215" i="11" s="1"/>
  <c r="M83" i="26"/>
  <c r="H62" i="99"/>
  <c r="H182" i="26"/>
  <c r="N182" i="26"/>
  <c r="E210" i="11"/>
  <c r="E215" i="11"/>
  <c r="E222" i="11"/>
  <c r="O151" i="26"/>
  <c r="F61" i="99"/>
  <c r="G61" i="99" s="1"/>
  <c r="Q144" i="26"/>
  <c r="O157" i="26"/>
  <c r="N157" i="26"/>
  <c r="N195" i="26"/>
  <c r="O161" i="26"/>
  <c r="R195" i="26"/>
  <c r="Q195" i="26"/>
  <c r="R161" i="26"/>
  <c r="Q161" i="26"/>
  <c r="M116" i="26"/>
  <c r="M115" i="26"/>
  <c r="B204" i="11"/>
  <c r="C204" i="11"/>
  <c r="A204" i="11"/>
  <c r="P195" i="26"/>
  <c r="R144" i="26"/>
  <c r="P144" i="26"/>
  <c r="N144" i="26"/>
  <c r="F139" i="26"/>
  <c r="H104" i="26"/>
  <c r="N104" i="26"/>
  <c r="O104" i="26"/>
  <c r="P104" i="26"/>
  <c r="Q104" i="26"/>
  <c r="R104" i="26"/>
  <c r="K104" i="26"/>
  <c r="H45" i="99" l="1"/>
  <c r="F147" i="26" s="1"/>
  <c r="H35" i="99"/>
  <c r="F146" i="26" s="1"/>
  <c r="H139" i="26"/>
  <c r="M139" i="26" s="1"/>
  <c r="N139" i="26"/>
  <c r="S139" i="26" s="1"/>
  <c r="H140" i="26"/>
  <c r="F149" i="26"/>
  <c r="F223" i="11"/>
  <c r="J223" i="11" s="1"/>
  <c r="J222" i="11" s="1"/>
  <c r="H222" i="11" s="1"/>
  <c r="F160" i="26" s="1"/>
  <c r="I215" i="11"/>
  <c r="G159" i="26" s="1"/>
  <c r="O159" i="26" s="1"/>
  <c r="Q215" i="11"/>
  <c r="H215" i="11"/>
  <c r="F159" i="26" s="1"/>
  <c r="Q210" i="11"/>
  <c r="I152" i="26" s="1"/>
  <c r="I210" i="11"/>
  <c r="G152" i="26" s="1"/>
  <c r="I222" i="11"/>
  <c r="G160" i="26" s="1"/>
  <c r="O160" i="26" s="1"/>
  <c r="Q222" i="11"/>
  <c r="I160" i="26" s="1"/>
  <c r="I157" i="26"/>
  <c r="K157" i="26" s="1"/>
  <c r="S144" i="26"/>
  <c r="S195" i="26"/>
  <c r="M104" i="26"/>
  <c r="S104" i="26"/>
  <c r="H147" i="26" l="1"/>
  <c r="L147" i="26" s="1"/>
  <c r="R147" i="26" s="1"/>
  <c r="N147" i="26"/>
  <c r="H160" i="26"/>
  <c r="N159" i="26"/>
  <c r="H159" i="26"/>
  <c r="P153" i="26"/>
  <c r="O152" i="26"/>
  <c r="O153" i="26"/>
  <c r="I159" i="26"/>
  <c r="P159" i="26" s="1"/>
  <c r="P151" i="26"/>
  <c r="P160" i="26"/>
  <c r="H146" i="26"/>
  <c r="L146" i="26" s="1"/>
  <c r="R146" i="26" s="1"/>
  <c r="N146" i="26"/>
  <c r="H149" i="26"/>
  <c r="L149" i="26" s="1"/>
  <c r="R149" i="26" s="1"/>
  <c r="N149" i="26"/>
  <c r="L157" i="26"/>
  <c r="R157" i="26" s="1"/>
  <c r="N160" i="26"/>
  <c r="H52" i="99"/>
  <c r="P152" i="26"/>
  <c r="O154" i="26"/>
  <c r="P157" i="26"/>
  <c r="M3" i="88"/>
  <c r="S203" i="11"/>
  <c r="K203" i="11"/>
  <c r="J203" i="11"/>
  <c r="B200" i="11"/>
  <c r="C200" i="11"/>
  <c r="D200" i="11"/>
  <c r="B199" i="11"/>
  <c r="C199" i="11"/>
  <c r="D199" i="11"/>
  <c r="E199" i="11"/>
  <c r="A199" i="11"/>
  <c r="E200" i="11"/>
  <c r="N190" i="26"/>
  <c r="H190" i="26"/>
  <c r="G176" i="11"/>
  <c r="G175" i="11"/>
  <c r="B174" i="11"/>
  <c r="C174" i="11"/>
  <c r="D174" i="11"/>
  <c r="A174" i="11"/>
  <c r="B173" i="11"/>
  <c r="C173" i="11"/>
  <c r="A173" i="11"/>
  <c r="K107" i="26"/>
  <c r="H107" i="26"/>
  <c r="G126" i="11"/>
  <c r="G125" i="11"/>
  <c r="G124" i="11"/>
  <c r="G131" i="11"/>
  <c r="D130" i="11"/>
  <c r="D128" i="11"/>
  <c r="C130" i="11"/>
  <c r="B130" i="11"/>
  <c r="A130" i="11"/>
  <c r="B128" i="11"/>
  <c r="C128" i="11"/>
  <c r="A128" i="11"/>
  <c r="H57" i="26"/>
  <c r="M147" i="26" l="1"/>
  <c r="S147" i="26"/>
  <c r="M146" i="26"/>
  <c r="F148" i="26"/>
  <c r="H148" i="26" s="1"/>
  <c r="L148" i="26" s="1"/>
  <c r="R148" i="26" s="1"/>
  <c r="S146" i="26"/>
  <c r="S149" i="26"/>
  <c r="M149" i="26"/>
  <c r="S157" i="26"/>
  <c r="M157" i="26"/>
  <c r="P156" i="26"/>
  <c r="O155" i="26"/>
  <c r="P155" i="26"/>
  <c r="N154" i="26"/>
  <c r="O156" i="26"/>
  <c r="P154" i="26"/>
  <c r="I190" i="26"/>
  <c r="K190" i="26" s="1"/>
  <c r="M190" i="26" s="1"/>
  <c r="L131" i="11"/>
  <c r="F189" i="26"/>
  <c r="I189" i="26"/>
  <c r="E201" i="11"/>
  <c r="J201" i="11" s="1"/>
  <c r="F202" i="11" s="1"/>
  <c r="J202" i="11" s="1"/>
  <c r="R190" i="26"/>
  <c r="Q190" i="26"/>
  <c r="O190" i="26"/>
  <c r="K102" i="26"/>
  <c r="H102" i="26"/>
  <c r="M107" i="26"/>
  <c r="I111" i="26"/>
  <c r="N148" i="26" l="1"/>
  <c r="S148" i="26" s="1"/>
  <c r="M148" i="26"/>
  <c r="K111" i="26"/>
  <c r="P111" i="26"/>
  <c r="N155" i="26"/>
  <c r="N156" i="26"/>
  <c r="P190" i="26"/>
  <c r="S190" i="26" s="1"/>
  <c r="D68" i="88"/>
  <c r="H68" i="88" s="1"/>
  <c r="D66" i="88"/>
  <c r="H66" i="88" s="1"/>
  <c r="L129" i="11"/>
  <c r="L127" i="11"/>
  <c r="L177" i="11"/>
  <c r="S201" i="11"/>
  <c r="U200" i="11" s="1"/>
  <c r="Q200" i="11" s="1"/>
  <c r="K201" i="11"/>
  <c r="M102" i="26"/>
  <c r="F19" i="33"/>
  <c r="F18" i="33"/>
  <c r="I203" i="26"/>
  <c r="L57" i="94"/>
  <c r="L59" i="94" l="1"/>
  <c r="K200" i="11"/>
  <c r="I200" i="11" s="1"/>
  <c r="J200" i="11"/>
  <c r="H200" i="11" s="1"/>
  <c r="M76" i="26"/>
  <c r="N64" i="26"/>
  <c r="P64" i="26"/>
  <c r="R64" i="26"/>
  <c r="Q64" i="26"/>
  <c r="O64" i="26"/>
  <c r="S64" i="26" l="1"/>
  <c r="K201" i="26"/>
  <c r="M201" i="26" s="1"/>
  <c r="L56" i="94"/>
  <c r="C60" i="94"/>
  <c r="E125" i="26" s="1"/>
  <c r="N83" i="26"/>
  <c r="L55" i="94"/>
  <c r="H59" i="26"/>
  <c r="H109" i="26"/>
  <c r="M109" i="26" s="1"/>
  <c r="K75" i="26"/>
  <c r="M75" i="26" s="1"/>
  <c r="L60" i="94" l="1"/>
  <c r="O60" i="94" s="1"/>
  <c r="E196" i="11" s="1"/>
  <c r="E169" i="11"/>
  <c r="E171" i="11" s="1"/>
  <c r="E178" i="11"/>
  <c r="M59" i="26"/>
  <c r="O83" i="26"/>
  <c r="R83" i="26"/>
  <c r="P83" i="26"/>
  <c r="Q83" i="26"/>
  <c r="E172" i="11" l="1"/>
  <c r="E170" i="11"/>
  <c r="S170" i="11" s="1"/>
  <c r="E180" i="11"/>
  <c r="S180" i="11" s="1"/>
  <c r="U178" i="11" s="1"/>
  <c r="Q178" i="11" s="1"/>
  <c r="S171" i="11"/>
  <c r="N76" i="26"/>
  <c r="P76" i="26"/>
  <c r="O76" i="26"/>
  <c r="Q76" i="26"/>
  <c r="R76" i="26"/>
  <c r="R116" i="26"/>
  <c r="E193" i="11"/>
  <c r="P66" i="26"/>
  <c r="O107" i="26"/>
  <c r="O102" i="26"/>
  <c r="P115" i="26"/>
  <c r="N115" i="26"/>
  <c r="O115" i="26"/>
  <c r="R115" i="26"/>
  <c r="Q115" i="26"/>
  <c r="N59" i="26"/>
  <c r="P59" i="26"/>
  <c r="O59" i="26"/>
  <c r="R59" i="26"/>
  <c r="Q59" i="26"/>
  <c r="H178" i="11"/>
  <c r="I178" i="11"/>
  <c r="S83" i="26"/>
  <c r="N89" i="26"/>
  <c r="P89" i="26"/>
  <c r="C73" i="11"/>
  <c r="E19" i="94"/>
  <c r="G19" i="94" s="1"/>
  <c r="E20" i="94"/>
  <c r="G20" i="94" s="1"/>
  <c r="E21" i="94"/>
  <c r="G21" i="94" s="1"/>
  <c r="E22" i="94"/>
  <c r="G22" i="94" s="1"/>
  <c r="E23" i="94"/>
  <c r="G23" i="94" s="1"/>
  <c r="E24" i="94"/>
  <c r="G24" i="94" s="1"/>
  <c r="E25" i="94"/>
  <c r="G25" i="94" s="1"/>
  <c r="E26" i="94"/>
  <c r="G26" i="94" s="1"/>
  <c r="E27" i="94"/>
  <c r="G27" i="94" s="1"/>
  <c r="E28" i="94"/>
  <c r="G28" i="94" s="1"/>
  <c r="E18" i="94"/>
  <c r="G18" i="94" s="1"/>
  <c r="H17" i="94" l="1"/>
  <c r="H48" i="94" s="1"/>
  <c r="K196" i="11"/>
  <c r="E195" i="11"/>
  <c r="S196" i="11"/>
  <c r="J196" i="11"/>
  <c r="S76" i="26"/>
  <c r="S59" i="26"/>
  <c r="F113" i="26"/>
  <c r="I113" i="26"/>
  <c r="G113" i="26"/>
  <c r="O113" i="26" s="1"/>
  <c r="Q160" i="11"/>
  <c r="I86" i="26" s="1"/>
  <c r="R107" i="26"/>
  <c r="N107" i="26"/>
  <c r="Q107" i="26"/>
  <c r="Q116" i="26"/>
  <c r="N116" i="26"/>
  <c r="R66" i="26"/>
  <c r="N66" i="26"/>
  <c r="P107" i="26"/>
  <c r="O66" i="26"/>
  <c r="O116" i="26"/>
  <c r="Q66" i="26"/>
  <c r="P116" i="26"/>
  <c r="N102" i="26"/>
  <c r="E174" i="11"/>
  <c r="E175" i="11" s="1"/>
  <c r="Q102" i="26"/>
  <c r="R102" i="26"/>
  <c r="P102" i="26"/>
  <c r="S115" i="26"/>
  <c r="S172" i="11"/>
  <c r="Q147" i="11" s="1"/>
  <c r="I81" i="26" s="1"/>
  <c r="J172" i="11"/>
  <c r="K172" i="11"/>
  <c r="N70" i="26"/>
  <c r="R70" i="26"/>
  <c r="Q70" i="26"/>
  <c r="O70" i="26"/>
  <c r="P70" i="26"/>
  <c r="J76" i="11"/>
  <c r="J74" i="11" s="1"/>
  <c r="K76" i="11"/>
  <c r="K74" i="11" s="1"/>
  <c r="A73" i="11"/>
  <c r="K22" i="26"/>
  <c r="N22" i="26"/>
  <c r="O22" i="26"/>
  <c r="P22" i="26"/>
  <c r="Q22" i="26"/>
  <c r="R22" i="26"/>
  <c r="H22" i="26"/>
  <c r="K195" i="11" l="1"/>
  <c r="K193" i="11" s="1"/>
  <c r="I193" i="11" s="1"/>
  <c r="G125" i="26" s="1"/>
  <c r="O125" i="26" s="1"/>
  <c r="J195" i="11"/>
  <c r="J193" i="11" s="1"/>
  <c r="H193" i="11" s="1"/>
  <c r="F125" i="26" s="1"/>
  <c r="N125" i="26" s="1"/>
  <c r="S195" i="11"/>
  <c r="U193" i="11" s="1"/>
  <c r="Q193" i="11" s="1"/>
  <c r="I125" i="26" s="1"/>
  <c r="I160" i="11"/>
  <c r="G86" i="26" s="1"/>
  <c r="H113" i="26"/>
  <c r="N113" i="26"/>
  <c r="P113" i="26"/>
  <c r="S70" i="26"/>
  <c r="S66" i="26"/>
  <c r="P81" i="26"/>
  <c r="H49" i="94"/>
  <c r="E45" i="26" s="1"/>
  <c r="S107" i="26"/>
  <c r="E177" i="11"/>
  <c r="S177" i="11" s="1"/>
  <c r="E176" i="11"/>
  <c r="J176" i="11" s="1"/>
  <c r="S102" i="26"/>
  <c r="S116" i="26"/>
  <c r="J175" i="11"/>
  <c r="S175" i="11"/>
  <c r="K175" i="11"/>
  <c r="M22" i="26"/>
  <c r="S22" i="26"/>
  <c r="P125" i="26" l="1"/>
  <c r="H160" i="11"/>
  <c r="F86" i="26" s="1"/>
  <c r="H73" i="26"/>
  <c r="S176" i="11"/>
  <c r="U174" i="11" s="1"/>
  <c r="Q174" i="11" s="1"/>
  <c r="I110" i="26" s="1"/>
  <c r="K176" i="11"/>
  <c r="J177" i="11"/>
  <c r="J174" i="11" s="1"/>
  <c r="H174" i="11" s="1"/>
  <c r="F110" i="26" s="1"/>
  <c r="K177" i="11"/>
  <c r="N110" i="26" l="1"/>
  <c r="P110" i="26"/>
  <c r="K174" i="11"/>
  <c r="I174" i="11" s="1"/>
  <c r="G110" i="26" s="1"/>
  <c r="O110" i="26" s="1"/>
  <c r="H110" i="26" l="1"/>
  <c r="H74" i="11"/>
  <c r="F19" i="26" s="1"/>
  <c r="Q74" i="11"/>
  <c r="I19" i="26" l="1"/>
  <c r="P19" i="26" s="1"/>
  <c r="N19" i="26"/>
  <c r="B2" i="76"/>
  <c r="I3" i="76"/>
  <c r="J3" i="76" s="1"/>
  <c r="I2" i="76"/>
  <c r="J2" i="76" l="1"/>
  <c r="H26" i="75" l="1"/>
  <c r="H27" i="75"/>
  <c r="C128" i="89" l="1"/>
  <c r="D128" i="89" s="1"/>
  <c r="C104" i="89"/>
  <c r="F123" i="89" s="1"/>
  <c r="D91" i="89"/>
  <c r="C77" i="89"/>
  <c r="F99" i="89" s="1"/>
  <c r="C52" i="89"/>
  <c r="D52" i="89" s="1"/>
  <c r="F47" i="89"/>
  <c r="C92" i="89"/>
  <c r="D92" i="89" s="1"/>
  <c r="C61" i="89" l="1"/>
  <c r="H61" i="89" s="1"/>
  <c r="I61" i="89" s="1"/>
  <c r="C57" i="89"/>
  <c r="H57" i="89" s="1"/>
  <c r="I57" i="89" s="1"/>
  <c r="C85" i="89"/>
  <c r="D85" i="89" s="1"/>
  <c r="D104" i="89"/>
  <c r="C109" i="89"/>
  <c r="H109" i="89" s="1"/>
  <c r="I109" i="89" s="1"/>
  <c r="C113" i="89"/>
  <c r="H113" i="89" s="1"/>
  <c r="I113" i="89" s="1"/>
  <c r="C39" i="89"/>
  <c r="D39" i="89" s="1"/>
  <c r="C90" i="89"/>
  <c r="D90" i="89" s="1"/>
  <c r="C140" i="89"/>
  <c r="D140" i="89" s="1"/>
  <c r="C33" i="89"/>
  <c r="D33" i="89" s="1"/>
  <c r="F148" i="89"/>
  <c r="C136" i="89"/>
  <c r="C141" i="89"/>
  <c r="D141" i="89" s="1"/>
  <c r="C40" i="89"/>
  <c r="C93" i="89"/>
  <c r="D93" i="89" s="1"/>
  <c r="C35" i="89"/>
  <c r="C63" i="89"/>
  <c r="D63" i="89" s="1"/>
  <c r="F72" i="89"/>
  <c r="C86" i="89"/>
  <c r="C58" i="89"/>
  <c r="C115" i="89"/>
  <c r="D115" i="89" s="1"/>
  <c r="C137" i="89"/>
  <c r="C110" i="89"/>
  <c r="D77" i="89"/>
  <c r="C36" i="89"/>
  <c r="C82" i="89"/>
  <c r="C60" i="89"/>
  <c r="C64" i="89"/>
  <c r="D64" i="89" s="1"/>
  <c r="C88" i="89"/>
  <c r="D88" i="89" s="1"/>
  <c r="C133" i="89"/>
  <c r="C112" i="89"/>
  <c r="C116" i="89"/>
  <c r="D116" i="89" s="1"/>
  <c r="C139" i="89"/>
  <c r="D139" i="89" s="1"/>
  <c r="C65" i="89"/>
  <c r="D65" i="89" s="1"/>
  <c r="C32" i="89"/>
  <c r="C83" i="89"/>
  <c r="C89" i="89"/>
  <c r="D89" i="89" s="1"/>
  <c r="C117" i="89"/>
  <c r="D117" i="89" s="1"/>
  <c r="C38" i="89"/>
  <c r="D38" i="89" s="1"/>
  <c r="C134" i="89"/>
  <c r="D61" i="89" l="1"/>
  <c r="D40" i="89"/>
  <c r="H85" i="89"/>
  <c r="I85" i="89" s="1"/>
  <c r="D57" i="89"/>
  <c r="D109" i="89"/>
  <c r="D113" i="89"/>
  <c r="F139" i="89"/>
  <c r="E139" i="89" s="1"/>
  <c r="F63" i="89"/>
  <c r="E63" i="89" s="1"/>
  <c r="F115" i="89"/>
  <c r="E115" i="89" s="1"/>
  <c r="H33" i="89"/>
  <c r="I33" i="89" s="1"/>
  <c r="H136" i="89"/>
  <c r="I136" i="89" s="1"/>
  <c r="D136" i="89"/>
  <c r="H86" i="89"/>
  <c r="I86" i="89" s="1"/>
  <c r="D86" i="89"/>
  <c r="H82" i="89"/>
  <c r="I82" i="89" s="1"/>
  <c r="D82" i="89"/>
  <c r="H58" i="89"/>
  <c r="I58" i="89" s="1"/>
  <c r="D58" i="89"/>
  <c r="H35" i="89"/>
  <c r="I35" i="89" s="1"/>
  <c r="D35" i="89"/>
  <c r="H137" i="89"/>
  <c r="I137" i="89" s="1"/>
  <c r="D137" i="89"/>
  <c r="H36" i="89"/>
  <c r="I36" i="89" s="1"/>
  <c r="D36" i="89"/>
  <c r="H60" i="89"/>
  <c r="I60" i="89" s="1"/>
  <c r="D60" i="89"/>
  <c r="D134" i="89"/>
  <c r="H134" i="89"/>
  <c r="I134" i="89" s="1"/>
  <c r="H110" i="89"/>
  <c r="I110" i="89" s="1"/>
  <c r="D110" i="89"/>
  <c r="H83" i="89"/>
  <c r="I83" i="89" s="1"/>
  <c r="D83" i="89"/>
  <c r="H32" i="89"/>
  <c r="I32" i="89" s="1"/>
  <c r="D32" i="89"/>
  <c r="H112" i="89"/>
  <c r="I112" i="89" s="1"/>
  <c r="D112" i="89"/>
  <c r="H133" i="89"/>
  <c r="I133" i="89" s="1"/>
  <c r="D133" i="89"/>
  <c r="F60" i="89" l="1"/>
  <c r="E60" i="89" s="1"/>
  <c r="I87" i="89"/>
  <c r="I88" i="89" s="1"/>
  <c r="D43" i="89"/>
  <c r="D44" i="89" s="1"/>
  <c r="J44" i="89" s="1"/>
  <c r="F109" i="89"/>
  <c r="E109" i="89" s="1"/>
  <c r="F112" i="89"/>
  <c r="E112" i="89" s="1"/>
  <c r="D68" i="89"/>
  <c r="D69" i="89" s="1"/>
  <c r="D70" i="89" s="1"/>
  <c r="D119" i="89"/>
  <c r="D120" i="89" s="1"/>
  <c r="D122" i="89" s="1"/>
  <c r="I138" i="89"/>
  <c r="I139" i="89" s="1"/>
  <c r="I62" i="89"/>
  <c r="I63" i="89" s="1"/>
  <c r="I37" i="89"/>
  <c r="I38" i="89" s="1"/>
  <c r="D95" i="89"/>
  <c r="D96" i="89" s="1"/>
  <c r="D144" i="89"/>
  <c r="D145" i="89" s="1"/>
  <c r="I114" i="89"/>
  <c r="I115" i="89" s="1"/>
  <c r="F57" i="89"/>
  <c r="E57" i="89" s="1"/>
  <c r="D121" i="89" l="1"/>
  <c r="D123" i="89" s="1"/>
  <c r="D71" i="89"/>
  <c r="D72" i="89" s="1"/>
  <c r="D147" i="89"/>
  <c r="D146" i="89"/>
  <c r="D98" i="89"/>
  <c r="D97" i="89"/>
  <c r="D46" i="89"/>
  <c r="D45" i="89"/>
  <c r="I31" i="26" l="1"/>
  <c r="P31" i="26" s="1"/>
  <c r="I34" i="26"/>
  <c r="I38" i="26"/>
  <c r="I39" i="26"/>
  <c r="J39" i="26" s="1"/>
  <c r="Q37" i="26"/>
  <c r="D47" i="89"/>
  <c r="D99" i="89"/>
  <c r="D148" i="89"/>
  <c r="I40" i="26" s="1"/>
  <c r="G72" i="89"/>
  <c r="G123" i="89"/>
  <c r="I37" i="26" l="1"/>
  <c r="K37" i="26" s="1"/>
  <c r="I41" i="26"/>
  <c r="I36" i="26"/>
  <c r="J36" i="26" s="1"/>
  <c r="Q36" i="26" s="1"/>
  <c r="I35" i="26"/>
  <c r="J35" i="26" s="1"/>
  <c r="P32" i="26"/>
  <c r="I33" i="26"/>
  <c r="K33" i="26" s="1"/>
  <c r="P36" i="26"/>
  <c r="K36" i="26"/>
  <c r="K40" i="26"/>
  <c r="P40" i="26"/>
  <c r="G99" i="89"/>
  <c r="P34" i="26"/>
  <c r="G47" i="89"/>
  <c r="G148" i="89"/>
  <c r="P33" i="26" l="1"/>
  <c r="P37" i="26"/>
  <c r="G151" i="89"/>
  <c r="J41" i="26"/>
  <c r="Q41" i="26" s="1"/>
  <c r="P41" i="26"/>
  <c r="Q39" i="26"/>
  <c r="P39" i="26"/>
  <c r="K34" i="26"/>
  <c r="P35" i="26"/>
  <c r="Q35" i="26"/>
  <c r="K38" i="26"/>
  <c r="P38" i="26"/>
  <c r="G155" i="89"/>
  <c r="N14" i="26"/>
  <c r="O14" i="26"/>
  <c r="R14" i="26"/>
  <c r="H14" i="26"/>
  <c r="S65" i="11"/>
  <c r="S66" i="11"/>
  <c r="S67" i="11"/>
  <c r="S68" i="11"/>
  <c r="J63" i="11"/>
  <c r="K63" i="11"/>
  <c r="S63" i="11"/>
  <c r="K64" i="11"/>
  <c r="J65" i="11"/>
  <c r="K65" i="11"/>
  <c r="J66" i="11"/>
  <c r="K66" i="11"/>
  <c r="K67" i="11"/>
  <c r="J68" i="11"/>
  <c r="K68" i="11"/>
  <c r="B59" i="11"/>
  <c r="C59" i="11"/>
  <c r="D59" i="11"/>
  <c r="E59" i="11"/>
  <c r="A59" i="11"/>
  <c r="S62" i="11"/>
  <c r="K62" i="11"/>
  <c r="J62" i="11"/>
  <c r="S61" i="11"/>
  <c r="K61" i="11"/>
  <c r="J61" i="11"/>
  <c r="S60" i="11"/>
  <c r="K60" i="11"/>
  <c r="J60" i="11"/>
  <c r="S57" i="11"/>
  <c r="S58" i="11"/>
  <c r="J57" i="11"/>
  <c r="K57" i="11"/>
  <c r="J58" i="11"/>
  <c r="K58" i="11"/>
  <c r="J56" i="11"/>
  <c r="J55" i="11"/>
  <c r="K55" i="11"/>
  <c r="K56" i="11"/>
  <c r="S55" i="11"/>
  <c r="S56" i="11"/>
  <c r="K54" i="11"/>
  <c r="J54" i="11"/>
  <c r="K53" i="11"/>
  <c r="J53" i="11"/>
  <c r="S54" i="11"/>
  <c r="S53" i="11"/>
  <c r="K72" i="11"/>
  <c r="J72" i="11"/>
  <c r="K71" i="11"/>
  <c r="J71" i="11"/>
  <c r="K70" i="11"/>
  <c r="J70" i="11"/>
  <c r="B69" i="11"/>
  <c r="C69" i="11"/>
  <c r="D69" i="11"/>
  <c r="E69" i="11"/>
  <c r="B52" i="11"/>
  <c r="C52" i="11"/>
  <c r="D52" i="11"/>
  <c r="E52" i="11"/>
  <c r="D19" i="88"/>
  <c r="D18" i="88"/>
  <c r="L72" i="11" s="1"/>
  <c r="S72" i="11" s="1"/>
  <c r="D17" i="88"/>
  <c r="D16" i="88"/>
  <c r="D15" i="88"/>
  <c r="I161" i="26" s="1"/>
  <c r="D12" i="88"/>
  <c r="D14" i="88"/>
  <c r="L71" i="11" s="1"/>
  <c r="S71" i="11" s="1"/>
  <c r="D6" i="88"/>
  <c r="D7" i="88"/>
  <c r="D8" i="88"/>
  <c r="D9" i="88"/>
  <c r="D10" i="88"/>
  <c r="D11" i="88"/>
  <c r="D5" i="88"/>
  <c r="J30" i="11"/>
  <c r="K30" i="11"/>
  <c r="J32" i="11"/>
  <c r="K32" i="11"/>
  <c r="J33" i="11"/>
  <c r="K33" i="11"/>
  <c r="J34" i="11"/>
  <c r="K34" i="11"/>
  <c r="J37" i="11"/>
  <c r="K37" i="11"/>
  <c r="J38" i="11"/>
  <c r="K38" i="11"/>
  <c r="J39" i="11"/>
  <c r="K39" i="11"/>
  <c r="K41" i="26" l="1"/>
  <c r="K39" i="26"/>
  <c r="K35" i="26"/>
  <c r="L70" i="11"/>
  <c r="S70" i="11" s="1"/>
  <c r="P14" i="26"/>
  <c r="S64" i="11"/>
  <c r="U59" i="11" s="1"/>
  <c r="Q59" i="11" s="1"/>
  <c r="I16" i="26" s="1"/>
  <c r="J64" i="11"/>
  <c r="K59" i="11"/>
  <c r="I59" i="11" s="1"/>
  <c r="G16" i="26" s="1"/>
  <c r="K52" i="11"/>
  <c r="I52" i="11" s="1"/>
  <c r="G15" i="26" s="1"/>
  <c r="U52" i="11"/>
  <c r="Q52" i="11" s="1"/>
  <c r="I15" i="26" s="1"/>
  <c r="J52" i="11"/>
  <c r="H52" i="11" s="1"/>
  <c r="F15" i="26" s="1"/>
  <c r="K69" i="11"/>
  <c r="I69" i="11" s="1"/>
  <c r="G17" i="26" s="1"/>
  <c r="J69" i="11"/>
  <c r="H69" i="11" s="1"/>
  <c r="F17" i="26" s="1"/>
  <c r="AB32" i="11"/>
  <c r="S32" i="11"/>
  <c r="S33" i="11"/>
  <c r="S34" i="11"/>
  <c r="S43" i="11"/>
  <c r="S24" i="11"/>
  <c r="J24" i="11"/>
  <c r="X26" i="11"/>
  <c r="AE26" i="11" s="1"/>
  <c r="AF26" i="11" s="1"/>
  <c r="AF28" i="11" s="1"/>
  <c r="E27" i="11" s="1"/>
  <c r="AB25" i="11"/>
  <c r="K24" i="11"/>
  <c r="E35" i="11"/>
  <c r="B23" i="11"/>
  <c r="C23" i="11"/>
  <c r="D23" i="11"/>
  <c r="E23" i="11"/>
  <c r="S15" i="11"/>
  <c r="S16" i="11"/>
  <c r="S17" i="11"/>
  <c r="S19" i="11"/>
  <c r="S21" i="11"/>
  <c r="S22" i="11"/>
  <c r="S14" i="11"/>
  <c r="K16" i="11"/>
  <c r="K17" i="11"/>
  <c r="K19" i="11"/>
  <c r="K21" i="11"/>
  <c r="J22" i="11"/>
  <c r="K22" i="11"/>
  <c r="F17" i="11"/>
  <c r="J17" i="11" s="1"/>
  <c r="F16" i="11"/>
  <c r="J16" i="11" s="1"/>
  <c r="J19" i="11"/>
  <c r="F15" i="11"/>
  <c r="J15" i="11" s="1"/>
  <c r="F14" i="11"/>
  <c r="J14" i="11" s="1"/>
  <c r="F13" i="11"/>
  <c r="K15" i="11"/>
  <c r="K14" i="11"/>
  <c r="U69" i="11" l="1"/>
  <c r="Q69" i="11" s="1"/>
  <c r="I17" i="26" s="1"/>
  <c r="E26" i="11"/>
  <c r="S27" i="11"/>
  <c r="F67" i="11"/>
  <c r="J67" i="11" s="1"/>
  <c r="J59" i="11" s="1"/>
  <c r="H59" i="11" s="1"/>
  <c r="F16" i="26" s="1"/>
  <c r="N16" i="26" s="1"/>
  <c r="O15" i="26"/>
  <c r="O16" i="26"/>
  <c r="K161" i="26"/>
  <c r="M161" i="26" s="1"/>
  <c r="P161" i="26"/>
  <c r="S161" i="26" s="1"/>
  <c r="H17" i="26"/>
  <c r="P15" i="26"/>
  <c r="N15" i="26"/>
  <c r="P16" i="26"/>
  <c r="J35" i="11"/>
  <c r="F36" i="11" s="1"/>
  <c r="J36" i="11" s="1"/>
  <c r="K35" i="11"/>
  <c r="S35" i="11"/>
  <c r="AB26" i="11"/>
  <c r="AB30" i="11" s="1"/>
  <c r="AB33" i="11" s="1"/>
  <c r="AD33" i="11"/>
  <c r="B12" i="11"/>
  <c r="C12" i="11"/>
  <c r="D12" i="11"/>
  <c r="E12" i="11"/>
  <c r="E13" i="11" s="1"/>
  <c r="L9" i="11"/>
  <c r="B8" i="11"/>
  <c r="C8" i="11"/>
  <c r="D8" i="11"/>
  <c r="E8" i="11"/>
  <c r="E10" i="11" l="1"/>
  <c r="J10" i="11" s="1"/>
  <c r="E11" i="11"/>
  <c r="S11" i="11" s="1"/>
  <c r="H16" i="26"/>
  <c r="H15" i="26"/>
  <c r="E25" i="11"/>
  <c r="K13" i="11"/>
  <c r="S13" i="11"/>
  <c r="E18" i="11"/>
  <c r="J13" i="11"/>
  <c r="E9" i="11"/>
  <c r="N17" i="26"/>
  <c r="O17" i="26"/>
  <c r="P17" i="26"/>
  <c r="R17" i="26"/>
  <c r="K48" i="26"/>
  <c r="H48" i="26"/>
  <c r="W2" i="26"/>
  <c r="V2" i="26"/>
  <c r="D31" i="46"/>
  <c r="K10" i="11" l="1"/>
  <c r="S10" i="11"/>
  <c r="K202" i="26"/>
  <c r="M202" i="26" s="1"/>
  <c r="P202" i="26"/>
  <c r="S202" i="26" s="1"/>
  <c r="W258" i="26"/>
  <c r="E15" i="46"/>
  <c r="E16" i="46" s="1"/>
  <c r="F16" i="46" s="1"/>
  <c r="F19" i="46"/>
  <c r="K27" i="11"/>
  <c r="J27" i="11"/>
  <c r="S25" i="11"/>
  <c r="J25" i="11"/>
  <c r="K25" i="11"/>
  <c r="K18" i="11"/>
  <c r="K12" i="11" s="1"/>
  <c r="J18" i="11"/>
  <c r="F21" i="11" s="1"/>
  <c r="J21" i="11" s="1"/>
  <c r="J12" i="11" s="1"/>
  <c r="S18" i="11"/>
  <c r="U12" i="11" s="1"/>
  <c r="K11" i="11"/>
  <c r="J11" i="11"/>
  <c r="K9" i="11"/>
  <c r="J9" i="11"/>
  <c r="S9" i="11"/>
  <c r="U8" i="11" l="1"/>
  <c r="Q8" i="11" s="1"/>
  <c r="I10" i="26" s="1"/>
  <c r="F15" i="46"/>
  <c r="E20" i="46"/>
  <c r="P186" i="26"/>
  <c r="S186" i="26" s="1"/>
  <c r="K186" i="26"/>
  <c r="M186" i="26" s="1"/>
  <c r="S26" i="11"/>
  <c r="G147" i="76"/>
  <c r="K26" i="11"/>
  <c r="J26" i="11"/>
  <c r="J8" i="11"/>
  <c r="H8" i="11" s="1"/>
  <c r="F10" i="26" s="1"/>
  <c r="K8" i="11"/>
  <c r="I8" i="11" s="1"/>
  <c r="G10" i="26" s="1"/>
  <c r="J28" i="33"/>
  <c r="F27" i="33"/>
  <c r="F38" i="33"/>
  <c r="F29" i="11" l="1"/>
  <c r="J29" i="11" s="1"/>
  <c r="I212" i="26"/>
  <c r="O48" i="26" l="1"/>
  <c r="N48" i="26" l="1"/>
  <c r="Q48" i="26"/>
  <c r="P48" i="26"/>
  <c r="F22" i="33"/>
  <c r="D5" i="76" l="1"/>
  <c r="J107" i="76" l="1"/>
  <c r="K107" i="76" s="1"/>
  <c r="L107" i="76" s="1"/>
  <c r="J105" i="76"/>
  <c r="K105" i="76" s="1"/>
  <c r="L105" i="76" s="1"/>
  <c r="J106" i="76"/>
  <c r="K106" i="76" s="1"/>
  <c r="L106" i="76" s="1"/>
  <c r="J108" i="76"/>
  <c r="K108" i="76" s="1"/>
  <c r="L108" i="76" s="1"/>
  <c r="J100" i="76"/>
  <c r="K100" i="76" s="1"/>
  <c r="L100" i="76" s="1"/>
  <c r="J97" i="76"/>
  <c r="K97" i="76" s="1"/>
  <c r="L97" i="76" s="1"/>
  <c r="J99" i="76"/>
  <c r="K99" i="76" s="1"/>
  <c r="L99" i="76" s="1"/>
  <c r="J98" i="76"/>
  <c r="K98" i="76" s="1"/>
  <c r="L98" i="76" s="1"/>
  <c r="J14" i="76"/>
  <c r="K14" i="76" s="1"/>
  <c r="L14" i="76" s="1"/>
  <c r="J15" i="76"/>
  <c r="K15" i="76" s="1"/>
  <c r="L15" i="76" s="1"/>
  <c r="J13" i="76"/>
  <c r="J12" i="76"/>
  <c r="J112" i="76"/>
  <c r="J111" i="76"/>
  <c r="J110" i="76"/>
  <c r="J80" i="76"/>
  <c r="K80" i="76" s="1"/>
  <c r="L80" i="76" s="1"/>
  <c r="J87" i="76"/>
  <c r="K87" i="76" s="1"/>
  <c r="L87" i="76" s="1"/>
  <c r="J91" i="76"/>
  <c r="K91" i="76" s="1"/>
  <c r="L91" i="76" s="1"/>
  <c r="J85" i="76"/>
  <c r="K85" i="76" s="1"/>
  <c r="L85" i="76" s="1"/>
  <c r="J89" i="76"/>
  <c r="K89" i="76" s="1"/>
  <c r="L89" i="76" s="1"/>
  <c r="J88" i="76"/>
  <c r="K88" i="76" s="1"/>
  <c r="L88" i="76" s="1"/>
  <c r="J82" i="76"/>
  <c r="J79" i="76"/>
  <c r="J78" i="76"/>
  <c r="J76" i="76"/>
  <c r="J68" i="76"/>
  <c r="K68" i="76" s="1"/>
  <c r="L68" i="76" s="1"/>
  <c r="J72" i="76"/>
  <c r="K72" i="76" s="1"/>
  <c r="L72" i="76" s="1"/>
  <c r="J60" i="76"/>
  <c r="J64" i="76"/>
  <c r="J53" i="76"/>
  <c r="K53" i="76" s="1"/>
  <c r="L53" i="76" s="1"/>
  <c r="J57" i="76"/>
  <c r="K57" i="76" s="1"/>
  <c r="L57" i="76" s="1"/>
  <c r="J52" i="76"/>
  <c r="K52" i="76" s="1"/>
  <c r="L52" i="76" s="1"/>
  <c r="J49" i="76"/>
  <c r="K49" i="76" s="1"/>
  <c r="L49" i="76" s="1"/>
  <c r="J56" i="76"/>
  <c r="K56" i="76" s="1"/>
  <c r="L56" i="76" s="1"/>
  <c r="J51" i="76"/>
  <c r="K51" i="76" s="1"/>
  <c r="L51" i="76" s="1"/>
  <c r="K55" i="76"/>
  <c r="L55" i="76" s="1"/>
  <c r="K54" i="76"/>
  <c r="L54" i="76" s="1"/>
  <c r="J50" i="76"/>
  <c r="K50" i="76" s="1"/>
  <c r="L50" i="76" s="1"/>
  <c r="J44" i="76"/>
  <c r="K44" i="76" s="1"/>
  <c r="L44" i="76" s="1"/>
  <c r="J46" i="76"/>
  <c r="K46" i="76" s="1"/>
  <c r="L46" i="76" s="1"/>
  <c r="J42" i="76"/>
  <c r="J41" i="76"/>
  <c r="J40" i="76"/>
  <c r="J38" i="76"/>
  <c r="J45" i="76"/>
  <c r="J43" i="76"/>
  <c r="J39" i="76"/>
  <c r="J28" i="76"/>
  <c r="K28" i="76" s="1"/>
  <c r="L28" i="76" s="1"/>
  <c r="J34" i="76"/>
  <c r="K34" i="76" s="1"/>
  <c r="L34" i="76" s="1"/>
  <c r="J33" i="76"/>
  <c r="K33" i="76" s="1"/>
  <c r="L33" i="76" s="1"/>
  <c r="J35" i="76"/>
  <c r="K35" i="76" s="1"/>
  <c r="L35" i="76" s="1"/>
  <c r="J29" i="76"/>
  <c r="J27" i="76"/>
  <c r="J18" i="76"/>
  <c r="K18" i="76" s="1"/>
  <c r="L18" i="76" s="1"/>
  <c r="J19" i="76"/>
  <c r="K19" i="76" s="1"/>
  <c r="L19" i="76" s="1"/>
  <c r="J20" i="76"/>
  <c r="K20" i="76" s="1"/>
  <c r="L20" i="76" s="1"/>
  <c r="J22" i="76"/>
  <c r="K22" i="76" s="1"/>
  <c r="L22" i="76" s="1"/>
  <c r="J23" i="76"/>
  <c r="K23" i="76" s="1"/>
  <c r="L23" i="76" s="1"/>
  <c r="J21" i="76"/>
  <c r="K21" i="76" s="1"/>
  <c r="L21" i="76" s="1"/>
  <c r="M48" i="76" l="1"/>
  <c r="O48" i="76" s="1"/>
  <c r="E121" i="76" s="1"/>
  <c r="M101" i="76"/>
  <c r="O101" i="76" s="1"/>
  <c r="E127" i="76" s="1"/>
  <c r="M93" i="76"/>
  <c r="O93" i="76" s="1"/>
  <c r="E126" i="76" s="1"/>
  <c r="E62" i="75" s="1"/>
  <c r="M84" i="76"/>
  <c r="O84" i="76" s="1"/>
  <c r="E125" i="76" s="1"/>
  <c r="M67" i="76"/>
  <c r="O67" i="76" s="1"/>
  <c r="E123" i="76" s="1"/>
  <c r="E61" i="75" s="1"/>
  <c r="E57" i="75" l="1"/>
  <c r="E63" i="75"/>
  <c r="K195" i="26"/>
  <c r="H195" i="26"/>
  <c r="M195" i="26" l="1"/>
  <c r="T193" i="26" l="1"/>
  <c r="M194" i="26" l="1"/>
  <c r="H125" i="26"/>
  <c r="O204" i="26" l="1"/>
  <c r="N85" i="26"/>
  <c r="O85" i="26"/>
  <c r="H85" i="26"/>
  <c r="H86" i="26" l="1"/>
  <c r="C82" i="11" l="1"/>
  <c r="A82" i="11"/>
  <c r="B123" i="11"/>
  <c r="C123" i="11"/>
  <c r="D123" i="11"/>
  <c r="H58" i="26" l="1"/>
  <c r="E41" i="75"/>
  <c r="M58" i="26" l="1"/>
  <c r="N58" i="26" l="1"/>
  <c r="N57" i="26" l="1"/>
  <c r="O57" i="26"/>
  <c r="R58" i="26"/>
  <c r="Q58" i="26"/>
  <c r="P58" i="26"/>
  <c r="O58" i="26"/>
  <c r="R57" i="26"/>
  <c r="E123" i="11"/>
  <c r="Q57" i="26"/>
  <c r="P57" i="26"/>
  <c r="M57" i="26"/>
  <c r="S58" i="26" l="1"/>
  <c r="S57" i="26"/>
  <c r="E125" i="11"/>
  <c r="E124" i="11"/>
  <c r="K124" i="11" s="1"/>
  <c r="E126" i="11"/>
  <c r="E127" i="11"/>
  <c r="S127" i="11" l="1"/>
  <c r="K127" i="11"/>
  <c r="J127" i="11"/>
  <c r="S125" i="11"/>
  <c r="K125" i="11"/>
  <c r="J125" i="11"/>
  <c r="S126" i="11"/>
  <c r="K126" i="11"/>
  <c r="J126" i="11"/>
  <c r="K123" i="11" l="1"/>
  <c r="A130" i="26"/>
  <c r="A200" i="11"/>
  <c r="A106" i="26"/>
  <c r="A169" i="11"/>
  <c r="K212" i="26"/>
  <c r="H212" i="26"/>
  <c r="H211" i="26"/>
  <c r="O86" i="26"/>
  <c r="N86" i="26"/>
  <c r="R128" i="26"/>
  <c r="P128" i="26"/>
  <c r="O128" i="26"/>
  <c r="N128" i="26"/>
  <c r="H128" i="26"/>
  <c r="H112" i="76"/>
  <c r="I112" i="76" s="1"/>
  <c r="K112" i="76" s="1"/>
  <c r="L112" i="76" s="1"/>
  <c r="H111" i="76"/>
  <c r="I111" i="76" s="1"/>
  <c r="K111" i="76" s="1"/>
  <c r="L111" i="76" s="1"/>
  <c r="H110" i="76"/>
  <c r="I110" i="76" s="1"/>
  <c r="K110" i="76" s="1"/>
  <c r="L110" i="76" s="1"/>
  <c r="H82" i="76"/>
  <c r="I82" i="76" s="1"/>
  <c r="K82" i="76" s="1"/>
  <c r="L82" i="76" s="1"/>
  <c r="H81" i="76"/>
  <c r="I81" i="76" s="1"/>
  <c r="K81" i="76" s="1"/>
  <c r="L81" i="76" s="1"/>
  <c r="H79" i="76"/>
  <c r="I79" i="76" s="1"/>
  <c r="K79" i="76" s="1"/>
  <c r="L79" i="76" s="1"/>
  <c r="H78" i="76"/>
  <c r="I78" i="76" s="1"/>
  <c r="K78" i="76" s="1"/>
  <c r="L78" i="76" s="1"/>
  <c r="H77" i="76"/>
  <c r="I77" i="76" s="1"/>
  <c r="K77" i="76" s="1"/>
  <c r="L77" i="76" s="1"/>
  <c r="H76" i="76"/>
  <c r="I76" i="76" s="1"/>
  <c r="K76" i="76" s="1"/>
  <c r="L76" i="76" s="1"/>
  <c r="H66" i="76"/>
  <c r="H64" i="76"/>
  <c r="I64" i="76" s="1"/>
  <c r="H63" i="76"/>
  <c r="I63" i="76" s="1"/>
  <c r="H62" i="76"/>
  <c r="I62" i="76" s="1"/>
  <c r="H61" i="76"/>
  <c r="I61" i="76" s="1"/>
  <c r="H60" i="76"/>
  <c r="I60" i="76" s="1"/>
  <c r="H47" i="76"/>
  <c r="H45" i="76"/>
  <c r="I45" i="76" s="1"/>
  <c r="K45" i="76" s="1"/>
  <c r="H43" i="76"/>
  <c r="I43" i="76" s="1"/>
  <c r="H42" i="76"/>
  <c r="I42" i="76" s="1"/>
  <c r="H41" i="76"/>
  <c r="I41" i="76" s="1"/>
  <c r="H40" i="76"/>
  <c r="I40" i="76" s="1"/>
  <c r="H39" i="76"/>
  <c r="I39" i="76" s="1"/>
  <c r="H38" i="76"/>
  <c r="I38" i="76" s="1"/>
  <c r="H30" i="76"/>
  <c r="H29" i="76"/>
  <c r="I29" i="76" s="1"/>
  <c r="H27" i="76"/>
  <c r="I27" i="76" s="1"/>
  <c r="H26" i="76"/>
  <c r="I26" i="76" s="1"/>
  <c r="H24" i="76"/>
  <c r="H13" i="76"/>
  <c r="I13" i="76" s="1"/>
  <c r="H12" i="76"/>
  <c r="I12" i="76" s="1"/>
  <c r="K12" i="76" s="1"/>
  <c r="K30" i="76"/>
  <c r="L30" i="76" s="1"/>
  <c r="K3" i="76"/>
  <c r="L3" i="76" s="1"/>
  <c r="K2" i="76"/>
  <c r="L2" i="76" s="1"/>
  <c r="E40" i="75"/>
  <c r="E39" i="75"/>
  <c r="E38" i="75"/>
  <c r="E37" i="75"/>
  <c r="E36" i="75"/>
  <c r="E43" i="75" l="1"/>
  <c r="M75" i="76"/>
  <c r="O75" i="76" s="1"/>
  <c r="E124" i="76" s="1"/>
  <c r="A8" i="11"/>
  <c r="E35" i="75"/>
  <c r="E42" i="75" s="1"/>
  <c r="A123" i="11"/>
  <c r="M212" i="26"/>
  <c r="D42" i="75"/>
  <c r="H29" i="75"/>
  <c r="E58" i="75" l="1"/>
  <c r="E59" i="75"/>
  <c r="C45" i="75"/>
  <c r="A205" i="11"/>
  <c r="A210" i="11"/>
  <c r="A12" i="11"/>
  <c r="L12" i="76"/>
  <c r="L45" i="76"/>
  <c r="K40" i="76"/>
  <c r="L40" i="76" s="1"/>
  <c r="K38" i="76"/>
  <c r="L38" i="76" s="1"/>
  <c r="K43" i="76"/>
  <c r="L43" i="76" s="1"/>
  <c r="K29" i="76"/>
  <c r="L29" i="76" s="1"/>
  <c r="K13" i="76"/>
  <c r="L13" i="76" s="1"/>
  <c r="K41" i="76"/>
  <c r="L41" i="76" s="1"/>
  <c r="K42" i="76"/>
  <c r="L42" i="76" s="1"/>
  <c r="K39" i="76"/>
  <c r="L39" i="76" s="1"/>
  <c r="K26" i="76"/>
  <c r="L26" i="76" s="1"/>
  <c r="K27" i="76"/>
  <c r="L27" i="76" s="1"/>
  <c r="C50" i="75"/>
  <c r="C49" i="75" l="1"/>
  <c r="C57" i="75"/>
  <c r="C55" i="75"/>
  <c r="C60" i="75"/>
  <c r="C62" i="75"/>
  <c r="C58" i="75"/>
  <c r="C54" i="75"/>
  <c r="C56" i="75"/>
  <c r="C61" i="75"/>
  <c r="C53" i="75"/>
  <c r="C63" i="75"/>
  <c r="C47" i="75"/>
  <c r="C52" i="75"/>
  <c r="C48" i="75"/>
  <c r="C51" i="75"/>
  <c r="C59" i="75"/>
  <c r="M11" i="76"/>
  <c r="O11" i="76" s="1"/>
  <c r="E116" i="76" s="1"/>
  <c r="M109" i="76"/>
  <c r="O109" i="76" s="1"/>
  <c r="M37" i="76"/>
  <c r="M31" i="76"/>
  <c r="M25" i="76"/>
  <c r="O25" i="76" s="1"/>
  <c r="E118" i="76" s="1"/>
  <c r="M17" i="76"/>
  <c r="K60" i="76"/>
  <c r="L60" i="76" s="1"/>
  <c r="A23" i="11"/>
  <c r="K64" i="76"/>
  <c r="L64" i="76" s="1"/>
  <c r="K62" i="76"/>
  <c r="L62" i="76" s="1"/>
  <c r="K61" i="76"/>
  <c r="L61" i="76" s="1"/>
  <c r="K63" i="76"/>
  <c r="L63" i="76" s="1"/>
  <c r="E53" i="75" l="1"/>
  <c r="E55" i="75"/>
  <c r="E54" i="75"/>
  <c r="E50" i="75"/>
  <c r="E49" i="75"/>
  <c r="M59" i="76"/>
  <c r="O59" i="76" s="1"/>
  <c r="E122" i="76" s="1"/>
  <c r="E60" i="75" s="1"/>
  <c r="O31" i="76"/>
  <c r="E119" i="76" s="1"/>
  <c r="O37" i="76"/>
  <c r="E120" i="76" s="1"/>
  <c r="E47" i="75"/>
  <c r="O17" i="76"/>
  <c r="E117" i="76" s="1"/>
  <c r="F241" i="11"/>
  <c r="J241" i="11" s="1"/>
  <c r="A69" i="11"/>
  <c r="A52" i="11"/>
  <c r="R54" i="26"/>
  <c r="E51" i="75" l="1"/>
  <c r="E48" i="75"/>
  <c r="E52" i="75"/>
  <c r="E56" i="75"/>
  <c r="J240" i="11"/>
  <c r="O7" i="33"/>
  <c r="H240" i="11" l="1"/>
  <c r="F204" i="26" s="1"/>
  <c r="N204" i="26" s="1"/>
  <c r="L111" i="26"/>
  <c r="R111" i="26" l="1"/>
  <c r="S111" i="26" s="1"/>
  <c r="M111" i="26"/>
  <c r="A215" i="11"/>
  <c r="J148" i="76"/>
  <c r="L148" i="76" l="1"/>
  <c r="G148" i="76" s="1"/>
  <c r="G151" i="76" s="1"/>
  <c r="L42" i="26" s="1"/>
  <c r="A222" i="11"/>
  <c r="E41" i="33"/>
  <c r="R42" i="26" l="1"/>
  <c r="S42" i="26" s="1"/>
  <c r="M42" i="26"/>
  <c r="D7" i="89"/>
  <c r="D8" i="89"/>
  <c r="G69" i="89" l="1"/>
  <c r="F69" i="89" s="1"/>
  <c r="D10" i="89"/>
  <c r="I27" i="26"/>
  <c r="I26" i="26" l="1"/>
  <c r="P26" i="26" s="1"/>
  <c r="K27" i="26"/>
  <c r="P27" i="26"/>
  <c r="G44" i="89"/>
  <c r="F44" i="89" s="1"/>
  <c r="D9" i="89"/>
  <c r="G120" i="89"/>
  <c r="F120" i="89" s="1"/>
  <c r="D12" i="89"/>
  <c r="D11" i="89"/>
  <c r="G96" i="89"/>
  <c r="F96" i="89" s="1"/>
  <c r="D6" i="89"/>
  <c r="D5" i="89"/>
  <c r="D13" i="89"/>
  <c r="G145" i="89"/>
  <c r="F145" i="89" s="1"/>
  <c r="P204" i="26"/>
  <c r="J171" i="11"/>
  <c r="K171" i="11"/>
  <c r="N189" i="26"/>
  <c r="O189" i="26"/>
  <c r="P189" i="26"/>
  <c r="Q189" i="26"/>
  <c r="R189" i="26"/>
  <c r="N11" i="26"/>
  <c r="O11" i="26"/>
  <c r="P11" i="26"/>
  <c r="Q11" i="26"/>
  <c r="R11" i="26"/>
  <c r="N9" i="26"/>
  <c r="Q9" i="26"/>
  <c r="R9" i="26"/>
  <c r="N192" i="26"/>
  <c r="O192" i="26"/>
  <c r="P192" i="26"/>
  <c r="Q192" i="26"/>
  <c r="R192" i="26"/>
  <c r="B181" i="11"/>
  <c r="C181" i="11"/>
  <c r="A181" i="11"/>
  <c r="K26" i="26" l="1"/>
  <c r="D15" i="89"/>
  <c r="S189" i="26"/>
  <c r="T188" i="26" s="1"/>
  <c r="S192" i="26"/>
  <c r="C122" i="11"/>
  <c r="A122" i="11"/>
  <c r="G152" i="89" l="1"/>
  <c r="F151" i="89" s="1"/>
  <c r="P86" i="26" l="1"/>
  <c r="P85" i="26"/>
  <c r="S97" i="11"/>
  <c r="C100" i="11"/>
  <c r="A100" i="11"/>
  <c r="D96" i="11"/>
  <c r="E96" i="11"/>
  <c r="E98" i="11" l="1"/>
  <c r="E99" i="11"/>
  <c r="S124" i="11"/>
  <c r="U123" i="11" s="1"/>
  <c r="K98" i="11" l="1"/>
  <c r="J98" i="11"/>
  <c r="S98" i="11"/>
  <c r="J124" i="11"/>
  <c r="J123" i="11" s="1"/>
  <c r="I123" i="11"/>
  <c r="G67" i="26" s="1"/>
  <c r="Q123" i="11"/>
  <c r="I67" i="26" s="1"/>
  <c r="O67" i="26" l="1"/>
  <c r="P67" i="26"/>
  <c r="H123" i="11"/>
  <c r="F67" i="26" s="1"/>
  <c r="N67" i="26" l="1"/>
  <c r="H67" i="26" l="1"/>
  <c r="C7" i="11" l="1"/>
  <c r="Q12" i="11" l="1"/>
  <c r="I12" i="26" s="1"/>
  <c r="I12" i="11"/>
  <c r="G12" i="26" s="1"/>
  <c r="O9" i="26"/>
  <c r="O12" i="26" l="1"/>
  <c r="P9" i="26" l="1"/>
  <c r="S9" i="26" l="1"/>
  <c r="H189" i="26" l="1"/>
  <c r="K189" i="26"/>
  <c r="M189" i="26" l="1"/>
  <c r="H64" i="26"/>
  <c r="H164" i="26"/>
  <c r="L164" i="26" l="1"/>
  <c r="R164" i="26" s="1"/>
  <c r="S164" i="26" s="1"/>
  <c r="H204" i="26"/>
  <c r="K11" i="26"/>
  <c r="H11" i="26"/>
  <c r="M164" i="26" l="1"/>
  <c r="S11" i="26"/>
  <c r="M11" i="26"/>
  <c r="K192" i="26"/>
  <c r="H192" i="26" l="1"/>
  <c r="H144" i="26"/>
  <c r="T191" i="26" l="1"/>
  <c r="M192" i="26"/>
  <c r="K140" i="26" l="1"/>
  <c r="K144" i="26"/>
  <c r="M144" i="26" s="1"/>
  <c r="O135" i="26" l="1"/>
  <c r="Q135" i="26"/>
  <c r="R135" i="26"/>
  <c r="N135" i="26"/>
  <c r="P135" i="26"/>
  <c r="Q143" i="26"/>
  <c r="R143" i="26"/>
  <c r="O143" i="26"/>
  <c r="N143" i="26"/>
  <c r="P143" i="26"/>
  <c r="Q140" i="26"/>
  <c r="R140" i="26"/>
  <c r="O140" i="26"/>
  <c r="N140" i="26"/>
  <c r="P140" i="26"/>
  <c r="R142" i="26"/>
  <c r="Q142" i="26"/>
  <c r="O142" i="26"/>
  <c r="N142" i="26"/>
  <c r="P142" i="26"/>
  <c r="M140" i="26"/>
  <c r="M142" i="26"/>
  <c r="M143" i="26"/>
  <c r="S142" i="26" l="1"/>
  <c r="S135" i="26"/>
  <c r="S143" i="26"/>
  <c r="S140" i="26"/>
  <c r="P180" i="26" l="1"/>
  <c r="K180" i="26"/>
  <c r="K177" i="26" l="1"/>
  <c r="P177" i="26"/>
  <c r="P184" i="26"/>
  <c r="K184" i="26"/>
  <c r="L184" i="26" l="1"/>
  <c r="R184" i="26" s="1"/>
  <c r="S184" i="26" s="1"/>
  <c r="T183" i="26" s="1"/>
  <c r="L177" i="26"/>
  <c r="R177" i="26" s="1"/>
  <c r="S177" i="26" s="1"/>
  <c r="K182" i="26"/>
  <c r="L182" i="26" s="1"/>
  <c r="R182" i="26" s="1"/>
  <c r="P182" i="26"/>
  <c r="M184" i="26" l="1"/>
  <c r="S182" i="26"/>
  <c r="T181" i="26" s="1"/>
  <c r="M177" i="26"/>
  <c r="M182" i="26"/>
  <c r="O5" i="33"/>
  <c r="O8" i="33"/>
  <c r="O10" i="33"/>
  <c r="O4" i="33"/>
  <c r="H203" i="26"/>
  <c r="O21" i="33" l="1"/>
  <c r="K203" i="26"/>
  <c r="M203" i="26" s="1"/>
  <c r="K106" i="26"/>
  <c r="F13" i="46" l="1"/>
  <c r="F20" i="46" s="1"/>
  <c r="C6" i="46" s="1"/>
  <c r="R89" i="26" l="1"/>
  <c r="Q89" i="26"/>
  <c r="O89" i="26"/>
  <c r="K64" i="26"/>
  <c r="K132" i="26"/>
  <c r="H61" i="26"/>
  <c r="S89" i="26" l="1"/>
  <c r="H70" i="26"/>
  <c r="K70" i="26"/>
  <c r="N61" i="26"/>
  <c r="O61" i="26"/>
  <c r="P61" i="26"/>
  <c r="H63" i="26"/>
  <c r="K63" i="26"/>
  <c r="K130" i="26"/>
  <c r="H66" i="26"/>
  <c r="H106" i="26"/>
  <c r="K66" i="26"/>
  <c r="H133" i="26"/>
  <c r="M133" i="26" s="1"/>
  <c r="M64" i="26"/>
  <c r="H89" i="26" l="1"/>
  <c r="K89" i="26"/>
  <c r="M63" i="26"/>
  <c r="O130" i="26"/>
  <c r="Q130" i="26"/>
  <c r="H130" i="26"/>
  <c r="M130" i="26" s="1"/>
  <c r="N130" i="26"/>
  <c r="P130" i="26"/>
  <c r="H132" i="26"/>
  <c r="M132" i="26" s="1"/>
  <c r="R130" i="26"/>
  <c r="M106" i="26"/>
  <c r="M66" i="26"/>
  <c r="M70" i="26"/>
  <c r="M89" i="26" l="1"/>
  <c r="S130" i="26"/>
  <c r="N63" i="26"/>
  <c r="P63" i="26"/>
  <c r="Q63" i="26"/>
  <c r="R63" i="26"/>
  <c r="O63" i="26"/>
  <c r="T129" i="26" l="1"/>
  <c r="R48" i="26"/>
  <c r="S48" i="26" s="1"/>
  <c r="M48" i="26"/>
  <c r="J170" i="11"/>
  <c r="K170" i="11"/>
  <c r="S63" i="26"/>
  <c r="H47" i="26"/>
  <c r="Q106" i="26"/>
  <c r="R106" i="26"/>
  <c r="P106" i="26"/>
  <c r="O106" i="26"/>
  <c r="N106" i="26"/>
  <c r="K47" i="26"/>
  <c r="S106" i="26" l="1"/>
  <c r="J169" i="11" l="1"/>
  <c r="H147" i="11" s="1"/>
  <c r="F81" i="26" s="1"/>
  <c r="K169" i="11"/>
  <c r="I147" i="11" s="1"/>
  <c r="U169" i="11"/>
  <c r="Q169" i="11" s="1"/>
  <c r="I97" i="26" s="1"/>
  <c r="N49" i="26"/>
  <c r="P49" i="26"/>
  <c r="Q49" i="26"/>
  <c r="O49" i="26"/>
  <c r="R49" i="26"/>
  <c r="G81" i="26" l="1"/>
  <c r="O81" i="26" s="1"/>
  <c r="P97" i="26"/>
  <c r="N81" i="26"/>
  <c r="P54" i="26"/>
  <c r="O54" i="26"/>
  <c r="Q47" i="26"/>
  <c r="S49" i="26"/>
  <c r="H81" i="26" l="1"/>
  <c r="N47" i="26"/>
  <c r="P47" i="26"/>
  <c r="R47" i="26"/>
  <c r="O47" i="26"/>
  <c r="S47" i="26" l="1"/>
  <c r="H54" i="26"/>
  <c r="N54" i="26"/>
  <c r="N10" i="26" l="1"/>
  <c r="P10" i="26"/>
  <c r="O10" i="26"/>
  <c r="A7" i="11" l="1"/>
  <c r="P12" i="26" l="1"/>
  <c r="D6" i="46"/>
  <c r="H12" i="11" l="1"/>
  <c r="F12" i="26" s="1"/>
  <c r="N12" i="26" l="1"/>
  <c r="C29" i="46"/>
  <c r="E258" i="26" l="1"/>
  <c r="V258" i="26" s="1"/>
  <c r="E215" i="26"/>
  <c r="E265" i="26"/>
  <c r="F29" i="46"/>
  <c r="F30" i="46" s="1"/>
  <c r="Y207" i="26" l="1"/>
  <c r="Y205" i="26"/>
  <c r="F31" i="46"/>
  <c r="F32" i="46" s="1"/>
  <c r="E6" i="46" s="1"/>
  <c r="T101" i="26"/>
  <c r="D14" i="33" l="1"/>
  <c r="D15" i="33"/>
  <c r="D16" i="33"/>
  <c r="G16" i="33" s="1"/>
  <c r="D17" i="33"/>
  <c r="D18" i="33"/>
  <c r="D19" i="33"/>
  <c r="E252" i="11"/>
  <c r="E258" i="11"/>
  <c r="E259" i="11" s="1"/>
  <c r="E44" i="11"/>
  <c r="K44" i="11" s="1"/>
  <c r="D28" i="33"/>
  <c r="G28" i="33" s="1"/>
  <c r="K23" i="11" l="1"/>
  <c r="I23" i="11" s="1"/>
  <c r="G13" i="26" s="1"/>
  <c r="O13" i="26" s="1"/>
  <c r="N201" i="26"/>
  <c r="O201" i="26"/>
  <c r="R201" i="26"/>
  <c r="Q201" i="26"/>
  <c r="P201" i="26"/>
  <c r="J44" i="11"/>
  <c r="S44" i="11"/>
  <c r="K28" i="33"/>
  <c r="J259" i="11"/>
  <c r="J258" i="11" s="1"/>
  <c r="H258" i="11" s="1"/>
  <c r="F209" i="26" s="1"/>
  <c r="K259" i="11"/>
  <c r="K258" i="11" s="1"/>
  <c r="I258" i="11" s="1"/>
  <c r="G209" i="26" s="1"/>
  <c r="S259" i="11"/>
  <c r="U258" i="11" s="1"/>
  <c r="Q258" i="11" s="1"/>
  <c r="I209" i="26" s="1"/>
  <c r="E248" i="11"/>
  <c r="E253" i="11"/>
  <c r="E254" i="11"/>
  <c r="Q212" i="26"/>
  <c r="P212" i="26"/>
  <c r="O212" i="26"/>
  <c r="N212" i="26"/>
  <c r="R212" i="26"/>
  <c r="Q211" i="26"/>
  <c r="O211" i="26"/>
  <c r="R211" i="26"/>
  <c r="N211" i="26"/>
  <c r="O208" i="26"/>
  <c r="R208" i="26"/>
  <c r="Q208" i="26"/>
  <c r="P208" i="26"/>
  <c r="N208" i="26"/>
  <c r="N203" i="26"/>
  <c r="Q203" i="26"/>
  <c r="R203" i="26"/>
  <c r="O203" i="26"/>
  <c r="P203" i="26"/>
  <c r="J23" i="11" l="1"/>
  <c r="H23" i="11" s="1"/>
  <c r="F13" i="26" s="1"/>
  <c r="N13" i="26" s="1"/>
  <c r="S208" i="26"/>
  <c r="S203" i="26"/>
  <c r="U23" i="11"/>
  <c r="Q23" i="11" s="1"/>
  <c r="I13" i="26" s="1"/>
  <c r="P13" i="26" s="1"/>
  <c r="S201" i="26"/>
  <c r="E251" i="11"/>
  <c r="E250" i="11"/>
  <c r="S212" i="26"/>
  <c r="K253" i="11"/>
  <c r="S253" i="11"/>
  <c r="J253" i="11"/>
  <c r="S254" i="11"/>
  <c r="J254" i="11"/>
  <c r="K254" i="11"/>
  <c r="E249" i="11"/>
  <c r="N209" i="26"/>
  <c r="O209" i="26"/>
  <c r="P209" i="26"/>
  <c r="H13" i="26" l="1"/>
  <c r="J251" i="11"/>
  <c r="K251" i="11"/>
  <c r="S251" i="11"/>
  <c r="S249" i="11"/>
  <c r="J249" i="11"/>
  <c r="K249" i="11"/>
  <c r="J250" i="11"/>
  <c r="K250" i="11"/>
  <c r="S250" i="11"/>
  <c r="U252" i="11"/>
  <c r="Q252" i="11" s="1"/>
  <c r="J252" i="11"/>
  <c r="H252" i="11" s="1"/>
  <c r="F206" i="26" s="1"/>
  <c r="K252" i="11"/>
  <c r="I252" i="11" s="1"/>
  <c r="C96" i="11"/>
  <c r="S99" i="11"/>
  <c r="U96" i="11" s="1"/>
  <c r="Q96" i="11" s="1"/>
  <c r="I45" i="26" s="1"/>
  <c r="Q235" i="11" l="1"/>
  <c r="I199" i="26" s="1"/>
  <c r="P45" i="26"/>
  <c r="I206" i="26"/>
  <c r="P206" i="26" s="1"/>
  <c r="G206" i="26"/>
  <c r="O206" i="26" s="1"/>
  <c r="J248" i="11"/>
  <c r="N206" i="26"/>
  <c r="K248" i="11"/>
  <c r="U248" i="11"/>
  <c r="Q248" i="11" s="1"/>
  <c r="J97" i="11"/>
  <c r="J99" i="11"/>
  <c r="K99" i="11"/>
  <c r="P199" i="26" l="1"/>
  <c r="I248" i="11"/>
  <c r="G205" i="26" s="1"/>
  <c r="O205" i="26" s="1"/>
  <c r="I235" i="11"/>
  <c r="G199" i="26" s="1"/>
  <c r="O199" i="26" s="1"/>
  <c r="H248" i="11"/>
  <c r="F205" i="26" s="1"/>
  <c r="N205" i="26" s="1"/>
  <c r="H235" i="11"/>
  <c r="F199" i="26" s="1"/>
  <c r="H206" i="26"/>
  <c r="I205" i="26"/>
  <c r="P205" i="26" s="1"/>
  <c r="K97" i="11"/>
  <c r="K96" i="11" s="1"/>
  <c r="I96" i="11" s="1"/>
  <c r="J96" i="11"/>
  <c r="H96" i="11" s="1"/>
  <c r="F45" i="26" s="1"/>
  <c r="N199" i="26" l="1"/>
  <c r="H199" i="26"/>
  <c r="G45" i="26"/>
  <c r="O45" i="26" s="1"/>
  <c r="N45" i="26"/>
  <c r="H205" i="26"/>
  <c r="H209" i="26"/>
  <c r="H45" i="26" l="1"/>
  <c r="F25" i="33"/>
  <c r="J23" i="33"/>
  <c r="F21" i="33"/>
  <c r="G18" i="33"/>
  <c r="D38" i="33"/>
  <c r="D39" i="33" s="1"/>
  <c r="D24" i="33"/>
  <c r="D25" i="33"/>
  <c r="D26" i="33"/>
  <c r="G26" i="33" s="1"/>
  <c r="D27" i="33"/>
  <c r="D29" i="33"/>
  <c r="G29" i="33" s="1"/>
  <c r="D30" i="33"/>
  <c r="K30" i="33" s="1"/>
  <c r="D22" i="33"/>
  <c r="G22" i="33" s="1"/>
  <c r="D21" i="33"/>
  <c r="G19" i="33"/>
  <c r="G17" i="33"/>
  <c r="G15" i="33"/>
  <c r="G14" i="33"/>
  <c r="D13" i="33"/>
  <c r="G13" i="33" s="1"/>
  <c r="K12" i="33"/>
  <c r="D10" i="33"/>
  <c r="D9" i="33"/>
  <c r="D41" i="33"/>
  <c r="G36" i="33"/>
  <c r="G35" i="33"/>
  <c r="G34" i="33"/>
  <c r="G33" i="33"/>
  <c r="G32" i="33"/>
  <c r="D23" i="33"/>
  <c r="G23" i="33" s="1"/>
  <c r="F8" i="33"/>
  <c r="D8" i="33"/>
  <c r="F7" i="33"/>
  <c r="D7" i="33"/>
  <c r="I211" i="26" l="1"/>
  <c r="K23" i="33"/>
  <c r="K13" i="33"/>
  <c r="H11" i="33"/>
  <c r="H31" i="33"/>
  <c r="G27" i="33"/>
  <c r="P211" i="26"/>
  <c r="S211" i="26" s="1"/>
  <c r="T210" i="26" s="1"/>
  <c r="G38" i="33"/>
  <c r="G21" i="33"/>
  <c r="G7" i="33"/>
  <c r="F24" i="33"/>
  <c r="G24" i="33" s="1"/>
  <c r="G9" i="33"/>
  <c r="G39" i="33"/>
  <c r="G10" i="33"/>
  <c r="G25" i="33"/>
  <c r="G8" i="33"/>
  <c r="K43" i="33" l="1"/>
  <c r="K211" i="26"/>
  <c r="M211" i="26" s="1"/>
  <c r="H20" i="33"/>
  <c r="H6" i="33"/>
  <c r="P5" i="11" l="1"/>
  <c r="O5" i="11"/>
  <c r="N5" i="11"/>
  <c r="M5" i="11"/>
  <c r="T234" i="11" l="1"/>
  <c r="T152" i="11"/>
  <c r="T155" i="11"/>
  <c r="T154" i="11"/>
  <c r="T153" i="11"/>
  <c r="T159" i="11"/>
  <c r="T158" i="11"/>
  <c r="T186" i="11"/>
  <c r="T245" i="11"/>
  <c r="T149" i="11"/>
  <c r="T80" i="11"/>
  <c r="T90" i="11"/>
  <c r="T228" i="11"/>
  <c r="T93" i="11"/>
  <c r="T230" i="11"/>
  <c r="T231" i="11"/>
  <c r="T229" i="11"/>
  <c r="T232" i="11"/>
  <c r="T227" i="11"/>
  <c r="T236" i="11"/>
  <c r="T237" i="11"/>
  <c r="T238" i="11"/>
  <c r="T194" i="11"/>
  <c r="T195" i="11"/>
  <c r="T192" i="11"/>
  <c r="T191" i="11"/>
  <c r="T190" i="11"/>
  <c r="T188" i="11"/>
  <c r="T189" i="11"/>
  <c r="T185" i="11"/>
  <c r="T184" i="11"/>
  <c r="T166" i="11"/>
  <c r="T165" i="11"/>
  <c r="T164" i="11"/>
  <c r="T167" i="11"/>
  <c r="T150" i="11"/>
  <c r="T162" i="11"/>
  <c r="T161" i="11"/>
  <c r="T140" i="11"/>
  <c r="T136" i="11"/>
  <c r="T135" i="11"/>
  <c r="T139" i="11"/>
  <c r="T138" i="11"/>
  <c r="T107" i="11"/>
  <c r="T78" i="11"/>
  <c r="T50" i="11"/>
  <c r="T49" i="11"/>
  <c r="T91" i="11"/>
  <c r="T51" i="11"/>
  <c r="T20" i="11"/>
  <c r="T48" i="11"/>
  <c r="T94" i="11"/>
  <c r="T92" i="11"/>
  <c r="T89" i="11"/>
  <c r="T45" i="11"/>
  <c r="T79" i="11"/>
  <c r="T81" i="11"/>
  <c r="T202" i="11"/>
  <c r="T106" i="11"/>
  <c r="T108" i="11"/>
  <c r="T103" i="11"/>
  <c r="T105" i="11"/>
  <c r="T102" i="11"/>
  <c r="T104" i="11"/>
  <c r="T212" i="11"/>
  <c r="T208" i="11"/>
  <c r="T112" i="11"/>
  <c r="T111" i="11"/>
  <c r="T113" i="11"/>
  <c r="T109" i="11"/>
  <c r="T110" i="11"/>
  <c r="T115" i="11"/>
  <c r="T114" i="11"/>
  <c r="T145" i="11"/>
  <c r="T144" i="11"/>
  <c r="T143" i="11"/>
  <c r="T141" i="11"/>
  <c r="T137" i="11"/>
  <c r="T134" i="11"/>
  <c r="T86" i="11"/>
  <c r="T85" i="11"/>
  <c r="T87" i="11"/>
  <c r="T84" i="11"/>
  <c r="T46" i="11"/>
  <c r="T29" i="11"/>
  <c r="T41" i="11"/>
  <c r="T37" i="11"/>
  <c r="T38" i="11"/>
  <c r="T27" i="11"/>
  <c r="T36" i="11"/>
  <c r="T30" i="11"/>
  <c r="T42" i="11"/>
  <c r="T39" i="11"/>
  <c r="T40" i="11"/>
  <c r="T31" i="11"/>
  <c r="T28" i="11"/>
  <c r="T221" i="11"/>
  <c r="T219" i="11"/>
  <c r="T220" i="11"/>
  <c r="T121" i="11"/>
  <c r="T120" i="11"/>
  <c r="T119" i="11"/>
  <c r="T118" i="11"/>
  <c r="T148" i="11"/>
  <c r="T76" i="11"/>
  <c r="T75" i="11"/>
  <c r="T26" i="11"/>
  <c r="T256" i="11"/>
  <c r="T257" i="11"/>
  <c r="T253" i="11"/>
  <c r="T254" i="11"/>
  <c r="T249" i="11"/>
  <c r="T250" i="11"/>
  <c r="T251" i="11"/>
  <c r="T243" i="11"/>
  <c r="T241" i="11"/>
  <c r="T247" i="11"/>
  <c r="T244" i="11"/>
  <c r="T242" i="11"/>
  <c r="T246" i="11"/>
  <c r="T259" i="11"/>
  <c r="V258" i="11" s="1"/>
  <c r="R258" i="11" s="1"/>
  <c r="J209" i="26" s="1"/>
  <c r="T198" i="11"/>
  <c r="V197" i="11" s="1"/>
  <c r="T196" i="11"/>
  <c r="T180" i="11"/>
  <c r="T179" i="11"/>
  <c r="T171" i="11"/>
  <c r="T172" i="11"/>
  <c r="T170" i="11"/>
  <c r="T218" i="11"/>
  <c r="T211" i="11"/>
  <c r="T224" i="11"/>
  <c r="T214" i="11"/>
  <c r="T213" i="11"/>
  <c r="T216" i="11"/>
  <c r="T217" i="11"/>
  <c r="T223" i="11"/>
  <c r="T209" i="11"/>
  <c r="T206" i="11"/>
  <c r="T207" i="11"/>
  <c r="T203" i="11"/>
  <c r="T201" i="11"/>
  <c r="T177" i="11"/>
  <c r="T175" i="11"/>
  <c r="T176" i="11"/>
  <c r="T125" i="11"/>
  <c r="T127" i="11"/>
  <c r="T126" i="11"/>
  <c r="T98" i="11"/>
  <c r="T44" i="11"/>
  <c r="T64" i="11"/>
  <c r="T68" i="11"/>
  <c r="T66" i="11"/>
  <c r="T63" i="11"/>
  <c r="T67" i="11"/>
  <c r="T65" i="11"/>
  <c r="T61" i="11"/>
  <c r="T57" i="11"/>
  <c r="T62" i="11"/>
  <c r="T60" i="11"/>
  <c r="T58" i="11"/>
  <c r="T55" i="11"/>
  <c r="T56" i="11"/>
  <c r="T53" i="11"/>
  <c r="T54" i="11"/>
  <c r="T72" i="11"/>
  <c r="T71" i="11"/>
  <c r="T70" i="11"/>
  <c r="T35" i="11"/>
  <c r="T32" i="11"/>
  <c r="T34" i="11"/>
  <c r="T33" i="11"/>
  <c r="T24" i="11"/>
  <c r="T43" i="11"/>
  <c r="T25" i="11"/>
  <c r="T14" i="11"/>
  <c r="T13" i="11"/>
  <c r="T15" i="11"/>
  <c r="T21" i="11"/>
  <c r="T17" i="11"/>
  <c r="T18" i="11"/>
  <c r="T16" i="11"/>
  <c r="T19" i="11"/>
  <c r="T22" i="11"/>
  <c r="T10" i="11"/>
  <c r="T9" i="11"/>
  <c r="T11" i="11"/>
  <c r="T124" i="11"/>
  <c r="T97" i="11"/>
  <c r="T99" i="11"/>
  <c r="V157" i="11" l="1"/>
  <c r="R157" i="11" s="1"/>
  <c r="J85" i="26" s="1"/>
  <c r="V233" i="11"/>
  <c r="R233" i="11" s="1"/>
  <c r="J198" i="26" s="1"/>
  <c r="V151" i="11"/>
  <c r="R151" i="11" s="1"/>
  <c r="J82" i="26" s="1"/>
  <c r="Q85" i="26"/>
  <c r="K85" i="26"/>
  <c r="V226" i="11"/>
  <c r="R226" i="11" s="1"/>
  <c r="J197" i="26" s="1"/>
  <c r="V235" i="11"/>
  <c r="R235" i="11" s="1"/>
  <c r="J199" i="26" s="1"/>
  <c r="V193" i="11"/>
  <c r="R193" i="11" s="1"/>
  <c r="J125" i="26" s="1"/>
  <c r="V187" i="11"/>
  <c r="R187" i="11" s="1"/>
  <c r="J124" i="26" s="1"/>
  <c r="V163" i="11"/>
  <c r="R163" i="11" s="1"/>
  <c r="J87" i="26" s="1"/>
  <c r="V77" i="11"/>
  <c r="R77" i="11" s="1"/>
  <c r="J20" i="26" s="1"/>
  <c r="V69" i="11"/>
  <c r="R69" i="11" s="1"/>
  <c r="J17" i="26" s="1"/>
  <c r="V47" i="11"/>
  <c r="R47" i="11" s="1"/>
  <c r="J14" i="26" s="1"/>
  <c r="V88" i="11"/>
  <c r="R88" i="11" s="1"/>
  <c r="J25" i="26" s="1"/>
  <c r="V23" i="11"/>
  <c r="R23" i="11" s="1"/>
  <c r="J13" i="26" s="1"/>
  <c r="V160" i="11"/>
  <c r="R160" i="11" s="1"/>
  <c r="J86" i="26" s="1"/>
  <c r="V101" i="11"/>
  <c r="R101" i="11" s="1"/>
  <c r="J52" i="26" s="1"/>
  <c r="V142" i="11"/>
  <c r="R142" i="11" s="1"/>
  <c r="J79" i="26" s="1"/>
  <c r="Q79" i="26" s="1"/>
  <c r="V133" i="11"/>
  <c r="R133" i="11" s="1"/>
  <c r="V83" i="11"/>
  <c r="R83" i="11" s="1"/>
  <c r="J24" i="26" s="1"/>
  <c r="V117" i="11"/>
  <c r="R117" i="11" s="1"/>
  <c r="V147" i="11"/>
  <c r="R147" i="11" s="1"/>
  <c r="J81" i="26" s="1"/>
  <c r="V74" i="11"/>
  <c r="R74" i="11" s="1"/>
  <c r="V252" i="11"/>
  <c r="R252" i="11" s="1"/>
  <c r="V255" i="11"/>
  <c r="R255" i="11" s="1"/>
  <c r="J207" i="26" s="1"/>
  <c r="V248" i="11"/>
  <c r="R248" i="11" s="1"/>
  <c r="Q209" i="26"/>
  <c r="K209" i="26"/>
  <c r="V240" i="11"/>
  <c r="R240" i="11" s="1"/>
  <c r="J204" i="26" s="1"/>
  <c r="V178" i="11"/>
  <c r="R178" i="11" s="1"/>
  <c r="V169" i="11"/>
  <c r="R169" i="11" s="1"/>
  <c r="J97" i="26" s="1"/>
  <c r="V222" i="11"/>
  <c r="R222" i="11" s="1"/>
  <c r="J160" i="26" s="1"/>
  <c r="V215" i="11"/>
  <c r="R215" i="11" s="1"/>
  <c r="V210" i="11"/>
  <c r="R210" i="11" s="1"/>
  <c r="J152" i="26" s="1"/>
  <c r="V205" i="11"/>
  <c r="R205" i="11" s="1"/>
  <c r="J151" i="26" s="1"/>
  <c r="V200" i="11"/>
  <c r="R200" i="11" s="1"/>
  <c r="V123" i="11"/>
  <c r="R123" i="11" s="1"/>
  <c r="J67" i="26" s="1"/>
  <c r="V174" i="11"/>
  <c r="R174" i="11" s="1"/>
  <c r="J110" i="26" s="1"/>
  <c r="V59" i="11"/>
  <c r="R59" i="11" s="1"/>
  <c r="J16" i="26" s="1"/>
  <c r="V52" i="11"/>
  <c r="R52" i="11" s="1"/>
  <c r="J15" i="26" s="1"/>
  <c r="V8" i="11"/>
  <c r="R8" i="11" s="1"/>
  <c r="V12" i="11"/>
  <c r="R12" i="11" s="1"/>
  <c r="J12" i="26" s="1"/>
  <c r="V96" i="11"/>
  <c r="R96" i="11" s="1"/>
  <c r="J45" i="26" s="1"/>
  <c r="Q198" i="26" l="1"/>
  <c r="K198" i="26"/>
  <c r="Q82" i="26"/>
  <c r="K82" i="26"/>
  <c r="L85" i="26"/>
  <c r="R85" i="26" s="1"/>
  <c r="S85" i="26" s="1"/>
  <c r="Q124" i="26"/>
  <c r="K124" i="26"/>
  <c r="Q20" i="26"/>
  <c r="K20" i="26"/>
  <c r="J19" i="26"/>
  <c r="Q19" i="26" s="1"/>
  <c r="Q25" i="26"/>
  <c r="K25" i="26"/>
  <c r="Q31" i="26"/>
  <c r="K31" i="26"/>
  <c r="Q32" i="26"/>
  <c r="K32" i="26"/>
  <c r="L209" i="26"/>
  <c r="R209" i="26" s="1"/>
  <c r="S209" i="26" s="1"/>
  <c r="Q197" i="26"/>
  <c r="K197" i="26"/>
  <c r="Q199" i="26"/>
  <c r="K199" i="26"/>
  <c r="Q87" i="26"/>
  <c r="K87" i="26"/>
  <c r="Q125" i="26"/>
  <c r="K125" i="26"/>
  <c r="J73" i="26"/>
  <c r="Q14" i="26"/>
  <c r="S14" i="26" s="1"/>
  <c r="K14" i="26"/>
  <c r="M14" i="26" s="1"/>
  <c r="Q24" i="26"/>
  <c r="K24" i="26"/>
  <c r="K21" i="26"/>
  <c r="Q21" i="26"/>
  <c r="Q52" i="26"/>
  <c r="K52" i="26"/>
  <c r="Q86" i="26"/>
  <c r="K86" i="26"/>
  <c r="K153" i="26"/>
  <c r="K152" i="26"/>
  <c r="J159" i="26"/>
  <c r="K159" i="26" s="1"/>
  <c r="K151" i="26"/>
  <c r="Q160" i="26"/>
  <c r="K160" i="26"/>
  <c r="Q78" i="26"/>
  <c r="K78" i="26"/>
  <c r="Q110" i="26"/>
  <c r="K110" i="26"/>
  <c r="J113" i="26"/>
  <c r="J61" i="26"/>
  <c r="Q61" i="26" s="1"/>
  <c r="L156" i="26"/>
  <c r="R156" i="26" s="1"/>
  <c r="Q45" i="26"/>
  <c r="K45" i="26"/>
  <c r="J205" i="26"/>
  <c r="Q205" i="26" s="1"/>
  <c r="J206" i="26"/>
  <c r="K206" i="26" s="1"/>
  <c r="R19" i="26"/>
  <c r="J10" i="26"/>
  <c r="Q10" i="26" s="1"/>
  <c r="Q97" i="26"/>
  <c r="K97" i="26"/>
  <c r="Q81" i="26"/>
  <c r="K81" i="26"/>
  <c r="Q12" i="26"/>
  <c r="Q67" i="26"/>
  <c r="Q17" i="26"/>
  <c r="S17" i="26" s="1"/>
  <c r="K79" i="26"/>
  <c r="Q207" i="26"/>
  <c r="K207" i="26"/>
  <c r="Q204" i="26"/>
  <c r="K204" i="26"/>
  <c r="Q156" i="26"/>
  <c r="Q154" i="26"/>
  <c r="Q152" i="26"/>
  <c r="Q155" i="26"/>
  <c r="Q151" i="26"/>
  <c r="Q15" i="26"/>
  <c r="K15" i="26"/>
  <c r="Q16" i="26"/>
  <c r="K16" i="26"/>
  <c r="Q13" i="26"/>
  <c r="K13" i="26"/>
  <c r="I169" i="11"/>
  <c r="L198" i="26" l="1"/>
  <c r="R198" i="26" s="1"/>
  <c r="S198" i="26" s="1"/>
  <c r="M85" i="26"/>
  <c r="L82" i="26"/>
  <c r="R82" i="26" s="1"/>
  <c r="S82" i="26" s="1"/>
  <c r="K19" i="26"/>
  <c r="L20" i="26"/>
  <c r="R20" i="26" s="1"/>
  <c r="S20" i="26" s="1"/>
  <c r="M209" i="26"/>
  <c r="L197" i="26"/>
  <c r="R197" i="26" s="1"/>
  <c r="S197" i="26" s="1"/>
  <c r="L199" i="26"/>
  <c r="R199" i="26" s="1"/>
  <c r="S199" i="26" s="1"/>
  <c r="L124" i="26"/>
  <c r="L87" i="26"/>
  <c r="R87" i="26" s="1"/>
  <c r="S87" i="26" s="1"/>
  <c r="K73" i="26"/>
  <c r="Q73" i="26"/>
  <c r="R21" i="26"/>
  <c r="S21" i="26" s="1"/>
  <c r="Q159" i="26"/>
  <c r="L86" i="26"/>
  <c r="R86" i="26" s="1"/>
  <c r="S86" i="26" s="1"/>
  <c r="L160" i="26"/>
  <c r="R160" i="26" s="1"/>
  <c r="S160" i="26" s="1"/>
  <c r="L159" i="26"/>
  <c r="R159" i="26" s="1"/>
  <c r="L125" i="26"/>
  <c r="R125" i="26" s="1"/>
  <c r="S125" i="26" s="1"/>
  <c r="Q113" i="26"/>
  <c r="K113" i="26"/>
  <c r="L79" i="26"/>
  <c r="R79" i="26" s="1"/>
  <c r="S79" i="26" s="1"/>
  <c r="R78" i="26"/>
  <c r="S78" i="26" s="1"/>
  <c r="L81" i="26"/>
  <c r="R81" i="26" s="1"/>
  <c r="S81" i="26" s="1"/>
  <c r="L24" i="26"/>
  <c r="R24" i="26" s="1"/>
  <c r="S24" i="26" s="1"/>
  <c r="S156" i="26"/>
  <c r="K61" i="26"/>
  <c r="G97" i="26"/>
  <c r="O97" i="26" s="1"/>
  <c r="K205" i="26"/>
  <c r="L205" i="26" s="1"/>
  <c r="R205" i="26" s="1"/>
  <c r="S205" i="26" s="1"/>
  <c r="Q206" i="26"/>
  <c r="L154" i="26"/>
  <c r="L155" i="26"/>
  <c r="R155" i="26" s="1"/>
  <c r="S155" i="26" s="1"/>
  <c r="M156" i="26"/>
  <c r="L206" i="26"/>
  <c r="R206" i="26" s="1"/>
  <c r="L207" i="26"/>
  <c r="R207" i="26" s="1"/>
  <c r="S207" i="26" s="1"/>
  <c r="L204" i="26"/>
  <c r="R204" i="26" s="1"/>
  <c r="S204" i="26" s="1"/>
  <c r="L45" i="26"/>
  <c r="R45" i="26" s="1"/>
  <c r="S45" i="26" s="1"/>
  <c r="L16" i="26"/>
  <c r="R16" i="26" s="1"/>
  <c r="S16" i="26" s="1"/>
  <c r="L15" i="26"/>
  <c r="R15" i="26" s="1"/>
  <c r="S15" i="26" s="1"/>
  <c r="L13" i="26"/>
  <c r="R13" i="26" s="1"/>
  <c r="S13" i="26" s="1"/>
  <c r="Q128" i="26"/>
  <c r="S128" i="26" s="1"/>
  <c r="K17" i="26"/>
  <c r="M17" i="26" s="1"/>
  <c r="K128" i="26"/>
  <c r="M128" i="26" s="1"/>
  <c r="Q153" i="26"/>
  <c r="Q54" i="26"/>
  <c r="S54" i="26" s="1"/>
  <c r="M54" i="26"/>
  <c r="K67" i="26"/>
  <c r="H169" i="11"/>
  <c r="F97" i="26" s="1"/>
  <c r="M198" i="26" l="1"/>
  <c r="M82" i="26"/>
  <c r="R124" i="26"/>
  <c r="S124" i="26" s="1"/>
  <c r="M124" i="26"/>
  <c r="M20" i="26"/>
  <c r="M197" i="26"/>
  <c r="T196" i="26"/>
  <c r="M199" i="26"/>
  <c r="T84" i="26"/>
  <c r="M87" i="26"/>
  <c r="M125" i="26"/>
  <c r="S159" i="26"/>
  <c r="L73" i="26"/>
  <c r="R73" i="26" s="1"/>
  <c r="S73" i="26" s="1"/>
  <c r="T71" i="26" s="1"/>
  <c r="M24" i="26"/>
  <c r="M21" i="26"/>
  <c r="M86" i="26"/>
  <c r="R154" i="26"/>
  <c r="S154" i="26" s="1"/>
  <c r="M154" i="26"/>
  <c r="M160" i="26"/>
  <c r="M159" i="26"/>
  <c r="S206" i="26"/>
  <c r="T200" i="26" s="1"/>
  <c r="T88" i="26"/>
  <c r="M78" i="26"/>
  <c r="L61" i="26"/>
  <c r="R61" i="26" s="1"/>
  <c r="S61" i="26" s="1"/>
  <c r="T60" i="26" s="1"/>
  <c r="T53" i="26"/>
  <c r="M79" i="26"/>
  <c r="M81" i="26"/>
  <c r="L67" i="26"/>
  <c r="R67" i="26" s="1"/>
  <c r="S67" i="26" s="1"/>
  <c r="L113" i="26"/>
  <c r="R113" i="26" s="1"/>
  <c r="S113" i="26" s="1"/>
  <c r="L110" i="26"/>
  <c r="M155" i="26"/>
  <c r="M45" i="26"/>
  <c r="M206" i="26"/>
  <c r="M205" i="26"/>
  <c r="M204" i="26"/>
  <c r="M207" i="26"/>
  <c r="M15" i="26"/>
  <c r="M16" i="26"/>
  <c r="M13" i="26"/>
  <c r="T127" i="26"/>
  <c r="H97" i="26"/>
  <c r="N97" i="26"/>
  <c r="M73" i="26" l="1"/>
  <c r="M113" i="26"/>
  <c r="R110" i="26"/>
  <c r="S110" i="26" s="1"/>
  <c r="T105" i="26" s="1"/>
  <c r="M110" i="26"/>
  <c r="M61" i="26"/>
  <c r="M67" i="26"/>
  <c r="L97" i="26"/>
  <c r="R97" i="26" s="1"/>
  <c r="S97" i="26" s="1"/>
  <c r="T96" i="26" s="1"/>
  <c r="K12" i="26"/>
  <c r="K9" i="26"/>
  <c r="K10" i="26"/>
  <c r="H12" i="26"/>
  <c r="H9" i="26"/>
  <c r="H10" i="26"/>
  <c r="M97" i="26" l="1"/>
  <c r="L12" i="26"/>
  <c r="R12" i="26" s="1"/>
  <c r="S12" i="26" s="1"/>
  <c r="L10" i="26"/>
  <c r="R10" i="26" s="1"/>
  <c r="S10" i="26" s="1"/>
  <c r="T80" i="26"/>
  <c r="M9" i="26"/>
  <c r="K49" i="26"/>
  <c r="M12" i="26" l="1"/>
  <c r="T8" i="26"/>
  <c r="M10" i="26"/>
  <c r="A96" i="11"/>
  <c r="M47" i="26"/>
  <c r="M49" i="26"/>
  <c r="K135" i="26" l="1"/>
  <c r="H135" i="26" l="1"/>
  <c r="M135" i="26" l="1"/>
  <c r="G41" i="33" l="1"/>
  <c r="G40" i="33"/>
  <c r="H37" i="33" l="1"/>
  <c r="H43" i="33" s="1"/>
  <c r="G43" i="33"/>
  <c r="H45" i="33" l="1"/>
  <c r="L43" i="33"/>
  <c r="W262" i="26"/>
  <c r="H171" i="26" l="1"/>
  <c r="L171" i="26" l="1"/>
  <c r="R171" i="26" s="1"/>
  <c r="N171" i="26"/>
  <c r="M171" i="26" l="1"/>
  <c r="S171" i="26"/>
  <c r="T170" i="26" s="1"/>
  <c r="E197" i="11" l="1"/>
  <c r="Q197" i="11" s="1"/>
  <c r="I126" i="26" s="1"/>
  <c r="P126" i="26" s="1"/>
  <c r="I197" i="11" l="1"/>
  <c r="G126" i="26" s="1"/>
  <c r="O126" i="26" s="1"/>
  <c r="H197" i="11"/>
  <c r="F126" i="26" s="1"/>
  <c r="N126" i="26" s="1"/>
  <c r="R197" i="11"/>
  <c r="J126" i="26" s="1"/>
  <c r="Q126" i="26" s="1"/>
  <c r="K126" i="26" l="1"/>
  <c r="H126" i="26"/>
  <c r="L126" i="26" l="1"/>
  <c r="E23" i="46"/>
  <c r="G23" i="46" s="1"/>
  <c r="F6" i="46"/>
  <c r="G3" i="46" s="1"/>
  <c r="R126" i="26" l="1"/>
  <c r="S126" i="26" s="1"/>
  <c r="M126" i="26"/>
  <c r="I74" i="11"/>
  <c r="G19" i="26" s="1"/>
  <c r="O19" i="26" l="1"/>
  <c r="S19" i="26" s="1"/>
  <c r="H19" i="26"/>
  <c r="M19" i="26" s="1"/>
  <c r="T18" i="26" l="1"/>
  <c r="T258" i="26" l="1"/>
  <c r="S258" i="26" s="1"/>
  <c r="E109" i="99" l="1"/>
  <c r="G109" i="99" s="1"/>
  <c r="E130" i="11"/>
  <c r="E131" i="11" s="1"/>
  <c r="S131" i="11" l="1"/>
  <c r="U130" i="11" s="1"/>
  <c r="Q130" i="11" s="1"/>
  <c r="K131" i="11"/>
  <c r="K130" i="11" s="1"/>
  <c r="I130" i="11" s="1"/>
  <c r="T131" i="11"/>
  <c r="V130" i="11" s="1"/>
  <c r="R130" i="11" s="1"/>
  <c r="J131" i="11"/>
  <c r="J130" i="11" s="1"/>
  <c r="H130" i="11" s="1"/>
  <c r="E128" i="11"/>
  <c r="E129" i="11" s="1"/>
  <c r="F69" i="26" l="1"/>
  <c r="J69" i="26"/>
  <c r="Q69" i="26" s="1"/>
  <c r="G69" i="26"/>
  <c r="O69" i="26" s="1"/>
  <c r="I69" i="26"/>
  <c r="P69" i="26" s="1"/>
  <c r="T129" i="11"/>
  <c r="V128" i="11" s="1"/>
  <c r="R128" i="11" s="1"/>
  <c r="J68" i="26" s="1"/>
  <c r="Q68" i="26" s="1"/>
  <c r="S129" i="11"/>
  <c r="U128" i="11" s="1"/>
  <c r="Q128" i="11" s="1"/>
  <c r="I68" i="26" s="1"/>
  <c r="P68" i="26" s="1"/>
  <c r="J129" i="11"/>
  <c r="J128" i="11" s="1"/>
  <c r="H128" i="11" s="1"/>
  <c r="F68" i="26" s="1"/>
  <c r="N68" i="26" s="1"/>
  <c r="K129" i="11"/>
  <c r="K128" i="11" s="1"/>
  <c r="I128" i="11" s="1"/>
  <c r="G68" i="26" s="1"/>
  <c r="O68" i="26" s="1"/>
  <c r="H69" i="26" l="1"/>
  <c r="N69" i="26"/>
  <c r="K69" i="26"/>
  <c r="K68" i="26"/>
  <c r="H68" i="26"/>
  <c r="L69" i="26" l="1"/>
  <c r="M69" i="26" s="1"/>
  <c r="L68" i="26"/>
  <c r="R68" i="26" s="1"/>
  <c r="S68" i="26" s="1"/>
  <c r="R69" i="26" l="1"/>
  <c r="M68" i="26"/>
  <c r="S69" i="26" l="1"/>
  <c r="T62" i="26" l="1"/>
  <c r="E106" i="99" l="1"/>
  <c r="G106" i="99" s="1"/>
  <c r="F123" i="99" l="1"/>
  <c r="G123" i="99" s="1"/>
  <c r="H101" i="99" l="1"/>
  <c r="J206" i="11" s="1"/>
  <c r="J205" i="11" s="1"/>
  <c r="H205" i="11" s="1"/>
  <c r="F151" i="26" s="1"/>
  <c r="H151" i="26" l="1"/>
  <c r="L151" i="26" s="1"/>
  <c r="R151" i="26" s="1"/>
  <c r="N151" i="26"/>
  <c r="M151" i="26" l="1"/>
  <c r="S151" i="26"/>
  <c r="F106" i="11"/>
  <c r="J106" i="11" l="1"/>
  <c r="J101" i="11" s="1"/>
  <c r="H101" i="11" l="1"/>
  <c r="F52" i="26" s="1"/>
  <c r="N52" i="26" s="1"/>
  <c r="I101" i="11"/>
  <c r="G52" i="26" s="1"/>
  <c r="O52" i="26" s="1"/>
  <c r="H52" i="26" l="1"/>
  <c r="L52" i="26" s="1"/>
  <c r="R52" i="26" s="1"/>
  <c r="S52" i="26" s="1"/>
  <c r="M52" i="26"/>
  <c r="T46" i="26" l="1"/>
  <c r="Q4" i="75"/>
  <c r="R27" i="75"/>
  <c r="S27" i="75" s="1"/>
  <c r="Q14" i="75"/>
  <c r="Q8" i="75"/>
  <c r="Q17" i="75"/>
  <c r="Q6" i="75"/>
  <c r="Q18" i="75"/>
  <c r="Q12" i="75"/>
  <c r="R28" i="75"/>
  <c r="S28" i="75" s="1"/>
  <c r="Q5" i="75"/>
  <c r="Q13" i="75"/>
  <c r="Q16" i="75"/>
  <c r="Q7" i="75"/>
  <c r="Q10" i="75"/>
  <c r="Q9" i="75"/>
  <c r="Q11" i="75"/>
  <c r="Q19" i="75"/>
  <c r="Q21" i="75" l="1"/>
  <c r="S38" i="75"/>
  <c r="F25" i="75"/>
  <c r="H25" i="75" s="1"/>
  <c r="H30" i="75" s="1"/>
  <c r="E43" i="26"/>
  <c r="D54" i="75" l="1"/>
  <c r="F54" i="75" s="1"/>
  <c r="D55" i="75"/>
  <c r="F55" i="75" s="1"/>
  <c r="F33" i="26" s="1"/>
  <c r="D56" i="75"/>
  <c r="D57" i="75"/>
  <c r="F57" i="75" s="1"/>
  <c r="F35" i="26" s="1"/>
  <c r="D58" i="75"/>
  <c r="F58" i="75" s="1"/>
  <c r="F36" i="26" s="1"/>
  <c r="D59" i="75"/>
  <c r="F59" i="75" s="1"/>
  <c r="F37" i="26" s="1"/>
  <c r="D60" i="75"/>
  <c r="F60" i="75" s="1"/>
  <c r="F38" i="26" s="1"/>
  <c r="D61" i="75"/>
  <c r="F61" i="75" s="1"/>
  <c r="F39" i="26" s="1"/>
  <c r="D62" i="75"/>
  <c r="F62" i="75" s="1"/>
  <c r="D63" i="75"/>
  <c r="F63" i="75" s="1"/>
  <c r="D50" i="75"/>
  <c r="D51" i="75"/>
  <c r="D53" i="75"/>
  <c r="D52" i="75"/>
  <c r="N43" i="26"/>
  <c r="R43" i="26"/>
  <c r="Q43" i="26"/>
  <c r="O43" i="26"/>
  <c r="D47" i="75"/>
  <c r="D49" i="75"/>
  <c r="D48" i="75"/>
  <c r="F56" i="75"/>
  <c r="F34" i="26" s="1"/>
  <c r="R21" i="75"/>
  <c r="G63" i="75" l="1"/>
  <c r="F41" i="26"/>
  <c r="G62" i="75"/>
  <c r="F40" i="26"/>
  <c r="G57" i="75"/>
  <c r="N39" i="26"/>
  <c r="H39" i="26"/>
  <c r="L39" i="26" s="1"/>
  <c r="G60" i="75"/>
  <c r="G61" i="75"/>
  <c r="N34" i="26"/>
  <c r="G56" i="75"/>
  <c r="G55" i="75"/>
  <c r="F49" i="75"/>
  <c r="F28" i="26" s="1"/>
  <c r="F51" i="75"/>
  <c r="F47" i="75"/>
  <c r="F26" i="26" s="1"/>
  <c r="F53" i="75"/>
  <c r="F32" i="26" s="1"/>
  <c r="F52" i="75"/>
  <c r="F31" i="26" s="1"/>
  <c r="F48" i="75"/>
  <c r="F27" i="26" s="1"/>
  <c r="F50" i="75"/>
  <c r="F29" i="26" s="1"/>
  <c r="G58" i="75"/>
  <c r="G54" i="75"/>
  <c r="G59" i="75"/>
  <c r="G51" i="75" l="1"/>
  <c r="F30" i="26"/>
  <c r="H41" i="26"/>
  <c r="N41" i="26"/>
  <c r="N31" i="26"/>
  <c r="H31" i="26"/>
  <c r="L31" i="26" s="1"/>
  <c r="H29" i="26"/>
  <c r="N29" i="26"/>
  <c r="H28" i="26"/>
  <c r="N28" i="26"/>
  <c r="N33" i="26"/>
  <c r="H33" i="26"/>
  <c r="R39" i="26"/>
  <c r="S39" i="26" s="1"/>
  <c r="N37" i="26"/>
  <c r="O37" i="26"/>
  <c r="G52" i="75"/>
  <c r="G47" i="75"/>
  <c r="G49" i="75"/>
  <c r="H40" i="26"/>
  <c r="L40" i="26" s="1"/>
  <c r="N40" i="26"/>
  <c r="H34" i="26"/>
  <c r="L34" i="26" s="1"/>
  <c r="O35" i="26"/>
  <c r="N35" i="26"/>
  <c r="G48" i="75"/>
  <c r="G50" i="75"/>
  <c r="G53" i="75"/>
  <c r="H36" i="26"/>
  <c r="L36" i="26" s="1"/>
  <c r="N36" i="26"/>
  <c r="H38" i="26"/>
  <c r="L38" i="26" s="1"/>
  <c r="N38" i="26"/>
  <c r="L41" i="26" l="1"/>
  <c r="R41" i="26" s="1"/>
  <c r="S41" i="26" s="1"/>
  <c r="L28" i="26"/>
  <c r="R28" i="26" s="1"/>
  <c r="S28" i="26" s="1"/>
  <c r="L29" i="26"/>
  <c r="R29" i="26" s="1"/>
  <c r="S29" i="26" s="1"/>
  <c r="N30" i="26"/>
  <c r="H30" i="26"/>
  <c r="L30" i="26" s="1"/>
  <c r="M39" i="26"/>
  <c r="H37" i="26"/>
  <c r="R40" i="26"/>
  <c r="H27" i="26"/>
  <c r="L27" i="26" s="1"/>
  <c r="N27" i="26"/>
  <c r="R38" i="26"/>
  <c r="S38" i="26" s="1"/>
  <c r="H35" i="26"/>
  <c r="L35" i="26" s="1"/>
  <c r="R36" i="26"/>
  <c r="S36" i="26" s="1"/>
  <c r="H26" i="26"/>
  <c r="L26" i="26" s="1"/>
  <c r="N26" i="26"/>
  <c r="L33" i="26"/>
  <c r="R33" i="26" s="1"/>
  <c r="S33" i="26" s="1"/>
  <c r="R34" i="26"/>
  <c r="S34" i="26" s="1"/>
  <c r="M29" i="26" l="1"/>
  <c r="M41" i="26"/>
  <c r="M28" i="26"/>
  <c r="L37" i="26"/>
  <c r="R37" i="26" s="1"/>
  <c r="S37" i="26" s="1"/>
  <c r="M34" i="26"/>
  <c r="M33" i="26"/>
  <c r="S40" i="26"/>
  <c r="M37" i="26"/>
  <c r="R26" i="26"/>
  <c r="R27" i="26"/>
  <c r="S27" i="26" s="1"/>
  <c r="R30" i="26"/>
  <c r="S30" i="26" s="1"/>
  <c r="R35" i="26"/>
  <c r="S35" i="26" s="1"/>
  <c r="M38" i="26"/>
  <c r="M40" i="26"/>
  <c r="M36" i="26"/>
  <c r="S26" i="26" l="1"/>
  <c r="R31" i="26"/>
  <c r="S31" i="26" s="1"/>
  <c r="M31" i="26"/>
  <c r="M30" i="26"/>
  <c r="M35" i="26"/>
  <c r="M26" i="26"/>
  <c r="M27" i="26"/>
  <c r="S40" i="75"/>
  <c r="S42" i="75" s="1"/>
  <c r="S44" i="75" s="1"/>
  <c r="I43" i="26" s="1"/>
  <c r="K43" i="26" l="1"/>
  <c r="M43" i="26" s="1"/>
  <c r="P43" i="26"/>
  <c r="S43" i="26" l="1"/>
  <c r="K89" i="11"/>
  <c r="F94" i="11" l="1"/>
  <c r="J94" i="11" s="1"/>
  <c r="J88" i="11" s="1"/>
  <c r="H88" i="11" s="1"/>
  <c r="F25" i="26" s="1"/>
  <c r="N25" i="26" s="1"/>
  <c r="N32" i="26"/>
  <c r="K88" i="11"/>
  <c r="I88" i="11" s="1"/>
  <c r="G25" i="26" s="1"/>
  <c r="O25" i="26" s="1"/>
  <c r="H25" i="26" l="1"/>
  <c r="O32" i="26"/>
  <c r="H32" i="26"/>
  <c r="L32" i="26" s="1"/>
  <c r="R32" i="26" s="1"/>
  <c r="L25" i="26" l="1"/>
  <c r="R25" i="26" s="1"/>
  <c r="Z23" i="26" s="1"/>
  <c r="S32" i="26"/>
  <c r="M32" i="26"/>
  <c r="Z24" i="26" l="1"/>
  <c r="Z25" i="26" s="1"/>
  <c r="S25" i="26"/>
  <c r="T23" i="26" s="1"/>
  <c r="M25" i="26"/>
  <c r="E12" i="99"/>
  <c r="G12" i="99" s="1"/>
  <c r="Z31" i="26" l="1"/>
  <c r="E13" i="99"/>
  <c r="G13" i="99" s="1"/>
  <c r="E8" i="99" l="1"/>
  <c r="G8" i="99" s="1"/>
  <c r="F34" i="99" s="1"/>
  <c r="G34" i="99" s="1"/>
  <c r="H5" i="99" l="1"/>
  <c r="F145" i="26" s="1"/>
  <c r="H145" i="26" s="1"/>
  <c r="N145" i="26" l="1"/>
  <c r="L145" i="26"/>
  <c r="R145" i="26" s="1"/>
  <c r="S145" i="26" l="1"/>
  <c r="M145" i="26"/>
  <c r="H153" i="26"/>
  <c r="N153" i="26" l="1"/>
  <c r="R153" i="26"/>
  <c r="S153" i="26" l="1"/>
  <c r="M153" i="26"/>
  <c r="F18" i="118" l="1"/>
  <c r="G17" i="118" s="1"/>
  <c r="G19" i="118" s="1"/>
  <c r="G21" i="118" s="1"/>
  <c r="G41" i="118" s="1"/>
  <c r="R41" i="118" s="1"/>
  <c r="T41" i="118" l="1"/>
  <c r="F180" i="26"/>
  <c r="H180" i="26" l="1"/>
  <c r="N180" i="26"/>
  <c r="S42" i="118"/>
  <c r="R42" i="118"/>
  <c r="L180" i="26" l="1"/>
  <c r="R180" i="26" s="1"/>
  <c r="M180" i="26" l="1"/>
  <c r="S180" i="26"/>
  <c r="T179" i="26" l="1"/>
  <c r="G86" i="125" l="1"/>
  <c r="E126" i="99"/>
  <c r="E127" i="99" s="1"/>
  <c r="G127" i="99" s="1"/>
  <c r="O68" i="125" l="1"/>
  <c r="O69" i="125" s="1"/>
  <c r="E122" i="26" s="1"/>
  <c r="G88" i="125"/>
  <c r="E123" i="26" s="1"/>
  <c r="E182" i="11" s="1"/>
  <c r="E183" i="11" s="1"/>
  <c r="E128" i="99"/>
  <c r="G128" i="99" s="1"/>
  <c r="G126" i="99"/>
  <c r="E244" i="94"/>
  <c r="J183" i="11" l="1"/>
  <c r="K183" i="11"/>
  <c r="K182" i="11" s="1"/>
  <c r="I182" i="11" s="1"/>
  <c r="G123" i="26" s="1"/>
  <c r="O123" i="26" s="1"/>
  <c r="S183" i="11"/>
  <c r="U182" i="11" s="1"/>
  <c r="Q182" i="11" s="1"/>
  <c r="I123" i="26" s="1"/>
  <c r="T183" i="11"/>
  <c r="V182" i="11" s="1"/>
  <c r="R182" i="11" s="1"/>
  <c r="J123" i="26" s="1"/>
  <c r="Q123" i="26" s="1"/>
  <c r="Q122" i="26"/>
  <c r="N122" i="26"/>
  <c r="O122" i="26"/>
  <c r="O213" i="26" s="1"/>
  <c r="G48" i="33" s="1"/>
  <c r="H48" i="33" s="1"/>
  <c r="P122" i="26"/>
  <c r="R122" i="26"/>
  <c r="E245" i="94"/>
  <c r="E125" i="99" s="1"/>
  <c r="E132" i="99"/>
  <c r="G132" i="99" s="1"/>
  <c r="Q213" i="26" l="1"/>
  <c r="G50" i="33" s="1"/>
  <c r="H50" i="33" s="1"/>
  <c r="S122" i="26"/>
  <c r="P123" i="26"/>
  <c r="K123" i="26"/>
  <c r="F184" i="11"/>
  <c r="J184" i="11" s="1"/>
  <c r="J182" i="11" s="1"/>
  <c r="H182" i="11" s="1"/>
  <c r="F123" i="26" s="1"/>
  <c r="E129" i="99"/>
  <c r="G129" i="99" s="1"/>
  <c r="G125" i="99"/>
  <c r="E131" i="99"/>
  <c r="G131" i="99" s="1"/>
  <c r="N123" i="26" l="1"/>
  <c r="H123" i="26"/>
  <c r="H124" i="99"/>
  <c r="F211" i="11" s="1"/>
  <c r="J211" i="11" s="1"/>
  <c r="J210" i="11" s="1"/>
  <c r="H210" i="11" s="1"/>
  <c r="F152" i="26" s="1"/>
  <c r="L123" i="26" l="1"/>
  <c r="R123" i="26" s="1"/>
  <c r="S123" i="26" s="1"/>
  <c r="T114" i="26" s="1"/>
  <c r="N152" i="26"/>
  <c r="H152" i="26"/>
  <c r="M123" i="26" l="1"/>
  <c r="L152" i="26"/>
  <c r="R152" i="26" s="1"/>
  <c r="S152" i="26" s="1"/>
  <c r="M152" i="26" l="1"/>
  <c r="T134" i="26"/>
  <c r="Z135" i="26"/>
  <c r="AA135" i="26" l="1"/>
  <c r="AC135" i="26"/>
  <c r="AE135" i="26" s="1"/>
  <c r="N165" i="26"/>
  <c r="N213" i="26" l="1"/>
  <c r="G47" i="33" s="1"/>
  <c r="H165" i="26"/>
  <c r="L165" i="26" l="1"/>
  <c r="R165" i="26" s="1"/>
  <c r="H47" i="33"/>
  <c r="M165" i="26" l="1"/>
  <c r="S165" i="26"/>
  <c r="T163" i="26" l="1"/>
  <c r="P20" i="120"/>
  <c r="P23" i="120" s="1"/>
  <c r="S23" i="120" s="1"/>
  <c r="T23" i="120" s="1"/>
  <c r="I168" i="26" l="1"/>
  <c r="S24" i="120"/>
  <c r="R24" i="120"/>
  <c r="K168" i="26" l="1"/>
  <c r="L168" i="26" s="1"/>
  <c r="R168" i="26" s="1"/>
  <c r="R213" i="26" s="1"/>
  <c r="G51" i="33" s="1"/>
  <c r="H51" i="33" s="1"/>
  <c r="AD164" i="26"/>
  <c r="P168" i="26"/>
  <c r="P213" i="26" s="1"/>
  <c r="G49" i="33" s="1"/>
  <c r="M168" i="26" l="1"/>
  <c r="AE164" i="26"/>
  <c r="AD169" i="26"/>
  <c r="S168" i="26"/>
  <c r="T167" i="26" s="1"/>
  <c r="T213" i="26" s="1"/>
  <c r="T215" i="26" s="1"/>
  <c r="S215" i="26" s="1"/>
  <c r="H49" i="33"/>
  <c r="H53" i="33" s="1"/>
  <c r="G53" i="33"/>
  <c r="L45" i="33" s="1"/>
  <c r="S213" i="26"/>
  <c r="AG169" i="26" l="1"/>
  <c r="AI169" i="26" s="1"/>
  <c r="AE169" i="26"/>
  <c r="G58" i="33"/>
  <c r="H58" i="33" s="1"/>
  <c r="J54" i="33"/>
  <c r="J55" i="33" s="1"/>
  <c r="J56" i="33" s="1"/>
  <c r="G56" i="33" s="1"/>
  <c r="G57" i="33"/>
  <c r="H57" i="33" s="1"/>
  <c r="F55" i="33"/>
  <c r="H56" i="33" l="1"/>
  <c r="F56" i="33"/>
  <c r="F59" i="33" s="1"/>
  <c r="F61" i="33" s="1"/>
  <c r="G55" i="33"/>
  <c r="G59" i="33" l="1"/>
  <c r="H55" i="33"/>
  <c r="T5" i="26"/>
  <c r="G61" i="33"/>
  <c r="U178" i="26" l="1"/>
  <c r="V178" i="26" s="1"/>
  <c r="U198" i="26"/>
  <c r="V198" i="26" s="1"/>
  <c r="U156" i="26"/>
  <c r="V156" i="26" s="1"/>
  <c r="U25" i="26"/>
  <c r="V25" i="26" s="1"/>
  <c r="U117" i="26"/>
  <c r="V117" i="26" s="1"/>
  <c r="U10" i="26"/>
  <c r="V10" i="26" s="1"/>
  <c r="U146" i="26"/>
  <c r="V146" i="26" s="1"/>
  <c r="U49" i="26"/>
  <c r="V49" i="26" s="1"/>
  <c r="U27" i="26"/>
  <c r="V27" i="26" s="1"/>
  <c r="U176" i="26"/>
  <c r="V176" i="26" s="1"/>
  <c r="U77" i="26"/>
  <c r="V77" i="26" s="1"/>
  <c r="U199" i="26"/>
  <c r="V199" i="26" s="1"/>
  <c r="U74" i="26"/>
  <c r="V74" i="26" s="1"/>
  <c r="U51" i="26"/>
  <c r="V51" i="26" s="1"/>
  <c r="U75" i="26"/>
  <c r="V75" i="26" s="1"/>
  <c r="U147" i="26"/>
  <c r="V147" i="26" s="1"/>
  <c r="U108" i="26"/>
  <c r="V108" i="26" s="1"/>
  <c r="U124" i="26"/>
  <c r="V124" i="26" s="1"/>
  <c r="U143" i="26"/>
  <c r="V143" i="26" s="1"/>
  <c r="U78" i="26"/>
  <c r="V78" i="26" s="1"/>
  <c r="U116" i="26"/>
  <c r="V116" i="26" s="1"/>
  <c r="U48" i="26"/>
  <c r="V48" i="26" s="1"/>
  <c r="U141" i="26"/>
  <c r="V141" i="26" s="1"/>
  <c r="U160" i="26"/>
  <c r="V160" i="26" s="1"/>
  <c r="U133" i="26"/>
  <c r="V133" i="26" s="1"/>
  <c r="U151" i="26"/>
  <c r="V151" i="26" s="1"/>
  <c r="U184" i="26"/>
  <c r="V184" i="26" s="1"/>
  <c r="U118" i="26"/>
  <c r="V118" i="26" s="1"/>
  <c r="U153" i="26"/>
  <c r="V153" i="26" s="1"/>
  <c r="U103" i="26"/>
  <c r="V103" i="26" s="1"/>
  <c r="U145" i="26"/>
  <c r="V145" i="26" s="1"/>
  <c r="U203" i="26"/>
  <c r="V203" i="26" s="1"/>
  <c r="U212" i="26"/>
  <c r="V212" i="26" s="1"/>
  <c r="U86" i="26"/>
  <c r="V86" i="26" s="1"/>
  <c r="U32" i="26"/>
  <c r="V32" i="26" s="1"/>
  <c r="U87" i="26"/>
  <c r="V87" i="26" s="1"/>
  <c r="U158" i="26"/>
  <c r="V158" i="26" s="1"/>
  <c r="U115" i="26"/>
  <c r="V115" i="26" s="1"/>
  <c r="U31" i="26"/>
  <c r="V31" i="26" s="1"/>
  <c r="U9" i="26"/>
  <c r="V9" i="26" s="1"/>
  <c r="U123" i="26"/>
  <c r="V123" i="26" s="1"/>
  <c r="U82" i="26"/>
  <c r="V82" i="26" s="1"/>
  <c r="U94" i="26"/>
  <c r="V94" i="26" s="1"/>
  <c r="U40" i="26"/>
  <c r="V40" i="26" s="1"/>
  <c r="U148" i="26"/>
  <c r="V148" i="26" s="1"/>
  <c r="U102" i="26"/>
  <c r="V102" i="26" s="1"/>
  <c r="U41" i="26"/>
  <c r="V41" i="26" s="1"/>
  <c r="U59" i="26"/>
  <c r="V59" i="26" s="1"/>
  <c r="U66" i="26"/>
  <c r="V66" i="26" s="1"/>
  <c r="U20" i="26"/>
  <c r="V20" i="26" s="1"/>
  <c r="U112" i="26"/>
  <c r="V112" i="26" s="1"/>
  <c r="U14" i="26"/>
  <c r="V14" i="26" s="1"/>
  <c r="U205" i="26"/>
  <c r="V205" i="26" s="1"/>
  <c r="Z205" i="26" s="1"/>
  <c r="AB205" i="26" s="1"/>
  <c r="U97" i="26"/>
  <c r="V97" i="26" s="1"/>
  <c r="U208" i="26"/>
  <c r="V208" i="26" s="1"/>
  <c r="U100" i="26"/>
  <c r="V100" i="26" s="1"/>
  <c r="U159" i="26"/>
  <c r="V159" i="26" s="1"/>
  <c r="U52" i="26"/>
  <c r="V52" i="26" s="1"/>
  <c r="U139" i="26"/>
  <c r="V139" i="26" s="1"/>
  <c r="U44" i="26"/>
  <c r="V44" i="26" s="1"/>
  <c r="U169" i="26"/>
  <c r="V169" i="26" s="1"/>
  <c r="U76" i="26"/>
  <c r="V76" i="26" s="1"/>
  <c r="U120" i="26"/>
  <c r="V120" i="26" s="1"/>
  <c r="U172" i="26"/>
  <c r="V172" i="26" s="1"/>
  <c r="U37" i="26"/>
  <c r="V37" i="26" s="1"/>
  <c r="U58" i="26"/>
  <c r="V58" i="26" s="1"/>
  <c r="U68" i="26"/>
  <c r="V68" i="26" s="1"/>
  <c r="U137" i="26"/>
  <c r="V137" i="26" s="1"/>
  <c r="U95" i="26"/>
  <c r="V95" i="26" s="1"/>
  <c r="U135" i="26"/>
  <c r="V135" i="26" s="1"/>
  <c r="U190" i="26"/>
  <c r="V190" i="26" s="1"/>
  <c r="U175" i="26"/>
  <c r="V175" i="26" s="1"/>
  <c r="U180" i="26"/>
  <c r="V180" i="26" s="1"/>
  <c r="W179" i="26" s="1"/>
  <c r="U165" i="26"/>
  <c r="V165" i="26" s="1"/>
  <c r="U155" i="26"/>
  <c r="V155" i="26" s="1"/>
  <c r="U56" i="26"/>
  <c r="V56" i="26" s="1"/>
  <c r="U35" i="26"/>
  <c r="V35" i="26" s="1"/>
  <c r="U106" i="26"/>
  <c r="V106" i="26" s="1"/>
  <c r="U211" i="26"/>
  <c r="V211" i="26" s="1"/>
  <c r="U99" i="26"/>
  <c r="V99" i="26" s="1"/>
  <c r="U140" i="26"/>
  <c r="V140" i="26" s="1"/>
  <c r="U65" i="26"/>
  <c r="V65" i="26" s="1"/>
  <c r="U186" i="26"/>
  <c r="V186" i="26" s="1"/>
  <c r="U70" i="26"/>
  <c r="V70" i="26" s="1"/>
  <c r="U177" i="26"/>
  <c r="V177" i="26" s="1"/>
  <c r="U64" i="26"/>
  <c r="V64" i="26" s="1"/>
  <c r="U173" i="26"/>
  <c r="V173" i="26" s="1"/>
  <c r="U157" i="26"/>
  <c r="V157" i="26" s="1"/>
  <c r="U202" i="26"/>
  <c r="V202" i="26" s="1"/>
  <c r="U72" i="26"/>
  <c r="V72" i="26" s="1"/>
  <c r="U111" i="26"/>
  <c r="V111" i="26" s="1"/>
  <c r="U164" i="26"/>
  <c r="V164" i="26" s="1"/>
  <c r="U19" i="26"/>
  <c r="V19" i="26" s="1"/>
  <c r="U38" i="26"/>
  <c r="V38" i="26" s="1"/>
  <c r="U47" i="26"/>
  <c r="V47" i="26" s="1"/>
  <c r="U81" i="26"/>
  <c r="V81" i="26" s="1"/>
  <c r="U89" i="26"/>
  <c r="V89" i="26" s="1"/>
  <c r="U144" i="26"/>
  <c r="V144" i="26" s="1"/>
  <c r="U42" i="26"/>
  <c r="V42" i="26" s="1"/>
  <c r="U93" i="26"/>
  <c r="V93" i="26" s="1"/>
  <c r="U57" i="26"/>
  <c r="V57" i="26" s="1"/>
  <c r="U136" i="26"/>
  <c r="V136" i="26" s="1"/>
  <c r="U92" i="26"/>
  <c r="V92" i="26" s="1"/>
  <c r="U206" i="26"/>
  <c r="U28" i="26"/>
  <c r="V28" i="26" s="1"/>
  <c r="U194" i="26"/>
  <c r="V194" i="26" s="1"/>
  <c r="U125" i="26"/>
  <c r="V125" i="26" s="1"/>
  <c r="U174" i="26"/>
  <c r="V174" i="26" s="1"/>
  <c r="U85" i="26"/>
  <c r="V85" i="26" s="1"/>
  <c r="U39" i="26"/>
  <c r="V39" i="26" s="1"/>
  <c r="U192" i="26"/>
  <c r="V192" i="26" s="1"/>
  <c r="W191" i="26" s="1"/>
  <c r="U204" i="26"/>
  <c r="V204" i="26" s="1"/>
  <c r="U54" i="26"/>
  <c r="V54" i="26" s="1"/>
  <c r="U45" i="26"/>
  <c r="V45" i="26" s="1"/>
  <c r="U30" i="26"/>
  <c r="V30" i="26" s="1"/>
  <c r="U50" i="26"/>
  <c r="V50" i="26" s="1"/>
  <c r="U138" i="26"/>
  <c r="V138" i="26" s="1"/>
  <c r="U98" i="26"/>
  <c r="V98" i="26" s="1"/>
  <c r="U79" i="26"/>
  <c r="V79" i="26" s="1"/>
  <c r="U109" i="26"/>
  <c r="V109" i="26" s="1"/>
  <c r="U34" i="26"/>
  <c r="V34" i="26" s="1"/>
  <c r="U91" i="26"/>
  <c r="V91" i="26" s="1"/>
  <c r="U182" i="26"/>
  <c r="V182" i="26" s="1"/>
  <c r="W181" i="26" s="1"/>
  <c r="U209" i="26"/>
  <c r="V209" i="26" s="1"/>
  <c r="U130" i="26"/>
  <c r="V130" i="26" s="1"/>
  <c r="U73" i="26"/>
  <c r="V73" i="26" s="1"/>
  <c r="U13" i="26"/>
  <c r="V13" i="26" s="1"/>
  <c r="U171" i="26"/>
  <c r="V171" i="26" s="1"/>
  <c r="U107" i="26"/>
  <c r="V107" i="26" s="1"/>
  <c r="U22" i="26"/>
  <c r="V22" i="26" s="1"/>
  <c r="U166" i="26"/>
  <c r="V166" i="26" s="1"/>
  <c r="U67" i="26"/>
  <c r="V67" i="26" s="1"/>
  <c r="U187" i="26"/>
  <c r="V187" i="26" s="1"/>
  <c r="U24" i="26"/>
  <c r="V24" i="26" s="1"/>
  <c r="U207" i="26"/>
  <c r="V207" i="26" s="1"/>
  <c r="Z207" i="26" s="1"/>
  <c r="AB207" i="26" s="1"/>
  <c r="U195" i="26"/>
  <c r="V195" i="26" s="1"/>
  <c r="U132" i="26"/>
  <c r="V132" i="26" s="1"/>
  <c r="U29" i="26"/>
  <c r="V29" i="26" s="1"/>
  <c r="U119" i="26"/>
  <c r="V119" i="26" s="1"/>
  <c r="U152" i="26"/>
  <c r="V152" i="26" s="1"/>
  <c r="U63" i="26"/>
  <c r="V63" i="26" s="1"/>
  <c r="U149" i="26"/>
  <c r="V149" i="26" s="1"/>
  <c r="U43" i="26"/>
  <c r="V43" i="26" s="1"/>
  <c r="U131" i="26"/>
  <c r="V131" i="26" s="1"/>
  <c r="U83" i="26"/>
  <c r="V83" i="26" s="1"/>
  <c r="U189" i="26"/>
  <c r="V189" i="26" s="1"/>
  <c r="U128" i="26"/>
  <c r="V128" i="26" s="1"/>
  <c r="W127" i="26" s="1"/>
  <c r="U161" i="26"/>
  <c r="V161" i="26" s="1"/>
  <c r="U61" i="26"/>
  <c r="V61" i="26" s="1"/>
  <c r="W60" i="26" s="1"/>
  <c r="U36" i="26"/>
  <c r="V36" i="26" s="1"/>
  <c r="U69" i="26"/>
  <c r="V69" i="26" s="1"/>
  <c r="U122" i="26"/>
  <c r="V122" i="26" s="1"/>
  <c r="U15" i="26"/>
  <c r="V15" i="26" s="1"/>
  <c r="U185" i="26"/>
  <c r="V185" i="26" s="1"/>
  <c r="U16" i="26"/>
  <c r="V16" i="26" s="1"/>
  <c r="U90" i="26"/>
  <c r="V90" i="26" s="1"/>
  <c r="U113" i="26"/>
  <c r="V113" i="26" s="1"/>
  <c r="U17" i="26"/>
  <c r="V17" i="26" s="1"/>
  <c r="U154" i="26"/>
  <c r="V154" i="26" s="1"/>
  <c r="U11" i="26"/>
  <c r="V11" i="26" s="1"/>
  <c r="U26" i="26"/>
  <c r="V26" i="26" s="1"/>
  <c r="U55" i="26"/>
  <c r="V55" i="26" s="1"/>
  <c r="U201" i="26"/>
  <c r="V201" i="26" s="1"/>
  <c r="U21" i="26"/>
  <c r="V21" i="26" s="1"/>
  <c r="U12" i="26"/>
  <c r="V12" i="26" s="1"/>
  <c r="U110" i="26"/>
  <c r="V110" i="26" s="1"/>
  <c r="U104" i="26"/>
  <c r="V104" i="26" s="1"/>
  <c r="U126" i="26"/>
  <c r="V126" i="26" s="1"/>
  <c r="U121" i="26"/>
  <c r="V121" i="26" s="1"/>
  <c r="U150" i="26"/>
  <c r="V150" i="26" s="1"/>
  <c r="U197" i="26"/>
  <c r="V197" i="26" s="1"/>
  <c r="U142" i="26"/>
  <c r="V142" i="26" s="1"/>
  <c r="U33" i="26"/>
  <c r="V33" i="26" s="1"/>
  <c r="U168" i="26"/>
  <c r="V168" i="26" s="1"/>
  <c r="H59" i="33"/>
  <c r="G63" i="33"/>
  <c r="H63" i="33" s="1"/>
  <c r="W170" i="26" l="1"/>
  <c r="W88" i="26"/>
  <c r="W167" i="26"/>
  <c r="W193" i="26"/>
  <c r="W163" i="26"/>
  <c r="W46" i="26"/>
  <c r="W210" i="26"/>
  <c r="W62" i="26"/>
  <c r="W53" i="26"/>
  <c r="W105" i="26"/>
  <c r="W18" i="26"/>
  <c r="W23" i="26"/>
  <c r="W134" i="26"/>
  <c r="W96" i="26"/>
  <c r="W114" i="26"/>
  <c r="W183" i="26"/>
  <c r="W80" i="26"/>
  <c r="W101" i="26"/>
  <c r="W129" i="26"/>
  <c r="W196" i="26"/>
  <c r="W84" i="26"/>
  <c r="W71" i="26"/>
  <c r="V206" i="26"/>
  <c r="W200" i="26" s="1"/>
  <c r="AB206" i="26"/>
  <c r="W8" i="26"/>
  <c r="W188" i="26"/>
  <c r="V213" i="26" l="1"/>
  <c r="W213" i="26"/>
  <c r="X129" i="26" s="1"/>
  <c r="X188" i="26" l="1"/>
  <c r="X170" i="26"/>
  <c r="X96" i="26"/>
  <c r="X114" i="26"/>
  <c r="X80" i="26"/>
  <c r="X101" i="26"/>
  <c r="X196" i="26"/>
  <c r="X18" i="26"/>
  <c r="X134" i="26"/>
  <c r="X62" i="26"/>
  <c r="X84" i="26"/>
  <c r="X71" i="26"/>
  <c r="X183" i="26"/>
  <c r="X8" i="26"/>
  <c r="X213" i="26"/>
  <c r="F22" i="46"/>
  <c r="W215" i="26"/>
  <c r="V215" i="26" s="1"/>
  <c r="W261" i="26"/>
  <c r="W263" i="26" s="1"/>
  <c r="W265" i="26" s="1"/>
  <c r="V265" i="26" s="1"/>
  <c r="X210" i="26"/>
  <c r="X167" i="26"/>
  <c r="X127" i="26"/>
  <c r="X181" i="26"/>
  <c r="X163" i="26"/>
  <c r="X46" i="26"/>
  <c r="X88" i="26"/>
  <c r="X60" i="26"/>
  <c r="X193" i="26"/>
  <c r="X191" i="26"/>
  <c r="X179" i="26"/>
  <c r="X53" i="26"/>
  <c r="X23" i="26"/>
  <c r="X105" i="26"/>
  <c r="X200" i="26"/>
  <c r="F23" i="46" l="1"/>
  <c r="F24" i="46" s="1"/>
  <c r="G22" i="46"/>
  <c r="H22" i="4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tc={5C912E93-383F-41E9-A8CE-7C7DD4F44698}</author>
  </authors>
  <commentList>
    <comment ref="F243" authorId="0" shapeId="0" xr:uid="{5C912E93-383F-41E9-A8CE-7C7DD4F446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Divido x 1,5 ya que reutilizo dicho material
</t>
      </text>
    </comment>
  </commentList>
</comments>
</file>

<file path=xl/sharedStrings.xml><?xml version="1.0" encoding="utf-8"?>
<sst xmlns="http://schemas.openxmlformats.org/spreadsheetml/2006/main" count="6977" uniqueCount="2475">
  <si>
    <t>USD</t>
  </si>
  <si>
    <t>DÓLAR MEP</t>
  </si>
  <si>
    <t>VALOR ESTIMADO REFERENCIA COSTO</t>
  </si>
  <si>
    <t>Coef Complej</t>
  </si>
  <si>
    <t>m2</t>
  </si>
  <si>
    <t>USD/ m2</t>
  </si>
  <si>
    <t>SUPERFICIE CUBIERTA</t>
  </si>
  <si>
    <t>Valor estimado precio de venta</t>
  </si>
  <si>
    <t>Lote</t>
  </si>
  <si>
    <t>SS</t>
  </si>
  <si>
    <t>Pisada</t>
  </si>
  <si>
    <t>Patios</t>
  </si>
  <si>
    <t>Balcones y semicubiertos</t>
  </si>
  <si>
    <t>Superficie</t>
  </si>
  <si>
    <t>Cubierto</t>
  </si>
  <si>
    <t xml:space="preserve">Semicubierto </t>
  </si>
  <si>
    <t>%</t>
  </si>
  <si>
    <t>Subtotal</t>
  </si>
  <si>
    <t>PB</t>
  </si>
  <si>
    <t>SM</t>
  </si>
  <si>
    <t>usd/m2</t>
  </si>
  <si>
    <t>OBRA CIVIL</t>
  </si>
  <si>
    <t>PROVISIONES</t>
  </si>
  <si>
    <t>ARQ CLARIN</t>
  </si>
  <si>
    <t>Fecha</t>
  </si>
  <si>
    <t>(se toma MODELO 6 Vivienda en altura)</t>
  </si>
  <si>
    <t>$/ m2</t>
  </si>
  <si>
    <t>usd/m2 sin provisiones</t>
  </si>
  <si>
    <t>OK</t>
  </si>
  <si>
    <t>Listo</t>
  </si>
  <si>
    <t>DÓLAR BNA</t>
  </si>
  <si>
    <t>IN</t>
  </si>
  <si>
    <t xml:space="preserve">Estimado </t>
  </si>
  <si>
    <t>C</t>
  </si>
  <si>
    <t>Chekear (Inventado)</t>
  </si>
  <si>
    <t>R</t>
  </si>
  <si>
    <t>Sin hacer/revisar</t>
  </si>
  <si>
    <t>MATERIAL</t>
  </si>
  <si>
    <t>M. DE OBRA</t>
  </si>
  <si>
    <t>PRESUPUESTO OBRA CIVIL</t>
  </si>
  <si>
    <t xml:space="preserve"> </t>
  </si>
  <si>
    <t>Descripción</t>
  </si>
  <si>
    <t>U</t>
  </si>
  <si>
    <t>Cant</t>
  </si>
  <si>
    <t>Otro</t>
  </si>
  <si>
    <t>Corralón</t>
  </si>
  <si>
    <t>Total</t>
  </si>
  <si>
    <t>Albañil</t>
  </si>
  <si>
    <t>EQUIPOS</t>
  </si>
  <si>
    <t>P.Unit</t>
  </si>
  <si>
    <t xml:space="preserve">P unit </t>
  </si>
  <si>
    <t>E</t>
  </si>
  <si>
    <t>TAREAS PRELIMINARES</t>
  </si>
  <si>
    <r>
      <t xml:space="preserve">Limpieza y preparación del terreno </t>
    </r>
    <r>
      <rPr>
        <i/>
        <sz val="10"/>
        <color rgb="FFFF0000"/>
        <rFont val="Calibri"/>
        <family val="2"/>
        <scheme val="minor"/>
      </rPr>
      <t>- No cotiza</t>
    </r>
  </si>
  <si>
    <t>gl</t>
  </si>
  <si>
    <t>Topógrafo - Visita de obra replanteo</t>
  </si>
  <si>
    <t>un</t>
  </si>
  <si>
    <r>
      <t xml:space="preserve">Cartel de Obra </t>
    </r>
    <r>
      <rPr>
        <i/>
        <sz val="10"/>
        <color rgb="FFFF0000"/>
        <rFont val="Calibri"/>
        <family val="2"/>
        <scheme val="minor"/>
      </rPr>
      <t>- No cotiza</t>
    </r>
  </si>
  <si>
    <r>
      <t>Cerco de obra perimetral</t>
    </r>
    <r>
      <rPr>
        <i/>
        <sz val="10"/>
        <color rgb="FFFF0000"/>
        <rFont val="Calibri"/>
        <family val="2"/>
        <scheme val="minor"/>
      </rPr>
      <t xml:space="preserve"> - En chapa C25 + Concertina + Porton corredizo </t>
    </r>
  </si>
  <si>
    <t>ml</t>
  </si>
  <si>
    <t>Alquiler de baños quimicos y duchas portatiles</t>
  </si>
  <si>
    <t>mes</t>
  </si>
  <si>
    <t>Conexión pilar y luz de obra + Tablero de obra</t>
  </si>
  <si>
    <t>Conexión agua de obra, tanque + bomba</t>
  </si>
  <si>
    <t>Tramite luz de obra, certificado luz de obra (2) y medición PAT</t>
  </si>
  <si>
    <t>MOVIMIENTO DE TIERRA, COMPACTACION Y RELLENO</t>
  </si>
  <si>
    <t>m3</t>
  </si>
  <si>
    <r>
      <t xml:space="preserve">Demolición y retiro de fundaciones existentes </t>
    </r>
    <r>
      <rPr>
        <i/>
        <sz val="10"/>
        <color rgb="FFFF0000"/>
        <rFont val="Calibri"/>
        <family val="2"/>
        <scheme val="minor"/>
      </rPr>
      <t>- No cotiza</t>
    </r>
  </si>
  <si>
    <t>ESTRUCTURA RESISTENTE</t>
  </si>
  <si>
    <t>Hormigón de limpieza - e: 10 cm</t>
  </si>
  <si>
    <t>Sistema de apuntalamiento y reapuntalamiento</t>
  </si>
  <si>
    <t xml:space="preserve">Ensayos de Hormigon por etapas de hormigonado </t>
  </si>
  <si>
    <t>u</t>
  </si>
  <si>
    <t>Permiso de estacionamiento de bomba de hormigón a contramano</t>
  </si>
  <si>
    <t>ALBAÑILERIA</t>
  </si>
  <si>
    <t>Muro tipo 1 (interiores, divisorio de locales) e: 10 cm - Ladrillo hueco 08 x 18 x 33</t>
  </si>
  <si>
    <t xml:space="preserve">Muro tipo 2 y 3 (medianera, caja de escaleras y ascensor) e: 15 cm - Ladrillo hueco portante 12 x 19 x 33 </t>
  </si>
  <si>
    <t>AISLACIONES</t>
  </si>
  <si>
    <r>
      <t xml:space="preserve">Aislación hidrófuga horizontal (baños) - </t>
    </r>
    <r>
      <rPr>
        <i/>
        <sz val="10"/>
        <color rgb="FFFF0000"/>
        <rFont val="Calibri"/>
        <family val="2"/>
        <scheme val="minor"/>
      </rPr>
      <t>Inc. membrana geotextil</t>
    </r>
    <r>
      <rPr>
        <sz val="10"/>
        <color rgb="FFFF0000"/>
        <rFont val="Calibri"/>
        <family val="2"/>
        <scheme val="minor"/>
      </rPr>
      <t xml:space="preserve"> y 35% en concepto de babetas</t>
    </r>
  </si>
  <si>
    <t xml:space="preserve">Aislación térmica en terrazas, eps e:2,00 cm </t>
  </si>
  <si>
    <t>Barrera de vapor</t>
  </si>
  <si>
    <r>
      <t xml:space="preserve">Membrana asfaltica geotextil 4mm </t>
    </r>
    <r>
      <rPr>
        <i/>
        <sz val="10"/>
        <color rgb="FFFF0000"/>
        <rFont val="Calibri"/>
        <family val="2"/>
        <scheme val="minor"/>
      </rPr>
      <t>- Balcones y azotea - Inc. 20% en concepto de babetas</t>
    </r>
  </si>
  <si>
    <t>CUBIERTAS</t>
  </si>
  <si>
    <t>Babeta de chapa galvanizada en medianeras</t>
  </si>
  <si>
    <t>REVOQUES</t>
  </si>
  <si>
    <t xml:space="preserve">Revoque Grueso Impermeable Exterior </t>
  </si>
  <si>
    <r>
      <t xml:space="preserve">Revoque Grueso Impermeable Exterior a mas de 3m </t>
    </r>
    <r>
      <rPr>
        <i/>
        <sz val="10"/>
        <color rgb="FFFF0000"/>
        <rFont val="Calibri"/>
        <family val="2"/>
        <scheme val="minor"/>
      </rPr>
      <t>- Medianero y fachadas</t>
    </r>
  </si>
  <si>
    <t>Revoque Grueso Interior + fino</t>
  </si>
  <si>
    <t>Yeso interior</t>
  </si>
  <si>
    <t xml:space="preserve">Arista en yeso </t>
  </si>
  <si>
    <t xml:space="preserve">Provisión y colocación de guardacanto yesero </t>
  </si>
  <si>
    <t>Revoque Grueso Impermeable Interior b/ revestimiento</t>
  </si>
  <si>
    <t>CONTRAPISOS Y CARPETAS</t>
  </si>
  <si>
    <t>Contrapiso de cascotes en azoteas c/pendiente e: 15 cm</t>
  </si>
  <si>
    <t>ESCALERAS</t>
  </si>
  <si>
    <r>
      <t xml:space="preserve">Colocación de porcelanato en UF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</si>
  <si>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porcelanato en baños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</si>
  <si>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 xml:space="preserve">Provisión y ejecución de alisado de cemento rodillado </t>
  </si>
  <si>
    <r>
      <t>Colocación de baldoson de vereda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</si>
  <si>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>Revestimiento en baños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</si>
  <si>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t>CIELORRASOS</t>
  </si>
  <si>
    <t>Cajon en junta tomada placa STD</t>
  </si>
  <si>
    <t>Buña perimetral / Cantoneras</t>
  </si>
  <si>
    <t>Aplicado de yeso interior</t>
  </si>
  <si>
    <t xml:space="preserve">Buña en yeso </t>
  </si>
  <si>
    <t>H° Visto - Maquillaje para recibir pintura</t>
  </si>
  <si>
    <t>PINTURA</t>
  </si>
  <si>
    <t>Esmalte sintético en puertas placa, chapa y de ascensor</t>
  </si>
  <si>
    <r>
      <t xml:space="preserve">Amure de puertas placa </t>
    </r>
    <r>
      <rPr>
        <i/>
        <sz val="10"/>
        <color rgb="FFFF0000"/>
        <rFont val="Calibri"/>
        <family val="2"/>
        <scheme val="minor"/>
      </rPr>
      <t xml:space="preserve"> Provisión a cargo del comitente</t>
    </r>
  </si>
  <si>
    <r>
      <t xml:space="preserve">Amure de puertas de chapa e ingresos depto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</si>
  <si>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>Amure de premarcos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</si>
  <si>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Amure Puertas de Ascensor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</si>
  <si>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INSTALACION ELECTRICA</t>
  </si>
  <si>
    <t>Tendido y cableado boca tomacorriente</t>
  </si>
  <si>
    <t xml:space="preserve">Boca de TV - Cañería c/cable testigo </t>
  </si>
  <si>
    <t xml:space="preserve">Boca de PE - Cañería c/cable testigo </t>
  </si>
  <si>
    <t>Montante eléctrica</t>
  </si>
  <si>
    <t xml:space="preserve">Montante TV + Tablero TV - Cañería c/cable testigo </t>
  </si>
  <si>
    <t>Montante PE + Tablero PE- Cañería c/cable testigo</t>
  </si>
  <si>
    <r>
      <t>Colocación de teclas simples y/o combinadas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</si>
  <si>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r>
      <t xml:space="preserve">Colocación de pulsadores, circulación + timbres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</si>
  <si>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artefactos en espacios comunes y balcones </t>
    </r>
    <r>
      <rPr>
        <i/>
        <sz val="10"/>
        <color rgb="FFFF0000"/>
        <rFont val="Calibri"/>
        <family val="2"/>
        <scheme val="minor"/>
      </rPr>
      <t>- Provisión a cargo del comitente. NO incluye provisión, ni colocación de artefactos en interior de UF</t>
    </r>
  </si>
  <si>
    <t>Puesta a tierra, jabalinas y cableados</t>
  </si>
  <si>
    <t>Certificado DCI para servicios generales</t>
  </si>
  <si>
    <t>INSTALACION SANITARIA, GRIFERIA Y SANITARIOS</t>
  </si>
  <si>
    <t>INSTALACION CLOACAL</t>
  </si>
  <si>
    <t>Act</t>
  </si>
  <si>
    <t>Incidencia</t>
  </si>
  <si>
    <t>Cloaca</t>
  </si>
  <si>
    <t>AF Y AC</t>
  </si>
  <si>
    <t>Montantes, remate y ventilación a los 4 vientos</t>
  </si>
  <si>
    <t>Incendio</t>
  </si>
  <si>
    <t>INSTALACION PLUVIAL</t>
  </si>
  <si>
    <t>INSTALACION AGUA FRIA Y CALIENTE</t>
  </si>
  <si>
    <t>INSTALACION DESCARGA SPLIT</t>
  </si>
  <si>
    <r>
      <t xml:space="preserve">Armado y conexionado de desagües </t>
    </r>
    <r>
      <rPr>
        <sz val="10"/>
        <rFont val="Calibri"/>
        <family val="2"/>
        <scheme val="minor"/>
      </rPr>
      <t>AA.CC</t>
    </r>
  </si>
  <si>
    <t>INSTALACION DE INCENDIO</t>
  </si>
  <si>
    <t>INSTALACION DE GAS</t>
  </si>
  <si>
    <r>
      <t xml:space="preserve">Ascensores </t>
    </r>
    <r>
      <rPr>
        <i/>
        <sz val="10"/>
        <color rgb="FFFF0000"/>
        <rFont val="Calibri"/>
        <family val="2"/>
        <scheme val="minor"/>
      </rPr>
      <t>- Provisión y colocación a cargo del comitente</t>
    </r>
  </si>
  <si>
    <t>TRABAJOS COMPLEMENTARIOS</t>
  </si>
  <si>
    <t>AYUDA DE GREMIOS</t>
  </si>
  <si>
    <t>Sereno</t>
  </si>
  <si>
    <t>Tecnico de seguridad &amp; higiene permanente en Obra</t>
  </si>
  <si>
    <t>Higiene y seguridad Res 51</t>
  </si>
  <si>
    <t>Protecciones y defensas</t>
  </si>
  <si>
    <t>Ayuda de gremios</t>
  </si>
  <si>
    <t>Limpieza final de Obra</t>
  </si>
  <si>
    <t>Fletes</t>
  </si>
  <si>
    <t>Volquetes</t>
  </si>
  <si>
    <t>JEFATURA DE OBRA</t>
  </si>
  <si>
    <t>Movilidad y viaticos</t>
  </si>
  <si>
    <t>SUB TOTAL OBRA GRIS</t>
  </si>
  <si>
    <t>VALOR x m2 (sin IVA)</t>
  </si>
  <si>
    <t>kg</t>
  </si>
  <si>
    <t>CONDUCTOS Y VENTILACIONES</t>
  </si>
  <si>
    <t>Rejilla De Ventilacion 20 X 20 Fija - Retorno / Extraccion</t>
  </si>
  <si>
    <t>Sombrerete en chapa prepintada C25</t>
  </si>
  <si>
    <t>Rejilla de ventilación fija 60 x 25 cm - Sala de maquinas de Asc.</t>
  </si>
  <si>
    <t>CARPINTERIAS</t>
  </si>
  <si>
    <t>BOMBAS, TANQUES, ACS</t>
  </si>
  <si>
    <t>Rowa Tango SFL 20 220V</t>
  </si>
  <si>
    <t>Bomba motormech 1 HP (E-MO-042) Monofasica</t>
  </si>
  <si>
    <t>Rowa 5/1 Sanitaria Tempo 220 V</t>
  </si>
  <si>
    <t>Tanque T2500 tricapa 2500 lts 145 D x 189 ALT</t>
  </si>
  <si>
    <t>Tanque T5000 tricapa 5000 lts 193 D x 209 ALT</t>
  </si>
  <si>
    <t>Generador ACS Diva Acqua 22 F GN</t>
  </si>
  <si>
    <t>Kit bomba p/gener. ACS</t>
  </si>
  <si>
    <t>Kit acces. p/tanque acum. ACS TAG</t>
  </si>
  <si>
    <t>Kit codo y tubo Coax 60/100 Term ANTIV</t>
  </si>
  <si>
    <t>Vaso expansion ACS 50 Lts</t>
  </si>
  <si>
    <t>TTQ Solar Presur. 300 Lts. Tanque Acum.</t>
  </si>
  <si>
    <t>TTQ Solar Presur. 300 Lts. Estructura</t>
  </si>
  <si>
    <t>TTQ Solar Presur. 300 Lts. Heat pipe pok x 10</t>
  </si>
  <si>
    <t>Ruptor de vacio</t>
  </si>
  <si>
    <t>Válvula tipo teatro de 2" BSP x 1 3/4"INC.</t>
  </si>
  <si>
    <t>Manguera sintética RYL JET sello IRAM de 1 3/4" x 25 mts.</t>
  </si>
  <si>
    <t>Lanza de 1 3/4" con boquilla chorro PLENO Y NIEBLA regulable</t>
  </si>
  <si>
    <t>Válvula de Impulsión para Piso o Pared c/anilla giratoria de 2 1/2"</t>
  </si>
  <si>
    <t>Zumbador Ext. 10 x 10 cm</t>
  </si>
  <si>
    <t>Detector movimiento C/base Bco. 1200W 180º</t>
  </si>
  <si>
    <r>
      <t xml:space="preserve">Interruptor unipolar simple blanco marca Kalop </t>
    </r>
    <r>
      <rPr>
        <i/>
        <sz val="10"/>
        <color rgb="FFFF0000"/>
        <rFont val="Calibri"/>
        <family val="2"/>
        <scheme val="minor"/>
      </rPr>
      <t xml:space="preserve">- Completo, bastidor + tapa + interruptor + tapon </t>
    </r>
  </si>
  <si>
    <r>
      <t>Toma doble blanco 10 A marca Kalop</t>
    </r>
    <r>
      <rPr>
        <i/>
        <sz val="10"/>
        <color rgb="FFFF0000"/>
        <rFont val="Calibri"/>
        <family val="2"/>
        <scheme val="minor"/>
      </rPr>
      <t xml:space="preserve"> - Completo, bastidor + tapa + tomacorriente</t>
    </r>
  </si>
  <si>
    <r>
      <t xml:space="preserve">Toma blanco 10A marca Kalop </t>
    </r>
    <r>
      <rPr>
        <i/>
        <sz val="10"/>
        <color rgb="FFFF0000"/>
        <rFont val="Calibri"/>
        <family val="2"/>
        <scheme val="minor"/>
      </rPr>
      <t>- Completo, bastidor + tapa + tomacorriente + tapon</t>
    </r>
  </si>
  <si>
    <r>
      <t xml:space="preserve">Toma blanco 20A marca Kalop </t>
    </r>
    <r>
      <rPr>
        <i/>
        <sz val="10"/>
        <color rgb="FFFF0000"/>
        <rFont val="Calibri"/>
        <family val="2"/>
        <scheme val="minor"/>
      </rPr>
      <t>- Completo, bastidor + tapa + tomacorriente + tapon</t>
    </r>
  </si>
  <si>
    <r>
      <t xml:space="preserve">Toma para TV ciego marca Kalop </t>
    </r>
    <r>
      <rPr>
        <i/>
        <sz val="10"/>
        <color rgb="FFFF0000"/>
        <rFont val="Calibri"/>
        <family val="2"/>
        <scheme val="minor"/>
      </rPr>
      <t>- Completo, bastidor + tapa + tapones</t>
    </r>
  </si>
  <si>
    <t>SUB TOTAL PROVISIONES</t>
  </si>
  <si>
    <t>SUBTOTAL OBRA GRIS</t>
  </si>
  <si>
    <t>SUBTOTAL PROVISIONES</t>
  </si>
  <si>
    <t>TOTAL</t>
  </si>
  <si>
    <t>Los valores no contemplan IVA</t>
  </si>
  <si>
    <t>MATERIALES</t>
  </si>
  <si>
    <t>MANO DE OBRA</t>
  </si>
  <si>
    <t>PU</t>
  </si>
  <si>
    <t>OTRO</t>
  </si>
  <si>
    <t>CORRALON</t>
  </si>
  <si>
    <t>ES</t>
  </si>
  <si>
    <t>OF</t>
  </si>
  <si>
    <t>MED</t>
  </si>
  <si>
    <t>AY</t>
  </si>
  <si>
    <t>ALB</t>
  </si>
  <si>
    <t>M.Obra topografo</t>
  </si>
  <si>
    <t>d</t>
  </si>
  <si>
    <t>M.Obra ayudante</t>
  </si>
  <si>
    <t xml:space="preserve">Consumibles </t>
  </si>
  <si>
    <t>Chapa acanalada C25</t>
  </si>
  <si>
    <t>Perfiles UPN 100</t>
  </si>
  <si>
    <t xml:space="preserve">Bastidor para porton corredizo - Perfil 40 x 40 x 2 </t>
  </si>
  <si>
    <t>Riel Roma 174 e: 2,1 mm. 53 x 60 x 6000</t>
  </si>
  <si>
    <t>Carro acero 174 4 ruedas puertas portones Ø45mm</t>
  </si>
  <si>
    <t xml:space="preserve">Autoperforantes punta mecha 14 x 2 </t>
  </si>
  <si>
    <t>Rollo Concertina</t>
  </si>
  <si>
    <t>rol</t>
  </si>
  <si>
    <t>Consumibles</t>
  </si>
  <si>
    <t>M.Obra</t>
  </si>
  <si>
    <t>Chapa acanalada C25 - Reutilizado (estimado 3 usos)</t>
  </si>
  <si>
    <t>Largo</t>
  </si>
  <si>
    <t xml:space="preserve">Ancho </t>
  </si>
  <si>
    <t>perim</t>
  </si>
  <si>
    <t>h</t>
  </si>
  <si>
    <t>Puntales</t>
  </si>
  <si>
    <t>Fenolico 1,22 x 2,44 - Reutilizado (estimado 3 usos)</t>
  </si>
  <si>
    <t>Paredes</t>
  </si>
  <si>
    <t>Puntales 1 x 4 x 3,7 - Reutilizado (estimado 3 usos)</t>
  </si>
  <si>
    <t>Piso</t>
  </si>
  <si>
    <t>Puntales 3 x 3 x 3,7 - Reutilizado (estimado 3 usos)</t>
  </si>
  <si>
    <t>Paredes interiores</t>
  </si>
  <si>
    <t xml:space="preserve">Flechas 3 x 6 x 3,7 - Reutilizado (estimado 3 usos) </t>
  </si>
  <si>
    <t>Galeria</t>
  </si>
  <si>
    <t xml:space="preserve">Escalera </t>
  </si>
  <si>
    <t>Flete madera</t>
  </si>
  <si>
    <t xml:space="preserve">Materiales varios </t>
  </si>
  <si>
    <t>M.Obra carpinteros</t>
  </si>
  <si>
    <t xml:space="preserve">Rollo de cable TPR 3 x 2,5 </t>
  </si>
  <si>
    <t xml:space="preserve">rol </t>
  </si>
  <si>
    <t>Zocalo E27</t>
  </si>
  <si>
    <t>Lampara Led 12 w</t>
  </si>
  <si>
    <t xml:space="preserve">Mat. Elect. (tomas, enchufes, etc.) </t>
  </si>
  <si>
    <t>M.Obra elect</t>
  </si>
  <si>
    <t>Materiales Sanit</t>
  </si>
  <si>
    <t>Inodoro</t>
  </si>
  <si>
    <t xml:space="preserve">Mochila plastico </t>
  </si>
  <si>
    <t xml:space="preserve">Bacha </t>
  </si>
  <si>
    <t>Termo electrico 40 lts</t>
  </si>
  <si>
    <t xml:space="preserve">M.Obra sanit </t>
  </si>
  <si>
    <t>Mantenimiento</t>
  </si>
  <si>
    <t>Pilar de obra, albañileria</t>
  </si>
  <si>
    <t>Kit medidor pilar Edenor Conextube</t>
  </si>
  <si>
    <t>Kit jabalina + caja + toma cable</t>
  </si>
  <si>
    <t>Cable subterraneo 5 x 10 mm2</t>
  </si>
  <si>
    <t>mts</t>
  </si>
  <si>
    <t>Tablero de obra</t>
  </si>
  <si>
    <t>Tanque de Bombeo 500 lts (reutilizado)</t>
  </si>
  <si>
    <t xml:space="preserve">Bomba pres (reutilizada) </t>
  </si>
  <si>
    <t xml:space="preserve">Flotante mecanico 1" + boya </t>
  </si>
  <si>
    <t>Flotante automatico</t>
  </si>
  <si>
    <t>Caño 3/4"</t>
  </si>
  <si>
    <t>Val. esf doble media union 1"</t>
  </si>
  <si>
    <t xml:space="preserve">Canilla de pvc </t>
  </si>
  <si>
    <t>Desperdicio</t>
  </si>
  <si>
    <t>Gestion suministro luz de obra</t>
  </si>
  <si>
    <t>Luz de Obra</t>
  </si>
  <si>
    <t>Medicion PAT luz de obra</t>
  </si>
  <si>
    <t>Bombeo</t>
  </si>
  <si>
    <t>Bomba</t>
  </si>
  <si>
    <t>M.O</t>
  </si>
  <si>
    <t>Consumibles - Punta martillo</t>
  </si>
  <si>
    <t>bol</t>
  </si>
  <si>
    <t>Malla de fibra 5 x 5 90 gr, rollo 1 x 50 mts</t>
  </si>
  <si>
    <t>Babeta</t>
  </si>
  <si>
    <t>Yeso Knauf MP 40/75 Proyectable x 25 kg - (17 kg/m2)</t>
  </si>
  <si>
    <t>PA-MAX PUENTE DE ADHERENCIA 20LT (150 m2/tac) - Contemplo el 20% de los m2</t>
  </si>
  <si>
    <t>tac</t>
  </si>
  <si>
    <t xml:space="preserve">Malla de fibra 5 x 5 90 gr, rollo 1 x 50 mts - Contemplo el 20% de los m2 </t>
  </si>
  <si>
    <t>Guardacanto yesero 2,00 mts</t>
  </si>
  <si>
    <t>PERFIL ANGULO ALAS IGUALES ESTRUCTURAL ACERO 6M X 5/8" X 1/8</t>
  </si>
  <si>
    <t>Esmalte sintetico</t>
  </si>
  <si>
    <t>PLACA CEMENTICIA CONSTRUCCION SECO SUPERBOARD ESTRUCTURAL BORDE RECTO 10MM X 1200MM X 2400MM</t>
  </si>
  <si>
    <t>H30 6.20</t>
  </si>
  <si>
    <t xml:space="preserve">Acarreo </t>
  </si>
  <si>
    <t>Malla Q188 15 x 15 6 mm 6x2,40</t>
  </si>
  <si>
    <t>PA-MAX PUENTE DE ADHERENCIA 20LT (150 m2/tac) - Contemplo el 100% de los m2</t>
  </si>
  <si>
    <t xml:space="preserve">Mensula de hierro </t>
  </si>
  <si>
    <t>Consumibles (mechas, tornillos, etc.)</t>
  </si>
  <si>
    <t>Materiales</t>
  </si>
  <si>
    <t>Mat</t>
  </si>
  <si>
    <t xml:space="preserve">Gabinete columna 4 modulos trifasico Edesur </t>
  </si>
  <si>
    <t xml:space="preserve">Gabinete columna 2 modulos trifasico Edesur </t>
  </si>
  <si>
    <t xml:space="preserve">Gabinete columna 12 modulos monofasico Edesur </t>
  </si>
  <si>
    <t xml:space="preserve">Gabinete columna 3 modulos monofasico Edesur </t>
  </si>
  <si>
    <t>Caño de acometida</t>
  </si>
  <si>
    <t>Caja de toma</t>
  </si>
  <si>
    <t>MAT</t>
  </si>
  <si>
    <t xml:space="preserve">Puesta A TIERRA </t>
  </si>
  <si>
    <t>WEBER REFRACTARIO X 10KG (rend. 0,5 m2)</t>
  </si>
  <si>
    <t>Defensas</t>
  </si>
  <si>
    <t>Protecciones barandas</t>
  </si>
  <si>
    <t>Tabla 4 x 1 x 3,6 Saligna bruto</t>
  </si>
  <si>
    <t>Tirante 3 x 3 x 3,6 Saligna bruto</t>
  </si>
  <si>
    <t>M.Obra def. (2 dias x def)</t>
  </si>
  <si>
    <t>M.Obra barandas (1 d por piso)</t>
  </si>
  <si>
    <t xml:space="preserve">Mat. </t>
  </si>
  <si>
    <t xml:space="preserve">M.Obra arreglos </t>
  </si>
  <si>
    <t>M.Obra descarga y mov de material</t>
  </si>
  <si>
    <t>Volquete x mes</t>
  </si>
  <si>
    <t>MESES</t>
  </si>
  <si>
    <t>Descrip</t>
  </si>
  <si>
    <t>Mes</t>
  </si>
  <si>
    <t>Total Dias</t>
  </si>
  <si>
    <t>GASTOS GENERALES y BENEFICIO</t>
  </si>
  <si>
    <t>Prelim</t>
  </si>
  <si>
    <t>Syh permanente</t>
  </si>
  <si>
    <t>Gastos Grales de obra en items</t>
  </si>
  <si>
    <t>Precio Unit</t>
  </si>
  <si>
    <t>Oficina en obra (6x3 c/AA)</t>
  </si>
  <si>
    <t>Losa sobre PB</t>
  </si>
  <si>
    <t>Obrador 6x3 s/AA</t>
  </si>
  <si>
    <t>Losa sobre 1</t>
  </si>
  <si>
    <t>Pañol (6x3)</t>
  </si>
  <si>
    <t>Losa sobre 2</t>
  </si>
  <si>
    <t>Baños</t>
  </si>
  <si>
    <t>Losa sobre 3</t>
  </si>
  <si>
    <t>Inicio mamposteria</t>
  </si>
  <si>
    <t xml:space="preserve">Meses H° </t>
  </si>
  <si>
    <t>Estacionamiento en contramano</t>
  </si>
  <si>
    <t>HyS permanente</t>
  </si>
  <si>
    <t>Mampostería</t>
  </si>
  <si>
    <t>HyS</t>
  </si>
  <si>
    <t>Revoques, contrap y carp</t>
  </si>
  <si>
    <t>Energía de obra</t>
  </si>
  <si>
    <t>Colocación</t>
  </si>
  <si>
    <t>Agua de obra</t>
  </si>
  <si>
    <t>Pintura</t>
  </si>
  <si>
    <t>Internet</t>
  </si>
  <si>
    <t>Terminaciones</t>
  </si>
  <si>
    <t>Alquiler cerco de obra chapa</t>
  </si>
  <si>
    <t>Proyecto Ejecutivo</t>
  </si>
  <si>
    <t>Proyecto (50%)</t>
  </si>
  <si>
    <t>Gastos Directos</t>
  </si>
  <si>
    <t>Coordinacion de obra</t>
  </si>
  <si>
    <t>Jefe de obra</t>
  </si>
  <si>
    <t>Sobrestante</t>
  </si>
  <si>
    <t>Administrativo en obra</t>
  </si>
  <si>
    <t>Capataz</t>
  </si>
  <si>
    <t>Logistica</t>
  </si>
  <si>
    <t>Vehiculo obra</t>
  </si>
  <si>
    <t>Mov y viaticos</t>
  </si>
  <si>
    <t>UOCRA</t>
  </si>
  <si>
    <t>Pañolero/Sereno</t>
  </si>
  <si>
    <t>Equipos</t>
  </si>
  <si>
    <t>Bobcat</t>
  </si>
  <si>
    <t>Camion limpieza</t>
  </si>
  <si>
    <t>Tijera electrica 12</t>
  </si>
  <si>
    <t>JLG</t>
  </si>
  <si>
    <t>Grua 20ton</t>
  </si>
  <si>
    <t>Gastos Indirectos</t>
  </si>
  <si>
    <t>Admin (50%Compras - 50%RRHH)</t>
  </si>
  <si>
    <t>Seguros</t>
  </si>
  <si>
    <t>IIBB (monto venta obra gris)</t>
  </si>
  <si>
    <t>Imp cheque</t>
  </si>
  <si>
    <t>Contrato</t>
  </si>
  <si>
    <t>Monto puesto en Ayuda de gremio que no se eroga</t>
  </si>
  <si>
    <t>Total de Gastos Generales</t>
  </si>
  <si>
    <t>Corralon</t>
  </si>
  <si>
    <t>Subcontratos</t>
  </si>
  <si>
    <t>Mano de obra</t>
  </si>
  <si>
    <t>A</t>
  </si>
  <si>
    <t>GG</t>
  </si>
  <si>
    <t>Beneficio</t>
  </si>
  <si>
    <t>B</t>
  </si>
  <si>
    <t>K</t>
  </si>
  <si>
    <t>A+B</t>
  </si>
  <si>
    <t>H Promedio</t>
  </si>
  <si>
    <t>PISOS (m2)</t>
  </si>
  <si>
    <t>ZOCALOS (ml)</t>
  </si>
  <si>
    <t>ELECTRICIDAD</t>
  </si>
  <si>
    <t>ART SANITARIO</t>
  </si>
  <si>
    <t>GRIFERIAS</t>
  </si>
  <si>
    <t>H a revisar</t>
  </si>
  <si>
    <t>Puertas</t>
  </si>
  <si>
    <t>REV</t>
  </si>
  <si>
    <t>CIELORRASO</t>
  </si>
  <si>
    <t>ARTEFACTOS ILUM</t>
  </si>
  <si>
    <t>Revisar</t>
  </si>
  <si>
    <t>A2</t>
  </si>
  <si>
    <t>A3</t>
  </si>
  <si>
    <t>A4</t>
  </si>
  <si>
    <t>A5</t>
  </si>
  <si>
    <t>R1</t>
  </si>
  <si>
    <t>R2</t>
  </si>
  <si>
    <t>R4</t>
  </si>
  <si>
    <t>R5</t>
  </si>
  <si>
    <t>A1</t>
  </si>
  <si>
    <t>C1</t>
  </si>
  <si>
    <t>C2</t>
  </si>
  <si>
    <t>C3</t>
  </si>
  <si>
    <t>C4</t>
  </si>
  <si>
    <t>C5</t>
  </si>
  <si>
    <t>C6</t>
  </si>
  <si>
    <t>C7</t>
  </si>
  <si>
    <t>C8</t>
  </si>
  <si>
    <t>P1</t>
  </si>
  <si>
    <t>P2</t>
  </si>
  <si>
    <t>P3</t>
  </si>
  <si>
    <t>P4</t>
  </si>
  <si>
    <t>P5</t>
  </si>
  <si>
    <t>P6</t>
  </si>
  <si>
    <t>P7</t>
  </si>
  <si>
    <t>P8</t>
  </si>
  <si>
    <t>Z1</t>
  </si>
  <si>
    <t>Z2</t>
  </si>
  <si>
    <t>PI4</t>
  </si>
  <si>
    <t>PI2</t>
  </si>
  <si>
    <t>PCI1</t>
  </si>
  <si>
    <t>PCI2</t>
  </si>
  <si>
    <t>IL1</t>
  </si>
  <si>
    <t>IL2</t>
  </si>
  <si>
    <t>IL3</t>
  </si>
  <si>
    <t>IL4</t>
  </si>
  <si>
    <t>IL5</t>
  </si>
  <si>
    <t>IL6</t>
  </si>
  <si>
    <t>IL7</t>
  </si>
  <si>
    <t>IL8</t>
  </si>
  <si>
    <t>IL9</t>
  </si>
  <si>
    <t>IL10</t>
  </si>
  <si>
    <t>IL11</t>
  </si>
  <si>
    <t>IL12</t>
  </si>
  <si>
    <t>IL13</t>
  </si>
  <si>
    <t>IL14</t>
  </si>
  <si>
    <t>IL15</t>
  </si>
  <si>
    <t>IL16</t>
  </si>
  <si>
    <t>IL17</t>
  </si>
  <si>
    <t>Revisado</t>
  </si>
  <si>
    <t>MC</t>
  </si>
  <si>
    <t>EL SALVADOR 4140</t>
  </si>
  <si>
    <t>Carpeta</t>
  </si>
  <si>
    <t xml:space="preserve">Yeso </t>
  </si>
  <si>
    <t>Cantoneras</t>
  </si>
  <si>
    <t>Aislacion Horizontal en Baños</t>
  </si>
  <si>
    <t>Aislaciòn termica EPS</t>
  </si>
  <si>
    <t>Suspendido placa STD</t>
  </si>
  <si>
    <t>Suspendido placa RH</t>
  </si>
  <si>
    <t xml:space="preserve">Buña "Z" Durlock </t>
  </si>
  <si>
    <t>Cajòn durlock</t>
  </si>
  <si>
    <t>Garganta</t>
  </si>
  <si>
    <t>Yeso aplicado</t>
  </si>
  <si>
    <t>Arista</t>
  </si>
  <si>
    <t>Hormigon visto / Maquillaje</t>
  </si>
  <si>
    <t>Frente ascensor</t>
  </si>
  <si>
    <t>Porcelanato en UF</t>
  </si>
  <si>
    <t>Porcelanato en baños</t>
  </si>
  <si>
    <t>Alisado de cemento rodillado</t>
  </si>
  <si>
    <t xml:space="preserve">Sustrato </t>
  </si>
  <si>
    <t>Revestimiento cocina</t>
  </si>
  <si>
    <t>Extractor</t>
  </si>
  <si>
    <t>Caja para led</t>
  </si>
  <si>
    <t>Tomas simple</t>
  </si>
  <si>
    <t>Toma doble</t>
  </si>
  <si>
    <t>Toma A/A</t>
  </si>
  <si>
    <t>Boca TV</t>
  </si>
  <si>
    <t>Tablero TSBT</t>
  </si>
  <si>
    <t>Indoro Roca monaco</t>
  </si>
  <si>
    <t>Bidet Roca monaco</t>
  </si>
  <si>
    <t>Bañera Roca</t>
  </si>
  <si>
    <t xml:space="preserve">Accesorios de Baño FV alerce o similar </t>
  </si>
  <si>
    <t xml:space="preserve">Griferia de lavarotio FV alerce o similar </t>
  </si>
  <si>
    <t xml:space="preserve">Griferia de bidet 3 agujeros con tapita FV alerce o similar </t>
  </si>
  <si>
    <t xml:space="preserve">Griferia de ducha FV alerce o similar </t>
  </si>
  <si>
    <t xml:space="preserve">Griferia de cocina FV alerce o similar </t>
  </si>
  <si>
    <t>PLANTA</t>
  </si>
  <si>
    <t>Nº</t>
  </si>
  <si>
    <t>LOCAL</t>
  </si>
  <si>
    <t>Ancho</t>
  </si>
  <si>
    <t>SUP</t>
  </si>
  <si>
    <t>perim unit</t>
  </si>
  <si>
    <t>vacio</t>
  </si>
  <si>
    <t>perim real</t>
  </si>
  <si>
    <t>H</t>
  </si>
  <si>
    <t>H r</t>
  </si>
  <si>
    <t>aux</t>
  </si>
  <si>
    <t>Subsuelo</t>
  </si>
  <si>
    <t>Baño</t>
  </si>
  <si>
    <t>ESCALERA</t>
  </si>
  <si>
    <t>Vereda</t>
  </si>
  <si>
    <t>Escalera</t>
  </si>
  <si>
    <t>Picado de medianeras</t>
  </si>
  <si>
    <t xml:space="preserve">Subtotal </t>
  </si>
  <si>
    <t>C01</t>
  </si>
  <si>
    <t>C06</t>
  </si>
  <si>
    <t>M1</t>
  </si>
  <si>
    <t>M2</t>
  </si>
  <si>
    <t>M3</t>
  </si>
  <si>
    <t>M4</t>
  </si>
  <si>
    <t>PINTURA PUERTAS</t>
  </si>
  <si>
    <t>Caras</t>
  </si>
  <si>
    <t>m2 hojas</t>
  </si>
  <si>
    <t>Perim</t>
  </si>
  <si>
    <t>ancho</t>
  </si>
  <si>
    <t>m2 marcos</t>
  </si>
  <si>
    <t>Placa MDF 0,80 m</t>
  </si>
  <si>
    <t>Chapa F60</t>
  </si>
  <si>
    <t>Chapa F30 0,90 m</t>
  </si>
  <si>
    <t>Chapa 0,80 m</t>
  </si>
  <si>
    <t>Puerta Ascensor</t>
  </si>
  <si>
    <t>BARANDAS y HERRERIAS</t>
  </si>
  <si>
    <t>Subt</t>
  </si>
  <si>
    <t>FRENTE</t>
  </si>
  <si>
    <t>FACHADA</t>
  </si>
  <si>
    <t>Verticales</t>
  </si>
  <si>
    <t>Defensas frente y contrafrente</t>
  </si>
  <si>
    <t>Ml</t>
  </si>
  <si>
    <t>Frente</t>
  </si>
  <si>
    <t>Contrafrente</t>
  </si>
  <si>
    <t>Fachada lat</t>
  </si>
  <si>
    <t>BARANDAS</t>
  </si>
  <si>
    <t xml:space="preserve">Balcones 1° a 4° </t>
  </si>
  <si>
    <t>Rep</t>
  </si>
  <si>
    <t>ATRIM VERTICAL</t>
  </si>
  <si>
    <t xml:space="preserve">PLANTA TIPO 1° a 5° </t>
  </si>
  <si>
    <t>Cocina C (mono)</t>
  </si>
  <si>
    <t>PLANTA TIPO 6°</t>
  </si>
  <si>
    <t>PLANTA TIPO 7°</t>
  </si>
  <si>
    <t>Cocina</t>
  </si>
  <si>
    <t>TERRAZA</t>
  </si>
  <si>
    <t>Un</t>
  </si>
  <si>
    <t>ML</t>
  </si>
  <si>
    <t xml:space="preserve">NOTA: CANTIDADES SALEN DE COMPUTO AUXILIAR INCENDIO </t>
  </si>
  <si>
    <t>P Unit</t>
  </si>
  <si>
    <t>TAREA</t>
  </si>
  <si>
    <t>DIA</t>
  </si>
  <si>
    <t>GGBB</t>
  </si>
  <si>
    <t xml:space="preserve">Por tendido cañeria de incendio - (no incluye gabinetes, manguera, lanza y valvula) </t>
  </si>
  <si>
    <t>CAÑO DE HIERRO GALVANIZADO 2" x 6,4 m</t>
  </si>
  <si>
    <t>tira</t>
  </si>
  <si>
    <t>Tendido montante</t>
  </si>
  <si>
    <t>CAÑO DE HIERRO GALVANIZADO 2 1/2" x 6,4 m</t>
  </si>
  <si>
    <t>Amurado de gabinete</t>
  </si>
  <si>
    <t>TEE REDUCCION GALVANIZADA 2 1/2" x 2"</t>
  </si>
  <si>
    <t>Colocación de mangueras</t>
  </si>
  <si>
    <t>TEE GALVANIZADA 2 1/2"</t>
  </si>
  <si>
    <t>CODO GALVANIZADO H-H 90° 2 1/2"</t>
  </si>
  <si>
    <t>BUJE REDUCCION M - H  2 1/2" x 2"</t>
  </si>
  <si>
    <t>CODO GALVANIZADO H-H 90° 2"</t>
  </si>
  <si>
    <t>CUPLA H - H  GALVANIZADA 2 1/2"</t>
  </si>
  <si>
    <t>CUPLA H - H  GALVANIZADA 2"</t>
  </si>
  <si>
    <t>Esmalte sintetico 3 en 1 Bermellon x 4 lts</t>
  </si>
  <si>
    <t>Rodillos y pinceles</t>
  </si>
  <si>
    <t xml:space="preserve">Desperdicio / Imprevistos / </t>
  </si>
  <si>
    <t xml:space="preserve">BOCA GABINETE COMPLETA </t>
  </si>
  <si>
    <t>IMPULSION COMPLETA</t>
  </si>
  <si>
    <t>Especificacion</t>
  </si>
  <si>
    <t>Unid</t>
  </si>
  <si>
    <t>TSG Tablero de servicios Generales</t>
  </si>
  <si>
    <t>ID interruptos  diferencial</t>
  </si>
  <si>
    <t>STECK DIFERENCIAL 2X25A 30MA</t>
  </si>
  <si>
    <t>2x16 A</t>
  </si>
  <si>
    <t>2x20 A</t>
  </si>
  <si>
    <t>STECK DIFERENCIAL 4X40A 30MA</t>
  </si>
  <si>
    <t>4x40 A</t>
  </si>
  <si>
    <t>STECK DIFERENCIAL 4X63A 30MA</t>
  </si>
  <si>
    <t>4x63 A</t>
  </si>
  <si>
    <t>Llave termomagnetica</t>
  </si>
  <si>
    <t>STECK TM BIPOLAR 10A 6KA</t>
  </si>
  <si>
    <t>STECK TM BIPOLAR 16A 6KA</t>
  </si>
  <si>
    <t>STECK TM TETRAPOLAR 32A 6KA</t>
  </si>
  <si>
    <t>4x32 A</t>
  </si>
  <si>
    <t>STECK TM TETRAPOLAR 50A 6KA</t>
  </si>
  <si>
    <t>4x50 A</t>
  </si>
  <si>
    <t>GAB. IP65 SERIE 9000 600X900X225</t>
  </si>
  <si>
    <t>CONTRAF ABISAG CALADO 60BIP S9000 600X900</t>
  </si>
  <si>
    <t>RIEL DIN 35MM 1 METRO PERFOR.</t>
  </si>
  <si>
    <t>RIEL PORTA ELEMENTOS X 1 METRO</t>
  </si>
  <si>
    <t>SOP REG P/CONTRAFRENTE PROF 225 X1</t>
  </si>
  <si>
    <t>INTERRUPTOR COMPACTO 4X125A S250</t>
  </si>
  <si>
    <t>Contactos 4 x 125A</t>
  </si>
  <si>
    <t>DISTRIBUIDOR TETRAP.160A 15 STD</t>
  </si>
  <si>
    <t>Distribuidor tetrapolar 160a</t>
  </si>
  <si>
    <t>TERMINAL COBRE SCC 120-2 (5/8)</t>
  </si>
  <si>
    <t>Terminal de cobre 50mm</t>
  </si>
  <si>
    <t>Voltimetro Display Ojo de Buey 22 mm</t>
  </si>
  <si>
    <t>Ojo de buey panel</t>
  </si>
  <si>
    <t>Bornera puesta a tierra</t>
  </si>
  <si>
    <t>1 x 6 mm</t>
  </si>
  <si>
    <t>Seccion de cable</t>
  </si>
  <si>
    <t xml:space="preserve">Consumibles, desperdicio </t>
  </si>
  <si>
    <t>TSBI Tablero Seccional Bomba Impulsora</t>
  </si>
  <si>
    <t>2 x 20 A</t>
  </si>
  <si>
    <t>2 x 16</t>
  </si>
  <si>
    <t>2 x 10</t>
  </si>
  <si>
    <t>LC1D18M7 18A 7,5KW 1+1 220V</t>
  </si>
  <si>
    <t>16 A nc/no 220V</t>
  </si>
  <si>
    <t>ALTERNADOR 2 BOMBA DIGITAL 24/110/220VCA</t>
  </si>
  <si>
    <t>3 A  220V</t>
  </si>
  <si>
    <t>GAB. IP65 SERIE 9000 450X450X225</t>
  </si>
  <si>
    <t>450 X 450 X 150</t>
  </si>
  <si>
    <t>CONTRAF ABISAG.CALADO 18BIP S9000 450X450</t>
  </si>
  <si>
    <t>p/Gabinete Genrod S900 IP66</t>
  </si>
  <si>
    <t>TS.ASC  Tablero Ascensor</t>
  </si>
  <si>
    <t>4x32A</t>
  </si>
  <si>
    <t>4x40A</t>
  </si>
  <si>
    <t>TS BP Tablero S Bomba Presurizadora</t>
  </si>
  <si>
    <t>2x16A</t>
  </si>
  <si>
    <t>2 x 10A</t>
  </si>
  <si>
    <t>2x20A</t>
  </si>
  <si>
    <t>GAB. IP65 SERIE 9000 300X300X150</t>
  </si>
  <si>
    <t>300 X 300 X 150</t>
  </si>
  <si>
    <t>CONTRAF ABISAG.CALADO 10BIP S9000 300X300</t>
  </si>
  <si>
    <t>TUF - Monofásico</t>
  </si>
  <si>
    <t>Mod</t>
  </si>
  <si>
    <t>2 x 20</t>
  </si>
  <si>
    <t>Coloco 2 porque no tengo el precio de 2X40</t>
  </si>
  <si>
    <t>2 x 25</t>
  </si>
  <si>
    <t>4 x 40</t>
  </si>
  <si>
    <t>STECK DIFERENCIAL 4X25A 30MA</t>
  </si>
  <si>
    <t>4 x 20</t>
  </si>
  <si>
    <t>STECK TM TETRAPOLAR 16A 6KA</t>
  </si>
  <si>
    <t>4 x 16</t>
  </si>
  <si>
    <t>CAJA EMB P/ TM 36 POLOS BC T/FUME</t>
  </si>
  <si>
    <t>Puesta  a tierra</t>
  </si>
  <si>
    <t>1 x 25 desnudo</t>
  </si>
  <si>
    <t>CONDUWELD JAB ST 3/4 1.5M</t>
  </si>
  <si>
    <t>Jabalina 3/4" x 1,5 m</t>
  </si>
  <si>
    <t>CONDUWELD TOMACABLE 3</t>
  </si>
  <si>
    <t>CAJA INSPECCION 15 x 15 PVC</t>
  </si>
  <si>
    <t>ACOMETIDA</t>
  </si>
  <si>
    <t>MONO</t>
  </si>
  <si>
    <t>TRI</t>
  </si>
  <si>
    <t>M SUBTERRANEO N IRAM 1X 120MM2</t>
  </si>
  <si>
    <t>1 x 120</t>
  </si>
  <si>
    <t>SG</t>
  </si>
  <si>
    <t xml:space="preserve">Fusible NH 00 63 A </t>
  </si>
  <si>
    <t>Fusible</t>
  </si>
  <si>
    <t xml:space="preserve">Fusible NH 02 a 125 A </t>
  </si>
  <si>
    <t>MONTANTE</t>
  </si>
  <si>
    <t>PARTE MECANICA / PLENO</t>
  </si>
  <si>
    <t>PISO</t>
  </si>
  <si>
    <t>Cant caños</t>
  </si>
  <si>
    <t>Total m</t>
  </si>
  <si>
    <t>CAÑOX3M RIGIDO 25MM PVC TUBE</t>
  </si>
  <si>
    <t>RIEL DE FIJAC.1.22 OLMAR</t>
  </si>
  <si>
    <t>BROCA METALICA 1/4 CJA X 100</t>
  </si>
  <si>
    <t>VARILLA ROSCADA 1/4"X1MTC/BUL.</t>
  </si>
  <si>
    <t>GRAMPA P/RIEL 1</t>
  </si>
  <si>
    <t>CAJA DE CONEXION 30X40X10 CH20</t>
  </si>
  <si>
    <r>
      <rPr>
        <sz val="10"/>
        <rFont val="Calibri"/>
        <family val="2"/>
        <scheme val="minor"/>
      </rPr>
      <t>CONECTOR 25MM PVC RIG IP54 TUBE</t>
    </r>
  </si>
  <si>
    <t>PARTE MECANICA / SUSP. PB</t>
  </si>
  <si>
    <t>Cableado</t>
  </si>
  <si>
    <t>Cable unipolar 10 mm N.IRAM</t>
  </si>
  <si>
    <t>RLLOX100M 1X 6,0MM NEGRO N.IRAM</t>
  </si>
  <si>
    <t>RLLOX100M 1X 4,0MM NEGRO N.IRAM</t>
  </si>
  <si>
    <t>RLLOX100M 1X16 MM VD/ AM N.IRAM</t>
  </si>
  <si>
    <t>DESPERDICIO</t>
  </si>
  <si>
    <t>RLLOX100M 1X 1,5MM NEGRO N.IRAM</t>
  </si>
  <si>
    <t xml:space="preserve">Cable testigo </t>
  </si>
  <si>
    <t>Descripcion</t>
  </si>
  <si>
    <t>P unit</t>
  </si>
  <si>
    <t>Proveedor</t>
  </si>
  <si>
    <t>PRELIMINARES</t>
  </si>
  <si>
    <t>C. CIN. T101 ESP 0,50 MM (C25)</t>
  </si>
  <si>
    <t>CMP Web</t>
  </si>
  <si>
    <t>Peril UPN 100 x 12 m</t>
  </si>
  <si>
    <t>bar</t>
  </si>
  <si>
    <t>Tubo estructural 40 x 40 x 2, Largo 6 metros</t>
  </si>
  <si>
    <t>CHAPA LISA GALVANIZADA C27 - 1,22 x 2,00 m</t>
  </si>
  <si>
    <t>CHAPA LISA GALVANIZADA C27 - 1,22 x 2,44 m</t>
  </si>
  <si>
    <t>CHAPA LISA GALVANIZADA C25 - 1,22 x 2,00 m</t>
  </si>
  <si>
    <t>CHAPA LISA GALVANIZADA C25 - 1,22 x 2,44 m</t>
  </si>
  <si>
    <t>CHAPA LISA GALVANIZADA C22 - 1,22 x 2,44 m</t>
  </si>
  <si>
    <t>CHAPA LISA PREP C25 - 1,22 x 2,44 m</t>
  </si>
  <si>
    <t>MADERA</t>
  </si>
  <si>
    <t>Precio fenolico comun e: 18 mm</t>
  </si>
  <si>
    <t>placa</t>
  </si>
  <si>
    <t>NEWTON</t>
  </si>
  <si>
    <t>Precio fenolico visto e: 18 mm</t>
  </si>
  <si>
    <t>HORMIGON</t>
  </si>
  <si>
    <t>H13 6.20</t>
  </si>
  <si>
    <t>FENOMIX</t>
  </si>
  <si>
    <t>Super</t>
  </si>
  <si>
    <t>Hidrofugo</t>
  </si>
  <si>
    <t>HIERRO CONSTRUCCION</t>
  </si>
  <si>
    <t>Hierro del 6</t>
  </si>
  <si>
    <t>NUQLEA</t>
  </si>
  <si>
    <t>Hierro del 8</t>
  </si>
  <si>
    <t>Hierro del 10</t>
  </si>
  <si>
    <t>Hierro del 12</t>
  </si>
  <si>
    <t>Hierro del 16</t>
  </si>
  <si>
    <t>Hierro del 20</t>
  </si>
  <si>
    <t>Hierro del 25</t>
  </si>
  <si>
    <t xml:space="preserve">BAÑOS </t>
  </si>
  <si>
    <t xml:space="preserve">Baño portatil / Ducha </t>
  </si>
  <si>
    <t>BATH</t>
  </si>
  <si>
    <t xml:space="preserve">Traslado flete entrega/ retiro </t>
  </si>
  <si>
    <t>Telgopor 1 x 1 x 20 mm densidad 20 kg</t>
  </si>
  <si>
    <t>CUTULI HNOS</t>
  </si>
  <si>
    <t xml:space="preserve">Liston refractario 230 x 65 x 19 </t>
  </si>
  <si>
    <t>Yeso Knauf MP 40/75 Proyectable x 25 kg</t>
  </si>
  <si>
    <t>PA-MAX PUENTE DE ADHERENCIA 20LT</t>
  </si>
  <si>
    <t>TODO PROYECT WEB</t>
  </si>
  <si>
    <t>150 m2/balde</t>
  </si>
  <si>
    <t>BUÑA Z PERIMETRAL - Largo 2,60 mt</t>
  </si>
  <si>
    <t>Malla N° 4 Liv 15 x 15 3 x 2 mt</t>
  </si>
  <si>
    <t>Rollo Polietileno negro 2x50 mt x 200mic</t>
  </si>
  <si>
    <t>MEMBRANA C/GEOTEXTIL W450</t>
  </si>
  <si>
    <t>BOLSON DE PIEDRA PARTIDA 6/20</t>
  </si>
  <si>
    <t>CEMENTO AVELLANEDA x 50 KG</t>
  </si>
  <si>
    <t>MERCADO LIBRE</t>
  </si>
  <si>
    <t>Tapa Y Marco Para Tanque De Hormigón Poliéster 52 X 52 Cm</t>
  </si>
  <si>
    <t>Varilla Guardacanto L Aluminio Cromo Mate 1663 12 Mm Atrim</t>
  </si>
  <si>
    <t>DECO TURNER</t>
  </si>
  <si>
    <t>REJILLAS</t>
  </si>
  <si>
    <t>Caño Ventilación Corrugado Aluminio 4 Pulgadas X 1 Metro</t>
  </si>
  <si>
    <t>SUREF WEB</t>
  </si>
  <si>
    <t>https://surefsuministros.mercadoshops.com.ar/MLA-1315412695-rejilla-de-ventilacion-60x25-fija-retorno-extraccion-_JM?gad_source=1&amp;gclid=CjwKCAjwuMC2BhA7EiwAmJKRrBsF7v-jNZTqJpTBzXJ5xCG9oqcQTWkgAttZaEZuAUMNY4ZB49ecMBoCDdgQAvD_BwE</t>
  </si>
  <si>
    <t>CASTELAO</t>
  </si>
  <si>
    <r>
      <rPr>
        <sz val="10"/>
        <rFont val="Calibri"/>
        <family val="2"/>
        <scheme val="minor"/>
      </rPr>
      <t>M SUBTERRANEO N IRAM 5X16 MM2</t>
    </r>
  </si>
  <si>
    <r>
      <rPr>
        <sz val="10"/>
        <rFont val="Calibri"/>
        <family val="2"/>
        <scheme val="minor"/>
      </rPr>
      <t>M SUBTERRANEO N.IRAM 5X10 MM2</t>
    </r>
  </si>
  <si>
    <r>
      <rPr>
        <sz val="10"/>
        <rFont val="Calibri"/>
        <family val="2"/>
        <scheme val="minor"/>
      </rPr>
      <t>M SUBTERRANEO N IRAM 5X 6 MM2</t>
    </r>
  </si>
  <si>
    <r>
      <rPr>
        <sz val="10"/>
        <rFont val="Calibri"/>
        <family val="2"/>
        <scheme val="minor"/>
      </rPr>
      <t>M SUBTERRANEO N IRAM 3X 6.00 MM2</t>
    </r>
  </si>
  <si>
    <r>
      <rPr>
        <sz val="10"/>
        <rFont val="Calibri"/>
        <family val="2"/>
        <scheme val="minor"/>
      </rPr>
      <t>M SUBTERRANEO N IRAM 3X 4.00 MM2</t>
    </r>
  </si>
  <si>
    <r>
      <rPr>
        <sz val="10"/>
        <rFont val="Calibri"/>
        <family val="2"/>
        <scheme val="minor"/>
      </rPr>
      <t>M SUBTERRANEO N IRAM 3X 2.50 MM2</t>
    </r>
  </si>
  <si>
    <r>
      <rPr>
        <sz val="10"/>
        <rFont val="Calibri"/>
        <family val="2"/>
        <scheme val="minor"/>
      </rPr>
      <t>M SUBTERRANEO N IRAM 1X 120MM2</t>
    </r>
  </si>
  <si>
    <r>
      <rPr>
        <sz val="10"/>
        <rFont val="Calibri"/>
        <family val="2"/>
        <scheme val="minor"/>
      </rPr>
      <t>RLLOX100M 1X16 MM VD/ AM N.IRAM</t>
    </r>
  </si>
  <si>
    <r>
      <rPr>
        <sz val="10"/>
        <rFont val="Calibri"/>
        <family val="2"/>
        <scheme val="minor"/>
      </rPr>
      <t>RLLOX100M 1X 2,5MM NEGRO N.IRAM</t>
    </r>
  </si>
  <si>
    <r>
      <rPr>
        <sz val="10"/>
        <rFont val="Calibri"/>
        <family val="2"/>
        <scheme val="minor"/>
      </rPr>
      <t>RLLOX100M 1X 1,5MM NEGRO N.IRAM</t>
    </r>
  </si>
  <si>
    <r>
      <rPr>
        <sz val="10"/>
        <rFont val="Calibri"/>
        <family val="2"/>
        <scheme val="minor"/>
      </rPr>
      <t>RLLOX100M 1X 4,0MM NEGRO N.IRAM</t>
    </r>
  </si>
  <si>
    <r>
      <rPr>
        <sz val="10"/>
        <rFont val="Calibri"/>
        <family val="2"/>
        <scheme val="minor"/>
      </rPr>
      <t>CONDUWELD JAB ST 3/4 1.5M</t>
    </r>
  </si>
  <si>
    <r>
      <rPr>
        <sz val="10"/>
        <rFont val="Calibri"/>
        <family val="2"/>
        <scheme val="minor"/>
      </rPr>
      <t>CONDUWELD TOMACABLE 3</t>
    </r>
  </si>
  <si>
    <r>
      <rPr>
        <sz val="10"/>
        <rFont val="Calibri"/>
        <family val="2"/>
        <scheme val="minor"/>
      </rPr>
      <t>INT. TERMOMAGNETICO E9 2X10A 4,5KA</t>
    </r>
  </si>
  <si>
    <r>
      <rPr>
        <sz val="10"/>
        <rFont val="Calibri"/>
        <family val="2"/>
        <scheme val="minor"/>
      </rPr>
      <t>INT. TERMOMAGNETICO E9 2X16A 4,5KA</t>
    </r>
  </si>
  <si>
    <r>
      <rPr>
        <sz val="10"/>
        <rFont val="Calibri"/>
        <family val="2"/>
        <scheme val="minor"/>
      </rPr>
      <t>INT. TERMOMAGNETICO E9 2X20A 4,5KA</t>
    </r>
  </si>
  <si>
    <r>
      <rPr>
        <sz val="10"/>
        <rFont val="Calibri"/>
        <family val="2"/>
        <scheme val="minor"/>
      </rPr>
      <t>INT. TERMOMAGNETICO E9 2X32A 4,5KA</t>
    </r>
  </si>
  <si>
    <r>
      <rPr>
        <sz val="10"/>
        <rFont val="Calibri"/>
        <family val="2"/>
        <scheme val="minor"/>
      </rPr>
      <t>INT. DIFERENCIAL E9 2X25A 30MA</t>
    </r>
  </si>
  <si>
    <r>
      <rPr>
        <sz val="10"/>
        <rFont val="Calibri"/>
        <family val="2"/>
        <scheme val="minor"/>
      </rPr>
      <t>INT. DIFERENCIAL E9 2X40A 30MA</t>
    </r>
  </si>
  <si>
    <r>
      <rPr>
        <sz val="10"/>
        <rFont val="Calibri"/>
        <family val="2"/>
        <scheme val="minor"/>
      </rPr>
      <t>CAJA EMB P/ TM 24 POLOS BC T/FUME</t>
    </r>
  </si>
  <si>
    <r>
      <rPr>
        <sz val="10"/>
        <rFont val="Calibri"/>
        <family val="2"/>
        <scheme val="minor"/>
      </rPr>
      <t>INTERRUPTOR COMPACTO 4X125A S250</t>
    </r>
  </si>
  <si>
    <r>
      <rPr>
        <sz val="10"/>
        <rFont val="Calibri"/>
        <family val="2"/>
        <scheme val="minor"/>
      </rPr>
      <t>DISTRIBUIDOR TETRAP.160A 15 STD</t>
    </r>
  </si>
  <si>
    <r>
      <rPr>
        <sz val="10"/>
        <rFont val="Calibri"/>
        <family val="2"/>
        <scheme val="minor"/>
      </rPr>
      <t>STECK TM TETRAPOLAR 16A 6KA</t>
    </r>
  </si>
  <si>
    <r>
      <rPr>
        <sz val="10"/>
        <rFont val="Calibri"/>
        <family val="2"/>
        <scheme val="minor"/>
      </rPr>
      <t>STECK TM TETRAPOLAR 32A 6KA</t>
    </r>
  </si>
  <si>
    <r>
      <rPr>
        <sz val="10"/>
        <rFont val="Calibri"/>
        <family val="2"/>
        <scheme val="minor"/>
      </rPr>
      <t>STECK TM TETRAPOLAR 50A 6KA</t>
    </r>
  </si>
  <si>
    <r>
      <rPr>
        <sz val="10"/>
        <rFont val="Calibri"/>
        <family val="2"/>
        <scheme val="minor"/>
      </rPr>
      <t>STECK TM BIPOLAR 16A 6KA</t>
    </r>
  </si>
  <si>
    <r>
      <rPr>
        <sz val="10"/>
        <rFont val="Calibri"/>
        <family val="2"/>
        <scheme val="minor"/>
      </rPr>
      <t>STECK TM BIPOLAR 10A 6KA</t>
    </r>
  </si>
  <si>
    <r>
      <rPr>
        <sz val="10"/>
        <rFont val="Calibri"/>
        <family val="2"/>
        <scheme val="minor"/>
      </rPr>
      <t>STECK DIFERENCIAL 4X40A 30MA</t>
    </r>
  </si>
  <si>
    <r>
      <rPr>
        <sz val="10"/>
        <rFont val="Calibri"/>
        <family val="2"/>
        <scheme val="minor"/>
      </rPr>
      <t>STECK DIFERENCIAL 4X63A 30MA</t>
    </r>
  </si>
  <si>
    <r>
      <rPr>
        <sz val="10"/>
        <rFont val="Calibri"/>
        <family val="2"/>
        <scheme val="minor"/>
      </rPr>
      <t>STECK DIFERENCIAL 4X25A 30MA</t>
    </r>
  </si>
  <si>
    <r>
      <rPr>
        <sz val="10"/>
        <rFont val="Calibri"/>
        <family val="2"/>
        <scheme val="minor"/>
      </rPr>
      <t>STECK DIFERENCIAL 2X25A 30MA</t>
    </r>
  </si>
  <si>
    <r>
      <rPr>
        <sz val="10"/>
        <rFont val="Calibri"/>
        <family val="2"/>
        <scheme val="minor"/>
      </rPr>
      <t>GAB. IP65 SERIE 9000 600X900X225</t>
    </r>
  </si>
  <si>
    <r>
      <rPr>
        <sz val="10"/>
        <rFont val="Calibri"/>
        <family val="2"/>
        <scheme val="minor"/>
      </rPr>
      <t>CONTRAF ABISAG CALADO 60BIP S9000 600X900</t>
    </r>
  </si>
  <si>
    <r>
      <rPr>
        <sz val="10"/>
        <rFont val="Calibri"/>
        <family val="2"/>
        <scheme val="minor"/>
      </rPr>
      <t>SOP REG P/CONTRAFRENTE PROF 225 X1</t>
    </r>
  </si>
  <si>
    <r>
      <rPr>
        <sz val="10"/>
        <rFont val="Calibri"/>
        <family val="2"/>
        <scheme val="minor"/>
      </rPr>
      <t>RIEL DIN 35MM 1 METRO PERFOR.</t>
    </r>
  </si>
  <si>
    <r>
      <rPr>
        <sz val="10"/>
        <rFont val="Calibri"/>
        <family val="2"/>
        <scheme val="minor"/>
      </rPr>
      <t>RIEL PORTA ELEMENTOS X 1 METRO</t>
    </r>
  </si>
  <si>
    <r>
      <rPr>
        <sz val="10"/>
        <rFont val="Calibri"/>
        <family val="2"/>
        <scheme val="minor"/>
      </rPr>
      <t>SOP FIJACION RIEL PORTAEL - REG 100 A 130</t>
    </r>
  </si>
  <si>
    <r>
      <rPr>
        <sz val="10"/>
        <rFont val="Calibri"/>
        <family val="2"/>
        <scheme val="minor"/>
      </rPr>
      <t>GAB. IP65 SERIE 9000 450X600X225</t>
    </r>
  </si>
  <si>
    <r>
      <rPr>
        <sz val="10"/>
        <rFont val="Calibri"/>
        <family val="2"/>
        <scheme val="minor"/>
      </rPr>
      <t>CONTRAF ABISAG.CALADO 27BIP S9000 450X600</t>
    </r>
  </si>
  <si>
    <r>
      <rPr>
        <sz val="10"/>
        <rFont val="Calibri"/>
        <family val="2"/>
        <scheme val="minor"/>
      </rPr>
      <t>GAB. IP65 SERIE 9000 450X450X225</t>
    </r>
  </si>
  <si>
    <r>
      <rPr>
        <sz val="10"/>
        <rFont val="Calibri"/>
        <family val="2"/>
        <scheme val="minor"/>
      </rPr>
      <t>CONTRAF ABISAG.CALADO 18BIP S9000 450X450</t>
    </r>
  </si>
  <si>
    <r>
      <rPr>
        <sz val="10"/>
        <rFont val="Calibri"/>
        <family val="2"/>
        <scheme val="minor"/>
      </rPr>
      <t>GAB. IP65 SERIE 9000 300X300X150</t>
    </r>
  </si>
  <si>
    <r>
      <rPr>
        <sz val="10"/>
        <rFont val="Calibri"/>
        <family val="2"/>
        <scheme val="minor"/>
      </rPr>
      <t>CONTRAF ABISAG.CALADO 10BIP S9000 300X300</t>
    </r>
  </si>
  <si>
    <r>
      <rPr>
        <sz val="10"/>
        <rFont val="Calibri"/>
        <family val="2"/>
        <scheme val="minor"/>
      </rPr>
      <t>CAJA EMB P/ TM 36 POLOS BC T/FUME</t>
    </r>
  </si>
  <si>
    <r>
      <rPr>
        <sz val="10"/>
        <rFont val="Calibri"/>
        <family val="2"/>
        <scheme val="minor"/>
      </rPr>
      <t>BANDEJA PERF. TRP300 X3M L7</t>
    </r>
  </si>
  <si>
    <r>
      <rPr>
        <sz val="10"/>
        <rFont val="Calibri"/>
        <family val="2"/>
        <scheme val="minor"/>
      </rPr>
      <t>PACK (50U) CUPLA UNION PERFORADA</t>
    </r>
  </si>
  <si>
    <r>
      <rPr>
        <sz val="10"/>
        <rFont val="Calibri"/>
        <family val="2"/>
        <scheme val="minor"/>
      </rPr>
      <t>CP-300-90* CURVA PLANA 90*</t>
    </r>
  </si>
  <si>
    <r>
      <rPr>
        <sz val="10"/>
        <rFont val="Calibri"/>
        <family val="2"/>
        <scheme val="minor"/>
      </rPr>
      <t>CUP-300 CURVA VERTICAL</t>
    </r>
  </si>
  <si>
    <r>
      <rPr>
        <sz val="10"/>
        <rFont val="Calibri"/>
        <family val="2"/>
        <scheme val="minor"/>
      </rPr>
      <t>TP-300 UNION TEE</t>
    </r>
  </si>
  <si>
    <r>
      <rPr>
        <sz val="10"/>
        <rFont val="Calibri"/>
        <family val="2"/>
        <scheme val="minor"/>
      </rPr>
      <t>CP-150-90* CURVA PLANA 90*</t>
    </r>
  </si>
  <si>
    <r>
      <rPr>
        <sz val="10"/>
        <rFont val="Calibri"/>
        <family val="2"/>
        <scheme val="minor"/>
      </rPr>
      <t>CUP-150 CURVA VERTICAL</t>
    </r>
  </si>
  <si>
    <r>
      <rPr>
        <sz val="10"/>
        <rFont val="Calibri"/>
        <family val="2"/>
        <scheme val="minor"/>
      </rPr>
      <t>*ST-300 SOPORTE TRAPECIO</t>
    </r>
  </si>
  <si>
    <r>
      <rPr>
        <sz val="10"/>
        <rFont val="Calibri"/>
        <family val="2"/>
        <scheme val="minor"/>
      </rPr>
      <t>VARILLA ROSCADA 1/4"X1MTC/BUL.</t>
    </r>
  </si>
  <si>
    <r>
      <rPr>
        <sz val="10"/>
        <rFont val="Calibri"/>
        <family val="2"/>
        <scheme val="minor"/>
      </rPr>
      <t>AVV-1/4 -ENVX100 TUERCA/ARANDELA</t>
    </r>
  </si>
  <si>
    <r>
      <rPr>
        <sz val="10"/>
        <rFont val="Calibri"/>
        <family val="2"/>
        <scheme val="minor"/>
      </rPr>
      <t>BROCA METALICA 1/4 CJA X 100</t>
    </r>
  </si>
  <si>
    <r>
      <rPr>
        <sz val="10"/>
        <rFont val="Calibri"/>
        <family val="2"/>
        <scheme val="minor"/>
      </rPr>
      <t>*TTRP-150-Z TAPA CIEGA</t>
    </r>
  </si>
  <si>
    <r>
      <rPr>
        <sz val="10"/>
        <rFont val="Calibri"/>
        <family val="2"/>
        <scheme val="minor"/>
      </rPr>
      <t>BANDEJA PERF. TRP150 X3M L7</t>
    </r>
  </si>
  <si>
    <r>
      <rPr>
        <sz val="10"/>
        <rFont val="Calibri"/>
        <family val="2"/>
        <scheme val="minor"/>
      </rPr>
      <t>LC1D18M7 18A 7,5KW 1+1 220V</t>
    </r>
  </si>
  <si>
    <r>
      <rPr>
        <sz val="10"/>
        <rFont val="Calibri"/>
        <family val="2"/>
        <scheme val="minor"/>
      </rPr>
      <t>ALTERNADOR 2 BOMBA DIGITAL 24/110/220VCA</t>
    </r>
  </si>
  <si>
    <r>
      <rPr>
        <sz val="10"/>
        <rFont val="Calibri"/>
        <family val="2"/>
        <scheme val="minor"/>
      </rPr>
      <t>CAÑOX3M RIGIDO 20MM PVC TUBE</t>
    </r>
  </si>
  <si>
    <r>
      <rPr>
        <sz val="10"/>
        <rFont val="Calibri"/>
        <family val="2"/>
        <scheme val="minor"/>
      </rPr>
      <t>CAÑOX3M RIGIDO 25MM PVC TUBE</t>
    </r>
  </si>
  <si>
    <r>
      <rPr>
        <sz val="10"/>
        <rFont val="Calibri"/>
        <family val="2"/>
        <scheme val="minor"/>
      </rPr>
      <t>ROLLO X25M CORRUG LIV. 20MM TUBE</t>
    </r>
  </si>
  <si>
    <r>
      <rPr>
        <sz val="10"/>
        <rFont val="Calibri"/>
        <family val="2"/>
        <scheme val="minor"/>
      </rPr>
      <t>ROLLO X25M CORRUG LIV. 25MM TUBE</t>
    </r>
  </si>
  <si>
    <r>
      <rPr>
        <sz val="10"/>
        <rFont val="Calibri"/>
        <family val="2"/>
        <scheme val="minor"/>
      </rPr>
      <t>CURVA 20MM 90ºPVC IP54 TUBE</t>
    </r>
  </si>
  <si>
    <r>
      <rPr>
        <sz val="10"/>
        <rFont val="Calibri"/>
        <family val="2"/>
        <scheme val="minor"/>
      </rPr>
      <t>CURVA 25MM 90ºPVC IP54 TUBE</t>
    </r>
  </si>
  <si>
    <r>
      <rPr>
        <sz val="10"/>
        <rFont val="Calibri"/>
        <family val="2"/>
        <scheme val="minor"/>
      </rPr>
      <t>CAJA LIVIANA OCTOGONAL CHICA</t>
    </r>
  </si>
  <si>
    <r>
      <rPr>
        <sz val="10"/>
        <rFont val="Calibri"/>
        <family val="2"/>
        <scheme val="minor"/>
      </rPr>
      <t>CAJA LIVIANA RECTANGULAR</t>
    </r>
  </si>
  <si>
    <r>
      <rPr>
        <sz val="10"/>
        <rFont val="Calibri"/>
        <family val="2"/>
        <scheme val="minor"/>
      </rPr>
      <t>CAJA LIVIANA MIGNON</t>
    </r>
  </si>
  <si>
    <r>
      <rPr>
        <sz val="10"/>
        <rFont val="Calibri"/>
        <family val="2"/>
        <scheme val="minor"/>
      </rPr>
      <t>CONECTOR 20MM PVC RIG IP54 TUBE</t>
    </r>
  </si>
  <si>
    <r>
      <rPr>
        <sz val="10"/>
        <rFont val="Calibri"/>
        <family val="2"/>
        <scheme val="minor"/>
      </rPr>
      <t>UNION 20MM PVC RIG IP54 TUBE</t>
    </r>
  </si>
  <si>
    <r>
      <rPr>
        <sz val="10"/>
        <rFont val="Calibri"/>
        <family val="2"/>
        <scheme val="minor"/>
      </rPr>
      <t>UNION 25MM PVC RIG IP54 TUBE</t>
    </r>
  </si>
  <si>
    <r>
      <rPr>
        <sz val="10"/>
        <rFont val="Calibri"/>
        <family val="2"/>
        <scheme val="minor"/>
      </rPr>
      <t>CAJA DE CONEXION 10X10X7 CH20</t>
    </r>
  </si>
  <si>
    <r>
      <rPr>
        <sz val="10"/>
        <rFont val="Calibri"/>
        <family val="2"/>
        <scheme val="minor"/>
      </rPr>
      <t>CAJA DE CONEXION 15X15X10 CH20</t>
    </r>
  </si>
  <si>
    <r>
      <rPr>
        <sz val="10"/>
        <rFont val="Calibri"/>
        <family val="2"/>
        <scheme val="minor"/>
      </rPr>
      <t>CAJA DE CONEXION 15X20X10 CH20</t>
    </r>
  </si>
  <si>
    <r>
      <rPr>
        <sz val="10"/>
        <rFont val="Calibri"/>
        <family val="2"/>
        <scheme val="minor"/>
      </rPr>
      <t>CAJA DE CONEXION 20X25X10 CH20</t>
    </r>
  </si>
  <si>
    <r>
      <rPr>
        <sz val="10"/>
        <rFont val="Calibri"/>
        <family val="2"/>
        <scheme val="minor"/>
      </rPr>
      <t>CAJA DE CONEXION 30X40X10 CH20</t>
    </r>
  </si>
  <si>
    <r>
      <rPr>
        <sz val="10"/>
        <rFont val="Calibri"/>
        <family val="2"/>
        <scheme val="minor"/>
      </rPr>
      <t>GRAMPA P/RIEL 1</t>
    </r>
  </si>
  <si>
    <r>
      <rPr>
        <sz val="10"/>
        <rFont val="Calibri"/>
        <family val="2"/>
        <scheme val="minor"/>
      </rPr>
      <t>GRAMPA P/RIEL 3/4</t>
    </r>
  </si>
  <si>
    <r>
      <rPr>
        <sz val="10"/>
        <rFont val="Calibri"/>
        <family val="2"/>
        <scheme val="minor"/>
      </rPr>
      <t>GRAMPA MEDIA OMEGA 1</t>
    </r>
  </si>
  <si>
    <r>
      <rPr>
        <sz val="10"/>
        <rFont val="Calibri"/>
        <family val="2"/>
        <scheme val="minor"/>
      </rPr>
      <t>GRAMPA MEDIA OMEGA 3/4</t>
    </r>
  </si>
  <si>
    <r>
      <rPr>
        <sz val="10"/>
        <rFont val="Calibri"/>
        <family val="2"/>
        <scheme val="minor"/>
      </rPr>
      <t>RIEL DE FIJAC.1.22 OLMAR</t>
    </r>
  </si>
  <si>
    <r>
      <rPr>
        <sz val="10"/>
        <rFont val="Calibri"/>
        <family val="2"/>
        <scheme val="minor"/>
      </rPr>
      <t>SXXII MODULO PUNTO</t>
    </r>
  </si>
  <si>
    <r>
      <rPr>
        <sz val="10"/>
        <rFont val="Calibri"/>
        <family val="2"/>
        <scheme val="minor"/>
      </rPr>
      <t>S XXI/XXII BASTIDOR LUJO</t>
    </r>
  </si>
  <si>
    <r>
      <rPr>
        <sz val="10"/>
        <rFont val="Calibri"/>
        <family val="2"/>
        <scheme val="minor"/>
      </rPr>
      <t>SXXII TAPA 1 MOD. BLANCA</t>
    </r>
  </si>
  <si>
    <r>
      <rPr>
        <sz val="10"/>
        <rFont val="Calibri"/>
        <family val="2"/>
        <scheme val="minor"/>
      </rPr>
      <t>SXXII TAPA 2 MOD. BLANCA</t>
    </r>
  </si>
  <si>
    <r>
      <rPr>
        <sz val="10"/>
        <rFont val="Calibri"/>
        <family val="2"/>
        <scheme val="minor"/>
      </rPr>
      <t>SXXII MODULO COMBINACION</t>
    </r>
  </si>
  <si>
    <r>
      <rPr>
        <sz val="10"/>
        <rFont val="Calibri"/>
        <family val="2"/>
        <scheme val="minor"/>
      </rPr>
      <t>CAJA RECTANGULAR SOBREPONER GRIS</t>
    </r>
  </si>
  <si>
    <r>
      <rPr>
        <sz val="10"/>
        <rFont val="Calibri"/>
        <family val="2"/>
        <scheme val="minor"/>
      </rPr>
      <t>M VAINA REDONDA 2X 2,50</t>
    </r>
  </si>
  <si>
    <r>
      <rPr>
        <sz val="10"/>
        <rFont val="Calibri"/>
        <family val="2"/>
        <scheme val="minor"/>
      </rPr>
      <t>S XXI SOPORTE MIGNON</t>
    </r>
  </si>
  <si>
    <r>
      <rPr>
        <sz val="10"/>
        <rFont val="Calibri"/>
        <family val="2"/>
        <scheme val="minor"/>
      </rPr>
      <t>SXXII MODULO PULSADOR</t>
    </r>
  </si>
  <si>
    <r>
      <rPr>
        <sz val="10"/>
        <rFont val="Calibri"/>
        <family val="2"/>
        <scheme val="minor"/>
      </rPr>
      <t>SXXII TAPA MIGNON 1 MD.BLANCA</t>
    </r>
  </si>
  <si>
    <r>
      <rPr>
        <sz val="10"/>
        <rFont val="Calibri"/>
        <family val="2"/>
        <scheme val="minor"/>
      </rPr>
      <t>CINTA PVC 20M NG PRYSMIAN</t>
    </r>
  </si>
  <si>
    <r>
      <rPr>
        <sz val="10"/>
        <rFont val="Calibri"/>
        <family val="2"/>
        <scheme val="minor"/>
      </rPr>
      <t>B 4 AISLADO AZ CRR 5MM 130102</t>
    </r>
  </si>
  <si>
    <r>
      <rPr>
        <sz val="10"/>
        <rFont val="Calibri"/>
        <family val="2"/>
        <scheme val="minor"/>
      </rPr>
      <t>TUBO TERMOC.12,7MM-6 MM</t>
    </r>
  </si>
  <si>
    <r>
      <rPr>
        <sz val="10"/>
        <rFont val="Calibri"/>
        <family val="2"/>
        <scheme val="minor"/>
      </rPr>
      <t>PRENSACABLE PVC 3/4RE 6-12 IP65</t>
    </r>
  </si>
  <si>
    <r>
      <rPr>
        <sz val="10"/>
        <rFont val="Calibri"/>
        <family val="2"/>
        <scheme val="minor"/>
      </rPr>
      <t>TERMINAL COBRE SCC 120-2 (5/8)</t>
    </r>
  </si>
  <si>
    <t>PELBA WEB</t>
  </si>
  <si>
    <t xml:space="preserve">SXXI MODULO toma doble 10A </t>
  </si>
  <si>
    <t>Bastidor unico 3 mod. Kalop</t>
  </si>
  <si>
    <t>Tapa civil 3 mod. Blanco marca Kalop</t>
  </si>
  <si>
    <t>Interruptor unipolar simple blanco marca Kalop</t>
  </si>
  <si>
    <t>Toma doble blanco 10 A marca Kalop</t>
  </si>
  <si>
    <t>Toma blanco 10A marca Kalop</t>
  </si>
  <si>
    <t>Toma 20A blanco marca Kalop</t>
  </si>
  <si>
    <t>Tapon ciego blanco marca Kalop</t>
  </si>
  <si>
    <t>GAS</t>
  </si>
  <si>
    <t>SAPAN</t>
  </si>
  <si>
    <t>INCENDIO</t>
  </si>
  <si>
    <t>INCEN SANIT SA</t>
  </si>
  <si>
    <t>H-3  TUBO UNIFUSION CALø.1/2"X4M</t>
  </si>
  <si>
    <t>H-3 SOBREPASO ø13MM.FUSION</t>
  </si>
  <si>
    <t>H-3 CUPLA   ø13 MM.FUSION</t>
  </si>
  <si>
    <t>H-3 CODO  ø13 MM.FUSION</t>
  </si>
  <si>
    <t>H-3 CODO ø13 MM.FUS-R.MET.H.</t>
  </si>
  <si>
    <t>H-3 TAPON MACHO PRUEBA HIDRA.ø13</t>
  </si>
  <si>
    <t>H-3 CUPLA ..ø13X 9MM FUS-R.MET.H.</t>
  </si>
  <si>
    <t>H-3 CUPLA 13MM FUS-R.MET.M.</t>
  </si>
  <si>
    <t>BFV CANILLA ESFER. MANGUERA ø13 FV436.03</t>
  </si>
  <si>
    <t>H-3 TEE  ø13 MM.FUSION</t>
  </si>
  <si>
    <t>H-3 LLAVE DE PASO 13MM FUSION CR.</t>
  </si>
  <si>
    <t>H-3  TUBO AGUA FRIA ø19 X 6</t>
  </si>
  <si>
    <t>H-3  TUBO AGUA CALIENTE 19X3.9X6</t>
  </si>
  <si>
    <t>H-3 SOBREPASO ø19MM.FUSION</t>
  </si>
  <si>
    <t xml:space="preserve">H-3 CUPLA   ø19 MM.FUSION </t>
  </si>
  <si>
    <t>H-3 CODO  ø19 MM.FUSION</t>
  </si>
  <si>
    <t>H-3 CODO ø19 MM.FUS-R.MET.H.</t>
  </si>
  <si>
    <t>H-3 TEE  ø19 MM.FUSION</t>
  </si>
  <si>
    <t>H-3 LLAVE DE PASO 19MM FUSION CR.</t>
  </si>
  <si>
    <t>H-3  TUBO AGUA FRIA ø25 X 6</t>
  </si>
  <si>
    <t>H-3 CUPLA   ø25 MM.FUSION</t>
  </si>
  <si>
    <t>H-3 CODO  ø25 MM.FUSION</t>
  </si>
  <si>
    <t xml:space="preserve">H-3 TEE  ø25 MM.FUSION </t>
  </si>
  <si>
    <t>H-3 VALV.ESFER.EMB.MARRON ø19 CRO</t>
  </si>
  <si>
    <t>H-3 VALV.ESFER.EXT.MARRON DMU ø25</t>
  </si>
  <si>
    <t>H-3  TUBO AGUA FRIA ø32 X 6</t>
  </si>
  <si>
    <t>H-3 CUPLA   ø32 MM.FUSION</t>
  </si>
  <si>
    <t>H-3 CODO  ø32 MM.FUSION</t>
  </si>
  <si>
    <t>H-3 TEE  ø32 MM.FUSION</t>
  </si>
  <si>
    <t>H-3 VALV.ESFER.EXT.MARRON DMU ø32</t>
  </si>
  <si>
    <t>H-3  TUBO AGUA FRIA ø50 X 6</t>
  </si>
  <si>
    <t>H-3 CUPLA   ø50 MM.FUSION</t>
  </si>
  <si>
    <t>H-3 CODO  ø50 MM.FUSION</t>
  </si>
  <si>
    <t>H-3 TEE  ø50 MM.FUSION</t>
  </si>
  <si>
    <t>BC FLOTANTE PRESION 51 MM.S/BOYA</t>
  </si>
  <si>
    <t>BC BOYA PRESION TELGOPOR 51 MM.</t>
  </si>
  <si>
    <t>BR CODO BCE.ROSC. A 90* HH 51MM.</t>
  </si>
  <si>
    <t>BR NIPLE BCE.ROSC. 51 X 15 CMS. F</t>
  </si>
  <si>
    <t>BR NIPLE CONEXION BCE.ROSC. 51 X 20 CMS.</t>
  </si>
  <si>
    <t>BR BRIDA BCE.ROSC. 51MM.</t>
  </si>
  <si>
    <t>H-3 VALV.ESFER.EXT.MARRON DMU ø50</t>
  </si>
  <si>
    <t>H-3 BUJE RED. 19X13 FUSION</t>
  </si>
  <si>
    <t>H-3 BUJE RED. 25X19 FUSION</t>
  </si>
  <si>
    <t>H-3 BUJE RED. 38X19 FUSION</t>
  </si>
  <si>
    <t>H-3 BUJE RED. 50X32 FUSION</t>
  </si>
  <si>
    <t>H-3 BUJE RED. 32X25 FUSION</t>
  </si>
  <si>
    <t>BFV FLEXIBLE TRENZADO ø13X30   FV261-D20</t>
  </si>
  <si>
    <t>BC CANILLA ESCUADRA P/LAVARROPAS CROMO</t>
  </si>
  <si>
    <t>BC ROSETA A*I* ø13 MM.P/CANILLA-FLEXIBLE</t>
  </si>
  <si>
    <t>TQ AUTOMAT.TANQUE SUMERGIBLE CUAD.X1.50</t>
  </si>
  <si>
    <t>CLOACAL / PLUVIAL</t>
  </si>
  <si>
    <t>AWA. TUBO TERRA C/CAMPANA ø118X4M.3/7706</t>
  </si>
  <si>
    <t>AWA.RAMAL 45+TERRA ø118 H-HC(MH) 10/8823</t>
  </si>
  <si>
    <t>AWA.CODO 45* TERRA ø118 H-HC(MH) 10/8843</t>
  </si>
  <si>
    <t>AWA.TUBO DRENA+CAMP.110X4M.4/5 RAN3/7886</t>
  </si>
  <si>
    <t>AWA TUBO PPN CLOACAL ø.110X4.00   3/1035</t>
  </si>
  <si>
    <t>AWA TUBO PPN CLOACAL ø 63X4.00   10/1026</t>
  </si>
  <si>
    <t>AWA CURVA A 90* MH ø110           6/2090</t>
  </si>
  <si>
    <t>AWA TUBO PPN CLOACAL ø 50X4.00   10/1017</t>
  </si>
  <si>
    <t>AWA TUBO PPN CLOACAL ø 40X4.00   10/1008</t>
  </si>
  <si>
    <t>AWA TAPA PPN CLOACAL ø.110       10/2036</t>
  </si>
  <si>
    <t>AWA TAPA PPN CLOACAL ø 50        20/2037</t>
  </si>
  <si>
    <t>AWA TAPA PPN CLOACAL ø 40        20/2034</t>
  </si>
  <si>
    <t>AWA SIFON ROMPE ESPUMA PPN        1/7120</t>
  </si>
  <si>
    <t>AWA RAMAL INV.PPN CLOAC.110X50    5/3014</t>
  </si>
  <si>
    <t>AWA RAMAL INV.PPN CLOAC. 50X50   20/2025</t>
  </si>
  <si>
    <t>AWA RAMAL 45*PPN CLOAC.ø110X110   5/2023</t>
  </si>
  <si>
    <t>AWA RAMAL 45*PPN CLOAC.ø110X 63   5/2024</t>
  </si>
  <si>
    <t>AWA RAMAL 45*PPN CLOAC.ø 63X 63  20/2026</t>
  </si>
  <si>
    <t>AWA MANG/CUPLA PPN CLOAC.ø110    10/2016</t>
  </si>
  <si>
    <t>AWA MANG/CUPLA PPN CLOAC.ø 63    20/2015</t>
  </si>
  <si>
    <t>AWA MANG/CUPLA PPN CLOAC.ø 50    20/2014</t>
  </si>
  <si>
    <t>AWA MANG/CUPLA PPN CLOAC.ø 40    20/2013</t>
  </si>
  <si>
    <t>AWA CODO MH 90*PPN.CLOACAL ø110  12/2008</t>
  </si>
  <si>
    <t>AWA CODO MH 90*PPN CLOACAL ø63   20/2007</t>
  </si>
  <si>
    <t>AWA CODO MH 90*PPN CLOACAL ø50   20/2006</t>
  </si>
  <si>
    <t>AWA CODO MH 90*PPN CLOACAL ø40   20/2005</t>
  </si>
  <si>
    <t>AWA CODO MH 45*PPN CLOACAL.ø110   6/2004</t>
  </si>
  <si>
    <t>AWA CODO MH 45*PPN CLOACAL ø63   20/2003</t>
  </si>
  <si>
    <t>AWA GRAMPA RAPICLACK ø110        10/4170</t>
  </si>
  <si>
    <t>AWA GRAMPA RAPICLACK ø 40-50-63  20/4167</t>
  </si>
  <si>
    <t>AWA BUJE RED.MH ø 63X50          20/2081</t>
  </si>
  <si>
    <t>AWA BOCA ACCES.HOR.3 ACOM.ø110X63 4/2460</t>
  </si>
  <si>
    <t>AWA CODO MH 45*PPN CLOACAL ø50   20/2002</t>
  </si>
  <si>
    <t>AWA CODO MH 45*PPN CLOACAL ø40   20/2001</t>
  </si>
  <si>
    <t>AWA CAÑO CAMARA PPN CLOACAL ø110  5/2065</t>
  </si>
  <si>
    <t>AWA RAMAL 90+ ø110X110 C/VENT.    2/2050</t>
  </si>
  <si>
    <t>AWA RAMAL 90+ ø110X 63 C/VENT.    2/2063</t>
  </si>
  <si>
    <t>AWA A.A.TUBO PPN CLOACAL ø32X3   10/1060</t>
  </si>
  <si>
    <t>AWA A.A.CODO HH 90*PPN CLOAC.ø32 10/2265</t>
  </si>
  <si>
    <t>AWA SOPAPA BAÑERA VERTICAL BCE.CR.1/4128</t>
  </si>
  <si>
    <t>AWA DISCO ANTIFILTRACION P/REJA   4/2077</t>
  </si>
  <si>
    <t>AWA ADAPT.SUPEREXCENT.INO.ø105"AC"4/2271</t>
  </si>
  <si>
    <t>BC TORNILLO 22X70 MM.P/INODORO CABEZA CR</t>
  </si>
  <si>
    <t>AWA PORTAREJ.+REJA A*I*12X12 ø110 4/4002</t>
  </si>
  <si>
    <t>AWA PORTAREJ +TAPA A*I*15X15 ø110 4/4005</t>
  </si>
  <si>
    <t>AWA A.A.CODO HH 45*PPN CLOAC.ø32 10/2252</t>
  </si>
  <si>
    <t>AWA SIFON BACHA DOBLE</t>
  </si>
  <si>
    <t>RP DESCARGA BLANCA FLEX.PLAST.LISA 40/50</t>
  </si>
  <si>
    <t>AWA SOLUC.DESLIZ.AEROSOL 255 CM3 12/4023</t>
  </si>
  <si>
    <t>AWA A.A.ADAPT.ø32M X 3/4" ESPIGA 20/2283</t>
  </si>
  <si>
    <t>HF EMBUDO H*F* 100 CENTRO C/REJA 20 X 20</t>
  </si>
  <si>
    <t>AWA PILETA BALCON ø 63(M)         4/2062</t>
  </si>
  <si>
    <t>BOMBAS, TANQUES Y TT</t>
  </si>
  <si>
    <t>CAMPANA</t>
  </si>
  <si>
    <t>Motorarg Centrifuga BC 100 T R.4</t>
  </si>
  <si>
    <t>Rheem termo comercial gas 250 Lts GN</t>
  </si>
  <si>
    <t>SANITRIUN SRL</t>
  </si>
  <si>
    <t>Termotanque Rheem 250 lts GN</t>
  </si>
  <si>
    <t>Tanque T3000 Tricapa + Flot 145 D x 220 ALT</t>
  </si>
  <si>
    <t>Tanque T5000 Tricapa 193 D x 209 ALT</t>
  </si>
  <si>
    <t>Valores USD</t>
  </si>
  <si>
    <t>Sistema ACS - TAG + 1 Termo Solar PEISA</t>
  </si>
  <si>
    <t>PEISA</t>
  </si>
  <si>
    <t>Sistema ACS - TAG + 3 Termo Solar PEISA</t>
  </si>
  <si>
    <t xml:space="preserve">Tanque acumulador acs 1000 Lts </t>
  </si>
  <si>
    <t>MUNRO CALEFACCION</t>
  </si>
  <si>
    <t>REVESTIMIENTO PLASTICO Y MICROPISO</t>
  </si>
  <si>
    <t>Revest. Plastico</t>
  </si>
  <si>
    <t>Base Cuarzo de 9 lts Color Y099</t>
  </si>
  <si>
    <t>QUIMTEX</t>
  </si>
  <si>
    <t>Base Cuarzo de 18 lts Color Y099</t>
  </si>
  <si>
    <t>Atenas Fino de 27 kg color Y099</t>
  </si>
  <si>
    <t>Base Cuarzo de 18 lt Color F109</t>
  </si>
  <si>
    <t>Atenas Fino de 27 kg color F109</t>
  </si>
  <si>
    <t>SIKA MAIPU</t>
  </si>
  <si>
    <t>Precio</t>
  </si>
  <si>
    <t xml:space="preserve">Fecha </t>
  </si>
  <si>
    <t>Contratista</t>
  </si>
  <si>
    <t>Pres. BASE ENE</t>
  </si>
  <si>
    <t>GESTOR ELECTRICO</t>
  </si>
  <si>
    <t>CAC</t>
  </si>
  <si>
    <t>Proyecto instalacion electrica</t>
  </si>
  <si>
    <t>IGT</t>
  </si>
  <si>
    <t>Baja de suministros</t>
  </si>
  <si>
    <t>Corte por demolicion</t>
  </si>
  <si>
    <t>Instalacion electrica desenergizada</t>
  </si>
  <si>
    <t>Traslado de alumbrado publico</t>
  </si>
  <si>
    <t xml:space="preserve">Factibilidad y renovacion </t>
  </si>
  <si>
    <t>Gestion suministros luz de obra</t>
  </si>
  <si>
    <t>Sala de medidores / Camara transformadora</t>
  </si>
  <si>
    <t>Certificados</t>
  </si>
  <si>
    <t>Servicios grales T1</t>
  </si>
  <si>
    <t>Servicios grales T2</t>
  </si>
  <si>
    <t xml:space="preserve">Residencial </t>
  </si>
  <si>
    <t>Medicion PAT adicional c/u tableros</t>
  </si>
  <si>
    <t>ENSAYOS HORMIGON</t>
  </si>
  <si>
    <t xml:space="preserve">Ensayo probeta 15 x 30  x un </t>
  </si>
  <si>
    <t>INTI</t>
  </si>
  <si>
    <t>MOVIMIENTO DE SUELOS</t>
  </si>
  <si>
    <t>CELSI VIAL</t>
  </si>
  <si>
    <t>PROYECTABLE</t>
  </si>
  <si>
    <t>Base Agosto 24</t>
  </si>
  <si>
    <t>Cargas sociales</t>
  </si>
  <si>
    <t>Monolitico</t>
  </si>
  <si>
    <t>JUAN VAZQUEZ</t>
  </si>
  <si>
    <t>Alivianado</t>
  </si>
  <si>
    <t>Arista / Buña</t>
  </si>
  <si>
    <t>Cantonera</t>
  </si>
  <si>
    <t>Revoque 3 en 1</t>
  </si>
  <si>
    <t>Buña en revoque</t>
  </si>
  <si>
    <t>TARQUINI</t>
  </si>
  <si>
    <t xml:space="preserve">Revestimiento plastico </t>
  </si>
  <si>
    <t>CRISTIAN CAPONE</t>
  </si>
  <si>
    <t>15% plus altura + 25% menor rendimiento</t>
  </si>
  <si>
    <t>AA.CC - PREINSTALACIONES</t>
  </si>
  <si>
    <t>Preinstalacion MAT</t>
  </si>
  <si>
    <t>GUILLERMO ERBA</t>
  </si>
  <si>
    <t>Preinstalacion M.O</t>
  </si>
  <si>
    <t xml:space="preserve">Instalacion y puesta en marcha </t>
  </si>
  <si>
    <t>Precios WEB</t>
  </si>
  <si>
    <t>Canalización</t>
  </si>
  <si>
    <t>b</t>
  </si>
  <si>
    <t>AAIERIC</t>
  </si>
  <si>
    <t xml:space="preserve">Boca completa </t>
  </si>
  <si>
    <t>Boca completa de ilum/toma + punto/toma</t>
  </si>
  <si>
    <t>Conexión de punto y toma</t>
  </si>
  <si>
    <t>Colocación artefacto</t>
  </si>
  <si>
    <t>Colocación extractor de aire en baño</t>
  </si>
  <si>
    <t>ELECTRO INSTALADOR</t>
  </si>
  <si>
    <t>Colocación Campana tipo Spar</t>
  </si>
  <si>
    <t>Luz de emergencia</t>
  </si>
  <si>
    <t>Tablero seccional de 8 a 36 polos</t>
  </si>
  <si>
    <t>Tablero seccional de 36 a 54 polos</t>
  </si>
  <si>
    <t>Bandeja portacable 300 mm</t>
  </si>
  <si>
    <t>Tendido de cable subterraneo</t>
  </si>
  <si>
    <t xml:space="preserve">Gabinete 4 medidores </t>
  </si>
  <si>
    <t>Gabinete 1 medidor trif</t>
  </si>
  <si>
    <t>PAT de Servicio</t>
  </si>
  <si>
    <t>CALEFACCION</t>
  </si>
  <si>
    <t>dólar mep abril</t>
  </si>
  <si>
    <t xml:space="preserve">Cotización de peña </t>
  </si>
  <si>
    <t>ACT. CAC M.O</t>
  </si>
  <si>
    <t xml:space="preserve">Incidencia de obra </t>
  </si>
  <si>
    <t xml:space="preserve">Piso radiante + caldera </t>
  </si>
  <si>
    <t>ARIAS</t>
  </si>
  <si>
    <t>usd</t>
  </si>
  <si>
    <t>Tendido de cañerías</t>
  </si>
  <si>
    <t xml:space="preserve">x UF promedio </t>
  </si>
  <si>
    <t>Montaje de radiadores</t>
  </si>
  <si>
    <t>Puesta en marcha de caldera</t>
  </si>
  <si>
    <t>x caldera</t>
  </si>
  <si>
    <t>DEPRESION DE NAPAS</t>
  </si>
  <si>
    <t>Perforación completa</t>
  </si>
  <si>
    <t>Claudio Pizzutto</t>
  </si>
  <si>
    <t>,</t>
  </si>
  <si>
    <t>Mes:</t>
  </si>
  <si>
    <t>Año:</t>
  </si>
  <si>
    <t>Revisado:</t>
  </si>
  <si>
    <t>ANALISIS DE PRECIO UNITARIO</t>
  </si>
  <si>
    <t>RESUMEN</t>
  </si>
  <si>
    <t>PRECIO UNITARIO</t>
  </si>
  <si>
    <t>Unitario Materiales:</t>
  </si>
  <si>
    <t>Unitario Mano de Obra:</t>
  </si>
  <si>
    <t>Unitario Equipos:</t>
  </si>
  <si>
    <t>RENDIMIENTO</t>
  </si>
  <si>
    <t>CODIGO</t>
  </si>
  <si>
    <t>PARTIDA</t>
  </si>
  <si>
    <t>DETALLE</t>
  </si>
  <si>
    <t>MO</t>
  </si>
  <si>
    <t>u/dia</t>
  </si>
  <si>
    <t>Movimiento de suelos para bases c/ aporte de tosca (e: 40 cm en 2 capas de 20 cm)</t>
  </si>
  <si>
    <t>ARQUIN21</t>
  </si>
  <si>
    <t>Ladrillo común 12,5 x 5,5 x 25 (e:15 cm)</t>
  </si>
  <si>
    <t>Ladrillo cerámico 8 x 18 x 33 cm</t>
  </si>
  <si>
    <t xml:space="preserve">Ladrillo cerámico 12 x 18 x 33 cm </t>
  </si>
  <si>
    <t>Ladrillo cerámico 18 x 18 x 33 cm</t>
  </si>
  <si>
    <t>Pared DOBLE Comun / 5 / LHC 08 - (ladrillo a la vista)</t>
  </si>
  <si>
    <t>Ladrillo hueco portante 12 x 19 x 33</t>
  </si>
  <si>
    <t>Amure puertas tipo (0,90 x 2,00 m)</t>
  </si>
  <si>
    <t>Amure Premarcos</t>
  </si>
  <si>
    <t>Amure barandas (insertos c/1,00 m)</t>
  </si>
  <si>
    <t xml:space="preserve">Azotado hidrófugo </t>
  </si>
  <si>
    <t>Interior jaharro a la cal + Enlucido a la cal</t>
  </si>
  <si>
    <t>Revoque Grueso impermeable Exterior hasta 3.00 m - Incl. Azotado hidrófugo</t>
  </si>
  <si>
    <t>Revoque Grueso impermeable Exterior a mas de 3.00 m - Incl. Azotado hidrófugo</t>
  </si>
  <si>
    <t>Contrapiso HHRP</t>
  </si>
  <si>
    <t>Carpeta MC 1:3 (e: 2cm)</t>
  </si>
  <si>
    <t>Carpeta monolítico h = 7 cm</t>
  </si>
  <si>
    <t>Carpeta hidrófuga (e: 2 cm)</t>
  </si>
  <si>
    <t>Cemento alisado o cilindrado (e: 3 cm)</t>
  </si>
  <si>
    <t>Látex interior para paredes (incl. enduido)</t>
  </si>
  <si>
    <t>Living</t>
  </si>
  <si>
    <t>látex para cielorrasos  (incl. enduido)</t>
  </si>
  <si>
    <t>látex exterior para paredes hasta 3.00 m de altura</t>
  </si>
  <si>
    <t>Dormitori</t>
  </si>
  <si>
    <t>ARQUIN22</t>
  </si>
  <si>
    <t>53 bis</t>
  </si>
  <si>
    <t>látex exterior para paredes a más 3.00 m de altura</t>
  </si>
  <si>
    <t>Esmalte sintético sobre carpintería metálica , herrería (cuando es vacio x lleno contemplar MAT al 60%)</t>
  </si>
  <si>
    <t xml:space="preserve">Revestimiento plastico texturado tipo Quimtex fino </t>
  </si>
  <si>
    <t>Colocación porcelanato en pisos (no incluye baños)</t>
  </si>
  <si>
    <t>Revestimiento porcelanato en paredes y piso baños</t>
  </si>
  <si>
    <t>Colocacion de zocalo porcelanato</t>
  </si>
  <si>
    <t>Látex interior satinado para paredes</t>
  </si>
  <si>
    <t>ARQUIN23</t>
  </si>
  <si>
    <t>Cielorraso Durlock - Junta Tomada STD</t>
  </si>
  <si>
    <t>ARQUIN24</t>
  </si>
  <si>
    <t>Cielorraso Durlock - Junta Tomada RH</t>
  </si>
  <si>
    <t>ARQUIN25</t>
  </si>
  <si>
    <t>Cielorraso Durlock - Junta Tomada RF</t>
  </si>
  <si>
    <t>ARQUIN26</t>
  </si>
  <si>
    <t xml:space="preserve">Cielorraso Desmontable 60x60 - sin provision </t>
  </si>
  <si>
    <t>63 bis</t>
  </si>
  <si>
    <t>Cielorraso Desmontable 60x60 - incluye placa  Deco Vinyl</t>
  </si>
  <si>
    <t>ARQUIN27</t>
  </si>
  <si>
    <t>Pared Durlock - Simple</t>
  </si>
  <si>
    <t>ARQUIN28</t>
  </si>
  <si>
    <t xml:space="preserve">Pared Durlock - Doble placa STD ambas caras y asilación lana de vidrio </t>
  </si>
  <si>
    <t>ARQUIN29</t>
  </si>
  <si>
    <t xml:space="preserve">Medio tabique espesor total 8,5 cm </t>
  </si>
  <si>
    <t>ARQUIN30</t>
  </si>
  <si>
    <t>Esmalte sintetico para paredes</t>
  </si>
  <si>
    <t>ARQUIN31</t>
  </si>
  <si>
    <t>Ladrillo Klimablock 27 x 19 x 30 cm</t>
  </si>
  <si>
    <t>ARQUIN33</t>
  </si>
  <si>
    <t>Impermeabilización de cubierta transitable sobre carpeta horizontal con membrana Geotextil de 4mm, a soplete.</t>
  </si>
  <si>
    <t>ARQUIN34</t>
  </si>
  <si>
    <t>Impermeabilización de cubierta con Malla no tejida de poliester y pintura poliuretánica</t>
  </si>
  <si>
    <t>ARQUIN35</t>
  </si>
  <si>
    <t>Revoque Exterior 3 en 1 hasta 3,00 m</t>
  </si>
  <si>
    <t>ARQUIN36</t>
  </si>
  <si>
    <t>Pintura sobre pared existente</t>
  </si>
  <si>
    <t>ARQUIN37</t>
  </si>
  <si>
    <t>Impermeabilizacion sobre ladrillo</t>
  </si>
  <si>
    <t>ARQUIN38</t>
  </si>
  <si>
    <t>ladrillo cerámico 12 x 19 x 33 cm - PORTANTE</t>
  </si>
  <si>
    <t>ARQUIN41</t>
  </si>
  <si>
    <t>Impermeabilizacion de azotea con pintura asfaltica / Barrera de vapor</t>
  </si>
  <si>
    <t>ARQUIN42</t>
  </si>
  <si>
    <t>Babeta en Azotea con membrana Geotextil Ormiflex de 4mm, a soplete.</t>
  </si>
  <si>
    <t>m</t>
  </si>
  <si>
    <t>ARQUIN43</t>
  </si>
  <si>
    <t>Revoque Grueso Exterior S/hidrofugo hasta 3.00 m</t>
  </si>
  <si>
    <t>ARQUIN44</t>
  </si>
  <si>
    <t>Cielorraso Desmontable 120x60 - incluye placa</t>
  </si>
  <si>
    <t>ARQUIN45</t>
  </si>
  <si>
    <t>Perfil buña Z / Cantonera</t>
  </si>
  <si>
    <t>ARQUIN46</t>
  </si>
  <si>
    <t>Bloque de Hormigon 10 x 19 x 39</t>
  </si>
  <si>
    <t>ARQUIN47</t>
  </si>
  <si>
    <t>Bloque de Hormigon 19 x 19 x 39</t>
  </si>
  <si>
    <t>ARQUIN48</t>
  </si>
  <si>
    <t>BOCA ILUMINACIÓN</t>
  </si>
  <si>
    <t>ARQUIN49</t>
  </si>
  <si>
    <t>BOCA TOMACORRIENTE</t>
  </si>
  <si>
    <t>ARQUIN50</t>
  </si>
  <si>
    <t>BANDEJA PORTACABLES 200</t>
  </si>
  <si>
    <t>ARQUIN51</t>
  </si>
  <si>
    <t>COLUMNA HORMIGÓN RÚSTICO 85 kg/m3</t>
  </si>
  <si>
    <t>ARQUIN52</t>
  </si>
  <si>
    <t>COLUMNA HORMIGÓN VISTO</t>
  </si>
  <si>
    <t>ARQUIN53</t>
  </si>
  <si>
    <t>Viga de hormigon rustico 180 kg/m3</t>
  </si>
  <si>
    <t>ARQUIN54</t>
  </si>
  <si>
    <t>Viga</t>
  </si>
  <si>
    <t>ARQUIN55</t>
  </si>
  <si>
    <t xml:space="preserve">Losa de hormigon rustico </t>
  </si>
  <si>
    <t>ARQUIN56</t>
  </si>
  <si>
    <t>Losa</t>
  </si>
  <si>
    <t>ARQUIN57</t>
  </si>
  <si>
    <t>Tabique de hormigon rustico 80 kg/m3</t>
  </si>
  <si>
    <t>ARQUIN58</t>
  </si>
  <si>
    <t>Tabique de hormigon visto 80 kg/m3</t>
  </si>
  <si>
    <t>ARQUIN59</t>
  </si>
  <si>
    <t>Escalera de hormigon rustico 75 kg/m3</t>
  </si>
  <si>
    <t>ARQUIN60</t>
  </si>
  <si>
    <t>Bases asiladas 60 kg/m3</t>
  </si>
  <si>
    <t>ARQUIN61</t>
  </si>
  <si>
    <t>Vigas de fundacion 60 kg/m3</t>
  </si>
  <si>
    <t>ARQUIN62</t>
  </si>
  <si>
    <t>Revoque grueso para interiores</t>
  </si>
  <si>
    <t>ARQUIN63</t>
  </si>
  <si>
    <t xml:space="preserve">Revoque fino a la cal </t>
  </si>
  <si>
    <t>ARQUIN64</t>
  </si>
  <si>
    <t>Carpeta cal reforzada (e: 1,5 cm)</t>
  </si>
  <si>
    <t>ARQUIN65</t>
  </si>
  <si>
    <t>Látex interior para paredes (enduido parcial)</t>
  </si>
  <si>
    <t>ARQUIN66</t>
  </si>
  <si>
    <t xml:space="preserve">Pared simple con aislacion de lana de vidrio </t>
  </si>
  <si>
    <t>ARQUIN67</t>
  </si>
  <si>
    <t xml:space="preserve">Yeso pared </t>
  </si>
  <si>
    <t>ARQUIN68</t>
  </si>
  <si>
    <t xml:space="preserve">Yeso en cielorraso </t>
  </si>
  <si>
    <t>ARQUIN69</t>
  </si>
  <si>
    <t xml:space="preserve">Cemento alisado </t>
  </si>
  <si>
    <t>ARQUIN70</t>
  </si>
  <si>
    <t>ARQUIN71</t>
  </si>
  <si>
    <t>REVOQUE 2 EN 1 hasta 3,00 m</t>
  </si>
  <si>
    <t>ARQUIN72</t>
  </si>
  <si>
    <t>REVOQUE 2 EN 1 a mas 3,00 m</t>
  </si>
  <si>
    <t>ARQUIN73</t>
  </si>
  <si>
    <t xml:space="preserve">Muro retak </t>
  </si>
  <si>
    <t>ARQUIN74</t>
  </si>
  <si>
    <t>Látex interior para paredes (s/enduido)</t>
  </si>
  <si>
    <t xml:space="preserve">COSTO M.O. </t>
  </si>
  <si>
    <t>Carga Manual</t>
  </si>
  <si>
    <t>Costo Real (B+N)</t>
  </si>
  <si>
    <t>Jornal</t>
  </si>
  <si>
    <t>Mensual</t>
  </si>
  <si>
    <t>Hora</t>
  </si>
  <si>
    <t>Dif real / teorico</t>
  </si>
  <si>
    <t>Mano Jornal</t>
  </si>
  <si>
    <t>Hora Uocra</t>
  </si>
  <si>
    <t>ESPECIALIZADO</t>
  </si>
  <si>
    <t xml:space="preserve">OFICIAL </t>
  </si>
  <si>
    <t>MEDIO OFICIAL</t>
  </si>
  <si>
    <t>AYUDANTE</t>
  </si>
  <si>
    <t>SOBRESTANTE</t>
  </si>
  <si>
    <t>JEFE DE OBRA</t>
  </si>
  <si>
    <t>COORD OBRAS</t>
  </si>
  <si>
    <t>CAPATAZ</t>
  </si>
  <si>
    <t>Elemento</t>
  </si>
  <si>
    <t>Unidad</t>
  </si>
  <si>
    <t>Fund</t>
  </si>
  <si>
    <t>s/PB</t>
  </si>
  <si>
    <t xml:space="preserve">s/1º </t>
  </si>
  <si>
    <t>s/2º</t>
  </si>
  <si>
    <t>s/3º</t>
  </si>
  <si>
    <t>s/4º</t>
  </si>
  <si>
    <t>Tabique de submuración</t>
  </si>
  <si>
    <t>Platea</t>
  </si>
  <si>
    <t>Vigas Encadenado</t>
  </si>
  <si>
    <t>Losa vista</t>
  </si>
  <si>
    <t>Viga vista</t>
  </si>
  <si>
    <t>Tabiques</t>
  </si>
  <si>
    <t>Columna</t>
  </si>
  <si>
    <t>Escaleras</t>
  </si>
  <si>
    <t>Bases</t>
  </si>
  <si>
    <t xml:space="preserve">Descripcion </t>
  </si>
  <si>
    <t>P UNIT</t>
  </si>
  <si>
    <t>Total hormigonadas</t>
  </si>
  <si>
    <t xml:space="preserve">Total m3 </t>
  </si>
  <si>
    <t>Bomba x m3</t>
  </si>
  <si>
    <t xml:space="preserve">m3 x etapa </t>
  </si>
  <si>
    <t>Camiones x etapa</t>
  </si>
  <si>
    <t>H30 6.12</t>
  </si>
  <si>
    <t>Desperdicio/corte</t>
  </si>
  <si>
    <t>S/SS</t>
  </si>
  <si>
    <t>Hierros, alambres, separadores, etc</t>
  </si>
  <si>
    <t>S/PB</t>
  </si>
  <si>
    <t>Corte y doblado</t>
  </si>
  <si>
    <t>HIERRO DE CONSTRUCCION</t>
  </si>
  <si>
    <t>Kilo por barra</t>
  </si>
  <si>
    <t xml:space="preserve">Precio por kg </t>
  </si>
  <si>
    <t>Ø 10</t>
  </si>
  <si>
    <t>$/kg</t>
  </si>
  <si>
    <t>Probetas x camion</t>
  </si>
  <si>
    <t>Cant. Probetas</t>
  </si>
  <si>
    <t xml:space="preserve">Elemento </t>
  </si>
  <si>
    <t xml:space="preserve">Hierro x m3 </t>
  </si>
  <si>
    <t xml:space="preserve">H30 </t>
  </si>
  <si>
    <t>Madera x m3</t>
  </si>
  <si>
    <t>$ x probeta</t>
  </si>
  <si>
    <t>Etapas</t>
  </si>
  <si>
    <t>$ x etapa</t>
  </si>
  <si>
    <t>SILVA HNOS</t>
  </si>
  <si>
    <t>OBRA VERA 1199</t>
  </si>
  <si>
    <t>Hormigón Armado de Fundación</t>
  </si>
  <si>
    <t>HA. De cabezales (90 kg/m3 de hierro)</t>
  </si>
  <si>
    <t>H.A. De vigas de fundación (115kg/m3 de hierro)</t>
  </si>
  <si>
    <t>Armado de pilotes soldado</t>
  </si>
  <si>
    <t>LOSAS S/PB - S/10ºP</t>
  </si>
  <si>
    <t>H.A. De Columnas hormigón rustico (90kg/m3 de hierro)</t>
  </si>
  <si>
    <t>H.A. De tabiques hormigón rustico (80kg/m3 de hierro)</t>
  </si>
  <si>
    <t>H.A. De vigas normales hormigón rustico (120kg/m3 de hierro)</t>
  </si>
  <si>
    <t>H.A. De losas macizas hormigón rustico (80kg/m3 de hierro)</t>
  </si>
  <si>
    <t>H.A. De escalera normales S/PB (115kg/m3 de hierro)</t>
  </si>
  <si>
    <t>Subtotal SIN IVA</t>
  </si>
  <si>
    <t>P UNIT ACTUALIZADO</t>
  </si>
  <si>
    <t>SUBTOTAL</t>
  </si>
  <si>
    <t>PRECIOS BASE ENE 23</t>
  </si>
  <si>
    <t>m3 piso 2</t>
  </si>
  <si>
    <t>Por losa</t>
  </si>
  <si>
    <t>Precios M.O</t>
  </si>
  <si>
    <t>Jornal c/ horas extra (2)</t>
  </si>
  <si>
    <t>Armadores</t>
  </si>
  <si>
    <t>Carpinteros</t>
  </si>
  <si>
    <t xml:space="preserve">Cant </t>
  </si>
  <si>
    <t>ANALISIS DE M.O</t>
  </si>
  <si>
    <t>VERA 1199</t>
  </si>
  <si>
    <t>ARQUINERING SRL</t>
  </si>
  <si>
    <t>Unidad:</t>
  </si>
  <si>
    <t>Cantidad:</t>
  </si>
  <si>
    <t>Rendimiento:</t>
  </si>
  <si>
    <t>COLUMNAS H°A° - 2° piso</t>
  </si>
  <si>
    <t>m3/dia</t>
  </si>
  <si>
    <t>DESCRIPCIÓN</t>
  </si>
  <si>
    <t>Cantidad</t>
  </si>
  <si>
    <t>Salario $</t>
  </si>
  <si>
    <t>Total $</t>
  </si>
  <si>
    <t>Dias</t>
  </si>
  <si>
    <t xml:space="preserve">DOBLADO, ARMADO Y POSICIONAMIENTO </t>
  </si>
  <si>
    <t xml:space="preserve">ENCONFRADO Y APUNTALAMIENTO </t>
  </si>
  <si>
    <t>HORMIGONADO</t>
  </si>
  <si>
    <t>$ x m3</t>
  </si>
  <si>
    <t>Total Mano de Obra Menor:</t>
  </si>
  <si>
    <t>Gastos Generales:</t>
  </si>
  <si>
    <t>Beneficio:</t>
  </si>
  <si>
    <t xml:space="preserve">PRECIO UNITARIO: </t>
  </si>
  <si>
    <t>TABIQUES H°A° - 2° piso</t>
  </si>
  <si>
    <t>VIGAS H°A° - 2° piso</t>
  </si>
  <si>
    <t>LLUVIA/MAL CLIMA</t>
  </si>
  <si>
    <t>Cant m3</t>
  </si>
  <si>
    <t>LOSAS H°A° - 2° piso</t>
  </si>
  <si>
    <t>Imprevistos / mal clima</t>
  </si>
  <si>
    <t>ESCALERAS H°A° - 2° piso</t>
  </si>
  <si>
    <t>Pres Silva</t>
  </si>
  <si>
    <t>CS</t>
  </si>
  <si>
    <t>MADERERA NEWTON</t>
  </si>
  <si>
    <t xml:space="preserve">$ x ml </t>
  </si>
  <si>
    <t xml:space="preserve">Pie </t>
  </si>
  <si>
    <t xml:space="preserve">Precio x pie </t>
  </si>
  <si>
    <t>Tabala 4 x 1 x 3,6</t>
  </si>
  <si>
    <t>Tirante 3 x 3 x 3,6</t>
  </si>
  <si>
    <t>Un med.</t>
  </si>
  <si>
    <t xml:space="preserve">Redondeo </t>
  </si>
  <si>
    <t xml:space="preserve">Precio por PIE SALIGNA BRUTO </t>
  </si>
  <si>
    <t xml:space="preserve">pie cub </t>
  </si>
  <si>
    <t>pulgadas</t>
  </si>
  <si>
    <t>Saligna</t>
  </si>
  <si>
    <t>Material</t>
  </si>
  <si>
    <t>CANT.</t>
  </si>
  <si>
    <t>Seccion (en pulgadas)</t>
  </si>
  <si>
    <t>Pie x pieza</t>
  </si>
  <si>
    <t>Precio por pie</t>
  </si>
  <si>
    <t>Costo x pieza</t>
  </si>
  <si>
    <t>DEPRECIACIÓN</t>
  </si>
  <si>
    <t xml:space="preserve">PRECIO </t>
  </si>
  <si>
    <t>PLATEA 1m3</t>
  </si>
  <si>
    <t>Sep.</t>
  </si>
  <si>
    <t>Largo pieza</t>
  </si>
  <si>
    <t>Long total</t>
  </si>
  <si>
    <t>x m3</t>
  </si>
  <si>
    <t>Barrotes</t>
  </si>
  <si>
    <t>Estacas</t>
  </si>
  <si>
    <t>Muerto</t>
  </si>
  <si>
    <t>Fenolico</t>
  </si>
  <si>
    <t>e</t>
  </si>
  <si>
    <t>Encofrado</t>
  </si>
  <si>
    <t>VIGA FUNDACION 1m3</t>
  </si>
  <si>
    <t>Aprox. 8 ml de vigas de 0,25 x 0,50 m</t>
  </si>
  <si>
    <t xml:space="preserve">Platea tipo </t>
  </si>
  <si>
    <t>Pie derecho</t>
  </si>
  <si>
    <t>Tornapuntas</t>
  </si>
  <si>
    <t>Muertos</t>
  </si>
  <si>
    <t>Separadores</t>
  </si>
  <si>
    <t>ml x m3</t>
  </si>
  <si>
    <t>Elemento tipico</t>
  </si>
  <si>
    <t>COLUMNA 1m3</t>
  </si>
  <si>
    <t>Aprox. 4 columnas de 2,60 m</t>
  </si>
  <si>
    <t>Pie derecho / Puntales</t>
  </si>
  <si>
    <t>Estacas / Avioncitos</t>
  </si>
  <si>
    <t>Barrotes lado largo</t>
  </si>
  <si>
    <t>Barrotes lado corto</t>
  </si>
  <si>
    <t xml:space="preserve">Altura promedio </t>
  </si>
  <si>
    <t>COLUMNA 1m3 VISTA</t>
  </si>
  <si>
    <t>TABIQUE 1m3</t>
  </si>
  <si>
    <t>Aprox. 2,5 ml de tabique de e: 15 cm</t>
  </si>
  <si>
    <t xml:space="preserve">Encofrado </t>
  </si>
  <si>
    <t xml:space="preserve">Elemento tipico </t>
  </si>
  <si>
    <t>Largueros</t>
  </si>
  <si>
    <t>Arriostre 1</t>
  </si>
  <si>
    <t>Arriostre 2</t>
  </si>
  <si>
    <t>Puntales Largos</t>
  </si>
  <si>
    <t>Puntales Cortos</t>
  </si>
  <si>
    <t>TABIQUE 1m3 VISTO</t>
  </si>
  <si>
    <t>Barrotes / Posibilidad viga H</t>
  </si>
  <si>
    <t>Largueros / Posibilidad viga H</t>
  </si>
  <si>
    <t xml:space="preserve">Puntales Largos / Puntales </t>
  </si>
  <si>
    <t>Puntales Cortos / Puntales</t>
  </si>
  <si>
    <t>LOSA 1m3</t>
  </si>
  <si>
    <t>Aprox. 10 m2 de losa e: 10 cm</t>
  </si>
  <si>
    <t>Arriostres / Flechas</t>
  </si>
  <si>
    <t>Solera / Vigas H</t>
  </si>
  <si>
    <t>Cuña / Tripodes</t>
  </si>
  <si>
    <t>Refuerzo / Flechas</t>
  </si>
  <si>
    <t xml:space="preserve">Cierre lateral </t>
  </si>
  <si>
    <t xml:space="preserve">Tapada </t>
  </si>
  <si>
    <t>LOSA VISTA 1m3</t>
  </si>
  <si>
    <t xml:space="preserve">VIGA 1m3 </t>
  </si>
  <si>
    <t>Aprox. 20 ml de viga de 12 x 45 cm</t>
  </si>
  <si>
    <t>Arriostres laterales / Flechas</t>
  </si>
  <si>
    <t>Cabezales</t>
  </si>
  <si>
    <t>Solera</t>
  </si>
  <si>
    <t>VIGA 1m3 VISTA</t>
  </si>
  <si>
    <t>ESCALERA 1m3</t>
  </si>
  <si>
    <t>Aprox. Escalera ancho 1,20 m x piso</t>
  </si>
  <si>
    <t xml:space="preserve">Tramo 1 </t>
  </si>
  <si>
    <t>Tramo 2</t>
  </si>
  <si>
    <t>h promed</t>
  </si>
  <si>
    <t>Laterales</t>
  </si>
  <si>
    <t>Contra pasos</t>
  </si>
  <si>
    <t>Fondos</t>
  </si>
  <si>
    <t>Arriostres</t>
  </si>
  <si>
    <t>ESCALERA 1m3 VISTA</t>
  </si>
  <si>
    <t>DEFENSA / BANDEJA SEGURIDAD 1m</t>
  </si>
  <si>
    <t>Correas</t>
  </si>
  <si>
    <t>Vigas</t>
  </si>
  <si>
    <t>Fenolico 15mm</t>
  </si>
  <si>
    <t xml:space="preserve">RESUMEN ENCOFRADO </t>
  </si>
  <si>
    <t>UN</t>
  </si>
  <si>
    <t>P. UNIT</t>
  </si>
  <si>
    <t xml:space="preserve">Viga fundacion </t>
  </si>
  <si>
    <t xml:space="preserve">Columna vista </t>
  </si>
  <si>
    <t>Tabique</t>
  </si>
  <si>
    <t>Tabique visto</t>
  </si>
  <si>
    <t xml:space="preserve">Viga </t>
  </si>
  <si>
    <t>Escalera vista</t>
  </si>
  <si>
    <t>Defensa</t>
  </si>
  <si>
    <t xml:space="preserve">APUNTALAMIENTO </t>
  </si>
  <si>
    <t xml:space="preserve">PERI </t>
  </si>
  <si>
    <t xml:space="preserve">Alquiler mensual </t>
  </si>
  <si>
    <t xml:space="preserve">P. unit </t>
  </si>
  <si>
    <t>Cant / Sup</t>
  </si>
  <si>
    <t>Cant meses</t>
  </si>
  <si>
    <t>Reapuntalamiento</t>
  </si>
  <si>
    <t xml:space="preserve">Planta tipo </t>
  </si>
  <si>
    <t>Losa c/vigas - Mes de desencofrado</t>
  </si>
  <si>
    <t>Reapuntalamiento (propios)</t>
  </si>
  <si>
    <t>Compra nueva</t>
  </si>
  <si>
    <t>Obras</t>
  </si>
  <si>
    <t>Amortización</t>
  </si>
  <si>
    <t>Flete entrega</t>
  </si>
  <si>
    <t xml:space="preserve">Flete devolucion </t>
  </si>
  <si>
    <t>Kg/m3</t>
  </si>
  <si>
    <t>Sup.</t>
  </si>
  <si>
    <t>A maquina</t>
  </si>
  <si>
    <t>A mano</t>
  </si>
  <si>
    <t>Excavación por m3</t>
  </si>
  <si>
    <t>R6</t>
  </si>
  <si>
    <t>C9</t>
  </si>
  <si>
    <t>C10</t>
  </si>
  <si>
    <t>Grueso bajo reves</t>
  </si>
  <si>
    <t>Aristas (esq. Metalico)</t>
  </si>
  <si>
    <t>Aislaciòn hidrofuga sobre contrapiso</t>
  </si>
  <si>
    <t>Barrera de vapor (pintura asfaltica)</t>
  </si>
  <si>
    <t>Buña de Yeso</t>
  </si>
  <si>
    <t>Puerta placa MDF (blanco semi mate)</t>
  </si>
  <si>
    <t>Puerta de chapa (espacios comunes)</t>
  </si>
  <si>
    <t>Baldosas 40x40</t>
  </si>
  <si>
    <t>MDF Pintado</t>
  </si>
  <si>
    <t>Revestimiento texturado con llana metalica</t>
  </si>
  <si>
    <t>Tecla 1 mod</t>
  </si>
  <si>
    <t>Tecla 2 mod</t>
  </si>
  <si>
    <t>Tecla 3 mod</t>
  </si>
  <si>
    <t>Pulsador timbre</t>
  </si>
  <si>
    <t>Boca de Portero</t>
  </si>
  <si>
    <t>Tablero TSFM</t>
  </si>
  <si>
    <t>Bacha de losa Roca</t>
  </si>
  <si>
    <t>Bacha A.I Johnson</t>
  </si>
  <si>
    <t>Hall ascensores</t>
  </si>
  <si>
    <t>P 1</t>
  </si>
  <si>
    <t>Cuantia total</t>
  </si>
  <si>
    <t>S/cargas</t>
  </si>
  <si>
    <t>Sika WaterBars V-15, largo 15 mts</t>
  </si>
  <si>
    <t>Sika WaterBars V-20, largo 15 mts</t>
  </si>
  <si>
    <t>Cargas</t>
  </si>
  <si>
    <t>Subcontrato</t>
  </si>
  <si>
    <t>Carpeta s/ membrana</t>
  </si>
  <si>
    <t>Contrapiso s/ss</t>
  </si>
  <si>
    <t>Imputados en pres</t>
  </si>
  <si>
    <t>Total GGBB</t>
  </si>
  <si>
    <t>Contrapiso alivianado c/ pendiente en azotea</t>
  </si>
  <si>
    <t>R3</t>
  </si>
  <si>
    <t>Cantonera en revoque</t>
  </si>
  <si>
    <t>Yeso</t>
  </si>
  <si>
    <t>R7</t>
  </si>
  <si>
    <t>R8</t>
  </si>
  <si>
    <t>Revoque 2 en 1</t>
  </si>
  <si>
    <t>Repetición</t>
  </si>
  <si>
    <t xml:space="preserve">Contrapiso </t>
  </si>
  <si>
    <t>CARLOS BURGO</t>
  </si>
  <si>
    <t>Colocación de membrana</t>
  </si>
  <si>
    <t>IMPERMEBAILIZACION</t>
  </si>
  <si>
    <t>Total de Obra (2 perforaciones)</t>
  </si>
  <si>
    <t>Juntas (perimetral/vertical/etc.)</t>
  </si>
  <si>
    <t>Impermeabilización (tabiques/losa)</t>
  </si>
  <si>
    <t>HIDROTECNICA</t>
  </si>
  <si>
    <t>Act. Estimada</t>
  </si>
  <si>
    <t>Base M.O. sep 24</t>
  </si>
  <si>
    <t>Bajo recorrido</t>
  </si>
  <si>
    <t>Bajo recorrdio</t>
  </si>
  <si>
    <t xml:space="preserve">Sika Monotop 107 Seal </t>
  </si>
  <si>
    <t>M.O Ago-24</t>
  </si>
  <si>
    <t>Cantonera dk</t>
  </si>
  <si>
    <t>Weber climamur termoaislante x 7 kg (rinde 1 m2)</t>
  </si>
  <si>
    <t>Weberprim celublock x 30 kg (3 kg/m2)</t>
  </si>
  <si>
    <t>M.Obra. Carga de material y lijado de la losa (35 m2 x dia)</t>
  </si>
  <si>
    <t>Revoque grueso bajo revest.</t>
  </si>
  <si>
    <t>Ladrillo del 8</t>
  </si>
  <si>
    <t>Consumibles / Material de asiento</t>
  </si>
  <si>
    <t>Sellador / Silicona (2 bañeras)</t>
  </si>
  <si>
    <t>H°A°</t>
  </si>
  <si>
    <t>C07</t>
  </si>
  <si>
    <t>RV1</t>
  </si>
  <si>
    <t>RV2</t>
  </si>
  <si>
    <t>RV3</t>
  </si>
  <si>
    <t>Latex interior color a definir enduido completo</t>
  </si>
  <si>
    <t>Latex interior color a definir enduido parcial</t>
  </si>
  <si>
    <t>Latex exterior color a definir s/ enduido</t>
  </si>
  <si>
    <t>PCI3</t>
  </si>
  <si>
    <t>TERMINACIONES</t>
  </si>
  <si>
    <t>Latex interior color a definir s/ enduido</t>
  </si>
  <si>
    <r>
      <t xml:space="preserve">Revestimiento en cocinas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</si>
  <si>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Espacio comun/balcones</t>
  </si>
  <si>
    <t>TENSION</t>
  </si>
  <si>
    <t>MBT</t>
  </si>
  <si>
    <t>Gas</t>
  </si>
  <si>
    <t>ROSCA CON TUERCA GALVANIZADA 2"</t>
  </si>
  <si>
    <t>GEORGIA</t>
  </si>
  <si>
    <t>BZ TENARIS CANO EPOXI 11/4X6.40 MTS</t>
  </si>
  <si>
    <t>DEMA EPOXI TEE 11/4</t>
  </si>
  <si>
    <t>DEMA EPOXI CODO 90 HH 11/4</t>
  </si>
  <si>
    <t>CB BRONCE BUJE RED 3/4X1/2</t>
  </si>
  <si>
    <t>CB BRONCE BUJE RED 11/4X1</t>
  </si>
  <si>
    <t>CB BRONCE BUJE RED 11/2X11/4</t>
  </si>
  <si>
    <t>SUYAI ESFERICA P/GAS FORJADA 11/4 PASO TOTAL</t>
  </si>
  <si>
    <t>FUSIOGAS TRANSICION HEMBRA 32 X 1 (203232)</t>
  </si>
  <si>
    <t>FUSIOGAS TRANSICION HEMBRA 50 X 1 1/2 (203250)</t>
  </si>
  <si>
    <t>SALUSTRI REGULADOR GAS GS-25 25 NM3/H APROBADO</t>
  </si>
  <si>
    <t>FUSIOGAS TUBO  20 MM X 4.00 MTS (200020)</t>
  </si>
  <si>
    <t>FUSIOGAS TUBO  25 MM X 4.00 MTS (200025)</t>
  </si>
  <si>
    <t>FUSIOGAS TUBO  32 MM X 4.00 MTS (200032)</t>
  </si>
  <si>
    <t>FUSIOGAS TUBO  50 MM X 4.00 MTS (200050)</t>
  </si>
  <si>
    <t>FUSIOGAS CUPLA FUSION 20 MM (203020)</t>
  </si>
  <si>
    <t>FUSIOGAS CUPLA FUSION 25 MM (203025)</t>
  </si>
  <si>
    <t>FUSIOGAS CUPLA FUSION 32 MM (203032)</t>
  </si>
  <si>
    <t>FUSIOGAS CUPLA FUSION 50 MM (203050)</t>
  </si>
  <si>
    <t>FUSIOGAS TEE FUSION 25 MM (202025)</t>
  </si>
  <si>
    <t>FUSIOGAS TEE FUSION 32 MM (202032)</t>
  </si>
  <si>
    <t>FUSIOGAS TEE FUSION 50 MM (202050)</t>
  </si>
  <si>
    <t>FUSIOGAS CODO A 90 FUSION 20 MM (201020)</t>
  </si>
  <si>
    <t>FUSIOGAS CODO A 90 FUSION 25 MM (201025)</t>
  </si>
  <si>
    <t>FUSIOGAS CODO A 90 FUSION 32 MM (201032)</t>
  </si>
  <si>
    <t>FUSIOGAS CODO A 90 FUSION 50 MM (201050)</t>
  </si>
  <si>
    <t>FUSIOGAS CODO A 45 FUSION 32 MM (201632)</t>
  </si>
  <si>
    <t>FUSIOGAS CUPLA RED. FUSION 25 X 20 MM (203126)</t>
  </si>
  <si>
    <t>FUSIOGAS CUPLA RED. FUSION 32 X 25 MM (203133)</t>
  </si>
  <si>
    <t>FUSIOGAS CUPLA RED. FUSION 50 X 32 MM (203152)</t>
  </si>
  <si>
    <t>FUSIOGAS CODO A 90 ROSCA HEMBRA 20 X 1/2 (201220)</t>
  </si>
  <si>
    <t>FUSIOGAS CODO A 90 ROSCA HEMBRA 25 X 3/4 (201225)</t>
  </si>
  <si>
    <t>FUSIOGAS CODO A 90 ROSCA HEMBRA 32 X 3/4 (201333)</t>
  </si>
  <si>
    <t>FUSIOGAS LLAVE PASO C/MANIVELA Y ROSETA 20 MM (207</t>
  </si>
  <si>
    <t>FUSIOGAS LLAVE PASO C/MANIVELA Y ROSETA 25 MM (207</t>
  </si>
  <si>
    <t>FUSIOGAS LLAVE PASO C/MANIVELA Y ROSETA 32 MM (207</t>
  </si>
  <si>
    <t>DINATECNICA EXTENSIBLE GAS 1/2 X 20-42 CM</t>
  </si>
  <si>
    <t>DINATECNICA EXTENSIBLE GAS 3/4 X 20-42 CM</t>
  </si>
  <si>
    <t>DINATECNICA KIT CONEXION CALDERAS MIXTAS</t>
  </si>
  <si>
    <t>REJA VENTILACION 15X15 ESMALTADA (450731)</t>
  </si>
  <si>
    <t>Tendido cañería</t>
  </si>
  <si>
    <t>Consumibles y desperdicio (roscadas/brocas/etc.)</t>
  </si>
  <si>
    <t>Colocación de artefactos</t>
  </si>
  <si>
    <r>
      <t>Artefactos de cocina, instalacion anafes y hornos electricos</t>
    </r>
    <r>
      <rPr>
        <i/>
        <sz val="10"/>
        <color rgb="FFFF0000"/>
        <rFont val="Calibri"/>
        <family val="2"/>
        <scheme val="minor"/>
      </rPr>
      <t xml:space="preserve"> - Provisión a cargo del comitente</t>
    </r>
  </si>
  <si>
    <t>Gabinete para manguera de 1 3/4" con puerta hierro angulo . s/vidrio 500 x 550 x 160 mm.</t>
  </si>
  <si>
    <t>UF</t>
  </si>
  <si>
    <t>NOTA: CANTIDADES SALEN DE COMPUTO AUXILIAR CALEFA</t>
  </si>
  <si>
    <t>CALEFACCIÓN</t>
  </si>
  <si>
    <t>HIDROFLEX TUBO 16 MM ROLLO X 240 MTS (1504)</t>
  </si>
  <si>
    <t>HIDROFLEX MEMBRANA TERMICA 1X20 MT ESP 10MM (8100)</t>
  </si>
  <si>
    <t>HIDROFLEX CURVA TUBOS 16 MM (1670)</t>
  </si>
  <si>
    <t>HIDROFLEX PRECINTOS 200 MM X 100 UNIDADES (1880)</t>
  </si>
  <si>
    <t>H3 COVERTHOR BLANCO 3/8 X 5MM X 2.00 MT (3200)</t>
  </si>
  <si>
    <t>paq</t>
  </si>
  <si>
    <t>GABINETE, COLECTOR</t>
  </si>
  <si>
    <t xml:space="preserve">Consumibles / Desperdicio </t>
  </si>
  <si>
    <t>CONEXIÓN CALDERA</t>
  </si>
  <si>
    <t>H-3 TUBO AGUA CALIENTE 19X3.9X6</t>
  </si>
  <si>
    <t>H-3 CODO ø19 MM.FUSION</t>
  </si>
  <si>
    <t>CALEFFACIÓN</t>
  </si>
  <si>
    <t>HIDROFLEX COLECTOR LUXUS CROMO 4 SAL.16 MM</t>
  </si>
  <si>
    <t>HIDROFLEX COLECTOR LUXUS CROMO 5 SAL.16 MM</t>
  </si>
  <si>
    <t>HIDROFLEX GABINETE P/COLECTOR 450 X 450 X 110</t>
  </si>
  <si>
    <t>HIDROFLEX GABINETE P/COLECTOR 600 X 450 X 110</t>
  </si>
  <si>
    <t>HIDROFLEX TERMOSTATO DE AMBIENTE 220 V</t>
  </si>
  <si>
    <t>Hidroflex colector Luxus cromo 4 sal.16 mm</t>
  </si>
  <si>
    <t>Hidroflex colector Luxus cromo 5 sal.16 mm</t>
  </si>
  <si>
    <t>Hidroflex gabinete p/colector 450 x 450 x 110</t>
  </si>
  <si>
    <t>Hidroflex gabinete p/colector 600 x 450 x 110</t>
  </si>
  <si>
    <t>Hidroflex termostato de ambiente 220 V</t>
  </si>
  <si>
    <t>Tubo Coaxial 1,00 m 60/100 MH</t>
  </si>
  <si>
    <t>Caldera Peisa Diva 24 DS TF GN 19800 KC. Inc. Ventilación</t>
  </si>
  <si>
    <t>Tapa con inscripción BOMBEROS para pared</t>
  </si>
  <si>
    <t xml:space="preserve">Limpieza periódica </t>
  </si>
  <si>
    <t>Ø 1/2"</t>
  </si>
  <si>
    <t>Ø 3/4"</t>
  </si>
  <si>
    <t>Buje reducción</t>
  </si>
  <si>
    <t>CONSUMIBLES/DESPERDICIO/IMPREVISTO</t>
  </si>
  <si>
    <t>Fusion y amurado</t>
  </si>
  <si>
    <t>Replanteo</t>
  </si>
  <si>
    <t>Canaleteado</t>
  </si>
  <si>
    <t>VARIOS</t>
  </si>
  <si>
    <t>Pastina/ silicona</t>
  </si>
  <si>
    <t>COLOCACIÓN ARTEFACTOS</t>
  </si>
  <si>
    <t>Flexible</t>
  </si>
  <si>
    <t>MLR</t>
  </si>
  <si>
    <t>Roseta</t>
  </si>
  <si>
    <t>Tornillo</t>
  </si>
  <si>
    <t>Sopapa</t>
  </si>
  <si>
    <t>Descarga</t>
  </si>
  <si>
    <t>Sifon bacha</t>
  </si>
  <si>
    <t xml:space="preserve">Reja 12 x 12 </t>
  </si>
  <si>
    <t>Tapa 15 x 15</t>
  </si>
  <si>
    <t>D&amp;V</t>
  </si>
  <si>
    <r>
      <t xml:space="preserve">Tendido cañeria de incendio </t>
    </r>
    <r>
      <rPr>
        <i/>
        <sz val="10"/>
        <color rgb="FFFF0000"/>
        <rFont val="Calibri"/>
        <family val="2"/>
        <scheme val="minor"/>
      </rPr>
      <t>- Gabinetes, mangueras, lanzas y valvulas cotizadas en Item 31</t>
    </r>
  </si>
  <si>
    <t xml:space="preserve">Por armar colector TR y montantes de agua fria </t>
  </si>
  <si>
    <t>MONTANTE Y ENTRADA TANQUE</t>
  </si>
  <si>
    <t>SALIDA TANQUE</t>
  </si>
  <si>
    <t>COLECTOR</t>
  </si>
  <si>
    <t>RUPTOR VACIO</t>
  </si>
  <si>
    <t>BAJADAS</t>
  </si>
  <si>
    <t>BR BRIDA 2"</t>
  </si>
  <si>
    <t>Tendido montante Y SUBIDA</t>
  </si>
  <si>
    <t>Entrada Y SALIDA TR</t>
  </si>
  <si>
    <t>Armado de colector de bombas y conexión</t>
  </si>
  <si>
    <t xml:space="preserve">Por armar colector y colocar bomba en TB en SS </t>
  </si>
  <si>
    <t>ENTRADA Y FLOTANTE</t>
  </si>
  <si>
    <t>COLECTOR/IMPULSION</t>
  </si>
  <si>
    <t>ALIMENTACION PB</t>
  </si>
  <si>
    <t>Tendido SS</t>
  </si>
  <si>
    <t>Armado de montantes</t>
  </si>
  <si>
    <t>Por Piso</t>
  </si>
  <si>
    <t>AWADUCT VALVULA ANTIRRETORNO MH 110 (2277)</t>
  </si>
  <si>
    <t>AWADUCT PILETA PATIO 7 ENT. C/SIFON 40X63 (2031)</t>
  </si>
  <si>
    <t>Ø 110</t>
  </si>
  <si>
    <t>Ø 63</t>
  </si>
  <si>
    <t>Ø 50</t>
  </si>
  <si>
    <t>Ø 40</t>
  </si>
  <si>
    <t>ACCESORIOS</t>
  </si>
  <si>
    <t>CONSUMIBLES</t>
  </si>
  <si>
    <t xml:space="preserve">MONTANTE </t>
  </si>
  <si>
    <t>VENTILACIONES</t>
  </si>
  <si>
    <t>Sombrerete Ø110 AW</t>
  </si>
  <si>
    <t>AWA RAMAL DOBLE A 87°30´ M-H CON VENTILACION (135°IZQ.110X110) 3052</t>
  </si>
  <si>
    <t>AWA COJINETE PARA CÁMARA DE INSPECCIÓN ⌀200 3 ENTRADAS</t>
  </si>
  <si>
    <t>Pozo de bombeo cloacal, conexión de bomba y cañería de impulsion a cañería PPAL</t>
  </si>
  <si>
    <t>Cupla bombeo cloacal 110 x 2"</t>
  </si>
  <si>
    <t xml:space="preserve">Guardaganados herreria Planchuelas 3/8 separacion 2cm x1,2m </t>
  </si>
  <si>
    <t>Pozo de bombeo pluvial, conexión de bomba y cañería de impulsion a cañería PPAL</t>
  </si>
  <si>
    <t>Instalación tanque de recupero, cuadro de bomba y canilla servicio PB</t>
  </si>
  <si>
    <t>CAJA ACERO INOX 30 X 30 PARA CS</t>
  </si>
  <si>
    <t>VALVULA RETENCION 1" CON FILTRO</t>
  </si>
  <si>
    <t xml:space="preserve">Armado </t>
  </si>
  <si>
    <t>Canaletado</t>
  </si>
  <si>
    <t>Toma Esp. Anafe/Horno</t>
  </si>
  <si>
    <t>Toma encapsulado</t>
  </si>
  <si>
    <t>Tendido y cableado boca tomacorriente especial (AA.CC)</t>
  </si>
  <si>
    <t>Teclas</t>
  </si>
  <si>
    <t>Tomas</t>
  </si>
  <si>
    <t>Coloc. Tomas</t>
  </si>
  <si>
    <r>
      <t xml:space="preserve">Colocación de tomacorriente simple y doble 10/20 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</si>
  <si>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Tablero Bombas impulsión - TS BA</t>
  </si>
  <si>
    <t>Tablero Pozo Bombeo Cloacal - TS BC</t>
  </si>
  <si>
    <t>Tablero Bombeo Pluvial- TS BP</t>
  </si>
  <si>
    <t>Tablero Presurizada Pluvial Recuperada- TS BPR</t>
  </si>
  <si>
    <t>Tablero de Bomba presurizadora - TS BOMB</t>
  </si>
  <si>
    <t>Tendido y cableado boca extractor de baño</t>
  </si>
  <si>
    <t xml:space="preserve">Tendido y cableado boca caja mignon para Led </t>
  </si>
  <si>
    <t>Tablero Servicios Generales - TSG</t>
  </si>
  <si>
    <t>Tablero Seccional Ascensor - TS ASC</t>
  </si>
  <si>
    <t>[66039162] GAB 4 MED TRIF C/TM + DIF (EDENOR)</t>
  </si>
  <si>
    <t>[66039155] GAB 1 MED TRIF C/TM + DIF (EDENOR)</t>
  </si>
  <si>
    <t>[66030400] GAB 4 MED MONO C/TM + DIF (EDENOR)</t>
  </si>
  <si>
    <t>[62009010] CAJA TOMA 500A C/ 6 BASES NH (EDENOR)</t>
  </si>
  <si>
    <t>Cable Subterraneo 1x50mm² Violeta PVC IMSA</t>
  </si>
  <si>
    <t>Cable Subterraneo 3x10mm² Violeta PVC IMSA</t>
  </si>
  <si>
    <t>Cable Cobre desnudo 1x25mm²</t>
  </si>
  <si>
    <t>TSG</t>
  </si>
  <si>
    <t>BOCA ILUMINACIÓN LOSA (Profunda)</t>
  </si>
  <si>
    <t xml:space="preserve">BOCA TOMACORRIENTE ESPECIAL </t>
  </si>
  <si>
    <t>BOCA VACIA C/CABLE TESTIGO</t>
  </si>
  <si>
    <t>Boca ilum losa</t>
  </si>
  <si>
    <t>Boca ilum pared</t>
  </si>
  <si>
    <t>Tendido y cableado boca Iluminación en losa</t>
  </si>
  <si>
    <t>Tendido y cableado boca Iluminación en pared</t>
  </si>
  <si>
    <t>Ilum</t>
  </si>
  <si>
    <t>TUF - Trifásico</t>
  </si>
  <si>
    <t>Tablero de UF - Trifasico</t>
  </si>
  <si>
    <t>BANDEJA PERF. TRP150 X3M L7</t>
  </si>
  <si>
    <t>*ST-300 SOPORTE TRAPECIO</t>
  </si>
  <si>
    <t>*TTRP-150-Z TAPA CIEGA</t>
  </si>
  <si>
    <t>AVV-1/4 -ENVX100 TUERCA/ARANDELA</t>
  </si>
  <si>
    <t>Tendido de bandeja</t>
  </si>
  <si>
    <t>Provisión y armado de medidores. Provisión y tendido de alim. por bandeja desde CT hasta medidores</t>
  </si>
  <si>
    <t xml:space="preserve">3 x 10 Monofasicos </t>
  </si>
  <si>
    <t>5 x 6 Trifasicos</t>
  </si>
  <si>
    <t>5 x 10 Ascensor</t>
  </si>
  <si>
    <t>3 x 4 Bombas</t>
  </si>
  <si>
    <t>5 x 16 Acometida</t>
  </si>
  <si>
    <t>M.Obra Tendido PB</t>
  </si>
  <si>
    <t xml:space="preserve">M.Obra Tendido montantes (1 dia x piso) </t>
  </si>
  <si>
    <t>M.Obra cableado (40% del tendido)</t>
  </si>
  <si>
    <t>M.Obra Tendido montantes (1 dia x piso) - Comparte con PE y CCTV</t>
  </si>
  <si>
    <r>
      <t xml:space="preserve">Enchape medianeras existentes </t>
    </r>
    <r>
      <rPr>
        <i/>
        <sz val="10"/>
        <color rgb="FFFF0000"/>
        <rFont val="Calibri"/>
        <family val="2"/>
        <scheme val="minor"/>
      </rPr>
      <t>- Contemplamos picado zonas sueltas y enchape con ladrillo comun para PB y 1°</t>
    </r>
  </si>
  <si>
    <t>Vacio</t>
  </si>
  <si>
    <t>D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</si>
  <si>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</si>
  <si>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</si>
  <si>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</si>
  <si>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</si>
  <si>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</si>
  <si>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</si>
  <si>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</si>
  <si>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</si>
  <si>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</si>
  <si>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</si>
  <si>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</si>
  <si>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</si>
  <si>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</si>
  <si>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</si>
  <si>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</si>
  <si>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</si>
  <si>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</si>
  <si>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</si>
  <si>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</si>
  <si>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</si>
  <si>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</si>
  <si>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</si>
  <si>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</si>
  <si>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Muro tipo 4 (divisorio de unidades y fachadas) e: 15 cm -  Ladrillo hueco 12 x 18 x 33</t>
  </si>
  <si>
    <t>H°</t>
  </si>
  <si>
    <t xml:space="preserve">Excavación </t>
  </si>
  <si>
    <t>Volquete</t>
  </si>
  <si>
    <t>Hierro</t>
  </si>
  <si>
    <t>Consumibles (Zuncho / Tornillos / Discos / etc.)</t>
  </si>
  <si>
    <t>Imprevistos + Negociación</t>
  </si>
  <si>
    <t>Local</t>
  </si>
  <si>
    <t>Medianera</t>
  </si>
  <si>
    <r>
      <t>Látex interior para paredes Bco. mate (s/enduido)</t>
    </r>
    <r>
      <rPr>
        <i/>
        <sz val="10"/>
        <color rgb="FFFF0000"/>
        <rFont val="Calibri"/>
        <family val="2"/>
        <scheme val="minor"/>
      </rPr>
      <t xml:space="preserve"> - Espacios comunes y caja escalera</t>
    </r>
  </si>
  <si>
    <t>Esmalte epoxi para pisos HB semi mate gris</t>
  </si>
  <si>
    <t>PRESTIGIO WEB</t>
  </si>
  <si>
    <t>Pintura acrílica Sintevial para demarcación vial brillante amarillo</t>
  </si>
  <si>
    <t>PATIO INTERNO</t>
  </si>
  <si>
    <t>Extintor nuevo a base de polvo ABC x 5 kg. Inc. Chapas, balizas reglamentarias y ganchos</t>
  </si>
  <si>
    <t>Extintor nuevo a base de gas carbonico BC C02 x 5 kg. Inc. Chapas, balizas reglamentarias y ganchos</t>
  </si>
  <si>
    <r>
      <t xml:space="preserve">Bomba presurizadora tipo Rowa Mini RW9 Bronce para un consumo </t>
    </r>
    <r>
      <rPr>
        <i/>
        <sz val="10"/>
        <color rgb="FFFF0000"/>
        <rFont val="Calibri"/>
        <family val="2"/>
        <scheme val="minor"/>
      </rPr>
      <t>- Canilla de servicio agua pluvial recuperada</t>
    </r>
  </si>
  <si>
    <t>Electrobomba centrifuga 2,5 Hp Motormech</t>
  </si>
  <si>
    <r>
      <t>Bomba sumergible trituradora Mec V1300 1,8hp Monofásica</t>
    </r>
    <r>
      <rPr>
        <i/>
        <sz val="10"/>
        <color rgb="FFFF0000"/>
        <rFont val="Calibri"/>
        <family val="2"/>
        <scheme val="minor"/>
      </rPr>
      <t xml:space="preserve"> - Pozo de bombeo cloacal</t>
    </r>
  </si>
  <si>
    <t>ARTEFACTOS ELECTRICOS</t>
  </si>
  <si>
    <r>
      <t xml:space="preserve">VENTILACIONES </t>
    </r>
    <r>
      <rPr>
        <b/>
        <i/>
        <sz val="10"/>
        <color rgb="FFFF0000"/>
        <rFont val="Calibri"/>
        <family val="2"/>
        <scheme val="minor"/>
      </rPr>
      <t>- PROVISION COTIZADA EN ITEM 26</t>
    </r>
  </si>
  <si>
    <t xml:space="preserve">Módulo completo tecla marca Cambre línea SXXII </t>
  </si>
  <si>
    <t xml:space="preserve">Módulo completo tomacorriente simple 10A marca Cambre línea SXXII </t>
  </si>
  <si>
    <t xml:space="preserve">Módulo completo tomacorriente doble 10A marca Cambre línea SXXII </t>
  </si>
  <si>
    <r>
      <t xml:space="preserve">Módulo completo TV/RED marca Cambre línea SXXII </t>
    </r>
    <r>
      <rPr>
        <i/>
        <sz val="10"/>
        <color rgb="FFFF0000"/>
        <rFont val="Calibri"/>
        <family val="2"/>
        <scheme val="minor"/>
      </rPr>
      <t>- Con tapitas ciega no incluye Coaxil ni RJ45</t>
    </r>
  </si>
  <si>
    <r>
      <t xml:space="preserve">Modulo completo ciego mignon, marca Cambre línea SXXII </t>
    </r>
    <r>
      <rPr>
        <i/>
        <sz val="10"/>
        <color rgb="FFFF0000"/>
        <rFont val="Calibri"/>
        <family val="2"/>
        <scheme val="minor"/>
      </rPr>
      <t>- Cajas para led</t>
    </r>
  </si>
  <si>
    <r>
      <t xml:space="preserve">Módulo completo tomacorriente doble 10A encapsulado marca Cambre línea SXXII </t>
    </r>
    <r>
      <rPr>
        <i/>
        <sz val="10"/>
        <color rgb="FFFF0000"/>
        <rFont val="Calibri"/>
        <family val="2"/>
        <scheme val="minor"/>
      </rPr>
      <t>- Balcones</t>
    </r>
  </si>
  <si>
    <r>
      <t xml:space="preserve">Módulo completo tomacorriente simple 20A marca Cambre línea SXXII </t>
    </r>
    <r>
      <rPr>
        <i/>
        <sz val="10"/>
        <color rgb="FFFF0000"/>
        <rFont val="Calibri"/>
        <family val="2"/>
        <scheme val="minor"/>
      </rPr>
      <t>- Hornos/Anafe</t>
    </r>
  </si>
  <si>
    <t xml:space="preserve">TECLA </t>
  </si>
  <si>
    <t>BASTIDOR</t>
  </si>
  <si>
    <t>TAPA</t>
  </si>
  <si>
    <t>SXXII MODULO PUNTO</t>
  </si>
  <si>
    <t>SXXII TAPA 2 MOD. BLANCA</t>
  </si>
  <si>
    <t>S XXI/XXII BASTIDOR LUJO</t>
  </si>
  <si>
    <t>S XXI SOPORTE MIGNON</t>
  </si>
  <si>
    <t>SXXII TAPA MIGNON 1 MD.BLANCA</t>
  </si>
  <si>
    <t>Toma simple 10A</t>
  </si>
  <si>
    <t xml:space="preserve">Toma simple 20A </t>
  </si>
  <si>
    <t xml:space="preserve">Tapon ciego </t>
  </si>
  <si>
    <t>Proyecto Ejecutivo y Supervisión profesional de Obra</t>
  </si>
  <si>
    <t>PB (patio)</t>
  </si>
  <si>
    <t>Losa Techos</t>
  </si>
  <si>
    <t>Zapata corrida tab</t>
  </si>
  <si>
    <t>Tronco Tab</t>
  </si>
  <si>
    <t>H30 6.12 Gunitado</t>
  </si>
  <si>
    <t xml:space="preserve">ML </t>
  </si>
  <si>
    <t>Guardacanto yesero 2,60 mts</t>
  </si>
  <si>
    <t xml:space="preserve">Forzador de aire 22 m3/m - Sala de maquinas de Asc. </t>
  </si>
  <si>
    <t>VALAIRE</t>
  </si>
  <si>
    <t>Termostato ambiente 0-55°C</t>
  </si>
  <si>
    <t>H13</t>
  </si>
  <si>
    <t>HORMIGON GUNITADO</t>
  </si>
  <si>
    <t>Servicio de gunitado, fratazado y fieltrado</t>
  </si>
  <si>
    <t>Gunix</t>
  </si>
  <si>
    <t>Movimiento de bomba y limpieza</t>
  </si>
  <si>
    <t>Obrador, pañol y ducha</t>
  </si>
  <si>
    <t>Desarmado</t>
  </si>
  <si>
    <t xml:space="preserve">Mano de Obra, perforacion e inyección </t>
  </si>
  <si>
    <t>CIMA</t>
  </si>
  <si>
    <t xml:space="preserve">Anclajes </t>
  </si>
  <si>
    <t xml:space="preserve">M.O cortado y doblado </t>
  </si>
  <si>
    <t>Cemento</t>
  </si>
  <si>
    <t>LH 08</t>
  </si>
  <si>
    <t>LH 12</t>
  </si>
  <si>
    <t>LHP 12</t>
  </si>
  <si>
    <t>Tipo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</si>
  <si>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</si>
  <si>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</si>
  <si>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</si>
  <si>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</si>
  <si>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</si>
  <si>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</si>
  <si>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</si>
  <si>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</si>
  <si>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</si>
  <si>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</si>
  <si>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</si>
  <si>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</si>
  <si>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</si>
  <si>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</si>
  <si>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</si>
  <si>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</si>
  <si>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</si>
  <si>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</si>
  <si>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</si>
  <si>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</si>
  <si>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</si>
  <si>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</si>
  <si>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A1.1</t>
  </si>
  <si>
    <t>IS1</t>
  </si>
  <si>
    <t>IS2</t>
  </si>
  <si>
    <t>IS3</t>
  </si>
  <si>
    <t>IS4</t>
  </si>
  <si>
    <t>IS5</t>
  </si>
  <si>
    <t>IS6</t>
  </si>
  <si>
    <t>IS7</t>
  </si>
  <si>
    <t>IS8</t>
  </si>
  <si>
    <t>IS9</t>
  </si>
  <si>
    <t>IS10</t>
  </si>
  <si>
    <t>Contrapiso armado s/ suelo nat</t>
  </si>
  <si>
    <t>Membrana geotextil - Balcones y azotea</t>
  </si>
  <si>
    <t>Puerta placa F30 de 90cm (acceso a UF)</t>
  </si>
  <si>
    <t>Porcelanato exterior</t>
  </si>
  <si>
    <t>Revestimiento baño</t>
  </si>
  <si>
    <t>Tablero 1 amb</t>
  </si>
  <si>
    <t>Tablero 2/3 amb</t>
  </si>
  <si>
    <t>Contrapiso armado de H° pobre s/terreno natural e: 20 cm - Incluye film de polietileno</t>
  </si>
  <si>
    <t>Contrapiso de cascotes s/ss e: 15 cm</t>
  </si>
  <si>
    <r>
      <t xml:space="preserve">Banquinas para cocinas </t>
    </r>
    <r>
      <rPr>
        <i/>
        <sz val="10"/>
        <color rgb="FFFF0000"/>
        <rFont val="Calibri"/>
        <family val="2"/>
        <scheme val="minor"/>
      </rPr>
      <t>- N/A</t>
    </r>
  </si>
  <si>
    <t>Banquinas para bombas, TT, etc. h: 15 cm</t>
  </si>
  <si>
    <t xml:space="preserve">Cielorraso suspendido junta tomada placa STD </t>
  </si>
  <si>
    <t>Cielorraso suspendido junta tomada placa RH</t>
  </si>
  <si>
    <t>Premarco</t>
  </si>
  <si>
    <r>
      <t xml:space="preserve">Colocación de porcelanato en exterior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</si>
  <si>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Provisión y colocación de sustrato </t>
    </r>
    <r>
      <rPr>
        <i/>
        <sz val="10"/>
        <color rgb="FFFF0000"/>
        <rFont val="Calibri"/>
        <family val="2"/>
        <scheme val="minor"/>
      </rPr>
      <t>- No cotiza</t>
    </r>
  </si>
  <si>
    <r>
      <t xml:space="preserve">Colocación de solia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</si>
  <si>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M.O. Abr 25</t>
  </si>
  <si>
    <t xml:space="preserve">P2 a 7 </t>
  </si>
  <si>
    <t>P9</t>
  </si>
  <si>
    <t xml:space="preserve">Peña </t>
  </si>
  <si>
    <t>RVG 1553</t>
  </si>
  <si>
    <t>2º</t>
  </si>
  <si>
    <t>3º</t>
  </si>
  <si>
    <t>Base M.O. abr 25</t>
  </si>
  <si>
    <t>ANCLAJES DE SUBMURACION</t>
  </si>
  <si>
    <t>GESTOR GAS</t>
  </si>
  <si>
    <t>Prefactibilidad</t>
  </si>
  <si>
    <t>Parcial</t>
  </si>
  <si>
    <t xml:space="preserve">Final </t>
  </si>
  <si>
    <t>Habilitación</t>
  </si>
  <si>
    <t>Ezequiel Mendoza</t>
  </si>
  <si>
    <t>Puntales 3 x 3 x 3,7</t>
  </si>
  <si>
    <t>Alquiler de baños quimico</t>
  </si>
  <si>
    <t>Alquiler de modulo de ducha</t>
  </si>
  <si>
    <t>Fletes de entrega y retiro</t>
  </si>
  <si>
    <t>Limpieza adicional</t>
  </si>
  <si>
    <t>Cal comun hidrat x 25 kg</t>
  </si>
  <si>
    <t>REP</t>
  </si>
  <si>
    <t>M.Obra de armado</t>
  </si>
  <si>
    <t>M.Obra de llenado</t>
  </si>
  <si>
    <r>
      <t xml:space="preserve">Azotado hidrófugo </t>
    </r>
    <r>
      <rPr>
        <sz val="10"/>
        <color rgb="FFFF0000"/>
        <rFont val="Calibri"/>
        <family val="2"/>
        <scheme val="minor"/>
      </rPr>
      <t>- Sobre contrapiso</t>
    </r>
    <r>
      <rPr>
        <i/>
        <sz val="10"/>
        <color rgb="FFFF0000"/>
        <rFont val="Calibri"/>
        <family val="2"/>
        <scheme val="minor"/>
      </rPr>
      <t xml:space="preserve"> en vereda y PB</t>
    </r>
  </si>
  <si>
    <t>OBRA: RVG 1553</t>
  </si>
  <si>
    <t>Computos revoques / pintura ext.</t>
  </si>
  <si>
    <t>TIPO</t>
  </si>
  <si>
    <t>RT - 3 m</t>
  </si>
  <si>
    <t>RT + 3 m</t>
  </si>
  <si>
    <t>PT - 3 m</t>
  </si>
  <si>
    <t>PT + 3 m</t>
  </si>
  <si>
    <t xml:space="preserve">Revoques ext a menos de 3m </t>
  </si>
  <si>
    <t>Balcon F</t>
  </si>
  <si>
    <t>Balcon CF</t>
  </si>
  <si>
    <t>Balcon F (med izq.)</t>
  </si>
  <si>
    <t>Balcon F (med der.)</t>
  </si>
  <si>
    <t>Medianera izq. F</t>
  </si>
  <si>
    <t>Medianera izq. CF</t>
  </si>
  <si>
    <t>Medianera der. F</t>
  </si>
  <si>
    <t>Medianera der. CF</t>
  </si>
  <si>
    <t>Aire/Luz</t>
  </si>
  <si>
    <t xml:space="preserve">Revoques ext a mas de 3m </t>
  </si>
  <si>
    <t xml:space="preserve">Medianera izq. </t>
  </si>
  <si>
    <t>Bloque F</t>
  </si>
  <si>
    <t>Bloque CF</t>
  </si>
  <si>
    <t>Medianera der.</t>
  </si>
  <si>
    <t>M.O llenado</t>
  </si>
  <si>
    <t>Contrapiso - Carpeta monolitico e: 6 cm</t>
  </si>
  <si>
    <t>Carpeta en PB, balcones, baños y azoteas e: 3,00 cm</t>
  </si>
  <si>
    <t>Carpeta sobre membrana, e: 3,00 cm</t>
  </si>
  <si>
    <t>Z3</t>
  </si>
  <si>
    <t>Consumibles (discos)</t>
  </si>
  <si>
    <t>Ilum SS</t>
  </si>
  <si>
    <t>Ilum PB</t>
  </si>
  <si>
    <t>Ilum 1 a 3</t>
  </si>
  <si>
    <t>Ilum 4 y terraza</t>
  </si>
  <si>
    <t>Ilum varios</t>
  </si>
  <si>
    <t>Tomas SG 1</t>
  </si>
  <si>
    <t>Tomas SG 2</t>
  </si>
  <si>
    <t>Tomas SG 3</t>
  </si>
  <si>
    <t>Tomas SG 4</t>
  </si>
  <si>
    <t>2 x 16 - Tomas</t>
  </si>
  <si>
    <t>2 x 10 - Ilum</t>
  </si>
  <si>
    <t>2 x 20 - Horno/Anafe/AA.CC</t>
  </si>
  <si>
    <t>2 x 40 - General</t>
  </si>
  <si>
    <t>2 x 25 - Tomas/Ilum</t>
  </si>
  <si>
    <t>Tendido y cableado boca tomacorriente especial (Anafe/Horno)</t>
  </si>
  <si>
    <t>Buzon EDENOR</t>
  </si>
  <si>
    <t>Montante</t>
  </si>
  <si>
    <t>Terraza</t>
  </si>
  <si>
    <t>Provisión y colocación de zocalos de Madera (MDF) h: 5 cm</t>
  </si>
  <si>
    <r>
      <t xml:space="preserve">Colocación sombreretes en chapa prepintada C25 </t>
    </r>
    <r>
      <rPr>
        <i/>
        <sz val="10"/>
        <color rgb="FFFF0000"/>
        <rFont val="Calibri"/>
        <family val="2"/>
        <scheme val="minor"/>
      </rPr>
      <t>- Provisión en item 26</t>
    </r>
  </si>
  <si>
    <t>CF</t>
  </si>
  <si>
    <r>
      <t>Látex interior para cielorraso Bco. mate (enduido completo)</t>
    </r>
    <r>
      <rPr>
        <i/>
        <sz val="10"/>
        <color rgb="FFFF0000"/>
        <rFont val="Calibri"/>
        <family val="2"/>
        <scheme val="minor"/>
      </rPr>
      <t xml:space="preserve"> - Baños y cocina</t>
    </r>
  </si>
  <si>
    <r>
      <t xml:space="preserve">Látex interior para paredes Bco. mate (enduido parcial) </t>
    </r>
    <r>
      <rPr>
        <i/>
        <sz val="10"/>
        <color rgb="FFFF0000"/>
        <rFont val="Calibri"/>
        <family val="2"/>
        <scheme val="minor"/>
      </rPr>
      <t>- Interiores UF</t>
    </r>
  </si>
  <si>
    <r>
      <t>Látex interior para cielorraso Bco. mate (enduido parcial)</t>
    </r>
    <r>
      <rPr>
        <i/>
        <sz val="10"/>
        <color rgb="FFFF0000"/>
        <rFont val="Calibri"/>
        <family val="2"/>
        <scheme val="minor"/>
      </rPr>
      <t xml:space="preserve"> - Interiores UF</t>
    </r>
  </si>
  <si>
    <t xml:space="preserve">Forzador de aire y termostato de ambiente - Sala de maquinas de Asc. </t>
  </si>
  <si>
    <t>Termotanque a gas Rheem Performance 120 litros de pie (TGNP120RH)</t>
  </si>
  <si>
    <r>
      <t xml:space="preserve">Rejilla galvanizada 15cm - Modelo Ed-r150g </t>
    </r>
    <r>
      <rPr>
        <i/>
        <sz val="10"/>
        <color rgb="FFFF0000"/>
        <rFont val="Calibri"/>
        <family val="2"/>
        <scheme val="minor"/>
      </rPr>
      <t>- Rampa vehicular</t>
    </r>
  </si>
  <si>
    <r>
      <t xml:space="preserve">Bomba sumergible agua sucia 7mts Llp-250 Lusqtoff C </t>
    </r>
    <r>
      <rPr>
        <i/>
        <sz val="10"/>
        <color rgb="FFFF0000"/>
        <rFont val="Calibri"/>
        <family val="2"/>
        <scheme val="minor"/>
      </rPr>
      <t>- Pozo de bombeo pluvial</t>
    </r>
  </si>
  <si>
    <r>
      <t xml:space="preserve">Revestimiento plástico a rodillo tipo Quimtex en altura </t>
    </r>
    <r>
      <rPr>
        <i/>
        <sz val="10"/>
        <color rgb="FFFF0000"/>
        <rFont val="Calibri"/>
        <family val="2"/>
        <scheme val="minor"/>
      </rPr>
      <t>- Medianeras</t>
    </r>
  </si>
  <si>
    <t>Fijación completa</t>
  </si>
  <si>
    <t>Consumbiles (Mechas, etc.)</t>
  </si>
  <si>
    <t>Quimtex Forma x 27 kg (rinde 1kg/m2)</t>
  </si>
  <si>
    <t>Consumibles (rodillos, pinceles, carton, cinta, etc.)</t>
  </si>
  <si>
    <t>Plus por silleta y rendimiento (40%)</t>
  </si>
  <si>
    <t>Alquiler de balancin - Leiten 3,00 m</t>
  </si>
  <si>
    <r>
      <t xml:space="preserve">PISOS </t>
    </r>
    <r>
      <rPr>
        <b/>
        <i/>
        <sz val="10"/>
        <color rgb="FFFF0000"/>
        <rFont val="Calibri"/>
        <family val="2"/>
        <scheme val="minor"/>
      </rPr>
      <t>- PROVISION A CARGO DEL COMITENTE</t>
    </r>
  </si>
  <si>
    <r>
      <t xml:space="preserve">ZOCALOS Y SOLIAS </t>
    </r>
    <r>
      <rPr>
        <b/>
        <i/>
        <sz val="10"/>
        <color rgb="FFFF0000"/>
        <rFont val="Calibri"/>
        <family val="2"/>
        <scheme val="minor"/>
      </rPr>
      <t>- PROVISION A CARGO DEL COMITENTE</t>
    </r>
  </si>
  <si>
    <r>
      <t xml:space="preserve">REVESTIMIENTOS </t>
    </r>
    <r>
      <rPr>
        <b/>
        <i/>
        <sz val="10"/>
        <color rgb="FFFF0000"/>
        <rFont val="Calibri"/>
        <family val="2"/>
        <scheme val="minor"/>
      </rPr>
      <t>- PROVISION A CARGO DEL COMITENTE</t>
    </r>
  </si>
  <si>
    <r>
      <t>MARMOLES Y GRANITOS</t>
    </r>
    <r>
      <rPr>
        <b/>
        <i/>
        <sz val="10"/>
        <color rgb="FFFF0000"/>
        <rFont val="Calibri"/>
        <family val="2"/>
        <scheme val="minor"/>
      </rPr>
      <t xml:space="preserve"> - PROVISION Y COLOCACION A CARGO DEL COMITENTE</t>
    </r>
  </si>
  <si>
    <r>
      <t>CARPINTERIA</t>
    </r>
    <r>
      <rPr>
        <b/>
        <i/>
        <sz val="10"/>
        <color rgb="FFFF0000"/>
        <rFont val="Calibri"/>
        <family val="2"/>
        <scheme val="minor"/>
      </rPr>
      <t xml:space="preserve"> - PROVISION A CARGO DEL COMITENTE</t>
    </r>
  </si>
  <si>
    <r>
      <t>AIRE ACONDICIONADO</t>
    </r>
    <r>
      <rPr>
        <b/>
        <i/>
        <sz val="10"/>
        <color rgb="FFFF0000"/>
        <rFont val="Calibri"/>
        <family val="2"/>
        <scheme val="minor"/>
      </rPr>
      <t xml:space="preserve"> - PROVISION A CARGO DEL COMITENTE</t>
    </r>
  </si>
  <si>
    <r>
      <t xml:space="preserve">ASCENSOR </t>
    </r>
    <r>
      <rPr>
        <b/>
        <i/>
        <sz val="10"/>
        <color rgb="FFFF0000"/>
        <rFont val="Calibri"/>
        <family val="2"/>
        <scheme val="minor"/>
      </rPr>
      <t xml:space="preserve"> - PROVISION A CARGO DEL COMITENTE</t>
    </r>
  </si>
  <si>
    <r>
      <t xml:space="preserve">EQUIPAMIENTO </t>
    </r>
    <r>
      <rPr>
        <b/>
        <i/>
        <sz val="10"/>
        <color rgb="FFFF0000"/>
        <rFont val="Calibri"/>
        <family val="2"/>
        <scheme val="minor"/>
      </rPr>
      <t>- PROVISION A CARGO DEL COMITENTE</t>
    </r>
  </si>
  <si>
    <t>Base May 2025</t>
  </si>
  <si>
    <t>Boca MBT Timbre</t>
  </si>
  <si>
    <t>Incidencia M.O</t>
  </si>
  <si>
    <t>M.O Elect</t>
  </si>
  <si>
    <t>M.O Elect s/cargas</t>
  </si>
  <si>
    <t>M.O HA</t>
  </si>
  <si>
    <r>
      <t xml:space="preserve">Buña en revoque </t>
    </r>
    <r>
      <rPr>
        <i/>
        <sz val="10"/>
        <color rgb="FFFF0000"/>
        <rFont val="Calibri"/>
        <family val="2"/>
        <scheme val="minor"/>
      </rPr>
      <t>- Estimados ml en medianeras</t>
    </r>
  </si>
  <si>
    <t>Removedor en gel para marcos</t>
  </si>
  <si>
    <t>M.Obra removedor/Lijado</t>
  </si>
  <si>
    <t xml:space="preserve">Hueco 1º a 4º </t>
  </si>
  <si>
    <t>CONTRAFRENTE</t>
  </si>
  <si>
    <t>Balcones CFrente - 4°</t>
  </si>
  <si>
    <t>Esc. PPAL - Pasamos externo</t>
  </si>
  <si>
    <t>Esc. PPAL - Pasamos interno</t>
  </si>
  <si>
    <t>Esc. SEC - Pasamos interno</t>
  </si>
  <si>
    <t>Esc. SEC - Pasamos externo</t>
  </si>
  <si>
    <t xml:space="preserve">Colocación de herrajes </t>
  </si>
  <si>
    <t>Trabajo de carpintero, ajuste de hojas puerta placa</t>
  </si>
  <si>
    <t>Cambio de cerraduras/ajuste de cerraduras</t>
  </si>
  <si>
    <r>
      <t>Ajuste final de puertas placas, colocación de herrajes y cerraduras</t>
    </r>
    <r>
      <rPr>
        <i/>
        <sz val="10"/>
        <color rgb="FFFF0000"/>
        <rFont val="Calibri"/>
        <family val="2"/>
        <scheme val="minor"/>
      </rPr>
      <t xml:space="preserve"> - Provisión de herrajes y cerraduras a cargo del comitente</t>
    </r>
  </si>
  <si>
    <t>M.Obra plegado</t>
  </si>
  <si>
    <t>M.Obra de armado y amurado</t>
  </si>
  <si>
    <t xml:space="preserve">Angulo 3/4" x 1/8" </t>
  </si>
  <si>
    <t>Consumibles (electrodos, discos, pintura, etc.)</t>
  </si>
  <si>
    <t>Mano de obra de colocación</t>
  </si>
  <si>
    <t>Chapa LAF 1,22 x 2,44 C22</t>
  </si>
  <si>
    <t>Provisión y amure de tapas para pleno electricos en palieres, bastidor hierro angulo + chapa C22, medidas aprox. 40 x 100 cm</t>
  </si>
  <si>
    <t>Colocación de calderas</t>
  </si>
  <si>
    <t xml:space="preserve">Colocación de termos y armado de cuadro </t>
  </si>
  <si>
    <t>Armado de regulador y cuadro de medidores</t>
  </si>
  <si>
    <t>Tramites de prefactibilidad, inspección parcial y final.</t>
  </si>
  <si>
    <t>TENDIDO</t>
  </si>
  <si>
    <t>COLOCACION</t>
  </si>
  <si>
    <t>Armado de SM</t>
  </si>
  <si>
    <t>CAC MAT</t>
  </si>
  <si>
    <t>Base pres</t>
  </si>
  <si>
    <t>JUNIO</t>
  </si>
  <si>
    <t>DISTRIBUCION AF Y AC / MONO AMBIENTE</t>
  </si>
  <si>
    <t>Cant UF</t>
  </si>
  <si>
    <t>Totales</t>
  </si>
  <si>
    <t>Meses</t>
  </si>
  <si>
    <t>Porteria + Laundry</t>
  </si>
  <si>
    <t>DESCRIPCION TAREA</t>
  </si>
  <si>
    <t>CANT</t>
  </si>
  <si>
    <r>
      <t xml:space="preserve">Colocación de artefactos y griferías </t>
    </r>
    <r>
      <rPr>
        <i/>
        <sz val="10"/>
        <color rgb="FFFF0000"/>
        <rFont val="Calibri"/>
        <family val="2"/>
        <scheme val="minor"/>
      </rPr>
      <t>- Provisión de artefactos y griferías a cargo del comitente</t>
    </r>
  </si>
  <si>
    <t xml:space="preserve">MONO </t>
  </si>
  <si>
    <t>Plantas</t>
  </si>
  <si>
    <t>MONO AMB</t>
  </si>
  <si>
    <t>Por armar CDV en UF</t>
  </si>
  <si>
    <t>Canaleteado/Apertura de pases</t>
  </si>
  <si>
    <t>M.O Sanit s/cargas</t>
  </si>
  <si>
    <t>Clarin ARQ</t>
  </si>
  <si>
    <t>x m2</t>
  </si>
  <si>
    <t>Tendido caño pluvial en planta baja</t>
  </si>
  <si>
    <t>Armado PB</t>
  </si>
  <si>
    <t>Tendido caño pluvial en balcones de UF y azoteas</t>
  </si>
  <si>
    <t xml:space="preserve">BALCON TIPO </t>
  </si>
  <si>
    <t xml:space="preserve">BALCON TERRAZA / TERRAZAS </t>
  </si>
  <si>
    <t xml:space="preserve">Meses </t>
  </si>
  <si>
    <t>Cuadrilla</t>
  </si>
  <si>
    <t>Armado susp y montante</t>
  </si>
  <si>
    <t>Amurado embudo</t>
  </si>
  <si>
    <t>Lluvias/Imprevistos</t>
  </si>
  <si>
    <t>Cuadrilla (9)</t>
  </si>
  <si>
    <t>OBRA: EDIFICIO CHIVILCOY 2171</t>
  </si>
  <si>
    <t>P 1º a 5°</t>
  </si>
  <si>
    <t>P 6°</t>
  </si>
  <si>
    <t>P 7°</t>
  </si>
  <si>
    <t>PLANTA TECHOS</t>
  </si>
  <si>
    <t>Micropilotes</t>
  </si>
  <si>
    <t>Losa sobre 4</t>
  </si>
  <si>
    <t>Losa sobre 5</t>
  </si>
  <si>
    <t>Losa sobre 6</t>
  </si>
  <si>
    <t>Losa sobre 7</t>
  </si>
  <si>
    <t>Subsuelo y VF</t>
  </si>
  <si>
    <t>Retiro de suelo vegetal e: 50 cm, aporte y compactación de tosca e: 40 cm (dos capas de 20 cm)</t>
  </si>
  <si>
    <t>Excavación para cámara transformadora</t>
  </si>
  <si>
    <t>Excavación manual para tensores y vigas de fundación</t>
  </si>
  <si>
    <t xml:space="preserve">Micropilotes Ø 20 cm </t>
  </si>
  <si>
    <t>Platea - H30 (110 kg/m3 de hierro)</t>
  </si>
  <si>
    <t>Cabezales - H30 (130 kg/m3 de hierro)</t>
  </si>
  <si>
    <t>Viga de  fundación - H30 (180 kg/m3 de hierro)</t>
  </si>
  <si>
    <t>CT</t>
  </si>
  <si>
    <t>s/5º</t>
  </si>
  <si>
    <t>s/6º</t>
  </si>
  <si>
    <t>s/7º</t>
  </si>
  <si>
    <t>Piso SM</t>
  </si>
  <si>
    <t>S/Techo</t>
  </si>
  <si>
    <t>Base</t>
  </si>
  <si>
    <t>Puntal/Codal</t>
  </si>
  <si>
    <t>Viga apeo s/PB</t>
  </si>
  <si>
    <t>RESUMEN COMPUTO H°A°</t>
  </si>
  <si>
    <t>OBRA: CHIVILCOY 2171</t>
  </si>
  <si>
    <t>CH 2171_Computo H°A° 02</t>
  </si>
  <si>
    <t>Cantidad de bombas</t>
  </si>
  <si>
    <t>Platea ascensor</t>
  </si>
  <si>
    <t>Vigas de encadenado/cabezales</t>
  </si>
  <si>
    <t>S/1°</t>
  </si>
  <si>
    <t>S/2°</t>
  </si>
  <si>
    <t>S/3°</t>
  </si>
  <si>
    <t>S/4°</t>
  </si>
  <si>
    <t>S/5°</t>
  </si>
  <si>
    <t>S/6°</t>
  </si>
  <si>
    <t>S/7°</t>
  </si>
  <si>
    <t>Techo SM</t>
  </si>
  <si>
    <t>Kg</t>
  </si>
  <si>
    <t>Viga alero</t>
  </si>
  <si>
    <t>Cuantia (kg/m3)</t>
  </si>
  <si>
    <t>Bases aisladas - H30 (110 kg/m3 de hierro)</t>
  </si>
  <si>
    <t>Zapata corrida tabique - H30 (180 kg/m3 de hierro)</t>
  </si>
  <si>
    <t>Tabique submuración - H30 (90 kg/m3 de hierro)</t>
  </si>
  <si>
    <t>Columna - H30 (240 kg/m3 de hierro)</t>
  </si>
  <si>
    <t>Tabiques - H30 (120 kg/m3 de hierro)</t>
  </si>
  <si>
    <t>Viga H° Visto - H30 (120 kg/m3 de hierro)</t>
  </si>
  <si>
    <t>Viga - H30 (120 kg/m3 de hierro)</t>
  </si>
  <si>
    <t>Losa - H30 (95 kg/m3 de hierro)</t>
  </si>
  <si>
    <t>Losa H° Visto - H30 (95 kg/m3 de hierro)</t>
  </si>
  <si>
    <t>Escalera - H30 (105 kg/m3)</t>
  </si>
  <si>
    <t>Viga alero - H30 (120 kg/m3 de hierro)</t>
  </si>
  <si>
    <t>Puntales de compresión/codales - H30 (120 kg/m3)</t>
  </si>
  <si>
    <t>Volquetes p/barro</t>
  </si>
  <si>
    <t>MICROPILOTES</t>
  </si>
  <si>
    <t>MP IRS</t>
  </si>
  <si>
    <t>PILOTES Y ANCLAJES</t>
  </si>
  <si>
    <t>MP IU</t>
  </si>
  <si>
    <t xml:space="preserve">1310 bolsas cemento, 56 Ø12, 120  Ø16, 140 Ø20 </t>
  </si>
  <si>
    <t>730 bolsas cemento</t>
  </si>
  <si>
    <t>PERFOSUR SRL</t>
  </si>
  <si>
    <t xml:space="preserve">Movilización </t>
  </si>
  <si>
    <t>Perforación</t>
  </si>
  <si>
    <t>1100 bolsas cemento, 24 Ø12, 28 Ø16</t>
  </si>
  <si>
    <t>Movilización</t>
  </si>
  <si>
    <t>RESUMEN COMPUTO EXCAVACION</t>
  </si>
  <si>
    <t>Excavación</t>
  </si>
  <si>
    <t>Mayor apertura maquina</t>
  </si>
  <si>
    <t>Mayor apertura a mano</t>
  </si>
  <si>
    <t>Zapata corrida TS</t>
  </si>
  <si>
    <t>VF1 - 40 x 50</t>
  </si>
  <si>
    <t>VF2 - 40 x 50</t>
  </si>
  <si>
    <t>VF3 - 40 x 50</t>
  </si>
  <si>
    <t>VF4 - 40 x 50</t>
  </si>
  <si>
    <t>VF5 - 25 x 40</t>
  </si>
  <si>
    <t>VF6 - 25 x 40</t>
  </si>
  <si>
    <t>VF7 - 40 x 50</t>
  </si>
  <si>
    <t>VF9 - 40 x 50</t>
  </si>
  <si>
    <t>VF11 - 40 x 50</t>
  </si>
  <si>
    <t>VF13 - 25 x 40</t>
  </si>
  <si>
    <t>VF14 - 25 x 40</t>
  </si>
  <si>
    <t>VF15 - 25 x 40</t>
  </si>
  <si>
    <t>VF16 - 25 x 40</t>
  </si>
  <si>
    <t>VF18 - 25 x 40</t>
  </si>
  <si>
    <t>VF19 - 25 x 40</t>
  </si>
  <si>
    <t>VF20 - 25 x 40</t>
  </si>
  <si>
    <t>VF21 - 25 x 40</t>
  </si>
  <si>
    <t>VF22 - 25 x 40</t>
  </si>
  <si>
    <t>VF23 - 25 x 40</t>
  </si>
  <si>
    <t>VF24 - 25 x 40</t>
  </si>
  <si>
    <t>VF25 - 25 x 40</t>
  </si>
  <si>
    <t>VF26 - 25 x 40</t>
  </si>
  <si>
    <t>VF27 - 25 x 40</t>
  </si>
  <si>
    <t>C3 - K2a 60 x 120 x 60</t>
  </si>
  <si>
    <t>C6 - K2a 60 x 120 x 60</t>
  </si>
  <si>
    <t>C7 - K2a 60 x 120 x 60</t>
  </si>
  <si>
    <t>C8 - K4a 130 x 130 x 60</t>
  </si>
  <si>
    <t>C9 - K2a 60 x 120 x 60</t>
  </si>
  <si>
    <t>C10 - K4a 130 x 130 x 60</t>
  </si>
  <si>
    <t xml:space="preserve">M1/M2 </t>
  </si>
  <si>
    <t>C11 - K4b 60 x 280 x 70</t>
  </si>
  <si>
    <t>C12 - K5a 130 x 130 x 60</t>
  </si>
  <si>
    <t>C13 - K2a 60 x 120 x 60</t>
  </si>
  <si>
    <t>C14 - K3a 60 x 200 x 65</t>
  </si>
  <si>
    <t>C15 - K4a 130 x 130 x 60</t>
  </si>
  <si>
    <t>C16 - K3a 60 x 200 x 65</t>
  </si>
  <si>
    <t>Subcontrato + 10%  - Celsi VIAL</t>
  </si>
  <si>
    <t>Aporte y compactación</t>
  </si>
  <si>
    <t>Prof</t>
  </si>
  <si>
    <t xml:space="preserve">CELSI VIAL </t>
  </si>
  <si>
    <t>Polo Palermo (600 m2)</t>
  </si>
  <si>
    <t>Desmonte y aporte de tosca</t>
  </si>
  <si>
    <t>VL 572 (180 m2)</t>
  </si>
  <si>
    <t>Maquina 6 tn</t>
  </si>
  <si>
    <t>Viaje camión</t>
  </si>
  <si>
    <t>Traslado de maquina</t>
  </si>
  <si>
    <t>Maquina x dia</t>
  </si>
  <si>
    <t>Viajes camión</t>
  </si>
  <si>
    <t>Traslado</t>
  </si>
  <si>
    <t>Ayuda de gremios / Perfilado</t>
  </si>
  <si>
    <t>s/6</t>
  </si>
  <si>
    <t>s/7</t>
  </si>
  <si>
    <t>Retiros</t>
  </si>
  <si>
    <t>CONTRAPISOS</t>
  </si>
  <si>
    <t>CARPETAS</t>
  </si>
  <si>
    <t>CEMENTICIO</t>
  </si>
  <si>
    <t>YESO</t>
  </si>
  <si>
    <t>SECO</t>
  </si>
  <si>
    <t>Ventanas</t>
  </si>
  <si>
    <t>PAREDES</t>
  </si>
  <si>
    <t>A5.1</t>
  </si>
  <si>
    <t>PM</t>
  </si>
  <si>
    <t>Z4</t>
  </si>
  <si>
    <t>PI1</t>
  </si>
  <si>
    <t>AI1</t>
  </si>
  <si>
    <t>AI2</t>
  </si>
  <si>
    <t>AI3</t>
  </si>
  <si>
    <t>BT1</t>
  </si>
  <si>
    <t>BT2</t>
  </si>
  <si>
    <t>BT3</t>
  </si>
  <si>
    <t>CHIVILCOY 2171</t>
  </si>
  <si>
    <t>Pueras F60</t>
  </si>
  <si>
    <t>Palieres / Terrazas</t>
  </si>
  <si>
    <t>Concreto</t>
  </si>
  <si>
    <t>Porcelanato UF</t>
  </si>
  <si>
    <t>Porcelanato</t>
  </si>
  <si>
    <t>Pulsador</t>
  </si>
  <si>
    <t>Tablero SG</t>
  </si>
  <si>
    <t>Acceso cocheras exterior</t>
  </si>
  <si>
    <t>Medidores de luz</t>
  </si>
  <si>
    <t>Ingreso vehicular</t>
  </si>
  <si>
    <t>Ingreso vehicular s/cielorraso</t>
  </si>
  <si>
    <t>Espacio guardacoche</t>
  </si>
  <si>
    <t>Terreno absorbente</t>
  </si>
  <si>
    <t>Medidor de gas</t>
  </si>
  <si>
    <t>Paso</t>
  </si>
  <si>
    <t>Esp. Pers. Mant. Frente</t>
  </si>
  <si>
    <t>Sala tanques de bombeo</t>
  </si>
  <si>
    <t>Esp. Pers. Mant. Escalera</t>
  </si>
  <si>
    <t>Baño mantenimiento</t>
  </si>
  <si>
    <t>A101 - Estar/Comedor/Cocina/Lav - Hall</t>
  </si>
  <si>
    <t>A101 - Estar/Comedor/Cocina/Lav - Cocina</t>
  </si>
  <si>
    <t>A101 - Estar/Comedor/Cocina/Lav - Estar</t>
  </si>
  <si>
    <t>A103 - Dormitorio</t>
  </si>
  <si>
    <t>A104 - Baño</t>
  </si>
  <si>
    <t>Balcon 2 amb CF</t>
  </si>
  <si>
    <t>A102 - Estar/Comedor/Cocina/Lav/Domitorio</t>
  </si>
  <si>
    <t>A105 - Baño</t>
  </si>
  <si>
    <t>Balcon mono CF</t>
  </si>
  <si>
    <t>Hall acceso 2 amb F</t>
  </si>
  <si>
    <t>Cocina 2 amb F</t>
  </si>
  <si>
    <t>A106 - Estar/Comedor/Cocina/Lav.</t>
  </si>
  <si>
    <t>A107 - Baño F</t>
  </si>
  <si>
    <t>A106 - Dormitorio</t>
  </si>
  <si>
    <t>Balcon 2 amb F</t>
  </si>
  <si>
    <t>A110 - Estar/Comedor/Cocina/Lav/Dormitorio</t>
  </si>
  <si>
    <t>A108 - Baño</t>
  </si>
  <si>
    <t xml:space="preserve">Repetición de 2° a 4° </t>
  </si>
  <si>
    <t>A109 - Estar/Comedor/Cocina/Lav F</t>
  </si>
  <si>
    <t>A106 - Dormitorio AL</t>
  </si>
  <si>
    <t>Balcon mono F</t>
  </si>
  <si>
    <t>A201 - Estar/Comedor/Cocina/Lav - Hall</t>
  </si>
  <si>
    <t>A201 - Estar/Comedor/Cocina/Lav - Cocina</t>
  </si>
  <si>
    <t>A201 - Estar/Comedor/Cocina/Lav - Estar</t>
  </si>
  <si>
    <t>A203 - Dormitorio</t>
  </si>
  <si>
    <t>A204 - Baño</t>
  </si>
  <si>
    <t>A202 - Estar/Comedor/Cocina/Lav/Domitorio</t>
  </si>
  <si>
    <t>A205 - Baño</t>
  </si>
  <si>
    <t>Hall acceso / Cocina 3 amb F</t>
  </si>
  <si>
    <t>A208 - Estar/Comedor/Cocina/Lav. F</t>
  </si>
  <si>
    <t>A208 - Hall Dist. F</t>
  </si>
  <si>
    <t>A206 - Dormitorio AL</t>
  </si>
  <si>
    <t>A207 - Toil.</t>
  </si>
  <si>
    <t>A209 - Dormitorio F</t>
  </si>
  <si>
    <t>A210 - Baño</t>
  </si>
  <si>
    <t xml:space="preserve">A301 - Dormitorio </t>
  </si>
  <si>
    <t>A302 - Estar/Comedor/Cocina/Lav.</t>
  </si>
  <si>
    <t>A303 - Baño (c/ ducha)</t>
  </si>
  <si>
    <t>A304 - Toilete</t>
  </si>
  <si>
    <t>A305 - Baño (c/ducha)</t>
  </si>
  <si>
    <t>A306 - Toil.</t>
  </si>
  <si>
    <t>A307 - Dormitorio</t>
  </si>
  <si>
    <t>A308 - Estar/Comedor/Cocina/Lav.</t>
  </si>
  <si>
    <t>A401 - Sala de maq.</t>
  </si>
  <si>
    <t>Terraza verde</t>
  </si>
  <si>
    <t>Sin Yeso</t>
  </si>
  <si>
    <t>Enduido</t>
  </si>
  <si>
    <t>Puertas chapa</t>
  </si>
  <si>
    <r>
      <t xml:space="preserve">Colocación de baldosas en palieres 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</si>
  <si>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luz de emergencia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</si>
  <si>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Herrajes</t>
  </si>
  <si>
    <t>HA</t>
  </si>
  <si>
    <t>DK</t>
  </si>
  <si>
    <t>F</t>
  </si>
  <si>
    <t>G</t>
  </si>
  <si>
    <t>M1.1</t>
  </si>
  <si>
    <t>M2b</t>
  </si>
  <si>
    <t>M2c</t>
  </si>
  <si>
    <t>M9.1</t>
  </si>
  <si>
    <t>M9.2</t>
  </si>
  <si>
    <t>M9.3</t>
  </si>
  <si>
    <t>M9.4</t>
  </si>
  <si>
    <t>M9b.1</t>
  </si>
  <si>
    <t>M9b.2</t>
  </si>
  <si>
    <t>M10b</t>
  </si>
  <si>
    <t>M17.1</t>
  </si>
  <si>
    <t>M17.2</t>
  </si>
  <si>
    <t>M17.3</t>
  </si>
  <si>
    <t>M17.4</t>
  </si>
  <si>
    <t>M17.5</t>
  </si>
  <si>
    <t>M17.b</t>
  </si>
  <si>
    <t>M19.1</t>
  </si>
  <si>
    <t>M19.2</t>
  </si>
  <si>
    <t>M19.3</t>
  </si>
  <si>
    <t>1° a 5° P</t>
  </si>
  <si>
    <t>M1.2</t>
  </si>
  <si>
    <t>M2.1</t>
  </si>
  <si>
    <t>M2.2</t>
  </si>
  <si>
    <t>M21.1</t>
  </si>
  <si>
    <t>M21.2</t>
  </si>
  <si>
    <t>M22.1</t>
  </si>
  <si>
    <t>M22.2</t>
  </si>
  <si>
    <t>M44 (1°P)</t>
  </si>
  <si>
    <t>M44 (2° a 5°P)</t>
  </si>
  <si>
    <t>M45 (1°P)</t>
  </si>
  <si>
    <t>M45 (2° a 5°P)</t>
  </si>
  <si>
    <t>M46 (1°P)</t>
  </si>
  <si>
    <t>M46 (2° a 5°P)</t>
  </si>
  <si>
    <t>M50 (1°P)</t>
  </si>
  <si>
    <t>6°P</t>
  </si>
  <si>
    <t>7°P</t>
  </si>
  <si>
    <t>M10´</t>
  </si>
  <si>
    <t>PL1</t>
  </si>
  <si>
    <t>PL2</t>
  </si>
  <si>
    <t>PL3</t>
  </si>
  <si>
    <t>Babeta amure gris C25 Des. 200mm x 2.44m</t>
  </si>
  <si>
    <t>Sikaflex®-1A  Sellador Poliuretano Color Gris 300ml</t>
  </si>
  <si>
    <t>ABRAFER WEB</t>
  </si>
  <si>
    <t>Vigas de fundación</t>
  </si>
  <si>
    <t>Espacio de mantenimiento frente</t>
  </si>
  <si>
    <t>Sala de tanques</t>
  </si>
  <si>
    <t>Espacio de mantenimiento CF</t>
  </si>
  <si>
    <t>Caja de escaleras</t>
  </si>
  <si>
    <t>Baño Aux.</t>
  </si>
  <si>
    <t xml:space="preserve">Pasillo Aux. </t>
  </si>
  <si>
    <t>EXC.</t>
  </si>
  <si>
    <r>
      <t xml:space="preserve">Vigas de encadenado </t>
    </r>
    <r>
      <rPr>
        <i/>
        <sz val="10"/>
        <color rgb="FFFF0000"/>
        <rFont val="Calibri"/>
        <family val="2"/>
        <scheme val="minor"/>
      </rPr>
      <t>- En muros de PB, incl. excavación y armado</t>
    </r>
  </si>
  <si>
    <t>Viga apeo s/PB - H30 (180 kg/m3 de hierro)</t>
  </si>
  <si>
    <t>Muro de tabique seco ignifugo</t>
  </si>
  <si>
    <t>C03</t>
  </si>
  <si>
    <t>C04</t>
  </si>
  <si>
    <t>C09</t>
  </si>
  <si>
    <t>C11</t>
  </si>
  <si>
    <t>C13</t>
  </si>
  <si>
    <t>C14</t>
  </si>
  <si>
    <t>C16</t>
  </si>
  <si>
    <t xml:space="preserve">1P </t>
  </si>
  <si>
    <t>V012</t>
  </si>
  <si>
    <t>V013</t>
  </si>
  <si>
    <t>V015</t>
  </si>
  <si>
    <t>V016</t>
  </si>
  <si>
    <t>V032</t>
  </si>
  <si>
    <t>V033</t>
  </si>
  <si>
    <t>V031</t>
  </si>
  <si>
    <t>V029</t>
  </si>
  <si>
    <t>V030</t>
  </si>
  <si>
    <r>
      <t xml:space="preserve">Picado de medianeras para columnas y vigas </t>
    </r>
    <r>
      <rPr>
        <i/>
        <sz val="10"/>
        <color rgb="FFFF0000"/>
        <rFont val="Calibri"/>
        <family val="2"/>
        <scheme val="minor"/>
      </rPr>
      <t xml:space="preserve">- Cotizado solo para PB, 1P, </t>
    </r>
    <r>
      <rPr>
        <b/>
        <i/>
        <sz val="10"/>
        <color rgb="FFFF0000"/>
        <rFont val="Calibri"/>
        <family val="2"/>
        <scheme val="minor"/>
      </rPr>
      <t>NO</t>
    </r>
    <r>
      <rPr>
        <i/>
        <sz val="10"/>
        <color rgb="FFFF0000"/>
        <rFont val="Calibri"/>
        <family val="2"/>
        <scheme val="minor"/>
      </rPr>
      <t xml:space="preserve"> contempla picado en CT</t>
    </r>
  </si>
  <si>
    <t>MAMPOSTERÍA</t>
  </si>
  <si>
    <r>
      <t xml:space="preserve">Cajón hidrófugo </t>
    </r>
    <r>
      <rPr>
        <i/>
        <sz val="10"/>
        <color rgb="FFFF0000"/>
        <rFont val="Calibri"/>
        <family val="2"/>
        <scheme val="minor"/>
      </rPr>
      <t>- Muros de PB</t>
    </r>
  </si>
  <si>
    <t>Cajon hidrofugo</t>
  </si>
  <si>
    <t>Acceso cocheras</t>
  </si>
  <si>
    <t>Patio AL</t>
  </si>
  <si>
    <t>Espacio guardacoche med. Izquierda</t>
  </si>
  <si>
    <t>Patio fondo</t>
  </si>
  <si>
    <t>Espacio guardacoche med. Derecha</t>
  </si>
  <si>
    <t>P1 a 5°</t>
  </si>
  <si>
    <t>Balcon F izq.</t>
  </si>
  <si>
    <t>Balcon F medio</t>
  </si>
  <si>
    <t>Balcon F der</t>
  </si>
  <si>
    <t>Balcon CF izq.</t>
  </si>
  <si>
    <t>Balcon CF medio</t>
  </si>
  <si>
    <t>Balcon CF der</t>
  </si>
  <si>
    <t>P6°</t>
  </si>
  <si>
    <t>P7°</t>
  </si>
  <si>
    <t>Lateral Balcon F Der.</t>
  </si>
  <si>
    <t>Lateral Balcon F Izq.</t>
  </si>
  <si>
    <t>Balcon CF (med. Izq.)</t>
  </si>
  <si>
    <t>Balcon CF (med. Der.)</t>
  </si>
  <si>
    <t>Balcon F (con baranda)</t>
  </si>
  <si>
    <t>Balcon CF (con baranda)</t>
  </si>
  <si>
    <t>Fachada / Med. Gas</t>
  </si>
  <si>
    <t>Ventilacion CT</t>
  </si>
  <si>
    <t>Paso (mampostería)</t>
  </si>
  <si>
    <t>Sala de maquinas + Caja de escaleras</t>
  </si>
  <si>
    <t>Aire/Luz CF</t>
  </si>
  <si>
    <t>Aire/Luz F</t>
  </si>
  <si>
    <t>Hueco Aire/Luz 1° a 5°</t>
  </si>
  <si>
    <t>Hueco Aire/Luz 6°</t>
  </si>
  <si>
    <t>Hueco Aire/Luz 7°</t>
  </si>
  <si>
    <t>Buña AL</t>
  </si>
  <si>
    <t>BUÑAS</t>
  </si>
  <si>
    <t xml:space="preserve">Buña MED Der. F / 1° a 7° </t>
  </si>
  <si>
    <t>Buña MED Der. CF / 1° a 7°</t>
  </si>
  <si>
    <t xml:space="preserve">Buña MED Izq. / 1° a 7° </t>
  </si>
  <si>
    <t>Buña MED Der. F / 8°</t>
  </si>
  <si>
    <t>Buña MED Der. CF / 8°</t>
  </si>
  <si>
    <t>Buña MED Izq. / 8°</t>
  </si>
  <si>
    <t>Balcones Frente - 2º a 5º</t>
  </si>
  <si>
    <t>Balcones Frente - 6°</t>
  </si>
  <si>
    <t>Med. Luz</t>
  </si>
  <si>
    <t xml:space="preserve">Porton </t>
  </si>
  <si>
    <t>Balcones CFrente - 1º a 6º</t>
  </si>
  <si>
    <t>Divisores</t>
  </si>
  <si>
    <r>
      <t xml:space="preserve">Revestimiento plástico a llana tipo Quimtex en altura </t>
    </r>
    <r>
      <rPr>
        <i/>
        <sz val="10"/>
        <color rgb="FFFF0000"/>
        <rFont val="Calibri"/>
        <family val="2"/>
        <scheme val="minor"/>
      </rPr>
      <t>- Aire luz y balcones</t>
    </r>
  </si>
  <si>
    <r>
      <t xml:space="preserve">Convertidor y esmalte sintético en barandas y herrerías </t>
    </r>
    <r>
      <rPr>
        <i/>
        <sz val="10"/>
        <color rgb="FFFF0000"/>
        <rFont val="Calibri"/>
        <family val="2"/>
        <scheme val="minor"/>
      </rPr>
      <t>- Escalera, balcones, barandas, portón, medidores, etc.</t>
    </r>
  </si>
  <si>
    <r>
      <t xml:space="preserve">Latex interior para paredes Bco. mate (enduido completo) </t>
    </r>
    <r>
      <rPr>
        <i/>
        <sz val="10"/>
        <color rgb="FFFF0000"/>
        <rFont val="Calibri"/>
        <family val="2"/>
        <scheme val="minor"/>
      </rPr>
      <t>- Cocinas/Estar</t>
    </r>
  </si>
  <si>
    <r>
      <t xml:space="preserve">Látex interior para cielorrasos Bco. mate (s/enduido) </t>
    </r>
    <r>
      <rPr>
        <i/>
        <sz val="10"/>
        <color rgb="FFFF0000"/>
        <rFont val="Calibri"/>
        <family val="2"/>
        <scheme val="minor"/>
      </rPr>
      <t>- En subsuelos, espacios comunes, escalera y balcones</t>
    </r>
  </si>
  <si>
    <t>BASE COAT</t>
  </si>
  <si>
    <t>Revestimiento plastico</t>
  </si>
  <si>
    <r>
      <t xml:space="preserve">Preparación de superficie con base coat para recibir revestimiento </t>
    </r>
    <r>
      <rPr>
        <i/>
        <sz val="10"/>
        <color rgb="FFFF0000"/>
        <rFont val="Calibri"/>
        <family val="2"/>
        <scheme val="minor"/>
      </rPr>
      <t>- Vigas y cielorrasos balcones</t>
    </r>
  </si>
  <si>
    <t>Frente 2° a 5°</t>
  </si>
  <si>
    <t>Frente 1°</t>
  </si>
  <si>
    <t>Contrafrente 1° a 6°</t>
  </si>
  <si>
    <t>Cielorraso balcones</t>
  </si>
  <si>
    <t>Base Coat Bicomponente Durlock® Exteriores</t>
  </si>
  <si>
    <t>M.O Plus silleta</t>
  </si>
  <si>
    <r>
      <t xml:space="preserve">Revestimiento plástico a llana tipo Quimtex </t>
    </r>
    <r>
      <rPr>
        <i/>
        <sz val="10"/>
        <color rgb="FFFF0000"/>
        <rFont val="Calibri"/>
        <family val="2"/>
        <scheme val="minor"/>
      </rPr>
      <t>- Fachada frente/contrafrente y balcones</t>
    </r>
  </si>
  <si>
    <r>
      <t>Montaje, colocación y puesta en marcha de equipos</t>
    </r>
    <r>
      <rPr>
        <i/>
        <sz val="10"/>
        <color rgb="FFFF0000"/>
        <rFont val="Calibri"/>
        <family val="2"/>
        <scheme val="minor"/>
      </rPr>
      <t xml:space="preserve"> - No cotiza</t>
    </r>
  </si>
  <si>
    <t>Preinstalación AA.CC. Materiales y M.O</t>
  </si>
  <si>
    <r>
      <t>Instalacion de extractores de baños</t>
    </r>
    <r>
      <rPr>
        <i/>
        <sz val="10"/>
        <color rgb="FFFF0000"/>
        <rFont val="Calibri"/>
        <family val="2"/>
        <scheme val="minor"/>
      </rPr>
      <t xml:space="preserve"> - No cotiza</t>
    </r>
  </si>
  <si>
    <t>PROTECCIONES Y DEFENSAS</t>
  </si>
  <si>
    <t>Cocina D (2 amb)</t>
  </si>
  <si>
    <t>Baños C (mono)</t>
  </si>
  <si>
    <t>Baños D (dos amb)</t>
  </si>
  <si>
    <t>Cocina A (2 amb)</t>
  </si>
  <si>
    <t>Cocina B (mono)</t>
  </si>
  <si>
    <t>Baños A (2 amb)</t>
  </si>
  <si>
    <t>Baños B (mono)</t>
  </si>
  <si>
    <t>Cocina C (2 amb)</t>
  </si>
  <si>
    <t>Baños C (2 amb)</t>
  </si>
  <si>
    <t>Cocina A CF</t>
  </si>
  <si>
    <t>Cocina B F</t>
  </si>
  <si>
    <t>Baños A CF</t>
  </si>
  <si>
    <t>Baños B F</t>
  </si>
  <si>
    <r>
      <t xml:space="preserve">Provisión y colocación de perfileria de aluminio tipo ATRIM L anod. Natural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</si>
  <si>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t>PCI4</t>
  </si>
  <si>
    <t>S1</t>
  </si>
  <si>
    <t>Solia de entrada</t>
  </si>
  <si>
    <t xml:space="preserve">GUALA </t>
  </si>
  <si>
    <t>Zócalo Contramarco Curvo Atenneas 7.5cm x 15mm MDF Prepintado Blanco 2.75m</t>
  </si>
  <si>
    <r>
      <t xml:space="preserve">Colocación de zócalo de porcelanato en balcones UF </t>
    </r>
    <r>
      <rPr>
        <i/>
        <sz val="10"/>
        <color rgb="FFEE0000"/>
        <rFont val="Calibri"/>
        <family val="2"/>
        <scheme val="minor"/>
      </rPr>
      <t>- Provisión a cargo del comitente</t>
    </r>
  </si>
  <si>
    <r>
      <t xml:space="preserve">Colocación de zócalo de porcelanato en espacios comunes </t>
    </r>
    <r>
      <rPr>
        <i/>
        <sz val="10"/>
        <color rgb="FFEE0000"/>
        <rFont val="Calibri"/>
        <family val="2"/>
        <scheme val="minor"/>
      </rPr>
      <t>- Provisión a cargo del comitente</t>
    </r>
  </si>
  <si>
    <t xml:space="preserve">Colocación de ventilación de conducto de humos. Inc. toma de aire en PB </t>
  </si>
  <si>
    <t>Colocación y montaje de conducto de ventilación en baños</t>
  </si>
  <si>
    <t>Pedada</t>
  </si>
  <si>
    <t>Descanso</t>
  </si>
  <si>
    <t>Descanso 2</t>
  </si>
  <si>
    <t>Alzada 1,10 m</t>
  </si>
  <si>
    <t>Alzada 1,15 m</t>
  </si>
  <si>
    <t>Alzada 1,26 m</t>
  </si>
  <si>
    <t xml:space="preserve">1° a 7° </t>
  </si>
  <si>
    <t>Alzada 1,78 m</t>
  </si>
  <si>
    <t>Narices</t>
  </si>
  <si>
    <t>Largo 1,10 m</t>
  </si>
  <si>
    <t>Largo 1,26 m</t>
  </si>
  <si>
    <t>Largo 1,15 m</t>
  </si>
  <si>
    <t>Largo 1,78 m</t>
  </si>
  <si>
    <t>M.Obra (2 dias x piso)</t>
  </si>
  <si>
    <t xml:space="preserve">Provisión y ejecución de alisado de cemento en pedadas y alzadas </t>
  </si>
  <si>
    <t>Consumibles (discos, electrodos, pintura)</t>
  </si>
  <si>
    <t>Zocalo</t>
  </si>
  <si>
    <t>Rampante</t>
  </si>
  <si>
    <t>Descanso 1</t>
  </si>
  <si>
    <r>
      <t>Zócalo de concreto en escalera</t>
    </r>
    <r>
      <rPr>
        <i/>
        <sz val="10"/>
        <color rgb="FFFF0000"/>
        <rFont val="Calibri"/>
        <family val="2"/>
        <scheme val="minor"/>
      </rPr>
      <t xml:space="preserve"> - No incluye el ojo</t>
    </r>
  </si>
  <si>
    <t xml:space="preserve">Provisión y colocación de nariz metálica en escalones </t>
  </si>
  <si>
    <t>Tablero de UF - Monofasico</t>
  </si>
  <si>
    <t>MONTANTE ELECTRICA</t>
  </si>
  <si>
    <t>MED - TSG</t>
  </si>
  <si>
    <t>MED - 1A</t>
  </si>
  <si>
    <t>MED - 1B</t>
  </si>
  <si>
    <t>MED - 1C</t>
  </si>
  <si>
    <t>MED - 1D</t>
  </si>
  <si>
    <t>MED - 2A</t>
  </si>
  <si>
    <t>MED - 2B</t>
  </si>
  <si>
    <t>MED - 2C</t>
  </si>
  <si>
    <t>MED - 2D</t>
  </si>
  <si>
    <t>MED - 3A</t>
  </si>
  <si>
    <t>MED - 3B</t>
  </si>
  <si>
    <t>MED - 3C</t>
  </si>
  <si>
    <t>MED - 3D</t>
  </si>
  <si>
    <t>MED - 4A</t>
  </si>
  <si>
    <t>MED - 4B</t>
  </si>
  <si>
    <t>MED - 4C</t>
  </si>
  <si>
    <t>MED - 4D</t>
  </si>
  <si>
    <t>MED - 5A</t>
  </si>
  <si>
    <t>MED - 5B</t>
  </si>
  <si>
    <t>MED - 5C</t>
  </si>
  <si>
    <t>MED - 5D</t>
  </si>
  <si>
    <t>Curva</t>
  </si>
  <si>
    <t>MED - 6A</t>
  </si>
  <si>
    <t>MED - 6B</t>
  </si>
  <si>
    <t>MED - 6C</t>
  </si>
  <si>
    <t>PT</t>
  </si>
  <si>
    <t>5x6</t>
  </si>
  <si>
    <t>5x16</t>
  </si>
  <si>
    <t>TSG - ASC</t>
  </si>
  <si>
    <t>3x10</t>
  </si>
  <si>
    <t>5x10</t>
  </si>
  <si>
    <t>TSG - BI</t>
  </si>
  <si>
    <t>3 x 4</t>
  </si>
  <si>
    <t>TSG - BP / TT</t>
  </si>
  <si>
    <t>Caños montantes</t>
  </si>
  <si>
    <t>3 por piso</t>
  </si>
  <si>
    <t xml:space="preserve">1° a 6° </t>
  </si>
  <si>
    <t>7°</t>
  </si>
  <si>
    <t>Montante TV</t>
  </si>
  <si>
    <t>Metros lineales</t>
  </si>
  <si>
    <t>DISTRIBUCION AF Y AC / 2 AMB</t>
  </si>
  <si>
    <t>DISTRIBUCION AF Y AC / 2 AMB RETIROS</t>
  </si>
  <si>
    <t>Mant</t>
  </si>
  <si>
    <t>1° a 5°</t>
  </si>
  <si>
    <t>1A (2 amb CF)</t>
  </si>
  <si>
    <t>1C (2 amb F)</t>
  </si>
  <si>
    <t>1B (Mono CF)</t>
  </si>
  <si>
    <t>1D (Mono F)</t>
  </si>
  <si>
    <t>6°</t>
  </si>
  <si>
    <t>6A (2 amb CF)</t>
  </si>
  <si>
    <t>6B (Mono CF)</t>
  </si>
  <si>
    <t>6C (3 amb F)</t>
  </si>
  <si>
    <t>7A (2 amb CF)</t>
  </si>
  <si>
    <t>7B (2 amb CF)</t>
  </si>
  <si>
    <t>COLOCACION DE ART. SANIT.</t>
  </si>
  <si>
    <t>1 dia por UF (Mono/Aux/2 amb)</t>
  </si>
  <si>
    <t>2 dias por UF (3 amb/2 amb con 2 baños))</t>
  </si>
  <si>
    <t xml:space="preserve">Distribución agua fria y caliente en planta tipo </t>
  </si>
  <si>
    <t>CH 2171</t>
  </si>
  <si>
    <r>
      <t xml:space="preserve">Tendido e instalación de cs de agua de lluvia recuperada, con instalación de bomba presurizadora y conexión de tanque de recuperación de agua de lluvia </t>
    </r>
    <r>
      <rPr>
        <i/>
        <sz val="10"/>
        <color rgb="FFFF0000"/>
        <rFont val="Calibri"/>
        <family val="2"/>
        <scheme val="minor"/>
      </rPr>
      <t>- N/A</t>
    </r>
  </si>
  <si>
    <t>DISTRIBUCION DE AF Y AC EN PLANTA TIPO</t>
  </si>
  <si>
    <t>COLOCACION DE ARTEFACTOS Y GRIFERIAS</t>
  </si>
  <si>
    <t>SUBIDA AF, MONTANTES AF, COLOCACION TR Y COLECTOR</t>
  </si>
  <si>
    <t xml:space="preserve">ALIMENTACION PB, TB Y COLECTOR </t>
  </si>
  <si>
    <t xml:space="preserve">Puerta para llave de paso de agua </t>
  </si>
  <si>
    <t>Por armar colector TAR Y bajadas AC</t>
  </si>
  <si>
    <t>ALIMENTACION Y ENTRADA TAR</t>
  </si>
  <si>
    <t>H-3 TUBO MACHO Ø25 MM ROSCA MET.</t>
  </si>
  <si>
    <t>BAJADAS AC, COLOCACION TAR Y COLECTOR</t>
  </si>
  <si>
    <t>RETORNO</t>
  </si>
  <si>
    <t>En azotea</t>
  </si>
  <si>
    <t>Montantes</t>
  </si>
  <si>
    <t>Por armar colector Bomba pres y bajadas ultimos pisos</t>
  </si>
  <si>
    <t>ALIMENTACION Y CUADRO DE BOMBAS</t>
  </si>
  <si>
    <t>2 AMB</t>
  </si>
  <si>
    <t>2 AMB (c/2 baños) / 3 AMB</t>
  </si>
  <si>
    <t>CDV EN PT</t>
  </si>
  <si>
    <t>Tendido caño cloacal en planta baja</t>
  </si>
  <si>
    <t>MONTANTE Y VENTILACIONES</t>
  </si>
  <si>
    <t>Zanjeo</t>
  </si>
  <si>
    <t>TENDIDO PB</t>
  </si>
  <si>
    <t>3 AMB / 2 AMB</t>
  </si>
  <si>
    <t xml:space="preserve">Zanjeo </t>
  </si>
  <si>
    <t>TERRAZAS</t>
  </si>
  <si>
    <r>
      <t xml:space="preserve">Armado de colector de TAR. Bajadas y retorno de ACS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</si>
  <si>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bomba presurizadora, armado de colector y montantes presurizadas de AF y AC (ultimos pisos 6° y 7°)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</si>
  <si>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Tendido caño de agua en PB hasta TB. Armado de colector, cuadro de bombas y conexionado de TB </t>
    </r>
    <r>
      <rPr>
        <i/>
        <sz val="10"/>
        <color rgb="FFFF0000"/>
        <rFont val="Calibri"/>
        <family val="2"/>
        <scheme val="minor"/>
      </rPr>
      <t>- Provisión de tanques y bombas a cargo del comitente</t>
    </r>
  </si>
  <si>
    <r>
      <t xml:space="preserve">Conexión y armado de colector de TR. Montantes, subida y bajadas de AF </t>
    </r>
    <r>
      <rPr>
        <i/>
        <sz val="10"/>
        <color rgb="FFFF0000"/>
        <rFont val="Calibri"/>
        <family val="2"/>
        <scheme val="minor"/>
      </rPr>
      <t>- Provisión de tanques a cargo del comitente</t>
    </r>
  </si>
  <si>
    <r>
      <t xml:space="preserve">Colocación y armado de colectores solares </t>
    </r>
    <r>
      <rPr>
        <i/>
        <sz val="10"/>
        <color rgb="FFFF0000"/>
        <rFont val="Calibri"/>
        <family val="2"/>
        <scheme val="minor"/>
      </rPr>
      <t>- Provisión de colectores a cargo del comitente</t>
    </r>
  </si>
  <si>
    <t xml:space="preserve">Tramites de habilitación municipal </t>
  </si>
  <si>
    <t>Galvite</t>
  </si>
  <si>
    <t>NOTA: CANTIDADES SALEN DE COMPUTO AUXILIAR GAS / CH 2171_Computo gas</t>
  </si>
  <si>
    <t>Provisión y tendido de cañerías de gas a SG</t>
  </si>
  <si>
    <t xml:space="preserve">Gabinete para gas </t>
  </si>
  <si>
    <t xml:space="preserve">Amurado de gabinete </t>
  </si>
  <si>
    <t>Zanjeo PB Y tapado</t>
  </si>
  <si>
    <r>
      <t xml:space="preserve">Colocación de artefactos </t>
    </r>
    <r>
      <rPr>
        <i/>
        <sz val="10"/>
        <color rgb="FFFF0000"/>
        <rFont val="Calibri"/>
        <family val="2"/>
        <scheme val="minor"/>
      </rPr>
      <t>- Provisión a cargo del comitente</t>
    </r>
  </si>
  <si>
    <r>
      <t xml:space="preserve">Colocación de señaletica </t>
    </r>
    <r>
      <rPr>
        <i/>
        <sz val="10"/>
        <color rgb="FFFF0000"/>
        <rFont val="Calibri"/>
        <family val="2"/>
        <scheme val="minor"/>
      </rPr>
      <t>- Provisión a cargo del comitente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</si>
</sst>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 &quot;$&quot;\ * #,##0.00_ ;_ &quot;$&quot;\ * \-#,##0.00_ ;_ &quot;$&quot;\ * &quot;-&quot;??_ ;_ @_ "/>
    <numFmt numFmtId="167" formatCode="_ * #,##0.00_ ;_ * \-#,##0.00_ ;_ * &quot;-&quot;??_ ;_ @_ "/>
    <numFmt numFmtId="168" formatCode="_-* #,##0.00\ _€_-;\-* #,##0.00\ _€_-;_-* &quot;-&quot;??\ _€_-;_-@_-"/>
    <numFmt numFmtId="169" formatCode="_-* #,##0_-;\-* #,##0_-;_-* &quot;-&quot;??_-;_-@_-"/>
    <numFmt numFmtId="170" formatCode="_-* #,##0.00\ _$_-;\-* #,##0.00\ _$_-;_-* &quot;-&quot;??\ _$_-;_-@_-"/>
    <numFmt numFmtId="171" formatCode="_ * #,##0.0_ ;_ * \-#,##0.0_ ;_ * &quot;-&quot;??_ ;_ @_ "/>
    <numFmt numFmtId="172" formatCode="_ [$€-2]\ * #,##0.00_ ;_ [$€-2]\ * \-#,##0.00_ ;_ [$€-2]\ * &quot;-&quot;??_ "/>
    <numFmt numFmtId="173" formatCode="&quot;Mano de Obra (Rend &quot;0.00&quot; m2/dia)&quot;"/>
    <numFmt numFmtId="174" formatCode="_-* #,##0.0000_-;\-* #,##0.0000_-;_-* &quot;-&quot;??_-;_-@_-"/>
    <numFmt numFmtId="175" formatCode="#,##0&quot;    &quot;;&quot;-&quot;#,##0&quot;    &quot;;&quot; -    &quot;;@&quot; &quot;"/>
    <numFmt numFmtId="176" formatCode="_-* #,##0.00\ &quot;$&quot;_-;\-* #,##0.00\ &quot;$&quot;_-;_-* &quot;-&quot;??\ &quot;$&quot;_-;_-@_-"/>
    <numFmt numFmtId="177" formatCode="_(* #,##0_);_(* \(#,##0\);_(* &quot;-&quot;??_);_(@_)"/>
    <numFmt numFmtId="178" formatCode="_-* #,##0.00\ _p_t_a_-;\-* #,##0.00\ _p_t_a_-;_-* &quot;-&quot;??\ _p_t_a_-;_-@_-"/>
    <numFmt numFmtId="179" formatCode="_-* #,##0.0000_-;\-* #,##0.0000_-;_-* &quot;-&quot;????_-;_-@_-"/>
    <numFmt numFmtId="180" formatCode="_(* #,##0.0000_);_(* \(#,##0.0000\);_(* &quot;-&quot;??_);_(@_)"/>
  </numFmts>
  <fonts count="1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61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7030A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  <font>
      <i/>
      <sz val="10"/>
      <color theme="0" tint="-0.499984740745262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</font>
    <font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sz val="10"/>
      <color theme="9"/>
      <name val="Calibri"/>
      <family val="2"/>
      <scheme val="minor"/>
    </font>
    <font>
      <sz val="10"/>
      <name val="MS Sans Serif"/>
    </font>
    <font>
      <sz val="11"/>
      <color rgb="FF000000"/>
      <name val="Arial1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7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i/>
      <sz val="10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sz val="8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7"/>
      <name val="Calibri"/>
      <family val="2"/>
      <scheme val="minor"/>
    </font>
    <font>
      <sz val="8"/>
      <name val="Arial"/>
      <family val="2"/>
    </font>
    <font>
      <b/>
      <sz val="10"/>
      <color rgb="FFC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0" tint="-0.499984740745262"/>
      <name val="Calibri"/>
      <family val="2"/>
      <scheme val="minor"/>
    </font>
    <font>
      <b/>
      <sz val="14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sz val="10"/>
      <name val="Calibri"/>
      <family val="2"/>
    </font>
    <font>
      <b/>
      <u val="singleAccounting"/>
      <sz val="1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u val="singleAccounting"/>
      <sz val="10"/>
      <color rgb="FFFF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b/>
      <sz val="10"/>
      <color rgb="FF00B0F0"/>
      <name val="Calibri"/>
      <family val="2"/>
    </font>
    <font>
      <sz val="11"/>
      <color theme="1"/>
      <name val="Calibri"/>
      <family val="2"/>
    </font>
    <font>
      <b/>
      <i/>
      <sz val="10"/>
      <name val="Calibri"/>
      <family val="2"/>
      <scheme val="minor"/>
    </font>
    <font>
      <sz val="10"/>
      <color rgb="FFEE0000"/>
      <name val="Calibri"/>
      <family val="2"/>
      <scheme val="minor"/>
    </font>
    <font>
      <i/>
      <sz val="10"/>
      <color rgb="FFEE0000"/>
      <name val="Calibri"/>
      <family val="2"/>
      <scheme val="minor"/>
    </font>
    <font>
      <sz val="9"/>
      <name val="Calibri"/>
      <family val="2"/>
      <scheme val="minor"/>
    </font>
    <font>
      <sz val="9"/>
      <color theme="8" tint="-0.249977111117893"/>
      <name val="Calibri"/>
      <family val="2"/>
      <scheme val="minor"/>
    </font>
    <font>
      <sz val="9"/>
      <color theme="9" tint="-0.249977111117893"/>
      <name val="Calibri"/>
      <family val="2"/>
      <scheme val="minor"/>
    </font>
    <font>
      <sz val="9"/>
      <color theme="6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8" tint="-0.249977111117893"/>
      <name val="Arial"/>
      <family val="2"/>
    </font>
    <font>
      <sz val="9"/>
      <color theme="9" tint="-0.249977111117893"/>
      <name val="Arial"/>
      <family val="2"/>
    </font>
    <font>
      <sz val="9"/>
      <name val="Arial"/>
      <family val="2"/>
    </font>
    <font>
      <b/>
      <sz val="9"/>
      <color rgb="FF00B0F0"/>
      <name val="Calibri"/>
      <family val="2"/>
      <scheme val="minor"/>
    </font>
    <font>
      <b/>
      <sz val="9"/>
      <color theme="6" tint="-0.249977111117893"/>
      <name val="Arial"/>
      <family val="2"/>
    </font>
    <font>
      <b/>
      <sz val="9"/>
      <color theme="7" tint="-0.249977111117893"/>
      <name val="Arial"/>
      <family val="2"/>
    </font>
    <font>
      <b/>
      <sz val="9"/>
      <color theme="8" tint="-0.249977111117893"/>
      <name val="Arial"/>
      <family val="2"/>
    </font>
    <font>
      <b/>
      <sz val="9"/>
      <color theme="9" tint="-0.249977111117893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 tint="0.499984740745262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i/>
      <sz val="9"/>
      <color theme="8" tint="-0.249977111117893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i/>
      <sz val="9"/>
      <color theme="9" tint="-0.249977111117893"/>
      <name val="Calibri"/>
      <family val="2"/>
      <scheme val="minor"/>
    </font>
    <font>
      <b/>
      <i/>
      <sz val="9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CC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rgb="FFE6E6E6"/>
      </bottom>
      <diagonal/>
    </border>
    <border>
      <left/>
      <right/>
      <top style="thin">
        <color rgb="FFE6E6E6"/>
      </top>
      <bottom style="thin">
        <color rgb="FFE6E6E6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143">
    <xf numFmtId="0" fontId="0" fillId="0" borderId="1"/>
    <xf numFmtId="43" fontId="46" fillId="0" borderId="0" applyFont="0" applyFill="0" applyBorder="0" applyAlignment="0" applyProtection="0"/>
    <xf numFmtId="0" fontId="44" fillId="0" borderId="0"/>
    <xf numFmtId="167" fontId="44" fillId="0" borderId="0" applyFont="0" applyFill="0" applyBorder="0" applyAlignment="0" applyProtection="0"/>
    <xf numFmtId="168" fontId="43" fillId="0" borderId="0" applyFont="0" applyFill="0" applyBorder="0" applyAlignment="0" applyProtection="0"/>
    <xf numFmtId="167" fontId="44" fillId="0" borderId="0" applyFont="0" applyFill="0" applyBorder="0" applyAlignment="0" applyProtection="0"/>
    <xf numFmtId="0" fontId="44" fillId="0" borderId="0"/>
    <xf numFmtId="170" fontId="42" fillId="0" borderId="0" applyFont="0" applyFill="0" applyBorder="0" applyAlignment="0" applyProtection="0"/>
    <xf numFmtId="0" fontId="42" fillId="0" borderId="0"/>
    <xf numFmtId="168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58" fillId="3" borderId="0" applyNumberFormat="0" applyBorder="0" applyAlignment="0" applyProtection="0"/>
    <xf numFmtId="0" fontId="41" fillId="0" borderId="0"/>
    <xf numFmtId="170" fontId="41" fillId="0" borderId="0" applyFont="0" applyFill="0" applyBorder="0" applyAlignment="0" applyProtection="0"/>
    <xf numFmtId="168" fontId="59" fillId="0" borderId="0" applyFont="0" applyFill="0" applyBorder="0" applyAlignment="0" applyProtection="0"/>
    <xf numFmtId="9" fontId="41" fillId="0" borderId="0" applyFont="0" applyFill="0" applyBorder="0" applyAlignment="0" applyProtection="0"/>
    <xf numFmtId="167" fontId="41" fillId="0" borderId="0" applyFont="0" applyFill="0" applyBorder="0" applyAlignment="0" applyProtection="0"/>
    <xf numFmtId="0" fontId="40" fillId="0" borderId="0"/>
    <xf numFmtId="0" fontId="44" fillId="0" borderId="0"/>
    <xf numFmtId="166" fontId="44" fillId="0" borderId="0" applyFont="0" applyFill="0" applyBorder="0" applyAlignment="0" applyProtection="0"/>
    <xf numFmtId="170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39" fillId="0" borderId="0" applyFont="0" applyFill="0" applyBorder="0" applyAlignment="0" applyProtection="0"/>
    <xf numFmtId="0" fontId="44" fillId="0" borderId="0"/>
    <xf numFmtId="168" fontId="39" fillId="0" borderId="0" applyFont="0" applyFill="0" applyBorder="0" applyAlignment="0" applyProtection="0"/>
    <xf numFmtId="0" fontId="39" fillId="0" borderId="0"/>
    <xf numFmtId="168" fontId="39" fillId="0" borderId="0" applyFont="0" applyFill="0" applyBorder="0" applyAlignment="0" applyProtection="0"/>
    <xf numFmtId="0" fontId="38" fillId="0" borderId="0"/>
    <xf numFmtId="9" fontId="63" fillId="0" borderId="0" applyFont="0" applyFill="0" applyBorder="0" applyAlignment="0" applyProtection="0"/>
    <xf numFmtId="0" fontId="44" fillId="0" borderId="1"/>
    <xf numFmtId="43" fontId="44" fillId="0" borderId="0" applyFont="0" applyFill="0" applyBorder="0" applyAlignment="0" applyProtection="0"/>
    <xf numFmtId="0" fontId="37" fillId="0" borderId="0"/>
    <xf numFmtId="172" fontId="44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66" fillId="0" borderId="0"/>
    <xf numFmtId="0" fontId="65" fillId="0" borderId="0"/>
    <xf numFmtId="0" fontId="36" fillId="0" borderId="0"/>
    <xf numFmtId="43" fontId="35" fillId="0" borderId="0" applyFont="0" applyFill="0" applyBorder="0" applyAlignment="0" applyProtection="0"/>
    <xf numFmtId="0" fontId="35" fillId="0" borderId="0"/>
    <xf numFmtId="0" fontId="34" fillId="0" borderId="0"/>
    <xf numFmtId="167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70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70" fontId="34" fillId="0" borderId="0" applyFont="0" applyFill="0" applyBorder="0" applyAlignment="0" applyProtection="0"/>
    <xf numFmtId="167" fontId="44" fillId="0" borderId="0" applyFont="0" applyFill="0" applyBorder="0" applyAlignment="0" applyProtection="0"/>
    <xf numFmtId="168" fontId="34" fillId="0" borderId="0" applyFont="0" applyFill="0" applyBorder="0" applyAlignment="0" applyProtection="0"/>
    <xf numFmtId="0" fontId="34" fillId="0" borderId="0"/>
    <xf numFmtId="168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1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175" fontId="76" fillId="0" borderId="0"/>
    <xf numFmtId="44" fontId="33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43" fontId="31" fillId="0" borderId="0" applyFont="0" applyFill="0" applyBorder="0" applyAlignment="0" applyProtection="0"/>
    <xf numFmtId="0" fontId="31" fillId="0" borderId="0"/>
    <xf numFmtId="44" fontId="31" fillId="0" borderId="0" applyFont="0" applyFill="0" applyBorder="0" applyAlignment="0" applyProtection="0"/>
    <xf numFmtId="0" fontId="75" fillId="0" borderId="0"/>
    <xf numFmtId="43" fontId="4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8" fillId="0" borderId="0"/>
    <xf numFmtId="43" fontId="28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54" fillId="0" borderId="0"/>
    <xf numFmtId="43" fontId="2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176" fontId="26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165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83" fillId="0" borderId="0" applyNumberFormat="0" applyFill="0" applyBorder="0" applyProtection="0"/>
    <xf numFmtId="165" fontId="44" fillId="0" borderId="0" applyFont="0" applyFill="0" applyBorder="0" applyAlignment="0" applyProtection="0"/>
    <xf numFmtId="0" fontId="84" fillId="0" borderId="0"/>
    <xf numFmtId="178" fontId="84" fillId="0" borderId="0" applyFont="0" applyFill="0" applyBorder="0" applyAlignment="0" applyProtection="0"/>
    <xf numFmtId="170" fontId="22" fillId="0" borderId="0" applyFont="0" applyFill="0" applyBorder="0" applyAlignment="0" applyProtection="0"/>
    <xf numFmtId="165" fontId="44" fillId="0" borderId="0" applyFont="0" applyFill="0" applyBorder="0" applyAlignment="0" applyProtection="0"/>
    <xf numFmtId="168" fontId="22" fillId="0" borderId="0" applyFont="0" applyFill="0" applyBorder="0" applyAlignment="0" applyProtection="0"/>
    <xf numFmtId="178" fontId="44" fillId="0" borderId="0" applyFont="0" applyFill="0" applyBorder="0" applyAlignment="0" applyProtection="0"/>
    <xf numFmtId="0" fontId="22" fillId="0" borderId="0"/>
    <xf numFmtId="0" fontId="84" fillId="0" borderId="0"/>
    <xf numFmtId="0" fontId="84" fillId="0" borderId="0"/>
    <xf numFmtId="0" fontId="86" fillId="0" borderId="0"/>
    <xf numFmtId="43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/>
    <xf numFmtId="0" fontId="19" fillId="0" borderId="0"/>
    <xf numFmtId="170" fontId="19" fillId="0" borderId="0" applyFont="0" applyFill="0" applyBorder="0" applyAlignment="0" applyProtection="0"/>
    <xf numFmtId="0" fontId="81" fillId="0" borderId="0"/>
    <xf numFmtId="9" fontId="81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5" fontId="17" fillId="0" borderId="0" applyFont="0" applyFill="0" applyBorder="0" applyAlignment="0" applyProtection="0"/>
    <xf numFmtId="0" fontId="17" fillId="0" borderId="0"/>
    <xf numFmtId="165" fontId="16" fillId="0" borderId="0" applyFont="0" applyFill="0" applyBorder="0" applyAlignment="0" applyProtection="0"/>
    <xf numFmtId="0" fontId="16" fillId="0" borderId="0"/>
    <xf numFmtId="0" fontId="93" fillId="0" borderId="0"/>
    <xf numFmtId="165" fontId="93" fillId="0" borderId="0" applyFont="0" applyFill="0" applyBorder="0" applyAlignment="0" applyProtection="0"/>
    <xf numFmtId="0" fontId="15" fillId="0" borderId="0"/>
    <xf numFmtId="168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4" fillId="0" borderId="0"/>
    <xf numFmtId="165" fontId="44" fillId="0" borderId="0" applyFont="0" applyFill="0" applyBorder="0" applyAlignment="0" applyProtection="0"/>
    <xf numFmtId="0" fontId="13" fillId="0" borderId="0"/>
    <xf numFmtId="0" fontId="96" fillId="0" borderId="1" applyNumberFormat="0" applyFill="0" applyBorder="0" applyAlignment="0" applyProtection="0"/>
    <xf numFmtId="165" fontId="12" fillId="0" borderId="0" applyFont="0" applyFill="0" applyBorder="0" applyAlignment="0" applyProtection="0"/>
    <xf numFmtId="0" fontId="11" fillId="0" borderId="0"/>
    <xf numFmtId="165" fontId="10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76">
    <xf numFmtId="0" fontId="0" fillId="0" borderId="1" xfId="0"/>
    <xf numFmtId="43" fontId="47" fillId="0" borderId="0" xfId="1" applyFont="1" applyBorder="1"/>
    <xf numFmtId="43" fontId="47" fillId="0" borderId="0" xfId="1" applyFont="1" applyBorder="1" applyAlignment="1">
      <alignment horizontal="center"/>
    </xf>
    <xf numFmtId="43" fontId="48" fillId="0" borderId="0" xfId="1" applyFont="1" applyBorder="1"/>
    <xf numFmtId="3" fontId="47" fillId="0" borderId="0" xfId="2" applyNumberFormat="1" applyFont="1" applyAlignment="1">
      <alignment horizontal="center" vertical="center" wrapText="1"/>
    </xf>
    <xf numFmtId="0" fontId="47" fillId="0" borderId="0" xfId="2" applyFont="1" applyAlignment="1">
      <alignment vertical="center" wrapText="1"/>
    </xf>
    <xf numFmtId="0" fontId="47" fillId="0" borderId="0" xfId="2" applyFont="1" applyAlignment="1">
      <alignment horizontal="center" vertical="center" wrapText="1"/>
    </xf>
    <xf numFmtId="49" fontId="47" fillId="0" borderId="12" xfId="8" applyNumberFormat="1" applyFont="1" applyBorder="1" applyAlignment="1">
      <alignment horizontal="center" vertical="center"/>
    </xf>
    <xf numFmtId="43" fontId="47" fillId="0" borderId="12" xfId="1" applyFont="1" applyFill="1" applyBorder="1" applyAlignment="1">
      <alignment horizontal="center" vertical="center" wrapText="1"/>
    </xf>
    <xf numFmtId="43" fontId="47" fillId="0" borderId="0" xfId="1" applyFont="1" applyFill="1" applyBorder="1" applyAlignment="1">
      <alignment horizontal="center" vertical="center" wrapText="1"/>
    </xf>
    <xf numFmtId="43" fontId="47" fillId="0" borderId="0" xfId="1" applyFont="1" applyAlignment="1">
      <alignment vertical="center" wrapText="1"/>
    </xf>
    <xf numFmtId="0" fontId="54" fillId="0" borderId="0" xfId="8" applyFont="1"/>
    <xf numFmtId="43" fontId="54" fillId="0" borderId="12" xfId="1" applyFont="1" applyFill="1" applyBorder="1" applyAlignment="1">
      <alignment horizontal="center" vertical="center"/>
    </xf>
    <xf numFmtId="43" fontId="47" fillId="0" borderId="12" xfId="1" applyFont="1" applyBorder="1"/>
    <xf numFmtId="43" fontId="47" fillId="0" borderId="15" xfId="1" applyFont="1" applyBorder="1"/>
    <xf numFmtId="43" fontId="48" fillId="0" borderId="12" xfId="1" applyFont="1" applyBorder="1"/>
    <xf numFmtId="43" fontId="54" fillId="0" borderId="0" xfId="1" applyFont="1"/>
    <xf numFmtId="43" fontId="54" fillId="2" borderId="0" xfId="1" applyFont="1" applyFill="1"/>
    <xf numFmtId="43" fontId="47" fillId="0" borderId="0" xfId="35" applyFont="1"/>
    <xf numFmtId="43" fontId="47" fillId="0" borderId="0" xfId="35" applyFont="1" applyAlignment="1">
      <alignment horizontal="center"/>
    </xf>
    <xf numFmtId="43" fontId="48" fillId="0" borderId="0" xfId="35" applyFont="1"/>
    <xf numFmtId="43" fontId="48" fillId="0" borderId="0" xfId="35" applyFont="1" applyAlignment="1"/>
    <xf numFmtId="0" fontId="62" fillId="0" borderId="0" xfId="36" applyFont="1"/>
    <xf numFmtId="49" fontId="47" fillId="0" borderId="0" xfId="35" applyNumberFormat="1" applyFont="1"/>
    <xf numFmtId="43" fontId="71" fillId="0" borderId="0" xfId="35" applyFont="1"/>
    <xf numFmtId="0" fontId="47" fillId="0" borderId="0" xfId="8" applyFont="1"/>
    <xf numFmtId="0" fontId="54" fillId="0" borderId="0" xfId="41" applyFont="1"/>
    <xf numFmtId="167" fontId="47" fillId="0" borderId="0" xfId="42" applyFont="1" applyFill="1" applyBorder="1" applyAlignment="1">
      <alignment vertical="center"/>
    </xf>
    <xf numFmtId="167" fontId="54" fillId="0" borderId="0" xfId="41" applyNumberFormat="1" applyFont="1" applyAlignment="1">
      <alignment vertical="center"/>
    </xf>
    <xf numFmtId="49" fontId="47" fillId="0" borderId="0" xfId="6" applyNumberFormat="1" applyFont="1" applyAlignment="1">
      <alignment horizontal="center" vertical="top"/>
    </xf>
    <xf numFmtId="43" fontId="54" fillId="0" borderId="0" xfId="43" applyFont="1"/>
    <xf numFmtId="43" fontId="54" fillId="0" borderId="0" xfId="41" applyNumberFormat="1" applyFont="1"/>
    <xf numFmtId="43" fontId="55" fillId="0" borderId="0" xfId="43" applyFont="1"/>
    <xf numFmtId="0" fontId="54" fillId="0" borderId="0" xfId="41" applyFont="1" applyAlignment="1">
      <alignment horizontal="center"/>
    </xf>
    <xf numFmtId="0" fontId="55" fillId="0" borderId="0" xfId="41" applyFont="1"/>
    <xf numFmtId="0" fontId="48" fillId="0" borderId="0" xfId="41" applyFont="1" applyAlignment="1">
      <alignment horizontal="center"/>
    </xf>
    <xf numFmtId="0" fontId="48" fillId="0" borderId="0" xfId="41" applyFont="1"/>
    <xf numFmtId="4" fontId="72" fillId="0" borderId="12" xfId="6" applyNumberFormat="1" applyFont="1" applyBorder="1" applyAlignment="1">
      <alignment horizontal="center"/>
    </xf>
    <xf numFmtId="3" fontId="72" fillId="0" borderId="12" xfId="6" applyNumberFormat="1" applyFont="1" applyBorder="1" applyAlignment="1">
      <alignment horizontal="center"/>
    </xf>
    <xf numFmtId="4" fontId="73" fillId="0" borderId="12" xfId="6" applyNumberFormat="1" applyFont="1" applyBorder="1" applyAlignment="1">
      <alignment horizontal="center"/>
    </xf>
    <xf numFmtId="3" fontId="73" fillId="0" borderId="12" xfId="6" applyNumberFormat="1" applyFont="1" applyBorder="1" applyAlignment="1">
      <alignment horizontal="center"/>
    </xf>
    <xf numFmtId="3" fontId="72" fillId="0" borderId="12" xfId="0" applyNumberFormat="1" applyFont="1" applyBorder="1" applyAlignment="1">
      <alignment horizontal="center"/>
    </xf>
    <xf numFmtId="43" fontId="54" fillId="0" borderId="0" xfId="43" applyFont="1" applyFill="1"/>
    <xf numFmtId="170" fontId="47" fillId="0" borderId="0" xfId="46" applyFont="1" applyFill="1" applyBorder="1" applyAlignment="1">
      <alignment horizontal="right" vertical="center" wrapText="1"/>
    </xf>
    <xf numFmtId="171" fontId="47" fillId="0" borderId="0" xfId="47" applyNumberFormat="1" applyFont="1" applyBorder="1" applyAlignment="1">
      <alignment horizontal="center" vertical="center" wrapText="1"/>
    </xf>
    <xf numFmtId="167" fontId="47" fillId="0" borderId="0" xfId="47" applyFont="1" applyBorder="1" applyAlignment="1">
      <alignment horizontal="center" vertical="center" wrapText="1"/>
    </xf>
    <xf numFmtId="14" fontId="48" fillId="0" borderId="0" xfId="47" applyNumberFormat="1" applyFont="1" applyBorder="1" applyAlignment="1">
      <alignment horizontal="center" wrapText="1"/>
    </xf>
    <xf numFmtId="167" fontId="48" fillId="0" borderId="0" xfId="47" applyFont="1" applyBorder="1" applyAlignment="1">
      <alignment horizontal="center" vertical="center" wrapText="1"/>
    </xf>
    <xf numFmtId="167" fontId="47" fillId="0" borderId="0" xfId="47" applyFont="1" applyBorder="1" applyAlignment="1">
      <alignment vertical="center" wrapText="1"/>
    </xf>
    <xf numFmtId="171" fontId="48" fillId="0" borderId="0" xfId="47" applyNumberFormat="1" applyFont="1" applyBorder="1" applyAlignment="1">
      <alignment wrapText="1"/>
    </xf>
    <xf numFmtId="167" fontId="48" fillId="0" borderId="0" xfId="47" applyFont="1" applyBorder="1" applyAlignment="1">
      <alignment vertical="center" wrapText="1"/>
    </xf>
    <xf numFmtId="171" fontId="48" fillId="0" borderId="0" xfId="47" applyNumberFormat="1" applyFont="1" applyBorder="1" applyAlignment="1">
      <alignment horizontal="center" wrapText="1"/>
    </xf>
    <xf numFmtId="167" fontId="48" fillId="0" borderId="0" xfId="47" applyFont="1" applyFill="1" applyBorder="1" applyAlignment="1">
      <alignment wrapText="1"/>
    </xf>
    <xf numFmtId="168" fontId="47" fillId="0" borderId="0" xfId="48" applyFont="1"/>
    <xf numFmtId="43" fontId="47" fillId="0" borderId="0" xfId="43" applyFont="1"/>
    <xf numFmtId="0" fontId="34" fillId="0" borderId="0" xfId="49"/>
    <xf numFmtId="0" fontId="34" fillId="0" borderId="9" xfId="49" applyBorder="1"/>
    <xf numFmtId="39" fontId="47" fillId="0" borderId="9" xfId="48" applyNumberFormat="1" applyFont="1" applyBorder="1"/>
    <xf numFmtId="39" fontId="47" fillId="0" borderId="12" xfId="48" applyNumberFormat="1" applyFont="1" applyBorder="1"/>
    <xf numFmtId="43" fontId="56" fillId="0" borderId="0" xfId="43" applyFont="1"/>
    <xf numFmtId="0" fontId="34" fillId="0" borderId="12" xfId="49" applyBorder="1"/>
    <xf numFmtId="43" fontId="48" fillId="0" borderId="0" xfId="43" applyFont="1"/>
    <xf numFmtId="39" fontId="47" fillId="0" borderId="12" xfId="50" applyNumberFormat="1" applyFont="1" applyBorder="1"/>
    <xf numFmtId="39" fontId="47" fillId="0" borderId="9" xfId="50" applyNumberFormat="1" applyFont="1" applyBorder="1"/>
    <xf numFmtId="39" fontId="47" fillId="0" borderId="0" xfId="50" applyNumberFormat="1" applyFont="1"/>
    <xf numFmtId="168" fontId="54" fillId="0" borderId="0" xfId="51" applyFont="1"/>
    <xf numFmtId="39" fontId="54" fillId="0" borderId="0" xfId="50" applyNumberFormat="1" applyFont="1"/>
    <xf numFmtId="43" fontId="57" fillId="0" borderId="0" xfId="11" applyNumberFormat="1" applyFont="1" applyFill="1"/>
    <xf numFmtId="0" fontId="49" fillId="0" borderId="0" xfId="41" applyFont="1" applyAlignment="1">
      <alignment horizontal="right"/>
    </xf>
    <xf numFmtId="43" fontId="54" fillId="0" borderId="0" xfId="52" applyFont="1"/>
    <xf numFmtId="43" fontId="54" fillId="0" borderId="0" xfId="52" applyFont="1" applyFill="1"/>
    <xf numFmtId="0" fontId="54" fillId="0" borderId="0" xfId="41" applyFont="1" applyAlignment="1">
      <alignment horizontal="right"/>
    </xf>
    <xf numFmtId="9" fontId="55" fillId="0" borderId="0" xfId="41" applyNumberFormat="1" applyFont="1"/>
    <xf numFmtId="43" fontId="74" fillId="0" borderId="0" xfId="52" applyFont="1" applyFill="1"/>
    <xf numFmtId="169" fontId="54" fillId="0" borderId="0" xfId="43" applyNumberFormat="1" applyFont="1" applyAlignment="1">
      <alignment horizontal="right"/>
    </xf>
    <xf numFmtId="169" fontId="47" fillId="0" borderId="0" xfId="43" applyNumberFormat="1" applyFont="1" applyAlignment="1">
      <alignment horizontal="right"/>
    </xf>
    <xf numFmtId="168" fontId="48" fillId="0" borderId="0" xfId="48" applyFont="1"/>
    <xf numFmtId="43" fontId="47" fillId="0" borderId="0" xfId="48" applyNumberFormat="1" applyFont="1"/>
    <xf numFmtId="43" fontId="54" fillId="0" borderId="0" xfId="49" applyNumberFormat="1" applyFont="1"/>
    <xf numFmtId="0" fontId="54" fillId="0" borderId="0" xfId="49" applyFont="1"/>
    <xf numFmtId="9" fontId="54" fillId="0" borderId="0" xfId="60" applyFont="1"/>
    <xf numFmtId="9" fontId="54" fillId="0" borderId="0" xfId="60" applyFont="1" applyBorder="1"/>
    <xf numFmtId="43" fontId="54" fillId="0" borderId="0" xfId="73" applyFont="1"/>
    <xf numFmtId="43" fontId="54" fillId="2" borderId="0" xfId="73" applyFont="1" applyFill="1"/>
    <xf numFmtId="43" fontId="79" fillId="0" borderId="0" xfId="73" applyFont="1"/>
    <xf numFmtId="43" fontId="80" fillId="0" borderId="0" xfId="73" applyFont="1"/>
    <xf numFmtId="43" fontId="54" fillId="0" borderId="0" xfId="73" applyFont="1" applyBorder="1"/>
    <xf numFmtId="43" fontId="55" fillId="0" borderId="0" xfId="73" applyFont="1"/>
    <xf numFmtId="43" fontId="55" fillId="0" borderId="0" xfId="73" applyFont="1" applyAlignment="1">
      <alignment horizontal="center"/>
    </xf>
    <xf numFmtId="43" fontId="61" fillId="0" borderId="0" xfId="11" applyNumberFormat="1" applyFont="1" applyFill="1"/>
    <xf numFmtId="17" fontId="54" fillId="0" borderId="0" xfId="73" applyNumberFormat="1" applyFont="1"/>
    <xf numFmtId="43" fontId="55" fillId="0" borderId="0" xfId="73" applyFont="1" applyBorder="1"/>
    <xf numFmtId="43" fontId="47" fillId="0" borderId="15" xfId="1" applyFont="1" applyFill="1" applyBorder="1" applyAlignment="1">
      <alignment horizontal="center" vertical="center" wrapText="1"/>
    </xf>
    <xf numFmtId="0" fontId="47" fillId="0" borderId="0" xfId="41" applyFont="1"/>
    <xf numFmtId="166" fontId="47" fillId="0" borderId="0" xfId="45" applyNumberFormat="1" applyFont="1" applyFill="1" applyBorder="1"/>
    <xf numFmtId="43" fontId="47" fillId="0" borderId="0" xfId="57" applyFont="1" applyAlignment="1">
      <alignment horizontal="center" vertical="center"/>
    </xf>
    <xf numFmtId="43" fontId="48" fillId="0" borderId="0" xfId="57" applyFont="1" applyAlignment="1">
      <alignment horizontal="center" vertical="center"/>
    </xf>
    <xf numFmtId="0" fontId="48" fillId="0" borderId="0" xfId="57" applyNumberFormat="1" applyFont="1" applyAlignment="1">
      <alignment horizontal="center" vertical="center"/>
    </xf>
    <xf numFmtId="43" fontId="55" fillId="0" borderId="0" xfId="1" applyFont="1"/>
    <xf numFmtId="43" fontId="56" fillId="0" borderId="0" xfId="1" applyFont="1"/>
    <xf numFmtId="43" fontId="47" fillId="0" borderId="0" xfId="1" applyFont="1"/>
    <xf numFmtId="177" fontId="47" fillId="0" borderId="12" xfId="1" applyNumberFormat="1" applyFont="1" applyFill="1" applyBorder="1"/>
    <xf numFmtId="177" fontId="47" fillId="0" borderId="15" xfId="1" applyNumberFormat="1" applyFont="1" applyFill="1" applyBorder="1"/>
    <xf numFmtId="43" fontId="47" fillId="0" borderId="0" xfId="1" applyFont="1" applyBorder="1" applyAlignment="1">
      <alignment horizontal="center" vertical="center"/>
    </xf>
    <xf numFmtId="43" fontId="47" fillId="0" borderId="0" xfId="1" applyFont="1" applyFill="1" applyBorder="1" applyAlignment="1">
      <alignment horizontal="center" vertical="center"/>
    </xf>
    <xf numFmtId="43" fontId="48" fillId="0" borderId="0" xfId="1" applyFont="1" applyBorder="1" applyAlignment="1">
      <alignment horizontal="center" vertical="center"/>
    </xf>
    <xf numFmtId="43" fontId="0" fillId="0" borderId="0" xfId="1" applyFont="1"/>
    <xf numFmtId="43" fontId="61" fillId="0" borderId="0" xfId="73" applyFont="1" applyBorder="1"/>
    <xf numFmtId="43" fontId="54" fillId="0" borderId="0" xfId="73" applyFont="1" applyFill="1" applyBorder="1"/>
    <xf numFmtId="14" fontId="47" fillId="0" borderId="0" xfId="1" applyNumberFormat="1" applyFont="1" applyBorder="1"/>
    <xf numFmtId="168" fontId="54" fillId="0" borderId="0" xfId="41" applyNumberFormat="1" applyFont="1"/>
    <xf numFmtId="0" fontId="47" fillId="0" borderId="12" xfId="0" applyFont="1" applyBorder="1"/>
    <xf numFmtId="49" fontId="47" fillId="0" borderId="15" xfId="8" applyNumberFormat="1" applyFont="1" applyBorder="1" applyAlignment="1">
      <alignment horizontal="center" vertical="center"/>
    </xf>
    <xf numFmtId="0" fontId="47" fillId="0" borderId="12" xfId="0" applyFont="1" applyBorder="1" applyAlignment="1">
      <alignment horizontal="center" vertical="center"/>
    </xf>
    <xf numFmtId="0" fontId="47" fillId="0" borderId="12" xfId="2" applyFont="1" applyBorder="1" applyAlignment="1">
      <alignment horizontal="center" vertical="center" wrapText="1"/>
    </xf>
    <xf numFmtId="177" fontId="47" fillId="0" borderId="12" xfId="1" applyNumberFormat="1" applyFont="1" applyFill="1" applyBorder="1" applyAlignment="1">
      <alignment horizontal="center" vertical="center" wrapText="1"/>
    </xf>
    <xf numFmtId="43" fontId="77" fillId="0" borderId="0" xfId="57" applyFont="1" applyAlignment="1"/>
    <xf numFmtId="43" fontId="77" fillId="0" borderId="0" xfId="57" applyFont="1"/>
    <xf numFmtId="165" fontId="54" fillId="0" borderId="0" xfId="8" applyNumberFormat="1" applyFont="1"/>
    <xf numFmtId="43" fontId="54" fillId="0" borderId="0" xfId="57" applyFont="1"/>
    <xf numFmtId="177" fontId="54" fillId="0" borderId="0" xfId="1" applyNumberFormat="1" applyFont="1"/>
    <xf numFmtId="0" fontId="47" fillId="0" borderId="15" xfId="2" applyFont="1" applyBorder="1" applyAlignment="1">
      <alignment horizontal="center" vertical="center" wrapText="1"/>
    </xf>
    <xf numFmtId="177" fontId="47" fillId="0" borderId="15" xfId="1" applyNumberFormat="1" applyFont="1" applyFill="1" applyBorder="1" applyAlignment="1">
      <alignment horizontal="center" vertical="center" wrapText="1"/>
    </xf>
    <xf numFmtId="43" fontId="47" fillId="0" borderId="12" xfId="1" applyFont="1" applyFill="1" applyBorder="1" applyAlignment="1">
      <alignment horizontal="center" vertical="center"/>
    </xf>
    <xf numFmtId="43" fontId="50" fillId="0" borderId="12" xfId="1" applyFont="1" applyBorder="1"/>
    <xf numFmtId="43" fontId="47" fillId="0" borderId="0" xfId="1" quotePrefix="1" applyFont="1"/>
    <xf numFmtId="167" fontId="48" fillId="0" borderId="0" xfId="47" applyFont="1" applyBorder="1" applyAlignment="1">
      <alignment horizontal="center" wrapText="1"/>
    </xf>
    <xf numFmtId="43" fontId="48" fillId="0" borderId="0" xfId="57" applyFont="1" applyFill="1" applyBorder="1" applyAlignment="1">
      <alignment horizontal="center" vertical="center"/>
    </xf>
    <xf numFmtId="43" fontId="47" fillId="0" borderId="0" xfId="57" applyFont="1" applyBorder="1" applyAlignment="1">
      <alignment horizontal="center" vertical="center"/>
    </xf>
    <xf numFmtId="43" fontId="47" fillId="0" borderId="0" xfId="57" applyFont="1" applyFill="1" applyBorder="1"/>
    <xf numFmtId="43" fontId="47" fillId="0" borderId="1" xfId="57" applyFont="1" applyBorder="1"/>
    <xf numFmtId="43" fontId="48" fillId="0" borderId="0" xfId="57" applyFont="1" applyBorder="1" applyAlignment="1">
      <alignment vertical="center"/>
    </xf>
    <xf numFmtId="43" fontId="47" fillId="0" borderId="0" xfId="57" applyFont="1" applyBorder="1"/>
    <xf numFmtId="43" fontId="48" fillId="0" borderId="0" xfId="57" applyFont="1" applyFill="1" applyBorder="1"/>
    <xf numFmtId="43" fontId="48" fillId="0" borderId="0" xfId="57" applyFont="1" applyFill="1" applyBorder="1" applyAlignment="1">
      <alignment horizontal="right" vertical="center"/>
    </xf>
    <xf numFmtId="43" fontId="47" fillId="0" borderId="0" xfId="57" applyFont="1" applyFill="1" applyBorder="1" applyAlignment="1">
      <alignment horizontal="center" vertical="center"/>
    </xf>
    <xf numFmtId="43" fontId="47" fillId="0" borderId="0" xfId="57" applyFont="1" applyFill="1" applyBorder="1" applyAlignment="1">
      <alignment vertical="center"/>
    </xf>
    <xf numFmtId="43" fontId="48" fillId="2" borderId="0" xfId="57" applyFont="1" applyFill="1" applyBorder="1"/>
    <xf numFmtId="43" fontId="47" fillId="0" borderId="0" xfId="57" applyFont="1" applyFill="1" applyBorder="1" applyAlignment="1">
      <alignment horizontal="left" vertical="center"/>
    </xf>
    <xf numFmtId="43" fontId="47" fillId="0" borderId="0" xfId="103" applyFont="1"/>
    <xf numFmtId="43" fontId="47" fillId="0" borderId="12" xfId="57" applyFont="1" applyFill="1" applyBorder="1"/>
    <xf numFmtId="43" fontId="48" fillId="0" borderId="12" xfId="57" applyFont="1" applyFill="1" applyBorder="1"/>
    <xf numFmtId="0" fontId="54" fillId="0" borderId="0" xfId="104" applyFont="1"/>
    <xf numFmtId="43" fontId="48" fillId="0" borderId="0" xfId="57" applyFont="1" applyBorder="1" applyAlignment="1">
      <alignment horizontal="center" vertical="center"/>
    </xf>
    <xf numFmtId="0" fontId="55" fillId="0" borderId="0" xfId="104" applyFont="1" applyAlignment="1">
      <alignment horizontal="left" vertical="center"/>
    </xf>
    <xf numFmtId="0" fontId="54" fillId="0" borderId="0" xfId="104" applyFont="1" applyAlignment="1">
      <alignment horizontal="center" vertical="center"/>
    </xf>
    <xf numFmtId="14" fontId="55" fillId="0" borderId="0" xfId="104" applyNumberFormat="1" applyFont="1" applyAlignment="1">
      <alignment horizontal="left" vertical="center"/>
    </xf>
    <xf numFmtId="0" fontId="55" fillId="0" borderId="0" xfId="104" applyFont="1"/>
    <xf numFmtId="0" fontId="55" fillId="0" borderId="0" xfId="104" applyFont="1" applyAlignment="1">
      <alignment horizontal="center" vertical="center"/>
    </xf>
    <xf numFmtId="174" fontId="47" fillId="0" borderId="0" xfId="103" applyNumberFormat="1" applyFont="1"/>
    <xf numFmtId="43" fontId="48" fillId="0" borderId="0" xfId="103" applyFont="1"/>
    <xf numFmtId="0" fontId="55" fillId="0" borderId="0" xfId="104" applyFont="1" applyAlignment="1">
      <alignment horizontal="center"/>
    </xf>
    <xf numFmtId="43" fontId="48" fillId="0" borderId="0" xfId="103" applyFont="1" applyBorder="1" applyAlignment="1">
      <alignment horizontal="center" vertical="center"/>
    </xf>
    <xf numFmtId="43" fontId="47" fillId="0" borderId="12" xfId="103" applyFont="1" applyBorder="1"/>
    <xf numFmtId="0" fontId="54" fillId="0" borderId="12" xfId="104" applyFont="1" applyBorder="1" applyAlignment="1">
      <alignment horizontal="center"/>
    </xf>
    <xf numFmtId="44" fontId="47" fillId="0" borderId="12" xfId="105" applyFont="1" applyBorder="1"/>
    <xf numFmtId="44" fontId="54" fillId="0" borderId="12" xfId="105" applyFont="1" applyBorder="1"/>
    <xf numFmtId="43" fontId="47" fillId="0" borderId="15" xfId="103" applyFont="1" applyBorder="1"/>
    <xf numFmtId="0" fontId="54" fillId="0" borderId="15" xfId="104" applyFont="1" applyBorder="1" applyAlignment="1">
      <alignment horizontal="center"/>
    </xf>
    <xf numFmtId="44" fontId="47" fillId="0" borderId="15" xfId="105" applyFont="1" applyBorder="1"/>
    <xf numFmtId="44" fontId="54" fillId="0" borderId="15" xfId="105" applyFont="1" applyBorder="1"/>
    <xf numFmtId="2" fontId="54" fillId="0" borderId="0" xfId="57" applyNumberFormat="1" applyFont="1"/>
    <xf numFmtId="2" fontId="54" fillId="0" borderId="0" xfId="104" applyNumberFormat="1" applyFont="1"/>
    <xf numFmtId="43" fontId="55" fillId="2" borderId="0" xfId="103" applyFont="1" applyFill="1"/>
    <xf numFmtId="2" fontId="54" fillId="0" borderId="0" xfId="57" applyNumberFormat="1" applyFont="1" applyAlignment="1">
      <alignment horizontal="center" vertical="center"/>
    </xf>
    <xf numFmtId="0" fontId="54" fillId="0" borderId="9" xfId="104" applyFont="1" applyBorder="1" applyAlignment="1">
      <alignment horizontal="center"/>
    </xf>
    <xf numFmtId="44" fontId="47" fillId="0" borderId="15" xfId="105" applyFont="1" applyFill="1" applyBorder="1"/>
    <xf numFmtId="43" fontId="47" fillId="0" borderId="13" xfId="103" applyFont="1" applyBorder="1"/>
    <xf numFmtId="0" fontId="54" fillId="0" borderId="13" xfId="104" applyFont="1" applyBorder="1" applyAlignment="1">
      <alignment horizontal="center"/>
    </xf>
    <xf numFmtId="0" fontId="54" fillId="0" borderId="15" xfId="104" applyFont="1" applyBorder="1"/>
    <xf numFmtId="43" fontId="54" fillId="0" borderId="0" xfId="104" applyNumberFormat="1" applyFont="1"/>
    <xf numFmtId="43" fontId="55" fillId="0" borderId="0" xfId="57" applyFont="1"/>
    <xf numFmtId="17" fontId="54" fillId="0" borderId="0" xfId="104" applyNumberFormat="1" applyFont="1"/>
    <xf numFmtId="43" fontId="47" fillId="0" borderId="12" xfId="57" applyFont="1" applyFill="1" applyBorder="1" applyAlignment="1">
      <alignment horizontal="center" vertical="center"/>
    </xf>
    <xf numFmtId="43" fontId="47" fillId="0" borderId="0" xfId="1" applyFont="1" applyFill="1" applyAlignment="1">
      <alignment horizontal="center" vertical="center" wrapText="1"/>
    </xf>
    <xf numFmtId="0" fontId="47" fillId="0" borderId="12" xfId="99" applyFont="1" applyBorder="1" applyAlignment="1">
      <alignment horizontal="center" vertical="center"/>
    </xf>
    <xf numFmtId="0" fontId="47" fillId="0" borderId="15" xfId="99" applyFont="1" applyBorder="1" applyAlignment="1">
      <alignment horizontal="center" vertical="center"/>
    </xf>
    <xf numFmtId="14" fontId="54" fillId="0" borderId="0" xfId="104" applyNumberFormat="1" applyFont="1" applyAlignment="1">
      <alignment horizontal="center" vertical="center"/>
    </xf>
    <xf numFmtId="43" fontId="47" fillId="0" borderId="15" xfId="1" applyFont="1" applyFill="1" applyBorder="1" applyAlignment="1">
      <alignment horizontal="center" vertical="center"/>
    </xf>
    <xf numFmtId="43" fontId="54" fillId="0" borderId="46" xfId="73" applyFont="1" applyBorder="1"/>
    <xf numFmtId="43" fontId="79" fillId="2" borderId="46" xfId="73" applyFont="1" applyFill="1" applyBorder="1"/>
    <xf numFmtId="43" fontId="55" fillId="0" borderId="46" xfId="73" applyFont="1" applyBorder="1" applyAlignment="1">
      <alignment horizontal="center"/>
    </xf>
    <xf numFmtId="43" fontId="48" fillId="0" borderId="46" xfId="1" applyFont="1" applyBorder="1" applyAlignment="1">
      <alignment horizontal="center" vertical="center"/>
    </xf>
    <xf numFmtId="43" fontId="55" fillId="0" borderId="46" xfId="73" applyFont="1" applyBorder="1" applyAlignment="1">
      <alignment horizontal="center" vertical="center"/>
    </xf>
    <xf numFmtId="43" fontId="47" fillId="0" borderId="47" xfId="1" applyFont="1" applyBorder="1"/>
    <xf numFmtId="43" fontId="54" fillId="0" borderId="48" xfId="73" applyFont="1" applyBorder="1"/>
    <xf numFmtId="43" fontId="48" fillId="8" borderId="46" xfId="1" applyFont="1" applyFill="1" applyBorder="1" applyAlignment="1">
      <alignment horizontal="center" wrapText="1"/>
    </xf>
    <xf numFmtId="43" fontId="48" fillId="0" borderId="48" xfId="1" applyFont="1" applyFill="1" applyBorder="1" applyAlignment="1">
      <alignment horizontal="center" vertical="center" wrapText="1"/>
    </xf>
    <xf numFmtId="49" fontId="47" fillId="0" borderId="47" xfId="8" applyNumberFormat="1" applyFont="1" applyBorder="1" applyAlignment="1">
      <alignment horizontal="center" vertical="center"/>
    </xf>
    <xf numFmtId="0" fontId="47" fillId="0" borderId="47" xfId="2" applyFont="1" applyBorder="1" applyAlignment="1">
      <alignment horizontal="center" vertical="center" wrapText="1"/>
    </xf>
    <xf numFmtId="177" fontId="47" fillId="0" borderId="47" xfId="1" applyNumberFormat="1" applyFont="1" applyFill="1" applyBorder="1" applyAlignment="1">
      <alignment horizontal="center" vertical="center" wrapText="1"/>
    </xf>
    <xf numFmtId="177" fontId="47" fillId="0" borderId="47" xfId="1" applyNumberFormat="1" applyFont="1" applyFill="1" applyBorder="1"/>
    <xf numFmtId="0" fontId="47" fillId="0" borderId="47" xfId="99" applyFont="1" applyBorder="1" applyAlignment="1">
      <alignment horizontal="center" vertical="center"/>
    </xf>
    <xf numFmtId="43" fontId="54" fillId="0" borderId="47" xfId="1" applyFont="1" applyFill="1" applyBorder="1" applyAlignment="1">
      <alignment horizontal="center" vertical="center"/>
    </xf>
    <xf numFmtId="43" fontId="48" fillId="0" borderId="46" xfId="1" applyFont="1" applyFill="1" applyBorder="1" applyAlignment="1">
      <alignment horizontal="center" vertical="center"/>
    </xf>
    <xf numFmtId="43" fontId="47" fillId="0" borderId="47" xfId="1" applyFont="1" applyFill="1" applyBorder="1" applyAlignment="1">
      <alignment horizontal="center" vertical="center" wrapText="1"/>
    </xf>
    <xf numFmtId="43" fontId="47" fillId="0" borderId="47" xfId="1" applyFont="1" applyFill="1" applyBorder="1" applyAlignment="1">
      <alignment horizontal="center" vertical="center"/>
    </xf>
    <xf numFmtId="171" fontId="48" fillId="0" borderId="46" xfId="47" applyNumberFormat="1" applyFont="1" applyBorder="1" applyAlignment="1">
      <alignment horizontal="center" vertical="center" wrapText="1"/>
    </xf>
    <xf numFmtId="171" fontId="48" fillId="0" borderId="46" xfId="47" applyNumberFormat="1" applyFont="1" applyBorder="1" applyAlignment="1">
      <alignment horizontal="center" wrapText="1"/>
    </xf>
    <xf numFmtId="0" fontId="49" fillId="0" borderId="48" xfId="41" applyFont="1" applyBorder="1" applyAlignment="1">
      <alignment horizontal="right"/>
    </xf>
    <xf numFmtId="0" fontId="62" fillId="0" borderId="48" xfId="36" applyFont="1" applyBorder="1"/>
    <xf numFmtId="0" fontId="67" fillId="0" borderId="52" xfId="36" applyFont="1" applyBorder="1" applyAlignment="1">
      <alignment vertical="center" wrapText="1"/>
    </xf>
    <xf numFmtId="0" fontId="68" fillId="0" borderId="52" xfId="36" applyFont="1" applyBorder="1" applyAlignment="1">
      <alignment horizontal="center" vertical="center" wrapText="1"/>
    </xf>
    <xf numFmtId="0" fontId="62" fillId="0" borderId="52" xfId="36" applyFont="1" applyBorder="1"/>
    <xf numFmtId="0" fontId="69" fillId="0" borderId="52" xfId="36" applyFont="1" applyBorder="1" applyAlignment="1">
      <alignment horizontal="left" wrapText="1" shrinkToFit="1"/>
    </xf>
    <xf numFmtId="14" fontId="70" fillId="0" borderId="54" xfId="36" applyNumberFormat="1" applyFont="1" applyBorder="1" applyAlignment="1">
      <alignment horizontal="center" vertical="center"/>
    </xf>
    <xf numFmtId="43" fontId="48" fillId="0" borderId="46" xfId="35" applyFont="1" applyBorder="1" applyAlignment="1">
      <alignment horizontal="center"/>
    </xf>
    <xf numFmtId="3" fontId="73" fillId="0" borderId="47" xfId="6" applyNumberFormat="1" applyFont="1" applyBorder="1" applyAlignment="1">
      <alignment horizontal="center"/>
    </xf>
    <xf numFmtId="43" fontId="48" fillId="0" borderId="47" xfId="1" applyFont="1" applyBorder="1"/>
    <xf numFmtId="4" fontId="72" fillId="0" borderId="47" xfId="6" applyNumberFormat="1" applyFont="1" applyBorder="1" applyAlignment="1">
      <alignment horizontal="center"/>
    </xf>
    <xf numFmtId="43" fontId="47" fillId="0" borderId="47" xfId="57" applyFont="1" applyFill="1" applyBorder="1" applyAlignment="1">
      <alignment horizontal="center" vertical="center"/>
    </xf>
    <xf numFmtId="43" fontId="48" fillId="0" borderId="46" xfId="57" applyFont="1" applyFill="1" applyBorder="1" applyAlignment="1">
      <alignment horizontal="center" vertical="center"/>
    </xf>
    <xf numFmtId="43" fontId="47" fillId="0" borderId="47" xfId="57" applyFont="1" applyFill="1" applyBorder="1"/>
    <xf numFmtId="43" fontId="48" fillId="0" borderId="47" xfId="57" applyFont="1" applyFill="1" applyBorder="1"/>
    <xf numFmtId="43" fontId="48" fillId="0" borderId="46" xfId="103" applyFont="1" applyBorder="1" applyAlignment="1">
      <alignment horizontal="center" vertical="center"/>
    </xf>
    <xf numFmtId="43" fontId="48" fillId="0" borderId="48" xfId="103" applyFont="1" applyBorder="1"/>
    <xf numFmtId="43" fontId="48" fillId="0" borderId="52" xfId="103" applyFont="1" applyBorder="1" applyAlignment="1">
      <alignment horizontal="center" vertical="center"/>
    </xf>
    <xf numFmtId="0" fontId="54" fillId="0" borderId="54" xfId="104" applyFont="1" applyBorder="1"/>
    <xf numFmtId="43" fontId="47" fillId="0" borderId="47" xfId="103" applyFont="1" applyBorder="1"/>
    <xf numFmtId="0" fontId="54" fillId="0" borderId="47" xfId="104" applyFont="1" applyBorder="1" applyAlignment="1">
      <alignment horizontal="center"/>
    </xf>
    <xf numFmtId="44" fontId="47" fillId="0" borderId="47" xfId="105" applyFont="1" applyBorder="1"/>
    <xf numFmtId="44" fontId="54" fillId="0" borderId="47" xfId="105" applyFont="1" applyBorder="1"/>
    <xf numFmtId="0" fontId="55" fillId="0" borderId="52" xfId="104" applyFont="1" applyBorder="1" applyAlignment="1">
      <alignment horizontal="center" vertical="center"/>
    </xf>
    <xf numFmtId="0" fontId="54" fillId="0" borderId="47" xfId="104" applyFont="1" applyBorder="1"/>
    <xf numFmtId="43" fontId="54" fillId="0" borderId="52" xfId="73" applyFont="1" applyBorder="1"/>
    <xf numFmtId="43" fontId="55" fillId="2" borderId="54" xfId="73" applyFont="1" applyFill="1" applyBorder="1"/>
    <xf numFmtId="0" fontId="48" fillId="0" borderId="54" xfId="2" applyFont="1" applyBorder="1" applyAlignment="1">
      <alignment horizontal="center" vertical="center" wrapText="1"/>
    </xf>
    <xf numFmtId="0" fontId="47" fillId="0" borderId="52" xfId="2" applyFont="1" applyBorder="1" applyAlignment="1">
      <alignment horizontal="center" vertical="center" wrapText="1"/>
    </xf>
    <xf numFmtId="177" fontId="47" fillId="0" borderId="52" xfId="1" applyNumberFormat="1" applyFont="1" applyFill="1" applyBorder="1" applyAlignment="1">
      <alignment horizontal="center" vertical="center" wrapText="1"/>
    </xf>
    <xf numFmtId="43" fontId="47" fillId="0" borderId="52" xfId="1" applyFont="1" applyFill="1" applyBorder="1" applyAlignment="1">
      <alignment horizontal="center" vertical="center" wrapText="1"/>
    </xf>
    <xf numFmtId="43" fontId="48" fillId="0" borderId="52" xfId="1" applyFont="1" applyFill="1" applyBorder="1" applyAlignment="1">
      <alignment horizontal="center" vertical="center" wrapText="1"/>
    </xf>
    <xf numFmtId="0" fontId="54" fillId="0" borderId="52" xfId="41" applyFont="1" applyBorder="1"/>
    <xf numFmtId="43" fontId="55" fillId="0" borderId="52" xfId="52" applyFont="1" applyBorder="1"/>
    <xf numFmtId="43" fontId="57" fillId="0" borderId="54" xfId="11" applyNumberFormat="1" applyFont="1" applyFill="1" applyBorder="1"/>
    <xf numFmtId="43" fontId="54" fillId="0" borderId="54" xfId="52" applyFont="1" applyFill="1" applyBorder="1"/>
    <xf numFmtId="43" fontId="47" fillId="0" borderId="55" xfId="103" applyFont="1" applyBorder="1"/>
    <xf numFmtId="44" fontId="48" fillId="0" borderId="55" xfId="105" applyFont="1" applyFill="1" applyBorder="1"/>
    <xf numFmtId="177" fontId="55" fillId="0" borderId="0" xfId="1" applyNumberFormat="1" applyFont="1"/>
    <xf numFmtId="177" fontId="54" fillId="0" borderId="52" xfId="1" applyNumberFormat="1" applyFont="1" applyBorder="1"/>
    <xf numFmtId="177" fontId="54" fillId="0" borderId="47" xfId="1" applyNumberFormat="1" applyFont="1" applyBorder="1"/>
    <xf numFmtId="0" fontId="89" fillId="0" borderId="0" xfId="102" applyFont="1"/>
    <xf numFmtId="0" fontId="47" fillId="0" borderId="0" xfId="0" applyFont="1" applyBorder="1"/>
    <xf numFmtId="17" fontId="47" fillId="0" borderId="0" xfId="0" applyNumberFormat="1" applyFont="1" applyBorder="1"/>
    <xf numFmtId="17" fontId="88" fillId="0" borderId="0" xfId="102" applyNumberFormat="1" applyFont="1"/>
    <xf numFmtId="43" fontId="48" fillId="0" borderId="0" xfId="57" applyFont="1" applyFill="1" applyBorder="1" applyAlignment="1">
      <alignment vertical="center"/>
    </xf>
    <xf numFmtId="177" fontId="47" fillId="0" borderId="0" xfId="1" applyNumberFormat="1" applyFont="1"/>
    <xf numFmtId="177" fontId="47" fillId="0" borderId="12" xfId="1" applyNumberFormat="1" applyFont="1" applyFill="1" applyBorder="1" applyAlignment="1">
      <alignment horizontal="center"/>
    </xf>
    <xf numFmtId="177" fontId="47" fillId="0" borderId="0" xfId="1" applyNumberFormat="1" applyFont="1" applyBorder="1" applyAlignment="1">
      <alignment horizontal="center" vertical="center" wrapText="1"/>
    </xf>
    <xf numFmtId="177" fontId="47" fillId="0" borderId="15" xfId="1" applyNumberFormat="1" applyFont="1" applyFill="1" applyBorder="1" applyAlignment="1">
      <alignment horizontal="center"/>
    </xf>
    <xf numFmtId="177" fontId="48" fillId="0" borderId="48" xfId="1" applyNumberFormat="1" applyFont="1" applyBorder="1" applyAlignment="1">
      <alignment horizontal="center" wrapText="1"/>
    </xf>
    <xf numFmtId="177" fontId="48" fillId="0" borderId="52" xfId="1" applyNumberFormat="1" applyFont="1" applyBorder="1" applyAlignment="1">
      <alignment horizontal="center" wrapText="1"/>
    </xf>
    <xf numFmtId="177" fontId="48" fillId="0" borderId="54" xfId="1" applyNumberFormat="1" applyFont="1" applyFill="1" applyBorder="1" applyAlignment="1">
      <alignment horizontal="center" vertical="center"/>
    </xf>
    <xf numFmtId="177" fontId="48" fillId="0" borderId="46" xfId="1" applyNumberFormat="1" applyFont="1" applyFill="1" applyBorder="1" applyAlignment="1">
      <alignment horizontal="center" vertical="center"/>
    </xf>
    <xf numFmtId="177" fontId="47" fillId="0" borderId="12" xfId="1" applyNumberFormat="1" applyFont="1" applyBorder="1"/>
    <xf numFmtId="177" fontId="60" fillId="0" borderId="47" xfId="1" applyNumberFormat="1" applyFont="1" applyFill="1" applyBorder="1" applyAlignment="1">
      <alignment horizontal="center" vertical="center" wrapText="1"/>
    </xf>
    <xf numFmtId="177" fontId="60" fillId="0" borderId="15" xfId="1" applyNumberFormat="1" applyFont="1" applyFill="1" applyBorder="1" applyAlignment="1">
      <alignment horizontal="center" vertical="center" wrapText="1"/>
    </xf>
    <xf numFmtId="177" fontId="47" fillId="0" borderId="52" xfId="1" applyNumberFormat="1" applyFont="1" applyFill="1" applyBorder="1" applyAlignment="1">
      <alignment vertical="center" wrapText="1"/>
    </xf>
    <xf numFmtId="177" fontId="47" fillId="4" borderId="47" xfId="1" applyNumberFormat="1" applyFont="1" applyFill="1" applyBorder="1" applyAlignment="1">
      <alignment horizontal="center" vertical="center" wrapText="1"/>
    </xf>
    <xf numFmtId="177" fontId="47" fillId="4" borderId="12" xfId="1" applyNumberFormat="1" applyFont="1" applyFill="1" applyBorder="1" applyAlignment="1">
      <alignment horizontal="center" vertical="center" wrapText="1"/>
    </xf>
    <xf numFmtId="177" fontId="60" fillId="0" borderId="12" xfId="1" applyNumberFormat="1" applyFont="1" applyFill="1" applyBorder="1" applyAlignment="1">
      <alignment horizontal="center" vertical="center" wrapText="1"/>
    </xf>
    <xf numFmtId="177" fontId="56" fillId="0" borderId="15" xfId="1" applyNumberFormat="1" applyFont="1" applyFill="1" applyBorder="1" applyAlignment="1">
      <alignment horizontal="center" vertical="center" wrapText="1"/>
    </xf>
    <xf numFmtId="177" fontId="90" fillId="0" borderId="47" xfId="1" applyNumberFormat="1" applyFont="1" applyFill="1" applyBorder="1" applyAlignment="1">
      <alignment horizontal="center" vertical="center" wrapText="1"/>
    </xf>
    <xf numFmtId="177" fontId="90" fillId="0" borderId="12" xfId="1" applyNumberFormat="1" applyFont="1" applyFill="1" applyBorder="1" applyAlignment="1">
      <alignment horizontal="center" vertical="center" wrapText="1"/>
    </xf>
    <xf numFmtId="177" fontId="56" fillId="0" borderId="12" xfId="1" applyNumberFormat="1" applyFont="1" applyFill="1" applyBorder="1" applyAlignment="1">
      <alignment horizontal="center" vertical="center" wrapText="1"/>
    </xf>
    <xf numFmtId="177" fontId="82" fillId="0" borderId="12" xfId="1" applyNumberFormat="1" applyFont="1" applyFill="1" applyBorder="1" applyAlignment="1">
      <alignment horizontal="center" vertical="center" wrapText="1"/>
    </xf>
    <xf numFmtId="177" fontId="47" fillId="4" borderId="9" xfId="1" applyNumberFormat="1" applyFont="1" applyFill="1" applyBorder="1" applyAlignment="1">
      <alignment horizontal="center" vertical="center" wrapText="1"/>
    </xf>
    <xf numFmtId="177" fontId="47" fillId="4" borderId="15" xfId="1" applyNumberFormat="1" applyFont="1" applyFill="1" applyBorder="1" applyAlignment="1">
      <alignment horizontal="center" vertical="center" wrapText="1"/>
    </xf>
    <xf numFmtId="177" fontId="82" fillId="0" borderId="15" xfId="1" applyNumberFormat="1" applyFont="1" applyFill="1" applyBorder="1" applyAlignment="1">
      <alignment horizontal="center" vertical="center" wrapText="1"/>
    </xf>
    <xf numFmtId="177" fontId="82" fillId="0" borderId="47" xfId="1" applyNumberFormat="1" applyFont="1" applyFill="1" applyBorder="1" applyAlignment="1">
      <alignment horizontal="center" vertical="center" wrapText="1"/>
    </xf>
    <xf numFmtId="177" fontId="49" fillId="0" borderId="12" xfId="1" applyNumberFormat="1" applyFont="1" applyFill="1" applyBorder="1" applyAlignment="1">
      <alignment horizontal="center" vertical="center" wrapText="1"/>
    </xf>
    <xf numFmtId="177" fontId="56" fillId="0" borderId="47" xfId="1" applyNumberFormat="1" applyFont="1" applyFill="1" applyBorder="1" applyAlignment="1">
      <alignment horizontal="center" vertical="center" wrapText="1"/>
    </xf>
    <xf numFmtId="177" fontId="82" fillId="0" borderId="46" xfId="1" applyNumberFormat="1" applyFont="1" applyFill="1" applyBorder="1" applyAlignment="1">
      <alignment horizontal="center" vertical="center" wrapText="1"/>
    </xf>
    <xf numFmtId="177" fontId="47" fillId="4" borderId="46" xfId="1" applyNumberFormat="1" applyFont="1" applyFill="1" applyBorder="1" applyAlignment="1">
      <alignment horizontal="center" vertical="center" wrapText="1"/>
    </xf>
    <xf numFmtId="177" fontId="47" fillId="0" borderId="47" xfId="1" applyNumberFormat="1" applyFont="1" applyBorder="1"/>
    <xf numFmtId="177" fontId="47" fillId="0" borderId="52" xfId="1" applyNumberFormat="1" applyFont="1" applyBorder="1"/>
    <xf numFmtId="177" fontId="60" fillId="0" borderId="52" xfId="1" applyNumberFormat="1" applyFont="1" applyFill="1" applyBorder="1"/>
    <xf numFmtId="177" fontId="47" fillId="0" borderId="0" xfId="1" applyNumberFormat="1" applyFont="1" applyFill="1" applyBorder="1" applyAlignment="1">
      <alignment horizontal="center" vertical="center" wrapText="1"/>
    </xf>
    <xf numFmtId="177" fontId="60" fillId="0" borderId="0" xfId="1" applyNumberFormat="1" applyFont="1" applyFill="1" applyBorder="1" applyAlignment="1">
      <alignment horizontal="center" vertical="center" wrapText="1"/>
    </xf>
    <xf numFmtId="43" fontId="47" fillId="0" borderId="15" xfId="35" applyFont="1" applyBorder="1"/>
    <xf numFmtId="0" fontId="48" fillId="0" borderId="0" xfId="0" applyFont="1" applyBorder="1" applyAlignment="1">
      <alignment horizontal="center" vertical="center"/>
    </xf>
    <xf numFmtId="165" fontId="47" fillId="0" borderId="0" xfId="0" applyNumberFormat="1" applyFont="1" applyBorder="1"/>
    <xf numFmtId="43" fontId="48" fillId="2" borderId="0" xfId="1" applyFont="1" applyFill="1" applyBorder="1" applyAlignment="1">
      <alignment horizontal="center" vertical="center"/>
    </xf>
    <xf numFmtId="43" fontId="61" fillId="0" borderId="46" xfId="73" applyFont="1" applyBorder="1" applyAlignment="1">
      <alignment horizontal="center" vertical="center"/>
    </xf>
    <xf numFmtId="43" fontId="54" fillId="0" borderId="46" xfId="73" applyFont="1" applyBorder="1" applyAlignment="1">
      <alignment horizontal="center" vertical="center"/>
    </xf>
    <xf numFmtId="43" fontId="47" fillId="0" borderId="31" xfId="57" applyFont="1" applyBorder="1" applyAlignment="1">
      <alignment horizontal="center" vertical="center"/>
    </xf>
    <xf numFmtId="43" fontId="48" fillId="0" borderId="31" xfId="57" applyFont="1" applyFill="1" applyBorder="1" applyAlignment="1">
      <alignment horizontal="center" vertical="center"/>
    </xf>
    <xf numFmtId="43" fontId="47" fillId="0" borderId="12" xfId="57" applyFont="1" applyBorder="1"/>
    <xf numFmtId="43" fontId="47" fillId="0" borderId="12" xfId="57" applyFont="1" applyFill="1" applyBorder="1" applyAlignment="1">
      <alignment horizontal="left" vertical="center"/>
    </xf>
    <xf numFmtId="43" fontId="47" fillId="0" borderId="12" xfId="57" applyFont="1" applyFill="1" applyBorder="1" applyAlignment="1">
      <alignment horizontal="left"/>
    </xf>
    <xf numFmtId="43" fontId="47" fillId="0" borderId="12" xfId="35" applyFont="1" applyBorder="1"/>
    <xf numFmtId="0" fontId="47" fillId="0" borderId="0" xfId="2" applyFont="1" applyAlignment="1">
      <alignment horizontal="left" vertical="center" wrapText="1"/>
    </xf>
    <xf numFmtId="0" fontId="53" fillId="0" borderId="0" xfId="2" applyFont="1" applyAlignment="1">
      <alignment horizontal="left" vertical="center"/>
    </xf>
    <xf numFmtId="0" fontId="34" fillId="0" borderId="0" xfId="49" applyAlignment="1">
      <alignment horizontal="left"/>
    </xf>
    <xf numFmtId="0" fontId="34" fillId="0" borderId="9" xfId="49" applyBorder="1" applyAlignment="1">
      <alignment horizontal="left"/>
    </xf>
    <xf numFmtId="0" fontId="34" fillId="0" borderId="12" xfId="49" applyBorder="1" applyAlignment="1">
      <alignment horizontal="left"/>
    </xf>
    <xf numFmtId="0" fontId="0" fillId="2" borderId="12" xfId="49" applyFont="1" applyFill="1" applyBorder="1" applyAlignment="1">
      <alignment horizontal="left"/>
    </xf>
    <xf numFmtId="0" fontId="0" fillId="0" borderId="0" xfId="49" applyFont="1" applyAlignment="1">
      <alignment horizontal="left"/>
    </xf>
    <xf numFmtId="0" fontId="54" fillId="0" borderId="0" xfId="41" applyFont="1" applyAlignment="1">
      <alignment horizontal="left"/>
    </xf>
    <xf numFmtId="0" fontId="54" fillId="0" borderId="52" xfId="41" applyFont="1" applyBorder="1" applyAlignment="1">
      <alignment horizontal="left"/>
    </xf>
    <xf numFmtId="177" fontId="47" fillId="0" borderId="0" xfId="1" applyNumberFormat="1" applyFont="1" applyFill="1"/>
    <xf numFmtId="43" fontId="47" fillId="0" borderId="9" xfId="1" applyFont="1" applyFill="1" applyBorder="1" applyAlignment="1">
      <alignment horizontal="center" vertical="center" wrapText="1"/>
    </xf>
    <xf numFmtId="0" fontId="47" fillId="0" borderId="0" xfId="0" applyFont="1" applyBorder="1" applyAlignment="1">
      <alignment horizontal="center" vertical="center"/>
    </xf>
    <xf numFmtId="14" fontId="47" fillId="0" borderId="0" xfId="0" applyNumberFormat="1" applyFont="1" applyBorder="1"/>
    <xf numFmtId="177" fontId="54" fillId="0" borderId="47" xfId="1" applyNumberFormat="1" applyFont="1" applyFill="1" applyBorder="1" applyAlignment="1">
      <alignment horizontal="center"/>
    </xf>
    <xf numFmtId="177" fontId="47" fillId="0" borderId="0" xfId="1" applyNumberFormat="1" applyFont="1" applyBorder="1" applyAlignment="1">
      <alignment horizontal="left" vertical="center"/>
    </xf>
    <xf numFmtId="177" fontId="60" fillId="0" borderId="0" xfId="1" applyNumberFormat="1" applyFont="1"/>
    <xf numFmtId="177" fontId="54" fillId="0" borderId="0" xfId="1" applyNumberFormat="1" applyFont="1" applyFill="1"/>
    <xf numFmtId="177" fontId="48" fillId="0" borderId="0" xfId="1" applyNumberFormat="1" applyFont="1" applyFill="1" applyBorder="1" applyAlignment="1">
      <alignment horizontal="center" vertical="center" wrapText="1"/>
    </xf>
    <xf numFmtId="177" fontId="54" fillId="0" borderId="12" xfId="1" applyNumberFormat="1" applyFont="1" applyFill="1" applyBorder="1" applyAlignment="1">
      <alignment horizontal="center"/>
    </xf>
    <xf numFmtId="177" fontId="47" fillId="0" borderId="0" xfId="1" applyNumberFormat="1" applyFont="1" applyFill="1" applyAlignment="1">
      <alignment vertical="center" wrapText="1"/>
    </xf>
    <xf numFmtId="177" fontId="47" fillId="0" borderId="0" xfId="1" applyNumberFormat="1" applyFont="1" applyFill="1" applyBorder="1" applyAlignment="1">
      <alignment horizontal="left" vertical="center"/>
    </xf>
    <xf numFmtId="177" fontId="47" fillId="0" borderId="0" xfId="1" applyNumberFormat="1" applyFont="1" applyAlignment="1">
      <alignment vertical="center" wrapText="1"/>
    </xf>
    <xf numFmtId="177" fontId="48" fillId="0" borderId="54" xfId="1" applyNumberFormat="1" applyFont="1" applyBorder="1" applyAlignment="1">
      <alignment horizontal="center" wrapText="1"/>
    </xf>
    <xf numFmtId="177" fontId="60" fillId="0" borderId="0" xfId="1" applyNumberFormat="1" applyFont="1" applyFill="1" applyBorder="1" applyAlignment="1">
      <alignment horizontal="center" wrapText="1"/>
    </xf>
    <xf numFmtId="177" fontId="48" fillId="0" borderId="0" xfId="1" applyNumberFormat="1" applyFont="1" applyBorder="1" applyAlignment="1">
      <alignment horizontal="center" wrapText="1"/>
    </xf>
    <xf numFmtId="177" fontId="48" fillId="4" borderId="46" xfId="1" applyNumberFormat="1" applyFont="1" applyFill="1" applyBorder="1" applyAlignment="1">
      <alignment horizontal="center" vertical="center"/>
    </xf>
    <xf numFmtId="177" fontId="48" fillId="4" borderId="46" xfId="1" applyNumberFormat="1" applyFont="1" applyFill="1" applyBorder="1" applyAlignment="1">
      <alignment horizontal="center" vertical="center" wrapText="1"/>
    </xf>
    <xf numFmtId="177" fontId="48" fillId="5" borderId="46" xfId="1" applyNumberFormat="1" applyFont="1" applyFill="1" applyBorder="1" applyAlignment="1">
      <alignment horizontal="center" vertical="center"/>
    </xf>
    <xf numFmtId="177" fontId="47" fillId="6" borderId="47" xfId="1" applyNumberFormat="1" applyFont="1" applyFill="1" applyBorder="1" applyAlignment="1">
      <alignment horizontal="center" vertical="center" wrapText="1"/>
    </xf>
    <xf numFmtId="177" fontId="47" fillId="5" borderId="47" xfId="1" applyNumberFormat="1" applyFont="1" applyFill="1" applyBorder="1" applyAlignment="1">
      <alignment horizontal="center" vertical="center" wrapText="1"/>
    </xf>
    <xf numFmtId="177" fontId="47" fillId="6" borderId="12" xfId="1" applyNumberFormat="1" applyFont="1" applyFill="1" applyBorder="1" applyAlignment="1">
      <alignment horizontal="center" vertical="center" wrapText="1"/>
    </xf>
    <xf numFmtId="177" fontId="47" fillId="5" borderId="12" xfId="1" applyNumberFormat="1" applyFont="1" applyFill="1" applyBorder="1" applyAlignment="1">
      <alignment horizontal="center" vertical="center" wrapText="1"/>
    </xf>
    <xf numFmtId="177" fontId="56" fillId="0" borderId="12" xfId="1" applyNumberFormat="1" applyFont="1" applyFill="1" applyBorder="1" applyAlignment="1">
      <alignment vertical="center" wrapText="1"/>
    </xf>
    <xf numFmtId="177" fontId="47" fillId="0" borderId="15" xfId="1" applyNumberFormat="1" applyFont="1" applyFill="1" applyBorder="1" applyAlignment="1">
      <alignment vertical="center" wrapText="1"/>
    </xf>
    <xf numFmtId="177" fontId="47" fillId="6" borderId="15" xfId="1" applyNumberFormat="1" applyFont="1" applyFill="1" applyBorder="1" applyAlignment="1">
      <alignment horizontal="center" vertical="center" wrapText="1"/>
    </xf>
    <xf numFmtId="177" fontId="47" fillId="5" borderId="15" xfId="1" applyNumberFormat="1" applyFont="1" applyFill="1" applyBorder="1" applyAlignment="1">
      <alignment horizontal="center" vertical="center" wrapText="1"/>
    </xf>
    <xf numFmtId="177" fontId="47" fillId="6" borderId="9" xfId="1" applyNumberFormat="1" applyFont="1" applyFill="1" applyBorder="1" applyAlignment="1">
      <alignment horizontal="center" vertical="center" wrapText="1"/>
    </xf>
    <xf numFmtId="177" fontId="47" fillId="5" borderId="9" xfId="1" applyNumberFormat="1" applyFont="1" applyFill="1" applyBorder="1" applyAlignment="1">
      <alignment horizontal="center" vertical="center" wrapText="1"/>
    </xf>
    <xf numFmtId="177" fontId="47" fillId="6" borderId="46" xfId="1" applyNumberFormat="1" applyFont="1" applyFill="1" applyBorder="1" applyAlignment="1">
      <alignment horizontal="center" vertical="center" wrapText="1"/>
    </xf>
    <xf numFmtId="177" fontId="47" fillId="5" borderId="46" xfId="1" applyNumberFormat="1" applyFont="1" applyFill="1" applyBorder="1" applyAlignment="1">
      <alignment horizontal="center" vertical="center" wrapText="1"/>
    </xf>
    <xf numFmtId="177" fontId="55" fillId="0" borderId="52" xfId="1" applyNumberFormat="1" applyFont="1" applyBorder="1"/>
    <xf numFmtId="177" fontId="57" fillId="3" borderId="52" xfId="1" applyNumberFormat="1" applyFont="1" applyFill="1" applyBorder="1" applyAlignment="1">
      <alignment horizontal="right"/>
    </xf>
    <xf numFmtId="177" fontId="57" fillId="3" borderId="52" xfId="1" applyNumberFormat="1" applyFont="1" applyFill="1" applyBorder="1"/>
    <xf numFmtId="177" fontId="48" fillId="0" borderId="46" xfId="1" applyNumberFormat="1" applyFont="1" applyBorder="1" applyAlignment="1">
      <alignment horizontal="center" vertical="center" wrapText="1"/>
    </xf>
    <xf numFmtId="177" fontId="48" fillId="0" borderId="0" xfId="1" applyNumberFormat="1" applyFont="1" applyAlignment="1">
      <alignment vertical="center" wrapText="1"/>
    </xf>
    <xf numFmtId="177" fontId="48" fillId="0" borderId="52" xfId="1" applyNumberFormat="1" applyFont="1" applyFill="1" applyBorder="1" applyAlignment="1">
      <alignment horizontal="center" vertical="center" wrapText="1"/>
    </xf>
    <xf numFmtId="177" fontId="48" fillId="0" borderId="65" xfId="1" applyNumberFormat="1" applyFont="1" applyFill="1" applyBorder="1" applyAlignment="1">
      <alignment horizontal="center" vertical="center" wrapText="1"/>
    </xf>
    <xf numFmtId="177" fontId="48" fillId="0" borderId="3" xfId="1" applyNumberFormat="1" applyFont="1" applyFill="1" applyBorder="1" applyAlignment="1">
      <alignment horizontal="center" vertical="center" wrapText="1"/>
    </xf>
    <xf numFmtId="177" fontId="54" fillId="0" borderId="12" xfId="1" applyNumberFormat="1" applyFont="1" applyBorder="1"/>
    <xf numFmtId="177" fontId="48" fillId="0" borderId="32" xfId="1" applyNumberFormat="1" applyFont="1" applyFill="1" applyBorder="1" applyAlignment="1">
      <alignment horizontal="center" vertical="center" wrapText="1"/>
    </xf>
    <xf numFmtId="177" fontId="54" fillId="0" borderId="15" xfId="1" applyNumberFormat="1" applyFont="1" applyBorder="1"/>
    <xf numFmtId="177" fontId="48" fillId="0" borderId="2" xfId="1" applyNumberFormat="1" applyFont="1" applyFill="1" applyBorder="1" applyAlignment="1">
      <alignment horizontal="center" vertical="center" wrapText="1"/>
    </xf>
    <xf numFmtId="177" fontId="48" fillId="0" borderId="34" xfId="1" applyNumberFormat="1" applyFont="1" applyFill="1" applyBorder="1" applyAlignment="1">
      <alignment horizontal="center" vertical="center" wrapText="1"/>
    </xf>
    <xf numFmtId="43" fontId="55" fillId="0" borderId="48" xfId="73" applyFont="1" applyBorder="1"/>
    <xf numFmtId="43" fontId="55" fillId="0" borderId="54" xfId="73" applyFont="1" applyFill="1" applyBorder="1"/>
    <xf numFmtId="43" fontId="55" fillId="0" borderId="0" xfId="73" applyFont="1" applyFill="1"/>
    <xf numFmtId="43" fontId="54" fillId="0" borderId="52" xfId="73" applyFont="1" applyFill="1" applyBorder="1"/>
    <xf numFmtId="43" fontId="55" fillId="0" borderId="46" xfId="73" applyFont="1" applyFill="1" applyBorder="1"/>
    <xf numFmtId="43" fontId="54" fillId="0" borderId="0" xfId="73" applyFont="1" applyBorder="1" applyAlignment="1">
      <alignment horizontal="center" vertical="center"/>
    </xf>
    <xf numFmtId="43" fontId="55" fillId="0" borderId="0" xfId="73" applyFont="1" applyAlignment="1">
      <alignment vertical="center"/>
    </xf>
    <xf numFmtId="43" fontId="55" fillId="2" borderId="46" xfId="73" applyFont="1" applyFill="1" applyBorder="1"/>
    <xf numFmtId="43" fontId="55" fillId="0" borderId="52" xfId="73" applyFont="1" applyBorder="1"/>
    <xf numFmtId="43" fontId="55" fillId="0" borderId="54" xfId="73" applyFont="1" applyBorder="1"/>
    <xf numFmtId="43" fontId="55" fillId="0" borderId="0" xfId="73" applyFont="1" applyAlignment="1">
      <alignment horizontal="center" vertical="center"/>
    </xf>
    <xf numFmtId="14" fontId="55" fillId="0" borderId="0" xfId="73" applyNumberFormat="1" applyFont="1" applyAlignment="1">
      <alignment horizontal="right" vertical="center"/>
    </xf>
    <xf numFmtId="0" fontId="47" fillId="0" borderId="12" xfId="0" applyFont="1" applyBorder="1" applyAlignment="1">
      <alignment horizontal="left" vertical="center"/>
    </xf>
    <xf numFmtId="9" fontId="54" fillId="0" borderId="0" xfId="30" applyFont="1"/>
    <xf numFmtId="43" fontId="48" fillId="0" borderId="0" xfId="1" applyFont="1" applyFill="1" applyBorder="1"/>
    <xf numFmtId="43" fontId="47" fillId="0" borderId="0" xfId="1" applyFont="1" applyFill="1" applyBorder="1"/>
    <xf numFmtId="14" fontId="48" fillId="0" borderId="0" xfId="1" applyNumberFormat="1" applyFont="1" applyBorder="1"/>
    <xf numFmtId="0" fontId="47" fillId="0" borderId="0" xfId="0" applyFont="1" applyBorder="1" applyAlignment="1">
      <alignment horizontal="left" vertical="center"/>
    </xf>
    <xf numFmtId="43" fontId="47" fillId="0" borderId="12" xfId="43" applyFont="1" applyFill="1" applyBorder="1" applyAlignment="1">
      <alignment horizontal="center" vertical="center"/>
    </xf>
    <xf numFmtId="43" fontId="47" fillId="0" borderId="15" xfId="43" applyFont="1" applyFill="1" applyBorder="1" applyAlignment="1">
      <alignment horizontal="center" vertical="center"/>
    </xf>
    <xf numFmtId="43" fontId="47" fillId="0" borderId="9" xfId="1" applyFont="1" applyFill="1" applyBorder="1" applyAlignment="1">
      <alignment horizontal="center" vertical="center"/>
    </xf>
    <xf numFmtId="177" fontId="56" fillId="0" borderId="15" xfId="1" applyNumberFormat="1" applyFont="1" applyFill="1" applyBorder="1" applyAlignment="1">
      <alignment vertical="center" wrapText="1"/>
    </xf>
    <xf numFmtId="177" fontId="92" fillId="0" borderId="12" xfId="1" applyNumberFormat="1" applyFont="1" applyFill="1" applyBorder="1" applyAlignment="1">
      <alignment horizontal="center" vertical="center" wrapText="1"/>
    </xf>
    <xf numFmtId="177" fontId="47" fillId="0" borderId="47" xfId="1" applyNumberFormat="1" applyFont="1" applyFill="1" applyBorder="1" applyAlignment="1">
      <alignment vertical="center" wrapText="1"/>
    </xf>
    <xf numFmtId="177" fontId="47" fillId="0" borderId="12" xfId="1" applyNumberFormat="1" applyFont="1" applyFill="1" applyBorder="1" applyAlignment="1">
      <alignment vertical="center" wrapText="1"/>
    </xf>
    <xf numFmtId="43" fontId="88" fillId="0" borderId="0" xfId="57" applyFont="1"/>
    <xf numFmtId="43" fontId="89" fillId="0" borderId="0" xfId="57" applyFont="1"/>
    <xf numFmtId="43" fontId="47" fillId="0" borderId="0" xfId="57" applyFont="1" applyBorder="1" applyAlignment="1">
      <alignment horizontal="center"/>
    </xf>
    <xf numFmtId="43" fontId="78" fillId="0" borderId="52" xfId="57" applyFont="1" applyBorder="1" applyAlignment="1">
      <alignment horizontal="center" vertical="center"/>
    </xf>
    <xf numFmtId="43" fontId="88" fillId="0" borderId="54" xfId="57" applyFont="1" applyBorder="1" applyAlignment="1">
      <alignment horizontal="center" vertical="center"/>
    </xf>
    <xf numFmtId="43" fontId="78" fillId="0" borderId="48" xfId="57" applyFont="1" applyBorder="1"/>
    <xf numFmtId="43" fontId="77" fillId="2" borderId="0" xfId="57" applyFont="1" applyFill="1"/>
    <xf numFmtId="43" fontId="78" fillId="0" borderId="52" xfId="57" applyFont="1" applyBorder="1"/>
    <xf numFmtId="43" fontId="88" fillId="0" borderId="54" xfId="57" applyFont="1" applyBorder="1"/>
    <xf numFmtId="43" fontId="48" fillId="0" borderId="0" xfId="57" applyFont="1" applyBorder="1" applyAlignment="1">
      <alignment horizontal="right" vertical="center"/>
    </xf>
    <xf numFmtId="43" fontId="47" fillId="0" borderId="0" xfId="57" applyFont="1" applyBorder="1" applyAlignment="1">
      <alignment horizontal="right" vertical="center"/>
    </xf>
    <xf numFmtId="43" fontId="47" fillId="0" borderId="0" xfId="57" applyFont="1" applyBorder="1" applyAlignment="1">
      <alignment vertical="center"/>
    </xf>
    <xf numFmtId="165" fontId="47" fillId="0" borderId="0" xfId="57" applyNumberFormat="1" applyFont="1" applyBorder="1"/>
    <xf numFmtId="43" fontId="48" fillId="0" borderId="0" xfId="57" applyFont="1" applyBorder="1"/>
    <xf numFmtId="43" fontId="47" fillId="0" borderId="0" xfId="57" applyFont="1" applyBorder="1" applyAlignment="1">
      <alignment horizontal="justify" vertical="top"/>
    </xf>
    <xf numFmtId="43" fontId="47" fillId="0" borderId="0" xfId="57" applyFont="1" applyBorder="1" applyAlignment="1">
      <alignment horizontal="left"/>
    </xf>
    <xf numFmtId="43" fontId="48" fillId="0" borderId="0" xfId="57" applyFont="1" applyBorder="1" applyAlignment="1">
      <alignment horizontal="center"/>
    </xf>
    <xf numFmtId="43" fontId="53" fillId="0" borderId="0" xfId="57" applyFont="1" applyBorder="1" applyAlignment="1">
      <alignment horizontal="left" vertical="top"/>
    </xf>
    <xf numFmtId="43" fontId="47" fillId="0" borderId="0" xfId="57" applyFont="1" applyBorder="1" applyAlignment="1">
      <alignment horizontal="right"/>
    </xf>
    <xf numFmtId="43" fontId="60" fillId="0" borderId="0" xfId="57" applyFont="1" applyBorder="1" applyAlignment="1">
      <alignment horizontal="right" vertical="center"/>
    </xf>
    <xf numFmtId="9" fontId="47" fillId="0" borderId="0" xfId="58" applyFont="1" applyBorder="1" applyAlignment="1">
      <alignment horizontal="right" vertical="center"/>
    </xf>
    <xf numFmtId="43" fontId="47" fillId="0" borderId="30" xfId="57" applyFont="1" applyBorder="1"/>
    <xf numFmtId="43" fontId="47" fillId="0" borderId="31" xfId="57" applyFont="1" applyBorder="1"/>
    <xf numFmtId="43" fontId="78" fillId="0" borderId="48" xfId="57" applyFont="1" applyBorder="1" applyAlignment="1">
      <alignment horizontal="left" vertical="center"/>
    </xf>
    <xf numFmtId="9" fontId="47" fillId="0" borderId="0" xfId="30" applyFont="1" applyFill="1" applyBorder="1"/>
    <xf numFmtId="49" fontId="47" fillId="0" borderId="0" xfId="6" applyNumberFormat="1" applyFont="1" applyAlignment="1">
      <alignment vertical="top" wrapText="1"/>
    </xf>
    <xf numFmtId="43" fontId="47" fillId="0" borderId="12" xfId="1" applyFont="1" applyFill="1" applyBorder="1"/>
    <xf numFmtId="43" fontId="47" fillId="0" borderId="48" xfId="1" applyFont="1" applyBorder="1"/>
    <xf numFmtId="43" fontId="47" fillId="0" borderId="52" xfId="1" applyFont="1" applyBorder="1"/>
    <xf numFmtId="43" fontId="48" fillId="0" borderId="52" xfId="1" applyFont="1" applyBorder="1"/>
    <xf numFmtId="177" fontId="47" fillId="0" borderId="15" xfId="1" applyNumberFormat="1" applyFont="1" applyBorder="1"/>
    <xf numFmtId="43" fontId="48" fillId="0" borderId="52" xfId="1" applyFont="1" applyBorder="1" applyAlignment="1">
      <alignment horizontal="center" vertical="center"/>
    </xf>
    <xf numFmtId="177" fontId="48" fillId="0" borderId="52" xfId="1" applyNumberFormat="1" applyFont="1" applyBorder="1" applyAlignment="1">
      <alignment horizontal="center" vertical="center"/>
    </xf>
    <xf numFmtId="165" fontId="54" fillId="0" borderId="0" xfId="104" applyNumberFormat="1" applyFont="1"/>
    <xf numFmtId="177" fontId="92" fillId="0" borderId="47" xfId="1" applyNumberFormat="1" applyFont="1" applyFill="1" applyBorder="1" applyAlignment="1">
      <alignment horizontal="center" vertical="center" wrapText="1"/>
    </xf>
    <xf numFmtId="43" fontId="54" fillId="0" borderId="15" xfId="1" applyFont="1" applyFill="1" applyBorder="1" applyAlignment="1">
      <alignment horizontal="center" vertical="center"/>
    </xf>
    <xf numFmtId="43" fontId="47" fillId="0" borderId="47" xfId="1" applyFont="1" applyBorder="1" applyAlignment="1">
      <alignment horizontal="center" vertical="center"/>
    </xf>
    <xf numFmtId="43" fontId="47" fillId="0" borderId="12" xfId="1" applyFont="1" applyBorder="1" applyAlignment="1">
      <alignment horizontal="center" vertical="center"/>
    </xf>
    <xf numFmtId="43" fontId="47" fillId="0" borderId="15" xfId="1" applyFont="1" applyBorder="1" applyAlignment="1">
      <alignment horizontal="center" vertical="center"/>
    </xf>
    <xf numFmtId="43" fontId="55" fillId="0" borderId="52" xfId="1" applyFont="1" applyBorder="1"/>
    <xf numFmtId="39" fontId="48" fillId="2" borderId="12" xfId="48" applyNumberFormat="1" applyFont="1" applyFill="1" applyBorder="1"/>
    <xf numFmtId="9" fontId="47" fillId="0" borderId="0" xfId="30" applyFont="1" applyBorder="1"/>
    <xf numFmtId="43" fontId="48" fillId="0" borderId="0" xfId="1" applyFont="1" applyBorder="1" applyAlignment="1">
      <alignment horizontal="center"/>
    </xf>
    <xf numFmtId="43" fontId="48" fillId="2" borderId="0" xfId="1" applyFont="1" applyFill="1" applyBorder="1"/>
    <xf numFmtId="43" fontId="47" fillId="0" borderId="30" xfId="1" applyFont="1" applyBorder="1"/>
    <xf numFmtId="43" fontId="47" fillId="0" borderId="30" xfId="1" applyFont="1" applyBorder="1" applyAlignment="1">
      <alignment horizontal="center" vertical="center"/>
    </xf>
    <xf numFmtId="43" fontId="47" fillId="0" borderId="31" xfId="1" applyFont="1" applyBorder="1"/>
    <xf numFmtId="43" fontId="47" fillId="0" borderId="31" xfId="1" applyFont="1" applyBorder="1" applyAlignment="1">
      <alignment horizontal="center" vertical="center"/>
    </xf>
    <xf numFmtId="177" fontId="47" fillId="0" borderId="13" xfId="1" applyNumberFormat="1" applyFont="1" applyFill="1" applyBorder="1" applyAlignment="1">
      <alignment horizontal="center" vertical="center" wrapText="1"/>
    </xf>
    <xf numFmtId="177" fontId="54" fillId="0" borderId="0" xfId="1" applyNumberFormat="1" applyFont="1" applyFill="1" applyBorder="1"/>
    <xf numFmtId="177" fontId="92" fillId="0" borderId="9" xfId="1" applyNumberFormat="1" applyFont="1" applyFill="1" applyBorder="1" applyAlignment="1">
      <alignment horizontal="center" vertical="center" wrapText="1"/>
    </xf>
    <xf numFmtId="43" fontId="47" fillId="0" borderId="0" xfId="43" applyFont="1" applyFill="1"/>
    <xf numFmtId="43" fontId="54" fillId="0" borderId="52" xfId="1" applyFont="1" applyBorder="1"/>
    <xf numFmtId="177" fontId="48" fillId="9" borderId="46" xfId="1" applyNumberFormat="1" applyFont="1" applyFill="1" applyBorder="1" applyAlignment="1">
      <alignment horizontal="center" wrapText="1"/>
    </xf>
    <xf numFmtId="177" fontId="47" fillId="0" borderId="9" xfId="1" applyNumberFormat="1" applyFont="1" applyBorder="1"/>
    <xf numFmtId="177" fontId="56" fillId="2" borderId="12" xfId="1" applyNumberFormat="1" applyFont="1" applyFill="1" applyBorder="1"/>
    <xf numFmtId="0" fontId="34" fillId="0" borderId="47" xfId="49" applyBorder="1" applyAlignment="1">
      <alignment horizontal="left"/>
    </xf>
    <xf numFmtId="0" fontId="34" fillId="0" borderId="47" xfId="49" applyBorder="1"/>
    <xf numFmtId="39" fontId="47" fillId="0" borderId="47" xfId="48" applyNumberFormat="1" applyFont="1" applyBorder="1"/>
    <xf numFmtId="0" fontId="52" fillId="0" borderId="48" xfId="49" applyFont="1" applyBorder="1" applyAlignment="1">
      <alignment horizontal="left"/>
    </xf>
    <xf numFmtId="0" fontId="34" fillId="0" borderId="52" xfId="49" applyBorder="1"/>
    <xf numFmtId="39" fontId="47" fillId="0" borderId="52" xfId="50" applyNumberFormat="1" applyFont="1" applyBorder="1"/>
    <xf numFmtId="43" fontId="54" fillId="0" borderId="12" xfId="1" applyFont="1" applyBorder="1" applyAlignment="1">
      <alignment horizontal="center" vertical="center"/>
    </xf>
    <xf numFmtId="177" fontId="92" fillId="0" borderId="15" xfId="1" applyNumberFormat="1" applyFont="1" applyFill="1" applyBorder="1" applyAlignment="1">
      <alignment horizontal="center" vertical="center" wrapText="1"/>
    </xf>
    <xf numFmtId="43" fontId="48" fillId="0" borderId="15" xfId="1" applyFont="1" applyBorder="1"/>
    <xf numFmtId="177" fontId="82" fillId="2" borderId="12" xfId="1" applyNumberFormat="1" applyFont="1" applyFill="1" applyBorder="1" applyAlignment="1">
      <alignment horizontal="center" vertical="center" wrapText="1"/>
    </xf>
    <xf numFmtId="177" fontId="56" fillId="0" borderId="12" xfId="1" applyNumberFormat="1" applyFont="1" applyFill="1" applyBorder="1"/>
    <xf numFmtId="0" fontId="47" fillId="0" borderId="47" xfId="0" applyFont="1" applyBorder="1"/>
    <xf numFmtId="0" fontId="47" fillId="0" borderId="47" xfId="0" applyFont="1" applyBorder="1" applyAlignment="1">
      <alignment horizontal="center" vertical="center"/>
    </xf>
    <xf numFmtId="177" fontId="82" fillId="0" borderId="47" xfId="1" applyNumberFormat="1" applyFont="1" applyBorder="1"/>
    <xf numFmtId="177" fontId="92" fillId="0" borderId="12" xfId="1" applyNumberFormat="1" applyFont="1" applyFill="1" applyBorder="1"/>
    <xf numFmtId="177" fontId="92" fillId="0" borderId="12" xfId="1" applyNumberFormat="1" applyFont="1" applyFill="1" applyBorder="1" applyAlignment="1">
      <alignment horizontal="center" vertical="center"/>
    </xf>
    <xf numFmtId="43" fontId="47" fillId="0" borderId="47" xfId="1" applyFont="1" applyFill="1" applyBorder="1" applyAlignment="1">
      <alignment vertical="center"/>
    </xf>
    <xf numFmtId="43" fontId="47" fillId="0" borderId="12" xfId="1" applyFont="1" applyFill="1" applyBorder="1" applyAlignment="1">
      <alignment vertical="center"/>
    </xf>
    <xf numFmtId="43" fontId="47" fillId="0" borderId="52" xfId="1" applyFont="1" applyBorder="1" applyAlignment="1">
      <alignment horizontal="center" vertical="center"/>
    </xf>
    <xf numFmtId="0" fontId="54" fillId="0" borderId="12" xfId="8" applyFont="1" applyBorder="1" applyAlignment="1">
      <alignment horizontal="center" vertical="center"/>
    </xf>
    <xf numFmtId="43" fontId="48" fillId="0" borderId="0" xfId="1" applyFont="1" applyBorder="1" applyAlignment="1">
      <alignment horizontal="right" vertical="center"/>
    </xf>
    <xf numFmtId="43" fontId="47" fillId="0" borderId="0" xfId="1" applyFont="1" applyBorder="1" applyAlignment="1">
      <alignment horizontal="right" vertical="center"/>
    </xf>
    <xf numFmtId="43" fontId="55" fillId="0" borderId="46" xfId="1" applyFont="1" applyBorder="1" applyAlignment="1">
      <alignment horizontal="center" vertical="center"/>
    </xf>
    <xf numFmtId="43" fontId="55" fillId="13" borderId="46" xfId="1" applyFont="1" applyFill="1" applyBorder="1" applyAlignment="1">
      <alignment horizontal="center" vertical="center"/>
    </xf>
    <xf numFmtId="43" fontId="47" fillId="13" borderId="47" xfId="1" applyFont="1" applyFill="1" applyBorder="1"/>
    <xf numFmtId="43" fontId="54" fillId="0" borderId="47" xfId="1" applyFont="1" applyBorder="1"/>
    <xf numFmtId="43" fontId="54" fillId="0" borderId="47" xfId="1" applyFont="1" applyBorder="1" applyAlignment="1">
      <alignment horizontal="center" vertical="center"/>
    </xf>
    <xf numFmtId="43" fontId="47" fillId="13" borderId="12" xfId="1" applyFont="1" applyFill="1" applyBorder="1"/>
    <xf numFmtId="43" fontId="54" fillId="0" borderId="12" xfId="1" applyFont="1" applyBorder="1"/>
    <xf numFmtId="43" fontId="54" fillId="0" borderId="15" xfId="1" applyFont="1" applyBorder="1"/>
    <xf numFmtId="43" fontId="54" fillId="0" borderId="0" xfId="1" applyFont="1" applyAlignment="1">
      <alignment horizontal="center" vertical="center"/>
    </xf>
    <xf numFmtId="43" fontId="64" fillId="13" borderId="12" xfId="1" applyFont="1" applyFill="1" applyBorder="1"/>
    <xf numFmtId="43" fontId="64" fillId="13" borderId="12" xfId="1" applyFont="1" applyFill="1" applyBorder="1" applyAlignment="1">
      <alignment horizontal="center" vertical="center"/>
    </xf>
    <xf numFmtId="43" fontId="64" fillId="13" borderId="47" xfId="1" applyFont="1" applyFill="1" applyBorder="1"/>
    <xf numFmtId="43" fontId="64" fillId="13" borderId="47" xfId="1" applyFont="1" applyFill="1" applyBorder="1" applyAlignment="1">
      <alignment horizontal="center" vertical="center"/>
    </xf>
    <xf numFmtId="0" fontId="64" fillId="0" borderId="15" xfId="118" applyFont="1" applyBorder="1" applyAlignment="1">
      <alignment horizontal="left" vertical="top"/>
    </xf>
    <xf numFmtId="43" fontId="64" fillId="13" borderId="15" xfId="1" applyFont="1" applyFill="1" applyBorder="1"/>
    <xf numFmtId="43" fontId="64" fillId="13" borderId="15" xfId="1" applyFont="1" applyFill="1" applyBorder="1" applyAlignment="1">
      <alignment horizontal="center" vertical="center"/>
    </xf>
    <xf numFmtId="0" fontId="64" fillId="0" borderId="12" xfId="118" applyFont="1" applyBorder="1" applyAlignment="1">
      <alignment horizontal="left" vertical="top"/>
    </xf>
    <xf numFmtId="0" fontId="94" fillId="0" borderId="12" xfId="118" applyFont="1" applyBorder="1" applyAlignment="1">
      <alignment horizontal="left" vertical="top"/>
    </xf>
    <xf numFmtId="0" fontId="64" fillId="0" borderId="47" xfId="118" applyFont="1" applyBorder="1" applyAlignment="1">
      <alignment horizontal="left" vertical="top"/>
    </xf>
    <xf numFmtId="43" fontId="64" fillId="13" borderId="12" xfId="1" applyFont="1" applyFill="1" applyBorder="1" applyAlignment="1">
      <alignment horizontal="left" vertical="center"/>
    </xf>
    <xf numFmtId="0" fontId="64" fillId="0" borderId="12" xfId="118" applyFont="1" applyBorder="1" applyAlignment="1">
      <alignment horizontal="center" vertical="center"/>
    </xf>
    <xf numFmtId="43" fontId="44" fillId="0" borderId="0" xfId="1" applyFont="1" applyAlignment="1">
      <alignment horizontal="center" vertical="center"/>
    </xf>
    <xf numFmtId="43" fontId="64" fillId="0" borderId="12" xfId="1" applyFont="1" applyBorder="1" applyAlignment="1">
      <alignment horizontal="center" vertical="center"/>
    </xf>
    <xf numFmtId="43" fontId="64" fillId="0" borderId="15" xfId="1" applyFont="1" applyBorder="1" applyAlignment="1">
      <alignment horizontal="center" vertical="center"/>
    </xf>
    <xf numFmtId="43" fontId="64" fillId="0" borderId="47" xfId="1" applyFont="1" applyBorder="1" applyAlignment="1">
      <alignment horizontal="center" vertical="center"/>
    </xf>
    <xf numFmtId="43" fontId="54" fillId="0" borderId="47" xfId="1" applyFont="1" applyBorder="1" applyAlignment="1">
      <alignment horizontal="left" vertical="center"/>
    </xf>
    <xf numFmtId="0" fontId="64" fillId="0" borderId="47" xfId="118" applyFont="1" applyBorder="1" applyAlignment="1">
      <alignment horizontal="center" vertical="center"/>
    </xf>
    <xf numFmtId="43" fontId="55" fillId="20" borderId="48" xfId="1" applyFont="1" applyFill="1" applyBorder="1" applyAlignment="1">
      <alignment horizontal="left" vertical="center"/>
    </xf>
    <xf numFmtId="43" fontId="55" fillId="20" borderId="52" xfId="1" applyFont="1" applyFill="1" applyBorder="1" applyAlignment="1">
      <alignment horizontal="center" vertical="center"/>
    </xf>
    <xf numFmtId="43" fontId="54" fillId="20" borderId="52" xfId="1" applyFont="1" applyFill="1" applyBorder="1"/>
    <xf numFmtId="43" fontId="55" fillId="20" borderId="54" xfId="1" applyFont="1" applyFill="1" applyBorder="1"/>
    <xf numFmtId="43" fontId="47" fillId="0" borderId="0" xfId="1" applyFont="1" applyAlignment="1">
      <alignment horizontal="center" vertical="center"/>
    </xf>
    <xf numFmtId="43" fontId="47" fillId="0" borderId="9" xfId="1" applyFont="1" applyBorder="1" applyAlignment="1">
      <alignment horizontal="center" vertical="center"/>
    </xf>
    <xf numFmtId="177" fontId="54" fillId="0" borderId="47" xfId="1" applyNumberFormat="1" applyFont="1" applyFill="1" applyBorder="1" applyAlignment="1">
      <alignment horizontal="center" vertical="center"/>
    </xf>
    <xf numFmtId="177" fontId="54" fillId="0" borderId="12" xfId="1" applyNumberFormat="1" applyFont="1" applyFill="1" applyBorder="1" applyAlignment="1">
      <alignment horizontal="center" vertical="center"/>
    </xf>
    <xf numFmtId="177" fontId="54" fillId="0" borderId="15" xfId="1" applyNumberFormat="1" applyFont="1" applyFill="1" applyBorder="1" applyAlignment="1">
      <alignment horizontal="center" vertical="center"/>
    </xf>
    <xf numFmtId="177" fontId="47" fillId="0" borderId="47" xfId="1" applyNumberFormat="1" applyFont="1" applyBorder="1" applyAlignment="1">
      <alignment horizontal="center" vertical="center"/>
    </xf>
    <xf numFmtId="177" fontId="47" fillId="0" borderId="12" xfId="1" applyNumberFormat="1" applyFont="1" applyBorder="1" applyAlignment="1">
      <alignment horizontal="center" vertical="center"/>
    </xf>
    <xf numFmtId="177" fontId="92" fillId="0" borderId="12" xfId="1" applyNumberFormat="1" applyFont="1" applyBorder="1"/>
    <xf numFmtId="43" fontId="47" fillId="0" borderId="69" xfId="1" applyFont="1" applyBorder="1" applyAlignment="1">
      <alignment vertical="center"/>
    </xf>
    <xf numFmtId="43" fontId="77" fillId="0" borderId="69" xfId="1" applyFont="1" applyBorder="1" applyAlignment="1">
      <alignment horizontal="center" vertical="center" shrinkToFit="1"/>
    </xf>
    <xf numFmtId="43" fontId="77" fillId="0" borderId="69" xfId="1" applyFont="1" applyBorder="1" applyAlignment="1">
      <alignment vertical="center"/>
    </xf>
    <xf numFmtId="43" fontId="47" fillId="0" borderId="69" xfId="1" applyFont="1" applyBorder="1" applyAlignment="1">
      <alignment horizontal="center" vertical="center"/>
    </xf>
    <xf numFmtId="43" fontId="77" fillId="0" borderId="69" xfId="1" applyFont="1" applyBorder="1" applyAlignment="1">
      <alignment horizontal="center" vertical="center"/>
    </xf>
    <xf numFmtId="43" fontId="47" fillId="0" borderId="12" xfId="1" applyFont="1" applyBorder="1" applyAlignment="1">
      <alignment vertical="center"/>
    </xf>
    <xf numFmtId="43" fontId="77" fillId="0" borderId="12" xfId="1" applyFont="1" applyBorder="1" applyAlignment="1">
      <alignment horizontal="center" vertical="center" shrinkToFit="1"/>
    </xf>
    <xf numFmtId="43" fontId="77" fillId="0" borderId="12" xfId="1" applyFont="1" applyBorder="1" applyAlignment="1">
      <alignment vertical="center"/>
    </xf>
    <xf numFmtId="43" fontId="77" fillId="0" borderId="12" xfId="1" applyFont="1" applyBorder="1" applyAlignment="1">
      <alignment horizontal="center" vertical="center"/>
    </xf>
    <xf numFmtId="43" fontId="47" fillId="0" borderId="15" xfId="1" applyFont="1" applyBorder="1" applyAlignment="1">
      <alignment vertical="center"/>
    </xf>
    <xf numFmtId="43" fontId="47" fillId="0" borderId="9" xfId="1" applyFont="1" applyBorder="1" applyAlignment="1">
      <alignment vertical="center"/>
    </xf>
    <xf numFmtId="43" fontId="77" fillId="0" borderId="9" xfId="1" applyFont="1" applyBorder="1" applyAlignment="1">
      <alignment horizontal="center" vertical="center" shrinkToFit="1"/>
    </xf>
    <xf numFmtId="43" fontId="47" fillId="0" borderId="9" xfId="1" applyFont="1" applyBorder="1"/>
    <xf numFmtId="43" fontId="48" fillId="0" borderId="48" xfId="1" applyFont="1" applyBorder="1"/>
    <xf numFmtId="43" fontId="48" fillId="0" borderId="54" xfId="1" applyFont="1" applyBorder="1"/>
    <xf numFmtId="43" fontId="47" fillId="0" borderId="70" xfId="1" applyFont="1" applyBorder="1" applyAlignment="1">
      <alignment vertical="center"/>
    </xf>
    <xf numFmtId="43" fontId="47" fillId="0" borderId="70" xfId="1" applyFont="1" applyBorder="1" applyAlignment="1">
      <alignment horizontal="center" vertical="center"/>
    </xf>
    <xf numFmtId="43" fontId="77" fillId="0" borderId="70" xfId="1" applyFont="1" applyBorder="1" applyAlignment="1">
      <alignment horizontal="center" vertical="center" shrinkToFit="1"/>
    </xf>
    <xf numFmtId="43" fontId="47" fillId="0" borderId="70" xfId="1" applyFont="1" applyBorder="1"/>
    <xf numFmtId="43" fontId="47" fillId="0" borderId="69" xfId="1" applyFont="1" applyBorder="1"/>
    <xf numFmtId="43" fontId="47" fillId="0" borderId="71" xfId="1" applyFont="1" applyBorder="1" applyAlignment="1">
      <alignment vertical="center"/>
    </xf>
    <xf numFmtId="43" fontId="47" fillId="0" borderId="71" xfId="1" applyFont="1" applyBorder="1" applyAlignment="1">
      <alignment horizontal="center" vertical="center"/>
    </xf>
    <xf numFmtId="43" fontId="77" fillId="0" borderId="71" xfId="1" applyFont="1" applyBorder="1" applyAlignment="1">
      <alignment horizontal="center" vertical="center" shrinkToFit="1"/>
    </xf>
    <xf numFmtId="43" fontId="47" fillId="0" borderId="71" xfId="1" applyFont="1" applyBorder="1"/>
    <xf numFmtId="43" fontId="47" fillId="0" borderId="72" xfId="1" applyFont="1" applyBorder="1" applyAlignment="1">
      <alignment vertical="center"/>
    </xf>
    <xf numFmtId="43" fontId="47" fillId="0" borderId="72" xfId="1" applyFont="1" applyBorder="1" applyAlignment="1">
      <alignment horizontal="center" vertical="center"/>
    </xf>
    <xf numFmtId="43" fontId="77" fillId="0" borderId="72" xfId="1" applyFont="1" applyBorder="1" applyAlignment="1">
      <alignment horizontal="center" vertical="center" shrinkToFit="1"/>
    </xf>
    <xf numFmtId="43" fontId="47" fillId="0" borderId="72" xfId="1" applyFont="1" applyBorder="1"/>
    <xf numFmtId="177" fontId="54" fillId="0" borderId="0" xfId="1" applyNumberFormat="1" applyFont="1" applyAlignment="1">
      <alignment horizontal="center" vertical="center"/>
    </xf>
    <xf numFmtId="177" fontId="55" fillId="0" borderId="0" xfId="1" applyNumberFormat="1" applyFont="1" applyAlignment="1">
      <alignment horizontal="center" vertical="center"/>
    </xf>
    <xf numFmtId="177" fontId="92" fillId="2" borderId="12" xfId="1" applyNumberFormat="1" applyFont="1" applyFill="1" applyBorder="1" applyAlignment="1">
      <alignment horizontal="center" vertical="center" wrapText="1"/>
    </xf>
    <xf numFmtId="0" fontId="47" fillId="0" borderId="52" xfId="0" applyFont="1" applyBorder="1"/>
    <xf numFmtId="0" fontId="47" fillId="0" borderId="15" xfId="0" applyFont="1" applyBorder="1"/>
    <xf numFmtId="43" fontId="64" fillId="0" borderId="0" xfId="43" applyFont="1" applyFill="1" applyBorder="1"/>
    <xf numFmtId="0" fontId="48" fillId="0" borderId="48" xfId="0" applyFont="1" applyBorder="1"/>
    <xf numFmtId="177" fontId="47" fillId="0" borderId="0" xfId="1" applyNumberFormat="1" applyFont="1" applyBorder="1" applyAlignment="1">
      <alignment horizontal="center" vertical="center"/>
    </xf>
    <xf numFmtId="43" fontId="47" fillId="0" borderId="46" xfId="1" applyFont="1" applyBorder="1" applyAlignment="1">
      <alignment horizontal="center" vertical="center"/>
    </xf>
    <xf numFmtId="177" fontId="54" fillId="0" borderId="52" xfId="1" applyNumberFormat="1" applyFont="1" applyBorder="1" applyAlignment="1">
      <alignment horizontal="center" vertical="center"/>
    </xf>
    <xf numFmtId="177" fontId="47" fillId="0" borderId="12" xfId="1" applyNumberFormat="1" applyFont="1" applyFill="1" applyBorder="1" applyAlignment="1">
      <alignment horizontal="center" vertical="center"/>
    </xf>
    <xf numFmtId="177" fontId="47" fillId="0" borderId="15" xfId="1" applyNumberFormat="1" applyFont="1" applyFill="1" applyBorder="1" applyAlignment="1">
      <alignment horizontal="center" vertical="center"/>
    </xf>
    <xf numFmtId="177" fontId="47" fillId="0" borderId="47" xfId="1" applyNumberFormat="1" applyFont="1" applyFill="1" applyBorder="1" applyAlignment="1">
      <alignment horizontal="center" vertical="center"/>
    </xf>
    <xf numFmtId="177" fontId="47" fillId="0" borderId="9" xfId="1" applyNumberFormat="1" applyFont="1" applyFill="1" applyBorder="1" applyAlignment="1">
      <alignment horizontal="center" vertical="center"/>
    </xf>
    <xf numFmtId="177" fontId="47" fillId="0" borderId="46" xfId="1" applyNumberFormat="1" applyFont="1" applyFill="1" applyBorder="1" applyAlignment="1">
      <alignment horizontal="center" vertical="center"/>
    </xf>
    <xf numFmtId="177" fontId="54" fillId="0" borderId="0" xfId="1" applyNumberFormat="1" applyFont="1" applyFill="1" applyBorder="1" applyAlignment="1">
      <alignment horizontal="center" vertical="center"/>
    </xf>
    <xf numFmtId="177" fontId="47" fillId="0" borderId="15" xfId="1" applyNumberFormat="1" applyFont="1" applyBorder="1" applyAlignment="1">
      <alignment horizontal="center" vertical="center"/>
    </xf>
    <xf numFmtId="43" fontId="54" fillId="0" borderId="9" xfId="1" applyFont="1" applyFill="1" applyBorder="1" applyAlignment="1">
      <alignment horizontal="center" vertical="center"/>
    </xf>
    <xf numFmtId="0" fontId="54" fillId="0" borderId="9" xfId="8" applyFont="1" applyBorder="1" applyAlignment="1">
      <alignment horizontal="center" vertical="center"/>
    </xf>
    <xf numFmtId="177" fontId="54" fillId="0" borderId="9" xfId="1" applyNumberFormat="1" applyFont="1" applyFill="1" applyBorder="1" applyAlignment="1">
      <alignment horizontal="center" vertical="center"/>
    </xf>
    <xf numFmtId="177" fontId="60" fillId="0" borderId="9" xfId="1" applyNumberFormat="1" applyFont="1" applyFill="1" applyBorder="1" applyAlignment="1">
      <alignment horizontal="center" vertical="center" wrapText="1"/>
    </xf>
    <xf numFmtId="43" fontId="54" fillId="0" borderId="0" xfId="1" applyFont="1" applyFill="1" applyAlignment="1">
      <alignment horizontal="center" vertical="center"/>
    </xf>
    <xf numFmtId="43" fontId="48" fillId="0" borderId="48" xfId="1" applyFont="1" applyFill="1" applyBorder="1" applyAlignment="1">
      <alignment horizontal="center" vertical="center"/>
    </xf>
    <xf numFmtId="43" fontId="54" fillId="0" borderId="33" xfId="1" applyFont="1" applyFill="1" applyBorder="1" applyAlignment="1">
      <alignment horizontal="center" vertical="center"/>
    </xf>
    <xf numFmtId="43" fontId="47" fillId="0" borderId="46" xfId="1" applyFont="1" applyFill="1" applyBorder="1" applyAlignment="1">
      <alignment horizontal="center" vertical="center"/>
    </xf>
    <xf numFmtId="177" fontId="49" fillId="2" borderId="12" xfId="1" applyNumberFormat="1" applyFont="1" applyFill="1" applyBorder="1" applyAlignment="1">
      <alignment vertical="center" wrapText="1"/>
    </xf>
    <xf numFmtId="43" fontId="54" fillId="0" borderId="0" xfId="1" applyFont="1" applyAlignment="1">
      <alignment horizontal="left" vertical="center"/>
    </xf>
    <xf numFmtId="43" fontId="47" fillId="0" borderId="13" xfId="1" applyFont="1" applyFill="1" applyBorder="1" applyAlignment="1">
      <alignment horizontal="center" vertical="center"/>
    </xf>
    <xf numFmtId="177" fontId="92" fillId="0" borderId="12" xfId="1" applyNumberFormat="1" applyFont="1" applyFill="1" applyBorder="1" applyAlignment="1">
      <alignment vertical="center" wrapText="1"/>
    </xf>
    <xf numFmtId="177" fontId="54" fillId="0" borderId="0" xfId="8" applyNumberFormat="1" applyFont="1"/>
    <xf numFmtId="177" fontId="48" fillId="0" borderId="0" xfId="1" applyNumberFormat="1" applyFont="1" applyFill="1" applyBorder="1" applyAlignment="1">
      <alignment horizontal="center" vertical="center"/>
    </xf>
    <xf numFmtId="43" fontId="48" fillId="0" borderId="0" xfId="1" applyFont="1" applyFill="1" applyBorder="1" applyAlignment="1">
      <alignment horizontal="center" vertical="center" wrapText="1"/>
    </xf>
    <xf numFmtId="177" fontId="60" fillId="0" borderId="0" xfId="1" applyNumberFormat="1" applyFont="1" applyFill="1" applyBorder="1"/>
    <xf numFmtId="49" fontId="47" fillId="0" borderId="12" xfId="6" applyNumberFormat="1" applyFont="1" applyBorder="1" applyAlignment="1">
      <alignment horizontal="center" vertical="center"/>
    </xf>
    <xf numFmtId="0" fontId="54" fillId="0" borderId="0" xfId="8" applyFont="1" applyAlignment="1">
      <alignment horizontal="center" vertical="center"/>
    </xf>
    <xf numFmtId="49" fontId="47" fillId="0" borderId="47" xfId="6" applyNumberFormat="1" applyFont="1" applyBorder="1" applyAlignment="1">
      <alignment horizontal="center" vertical="center"/>
    </xf>
    <xf numFmtId="0" fontId="47" fillId="0" borderId="12" xfId="8" applyFont="1" applyBorder="1" applyAlignment="1">
      <alignment horizontal="center" vertical="center"/>
    </xf>
    <xf numFmtId="49" fontId="47" fillId="0" borderId="15" xfId="6" applyNumberFormat="1" applyFont="1" applyBorder="1" applyAlignment="1">
      <alignment horizontal="center" vertical="center"/>
    </xf>
    <xf numFmtId="0" fontId="47" fillId="0" borderId="47" xfId="8" applyFont="1" applyBorder="1" applyAlignment="1">
      <alignment horizontal="center" vertical="center"/>
    </xf>
    <xf numFmtId="0" fontId="47" fillId="0" borderId="15" xfId="8" applyFont="1" applyBorder="1" applyAlignment="1">
      <alignment horizontal="center" vertical="center"/>
    </xf>
    <xf numFmtId="0" fontId="54" fillId="0" borderId="47" xfId="8" applyFont="1" applyBorder="1" applyAlignment="1">
      <alignment horizontal="center" vertical="center"/>
    </xf>
    <xf numFmtId="0" fontId="54" fillId="0" borderId="15" xfId="8" applyFont="1" applyBorder="1" applyAlignment="1">
      <alignment horizontal="center" vertical="center"/>
    </xf>
    <xf numFmtId="49" fontId="47" fillId="0" borderId="46" xfId="6" applyNumberFormat="1" applyFont="1" applyBorder="1" applyAlignment="1">
      <alignment horizontal="center" vertical="center"/>
    </xf>
    <xf numFmtId="43" fontId="54" fillId="0" borderId="12" xfId="43" applyFont="1" applyFill="1" applyBorder="1" applyAlignment="1">
      <alignment horizontal="center" vertical="center"/>
    </xf>
    <xf numFmtId="43" fontId="54" fillId="0" borderId="15" xfId="43" applyFont="1" applyFill="1" applyBorder="1" applyAlignment="1">
      <alignment horizontal="center" vertical="center"/>
    </xf>
    <xf numFmtId="0" fontId="54" fillId="0" borderId="52" xfId="8" applyFont="1" applyBorder="1" applyAlignment="1">
      <alignment horizontal="center" vertical="center"/>
    </xf>
    <xf numFmtId="177" fontId="47" fillId="0" borderId="0" xfId="1" applyNumberFormat="1" applyFont="1" applyFill="1" applyBorder="1"/>
    <xf numFmtId="177" fontId="57" fillId="0" borderId="0" xfId="1" applyNumberFormat="1" applyFont="1" applyFill="1" applyBorder="1" applyAlignment="1">
      <alignment horizontal="right"/>
    </xf>
    <xf numFmtId="177" fontId="57" fillId="0" borderId="0" xfId="1" applyNumberFormat="1" applyFont="1" applyFill="1" applyBorder="1"/>
    <xf numFmtId="177" fontId="55" fillId="0" borderId="0" xfId="1" applyNumberFormat="1" applyFont="1" applyFill="1" applyBorder="1"/>
    <xf numFmtId="43" fontId="54" fillId="0" borderId="48" xfId="1" applyFont="1" applyFill="1" applyBorder="1" applyAlignment="1">
      <alignment horizontal="center" vertical="center"/>
    </xf>
    <xf numFmtId="43" fontId="54" fillId="0" borderId="0" xfId="1" applyFont="1" applyFill="1" applyBorder="1" applyAlignment="1">
      <alignment horizontal="center" vertical="center"/>
    </xf>
    <xf numFmtId="177" fontId="57" fillId="0" borderId="52" xfId="1" applyNumberFormat="1" applyFont="1" applyFill="1" applyBorder="1" applyAlignment="1">
      <alignment horizontal="right"/>
    </xf>
    <xf numFmtId="177" fontId="54" fillId="0" borderId="52" xfId="1" applyNumberFormat="1" applyFont="1" applyFill="1" applyBorder="1"/>
    <xf numFmtId="177" fontId="47" fillId="0" borderId="52" xfId="1" applyNumberFormat="1" applyFont="1" applyFill="1" applyBorder="1"/>
    <xf numFmtId="177" fontId="57" fillId="0" borderId="52" xfId="1" applyNumberFormat="1" applyFont="1" applyFill="1" applyBorder="1"/>
    <xf numFmtId="177" fontId="55" fillId="0" borderId="52" xfId="1" applyNumberFormat="1" applyFont="1" applyFill="1" applyBorder="1"/>
    <xf numFmtId="0" fontId="54" fillId="0" borderId="0" xfId="104" applyFont="1" applyAlignment="1">
      <alignment horizontal="left" vertical="center"/>
    </xf>
    <xf numFmtId="177" fontId="54" fillId="0" borderId="47" xfId="1" applyNumberFormat="1" applyFont="1" applyFill="1" applyBorder="1"/>
    <xf numFmtId="177" fontId="54" fillId="0" borderId="12" xfId="1" applyNumberFormat="1" applyFont="1" applyFill="1" applyBorder="1"/>
    <xf numFmtId="0" fontId="47" fillId="0" borderId="13" xfId="2" applyFont="1" applyBorder="1" applyAlignment="1">
      <alignment horizontal="center" vertical="center" wrapText="1"/>
    </xf>
    <xf numFmtId="177" fontId="54" fillId="0" borderId="13" xfId="1" applyNumberFormat="1" applyFont="1" applyFill="1" applyBorder="1"/>
    <xf numFmtId="43" fontId="48" fillId="0" borderId="52" xfId="1" applyFont="1" applyFill="1" applyBorder="1" applyAlignment="1">
      <alignment horizontal="center" vertical="center"/>
    </xf>
    <xf numFmtId="177" fontId="54" fillId="0" borderId="12" xfId="57" applyNumberFormat="1" applyFont="1" applyFill="1" applyBorder="1" applyAlignment="1">
      <alignment horizontal="center" vertical="center"/>
    </xf>
    <xf numFmtId="43" fontId="54" fillId="0" borderId="52" xfId="1" applyFont="1" applyFill="1" applyBorder="1" applyAlignment="1">
      <alignment horizontal="center" vertical="center"/>
    </xf>
    <xf numFmtId="43" fontId="54" fillId="0" borderId="0" xfId="1" applyFont="1" applyFill="1"/>
    <xf numFmtId="43" fontId="55" fillId="0" borderId="0" xfId="1" applyFont="1" applyFill="1"/>
    <xf numFmtId="168" fontId="47" fillId="0" borderId="0" xfId="48" applyFont="1" applyFill="1"/>
    <xf numFmtId="168" fontId="47" fillId="0" borderId="0" xfId="48" applyFont="1" applyFill="1" applyAlignment="1">
      <alignment horizontal="right"/>
    </xf>
    <xf numFmtId="169" fontId="54" fillId="0" borderId="0" xfId="43" applyNumberFormat="1" applyFont="1" applyFill="1" applyAlignment="1">
      <alignment horizontal="right"/>
    </xf>
    <xf numFmtId="169" fontId="47" fillId="0" borderId="0" xfId="43" applyNumberFormat="1" applyFont="1" applyFill="1" applyAlignment="1">
      <alignment horizontal="right"/>
    </xf>
    <xf numFmtId="43" fontId="47" fillId="0" borderId="0" xfId="43" applyFont="1" applyFill="1" applyAlignment="1">
      <alignment horizontal="right"/>
    </xf>
    <xf numFmtId="168" fontId="47" fillId="0" borderId="0" xfId="48" applyFont="1" applyFill="1" applyAlignment="1">
      <alignment horizontal="left"/>
    </xf>
    <xf numFmtId="43" fontId="48" fillId="0" borderId="0" xfId="43" applyFont="1" applyFill="1"/>
    <xf numFmtId="168" fontId="48" fillId="0" borderId="0" xfId="48" applyFont="1" applyFill="1"/>
    <xf numFmtId="43" fontId="47" fillId="0" borderId="0" xfId="57" applyFont="1" applyBorder="1" applyAlignment="1">
      <alignment horizontal="left" vertical="center"/>
    </xf>
    <xf numFmtId="43" fontId="47" fillId="0" borderId="47" xfId="57" applyFont="1" applyFill="1" applyBorder="1" applyAlignment="1">
      <alignment horizontal="left" vertical="center"/>
    </xf>
    <xf numFmtId="0" fontId="97" fillId="0" borderId="0" xfId="128" applyFont="1" applyBorder="1"/>
    <xf numFmtId="0" fontId="77" fillId="0" borderId="67" xfId="118" applyFont="1" applyBorder="1" applyAlignment="1">
      <alignment horizontal="right" vertical="top"/>
    </xf>
    <xf numFmtId="0" fontId="77" fillId="0" borderId="68" xfId="118" applyFont="1" applyBorder="1" applyAlignment="1">
      <alignment horizontal="right" vertical="top"/>
    </xf>
    <xf numFmtId="16" fontId="77" fillId="0" borderId="68" xfId="118" applyNumberFormat="1" applyFont="1" applyBorder="1" applyAlignment="1">
      <alignment horizontal="right" vertical="top"/>
    </xf>
    <xf numFmtId="0" fontId="48" fillId="0" borderId="48" xfId="0" applyFont="1" applyBorder="1" applyAlignment="1">
      <alignment horizontal="left" vertical="center"/>
    </xf>
    <xf numFmtId="0" fontId="47" fillId="0" borderId="52" xfId="0" applyFont="1" applyBorder="1" applyAlignment="1">
      <alignment horizontal="center" vertical="center"/>
    </xf>
    <xf numFmtId="0" fontId="47" fillId="0" borderId="54" xfId="0" applyFont="1" applyBorder="1"/>
    <xf numFmtId="14" fontId="47" fillId="0" borderId="47" xfId="0" applyNumberFormat="1" applyFont="1" applyBorder="1"/>
    <xf numFmtId="14" fontId="47" fillId="0" borderId="12" xfId="0" applyNumberFormat="1" applyFont="1" applyBorder="1"/>
    <xf numFmtId="0" fontId="47" fillId="0" borderId="15" xfId="0" applyFont="1" applyBorder="1" applyAlignment="1">
      <alignment horizontal="center" vertical="center"/>
    </xf>
    <xf numFmtId="14" fontId="47" fillId="0" borderId="15" xfId="0" applyNumberFormat="1" applyFont="1" applyBorder="1"/>
    <xf numFmtId="14" fontId="47" fillId="0" borderId="54" xfId="0" applyNumberFormat="1" applyFont="1" applyBorder="1"/>
    <xf numFmtId="0" fontId="54" fillId="0" borderId="47" xfId="104" applyFont="1" applyBorder="1" applyAlignment="1">
      <alignment horizontal="center" vertical="center"/>
    </xf>
    <xf numFmtId="0" fontId="47" fillId="2" borderId="12" xfId="0" applyFont="1" applyFill="1" applyBorder="1" applyAlignment="1">
      <alignment horizontal="center" vertical="center"/>
    </xf>
    <xf numFmtId="43" fontId="61" fillId="0" borderId="46" xfId="1" applyFont="1" applyBorder="1"/>
    <xf numFmtId="0" fontId="34" fillId="0" borderId="9" xfId="49" applyBorder="1" applyAlignment="1">
      <alignment horizontal="center" vertical="center"/>
    </xf>
    <xf numFmtId="0" fontId="34" fillId="0" borderId="12" xfId="49" applyBorder="1" applyAlignment="1">
      <alignment horizontal="center" vertical="center"/>
    </xf>
    <xf numFmtId="43" fontId="48" fillId="10" borderId="46" xfId="57" applyFont="1" applyFill="1" applyBorder="1" applyAlignment="1">
      <alignment horizontal="left" vertical="center"/>
    </xf>
    <xf numFmtId="14" fontId="48" fillId="0" borderId="0" xfId="57" applyNumberFormat="1" applyFont="1" applyFill="1" applyBorder="1"/>
    <xf numFmtId="0" fontId="54" fillId="0" borderId="0" xfId="1" applyNumberFormat="1" applyFont="1"/>
    <xf numFmtId="43" fontId="54" fillId="0" borderId="0" xfId="1" applyFont="1" applyAlignment="1">
      <alignment horizontal="right" vertical="center"/>
    </xf>
    <xf numFmtId="43" fontId="55" fillId="2" borderId="0" xfId="104" applyNumberFormat="1" applyFont="1" applyFill="1"/>
    <xf numFmtId="0" fontId="47" fillId="0" borderId="0" xfId="1" applyNumberFormat="1" applyFont="1"/>
    <xf numFmtId="17" fontId="47" fillId="0" borderId="0" xfId="0" applyNumberFormat="1" applyFont="1" applyBorder="1" applyAlignment="1">
      <alignment horizontal="right" vertical="center"/>
    </xf>
    <xf numFmtId="43" fontId="47" fillId="7" borderId="0" xfId="1" applyFont="1" applyFill="1" applyBorder="1"/>
    <xf numFmtId="177" fontId="47" fillId="0" borderId="0" xfId="1" applyNumberFormat="1" applyFont="1" applyBorder="1" applyAlignment="1">
      <alignment horizontal="center" wrapText="1"/>
    </xf>
    <xf numFmtId="177" fontId="82" fillId="0" borderId="12" xfId="1" applyNumberFormat="1" applyFont="1" applyBorder="1"/>
    <xf numFmtId="177" fontId="82" fillId="2" borderId="15" xfId="1" applyNumberFormat="1" applyFont="1" applyFill="1" applyBorder="1" applyAlignment="1">
      <alignment horizontal="center" vertical="center" wrapText="1"/>
    </xf>
    <xf numFmtId="43" fontId="47" fillId="21" borderId="47" xfId="1" applyFont="1" applyFill="1" applyBorder="1"/>
    <xf numFmtId="0" fontId="54" fillId="0" borderId="12" xfId="127" applyFont="1" applyBorder="1"/>
    <xf numFmtId="0" fontId="54" fillId="0" borderId="15" xfId="127" applyFont="1" applyBorder="1"/>
    <xf numFmtId="43" fontId="47" fillId="0" borderId="12" xfId="1" applyFont="1" applyBorder="1" applyAlignment="1">
      <alignment horizontal="left" vertical="center"/>
    </xf>
    <xf numFmtId="0" fontId="48" fillId="0" borderId="33" xfId="0" applyFont="1" applyBorder="1" applyAlignment="1">
      <alignment horizontal="left" vertical="center"/>
    </xf>
    <xf numFmtId="0" fontId="77" fillId="0" borderId="47" xfId="118" applyFont="1" applyBorder="1" applyAlignment="1">
      <alignment horizontal="left" vertical="top"/>
    </xf>
    <xf numFmtId="0" fontId="77" fillId="0" borderId="47" xfId="118" applyFont="1" applyBorder="1" applyAlignment="1">
      <alignment horizontal="center" vertical="center"/>
    </xf>
    <xf numFmtId="0" fontId="77" fillId="0" borderId="12" xfId="118" applyFont="1" applyBorder="1" applyAlignment="1">
      <alignment horizontal="left" vertical="top"/>
    </xf>
    <xf numFmtId="0" fontId="77" fillId="0" borderId="12" xfId="118" applyFont="1" applyBorder="1" applyAlignment="1">
      <alignment horizontal="center" vertical="center"/>
    </xf>
    <xf numFmtId="14" fontId="47" fillId="0" borderId="12" xfId="1" applyNumberFormat="1" applyFont="1" applyBorder="1" applyAlignment="1">
      <alignment horizontal="center" vertical="center"/>
    </xf>
    <xf numFmtId="0" fontId="47" fillId="0" borderId="15" xfId="0" applyFont="1" applyBorder="1" applyAlignment="1">
      <alignment horizontal="left" vertical="center"/>
    </xf>
    <xf numFmtId="14" fontId="47" fillId="0" borderId="15" xfId="1" applyNumberFormat="1" applyFont="1" applyBorder="1" applyAlignment="1">
      <alignment horizontal="center" vertical="center"/>
    </xf>
    <xf numFmtId="0" fontId="48" fillId="0" borderId="46" xfId="0" applyFont="1" applyBorder="1" applyAlignment="1">
      <alignment horizontal="left" vertical="center"/>
    </xf>
    <xf numFmtId="0" fontId="48" fillId="0" borderId="46" xfId="0" applyFont="1" applyBorder="1" applyAlignment="1">
      <alignment horizontal="center" vertical="center"/>
    </xf>
    <xf numFmtId="0" fontId="47" fillId="0" borderId="47" xfId="0" applyFont="1" applyBorder="1" applyAlignment="1">
      <alignment horizontal="left" vertical="center"/>
    </xf>
    <xf numFmtId="14" fontId="47" fillId="0" borderId="47" xfId="1" applyNumberFormat="1" applyFont="1" applyBorder="1" applyAlignment="1">
      <alignment horizontal="center" vertical="center"/>
    </xf>
    <xf numFmtId="0" fontId="47" fillId="0" borderId="46" xfId="0" applyFont="1" applyBorder="1" applyAlignment="1">
      <alignment horizontal="left" vertical="center"/>
    </xf>
    <xf numFmtId="0" fontId="47" fillId="0" borderId="46" xfId="0" applyFont="1" applyBorder="1" applyAlignment="1">
      <alignment horizontal="center" vertical="center"/>
    </xf>
    <xf numFmtId="14" fontId="47" fillId="0" borderId="46" xfId="1" applyNumberFormat="1" applyFont="1" applyBorder="1" applyAlignment="1">
      <alignment horizontal="center" vertical="center"/>
    </xf>
    <xf numFmtId="0" fontId="47" fillId="7" borderId="12" xfId="0" applyFont="1" applyFill="1" applyBorder="1" applyAlignment="1">
      <alignment horizontal="left" vertical="center"/>
    </xf>
    <xf numFmtId="0" fontId="47" fillId="7" borderId="12" xfId="0" applyFont="1" applyFill="1" applyBorder="1" applyAlignment="1">
      <alignment horizontal="center" vertical="center"/>
    </xf>
    <xf numFmtId="43" fontId="47" fillId="7" borderId="12" xfId="1" applyFont="1" applyFill="1" applyBorder="1" applyAlignment="1">
      <alignment horizontal="center" vertical="center"/>
    </xf>
    <xf numFmtId="14" fontId="47" fillId="7" borderId="12" xfId="1" applyNumberFormat="1" applyFont="1" applyFill="1" applyBorder="1" applyAlignment="1">
      <alignment horizontal="center" vertical="center"/>
    </xf>
    <xf numFmtId="164" fontId="54" fillId="0" borderId="0" xfId="104" applyNumberFormat="1" applyFont="1"/>
    <xf numFmtId="43" fontId="48" fillId="0" borderId="0" xfId="103" applyFont="1" applyBorder="1"/>
    <xf numFmtId="43" fontId="48" fillId="0" borderId="52" xfId="103" applyFont="1" applyBorder="1"/>
    <xf numFmtId="43" fontId="47" fillId="0" borderId="9" xfId="103" applyFont="1" applyBorder="1"/>
    <xf numFmtId="0" fontId="54" fillId="0" borderId="12" xfId="104" applyFont="1" applyBorder="1"/>
    <xf numFmtId="0" fontId="55" fillId="0" borderId="46" xfId="104" applyFont="1" applyBorder="1" applyAlignment="1">
      <alignment horizontal="center" vertical="center"/>
    </xf>
    <xf numFmtId="43" fontId="48" fillId="0" borderId="46" xfId="103" applyFont="1" applyBorder="1" applyAlignment="1">
      <alignment horizontal="left" vertical="center"/>
    </xf>
    <xf numFmtId="43" fontId="54" fillId="0" borderId="0" xfId="57" applyFont="1" applyAlignment="1">
      <alignment horizontal="center" vertical="center"/>
    </xf>
    <xf numFmtId="2" fontId="54" fillId="0" borderId="0" xfId="57" applyNumberFormat="1" applyFont="1" applyAlignment="1">
      <alignment horizontal="right" vertical="center"/>
    </xf>
    <xf numFmtId="0" fontId="54" fillId="0" borderId="0" xfId="104" applyFont="1" applyAlignment="1">
      <alignment horizontal="right" vertical="center"/>
    </xf>
    <xf numFmtId="43" fontId="48" fillId="0" borderId="52" xfId="103" applyFont="1" applyFill="1" applyBorder="1"/>
    <xf numFmtId="43" fontId="48" fillId="0" borderId="52" xfId="103" applyFont="1" applyFill="1" applyBorder="1" applyAlignment="1">
      <alignment horizontal="center" vertical="center"/>
    </xf>
    <xf numFmtId="0" fontId="54" fillId="0" borderId="9" xfId="104" applyFont="1" applyBorder="1"/>
    <xf numFmtId="44" fontId="47" fillId="0" borderId="9" xfId="105" applyFont="1" applyBorder="1"/>
    <xf numFmtId="44" fontId="54" fillId="0" borderId="9" xfId="105" applyFont="1" applyBorder="1"/>
    <xf numFmtId="43" fontId="48" fillId="0" borderId="48" xfId="103" applyFont="1" applyFill="1" applyBorder="1"/>
    <xf numFmtId="0" fontId="55" fillId="0" borderId="54" xfId="104" applyFont="1" applyBorder="1"/>
    <xf numFmtId="2" fontId="54" fillId="0" borderId="0" xfId="104" applyNumberFormat="1" applyFont="1" applyAlignment="1">
      <alignment horizontal="center" vertical="center"/>
    </xf>
    <xf numFmtId="43" fontId="47" fillId="0" borderId="12" xfId="103" applyFont="1" applyFill="1" applyBorder="1"/>
    <xf numFmtId="44" fontId="54" fillId="0" borderId="13" xfId="105" applyFont="1" applyBorder="1"/>
    <xf numFmtId="0" fontId="47" fillId="0" borderId="12" xfId="104" applyFont="1" applyBorder="1"/>
    <xf numFmtId="0" fontId="47" fillId="0" borderId="12" xfId="104" applyFont="1" applyBorder="1" applyAlignment="1">
      <alignment horizontal="center"/>
    </xf>
    <xf numFmtId="44" fontId="47" fillId="0" borderId="13" xfId="105" applyFont="1" applyBorder="1"/>
    <xf numFmtId="43" fontId="55" fillId="0" borderId="0" xfId="103" applyFont="1" applyFill="1"/>
    <xf numFmtId="43" fontId="55" fillId="0" borderId="0" xfId="103" applyFont="1"/>
    <xf numFmtId="179" fontId="54" fillId="0" borderId="0" xfId="104" applyNumberFormat="1" applyFont="1" applyAlignment="1">
      <alignment horizontal="center" vertical="center"/>
    </xf>
    <xf numFmtId="43" fontId="47" fillId="0" borderId="47" xfId="103" applyFont="1" applyFill="1" applyBorder="1"/>
    <xf numFmtId="44" fontId="47" fillId="0" borderId="12" xfId="105" applyFont="1" applyFill="1" applyBorder="1"/>
    <xf numFmtId="44" fontId="47" fillId="0" borderId="47" xfId="105" applyFont="1" applyFill="1" applyBorder="1"/>
    <xf numFmtId="43" fontId="47" fillId="0" borderId="15" xfId="103" applyFont="1" applyFill="1" applyBorder="1"/>
    <xf numFmtId="2" fontId="54" fillId="0" borderId="47" xfId="57" applyNumberFormat="1" applyFont="1" applyBorder="1"/>
    <xf numFmtId="2" fontId="54" fillId="0" borderId="12" xfId="57" applyNumberFormat="1" applyFont="1" applyBorder="1"/>
    <xf numFmtId="0" fontId="47" fillId="0" borderId="9" xfId="8" applyFont="1" applyBorder="1" applyAlignment="1">
      <alignment horizontal="center" vertical="center"/>
    </xf>
    <xf numFmtId="177" fontId="56" fillId="0" borderId="9" xfId="1" applyNumberFormat="1" applyFont="1" applyFill="1" applyBorder="1" applyAlignment="1">
      <alignment horizontal="center" vertical="center" wrapText="1"/>
    </xf>
    <xf numFmtId="177" fontId="48" fillId="0" borderId="65" xfId="1" applyNumberFormat="1" applyFont="1" applyFill="1" applyBorder="1" applyAlignment="1">
      <alignment horizontal="center" vertical="center"/>
    </xf>
    <xf numFmtId="0" fontId="47" fillId="0" borderId="76" xfId="0" applyFont="1" applyBorder="1" applyAlignment="1">
      <alignment horizontal="center" vertical="center"/>
    </xf>
    <xf numFmtId="43" fontId="47" fillId="0" borderId="76" xfId="1" applyFont="1" applyBorder="1"/>
    <xf numFmtId="0" fontId="47" fillId="0" borderId="77" xfId="0" applyFont="1" applyBorder="1"/>
    <xf numFmtId="43" fontId="48" fillId="0" borderId="55" xfId="103" applyFont="1" applyBorder="1" applyAlignment="1">
      <alignment horizontal="center" vertical="center"/>
    </xf>
    <xf numFmtId="177" fontId="54" fillId="0" borderId="54" xfId="1" applyNumberFormat="1" applyFont="1" applyBorder="1"/>
    <xf numFmtId="177" fontId="48" fillId="2" borderId="12" xfId="1" applyNumberFormat="1" applyFont="1" applyFill="1" applyBorder="1"/>
    <xf numFmtId="0" fontId="47" fillId="0" borderId="13" xfId="0" applyFont="1" applyBorder="1" applyAlignment="1">
      <alignment horizontal="center" vertical="center"/>
    </xf>
    <xf numFmtId="43" fontId="54" fillId="0" borderId="52" xfId="1" applyFont="1" applyBorder="1" applyAlignment="1">
      <alignment horizontal="center" vertical="center"/>
    </xf>
    <xf numFmtId="177" fontId="49" fillId="2" borderId="12" xfId="1" applyNumberFormat="1" applyFont="1" applyFill="1" applyBorder="1" applyAlignment="1">
      <alignment horizontal="center" vertical="center" wrapText="1"/>
    </xf>
    <xf numFmtId="0" fontId="48" fillId="0" borderId="74" xfId="0" applyFont="1" applyBorder="1"/>
    <xf numFmtId="0" fontId="47" fillId="0" borderId="55" xfId="0" applyFont="1" applyBorder="1" applyAlignment="1">
      <alignment horizontal="center" vertical="center"/>
    </xf>
    <xf numFmtId="0" fontId="47" fillId="0" borderId="75" xfId="0" applyFont="1" applyBorder="1"/>
    <xf numFmtId="0" fontId="47" fillId="0" borderId="0" xfId="1" applyNumberFormat="1" applyFont="1" applyAlignment="1">
      <alignment vertical="center" wrapText="1"/>
    </xf>
    <xf numFmtId="0" fontId="48" fillId="0" borderId="0" xfId="1" applyNumberFormat="1" applyFont="1" applyAlignment="1">
      <alignment vertical="center"/>
    </xf>
    <xf numFmtId="0" fontId="48" fillId="0" borderId="54" xfId="1" applyNumberFormat="1" applyFont="1" applyBorder="1" applyAlignment="1">
      <alignment horizontal="center" vertical="center" wrapText="1"/>
    </xf>
    <xf numFmtId="0" fontId="48" fillId="0" borderId="52" xfId="1" applyNumberFormat="1" applyFont="1" applyBorder="1" applyAlignment="1">
      <alignment vertical="center" wrapText="1"/>
    </xf>
    <xf numFmtId="0" fontId="47" fillId="0" borderId="47" xfId="1" applyNumberFormat="1" applyFont="1" applyBorder="1" applyAlignment="1">
      <alignment vertical="top" wrapText="1"/>
    </xf>
    <xf numFmtId="0" fontId="47" fillId="0" borderId="12" xfId="1" applyNumberFormat="1" applyFont="1" applyBorder="1" applyAlignment="1">
      <alignment vertical="top" wrapText="1"/>
    </xf>
    <xf numFmtId="0" fontId="47" fillId="0" borderId="15" xfId="1" applyNumberFormat="1" applyFont="1" applyBorder="1" applyAlignment="1">
      <alignment vertical="top" wrapText="1"/>
    </xf>
    <xf numFmtId="0" fontId="47" fillId="0" borderId="11" xfId="1" applyNumberFormat="1" applyFont="1" applyBorder="1" applyAlignment="1">
      <alignment horizontal="left"/>
    </xf>
    <xf numFmtId="0" fontId="47" fillId="0" borderId="11" xfId="1" applyNumberFormat="1" applyFont="1" applyBorder="1" applyAlignment="1">
      <alignment vertical="top" wrapText="1"/>
    </xf>
    <xf numFmtId="0" fontId="54" fillId="0" borderId="47" xfId="1" applyNumberFormat="1" applyFont="1" applyBorder="1" applyAlignment="1">
      <alignment vertical="center" wrapText="1"/>
    </xf>
    <xf numFmtId="0" fontId="54" fillId="0" borderId="12" xfId="1" applyNumberFormat="1" applyFont="1" applyBorder="1" applyAlignment="1">
      <alignment vertical="center" wrapText="1"/>
    </xf>
    <xf numFmtId="0" fontId="47" fillId="0" borderId="12" xfId="1" applyNumberFormat="1" applyFont="1" applyBorder="1" applyAlignment="1">
      <alignment horizontal="left"/>
    </xf>
    <xf numFmtId="0" fontId="47" fillId="0" borderId="12" xfId="1" applyNumberFormat="1" applyFont="1" applyBorder="1" applyAlignment="1">
      <alignment vertical="center" wrapText="1"/>
    </xf>
    <xf numFmtId="0" fontId="47" fillId="0" borderId="12" xfId="1" applyNumberFormat="1" applyFont="1" applyBorder="1" applyAlignment="1">
      <alignment vertical="top"/>
    </xf>
    <xf numFmtId="0" fontId="47" fillId="0" borderId="47" xfId="1" applyNumberFormat="1" applyFont="1" applyBorder="1" applyAlignment="1">
      <alignment vertical="center" wrapText="1"/>
    </xf>
    <xf numFmtId="0" fontId="47" fillId="13" borderId="47" xfId="1" applyNumberFormat="1" applyFont="1" applyFill="1" applyBorder="1" applyAlignment="1">
      <alignment vertical="top" wrapText="1"/>
    </xf>
    <xf numFmtId="0" fontId="47" fillId="13" borderId="12" xfId="1" applyNumberFormat="1" applyFont="1" applyFill="1" applyBorder="1" applyAlignment="1">
      <alignment vertical="top"/>
    </xf>
    <xf numFmtId="0" fontId="47" fillId="0" borderId="12" xfId="1" applyNumberFormat="1" applyFont="1" applyBorder="1" applyAlignment="1">
      <alignment horizontal="left" vertical="top" wrapText="1"/>
    </xf>
    <xf numFmtId="0" fontId="47" fillId="0" borderId="9" xfId="1" applyNumberFormat="1" applyFont="1" applyBorder="1" applyAlignment="1">
      <alignment vertical="top" wrapText="1"/>
    </xf>
    <xf numFmtId="0" fontId="47" fillId="0" borderId="15" xfId="1" applyNumberFormat="1" applyFont="1" applyBorder="1" applyAlignment="1">
      <alignment vertical="center"/>
    </xf>
    <xf numFmtId="0" fontId="48" fillId="0" borderId="52" xfId="1" applyNumberFormat="1" applyFont="1" applyBorder="1" applyAlignment="1">
      <alignment vertical="center"/>
    </xf>
    <xf numFmtId="0" fontId="47" fillId="0" borderId="47" xfId="1" applyNumberFormat="1" applyFont="1" applyBorder="1"/>
    <xf numFmtId="0" fontId="47" fillId="0" borderId="12" xfId="1" applyNumberFormat="1" applyFont="1" applyBorder="1"/>
    <xf numFmtId="0" fontId="47" fillId="0" borderId="47" xfId="1" applyNumberFormat="1" applyFont="1" applyBorder="1" applyAlignment="1">
      <alignment horizontal="left" vertical="center" wrapText="1"/>
    </xf>
    <xf numFmtId="0" fontId="47" fillId="0" borderId="12" xfId="1" applyNumberFormat="1" applyFont="1" applyBorder="1" applyAlignment="1">
      <alignment horizontal="left" vertical="center" wrapText="1"/>
    </xf>
    <xf numFmtId="0" fontId="54" fillId="0" borderId="15" xfId="1" applyNumberFormat="1" applyFont="1" applyBorder="1" applyAlignment="1">
      <alignment vertical="center" wrapText="1"/>
    </xf>
    <xf numFmtId="0" fontId="54" fillId="0" borderId="47" xfId="1" applyNumberFormat="1" applyFont="1" applyBorder="1"/>
    <xf numFmtId="0" fontId="54" fillId="0" borderId="12" xfId="1" applyNumberFormat="1" applyFont="1" applyBorder="1"/>
    <xf numFmtId="0" fontId="54" fillId="0" borderId="15" xfId="1" applyNumberFormat="1" applyFont="1" applyBorder="1"/>
    <xf numFmtId="0" fontId="47" fillId="0" borderId="46" xfId="1" applyNumberFormat="1" applyFont="1" applyBorder="1" applyAlignment="1">
      <alignment vertical="top" wrapText="1"/>
    </xf>
    <xf numFmtId="0" fontId="47" fillId="0" borderId="12" xfId="1" applyNumberFormat="1" applyFont="1" applyBorder="1" applyAlignment="1">
      <alignment horizontal="left" vertical="center"/>
    </xf>
    <xf numFmtId="0" fontId="47" fillId="0" borderId="15" xfId="1" applyNumberFormat="1" applyFont="1" applyBorder="1" applyAlignment="1">
      <alignment horizontal="left" vertical="center"/>
    </xf>
    <xf numFmtId="0" fontId="55" fillId="0" borderId="52" xfId="1" applyNumberFormat="1" applyFont="1" applyBorder="1"/>
    <xf numFmtId="0" fontId="95" fillId="0" borderId="0" xfId="1" applyNumberFormat="1" applyFont="1" applyAlignment="1">
      <alignment horizontal="left" vertical="top" wrapText="1"/>
    </xf>
    <xf numFmtId="0" fontId="55" fillId="0" borderId="0" xfId="1" applyNumberFormat="1" applyFont="1"/>
    <xf numFmtId="43" fontId="55" fillId="0" borderId="0" xfId="1" applyFont="1" applyFill="1" applyBorder="1"/>
    <xf numFmtId="0" fontId="47" fillId="0" borderId="12" xfId="118" applyFont="1" applyBorder="1" applyAlignment="1">
      <alignment horizontal="left" vertical="top"/>
    </xf>
    <xf numFmtId="14" fontId="47" fillId="0" borderId="13" xfId="0" applyNumberFormat="1" applyFont="1" applyBorder="1"/>
    <xf numFmtId="43" fontId="64" fillId="0" borderId="47" xfId="1" applyFont="1" applyBorder="1" applyAlignment="1">
      <alignment horizontal="left" vertical="top"/>
    </xf>
    <xf numFmtId="43" fontId="64" fillId="0" borderId="12" xfId="1" applyFont="1" applyBorder="1" applyAlignment="1">
      <alignment horizontal="left" vertical="top"/>
    </xf>
    <xf numFmtId="43" fontId="94" fillId="0" borderId="12" xfId="1" applyFont="1" applyBorder="1" applyAlignment="1">
      <alignment horizontal="left" vertical="top"/>
    </xf>
    <xf numFmtId="43" fontId="64" fillId="0" borderId="15" xfId="1" applyFont="1" applyBorder="1" applyAlignment="1">
      <alignment horizontal="left" vertical="top"/>
    </xf>
    <xf numFmtId="0" fontId="64" fillId="0" borderId="15" xfId="118" applyFont="1" applyBorder="1" applyAlignment="1">
      <alignment horizontal="center" vertical="center"/>
    </xf>
    <xf numFmtId="43" fontId="47" fillId="19" borderId="48" xfId="1" applyFont="1" applyFill="1" applyBorder="1"/>
    <xf numFmtId="43" fontId="44" fillId="0" borderId="52" xfId="1" applyFont="1" applyBorder="1" applyAlignment="1">
      <alignment horizontal="center" vertical="center"/>
    </xf>
    <xf numFmtId="43" fontId="54" fillId="0" borderId="54" xfId="1" applyFont="1" applyBorder="1"/>
    <xf numFmtId="43" fontId="47" fillId="0" borderId="0" xfId="52" applyFont="1" applyFill="1"/>
    <xf numFmtId="180" fontId="47" fillId="0" borderId="0" xfId="1" applyNumberFormat="1" applyFont="1" applyFill="1"/>
    <xf numFmtId="43" fontId="47" fillId="0" borderId="0" xfId="11" applyNumberFormat="1" applyFont="1" applyFill="1"/>
    <xf numFmtId="43" fontId="47" fillId="0" borderId="52" xfId="1" applyFont="1" applyFill="1" applyBorder="1" applyAlignment="1">
      <alignment vertical="center" wrapText="1"/>
    </xf>
    <xf numFmtId="43" fontId="48" fillId="0" borderId="46" xfId="1" applyFont="1" applyBorder="1" applyAlignment="1">
      <alignment wrapText="1"/>
    </xf>
    <xf numFmtId="177" fontId="47" fillId="0" borderId="52" xfId="1" applyNumberFormat="1" applyFont="1" applyBorder="1" applyAlignment="1">
      <alignment horizontal="center" vertical="center"/>
    </xf>
    <xf numFmtId="177" fontId="60" fillId="0" borderId="52" xfId="1" applyNumberFormat="1" applyFont="1" applyBorder="1"/>
    <xf numFmtId="0" fontId="47" fillId="0" borderId="12" xfId="1" applyNumberFormat="1" applyFont="1" applyBorder="1" applyAlignment="1">
      <alignment vertical="center"/>
    </xf>
    <xf numFmtId="14" fontId="47" fillId="0" borderId="47" xfId="0" applyNumberFormat="1" applyFont="1" applyBorder="1" applyAlignment="1">
      <alignment horizontal="center" vertical="center"/>
    </xf>
    <xf numFmtId="43" fontId="55" fillId="0" borderId="48" xfId="1" applyFont="1" applyFill="1" applyBorder="1" applyAlignment="1">
      <alignment horizontal="center" vertical="center"/>
    </xf>
    <xf numFmtId="0" fontId="54" fillId="0" borderId="52" xfId="8" applyFont="1" applyBorder="1"/>
    <xf numFmtId="177" fontId="92" fillId="0" borderId="47" xfId="1" applyNumberFormat="1" applyFont="1" applyFill="1" applyBorder="1" applyAlignment="1">
      <alignment horizontal="center" vertical="center"/>
    </xf>
    <xf numFmtId="177" fontId="92" fillId="0" borderId="15" xfId="1" applyNumberFormat="1" applyFont="1" applyFill="1" applyBorder="1" applyAlignment="1">
      <alignment horizontal="center" vertical="center"/>
    </xf>
    <xf numFmtId="0" fontId="47" fillId="0" borderId="15" xfId="1" applyNumberFormat="1" applyFont="1" applyBorder="1" applyAlignment="1">
      <alignment vertical="center" wrapText="1"/>
    </xf>
    <xf numFmtId="177" fontId="55" fillId="0" borderId="52" xfId="1" applyNumberFormat="1" applyFont="1" applyBorder="1" applyAlignment="1">
      <alignment horizontal="center" vertical="center"/>
    </xf>
    <xf numFmtId="0" fontId="47" fillId="0" borderId="76" xfId="2" applyFont="1" applyBorder="1" applyAlignment="1">
      <alignment horizontal="center" vertical="center" wrapText="1"/>
    </xf>
    <xf numFmtId="177" fontId="47" fillId="0" borderId="76" xfId="1" applyNumberFormat="1" applyFont="1" applyFill="1" applyBorder="1" applyAlignment="1">
      <alignment horizontal="center" vertical="center" wrapText="1"/>
    </xf>
    <xf numFmtId="177" fontId="60" fillId="0" borderId="76" xfId="1" applyNumberFormat="1" applyFont="1" applyFill="1" applyBorder="1" applyAlignment="1">
      <alignment horizontal="center" vertical="center" wrapText="1"/>
    </xf>
    <xf numFmtId="177" fontId="47" fillId="0" borderId="9" xfId="1" applyNumberFormat="1" applyFont="1" applyFill="1" applyBorder="1" applyAlignment="1">
      <alignment horizontal="center" vertical="center" wrapText="1"/>
    </xf>
    <xf numFmtId="0" fontId="96" fillId="0" borderId="0" xfId="128" applyBorder="1"/>
    <xf numFmtId="43" fontId="54" fillId="0" borderId="12" xfId="1" applyFont="1" applyBorder="1" applyAlignment="1">
      <alignment horizontal="left" vertical="center"/>
    </xf>
    <xf numFmtId="43" fontId="54" fillId="0" borderId="15" xfId="1" applyFont="1" applyBorder="1" applyAlignment="1">
      <alignment horizontal="left" vertical="center"/>
    </xf>
    <xf numFmtId="0" fontId="54" fillId="0" borderId="12" xfId="104" applyFont="1" applyBorder="1" applyAlignment="1">
      <alignment horizontal="center" vertical="center"/>
    </xf>
    <xf numFmtId="43" fontId="47" fillId="11" borderId="47" xfId="1" applyFont="1" applyFill="1" applyBorder="1"/>
    <xf numFmtId="43" fontId="47" fillId="11" borderId="12" xfId="1" applyFont="1" applyFill="1" applyBorder="1"/>
    <xf numFmtId="43" fontId="47" fillId="11" borderId="15" xfId="1" applyFont="1" applyFill="1" applyBorder="1"/>
    <xf numFmtId="43" fontId="54" fillId="11" borderId="47" xfId="1" applyFont="1" applyFill="1" applyBorder="1"/>
    <xf numFmtId="43" fontId="47" fillId="0" borderId="3" xfId="1" applyFont="1" applyBorder="1" applyAlignment="1">
      <alignment horizontal="center" vertical="center"/>
    </xf>
    <xf numFmtId="43" fontId="47" fillId="0" borderId="3" xfId="1" applyFont="1" applyBorder="1" applyAlignment="1">
      <alignment horizontal="left" vertical="center"/>
    </xf>
    <xf numFmtId="43" fontId="54" fillId="0" borderId="3" xfId="73" applyFont="1" applyBorder="1" applyAlignment="1">
      <alignment horizontal="center" vertical="center"/>
    </xf>
    <xf numFmtId="43" fontId="47" fillId="0" borderId="0" xfId="73" applyFont="1" applyBorder="1"/>
    <xf numFmtId="43" fontId="47" fillId="0" borderId="0" xfId="73" applyFont="1" applyFill="1" applyBorder="1"/>
    <xf numFmtId="43" fontId="47" fillId="0" borderId="0" xfId="73" applyFont="1"/>
    <xf numFmtId="0" fontId="47" fillId="0" borderId="54" xfId="0" applyFont="1" applyBorder="1" applyAlignment="1">
      <alignment horizontal="center" vertical="center"/>
    </xf>
    <xf numFmtId="14" fontId="47" fillId="0" borderId="54" xfId="0" applyNumberFormat="1" applyFont="1" applyBorder="1" applyAlignment="1">
      <alignment horizontal="center" vertical="center"/>
    </xf>
    <xf numFmtId="2" fontId="47" fillId="0" borderId="0" xfId="0" applyNumberFormat="1" applyFont="1" applyBorder="1" applyAlignment="1">
      <alignment horizontal="center" vertical="center"/>
    </xf>
    <xf numFmtId="17" fontId="47" fillId="0" borderId="0" xfId="0" applyNumberFormat="1" applyFont="1" applyBorder="1" applyAlignment="1">
      <alignment horizontal="center" vertical="center"/>
    </xf>
    <xf numFmtId="9" fontId="47" fillId="0" borderId="0" xfId="30" applyFont="1" applyBorder="1" applyAlignment="1">
      <alignment horizontal="center" vertical="center"/>
    </xf>
    <xf numFmtId="43" fontId="47" fillId="0" borderId="62" xfId="1" applyFont="1" applyFill="1" applyBorder="1" applyAlignment="1">
      <alignment horizontal="center" vertical="center"/>
    </xf>
    <xf numFmtId="43" fontId="47" fillId="0" borderId="22" xfId="1" applyFont="1" applyFill="1" applyBorder="1" applyAlignment="1">
      <alignment horizontal="center" vertical="center"/>
    </xf>
    <xf numFmtId="43" fontId="47" fillId="0" borderId="19" xfId="1" applyFont="1" applyFill="1" applyBorder="1" applyAlignment="1">
      <alignment horizontal="center" vertical="center"/>
    </xf>
    <xf numFmtId="43" fontId="47" fillId="0" borderId="20" xfId="1" applyFont="1" applyFill="1" applyBorder="1" applyAlignment="1">
      <alignment horizontal="center" vertical="center"/>
    </xf>
    <xf numFmtId="43" fontId="47" fillId="0" borderId="19" xfId="1" applyFont="1" applyBorder="1" applyAlignment="1">
      <alignment horizontal="center" vertical="center"/>
    </xf>
    <xf numFmtId="43" fontId="47" fillId="0" borderId="20" xfId="1" applyFont="1" applyBorder="1" applyAlignment="1">
      <alignment horizontal="center" vertical="center"/>
    </xf>
    <xf numFmtId="43" fontId="47" fillId="7" borderId="12" xfId="1" applyFont="1" applyFill="1" applyBorder="1" applyAlignment="1">
      <alignment horizontal="left" vertical="center" wrapText="1"/>
    </xf>
    <xf numFmtId="43" fontId="47" fillId="7" borderId="12" xfId="1" applyFont="1" applyFill="1" applyBorder="1" applyAlignment="1">
      <alignment horizontal="left" vertical="top" wrapText="1"/>
    </xf>
    <xf numFmtId="43" fontId="47" fillId="0" borderId="15" xfId="57" applyFont="1" applyFill="1" applyBorder="1"/>
    <xf numFmtId="43" fontId="48" fillId="0" borderId="15" xfId="57" applyFont="1" applyFill="1" applyBorder="1"/>
    <xf numFmtId="43" fontId="47" fillId="7" borderId="15" xfId="1" applyFont="1" applyFill="1" applyBorder="1" applyAlignment="1">
      <alignment horizontal="left" vertical="center" wrapText="1"/>
    </xf>
    <xf numFmtId="43" fontId="47" fillId="7" borderId="12" xfId="1" applyFont="1" applyFill="1" applyBorder="1" applyAlignment="1">
      <alignment horizontal="left" vertical="center"/>
    </xf>
    <xf numFmtId="165" fontId="47" fillId="0" borderId="0" xfId="123" applyFont="1" applyFill="1" applyBorder="1"/>
    <xf numFmtId="165" fontId="48" fillId="0" borderId="0" xfId="123" applyFont="1" applyFill="1" applyBorder="1"/>
    <xf numFmtId="0" fontId="48" fillId="0" borderId="0" xfId="0" applyFont="1" applyBorder="1"/>
    <xf numFmtId="9" fontId="47" fillId="0" borderId="0" xfId="58" applyFont="1" applyFill="1" applyBorder="1"/>
    <xf numFmtId="49" fontId="47" fillId="0" borderId="13" xfId="6" applyNumberFormat="1" applyFont="1" applyBorder="1" applyAlignment="1">
      <alignment horizontal="center" vertical="center"/>
    </xf>
    <xf numFmtId="177" fontId="47" fillId="0" borderId="13" xfId="1" applyNumberFormat="1" applyFont="1" applyFill="1" applyBorder="1" applyAlignment="1">
      <alignment horizontal="center" vertical="center"/>
    </xf>
    <xf numFmtId="0" fontId="55" fillId="0" borderId="0" xfId="104" applyFont="1" applyAlignment="1">
      <alignment horizontal="right" vertical="center"/>
    </xf>
    <xf numFmtId="14" fontId="55" fillId="0" borderId="0" xfId="104" applyNumberFormat="1" applyFont="1"/>
    <xf numFmtId="43" fontId="55" fillId="0" borderId="0" xfId="1" applyFont="1" applyAlignment="1">
      <alignment horizontal="center" vertical="center"/>
    </xf>
    <xf numFmtId="49" fontId="47" fillId="0" borderId="9" xfId="8" applyNumberFormat="1" applyFont="1" applyBorder="1" applyAlignment="1">
      <alignment horizontal="center" vertical="center"/>
    </xf>
    <xf numFmtId="0" fontId="47" fillId="0" borderId="9" xfId="1" applyNumberFormat="1" applyFont="1" applyFill="1" applyBorder="1" applyAlignment="1">
      <alignment horizontal="left" vertical="center"/>
    </xf>
    <xf numFmtId="0" fontId="47" fillId="0" borderId="47" xfId="1" applyNumberFormat="1" applyFont="1" applyFill="1" applyBorder="1" applyAlignment="1">
      <alignment horizontal="left" vertical="center"/>
    </xf>
    <xf numFmtId="2" fontId="54" fillId="0" borderId="12" xfId="1" applyNumberFormat="1" applyFont="1" applyFill="1" applyBorder="1" applyAlignment="1">
      <alignment horizontal="center" vertical="center"/>
    </xf>
    <xf numFmtId="2" fontId="47" fillId="0" borderId="12" xfId="1" applyNumberFormat="1" applyFont="1" applyFill="1" applyBorder="1" applyAlignment="1">
      <alignment horizontal="center" vertical="center" wrapText="1"/>
    </xf>
    <xf numFmtId="9" fontId="47" fillId="0" borderId="52" xfId="30" applyFont="1" applyFill="1" applyBorder="1" applyAlignment="1">
      <alignment horizontal="center" vertical="center" wrapText="1"/>
    </xf>
    <xf numFmtId="17" fontId="54" fillId="0" borderId="0" xfId="8" applyNumberFormat="1" applyFont="1"/>
    <xf numFmtId="0" fontId="47" fillId="0" borderId="15" xfId="1" applyNumberFormat="1" applyFont="1" applyFill="1" applyBorder="1" applyAlignment="1">
      <alignment horizontal="left" vertical="center" wrapText="1"/>
    </xf>
    <xf numFmtId="0" fontId="47" fillId="0" borderId="13" xfId="0" applyFont="1" applyBorder="1" applyAlignment="1">
      <alignment horizontal="left" vertical="center"/>
    </xf>
    <xf numFmtId="43" fontId="47" fillId="0" borderId="13" xfId="1" applyFont="1" applyBorder="1" applyAlignment="1">
      <alignment horizontal="center" vertical="center"/>
    </xf>
    <xf numFmtId="14" fontId="47" fillId="0" borderId="13" xfId="1" applyNumberFormat="1" applyFont="1" applyBorder="1" applyAlignment="1">
      <alignment horizontal="center" vertical="center"/>
    </xf>
    <xf numFmtId="43" fontId="47" fillId="0" borderId="54" xfId="1" applyFont="1" applyBorder="1" applyAlignment="1">
      <alignment horizontal="center" vertical="center"/>
    </xf>
    <xf numFmtId="177" fontId="54" fillId="0" borderId="0" xfId="1" applyNumberFormat="1" applyFont="1" applyBorder="1"/>
    <xf numFmtId="39" fontId="47" fillId="2" borderId="12" xfId="48" applyNumberFormat="1" applyFont="1" applyFill="1" applyBorder="1"/>
    <xf numFmtId="177" fontId="92" fillId="2" borderId="47" xfId="1" applyNumberFormat="1" applyFont="1" applyFill="1" applyBorder="1" applyAlignment="1">
      <alignment horizontal="center" vertical="center" wrapText="1"/>
    </xf>
    <xf numFmtId="43" fontId="48" fillId="0" borderId="55" xfId="1" applyFont="1" applyFill="1" applyBorder="1" applyAlignment="1">
      <alignment horizontal="center" vertical="center" wrapText="1"/>
    </xf>
    <xf numFmtId="0" fontId="55" fillId="0" borderId="0" xfId="1" applyNumberFormat="1" applyFont="1" applyBorder="1"/>
    <xf numFmtId="177" fontId="48" fillId="0" borderId="0" xfId="1" applyNumberFormat="1" applyFont="1" applyBorder="1" applyAlignment="1">
      <alignment horizontal="center" vertical="center"/>
    </xf>
    <xf numFmtId="177" fontId="47" fillId="0" borderId="0" xfId="1" applyNumberFormat="1" applyFont="1" applyBorder="1"/>
    <xf numFmtId="168" fontId="47" fillId="0" borderId="12" xfId="48" applyFont="1" applyBorder="1"/>
    <xf numFmtId="168" fontId="47" fillId="0" borderId="12" xfId="48" applyFont="1" applyBorder="1" applyAlignment="1">
      <alignment horizontal="left" vertical="center"/>
    </xf>
    <xf numFmtId="0" fontId="7" fillId="0" borderId="0" xfId="49" applyFont="1"/>
    <xf numFmtId="43" fontId="55" fillId="0" borderId="46" xfId="1" applyFont="1" applyBorder="1"/>
    <xf numFmtId="166" fontId="47" fillId="0" borderId="12" xfId="0" applyNumberFormat="1" applyFont="1" applyBorder="1"/>
    <xf numFmtId="166" fontId="47" fillId="2" borderId="12" xfId="0" applyNumberFormat="1" applyFont="1" applyFill="1" applyBorder="1"/>
    <xf numFmtId="43" fontId="47" fillId="0" borderId="19" xfId="1" applyFont="1" applyFill="1" applyBorder="1"/>
    <xf numFmtId="43" fontId="48" fillId="0" borderId="20" xfId="1" applyFont="1" applyFill="1" applyBorder="1"/>
    <xf numFmtId="43" fontId="47" fillId="0" borderId="20" xfId="1" applyFont="1" applyBorder="1"/>
    <xf numFmtId="43" fontId="47" fillId="0" borderId="20" xfId="1" applyFont="1" applyFill="1" applyBorder="1"/>
    <xf numFmtId="43" fontId="47" fillId="0" borderId="21" xfId="1" applyFont="1" applyFill="1" applyBorder="1"/>
    <xf numFmtId="43" fontId="47" fillId="0" borderId="76" xfId="1" applyFont="1" applyFill="1" applyBorder="1" applyAlignment="1">
      <alignment horizontal="center" vertical="center"/>
    </xf>
    <xf numFmtId="0" fontId="55" fillId="0" borderId="76" xfId="1" applyNumberFormat="1" applyFont="1" applyBorder="1" applyAlignment="1">
      <alignment vertical="center" wrapText="1"/>
    </xf>
    <xf numFmtId="0" fontId="55" fillId="0" borderId="55" xfId="1" applyNumberFormat="1" applyFont="1" applyFill="1" applyBorder="1" applyAlignment="1">
      <alignment vertical="center" wrapText="1"/>
    </xf>
    <xf numFmtId="43" fontId="47" fillId="0" borderId="55" xfId="43" applyFont="1" applyFill="1" applyBorder="1" applyAlignment="1">
      <alignment horizontal="center" vertical="center" wrapText="1"/>
    </xf>
    <xf numFmtId="177" fontId="47" fillId="0" borderId="55" xfId="1" applyNumberFormat="1" applyFont="1" applyFill="1" applyBorder="1" applyAlignment="1">
      <alignment horizontal="center" vertical="center" wrapText="1"/>
    </xf>
    <xf numFmtId="177" fontId="60" fillId="0" borderId="55" xfId="1" applyNumberFormat="1" applyFont="1" applyFill="1" applyBorder="1" applyAlignment="1">
      <alignment horizontal="center" vertical="center" wrapText="1"/>
    </xf>
    <xf numFmtId="177" fontId="48" fillId="0" borderId="55" xfId="1" applyNumberFormat="1" applyFont="1" applyFill="1" applyBorder="1" applyAlignment="1">
      <alignment horizontal="center" vertical="center" wrapText="1"/>
    </xf>
    <xf numFmtId="43" fontId="7" fillId="0" borderId="0" xfId="1" applyFont="1" applyBorder="1"/>
    <xf numFmtId="43" fontId="48" fillId="0" borderId="76" xfId="57" applyFont="1" applyBorder="1" applyAlignment="1">
      <alignment vertical="center"/>
    </xf>
    <xf numFmtId="43" fontId="48" fillId="0" borderId="76" xfId="103" applyFont="1" applyBorder="1" applyAlignment="1">
      <alignment horizontal="center" vertical="center"/>
    </xf>
    <xf numFmtId="0" fontId="55" fillId="0" borderId="76" xfId="104" applyFont="1" applyBorder="1" applyAlignment="1">
      <alignment horizontal="center" vertical="center"/>
    </xf>
    <xf numFmtId="43" fontId="48" fillId="0" borderId="74" xfId="103" applyFont="1" applyBorder="1"/>
    <xf numFmtId="0" fontId="54" fillId="0" borderId="75" xfId="104" applyFont="1" applyBorder="1"/>
    <xf numFmtId="0" fontId="47" fillId="0" borderId="0" xfId="31" applyFont="1" applyBorder="1"/>
    <xf numFmtId="0" fontId="48" fillId="0" borderId="0" xfId="31" applyFont="1" applyBorder="1"/>
    <xf numFmtId="165" fontId="47" fillId="0" borderId="0" xfId="123" applyFont="1" applyBorder="1" applyAlignment="1">
      <alignment horizontal="left" vertical="center"/>
    </xf>
    <xf numFmtId="0" fontId="47" fillId="0" borderId="0" xfId="31" applyFont="1" applyBorder="1" applyAlignment="1">
      <alignment horizontal="center" vertical="center"/>
    </xf>
    <xf numFmtId="165" fontId="48" fillId="0" borderId="0" xfId="0" applyNumberFormat="1" applyFont="1" applyBorder="1"/>
    <xf numFmtId="177" fontId="47" fillId="0" borderId="0" xfId="57" applyNumberFormat="1" applyFont="1"/>
    <xf numFmtId="177" fontId="57" fillId="0" borderId="55" xfId="1" applyNumberFormat="1" applyFont="1" applyFill="1" applyBorder="1" applyAlignment="1">
      <alignment horizontal="right"/>
    </xf>
    <xf numFmtId="177" fontId="57" fillId="0" borderId="55" xfId="1" applyNumberFormat="1" applyFont="1" applyFill="1" applyBorder="1"/>
    <xf numFmtId="177" fontId="55" fillId="0" borderId="55" xfId="1" applyNumberFormat="1" applyFont="1" applyFill="1" applyBorder="1"/>
    <xf numFmtId="39" fontId="47" fillId="0" borderId="47" xfId="48" applyNumberFormat="1" applyFont="1" applyFill="1" applyBorder="1"/>
    <xf numFmtId="165" fontId="55" fillId="0" borderId="0" xfId="41" applyNumberFormat="1" applyFont="1"/>
    <xf numFmtId="168" fontId="47" fillId="0" borderId="0" xfId="48" applyFont="1" applyAlignment="1">
      <alignment horizontal="center" vertical="center"/>
    </xf>
    <xf numFmtId="0" fontId="54" fillId="0" borderId="0" xfId="41" applyFont="1" applyAlignment="1">
      <alignment horizontal="center" vertical="center"/>
    </xf>
    <xf numFmtId="39" fontId="47" fillId="0" borderId="0" xfId="50" applyNumberFormat="1" applyFont="1" applyFill="1"/>
    <xf numFmtId="171" fontId="48" fillId="0" borderId="0" xfId="47" applyNumberFormat="1" applyFont="1" applyBorder="1" applyAlignment="1">
      <alignment horizontal="center" vertical="center" wrapText="1"/>
    </xf>
    <xf numFmtId="43" fontId="7" fillId="0" borderId="0" xfId="49" applyNumberFormat="1" applyFont="1" applyAlignment="1">
      <alignment horizontal="center" vertical="center"/>
    </xf>
    <xf numFmtId="39" fontId="47" fillId="0" borderId="12" xfId="48" applyNumberFormat="1" applyFont="1" applyFill="1" applyBorder="1"/>
    <xf numFmtId="166" fontId="47" fillId="0" borderId="47" xfId="0" applyNumberFormat="1" applyFont="1" applyBorder="1"/>
    <xf numFmtId="167" fontId="47" fillId="0" borderId="53" xfId="3" applyFont="1" applyBorder="1"/>
    <xf numFmtId="166" fontId="47" fillId="2" borderId="47" xfId="0" applyNumberFormat="1" applyFont="1" applyFill="1" applyBorder="1"/>
    <xf numFmtId="167" fontId="47" fillId="0" borderId="16" xfId="3" applyFont="1" applyBorder="1"/>
    <xf numFmtId="166" fontId="47" fillId="0" borderId="15" xfId="0" applyNumberFormat="1" applyFont="1" applyBorder="1"/>
    <xf numFmtId="167" fontId="47" fillId="0" borderId="18" xfId="3" applyFont="1" applyBorder="1"/>
    <xf numFmtId="166" fontId="47" fillId="2" borderId="15" xfId="0" applyNumberFormat="1" applyFont="1" applyFill="1" applyBorder="1"/>
    <xf numFmtId="166" fontId="47" fillId="0" borderId="52" xfId="0" applyNumberFormat="1" applyFont="1" applyBorder="1"/>
    <xf numFmtId="0" fontId="48" fillId="14" borderId="0" xfId="0" applyFont="1" applyFill="1" applyBorder="1" applyAlignment="1">
      <alignment horizontal="center" vertical="center"/>
    </xf>
    <xf numFmtId="17" fontId="48" fillId="2" borderId="0" xfId="0" applyNumberFormat="1" applyFont="1" applyFill="1" applyBorder="1" applyAlignment="1">
      <alignment horizontal="center" vertical="center"/>
    </xf>
    <xf numFmtId="0" fontId="48" fillId="15" borderId="46" xfId="0" applyFont="1" applyFill="1" applyBorder="1" applyAlignment="1">
      <alignment horizontal="left" vertical="center"/>
    </xf>
    <xf numFmtId="0" fontId="48" fillId="0" borderId="47" xfId="0" applyFont="1" applyBorder="1" applyAlignment="1">
      <alignment horizontal="left" vertical="center"/>
    </xf>
    <xf numFmtId="0" fontId="48" fillId="0" borderId="12" xfId="0" applyFont="1" applyBorder="1" applyAlignment="1">
      <alignment horizontal="left" vertical="center"/>
    </xf>
    <xf numFmtId="0" fontId="48" fillId="0" borderId="15" xfId="0" applyFont="1" applyBorder="1" applyAlignment="1">
      <alignment horizontal="left" vertical="center"/>
    </xf>
    <xf numFmtId="0" fontId="47" fillId="0" borderId="52" xfId="0" applyFont="1" applyBorder="1" applyAlignment="1">
      <alignment horizontal="left" vertical="center"/>
    </xf>
    <xf numFmtId="43" fontId="47" fillId="0" borderId="79" xfId="1" applyFont="1" applyBorder="1" applyAlignment="1">
      <alignment horizontal="center" vertical="center"/>
    </xf>
    <xf numFmtId="0" fontId="47" fillId="0" borderId="33" xfId="0" applyFont="1" applyBorder="1" applyAlignment="1">
      <alignment horizontal="left" vertical="center"/>
    </xf>
    <xf numFmtId="43" fontId="47" fillId="0" borderId="76" xfId="1" applyFont="1" applyBorder="1" applyAlignment="1">
      <alignment horizontal="center" vertical="center"/>
    </xf>
    <xf numFmtId="14" fontId="47" fillId="0" borderId="76" xfId="1" applyNumberFormat="1" applyFont="1" applyBorder="1" applyAlignment="1">
      <alignment horizontal="center" vertical="center"/>
    </xf>
    <xf numFmtId="43" fontId="47" fillId="0" borderId="77" xfId="1" applyFont="1" applyBorder="1" applyAlignment="1">
      <alignment horizontal="center" vertical="center"/>
    </xf>
    <xf numFmtId="43" fontId="47" fillId="0" borderId="13" xfId="1" applyFont="1" applyFill="1" applyBorder="1" applyAlignment="1">
      <alignment horizontal="center" vertical="center" wrapText="1"/>
    </xf>
    <xf numFmtId="43" fontId="48" fillId="0" borderId="0" xfId="1" applyFont="1" applyBorder="1" applyAlignment="1">
      <alignment horizontal="left" vertical="center"/>
    </xf>
    <xf numFmtId="0" fontId="54" fillId="0" borderId="13" xfId="8" applyFont="1" applyBorder="1" applyAlignment="1">
      <alignment horizontal="center" vertical="center"/>
    </xf>
    <xf numFmtId="177" fontId="54" fillId="0" borderId="13" xfId="1" applyNumberFormat="1" applyFont="1" applyFill="1" applyBorder="1" applyAlignment="1">
      <alignment horizontal="center" vertical="center"/>
    </xf>
    <xf numFmtId="43" fontId="55" fillId="2" borderId="0" xfId="1" applyFont="1" applyFill="1"/>
    <xf numFmtId="169" fontId="48" fillId="2" borderId="0" xfId="31" applyNumberFormat="1" applyFont="1" applyFill="1" applyBorder="1"/>
    <xf numFmtId="43" fontId="48" fillId="0" borderId="0" xfId="1" applyFont="1" applyFill="1" applyBorder="1" applyAlignment="1">
      <alignment horizontal="center" vertical="center"/>
    </xf>
    <xf numFmtId="43" fontId="57" fillId="3" borderId="52" xfId="1" applyFont="1" applyFill="1" applyBorder="1"/>
    <xf numFmtId="14" fontId="48" fillId="0" borderId="0" xfId="1" applyNumberFormat="1" applyFont="1" applyFill="1" applyBorder="1" applyAlignment="1">
      <alignment horizontal="right" vertical="center" wrapText="1"/>
    </xf>
    <xf numFmtId="39" fontId="47" fillId="0" borderId="9" xfId="50" applyNumberFormat="1" applyFont="1" applyFill="1" applyBorder="1"/>
    <xf numFmtId="0" fontId="54" fillId="0" borderId="13" xfId="1" applyNumberFormat="1" applyFont="1" applyBorder="1"/>
    <xf numFmtId="43" fontId="47" fillId="0" borderId="12" xfId="1" applyFont="1" applyBorder="1" applyAlignment="1">
      <alignment vertical="center" wrapText="1"/>
    </xf>
    <xf numFmtId="177" fontId="77" fillId="0" borderId="12" xfId="1" applyNumberFormat="1" applyFont="1" applyBorder="1" applyAlignment="1">
      <alignment horizontal="center" vertical="center" shrinkToFit="1"/>
    </xf>
    <xf numFmtId="43" fontId="47" fillId="0" borderId="47" xfId="1" applyFont="1" applyBorder="1" applyAlignment="1">
      <alignment vertical="center"/>
    </xf>
    <xf numFmtId="177" fontId="77" fillId="0" borderId="47" xfId="1" applyNumberFormat="1" applyFont="1" applyBorder="1" applyAlignment="1">
      <alignment horizontal="center" vertical="center" shrinkToFit="1"/>
    </xf>
    <xf numFmtId="43" fontId="47" fillId="0" borderId="74" xfId="1" applyFont="1" applyBorder="1"/>
    <xf numFmtId="43" fontId="47" fillId="0" borderId="2" xfId="1" applyFont="1" applyBorder="1"/>
    <xf numFmtId="43" fontId="48" fillId="0" borderId="2" xfId="1" applyFont="1" applyBorder="1"/>
    <xf numFmtId="0" fontId="54" fillId="0" borderId="12" xfId="1" applyNumberFormat="1" applyFont="1" applyBorder="1" applyAlignment="1">
      <alignment wrapText="1"/>
    </xf>
    <xf numFmtId="43" fontId="48" fillId="0" borderId="46" xfId="1" applyFont="1" applyBorder="1" applyAlignment="1">
      <alignment horizontal="left" vertical="center"/>
    </xf>
    <xf numFmtId="177" fontId="48" fillId="0" borderId="46" xfId="1" applyNumberFormat="1" applyFont="1" applyBorder="1" applyAlignment="1">
      <alignment horizontal="center" vertical="center"/>
    </xf>
    <xf numFmtId="43" fontId="47" fillId="0" borderId="13" xfId="1" applyFont="1" applyBorder="1"/>
    <xf numFmtId="9" fontId="47" fillId="0" borderId="0" xfId="30" applyFont="1" applyBorder="1" applyAlignment="1">
      <alignment horizontal="right" vertical="center"/>
    </xf>
    <xf numFmtId="0" fontId="47" fillId="0" borderId="0" xfId="0" applyFont="1" applyBorder="1" applyAlignment="1">
      <alignment horizontal="right" vertical="center"/>
    </xf>
    <xf numFmtId="177" fontId="77" fillId="0" borderId="15" xfId="1" applyNumberFormat="1" applyFont="1" applyBorder="1" applyAlignment="1">
      <alignment horizontal="center" vertical="center" shrinkToFit="1"/>
    </xf>
    <xf numFmtId="43" fontId="77" fillId="0" borderId="15" xfId="1" applyFont="1" applyBorder="1" applyAlignment="1">
      <alignment horizontal="center" vertical="center" shrinkToFit="1"/>
    </xf>
    <xf numFmtId="43" fontId="47" fillId="0" borderId="13" xfId="1" applyFont="1" applyBorder="1" applyAlignment="1">
      <alignment vertical="center"/>
    </xf>
    <xf numFmtId="177" fontId="77" fillId="0" borderId="13" xfId="1" applyNumberFormat="1" applyFont="1" applyBorder="1" applyAlignment="1">
      <alignment horizontal="center" vertical="center" shrinkToFit="1"/>
    </xf>
    <xf numFmtId="43" fontId="99" fillId="0" borderId="47" xfId="57" applyFont="1" applyBorder="1" applyAlignment="1">
      <alignment horizontal="left" vertical="center"/>
    </xf>
    <xf numFmtId="43" fontId="99" fillId="0" borderId="12" xfId="57" applyFont="1" applyBorder="1" applyAlignment="1">
      <alignment horizontal="left" vertical="center"/>
    </xf>
    <xf numFmtId="43" fontId="47" fillId="2" borderId="12" xfId="1" applyFont="1" applyFill="1" applyBorder="1"/>
    <xf numFmtId="43" fontId="47" fillId="2" borderId="47" xfId="1" applyFont="1" applyFill="1" applyBorder="1"/>
    <xf numFmtId="177" fontId="95" fillId="0" borderId="0" xfId="1" applyNumberFormat="1" applyFont="1" applyAlignment="1">
      <alignment horizontal="left" vertical="top" wrapText="1"/>
    </xf>
    <xf numFmtId="43" fontId="48" fillId="0" borderId="48" xfId="1" applyFont="1" applyBorder="1" applyAlignment="1">
      <alignment vertical="center"/>
    </xf>
    <xf numFmtId="43" fontId="77" fillId="0" borderId="52" xfId="1" applyFont="1" applyBorder="1" applyAlignment="1">
      <alignment horizontal="center" vertical="center" shrinkToFit="1"/>
    </xf>
    <xf numFmtId="177" fontId="52" fillId="0" borderId="0" xfId="1" applyNumberFormat="1" applyFont="1" applyBorder="1"/>
    <xf numFmtId="0" fontId="55" fillId="0" borderId="0" xfId="8" applyFont="1" applyAlignment="1">
      <alignment horizontal="center" vertical="center"/>
    </xf>
    <xf numFmtId="0" fontId="48" fillId="2" borderId="0" xfId="0" applyFont="1" applyFill="1" applyBorder="1"/>
    <xf numFmtId="43" fontId="48" fillId="2" borderId="54" xfId="1" applyFont="1" applyFill="1" applyBorder="1"/>
    <xf numFmtId="43" fontId="47" fillId="23" borderId="12" xfId="1" applyFont="1" applyFill="1" applyBorder="1"/>
    <xf numFmtId="43" fontId="47" fillId="23" borderId="12" xfId="1" applyFont="1" applyFill="1" applyBorder="1" applyAlignment="1">
      <alignment horizontal="center" vertical="center"/>
    </xf>
    <xf numFmtId="177" fontId="47" fillId="23" borderId="12" xfId="1" applyNumberFormat="1" applyFont="1" applyFill="1" applyBorder="1"/>
    <xf numFmtId="43" fontId="47" fillId="23" borderId="15" xfId="1" applyFont="1" applyFill="1" applyBorder="1"/>
    <xf numFmtId="43" fontId="47" fillId="23" borderId="15" xfId="1" applyFont="1" applyFill="1" applyBorder="1" applyAlignment="1">
      <alignment horizontal="center" vertical="center"/>
    </xf>
    <xf numFmtId="177" fontId="47" fillId="23" borderId="15" xfId="1" applyNumberFormat="1" applyFont="1" applyFill="1" applyBorder="1"/>
    <xf numFmtId="43" fontId="47" fillId="0" borderId="46" xfId="1" applyFont="1" applyBorder="1"/>
    <xf numFmtId="43" fontId="47" fillId="0" borderId="0" xfId="1" applyFont="1" applyBorder="1" applyAlignment="1">
      <alignment horizontal="left" vertical="center"/>
    </xf>
    <xf numFmtId="43" fontId="64" fillId="0" borderId="0" xfId="1" applyFont="1" applyFill="1" applyBorder="1"/>
    <xf numFmtId="43" fontId="47" fillId="0" borderId="0" xfId="1" applyFont="1" applyBorder="1" applyAlignment="1">
      <alignment vertical="center"/>
    </xf>
    <xf numFmtId="43" fontId="47" fillId="0" borderId="12" xfId="35" applyFont="1" applyBorder="1" applyAlignment="1">
      <alignment horizontal="center"/>
    </xf>
    <xf numFmtId="43" fontId="47" fillId="0" borderId="15" xfId="35" applyFont="1" applyBorder="1" applyAlignment="1">
      <alignment horizontal="center"/>
    </xf>
    <xf numFmtId="43" fontId="64" fillId="0" borderId="12" xfId="1" applyFont="1" applyFill="1" applyBorder="1" applyAlignment="1">
      <alignment horizontal="center" vertical="center"/>
    </xf>
    <xf numFmtId="43" fontId="47" fillId="0" borderId="12" xfId="57" applyFont="1" applyBorder="1" applyAlignment="1">
      <alignment horizontal="center" vertical="center"/>
    </xf>
    <xf numFmtId="49" fontId="47" fillId="0" borderId="9" xfId="6" applyNumberFormat="1" applyFont="1" applyBorder="1" applyAlignment="1">
      <alignment horizontal="center" vertical="center"/>
    </xf>
    <xf numFmtId="43" fontId="54" fillId="0" borderId="13" xfId="1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/>
    </xf>
    <xf numFmtId="177" fontId="48" fillId="8" borderId="46" xfId="1" applyNumberFormat="1" applyFont="1" applyFill="1" applyBorder="1" applyAlignment="1">
      <alignment horizontal="center" vertical="center" wrapText="1"/>
    </xf>
    <xf numFmtId="177" fontId="48" fillId="0" borderId="0" xfId="1" applyNumberFormat="1" applyFont="1" applyAlignment="1">
      <alignment horizontal="center" vertical="center" wrapText="1"/>
    </xf>
    <xf numFmtId="177" fontId="48" fillId="0" borderId="0" xfId="1" applyNumberFormat="1" applyFont="1" applyBorder="1" applyAlignment="1">
      <alignment horizontal="center" vertical="center" wrapText="1"/>
    </xf>
    <xf numFmtId="177" fontId="48" fillId="0" borderId="54" xfId="1" applyNumberFormat="1" applyFont="1" applyFill="1" applyBorder="1" applyAlignment="1">
      <alignment horizontal="center" vertical="center" wrapText="1"/>
    </xf>
    <xf numFmtId="177" fontId="54" fillId="0" borderId="47" xfId="1" applyNumberFormat="1" applyFont="1" applyBorder="1" applyAlignment="1">
      <alignment horizontal="center" vertical="center"/>
    </xf>
    <xf numFmtId="177" fontId="54" fillId="0" borderId="12" xfId="1" applyNumberFormat="1" applyFont="1" applyBorder="1" applyAlignment="1">
      <alignment horizontal="center" vertical="center"/>
    </xf>
    <xf numFmtId="177" fontId="48" fillId="0" borderId="0" xfId="1" applyNumberFormat="1" applyFont="1" applyAlignment="1">
      <alignment horizontal="center" vertical="center"/>
    </xf>
    <xf numFmtId="177" fontId="54" fillId="0" borderId="9" xfId="1" applyNumberFormat="1" applyFont="1" applyBorder="1" applyAlignment="1">
      <alignment horizontal="center" vertical="center"/>
    </xf>
    <xf numFmtId="177" fontId="54" fillId="0" borderId="14" xfId="1" applyNumberFormat="1" applyFont="1" applyBorder="1" applyAlignment="1">
      <alignment horizontal="center" vertical="center"/>
    </xf>
    <xf numFmtId="177" fontId="48" fillId="0" borderId="74" xfId="1" applyNumberFormat="1" applyFont="1" applyFill="1" applyBorder="1" applyAlignment="1">
      <alignment horizontal="center" vertical="center" wrapText="1"/>
    </xf>
    <xf numFmtId="177" fontId="55" fillId="0" borderId="2" xfId="1" applyNumberFormat="1" applyFont="1" applyBorder="1" applyAlignment="1">
      <alignment horizontal="center" vertical="center"/>
    </xf>
    <xf numFmtId="177" fontId="54" fillId="0" borderId="15" xfId="1" applyNumberFormat="1" applyFont="1" applyBorder="1" applyAlignment="1">
      <alignment horizontal="center" vertical="center"/>
    </xf>
    <xf numFmtId="177" fontId="55" fillId="0" borderId="0" xfId="1" applyNumberFormat="1" applyFont="1" applyFill="1" applyAlignment="1">
      <alignment horizontal="center" vertical="center"/>
    </xf>
    <xf numFmtId="177" fontId="54" fillId="0" borderId="55" xfId="1" applyNumberFormat="1" applyFont="1" applyBorder="1" applyAlignment="1">
      <alignment horizontal="center" vertical="center"/>
    </xf>
    <xf numFmtId="177" fontId="57" fillId="3" borderId="52" xfId="1" applyNumberFormat="1" applyFont="1" applyFill="1" applyBorder="1" applyAlignment="1">
      <alignment horizontal="center" vertical="center"/>
    </xf>
    <xf numFmtId="177" fontId="55" fillId="0" borderId="54" xfId="1" applyNumberFormat="1" applyFont="1" applyBorder="1" applyAlignment="1">
      <alignment horizontal="center" vertical="center"/>
    </xf>
    <xf numFmtId="177" fontId="57" fillId="0" borderId="55" xfId="1" applyNumberFormat="1" applyFont="1" applyFill="1" applyBorder="1" applyAlignment="1">
      <alignment horizontal="center" vertical="center"/>
    </xf>
    <xf numFmtId="177" fontId="55" fillId="0" borderId="55" xfId="1" applyNumberFormat="1" applyFont="1" applyFill="1" applyBorder="1" applyAlignment="1">
      <alignment horizontal="center" vertical="center"/>
    </xf>
    <xf numFmtId="177" fontId="55" fillId="0" borderId="0" xfId="1" applyNumberFormat="1" applyFont="1" applyFill="1" applyBorder="1" applyAlignment="1">
      <alignment horizontal="center" vertical="center"/>
    </xf>
    <xf numFmtId="177" fontId="55" fillId="0" borderId="0" xfId="1" applyNumberFormat="1" applyFont="1" applyBorder="1" applyAlignment="1">
      <alignment horizontal="center" vertical="center"/>
    </xf>
    <xf numFmtId="177" fontId="57" fillId="0" borderId="0" xfId="1" applyNumberFormat="1" applyFont="1" applyFill="1" applyBorder="1" applyAlignment="1">
      <alignment horizontal="center" vertical="center"/>
    </xf>
    <xf numFmtId="177" fontId="92" fillId="0" borderId="13" xfId="1" applyNumberFormat="1" applyFont="1" applyFill="1" applyBorder="1" applyAlignment="1">
      <alignment horizontal="center" vertical="center"/>
    </xf>
    <xf numFmtId="177" fontId="92" fillId="0" borderId="52" xfId="1" applyNumberFormat="1" applyFont="1" applyFill="1" applyBorder="1"/>
    <xf numFmtId="177" fontId="60" fillId="0" borderId="52" xfId="1" applyNumberFormat="1" applyFont="1" applyFill="1" applyBorder="1" applyAlignment="1">
      <alignment horizontal="center" vertical="center" wrapText="1"/>
    </xf>
    <xf numFmtId="177" fontId="54" fillId="0" borderId="52" xfId="1" applyNumberFormat="1" applyFont="1" applyFill="1" applyBorder="1" applyAlignment="1">
      <alignment horizontal="center" vertical="center"/>
    </xf>
    <xf numFmtId="177" fontId="54" fillId="0" borderId="15" xfId="1" applyNumberFormat="1" applyFont="1" applyFill="1" applyBorder="1"/>
    <xf numFmtId="43" fontId="45" fillId="0" borderId="0" xfId="1" applyFont="1" applyAlignment="1">
      <alignment horizontal="center" vertical="center"/>
    </xf>
    <xf numFmtId="43" fontId="55" fillId="2" borderId="0" xfId="1" applyFont="1" applyFill="1" applyAlignment="1">
      <alignment horizontal="center" vertical="center"/>
    </xf>
    <xf numFmtId="43" fontId="54" fillId="2" borderId="12" xfId="1" applyFont="1" applyFill="1" applyBorder="1"/>
    <xf numFmtId="43" fontId="54" fillId="0" borderId="0" xfId="73" applyFont="1" applyAlignment="1">
      <alignment horizontal="left" vertical="center"/>
    </xf>
    <xf numFmtId="43" fontId="54" fillId="0" borderId="0" xfId="73" applyFont="1" applyBorder="1" applyAlignment="1">
      <alignment horizontal="left" vertical="center"/>
    </xf>
    <xf numFmtId="43" fontId="47" fillId="0" borderId="0" xfId="35" applyFont="1" applyAlignment="1">
      <alignment horizontal="center" vertical="center"/>
    </xf>
    <xf numFmtId="43" fontId="48" fillId="0" borderId="46" xfId="35" applyFont="1" applyBorder="1" applyAlignment="1">
      <alignment horizontal="center" vertical="center"/>
    </xf>
    <xf numFmtId="43" fontId="47" fillId="0" borderId="12" xfId="35" applyFont="1" applyBorder="1" applyAlignment="1">
      <alignment horizontal="center" vertical="center"/>
    </xf>
    <xf numFmtId="43" fontId="47" fillId="0" borderId="15" xfId="35" applyFont="1" applyBorder="1" applyAlignment="1">
      <alignment horizontal="center" vertical="center"/>
    </xf>
    <xf numFmtId="43" fontId="51" fillId="0" borderId="0" xfId="23" applyFont="1" applyAlignment="1">
      <alignment horizontal="center" vertical="center"/>
    </xf>
    <xf numFmtId="43" fontId="48" fillId="0" borderId="0" xfId="23" applyFont="1" applyAlignment="1">
      <alignment horizontal="center" vertical="center"/>
    </xf>
    <xf numFmtId="177" fontId="47" fillId="0" borderId="0" xfId="23" applyNumberFormat="1" applyFont="1"/>
    <xf numFmtId="177" fontId="47" fillId="0" borderId="0" xfId="35" applyNumberFormat="1" applyFont="1"/>
    <xf numFmtId="0" fontId="48" fillId="10" borderId="46" xfId="0" applyFont="1" applyFill="1" applyBorder="1" applyAlignment="1">
      <alignment horizontal="center" vertical="center"/>
    </xf>
    <xf numFmtId="43" fontId="47" fillId="0" borderId="19" xfId="1" applyFont="1" applyBorder="1"/>
    <xf numFmtId="43" fontId="47" fillId="0" borderId="21" xfId="1" applyFont="1" applyBorder="1"/>
    <xf numFmtId="43" fontId="47" fillId="0" borderId="15" xfId="1" applyFont="1" applyFill="1" applyBorder="1"/>
    <xf numFmtId="43" fontId="47" fillId="22" borderId="12" xfId="1" applyFont="1" applyFill="1" applyBorder="1"/>
    <xf numFmtId="165" fontId="77" fillId="22" borderId="12" xfId="119" applyFont="1" applyFill="1" applyBorder="1" applyAlignment="1">
      <alignment horizontal="right" vertical="top" shrinkToFit="1"/>
    </xf>
    <xf numFmtId="43" fontId="47" fillId="22" borderId="47" xfId="1" applyFont="1" applyFill="1" applyBorder="1"/>
    <xf numFmtId="43" fontId="47" fillId="22" borderId="15" xfId="1" applyFont="1" applyFill="1" applyBorder="1"/>
    <xf numFmtId="43" fontId="47" fillId="11" borderId="13" xfId="1" applyFont="1" applyFill="1" applyBorder="1"/>
    <xf numFmtId="0" fontId="47" fillId="0" borderId="9" xfId="0" applyFont="1" applyBorder="1" applyAlignment="1">
      <alignment horizontal="center" vertical="center"/>
    </xf>
    <xf numFmtId="14" fontId="47" fillId="0" borderId="9" xfId="0" applyNumberFormat="1" applyFont="1" applyBorder="1"/>
    <xf numFmtId="43" fontId="47" fillId="0" borderId="0" xfId="57" applyFont="1" applyFill="1" applyBorder="1" applyAlignment="1">
      <alignment horizontal="right" vertical="center"/>
    </xf>
    <xf numFmtId="43" fontId="55" fillId="0" borderId="0" xfId="1" applyFont="1" applyAlignment="1">
      <alignment horizontal="right" vertical="center"/>
    </xf>
    <xf numFmtId="43" fontId="54" fillId="0" borderId="0" xfId="1" applyFont="1" applyAlignment="1">
      <alignment horizontal="right"/>
    </xf>
    <xf numFmtId="14" fontId="48" fillId="0" borderId="0" xfId="57" applyNumberFormat="1" applyFont="1" applyFill="1" applyBorder="1" applyAlignment="1">
      <alignment horizontal="left" vertical="center"/>
    </xf>
    <xf numFmtId="165" fontId="47" fillId="0" borderId="0" xfId="123" applyFont="1" applyBorder="1"/>
    <xf numFmtId="165" fontId="47" fillId="0" borderId="0" xfId="123" applyFont="1" applyBorder="1" applyAlignment="1">
      <alignment horizontal="center" vertical="center"/>
    </xf>
    <xf numFmtId="169" fontId="47" fillId="0" borderId="0" xfId="123" applyNumberFormat="1" applyFont="1" applyBorder="1"/>
    <xf numFmtId="165" fontId="48" fillId="0" borderId="0" xfId="123" applyFont="1" applyBorder="1"/>
    <xf numFmtId="165" fontId="48" fillId="0" borderId="0" xfId="123" applyFont="1" applyBorder="1" applyAlignment="1">
      <alignment horizontal="center" vertical="center"/>
    </xf>
    <xf numFmtId="169" fontId="48" fillId="0" borderId="0" xfId="123" applyNumberFormat="1" applyFont="1" applyBorder="1" applyAlignment="1">
      <alignment horizontal="center" vertical="center"/>
    </xf>
    <xf numFmtId="165" fontId="47" fillId="2" borderId="0" xfId="123" applyFont="1" applyFill="1" applyBorder="1"/>
    <xf numFmtId="13" fontId="47" fillId="0" borderId="0" xfId="123" applyNumberFormat="1" applyFont="1" applyBorder="1"/>
    <xf numFmtId="169" fontId="48" fillId="2" borderId="0" xfId="123" applyNumberFormat="1" applyFont="1" applyFill="1" applyBorder="1"/>
    <xf numFmtId="165" fontId="48" fillId="2" borderId="0" xfId="123" applyFont="1" applyFill="1" applyBorder="1"/>
    <xf numFmtId="43" fontId="101" fillId="0" borderId="0" xfId="57" applyFont="1"/>
    <xf numFmtId="177" fontId="101" fillId="0" borderId="0" xfId="57" applyNumberFormat="1" applyFont="1"/>
    <xf numFmtId="177" fontId="102" fillId="0" borderId="0" xfId="57" applyNumberFormat="1" applyFont="1" applyFill="1" applyBorder="1"/>
    <xf numFmtId="43" fontId="102" fillId="0" borderId="0" xfId="57" applyFont="1" applyFill="1" applyBorder="1" applyAlignment="1">
      <alignment horizontal="left" vertical="center"/>
    </xf>
    <xf numFmtId="177" fontId="102" fillId="0" borderId="74" xfId="57" applyNumberFormat="1" applyFont="1" applyFill="1" applyBorder="1" applyAlignment="1">
      <alignment horizontal="centerContinuous" vertical="center"/>
    </xf>
    <xf numFmtId="177" fontId="102" fillId="0" borderId="55" xfId="57" applyNumberFormat="1" applyFont="1" applyFill="1" applyBorder="1" applyAlignment="1">
      <alignment horizontal="centerContinuous" vertical="center"/>
    </xf>
    <xf numFmtId="177" fontId="102" fillId="0" borderId="75" xfId="57" applyNumberFormat="1" applyFont="1" applyFill="1" applyBorder="1" applyAlignment="1">
      <alignment horizontal="centerContinuous" vertical="center"/>
    </xf>
    <xf numFmtId="177" fontId="101" fillId="0" borderId="48" xfId="57" applyNumberFormat="1" applyFont="1" applyBorder="1" applyAlignment="1">
      <alignment horizontal="centerContinuous" vertical="center"/>
    </xf>
    <xf numFmtId="177" fontId="101" fillId="0" borderId="52" xfId="57" applyNumberFormat="1" applyFont="1" applyBorder="1" applyAlignment="1">
      <alignment horizontal="centerContinuous" vertical="center"/>
    </xf>
    <xf numFmtId="177" fontId="101" fillId="0" borderId="54" xfId="57" applyNumberFormat="1" applyFont="1" applyBorder="1" applyAlignment="1">
      <alignment horizontal="centerContinuous" vertical="center"/>
    </xf>
    <xf numFmtId="177" fontId="102" fillId="0" borderId="0" xfId="57" applyNumberFormat="1" applyFont="1" applyFill="1" applyBorder="1" applyAlignment="1">
      <alignment horizontal="center" vertical="center"/>
    </xf>
    <xf numFmtId="177" fontId="102" fillId="0" borderId="48" xfId="57" applyNumberFormat="1" applyFont="1" applyFill="1" applyBorder="1" applyAlignment="1">
      <alignment horizontal="centerContinuous" vertical="center"/>
    </xf>
    <xf numFmtId="177" fontId="102" fillId="0" borderId="52" xfId="57" applyNumberFormat="1" applyFont="1" applyFill="1" applyBorder="1" applyAlignment="1">
      <alignment horizontal="centerContinuous" vertical="center"/>
    </xf>
    <xf numFmtId="177" fontId="102" fillId="0" borderId="54" xfId="57" applyNumberFormat="1" applyFont="1" applyFill="1" applyBorder="1" applyAlignment="1">
      <alignment horizontal="centerContinuous" vertical="center"/>
    </xf>
    <xf numFmtId="177" fontId="102" fillId="0" borderId="46" xfId="57" applyNumberFormat="1" applyFont="1" applyFill="1" applyBorder="1" applyAlignment="1">
      <alignment horizontal="centerContinuous" vertical="center"/>
    </xf>
    <xf numFmtId="177" fontId="102" fillId="0" borderId="3" xfId="57" applyNumberFormat="1" applyFont="1" applyFill="1" applyBorder="1" applyAlignment="1">
      <alignment horizontal="center" vertical="center"/>
    </xf>
    <xf numFmtId="177" fontId="102" fillId="0" borderId="33" xfId="57" applyNumberFormat="1" applyFont="1" applyFill="1" applyBorder="1" applyAlignment="1">
      <alignment horizontal="centerContinuous" vertical="center"/>
    </xf>
    <xf numFmtId="177" fontId="102" fillId="0" borderId="76" xfId="57" applyNumberFormat="1" applyFont="1" applyFill="1" applyBorder="1" applyAlignment="1">
      <alignment horizontal="centerContinuous" vertical="center"/>
    </xf>
    <xf numFmtId="177" fontId="102" fillId="0" borderId="77" xfId="57" applyNumberFormat="1" applyFont="1" applyFill="1" applyBorder="1" applyAlignment="1">
      <alignment horizontal="centerContinuous" vertical="center"/>
    </xf>
    <xf numFmtId="177" fontId="102" fillId="0" borderId="33" xfId="57" applyNumberFormat="1" applyFont="1" applyFill="1" applyBorder="1" applyAlignment="1">
      <alignment vertical="center"/>
    </xf>
    <xf numFmtId="177" fontId="102" fillId="0" borderId="76" xfId="57" applyNumberFormat="1" applyFont="1" applyFill="1" applyBorder="1" applyAlignment="1">
      <alignment vertical="center"/>
    </xf>
    <xf numFmtId="177" fontId="102" fillId="0" borderId="77" xfId="57" applyNumberFormat="1" applyFont="1" applyFill="1" applyBorder="1" applyAlignment="1">
      <alignment vertical="center"/>
    </xf>
    <xf numFmtId="177" fontId="102" fillId="0" borderId="56" xfId="57" applyNumberFormat="1" applyFont="1" applyFill="1" applyBorder="1" applyAlignment="1">
      <alignment horizontal="centerContinuous" vertical="center"/>
    </xf>
    <xf numFmtId="177" fontId="102" fillId="0" borderId="58" xfId="57" applyNumberFormat="1" applyFont="1" applyFill="1" applyBorder="1" applyAlignment="1">
      <alignment horizontal="centerContinuous" vertical="center"/>
    </xf>
    <xf numFmtId="177" fontId="102" fillId="0" borderId="57" xfId="57" applyNumberFormat="1" applyFont="1" applyFill="1" applyBorder="1" applyAlignment="1">
      <alignment horizontal="centerContinuous" vertical="center"/>
    </xf>
    <xf numFmtId="177" fontId="102" fillId="0" borderId="56" xfId="57" applyNumberFormat="1" applyFont="1" applyFill="1" applyBorder="1" applyAlignment="1">
      <alignment horizontal="center" vertical="center"/>
    </xf>
    <xf numFmtId="177" fontId="102" fillId="0" borderId="78" xfId="57" applyNumberFormat="1" applyFont="1" applyFill="1" applyBorder="1" applyAlignment="1">
      <alignment horizontal="center" vertical="center"/>
    </xf>
    <xf numFmtId="177" fontId="102" fillId="0" borderId="58" xfId="57" applyNumberFormat="1" applyFont="1" applyFill="1" applyBorder="1" applyAlignment="1">
      <alignment horizontal="center" vertical="center"/>
    </xf>
    <xf numFmtId="177" fontId="102" fillId="0" borderId="57" xfId="57" applyNumberFormat="1" applyFont="1" applyFill="1" applyBorder="1" applyAlignment="1">
      <alignment horizontal="center" vertical="center"/>
    </xf>
    <xf numFmtId="177" fontId="102" fillId="0" borderId="50" xfId="57" applyNumberFormat="1" applyFont="1" applyFill="1" applyBorder="1" applyAlignment="1">
      <alignment horizontal="centerContinuous" vertical="center"/>
    </xf>
    <xf numFmtId="177" fontId="102" fillId="0" borderId="59" xfId="57" applyNumberFormat="1" applyFont="1" applyFill="1" applyBorder="1" applyAlignment="1">
      <alignment horizontal="centerContinuous" vertical="center"/>
    </xf>
    <xf numFmtId="177" fontId="102" fillId="0" borderId="62" xfId="57" applyNumberFormat="1" applyFont="1" applyBorder="1" applyAlignment="1">
      <alignment horizontal="center" wrapText="1"/>
    </xf>
    <xf numFmtId="177" fontId="102" fillId="0" borderId="22" xfId="57" applyNumberFormat="1" applyFont="1" applyBorder="1" applyAlignment="1">
      <alignment horizontal="center" wrapText="1"/>
    </xf>
    <xf numFmtId="177" fontId="102" fillId="0" borderId="23" xfId="57" applyNumberFormat="1" applyFont="1" applyBorder="1" applyAlignment="1">
      <alignment horizontal="center" wrapText="1"/>
    </xf>
    <xf numFmtId="177" fontId="102" fillId="0" borderId="62" xfId="57" applyNumberFormat="1" applyFont="1" applyFill="1" applyBorder="1" applyAlignment="1">
      <alignment horizontal="center" wrapText="1"/>
    </xf>
    <xf numFmtId="177" fontId="102" fillId="0" borderId="63" xfId="57" applyNumberFormat="1" applyFont="1" applyFill="1" applyBorder="1" applyAlignment="1">
      <alignment horizontal="center" wrapText="1"/>
    </xf>
    <xf numFmtId="177" fontId="102" fillId="0" borderId="22" xfId="57" applyNumberFormat="1" applyFont="1" applyFill="1" applyBorder="1" applyAlignment="1">
      <alignment horizontal="center" wrapText="1"/>
    </xf>
    <xf numFmtId="177" fontId="102" fillId="0" borderId="23" xfId="57" applyNumberFormat="1" applyFont="1" applyFill="1" applyBorder="1" applyAlignment="1">
      <alignment horizontal="center" wrapText="1"/>
    </xf>
    <xf numFmtId="177" fontId="102" fillId="0" borderId="62" xfId="57" applyNumberFormat="1" applyFont="1" applyBorder="1" applyAlignment="1">
      <alignment horizontal="center" vertical="center" wrapText="1"/>
    </xf>
    <xf numFmtId="177" fontId="102" fillId="0" borderId="22" xfId="57" applyNumberFormat="1" applyFont="1" applyBorder="1" applyAlignment="1">
      <alignment horizontal="center" vertical="center" wrapText="1"/>
    </xf>
    <xf numFmtId="177" fontId="102" fillId="0" borderId="23" xfId="57" applyNumberFormat="1" applyFont="1" applyBorder="1" applyAlignment="1">
      <alignment horizontal="center" vertical="center" wrapText="1"/>
    </xf>
    <xf numFmtId="177" fontId="102" fillId="0" borderId="0" xfId="57" applyNumberFormat="1" applyFont="1" applyFill="1" applyBorder="1" applyAlignment="1">
      <alignment horizontal="center" wrapText="1"/>
    </xf>
    <xf numFmtId="177" fontId="102" fillId="0" borderId="37" xfId="57" applyNumberFormat="1" applyFont="1" applyBorder="1" applyAlignment="1">
      <alignment horizontal="center" wrapText="1"/>
    </xf>
    <xf numFmtId="177" fontId="102" fillId="0" borderId="50" xfId="57" applyNumberFormat="1" applyFont="1" applyFill="1" applyBorder="1" applyAlignment="1">
      <alignment horizontal="center"/>
    </xf>
    <xf numFmtId="177" fontId="102" fillId="0" borderId="59" xfId="57" applyNumberFormat="1" applyFont="1" applyFill="1" applyBorder="1" applyAlignment="1">
      <alignment horizontal="center"/>
    </xf>
    <xf numFmtId="177" fontId="102" fillId="0" borderId="3" xfId="57" applyNumberFormat="1" applyFont="1" applyFill="1" applyBorder="1" applyAlignment="1">
      <alignment horizontal="center"/>
    </xf>
    <xf numFmtId="177" fontId="102" fillId="0" borderId="51" xfId="57" applyNumberFormat="1" applyFont="1" applyFill="1" applyBorder="1" applyAlignment="1">
      <alignment horizontal="center"/>
    </xf>
    <xf numFmtId="177" fontId="102" fillId="12" borderId="24" xfId="57" applyNumberFormat="1" applyFont="1" applyFill="1" applyBorder="1" applyAlignment="1">
      <alignment horizontal="center" vertical="center"/>
    </xf>
    <xf numFmtId="177" fontId="102" fillId="12" borderId="45" xfId="57" applyNumberFormat="1" applyFont="1" applyFill="1" applyBorder="1" applyAlignment="1">
      <alignment horizontal="center" vertical="center"/>
    </xf>
    <xf numFmtId="177" fontId="102" fillId="12" borderId="79" xfId="57" applyNumberFormat="1" applyFont="1" applyFill="1" applyBorder="1" applyAlignment="1">
      <alignment horizontal="center" vertical="center"/>
    </xf>
    <xf numFmtId="177" fontId="102" fillId="12" borderId="25" xfId="57" applyNumberFormat="1" applyFont="1" applyFill="1" applyBorder="1" applyAlignment="1">
      <alignment horizontal="center" vertical="center"/>
    </xf>
    <xf numFmtId="177" fontId="102" fillId="12" borderId="26" xfId="57" applyNumberFormat="1" applyFont="1" applyFill="1" applyBorder="1" applyAlignment="1">
      <alignment horizontal="center" vertical="center"/>
    </xf>
    <xf numFmtId="177" fontId="102" fillId="12" borderId="42" xfId="57" applyNumberFormat="1" applyFont="1" applyFill="1" applyBorder="1" applyAlignment="1">
      <alignment horizontal="center" vertical="center"/>
    </xf>
    <xf numFmtId="177" fontId="99" fillId="12" borderId="56" xfId="57" applyNumberFormat="1" applyFont="1" applyFill="1" applyBorder="1" applyAlignment="1">
      <alignment horizontal="center" vertical="center"/>
    </xf>
    <xf numFmtId="177" fontId="99" fillId="12" borderId="58" xfId="57" applyNumberFormat="1" applyFont="1" applyFill="1" applyBorder="1" applyAlignment="1">
      <alignment horizontal="center" vertical="center"/>
    </xf>
    <xf numFmtId="177" fontId="99" fillId="12" borderId="57" xfId="57" applyNumberFormat="1" applyFont="1" applyFill="1" applyBorder="1" applyAlignment="1">
      <alignment horizontal="center" vertical="center"/>
    </xf>
    <xf numFmtId="177" fontId="99" fillId="0" borderId="3" xfId="57" applyNumberFormat="1" applyFont="1" applyFill="1" applyBorder="1" applyAlignment="1">
      <alignment horizontal="center" vertical="center"/>
    </xf>
    <xf numFmtId="43" fontId="102" fillId="0" borderId="0" xfId="57" applyFont="1" applyFill="1" applyBorder="1" applyAlignment="1">
      <alignment horizontal="left"/>
    </xf>
    <xf numFmtId="177" fontId="99" fillId="0" borderId="35" xfId="57" applyNumberFormat="1" applyFont="1" applyBorder="1" applyAlignment="1">
      <alignment horizontal="center" textRotation="90" wrapText="1"/>
    </xf>
    <xf numFmtId="177" fontId="99" fillId="0" borderId="7" xfId="57" applyNumberFormat="1" applyFont="1" applyBorder="1" applyAlignment="1">
      <alignment horizontal="center" textRotation="90" wrapText="1"/>
    </xf>
    <xf numFmtId="177" fontId="99" fillId="0" borderId="66" xfId="57" applyNumberFormat="1" applyFont="1" applyBorder="1" applyAlignment="1">
      <alignment horizontal="center" textRotation="90" wrapText="1"/>
    </xf>
    <xf numFmtId="177" fontId="99" fillId="0" borderId="8" xfId="57" applyNumberFormat="1" applyFont="1" applyBorder="1" applyAlignment="1">
      <alignment horizontal="center" textRotation="90" wrapText="1"/>
    </xf>
    <xf numFmtId="177" fontId="99" fillId="0" borderId="4" xfId="57" applyNumberFormat="1" applyFont="1" applyBorder="1" applyAlignment="1">
      <alignment horizontal="center" textRotation="90" wrapText="1"/>
    </xf>
    <xf numFmtId="177" fontId="99" fillId="0" borderId="5" xfId="57" applyNumberFormat="1" applyFont="1" applyBorder="1" applyAlignment="1">
      <alignment horizontal="center" textRotation="90" wrapText="1"/>
    </xf>
    <xf numFmtId="177" fontId="99" fillId="0" borderId="6" xfId="57" applyNumberFormat="1" applyFont="1" applyBorder="1" applyAlignment="1">
      <alignment horizontal="center" textRotation="90" wrapText="1"/>
    </xf>
    <xf numFmtId="177" fontId="99" fillId="0" borderId="35" xfId="57" applyNumberFormat="1" applyFont="1" applyFill="1" applyBorder="1" applyAlignment="1">
      <alignment horizontal="center" textRotation="90" wrapText="1"/>
    </xf>
    <xf numFmtId="177" fontId="99" fillId="0" borderId="7" xfId="57" applyNumberFormat="1" applyFont="1" applyFill="1" applyBorder="1" applyAlignment="1">
      <alignment horizontal="center" textRotation="90" wrapText="1"/>
    </xf>
    <xf numFmtId="177" fontId="99" fillId="0" borderId="8" xfId="57" applyNumberFormat="1" applyFont="1" applyFill="1" applyBorder="1" applyAlignment="1">
      <alignment horizontal="center" textRotation="90" wrapText="1"/>
    </xf>
    <xf numFmtId="177" fontId="99" fillId="0" borderId="0" xfId="57" applyNumberFormat="1" applyFont="1" applyFill="1" applyBorder="1" applyAlignment="1">
      <alignment horizontal="center" textRotation="90" wrapText="1"/>
    </xf>
    <xf numFmtId="177" fontId="99" fillId="0" borderId="36" xfId="57" applyNumberFormat="1" applyFont="1" applyFill="1" applyBorder="1" applyAlignment="1">
      <alignment horizontal="center" textRotation="90" wrapText="1"/>
    </xf>
    <xf numFmtId="177" fontId="99" fillId="0" borderId="3" xfId="57" applyNumberFormat="1" applyFont="1" applyFill="1" applyBorder="1" applyAlignment="1">
      <alignment horizontal="center" textRotation="90" wrapText="1"/>
    </xf>
    <xf numFmtId="43" fontId="102" fillId="0" borderId="46" xfId="57" applyFont="1" applyFill="1" applyBorder="1" applyAlignment="1">
      <alignment horizontal="left" vertical="center"/>
    </xf>
    <xf numFmtId="177" fontId="102" fillId="0" borderId="56" xfId="57" applyNumberFormat="1" applyFont="1" applyFill="1" applyBorder="1" applyAlignment="1">
      <alignment horizontal="center" vertical="center" wrapText="1"/>
    </xf>
    <xf numFmtId="177" fontId="102" fillId="0" borderId="78" xfId="57" applyNumberFormat="1" applyFont="1" applyFill="1" applyBorder="1" applyAlignment="1">
      <alignment horizontal="center" vertical="center" wrapText="1"/>
    </xf>
    <xf numFmtId="177" fontId="102" fillId="0" borderId="58" xfId="57" applyNumberFormat="1" applyFont="1" applyFill="1" applyBorder="1" applyAlignment="1">
      <alignment horizontal="center" vertical="center" wrapText="1"/>
    </xf>
    <xf numFmtId="177" fontId="102" fillId="0" borderId="22" xfId="57" applyNumberFormat="1" applyFont="1" applyFill="1" applyBorder="1" applyAlignment="1">
      <alignment horizontal="center" vertical="center" wrapText="1"/>
    </xf>
    <xf numFmtId="177" fontId="102" fillId="0" borderId="23" xfId="57" applyNumberFormat="1" applyFont="1" applyFill="1" applyBorder="1" applyAlignment="1">
      <alignment horizontal="center" vertical="center" wrapText="1"/>
    </xf>
    <xf numFmtId="177" fontId="102" fillId="0" borderId="57" xfId="57" applyNumberFormat="1" applyFont="1" applyFill="1" applyBorder="1" applyAlignment="1">
      <alignment horizontal="center" vertical="center" wrapText="1"/>
    </xf>
    <xf numFmtId="177" fontId="102" fillId="0" borderId="50" xfId="57" applyNumberFormat="1" applyFont="1" applyFill="1" applyBorder="1" applyAlignment="1">
      <alignment horizontal="center" vertical="center" wrapText="1"/>
    </xf>
    <xf numFmtId="177" fontId="102" fillId="0" borderId="0" xfId="57" applyNumberFormat="1" applyFont="1" applyFill="1" applyBorder="1" applyAlignment="1">
      <alignment horizontal="center" vertical="center" wrapText="1"/>
    </xf>
    <xf numFmtId="177" fontId="102" fillId="0" borderId="59" xfId="57" applyNumberFormat="1" applyFont="1" applyFill="1" applyBorder="1" applyAlignment="1">
      <alignment horizontal="center" vertical="center" wrapText="1"/>
    </xf>
    <xf numFmtId="177" fontId="102" fillId="0" borderId="61" xfId="57" applyNumberFormat="1" applyFont="1" applyFill="1" applyBorder="1" applyAlignment="1">
      <alignment horizontal="center" vertical="center" wrapText="1"/>
    </xf>
    <xf numFmtId="177" fontId="102" fillId="0" borderId="51" xfId="57" applyNumberFormat="1" applyFont="1" applyFill="1" applyBorder="1" applyAlignment="1">
      <alignment horizontal="center" vertical="center" wrapText="1"/>
    </xf>
    <xf numFmtId="177" fontId="102" fillId="0" borderId="3" xfId="57" applyNumberFormat="1" applyFont="1" applyFill="1" applyBorder="1" applyAlignment="1">
      <alignment horizontal="center" vertical="center" wrapText="1"/>
    </xf>
    <xf numFmtId="43" fontId="107" fillId="0" borderId="47" xfId="57" applyFont="1" applyBorder="1" applyAlignment="1">
      <alignment horizontal="left" vertical="center"/>
    </xf>
    <xf numFmtId="177" fontId="99" fillId="0" borderId="19" xfId="57" applyNumberFormat="1" applyFont="1" applyFill="1" applyBorder="1" applyAlignment="1">
      <alignment wrapText="1"/>
    </xf>
    <xf numFmtId="177" fontId="99" fillId="0" borderId="44" xfId="57" applyNumberFormat="1" applyFont="1" applyFill="1" applyBorder="1" applyAlignment="1">
      <alignment wrapText="1"/>
    </xf>
    <xf numFmtId="177" fontId="99" fillId="0" borderId="20" xfId="57" applyNumberFormat="1" applyFont="1" applyFill="1" applyBorder="1" applyAlignment="1">
      <alignment wrapText="1"/>
    </xf>
    <xf numFmtId="177" fontId="99" fillId="0" borderId="21" xfId="57" applyNumberFormat="1" applyFont="1" applyFill="1" applyBorder="1" applyAlignment="1">
      <alignment wrapText="1"/>
    </xf>
    <xf numFmtId="177" fontId="99" fillId="0" borderId="62" xfId="57" applyNumberFormat="1" applyFont="1" applyFill="1" applyBorder="1" applyAlignment="1"/>
    <xf numFmtId="177" fontId="99" fillId="0" borderId="22" xfId="57" applyNumberFormat="1" applyFont="1" applyFill="1" applyBorder="1" applyAlignment="1"/>
    <xf numFmtId="177" fontId="99" fillId="0" borderId="23" xfId="57" applyNumberFormat="1" applyFont="1" applyFill="1" applyBorder="1" applyAlignment="1"/>
    <xf numFmtId="177" fontId="99" fillId="0" borderId="62" xfId="57" applyNumberFormat="1" applyFont="1" applyFill="1" applyBorder="1" applyAlignment="1">
      <alignment wrapText="1"/>
    </xf>
    <xf numFmtId="177" fontId="99" fillId="0" borderId="0" xfId="57" applyNumberFormat="1" applyFont="1" applyFill="1" applyBorder="1" applyAlignment="1">
      <alignment wrapText="1"/>
    </xf>
    <xf numFmtId="177" fontId="99" fillId="0" borderId="22" xfId="57" applyNumberFormat="1" applyFont="1" applyFill="1" applyBorder="1" applyAlignment="1">
      <alignment wrapText="1"/>
    </xf>
    <xf numFmtId="177" fontId="99" fillId="0" borderId="37" xfId="57" applyNumberFormat="1" applyFont="1" applyFill="1" applyBorder="1" applyAlignment="1">
      <alignment wrapText="1"/>
    </xf>
    <xf numFmtId="177" fontId="99" fillId="0" borderId="23" xfId="57" applyNumberFormat="1" applyFont="1" applyFill="1" applyBorder="1" applyAlignment="1">
      <alignment wrapText="1"/>
    </xf>
    <xf numFmtId="177" fontId="99" fillId="0" borderId="63" xfId="57" applyNumberFormat="1" applyFont="1" applyFill="1" applyBorder="1" applyAlignment="1">
      <alignment wrapText="1"/>
    </xf>
    <xf numFmtId="177" fontId="99" fillId="0" borderId="3" xfId="57" applyNumberFormat="1" applyFont="1" applyFill="1" applyBorder="1" applyAlignment="1">
      <alignment wrapText="1"/>
    </xf>
    <xf numFmtId="43" fontId="107" fillId="0" borderId="12" xfId="57" applyFont="1" applyBorder="1" applyAlignment="1">
      <alignment horizontal="left" vertical="center"/>
    </xf>
    <xf numFmtId="177" fontId="99" fillId="0" borderId="19" xfId="57" applyNumberFormat="1" applyFont="1" applyFill="1" applyBorder="1" applyAlignment="1">
      <alignment horizontal="center"/>
    </xf>
    <xf numFmtId="177" fontId="99" fillId="0" borderId="44" xfId="57" applyNumberFormat="1" applyFont="1" applyFill="1" applyBorder="1" applyAlignment="1">
      <alignment horizontal="center"/>
    </xf>
    <xf numFmtId="177" fontId="99" fillId="0" borderId="20" xfId="57" applyNumberFormat="1" applyFont="1" applyFill="1" applyBorder="1" applyAlignment="1"/>
    <xf numFmtId="177" fontId="99" fillId="0" borderId="38" xfId="57" applyNumberFormat="1" applyFont="1" applyFill="1" applyBorder="1" applyAlignment="1"/>
    <xf numFmtId="177" fontId="99" fillId="0" borderId="19" xfId="57" applyNumberFormat="1" applyFont="1" applyFill="1" applyBorder="1" applyAlignment="1"/>
    <xf numFmtId="177" fontId="99" fillId="0" borderId="21" xfId="57" applyNumberFormat="1" applyFont="1" applyFill="1" applyBorder="1" applyAlignment="1"/>
    <xf numFmtId="177" fontId="99" fillId="0" borderId="38" xfId="57" applyNumberFormat="1" applyFont="1" applyFill="1" applyBorder="1" applyAlignment="1">
      <alignment wrapText="1"/>
    </xf>
    <xf numFmtId="177" fontId="99" fillId="2" borderId="20" xfId="57" applyNumberFormat="1" applyFont="1" applyFill="1" applyBorder="1" applyAlignment="1"/>
    <xf numFmtId="177" fontId="99" fillId="0" borderId="25" xfId="57" applyNumberFormat="1" applyFont="1" applyFill="1" applyBorder="1" applyAlignment="1"/>
    <xf numFmtId="177" fontId="99" fillId="0" borderId="42" xfId="57" applyNumberFormat="1" applyFont="1" applyFill="1" applyBorder="1" applyAlignment="1"/>
    <xf numFmtId="177" fontId="99" fillId="0" borderId="24" xfId="57" applyNumberFormat="1" applyFont="1" applyFill="1" applyBorder="1" applyAlignment="1"/>
    <xf numFmtId="177" fontId="99" fillId="0" borderId="26" xfId="57" applyNumberFormat="1" applyFont="1" applyFill="1" applyBorder="1" applyAlignment="1"/>
    <xf numFmtId="177" fontId="99" fillId="0" borderId="24" xfId="57" applyNumberFormat="1" applyFont="1" applyFill="1" applyBorder="1" applyAlignment="1">
      <alignment wrapText="1"/>
    </xf>
    <xf numFmtId="177" fontId="99" fillId="0" borderId="25" xfId="57" applyNumberFormat="1" applyFont="1" applyFill="1" applyBorder="1" applyAlignment="1">
      <alignment wrapText="1"/>
    </xf>
    <xf numFmtId="177" fontId="99" fillId="0" borderId="42" xfId="57" applyNumberFormat="1" applyFont="1" applyFill="1" applyBorder="1" applyAlignment="1">
      <alignment wrapText="1"/>
    </xf>
    <xf numFmtId="177" fontId="99" fillId="0" borderId="26" xfId="57" applyNumberFormat="1" applyFont="1" applyFill="1" applyBorder="1" applyAlignment="1">
      <alignment wrapText="1"/>
    </xf>
    <xf numFmtId="177" fontId="99" fillId="0" borderId="45" xfId="57" applyNumberFormat="1" applyFont="1" applyFill="1" applyBorder="1" applyAlignment="1">
      <alignment wrapText="1"/>
    </xf>
    <xf numFmtId="177" fontId="99" fillId="0" borderId="62" xfId="57" applyNumberFormat="1" applyFont="1" applyFill="1" applyBorder="1" applyAlignment="1">
      <alignment horizontal="center"/>
    </xf>
    <xf numFmtId="177" fontId="99" fillId="0" borderId="63" xfId="57" applyNumberFormat="1" applyFont="1" applyFill="1" applyBorder="1" applyAlignment="1">
      <alignment horizontal="center"/>
    </xf>
    <xf numFmtId="177" fontId="99" fillId="0" borderId="27" xfId="57" applyNumberFormat="1" applyFont="1" applyFill="1" applyBorder="1" applyAlignment="1">
      <alignment wrapText="1"/>
    </xf>
    <xf numFmtId="177" fontId="99" fillId="2" borderId="20" xfId="57" applyNumberFormat="1" applyFont="1" applyFill="1" applyBorder="1" applyAlignment="1">
      <alignment wrapText="1"/>
    </xf>
    <xf numFmtId="177" fontId="99" fillId="2" borderId="19" xfId="57" applyNumberFormat="1" applyFont="1" applyFill="1" applyBorder="1" applyAlignment="1">
      <alignment wrapText="1"/>
    </xf>
    <xf numFmtId="43" fontId="107" fillId="0" borderId="12" xfId="57" applyFont="1" applyFill="1" applyBorder="1"/>
    <xf numFmtId="177" fontId="99" fillId="0" borderId="4" xfId="57" applyNumberFormat="1" applyFont="1" applyFill="1" applyBorder="1" applyAlignment="1">
      <alignment wrapText="1"/>
    </xf>
    <xf numFmtId="177" fontId="99" fillId="0" borderId="73" xfId="57" applyNumberFormat="1" applyFont="1" applyFill="1" applyBorder="1" applyAlignment="1">
      <alignment wrapText="1"/>
    </xf>
    <xf numFmtId="177" fontId="99" fillId="0" borderId="5" xfId="57" applyNumberFormat="1" applyFont="1" applyFill="1" applyBorder="1" applyAlignment="1">
      <alignment wrapText="1"/>
    </xf>
    <xf numFmtId="177" fontId="99" fillId="0" borderId="6" xfId="57" applyNumberFormat="1" applyFont="1" applyFill="1" applyBorder="1" applyAlignment="1">
      <alignment wrapText="1"/>
    </xf>
    <xf numFmtId="177" fontId="99" fillId="0" borderId="24" xfId="57" applyNumberFormat="1" applyFont="1" applyFill="1" applyBorder="1" applyAlignment="1">
      <alignment horizontal="center"/>
    </xf>
    <xf numFmtId="177" fontId="99" fillId="0" borderId="45" xfId="57" applyNumberFormat="1" applyFont="1" applyFill="1" applyBorder="1" applyAlignment="1">
      <alignment horizontal="center"/>
    </xf>
    <xf numFmtId="43" fontId="107" fillId="0" borderId="47" xfId="57" applyFont="1" applyFill="1" applyBorder="1"/>
    <xf numFmtId="177" fontId="99" fillId="0" borderId="64" xfId="57" applyNumberFormat="1" applyFont="1" applyFill="1" applyBorder="1" applyAlignment="1">
      <alignment wrapText="1"/>
    </xf>
    <xf numFmtId="177" fontId="99" fillId="0" borderId="28" xfId="57" applyNumberFormat="1" applyFont="1" applyFill="1" applyBorder="1" applyAlignment="1">
      <alignment wrapText="1"/>
    </xf>
    <xf numFmtId="177" fontId="99" fillId="0" borderId="29" xfId="57" applyNumberFormat="1" applyFont="1" applyFill="1" applyBorder="1" applyAlignment="1">
      <alignment wrapText="1"/>
    </xf>
    <xf numFmtId="177" fontId="99" fillId="0" borderId="37" xfId="57" applyNumberFormat="1" applyFont="1" applyFill="1" applyBorder="1" applyAlignment="1"/>
    <xf numFmtId="43" fontId="107" fillId="0" borderId="15" xfId="57" applyFont="1" applyFill="1" applyBorder="1"/>
    <xf numFmtId="43" fontId="107" fillId="0" borderId="53" xfId="57" applyFont="1" applyFill="1" applyBorder="1"/>
    <xf numFmtId="177" fontId="99" fillId="0" borderId="21" xfId="57" applyNumberFormat="1" applyFont="1" applyFill="1" applyBorder="1" applyAlignment="1">
      <alignment horizontal="center" wrapText="1"/>
    </xf>
    <xf numFmtId="177" fontId="99" fillId="0" borderId="27" xfId="57" applyNumberFormat="1" applyFont="1" applyFill="1" applyBorder="1" applyAlignment="1">
      <alignment horizontal="center"/>
    </xf>
    <xf numFmtId="177" fontId="99" fillId="0" borderId="64" xfId="57" applyNumberFormat="1" applyFont="1" applyFill="1" applyBorder="1" applyAlignment="1">
      <alignment horizontal="center"/>
    </xf>
    <xf numFmtId="177" fontId="99" fillId="0" borderId="28" xfId="57" applyNumberFormat="1" applyFont="1" applyFill="1" applyBorder="1" applyAlignment="1"/>
    <xf numFmtId="177" fontId="99" fillId="0" borderId="43" xfId="57" applyNumberFormat="1" applyFont="1" applyFill="1" applyBorder="1" applyAlignment="1"/>
    <xf numFmtId="177" fontId="99" fillId="0" borderId="29" xfId="57" applyNumberFormat="1" applyFont="1" applyFill="1" applyBorder="1" applyAlignment="1"/>
    <xf numFmtId="177" fontId="99" fillId="0" borderId="27" xfId="57" applyNumberFormat="1" applyFont="1" applyFill="1" applyBorder="1" applyAlignment="1"/>
    <xf numFmtId="177" fontId="99" fillId="0" borderId="43" xfId="57" applyNumberFormat="1" applyFont="1" applyFill="1" applyBorder="1" applyAlignment="1">
      <alignment wrapText="1"/>
    </xf>
    <xf numFmtId="177" fontId="99" fillId="0" borderId="20" xfId="57" applyNumberFormat="1" applyFont="1" applyFill="1" applyBorder="1" applyAlignment="1">
      <alignment horizontal="center" wrapText="1"/>
    </xf>
    <xf numFmtId="177" fontId="99" fillId="0" borderId="39" xfId="57" applyNumberFormat="1" applyFont="1" applyFill="1" applyBorder="1" applyAlignment="1">
      <alignment wrapText="1"/>
    </xf>
    <xf numFmtId="177" fontId="99" fillId="0" borderId="40" xfId="57" applyNumberFormat="1" applyFont="1" applyFill="1" applyBorder="1" applyAlignment="1">
      <alignment wrapText="1"/>
    </xf>
    <xf numFmtId="177" fontId="99" fillId="0" borderId="41" xfId="57" applyNumberFormat="1" applyFont="1" applyFill="1" applyBorder="1" applyAlignment="1">
      <alignment wrapText="1"/>
    </xf>
    <xf numFmtId="177" fontId="99" fillId="0" borderId="7" xfId="57" applyNumberFormat="1" applyFont="1" applyFill="1" applyBorder="1" applyAlignment="1">
      <alignment wrapText="1"/>
    </xf>
    <xf numFmtId="177" fontId="99" fillId="0" borderId="29" xfId="57" applyNumberFormat="1" applyFont="1" applyFill="1" applyBorder="1" applyAlignment="1">
      <alignment horizontal="center" wrapText="1"/>
    </xf>
    <xf numFmtId="177" fontId="107" fillId="0" borderId="0" xfId="57" applyNumberFormat="1" applyFont="1" applyFill="1" applyBorder="1"/>
    <xf numFmtId="177" fontId="99" fillId="0" borderId="51" xfId="57" applyNumberFormat="1" applyFont="1" applyFill="1" applyBorder="1" applyAlignment="1">
      <alignment wrapText="1"/>
    </xf>
    <xf numFmtId="43" fontId="107" fillId="0" borderId="0" xfId="57" applyFont="1"/>
    <xf numFmtId="177" fontId="110" fillId="0" borderId="0" xfId="57" applyNumberFormat="1" applyFont="1"/>
    <xf numFmtId="177" fontId="99" fillId="0" borderId="0" xfId="57" applyNumberFormat="1" applyFont="1"/>
    <xf numFmtId="177" fontId="102" fillId="0" borderId="0" xfId="57" applyNumberFormat="1" applyFont="1"/>
    <xf numFmtId="177" fontId="107" fillId="0" borderId="0" xfId="57" applyNumberFormat="1" applyFont="1"/>
    <xf numFmtId="177" fontId="107" fillId="0" borderId="0" xfId="57" applyNumberFormat="1" applyFont="1" applyFill="1"/>
    <xf numFmtId="177" fontId="102" fillId="2" borderId="0" xfId="57" applyNumberFormat="1" applyFont="1" applyFill="1"/>
    <xf numFmtId="177" fontId="101" fillId="0" borderId="0" xfId="57" applyNumberFormat="1" applyFont="1" applyAlignment="1">
      <alignment horizontal="right" vertical="center"/>
    </xf>
    <xf numFmtId="14" fontId="48" fillId="0" borderId="12" xfId="1" applyNumberFormat="1" applyFont="1" applyBorder="1" applyAlignment="1">
      <alignment horizontal="left" vertical="center"/>
    </xf>
    <xf numFmtId="2" fontId="54" fillId="0" borderId="47" xfId="1" applyNumberFormat="1" applyFont="1" applyFill="1" applyBorder="1" applyAlignment="1">
      <alignment horizontal="center" vertical="center"/>
    </xf>
    <xf numFmtId="2" fontId="47" fillId="0" borderId="15" xfId="1" applyNumberFormat="1" applyFont="1" applyFill="1" applyBorder="1" applyAlignment="1">
      <alignment horizontal="center" vertical="center" wrapText="1"/>
    </xf>
    <xf numFmtId="43" fontId="47" fillId="0" borderId="12" xfId="1" applyFont="1" applyBorder="1" applyAlignment="1">
      <alignment horizontal="center"/>
    </xf>
    <xf numFmtId="0" fontId="111" fillId="0" borderId="0" xfId="31" applyFont="1" applyBorder="1"/>
    <xf numFmtId="165" fontId="48" fillId="0" borderId="0" xfId="31" applyNumberFormat="1" applyFont="1" applyBorder="1"/>
    <xf numFmtId="165" fontId="47" fillId="0" borderId="0" xfId="31" applyNumberFormat="1" applyFont="1" applyBorder="1"/>
    <xf numFmtId="169" fontId="47" fillId="0" borderId="0" xfId="31" applyNumberFormat="1" applyFont="1" applyBorder="1"/>
    <xf numFmtId="177" fontId="56" fillId="0" borderId="12" xfId="1" applyNumberFormat="1" applyFont="1" applyFill="1" applyBorder="1" applyAlignment="1">
      <alignment horizontal="center" vertical="center"/>
    </xf>
    <xf numFmtId="43" fontId="54" fillId="0" borderId="74" xfId="1" applyFont="1" applyBorder="1"/>
    <xf numFmtId="43" fontId="54" fillId="0" borderId="0" xfId="1" applyFont="1" applyAlignment="1">
      <alignment vertical="center"/>
    </xf>
    <xf numFmtId="43" fontId="47" fillId="0" borderId="0" xfId="31" applyNumberFormat="1" applyFont="1" applyBorder="1"/>
    <xf numFmtId="43" fontId="48" fillId="2" borderId="0" xfId="31" applyNumberFormat="1" applyFont="1" applyFill="1" applyBorder="1"/>
    <xf numFmtId="0" fontId="54" fillId="0" borderId="15" xfId="1" applyNumberFormat="1" applyFont="1" applyBorder="1" applyAlignment="1">
      <alignment wrapText="1"/>
    </xf>
    <xf numFmtId="0" fontId="47" fillId="0" borderId="0" xfId="8" applyFont="1" applyAlignment="1">
      <alignment horizontal="center" vertical="center"/>
    </xf>
    <xf numFmtId="0" fontId="54" fillId="0" borderId="0" xfId="8" applyFont="1" applyAlignment="1">
      <alignment horizontal="center"/>
    </xf>
    <xf numFmtId="43" fontId="54" fillId="0" borderId="0" xfId="30" applyNumberFormat="1" applyFont="1"/>
    <xf numFmtId="0" fontId="47" fillId="0" borderId="13" xfId="1" applyNumberFormat="1" applyFont="1" applyBorder="1" applyAlignment="1">
      <alignment vertical="top" wrapText="1"/>
    </xf>
    <xf numFmtId="17" fontId="47" fillId="0" borderId="0" xfId="0" applyNumberFormat="1" applyFont="1" applyBorder="1" applyAlignment="1">
      <alignment horizontal="left" vertical="center"/>
    </xf>
    <xf numFmtId="17" fontId="47" fillId="0" borderId="0" xfId="0" applyNumberFormat="1" applyFont="1" applyBorder="1" applyAlignment="1">
      <alignment horizontal="left"/>
    </xf>
    <xf numFmtId="165" fontId="54" fillId="0" borderId="0" xfId="41" applyNumberFormat="1" applyFont="1"/>
    <xf numFmtId="10" fontId="54" fillId="0" borderId="0" xfId="30" applyNumberFormat="1" applyFont="1"/>
    <xf numFmtId="10" fontId="54" fillId="0" borderId="0" xfId="30" applyNumberFormat="1" applyFont="1" applyFill="1"/>
    <xf numFmtId="43" fontId="47" fillId="11" borderId="65" xfId="1" applyFont="1" applyFill="1" applyBorder="1"/>
    <xf numFmtId="43" fontId="48" fillId="24" borderId="0" xfId="1" applyFont="1" applyFill="1" applyBorder="1"/>
    <xf numFmtId="9" fontId="55" fillId="2" borderId="0" xfId="30" applyFont="1" applyFill="1" applyAlignment="1">
      <alignment horizontal="center" vertical="center"/>
    </xf>
    <xf numFmtId="0" fontId="7" fillId="0" borderId="12" xfId="49" applyFont="1" applyBorder="1" applyAlignment="1">
      <alignment horizontal="left"/>
    </xf>
    <xf numFmtId="0" fontId="7" fillId="0" borderId="12" xfId="49" applyFont="1" applyBorder="1"/>
    <xf numFmtId="0" fontId="34" fillId="0" borderId="13" xfId="49" applyBorder="1" applyAlignment="1">
      <alignment horizontal="left"/>
    </xf>
    <xf numFmtId="0" fontId="34" fillId="0" borderId="13" xfId="49" applyBorder="1" applyAlignment="1">
      <alignment horizontal="center" vertical="center"/>
    </xf>
    <xf numFmtId="39" fontId="47" fillId="0" borderId="13" xfId="50" applyNumberFormat="1" applyFont="1" applyBorder="1"/>
    <xf numFmtId="177" fontId="47" fillId="0" borderId="13" xfId="1" applyNumberFormat="1" applyFont="1" applyBorder="1"/>
    <xf numFmtId="0" fontId="52" fillId="0" borderId="52" xfId="49" applyFont="1" applyBorder="1"/>
    <xf numFmtId="39" fontId="48" fillId="0" borderId="52" xfId="50" applyNumberFormat="1" applyFont="1" applyBorder="1"/>
    <xf numFmtId="177" fontId="48" fillId="0" borderId="52" xfId="1" applyNumberFormat="1" applyFont="1" applyBorder="1"/>
    <xf numFmtId="43" fontId="48" fillId="0" borderId="54" xfId="43" applyFont="1" applyBorder="1"/>
    <xf numFmtId="0" fontId="34" fillId="0" borderId="13" xfId="49" applyBorder="1"/>
    <xf numFmtId="39" fontId="47" fillId="0" borderId="13" xfId="48" applyNumberFormat="1" applyFont="1" applyBorder="1"/>
    <xf numFmtId="43" fontId="55" fillId="0" borderId="54" xfId="43" applyFont="1" applyBorder="1"/>
    <xf numFmtId="0" fontId="52" fillId="0" borderId="52" xfId="49" applyFont="1" applyBorder="1" applyAlignment="1">
      <alignment horizontal="center" vertical="center"/>
    </xf>
    <xf numFmtId="39" fontId="48" fillId="0" borderId="52" xfId="50" applyNumberFormat="1" applyFont="1" applyBorder="1" applyAlignment="1">
      <alignment horizontal="center" vertical="center"/>
    </xf>
    <xf numFmtId="0" fontId="48" fillId="0" borderId="0" xfId="0" applyFont="1" applyBorder="1" applyAlignment="1">
      <alignment horizontal="left" vertical="center"/>
    </xf>
    <xf numFmtId="0" fontId="54" fillId="0" borderId="47" xfId="1" applyNumberFormat="1" applyFont="1" applyBorder="1" applyAlignment="1">
      <alignment wrapText="1"/>
    </xf>
    <xf numFmtId="43" fontId="48" fillId="0" borderId="74" xfId="1" applyFont="1" applyBorder="1"/>
    <xf numFmtId="43" fontId="47" fillId="0" borderId="55" xfId="1" applyFont="1" applyBorder="1" applyAlignment="1">
      <alignment horizontal="center" vertical="center"/>
    </xf>
    <xf numFmtId="177" fontId="47" fillId="0" borderId="55" xfId="1" applyNumberFormat="1" applyFont="1" applyBorder="1"/>
    <xf numFmtId="43" fontId="47" fillId="0" borderId="55" xfId="1" applyFont="1" applyBorder="1"/>
    <xf numFmtId="43" fontId="48" fillId="0" borderId="65" xfId="1" applyFont="1" applyBorder="1" applyAlignment="1">
      <alignment horizontal="left" vertical="center"/>
    </xf>
    <xf numFmtId="43" fontId="48" fillId="0" borderId="65" xfId="1" applyFont="1" applyBorder="1" applyAlignment="1">
      <alignment horizontal="center" vertical="center"/>
    </xf>
    <xf numFmtId="177" fontId="48" fillId="0" borderId="65" xfId="1" applyNumberFormat="1" applyFont="1" applyBorder="1" applyAlignment="1">
      <alignment horizontal="center" vertical="center"/>
    </xf>
    <xf numFmtId="43" fontId="48" fillId="0" borderId="47" xfId="1" applyFont="1" applyBorder="1" applyAlignment="1">
      <alignment horizontal="center" vertical="center"/>
    </xf>
    <xf numFmtId="177" fontId="48" fillId="0" borderId="47" xfId="1" applyNumberFormat="1" applyFont="1" applyBorder="1"/>
    <xf numFmtId="43" fontId="48" fillId="0" borderId="12" xfId="1" applyFont="1" applyBorder="1" applyAlignment="1">
      <alignment horizontal="center" vertical="center"/>
    </xf>
    <xf numFmtId="177" fontId="48" fillId="0" borderId="12" xfId="1" applyNumberFormat="1" applyFont="1" applyBorder="1"/>
    <xf numFmtId="43" fontId="99" fillId="0" borderId="15" xfId="57" applyFont="1" applyBorder="1" applyAlignment="1">
      <alignment horizontal="left" vertical="center"/>
    </xf>
    <xf numFmtId="43" fontId="47" fillId="0" borderId="33" xfId="1" applyFont="1" applyBorder="1"/>
    <xf numFmtId="177" fontId="47" fillId="0" borderId="76" xfId="1" applyNumberFormat="1" applyFont="1" applyBorder="1"/>
    <xf numFmtId="43" fontId="99" fillId="0" borderId="55" xfId="57" applyFont="1" applyBorder="1" applyAlignment="1">
      <alignment horizontal="left" vertical="center"/>
    </xf>
    <xf numFmtId="43" fontId="47" fillId="0" borderId="55" xfId="1" applyFont="1" applyBorder="1" applyAlignment="1">
      <alignment horizontal="right" vertical="center"/>
    </xf>
    <xf numFmtId="43" fontId="99" fillId="0" borderId="0" xfId="57" applyFont="1" applyBorder="1" applyAlignment="1">
      <alignment horizontal="left" vertical="center"/>
    </xf>
    <xf numFmtId="43" fontId="99" fillId="0" borderId="76" xfId="57" applyFont="1" applyBorder="1" applyAlignment="1">
      <alignment horizontal="left" vertical="center"/>
    </xf>
    <xf numFmtId="43" fontId="48" fillId="0" borderId="48" xfId="1" applyFont="1" applyBorder="1" applyAlignment="1">
      <alignment horizontal="left" vertical="center"/>
    </xf>
    <xf numFmtId="43" fontId="48" fillId="0" borderId="47" xfId="1" applyFont="1" applyBorder="1" applyAlignment="1">
      <alignment horizontal="left" vertical="center"/>
    </xf>
    <xf numFmtId="177" fontId="48" fillId="0" borderId="47" xfId="1" applyNumberFormat="1" applyFont="1" applyBorder="1" applyAlignment="1">
      <alignment horizontal="center" vertical="center"/>
    </xf>
    <xf numFmtId="43" fontId="48" fillId="0" borderId="12" xfId="1" applyFont="1" applyBorder="1" applyAlignment="1">
      <alignment horizontal="left" vertical="center"/>
    </xf>
    <xf numFmtId="177" fontId="48" fillId="0" borderId="12" xfId="1" applyNumberFormat="1" applyFont="1" applyBorder="1" applyAlignment="1">
      <alignment horizontal="center" vertical="center"/>
    </xf>
    <xf numFmtId="43" fontId="47" fillId="2" borderId="12" xfId="1" applyFont="1" applyFill="1" applyBorder="1" applyAlignment="1">
      <alignment horizontal="center" vertical="center"/>
    </xf>
    <xf numFmtId="43" fontId="47" fillId="0" borderId="2" xfId="1" applyFont="1" applyFill="1" applyBorder="1"/>
    <xf numFmtId="43" fontId="48" fillId="0" borderId="2" xfId="1" applyFont="1" applyFill="1" applyBorder="1"/>
    <xf numFmtId="43" fontId="47" fillId="0" borderId="47" xfId="1" applyFont="1" applyBorder="1" applyAlignment="1">
      <alignment horizontal="left" vertical="center"/>
    </xf>
    <xf numFmtId="43" fontId="47" fillId="0" borderId="15" xfId="1" applyFont="1" applyBorder="1" applyAlignment="1">
      <alignment horizontal="left" vertical="center"/>
    </xf>
    <xf numFmtId="43" fontId="47" fillId="2" borderId="15" xfId="1" applyFont="1" applyFill="1" applyBorder="1"/>
    <xf numFmtId="9" fontId="54" fillId="0" borderId="0" xfId="30" applyFont="1" applyFill="1"/>
    <xf numFmtId="43" fontId="54" fillId="0" borderId="0" xfId="43" applyFont="1" applyFill="1" applyAlignment="1">
      <alignment horizontal="center"/>
    </xf>
    <xf numFmtId="43" fontId="54" fillId="0" borderId="0" xfId="43" applyFont="1" applyFill="1" applyAlignment="1">
      <alignment horizontal="center" vertical="center"/>
    </xf>
    <xf numFmtId="177" fontId="92" fillId="2" borderId="13" xfId="1" applyNumberFormat="1" applyFont="1" applyFill="1" applyBorder="1" applyAlignment="1">
      <alignment horizontal="center" vertical="center"/>
    </xf>
    <xf numFmtId="177" fontId="47" fillId="2" borderId="12" xfId="1" applyNumberFormat="1" applyFont="1" applyFill="1" applyBorder="1"/>
    <xf numFmtId="43" fontId="48" fillId="0" borderId="54" xfId="1" applyFont="1" applyFill="1" applyBorder="1"/>
    <xf numFmtId="0" fontId="54" fillId="0" borderId="0" xfId="8" applyFont="1" applyAlignment="1">
      <alignment horizontal="right" vertical="center"/>
    </xf>
    <xf numFmtId="43" fontId="48" fillId="0" borderId="0" xfId="1" applyFont="1" applyAlignment="1">
      <alignment horizontal="center"/>
    </xf>
    <xf numFmtId="0" fontId="54" fillId="0" borderId="12" xfId="1" applyNumberFormat="1" applyFont="1" applyBorder="1" applyAlignment="1"/>
    <xf numFmtId="0" fontId="47" fillId="0" borderId="11" xfId="1" applyNumberFormat="1" applyFont="1" applyBorder="1" applyAlignment="1">
      <alignment horizontal="left" wrapText="1"/>
    </xf>
    <xf numFmtId="165" fontId="48" fillId="10" borderId="50" xfId="123" applyFont="1" applyFill="1" applyBorder="1" applyAlignment="1">
      <alignment horizontal="center" vertical="center"/>
    </xf>
    <xf numFmtId="165" fontId="48" fillId="10" borderId="59" xfId="123" applyFont="1" applyFill="1" applyBorder="1" applyAlignment="1">
      <alignment horizontal="center" vertical="center"/>
    </xf>
    <xf numFmtId="165" fontId="48" fillId="10" borderId="51" xfId="123" applyFont="1" applyFill="1" applyBorder="1" applyAlignment="1">
      <alignment horizontal="center" vertical="center"/>
    </xf>
    <xf numFmtId="43" fontId="47" fillId="0" borderId="22" xfId="1" applyFont="1" applyBorder="1"/>
    <xf numFmtId="43" fontId="47" fillId="0" borderId="23" xfId="1" applyFont="1" applyFill="1" applyBorder="1"/>
    <xf numFmtId="177" fontId="47" fillId="0" borderId="0" xfId="57" applyNumberFormat="1" applyFont="1" applyFill="1" applyBorder="1"/>
    <xf numFmtId="43" fontId="48" fillId="0" borderId="0" xfId="57" applyFont="1" applyFill="1" applyBorder="1" applyAlignment="1">
      <alignment horizontal="center"/>
    </xf>
    <xf numFmtId="43" fontId="48" fillId="0" borderId="0" xfId="57" applyFont="1" applyFill="1" applyBorder="1" applyAlignment="1">
      <alignment horizontal="left" vertical="center"/>
    </xf>
    <xf numFmtId="177" fontId="48" fillId="0" borderId="12" xfId="57" applyNumberFormat="1" applyFont="1" applyFill="1" applyBorder="1"/>
    <xf numFmtId="177" fontId="48" fillId="0" borderId="32" xfId="1" applyNumberFormat="1" applyFont="1" applyFill="1" applyBorder="1"/>
    <xf numFmtId="177" fontId="48" fillId="0" borderId="47" xfId="57" applyNumberFormat="1" applyFont="1" applyFill="1" applyBorder="1"/>
    <xf numFmtId="177" fontId="48" fillId="0" borderId="15" xfId="57" applyNumberFormat="1" applyFont="1" applyFill="1" applyBorder="1"/>
    <xf numFmtId="43" fontId="47" fillId="25" borderId="47" xfId="1" applyFont="1" applyFill="1" applyBorder="1"/>
    <xf numFmtId="43" fontId="47" fillId="25" borderId="12" xfId="1" applyFont="1" applyFill="1" applyBorder="1"/>
    <xf numFmtId="43" fontId="48" fillId="10" borderId="48" xfId="57" applyFont="1" applyFill="1" applyBorder="1" applyAlignment="1">
      <alignment horizontal="center" vertical="center"/>
    </xf>
    <xf numFmtId="43" fontId="47" fillId="0" borderId="24" xfId="1" applyFont="1" applyFill="1" applyBorder="1"/>
    <xf numFmtId="43" fontId="47" fillId="0" borderId="25" xfId="1" applyFont="1" applyFill="1" applyBorder="1"/>
    <xf numFmtId="43" fontId="48" fillId="0" borderId="25" xfId="1" applyFont="1" applyFill="1" applyBorder="1"/>
    <xf numFmtId="43" fontId="47" fillId="0" borderId="26" xfId="1" applyFont="1" applyFill="1" applyBorder="1"/>
    <xf numFmtId="43" fontId="47" fillId="0" borderId="15" xfId="57" applyFont="1" applyFill="1" applyBorder="1" applyAlignment="1">
      <alignment horizontal="left" vertical="center"/>
    </xf>
    <xf numFmtId="43" fontId="47" fillId="0" borderId="15" xfId="57" applyFont="1" applyFill="1" applyBorder="1" applyAlignment="1">
      <alignment horizontal="center" vertical="center"/>
    </xf>
    <xf numFmtId="43" fontId="47" fillId="7" borderId="47" xfId="1" applyFont="1" applyFill="1" applyBorder="1" applyAlignment="1">
      <alignment horizontal="left" vertical="center" wrapText="1"/>
    </xf>
    <xf numFmtId="43" fontId="48" fillId="0" borderId="46" xfId="57" applyFont="1" applyFill="1" applyBorder="1" applyAlignment="1">
      <alignment horizontal="left" vertical="center"/>
    </xf>
    <xf numFmtId="177" fontId="54" fillId="0" borderId="47" xfId="57" applyNumberFormat="1" applyFont="1" applyFill="1" applyBorder="1" applyAlignment="1">
      <alignment horizontal="center" vertical="center"/>
    </xf>
    <xf numFmtId="0" fontId="54" fillId="0" borderId="12" xfId="8" applyFont="1" applyBorder="1"/>
    <xf numFmtId="43" fontId="47" fillId="0" borderId="0" xfId="0" applyNumberFormat="1" applyFont="1" applyBorder="1"/>
    <xf numFmtId="0" fontId="48" fillId="0" borderId="0" xfId="31" applyFont="1" applyBorder="1" applyAlignment="1">
      <alignment horizontal="left" vertical="center"/>
    </xf>
    <xf numFmtId="165" fontId="48" fillId="0" borderId="0" xfId="123" applyFont="1" applyFill="1" applyBorder="1" applyAlignment="1">
      <alignment horizontal="center" vertical="center"/>
    </xf>
    <xf numFmtId="0" fontId="48" fillId="0" borderId="0" xfId="31" applyFont="1" applyBorder="1" applyAlignment="1">
      <alignment horizontal="center" vertical="center"/>
    </xf>
    <xf numFmtId="0" fontId="48" fillId="10" borderId="0" xfId="31" applyFont="1" applyFill="1" applyBorder="1" applyAlignment="1">
      <alignment horizontal="left" vertical="center"/>
    </xf>
    <xf numFmtId="165" fontId="47" fillId="10" borderId="0" xfId="123" applyFont="1" applyFill="1" applyBorder="1" applyAlignment="1">
      <alignment horizontal="center" vertical="center"/>
    </xf>
    <xf numFmtId="165" fontId="48" fillId="10" borderId="0" xfId="123" applyFont="1" applyFill="1" applyBorder="1" applyAlignment="1">
      <alignment horizontal="center" vertical="center"/>
    </xf>
    <xf numFmtId="0" fontId="48" fillId="2" borderId="0" xfId="31" applyFont="1" applyFill="1" applyBorder="1"/>
    <xf numFmtId="165" fontId="47" fillId="0" borderId="0" xfId="123" applyFont="1" applyFill="1" applyBorder="1" applyAlignment="1">
      <alignment horizontal="left" vertical="center"/>
    </xf>
    <xf numFmtId="165" fontId="47" fillId="0" borderId="0" xfId="123" applyFont="1" applyFill="1" applyBorder="1" applyAlignment="1">
      <alignment horizontal="center" vertical="center"/>
    </xf>
    <xf numFmtId="177" fontId="112" fillId="0" borderId="12" xfId="1" applyNumberFormat="1" applyFont="1" applyFill="1" applyBorder="1" applyAlignment="1">
      <alignment horizontal="center" vertical="center" wrapText="1"/>
    </xf>
    <xf numFmtId="165" fontId="101" fillId="0" borderId="0" xfId="141" applyFont="1"/>
    <xf numFmtId="165" fontId="102" fillId="0" borderId="0" xfId="141" applyFont="1" applyFill="1" applyBorder="1" applyAlignment="1">
      <alignment horizontal="left" vertical="center"/>
    </xf>
    <xf numFmtId="165" fontId="102" fillId="0" borderId="0" xfId="141" applyFont="1" applyFill="1" applyBorder="1" applyAlignment="1">
      <alignment horizontal="right"/>
    </xf>
    <xf numFmtId="169" fontId="102" fillId="0" borderId="0" xfId="141" applyNumberFormat="1" applyFont="1" applyFill="1" applyBorder="1" applyAlignment="1">
      <alignment horizontal="right"/>
    </xf>
    <xf numFmtId="165" fontId="102" fillId="0" borderId="0" xfId="141" applyFont="1" applyFill="1" applyBorder="1"/>
    <xf numFmtId="169" fontId="102" fillId="0" borderId="0" xfId="141" applyNumberFormat="1" applyFont="1" applyFill="1" applyBorder="1"/>
    <xf numFmtId="169" fontId="102" fillId="0" borderId="0" xfId="141" applyNumberFormat="1" applyFont="1"/>
    <xf numFmtId="169" fontId="101" fillId="0" borderId="0" xfId="141" applyNumberFormat="1" applyFont="1"/>
    <xf numFmtId="165" fontId="101" fillId="0" borderId="0" xfId="141" applyFont="1" applyBorder="1"/>
    <xf numFmtId="165" fontId="102" fillId="0" borderId="0" xfId="141" applyFont="1" applyFill="1" applyBorder="1" applyAlignment="1">
      <alignment horizontal="center" vertical="center"/>
    </xf>
    <xf numFmtId="165" fontId="102" fillId="0" borderId="0" xfId="141" applyFont="1" applyFill="1" applyBorder="1" applyAlignment="1">
      <alignment horizontal="left"/>
    </xf>
    <xf numFmtId="165" fontId="99" fillId="17" borderId="0" xfId="141" applyFont="1" applyFill="1" applyBorder="1" applyAlignment="1">
      <alignment vertical="center"/>
    </xf>
    <xf numFmtId="169" fontId="102" fillId="0" borderId="46" xfId="141" applyNumberFormat="1" applyFont="1" applyFill="1" applyBorder="1" applyAlignment="1">
      <alignment horizontal="centerContinuous" vertical="center"/>
    </xf>
    <xf numFmtId="165" fontId="102" fillId="0" borderId="34" xfId="141" applyFont="1" applyFill="1" applyBorder="1" applyAlignment="1">
      <alignment vertical="center"/>
    </xf>
    <xf numFmtId="165" fontId="102" fillId="0" borderId="34" xfId="141" applyFont="1" applyFill="1" applyBorder="1" applyAlignment="1">
      <alignment horizontal="center" vertical="center"/>
    </xf>
    <xf numFmtId="165" fontId="102" fillId="0" borderId="3" xfId="141" applyFont="1" applyFill="1" applyBorder="1" applyAlignment="1">
      <alignment horizontal="center" vertical="center"/>
    </xf>
    <xf numFmtId="165" fontId="101" fillId="0" borderId="0" xfId="141" applyFont="1" applyBorder="1" applyAlignment="1">
      <alignment horizontal="center" vertical="center"/>
    </xf>
    <xf numFmtId="169" fontId="102" fillId="0" borderId="74" xfId="141" applyNumberFormat="1" applyFont="1" applyFill="1" applyBorder="1" applyAlignment="1">
      <alignment horizontal="centerContinuous" vertical="center"/>
    </xf>
    <xf numFmtId="169" fontId="102" fillId="0" borderId="55" xfId="141" applyNumberFormat="1" applyFont="1" applyFill="1" applyBorder="1" applyAlignment="1">
      <alignment horizontal="centerContinuous" vertical="center"/>
    </xf>
    <xf numFmtId="169" fontId="102" fillId="0" borderId="75" xfId="141" applyNumberFormat="1" applyFont="1" applyFill="1" applyBorder="1" applyAlignment="1">
      <alignment horizontal="centerContinuous" vertical="center"/>
    </xf>
    <xf numFmtId="165" fontId="99" fillId="18" borderId="0" xfId="141" applyFont="1" applyFill="1" applyBorder="1" applyAlignment="1">
      <alignment vertical="center"/>
    </xf>
    <xf numFmtId="169" fontId="102" fillId="0" borderId="48" xfId="141" applyNumberFormat="1" applyFont="1" applyFill="1" applyBorder="1" applyAlignment="1">
      <alignment horizontal="centerContinuous" vertical="center"/>
    </xf>
    <xf numFmtId="177" fontId="102" fillId="0" borderId="54" xfId="57" applyNumberFormat="1" applyFont="1" applyFill="1" applyBorder="1" applyAlignment="1">
      <alignment horizontal="center" vertical="center"/>
    </xf>
    <xf numFmtId="177" fontId="101" fillId="0" borderId="46" xfId="57" applyNumberFormat="1" applyFont="1" applyBorder="1" applyAlignment="1">
      <alignment horizontal="centerContinuous" vertical="center"/>
    </xf>
    <xf numFmtId="165" fontId="101" fillId="0" borderId="0" xfId="141" applyFont="1" applyBorder="1" applyAlignment="1">
      <alignment horizontal="center" vertical="center" wrapText="1"/>
    </xf>
    <xf numFmtId="169" fontId="102" fillId="0" borderId="33" xfId="141" applyNumberFormat="1" applyFont="1" applyFill="1" applyBorder="1" applyAlignment="1">
      <alignment vertical="center"/>
    </xf>
    <xf numFmtId="169" fontId="102" fillId="0" borderId="76" xfId="141" applyNumberFormat="1" applyFont="1" applyFill="1" applyBorder="1" applyAlignment="1">
      <alignment vertical="center"/>
    </xf>
    <xf numFmtId="169" fontId="102" fillId="0" borderId="77" xfId="141" applyNumberFormat="1" applyFont="1" applyFill="1" applyBorder="1" applyAlignment="1">
      <alignment vertical="center"/>
    </xf>
    <xf numFmtId="177" fontId="102" fillId="0" borderId="83" xfId="57" applyNumberFormat="1" applyFont="1" applyFill="1" applyBorder="1" applyAlignment="1">
      <alignment horizontal="centerContinuous" vertical="center"/>
    </xf>
    <xf numFmtId="165" fontId="99" fillId="2" borderId="0" xfId="141" applyFont="1" applyFill="1" applyBorder="1" applyAlignment="1">
      <alignment vertical="center"/>
    </xf>
    <xf numFmtId="169" fontId="102" fillId="0" borderId="62" xfId="141" applyNumberFormat="1" applyFont="1" applyFill="1" applyBorder="1" applyAlignment="1">
      <alignment horizontal="center" vertical="center"/>
    </xf>
    <xf numFmtId="169" fontId="102" fillId="0" borderId="22" xfId="141" applyNumberFormat="1" applyFont="1" applyFill="1" applyBorder="1" applyAlignment="1">
      <alignment horizontal="center" vertical="center"/>
    </xf>
    <xf numFmtId="169" fontId="102" fillId="0" borderId="37" xfId="141" applyNumberFormat="1" applyFont="1" applyFill="1" applyBorder="1" applyAlignment="1">
      <alignment horizontal="center" vertical="center"/>
    </xf>
    <xf numFmtId="169" fontId="102" fillId="0" borderId="23" xfId="141" applyNumberFormat="1" applyFont="1" applyFill="1" applyBorder="1" applyAlignment="1">
      <alignment horizontal="center" vertical="center"/>
    </xf>
    <xf numFmtId="177" fontId="102" fillId="0" borderId="63" xfId="57" applyNumberFormat="1" applyFont="1" applyBorder="1" applyAlignment="1">
      <alignment horizontal="center" vertical="center" wrapText="1"/>
    </xf>
    <xf numFmtId="165" fontId="102" fillId="0" borderId="34" xfId="141" applyFont="1" applyFill="1" applyBorder="1" applyAlignment="1">
      <alignment horizontal="center" wrapText="1"/>
    </xf>
    <xf numFmtId="177" fontId="102" fillId="0" borderId="37" xfId="57" applyNumberFormat="1" applyFont="1" applyBorder="1" applyAlignment="1">
      <alignment horizontal="center" vertical="center" wrapText="1"/>
    </xf>
    <xf numFmtId="177" fontId="102" fillId="0" borderId="84" xfId="57" applyNumberFormat="1" applyFont="1" applyBorder="1" applyAlignment="1">
      <alignment horizontal="center" vertical="center" wrapText="1"/>
    </xf>
    <xf numFmtId="165" fontId="102" fillId="0" borderId="3" xfId="141" applyFont="1" applyBorder="1" applyAlignment="1">
      <alignment horizontal="center" wrapText="1"/>
    </xf>
    <xf numFmtId="177" fontId="102" fillId="0" borderId="84" xfId="57" applyNumberFormat="1" applyFont="1" applyBorder="1" applyAlignment="1">
      <alignment horizontal="center" wrapText="1"/>
    </xf>
    <xf numFmtId="165" fontId="102" fillId="0" borderId="0" xfId="141" applyFont="1" applyBorder="1" applyAlignment="1">
      <alignment horizontal="center" wrapText="1"/>
    </xf>
    <xf numFmtId="169" fontId="102" fillId="0" borderId="62" xfId="141" applyNumberFormat="1" applyFont="1" applyFill="1" applyBorder="1" applyAlignment="1">
      <alignment horizontal="center" wrapText="1"/>
    </xf>
    <xf numFmtId="169" fontId="102" fillId="0" borderId="22" xfId="141" applyNumberFormat="1" applyFont="1" applyFill="1" applyBorder="1" applyAlignment="1">
      <alignment horizontal="center" wrapText="1"/>
    </xf>
    <xf numFmtId="169" fontId="102" fillId="0" borderId="23" xfId="141" applyNumberFormat="1" applyFont="1" applyFill="1" applyBorder="1" applyAlignment="1">
      <alignment horizontal="center" wrapText="1"/>
    </xf>
    <xf numFmtId="169" fontId="102" fillId="0" borderId="0" xfId="141" applyNumberFormat="1" applyFont="1" applyFill="1" applyBorder="1" applyAlignment="1">
      <alignment horizontal="center" vertical="center"/>
    </xf>
    <xf numFmtId="165" fontId="99" fillId="12" borderId="0" xfId="141" applyFont="1" applyFill="1" applyBorder="1" applyAlignment="1">
      <alignment vertical="center"/>
    </xf>
    <xf numFmtId="169" fontId="102" fillId="12" borderId="24" xfId="141" applyNumberFormat="1" applyFont="1" applyFill="1" applyBorder="1" applyAlignment="1">
      <alignment horizontal="center" vertical="center"/>
    </xf>
    <xf numFmtId="169" fontId="102" fillId="12" borderId="25" xfId="141" applyNumberFormat="1" applyFont="1" applyFill="1" applyBorder="1" applyAlignment="1">
      <alignment horizontal="center" vertical="center"/>
    </xf>
    <xf numFmtId="169" fontId="102" fillId="12" borderId="42" xfId="141" applyNumberFormat="1" applyFont="1" applyFill="1" applyBorder="1" applyAlignment="1">
      <alignment horizontal="center" vertical="center"/>
    </xf>
    <xf numFmtId="169" fontId="102" fillId="12" borderId="26" xfId="141" applyNumberFormat="1" applyFont="1" applyFill="1" applyBorder="1" applyAlignment="1">
      <alignment horizontal="center" vertical="center"/>
    </xf>
    <xf numFmtId="177" fontId="99" fillId="12" borderId="78" xfId="57" applyNumberFormat="1" applyFont="1" applyFill="1" applyBorder="1" applyAlignment="1">
      <alignment horizontal="center" vertical="center"/>
    </xf>
    <xf numFmtId="165" fontId="99" fillId="12" borderId="56" xfId="141" applyFont="1" applyFill="1" applyBorder="1" applyAlignment="1">
      <alignment horizontal="center" vertical="center"/>
    </xf>
    <xf numFmtId="165" fontId="99" fillId="12" borderId="58" xfId="141" applyFont="1" applyFill="1" applyBorder="1" applyAlignment="1">
      <alignment horizontal="center" vertical="center"/>
    </xf>
    <xf numFmtId="165" fontId="99" fillId="12" borderId="57" xfId="141" applyFont="1" applyFill="1" applyBorder="1" applyAlignment="1">
      <alignment horizontal="center" vertical="center"/>
    </xf>
    <xf numFmtId="165" fontId="103" fillId="0" borderId="0" xfId="141" applyFont="1" applyFill="1" applyBorder="1" applyAlignment="1">
      <alignment horizontal="center" vertical="center"/>
    </xf>
    <xf numFmtId="169" fontId="104" fillId="0" borderId="0" xfId="141" applyNumberFormat="1" applyFont="1" applyFill="1" applyBorder="1" applyAlignment="1">
      <alignment horizontal="center" vertical="center"/>
    </xf>
    <xf numFmtId="165" fontId="99" fillId="0" borderId="0" xfId="141" applyFont="1" applyFill="1" applyBorder="1" applyAlignment="1">
      <alignment horizontal="left"/>
    </xf>
    <xf numFmtId="165" fontId="99" fillId="0" borderId="76" xfId="141" applyFont="1" applyFill="1" applyBorder="1" applyAlignment="1">
      <alignment horizontal="right"/>
    </xf>
    <xf numFmtId="165" fontId="99" fillId="0" borderId="0" xfId="141" applyFont="1" applyFill="1" applyBorder="1" applyAlignment="1">
      <alignment horizontal="right"/>
    </xf>
    <xf numFmtId="165" fontId="105" fillId="0" borderId="0" xfId="141" applyFont="1" applyFill="1" applyBorder="1" applyAlignment="1">
      <alignment horizontal="right"/>
    </xf>
    <xf numFmtId="165" fontId="108" fillId="0" borderId="0" xfId="141" applyFont="1" applyFill="1" applyBorder="1" applyAlignment="1">
      <alignment horizontal="right"/>
    </xf>
    <xf numFmtId="169" fontId="99" fillId="0" borderId="35" xfId="141" applyNumberFormat="1" applyFont="1" applyBorder="1" applyAlignment="1">
      <alignment horizontal="center" textRotation="90" wrapText="1"/>
    </xf>
    <xf numFmtId="169" fontId="99" fillId="0" borderId="7" xfId="141" applyNumberFormat="1" applyFont="1" applyBorder="1" applyAlignment="1">
      <alignment horizontal="center" textRotation="90" wrapText="1"/>
    </xf>
    <xf numFmtId="169" fontId="99" fillId="0" borderId="36" xfId="141" applyNumberFormat="1" applyFont="1" applyBorder="1" applyAlignment="1">
      <alignment horizontal="center" textRotation="90" wrapText="1"/>
    </xf>
    <xf numFmtId="169" fontId="99" fillId="0" borderId="8" xfId="141" applyNumberFormat="1" applyFont="1" applyBorder="1" applyAlignment="1">
      <alignment horizontal="center" textRotation="90" wrapText="1"/>
    </xf>
    <xf numFmtId="165" fontId="99" fillId="0" borderId="0" xfId="141" applyFont="1" applyBorder="1" applyAlignment="1">
      <alignment horizontal="center" textRotation="90" wrapText="1"/>
    </xf>
    <xf numFmtId="165" fontId="99" fillId="0" borderId="34" xfId="141" applyFont="1" applyFill="1" applyBorder="1" applyAlignment="1">
      <alignment horizontal="center" textRotation="90" wrapText="1"/>
    </xf>
    <xf numFmtId="177" fontId="99" fillId="0" borderId="77" xfId="57" applyNumberFormat="1" applyFont="1" applyFill="1" applyBorder="1" applyAlignment="1">
      <alignment horizontal="center" textRotation="90" wrapText="1"/>
    </xf>
    <xf numFmtId="165" fontId="99" fillId="0" borderId="3" xfId="141" applyFont="1" applyBorder="1" applyAlignment="1">
      <alignment horizontal="center" textRotation="90" wrapText="1"/>
    </xf>
    <xf numFmtId="177" fontId="99" fillId="0" borderId="77" xfId="57" applyNumberFormat="1" applyFont="1" applyBorder="1" applyAlignment="1">
      <alignment horizontal="center" textRotation="90" wrapText="1"/>
    </xf>
    <xf numFmtId="165" fontId="107" fillId="0" borderId="0" xfId="141" applyFont="1" applyBorder="1"/>
    <xf numFmtId="165" fontId="107" fillId="0" borderId="0" xfId="141" applyFont="1"/>
    <xf numFmtId="165" fontId="102" fillId="0" borderId="46" xfId="141" applyFont="1" applyFill="1" applyBorder="1" applyAlignment="1">
      <alignment horizontal="center" vertical="center"/>
    </xf>
    <xf numFmtId="169" fontId="107" fillId="0" borderId="46" xfId="141" applyNumberFormat="1" applyFont="1" applyBorder="1" applyAlignment="1">
      <alignment horizontal="center" vertical="center"/>
    </xf>
    <xf numFmtId="165" fontId="102" fillId="0" borderId="50" xfId="141" applyFont="1" applyFill="1" applyBorder="1" applyAlignment="1">
      <alignment horizontal="center" vertical="center"/>
    </xf>
    <xf numFmtId="165" fontId="102" fillId="0" borderId="59" xfId="141" applyFont="1" applyFill="1" applyBorder="1" applyAlignment="1">
      <alignment horizontal="center" vertical="center"/>
    </xf>
    <xf numFmtId="165" fontId="102" fillId="0" borderId="51" xfId="141" applyFont="1" applyFill="1" applyBorder="1" applyAlignment="1">
      <alignment horizontal="center" vertical="center"/>
    </xf>
    <xf numFmtId="165" fontId="102" fillId="0" borderId="50" xfId="141" applyFont="1" applyFill="1" applyBorder="1" applyAlignment="1">
      <alignment horizontal="center" vertical="center" wrapText="1"/>
    </xf>
    <xf numFmtId="165" fontId="108" fillId="0" borderId="59" xfId="141" applyFont="1" applyFill="1" applyBorder="1" applyAlignment="1">
      <alignment horizontal="center" vertical="center"/>
    </xf>
    <xf numFmtId="165" fontId="109" fillId="0" borderId="51" xfId="141" applyFont="1" applyFill="1" applyBorder="1" applyAlignment="1">
      <alignment horizontal="center" vertical="center" wrapText="1"/>
    </xf>
    <xf numFmtId="165" fontId="108" fillId="0" borderId="59" xfId="141" applyFont="1" applyFill="1" applyBorder="1" applyAlignment="1">
      <alignment horizontal="center" vertical="center" wrapText="1"/>
    </xf>
    <xf numFmtId="165" fontId="109" fillId="0" borderId="51" xfId="141" applyFont="1" applyFill="1" applyBorder="1" applyAlignment="1">
      <alignment horizontal="center" vertical="center"/>
    </xf>
    <xf numFmtId="165" fontId="109" fillId="0" borderId="0" xfId="141" applyFont="1" applyFill="1" applyBorder="1" applyAlignment="1">
      <alignment horizontal="center" vertical="center"/>
    </xf>
    <xf numFmtId="169" fontId="102" fillId="0" borderId="50" xfId="141" applyNumberFormat="1" applyFont="1" applyFill="1" applyBorder="1" applyAlignment="1">
      <alignment horizontal="center" vertical="center"/>
    </xf>
    <xf numFmtId="169" fontId="102" fillId="0" borderId="60" xfId="141" applyNumberFormat="1" applyFont="1" applyFill="1" applyBorder="1" applyAlignment="1">
      <alignment horizontal="center" vertical="center"/>
    </xf>
    <xf numFmtId="169" fontId="102" fillId="0" borderId="61" xfId="141" applyNumberFormat="1" applyFont="1" applyFill="1" applyBorder="1" applyAlignment="1">
      <alignment horizontal="center" vertical="center"/>
    </xf>
    <xf numFmtId="169" fontId="102" fillId="0" borderId="59" xfId="141" applyNumberFormat="1" applyFont="1" applyFill="1" applyBorder="1" applyAlignment="1">
      <alignment horizontal="center" vertical="center"/>
    </xf>
    <xf numFmtId="169" fontId="102" fillId="0" borderId="8" xfId="141" applyNumberFormat="1" applyFont="1" applyFill="1" applyBorder="1" applyAlignment="1">
      <alignment horizontal="center" vertical="center"/>
    </xf>
    <xf numFmtId="165" fontId="99" fillId="0" borderId="34" xfId="141" applyFont="1" applyFill="1" applyBorder="1" applyAlignment="1">
      <alignment wrapText="1"/>
    </xf>
    <xf numFmtId="177" fontId="102" fillId="0" borderId="83" xfId="57" applyNumberFormat="1" applyFont="1" applyFill="1" applyBorder="1" applyAlignment="1">
      <alignment horizontal="center" vertical="center" wrapText="1"/>
    </xf>
    <xf numFmtId="177" fontId="102" fillId="0" borderId="75" xfId="57" applyNumberFormat="1" applyFont="1" applyFill="1" applyBorder="1" applyAlignment="1">
      <alignment horizontal="center" vertical="center" wrapText="1"/>
    </xf>
    <xf numFmtId="165" fontId="102" fillId="0" borderId="3" xfId="141" applyFont="1" applyFill="1" applyBorder="1" applyAlignment="1">
      <alignment horizontal="center" vertical="center" wrapText="1"/>
    </xf>
    <xf numFmtId="165" fontId="99" fillId="0" borderId="0" xfId="141" applyFont="1" applyFill="1" applyBorder="1" applyAlignment="1">
      <alignment wrapText="1"/>
    </xf>
    <xf numFmtId="169" fontId="102" fillId="0" borderId="50" xfId="141" applyNumberFormat="1" applyFont="1" applyBorder="1" applyAlignment="1">
      <alignment horizontal="center" vertical="center"/>
    </xf>
    <xf numFmtId="169" fontId="102" fillId="0" borderId="59" xfId="141" applyNumberFormat="1" applyFont="1" applyBorder="1" applyAlignment="1">
      <alignment horizontal="center" vertical="center"/>
    </xf>
    <xf numFmtId="169" fontId="102" fillId="0" borderId="61" xfId="141" applyNumberFormat="1" applyFont="1" applyBorder="1" applyAlignment="1">
      <alignment horizontal="center" vertical="center"/>
    </xf>
    <xf numFmtId="169" fontId="102" fillId="0" borderId="51" xfId="141" applyNumberFormat="1" applyFont="1" applyBorder="1" applyAlignment="1">
      <alignment horizontal="center" vertical="center"/>
    </xf>
    <xf numFmtId="169" fontId="102" fillId="0" borderId="56" xfId="141" applyNumberFormat="1" applyFont="1" applyFill="1" applyBorder="1" applyAlignment="1">
      <alignment horizontal="center" vertical="center" wrapText="1"/>
    </xf>
    <xf numFmtId="169" fontId="102" fillId="0" borderId="58" xfId="141" applyNumberFormat="1" applyFont="1" applyFill="1" applyBorder="1" applyAlignment="1">
      <alignment horizontal="center" vertical="center" wrapText="1"/>
    </xf>
    <xf numFmtId="169" fontId="102" fillId="0" borderId="57" xfId="141" applyNumberFormat="1" applyFont="1" applyFill="1" applyBorder="1" applyAlignment="1">
      <alignment horizontal="center" vertical="center" wrapText="1"/>
    </xf>
    <xf numFmtId="165" fontId="101" fillId="0" borderId="75" xfId="141" applyFont="1" applyFill="1" applyBorder="1" applyAlignment="1">
      <alignment horizontal="center" vertical="center"/>
    </xf>
    <xf numFmtId="169" fontId="107" fillId="11" borderId="47" xfId="141" applyNumberFormat="1" applyFont="1" applyFill="1" applyBorder="1" applyAlignment="1">
      <alignment horizontal="center" vertical="center"/>
    </xf>
    <xf numFmtId="165" fontId="107" fillId="0" borderId="62" xfId="141" applyFont="1" applyBorder="1" applyAlignment="1">
      <alignment horizontal="left"/>
    </xf>
    <xf numFmtId="165" fontId="107" fillId="0" borderId="22" xfId="141" applyFont="1" applyBorder="1" applyAlignment="1">
      <alignment horizontal="left"/>
    </xf>
    <xf numFmtId="165" fontId="107" fillId="0" borderId="21" xfId="141" applyFont="1" applyBorder="1" applyAlignment="1">
      <alignment horizontal="center"/>
    </xf>
    <xf numFmtId="165" fontId="99" fillId="0" borderId="19" xfId="141" applyFont="1" applyFill="1" applyBorder="1" applyAlignment="1">
      <alignment horizontal="right"/>
    </xf>
    <xf numFmtId="165" fontId="106" fillId="0" borderId="20" xfId="141" applyFont="1" applyFill="1" applyBorder="1" applyAlignment="1">
      <alignment horizontal="right"/>
    </xf>
    <xf numFmtId="165" fontId="99" fillId="0" borderId="21" xfId="141" applyFont="1" applyFill="1" applyBorder="1" applyAlignment="1">
      <alignment horizontal="right"/>
    </xf>
    <xf numFmtId="165" fontId="99" fillId="0" borderId="62" xfId="141" applyFont="1" applyFill="1" applyBorder="1" applyAlignment="1">
      <alignment horizontal="right" vertical="center"/>
    </xf>
    <xf numFmtId="165" fontId="108" fillId="0" borderId="22" xfId="141" applyFont="1" applyFill="1" applyBorder="1" applyAlignment="1"/>
    <xf numFmtId="165" fontId="109" fillId="0" borderId="23" xfId="141" applyFont="1" applyFill="1" applyBorder="1" applyAlignment="1"/>
    <xf numFmtId="165" fontId="99" fillId="0" borderId="0" xfId="141" applyFont="1" applyFill="1" applyBorder="1" applyAlignment="1"/>
    <xf numFmtId="169" fontId="99" fillId="0" borderId="62" xfId="141" applyNumberFormat="1" applyFont="1" applyFill="1" applyBorder="1" applyAlignment="1"/>
    <xf numFmtId="169" fontId="99" fillId="0" borderId="22" xfId="141" applyNumberFormat="1" applyFont="1" applyFill="1" applyBorder="1" applyAlignment="1"/>
    <xf numFmtId="169" fontId="99" fillId="0" borderId="37" xfId="141" applyNumberFormat="1" applyFont="1" applyFill="1" applyBorder="1" applyAlignment="1"/>
    <xf numFmtId="169" fontId="99" fillId="0" borderId="23" xfId="141" applyNumberFormat="1" applyFont="1" applyFill="1" applyBorder="1" applyAlignment="1"/>
    <xf numFmtId="177" fontId="99" fillId="0" borderId="84" xfId="57" applyNumberFormat="1" applyFont="1" applyFill="1" applyBorder="1" applyAlignment="1"/>
    <xf numFmtId="177" fontId="99" fillId="0" borderId="85" xfId="57" applyNumberFormat="1" applyFont="1" applyFill="1" applyBorder="1" applyAlignment="1">
      <alignment wrapText="1"/>
    </xf>
    <xf numFmtId="169" fontId="99" fillId="0" borderId="50" xfId="141" applyNumberFormat="1" applyFont="1" applyFill="1" applyBorder="1" applyAlignment="1">
      <alignment wrapText="1"/>
    </xf>
    <xf numFmtId="169" fontId="99" fillId="0" borderId="59" xfId="141" applyNumberFormat="1" applyFont="1" applyFill="1" applyBorder="1" applyAlignment="1">
      <alignment wrapText="1"/>
    </xf>
    <xf numFmtId="169" fontId="99" fillId="0" borderId="51" xfId="141" applyNumberFormat="1" applyFont="1" applyFill="1" applyBorder="1" applyAlignment="1">
      <alignment wrapText="1"/>
    </xf>
    <xf numFmtId="177" fontId="99" fillId="0" borderId="50" xfId="57" applyNumberFormat="1" applyFont="1" applyFill="1" applyBorder="1" applyAlignment="1">
      <alignment wrapText="1"/>
    </xf>
    <xf numFmtId="177" fontId="99" fillId="0" borderId="59" xfId="57" applyNumberFormat="1" applyFont="1" applyFill="1" applyBorder="1" applyAlignment="1">
      <alignment wrapText="1"/>
    </xf>
    <xf numFmtId="177" fontId="99" fillId="0" borderId="61" xfId="57" applyNumberFormat="1" applyFont="1" applyFill="1" applyBorder="1" applyAlignment="1">
      <alignment wrapText="1"/>
    </xf>
    <xf numFmtId="177" fontId="99" fillId="0" borderId="58" xfId="57" applyNumberFormat="1" applyFont="1" applyFill="1" applyBorder="1" applyAlignment="1">
      <alignment wrapText="1"/>
    </xf>
    <xf numFmtId="177" fontId="99" fillId="0" borderId="57" xfId="57" applyNumberFormat="1" applyFont="1" applyFill="1" applyBorder="1" applyAlignment="1">
      <alignment wrapText="1"/>
    </xf>
    <xf numFmtId="165" fontId="107" fillId="0" borderId="0" xfId="141" applyFont="1" applyFill="1" applyBorder="1"/>
    <xf numFmtId="169" fontId="99" fillId="0" borderId="62" xfId="141" applyNumberFormat="1" applyFont="1" applyFill="1" applyBorder="1" applyAlignment="1">
      <alignment wrapText="1"/>
    </xf>
    <xf numFmtId="169" fontId="99" fillId="0" borderId="22" xfId="141" applyNumberFormat="1" applyFont="1" applyFill="1" applyBorder="1" applyAlignment="1">
      <alignment wrapText="1"/>
    </xf>
    <xf numFmtId="169" fontId="99" fillId="0" borderId="23" xfId="141" applyNumberFormat="1" applyFont="1" applyFill="1" applyBorder="1" applyAlignment="1">
      <alignment wrapText="1"/>
    </xf>
    <xf numFmtId="165" fontId="107" fillId="0" borderId="23" xfId="141" applyFont="1" applyBorder="1" applyAlignment="1">
      <alignment horizontal="center"/>
    </xf>
    <xf numFmtId="165" fontId="99" fillId="0" borderId="62" xfId="141" applyFont="1" applyFill="1" applyBorder="1" applyAlignment="1">
      <alignment horizontal="right"/>
    </xf>
    <xf numFmtId="165" fontId="106" fillId="0" borderId="22" xfId="141" applyFont="1" applyFill="1" applyBorder="1" applyAlignment="1">
      <alignment horizontal="right"/>
    </xf>
    <xf numFmtId="165" fontId="99" fillId="0" borderId="23" xfId="141" applyFont="1" applyFill="1" applyBorder="1" applyAlignment="1">
      <alignment horizontal="right"/>
    </xf>
    <xf numFmtId="177" fontId="99" fillId="0" borderId="84" xfId="57" applyNumberFormat="1" applyFont="1" applyFill="1" applyBorder="1" applyAlignment="1">
      <alignment wrapText="1"/>
    </xf>
    <xf numFmtId="169" fontId="107" fillId="11" borderId="12" xfId="141" applyNumberFormat="1" applyFont="1" applyFill="1" applyBorder="1" applyAlignment="1">
      <alignment horizontal="center" vertical="center"/>
    </xf>
    <xf numFmtId="165" fontId="107" fillId="0" borderId="19" xfId="141" applyFont="1" applyBorder="1" applyAlignment="1">
      <alignment horizontal="left"/>
    </xf>
    <xf numFmtId="165" fontId="107" fillId="0" borderId="20" xfId="141" applyFont="1" applyBorder="1" applyAlignment="1">
      <alignment horizontal="left"/>
    </xf>
    <xf numFmtId="165" fontId="99" fillId="0" borderId="19" xfId="141" applyFont="1" applyFill="1" applyBorder="1" applyAlignment="1">
      <alignment horizontal="right" vertical="center"/>
    </xf>
    <xf numFmtId="165" fontId="108" fillId="0" borderId="20" xfId="141" applyFont="1" applyFill="1" applyBorder="1" applyAlignment="1"/>
    <xf numFmtId="165" fontId="102" fillId="0" borderId="21" xfId="141" applyFont="1" applyFill="1" applyBorder="1" applyAlignment="1">
      <alignment horizontal="right"/>
    </xf>
    <xf numFmtId="169" fontId="99" fillId="0" borderId="19" xfId="141" applyNumberFormat="1" applyFont="1" applyFill="1" applyBorder="1" applyAlignment="1"/>
    <xf numFmtId="169" fontId="99" fillId="0" borderId="20" xfId="141" applyNumberFormat="1" applyFont="1" applyFill="1" applyBorder="1" applyAlignment="1"/>
    <xf numFmtId="169" fontId="99" fillId="0" borderId="38" xfId="141" applyNumberFormat="1" applyFont="1" applyFill="1" applyBorder="1" applyAlignment="1"/>
    <xf numFmtId="169" fontId="99" fillId="0" borderId="21" xfId="141" applyNumberFormat="1" applyFont="1" applyFill="1" applyBorder="1" applyAlignment="1"/>
    <xf numFmtId="177" fontId="99" fillId="0" borderId="85" xfId="57" applyNumberFormat="1" applyFont="1" applyFill="1" applyBorder="1" applyAlignment="1"/>
    <xf numFmtId="169" fontId="99" fillId="0" borderId="19" xfId="141" applyNumberFormat="1" applyFont="1" applyFill="1" applyBorder="1" applyAlignment="1">
      <alignment wrapText="1"/>
    </xf>
    <xf numFmtId="169" fontId="99" fillId="0" borderId="20" xfId="141" applyNumberFormat="1" applyFont="1" applyFill="1" applyBorder="1" applyAlignment="1">
      <alignment wrapText="1"/>
    </xf>
    <xf numFmtId="169" fontId="99" fillId="0" borderId="21" xfId="141" applyNumberFormat="1" applyFont="1" applyFill="1" applyBorder="1" applyAlignment="1">
      <alignment wrapText="1"/>
    </xf>
    <xf numFmtId="165" fontId="99" fillId="13" borderId="21" xfId="141" applyFont="1" applyFill="1" applyBorder="1" applyAlignment="1">
      <alignment vertical="center"/>
    </xf>
    <xf numFmtId="165" fontId="106" fillId="13" borderId="20" xfId="141" applyFont="1" applyFill="1" applyBorder="1" applyAlignment="1">
      <alignment horizontal="right"/>
    </xf>
    <xf numFmtId="165" fontId="102" fillId="0" borderId="21" xfId="141" applyFont="1" applyFill="1" applyBorder="1" applyAlignment="1"/>
    <xf numFmtId="165" fontId="109" fillId="0" borderId="21" xfId="141" applyFont="1" applyFill="1" applyBorder="1" applyAlignment="1">
      <alignment horizontal="center" vertical="center"/>
    </xf>
    <xf numFmtId="165" fontId="99" fillId="2" borderId="21" xfId="141" applyFont="1" applyFill="1" applyBorder="1" applyAlignment="1">
      <alignment vertical="center"/>
    </xf>
    <xf numFmtId="165" fontId="99" fillId="2" borderId="19" xfId="141" applyFont="1" applyFill="1" applyBorder="1" applyAlignment="1">
      <alignment horizontal="right"/>
    </xf>
    <xf numFmtId="165" fontId="109" fillId="0" borderId="21" xfId="141" applyFont="1" applyFill="1" applyBorder="1" applyAlignment="1"/>
    <xf numFmtId="165" fontId="99" fillId="0" borderId="2" xfId="141" applyFont="1" applyFill="1" applyBorder="1" applyAlignment="1"/>
    <xf numFmtId="165" fontId="99" fillId="2" borderId="19" xfId="141" applyFont="1" applyFill="1" applyBorder="1" applyAlignment="1">
      <alignment horizontal="right" vertical="center"/>
    </xf>
    <xf numFmtId="165" fontId="106" fillId="0" borderId="2" xfId="141" applyFont="1" applyFill="1" applyBorder="1" applyAlignment="1"/>
    <xf numFmtId="177" fontId="99" fillId="2" borderId="85" xfId="57" applyNumberFormat="1" applyFont="1" applyFill="1" applyBorder="1" applyAlignment="1"/>
    <xf numFmtId="165" fontId="107" fillId="2" borderId="21" xfId="141" applyFont="1" applyFill="1" applyBorder="1" applyAlignment="1">
      <alignment horizontal="center"/>
    </xf>
    <xf numFmtId="165" fontId="106" fillId="0" borderId="0" xfId="141" applyFont="1" applyFill="1" applyBorder="1" applyAlignment="1"/>
    <xf numFmtId="177" fontId="99" fillId="0" borderId="86" xfId="57" applyNumberFormat="1" applyFont="1" applyFill="1" applyBorder="1" applyAlignment="1">
      <alignment wrapText="1"/>
    </xf>
    <xf numFmtId="177" fontId="99" fillId="0" borderId="39" xfId="57" applyNumberFormat="1" applyFont="1" applyFill="1" applyBorder="1" applyAlignment="1"/>
    <xf numFmtId="177" fontId="99" fillId="0" borderId="40" xfId="57" applyNumberFormat="1" applyFont="1" applyFill="1" applyBorder="1" applyAlignment="1"/>
    <xf numFmtId="177" fontId="99" fillId="0" borderId="87" xfId="57" applyNumberFormat="1" applyFont="1" applyFill="1" applyBorder="1" applyAlignment="1"/>
    <xf numFmtId="177" fontId="99" fillId="0" borderId="41" xfId="57" applyNumberFormat="1" applyFont="1" applyFill="1" applyBorder="1" applyAlignment="1"/>
    <xf numFmtId="177" fontId="99" fillId="0" borderId="88" xfId="57" applyNumberFormat="1" applyFont="1" applyFill="1" applyBorder="1" applyAlignment="1"/>
    <xf numFmtId="177" fontId="99" fillId="0" borderId="88" xfId="57" applyNumberFormat="1" applyFont="1" applyFill="1" applyBorder="1" applyAlignment="1">
      <alignment wrapText="1"/>
    </xf>
    <xf numFmtId="177" fontId="99" fillId="0" borderId="87" xfId="57" applyNumberFormat="1" applyFont="1" applyFill="1" applyBorder="1" applyAlignment="1">
      <alignment wrapText="1"/>
    </xf>
    <xf numFmtId="169" fontId="107" fillId="12" borderId="47" xfId="141" applyNumberFormat="1" applyFont="1" applyFill="1" applyBorder="1" applyAlignment="1">
      <alignment horizontal="center" vertical="center"/>
    </xf>
    <xf numFmtId="165" fontId="107" fillId="0" borderId="62" xfId="141" applyFont="1" applyFill="1" applyBorder="1" applyAlignment="1">
      <alignment horizontal="left"/>
    </xf>
    <xf numFmtId="165" fontId="107" fillId="0" borderId="22" xfId="141" applyFont="1" applyFill="1" applyBorder="1" applyAlignment="1">
      <alignment horizontal="left"/>
    </xf>
    <xf numFmtId="165" fontId="99" fillId="2" borderId="23" xfId="141" applyFont="1" applyFill="1" applyBorder="1" applyAlignment="1">
      <alignment horizontal="center" vertical="center"/>
    </xf>
    <xf numFmtId="165" fontId="99" fillId="2" borderId="62" xfId="141" applyFont="1" applyFill="1" applyBorder="1" applyAlignment="1">
      <alignment horizontal="right"/>
    </xf>
    <xf numFmtId="165" fontId="107" fillId="0" borderId="22" xfId="141" applyFont="1" applyFill="1" applyBorder="1"/>
    <xf numFmtId="177" fontId="99" fillId="0" borderId="75" xfId="57" applyNumberFormat="1" applyFont="1" applyFill="1" applyBorder="1" applyAlignment="1">
      <alignment wrapText="1"/>
    </xf>
    <xf numFmtId="169" fontId="107" fillId="12" borderId="15" xfId="141" applyNumberFormat="1" applyFont="1" applyFill="1" applyBorder="1" applyAlignment="1">
      <alignment horizontal="center" vertical="center"/>
    </xf>
    <xf numFmtId="165" fontId="107" fillId="0" borderId="24" xfId="141" applyFont="1" applyFill="1" applyBorder="1" applyAlignment="1">
      <alignment horizontal="left"/>
    </xf>
    <xf numFmtId="165" fontId="107" fillId="0" borderId="25" xfId="141" applyFont="1" applyFill="1" applyBorder="1" applyAlignment="1">
      <alignment horizontal="left"/>
    </xf>
    <xf numFmtId="165" fontId="107" fillId="2" borderId="26" xfId="141" applyFont="1" applyFill="1" applyBorder="1" applyAlignment="1">
      <alignment horizontal="center"/>
    </xf>
    <xf numFmtId="165" fontId="99" fillId="2" borderId="24" xfId="141" applyFont="1" applyFill="1" applyBorder="1" applyAlignment="1">
      <alignment horizontal="right"/>
    </xf>
    <xf numFmtId="165" fontId="106" fillId="0" borderId="25" xfId="141" applyFont="1" applyFill="1" applyBorder="1" applyAlignment="1">
      <alignment horizontal="right"/>
    </xf>
    <xf numFmtId="165" fontId="99" fillId="0" borderId="26" xfId="141" applyFont="1" applyFill="1" applyBorder="1" applyAlignment="1">
      <alignment horizontal="right"/>
    </xf>
    <xf numFmtId="165" fontId="99" fillId="0" borderId="24" xfId="141" applyFont="1" applyFill="1" applyBorder="1" applyAlignment="1">
      <alignment horizontal="right"/>
    </xf>
    <xf numFmtId="165" fontId="108" fillId="0" borderId="25" xfId="141" applyFont="1" applyFill="1" applyBorder="1" applyAlignment="1"/>
    <xf numFmtId="169" fontId="99" fillId="0" borderId="24" xfId="141" applyNumberFormat="1" applyFont="1" applyFill="1" applyBorder="1" applyAlignment="1"/>
    <xf numFmtId="169" fontId="99" fillId="0" borderId="25" xfId="141" applyNumberFormat="1" applyFont="1" applyFill="1" applyBorder="1" applyAlignment="1"/>
    <xf numFmtId="169" fontId="99" fillId="0" borderId="42" xfId="141" applyNumberFormat="1" applyFont="1" applyFill="1" applyBorder="1" applyAlignment="1"/>
    <xf numFmtId="169" fontId="99" fillId="0" borderId="26" xfId="141" applyNumberFormat="1" applyFont="1" applyFill="1" applyBorder="1" applyAlignment="1"/>
    <xf numFmtId="177" fontId="99" fillId="0" borderId="79" xfId="57" applyNumberFormat="1" applyFont="1" applyFill="1" applyBorder="1" applyAlignment="1"/>
    <xf numFmtId="177" fontId="99" fillId="0" borderId="79" xfId="57" applyNumberFormat="1" applyFont="1" applyFill="1" applyBorder="1" applyAlignment="1">
      <alignment wrapText="1"/>
    </xf>
    <xf numFmtId="169" fontId="99" fillId="0" borderId="24" xfId="141" applyNumberFormat="1" applyFont="1" applyFill="1" applyBorder="1" applyAlignment="1">
      <alignment wrapText="1"/>
    </xf>
    <xf numFmtId="169" fontId="99" fillId="0" borderId="25" xfId="141" applyNumberFormat="1" applyFont="1" applyFill="1" applyBorder="1" applyAlignment="1">
      <alignment wrapText="1"/>
    </xf>
    <xf numFmtId="169" fontId="99" fillId="0" borderId="26" xfId="141" applyNumberFormat="1" applyFont="1" applyFill="1" applyBorder="1" applyAlignment="1">
      <alignment wrapText="1"/>
    </xf>
    <xf numFmtId="177" fontId="99" fillId="0" borderId="14" xfId="57" applyNumberFormat="1" applyFont="1" applyFill="1" applyBorder="1" applyAlignment="1"/>
    <xf numFmtId="177" fontId="99" fillId="0" borderId="14" xfId="57" applyNumberFormat="1" applyFont="1" applyFill="1" applyBorder="1" applyAlignment="1">
      <alignment wrapText="1"/>
    </xf>
    <xf numFmtId="169" fontId="99" fillId="0" borderId="27" xfId="141" applyNumberFormat="1" applyFont="1" applyFill="1" applyBorder="1" applyAlignment="1">
      <alignment wrapText="1"/>
    </xf>
    <xf numFmtId="169" fontId="99" fillId="0" borderId="28" xfId="141" applyNumberFormat="1" applyFont="1" applyFill="1" applyBorder="1" applyAlignment="1">
      <alignment wrapText="1"/>
    </xf>
    <xf numFmtId="169" fontId="99" fillId="0" borderId="29" xfId="141" applyNumberFormat="1" applyFont="1" applyFill="1" applyBorder="1" applyAlignment="1">
      <alignment wrapText="1"/>
    </xf>
    <xf numFmtId="169" fontId="107" fillId="12" borderId="12" xfId="141" applyNumberFormat="1" applyFont="1" applyFill="1" applyBorder="1" applyAlignment="1">
      <alignment horizontal="center" vertical="center"/>
    </xf>
    <xf numFmtId="43" fontId="107" fillId="0" borderId="16" xfId="57" applyFont="1" applyFill="1" applyBorder="1"/>
    <xf numFmtId="165" fontId="107" fillId="0" borderId="19" xfId="141" applyFont="1" applyFill="1" applyBorder="1" applyAlignment="1">
      <alignment horizontal="left"/>
    </xf>
    <xf numFmtId="165" fontId="107" fillId="0" borderId="20" xfId="141" applyFont="1" applyFill="1" applyBorder="1" applyAlignment="1">
      <alignment horizontal="left"/>
    </xf>
    <xf numFmtId="169" fontId="99" fillId="0" borderId="27" xfId="141" applyNumberFormat="1" applyFont="1" applyFill="1" applyBorder="1" applyAlignment="1"/>
    <xf numFmtId="169" fontId="99" fillId="0" borderId="28" xfId="141" applyNumberFormat="1" applyFont="1" applyFill="1" applyBorder="1" applyAlignment="1"/>
    <xf numFmtId="169" fontId="99" fillId="0" borderId="43" xfId="141" applyNumberFormat="1" applyFont="1" applyFill="1" applyBorder="1" applyAlignment="1"/>
    <xf numFmtId="169" fontId="99" fillId="0" borderId="29" xfId="141" applyNumberFormat="1" applyFont="1" applyFill="1" applyBorder="1" applyAlignment="1"/>
    <xf numFmtId="177" fontId="99" fillId="2" borderId="28" xfId="57" applyNumberFormat="1" applyFont="1" applyFill="1" applyBorder="1" applyAlignment="1"/>
    <xf numFmtId="177" fontId="99" fillId="2" borderId="28" xfId="57" applyNumberFormat="1" applyFont="1" applyFill="1" applyBorder="1" applyAlignment="1">
      <alignment wrapText="1"/>
    </xf>
    <xf numFmtId="165" fontId="106" fillId="0" borderId="20" xfId="141" applyFont="1" applyFill="1" applyBorder="1"/>
    <xf numFmtId="165" fontId="107" fillId="0" borderId="26" xfId="141" applyFont="1" applyBorder="1" applyAlignment="1">
      <alignment horizontal="center"/>
    </xf>
    <xf numFmtId="165" fontId="109" fillId="0" borderId="26" xfId="141" applyFont="1" applyFill="1" applyBorder="1" applyAlignment="1"/>
    <xf numFmtId="43" fontId="107" fillId="0" borderId="47" xfId="57" applyFont="1" applyFill="1" applyBorder="1" applyAlignment="1">
      <alignment vertical="center" wrapText="1"/>
    </xf>
    <xf numFmtId="165" fontId="107" fillId="2" borderId="23" xfId="141" applyFont="1" applyFill="1" applyBorder="1" applyAlignment="1">
      <alignment horizontal="center" vertical="center"/>
    </xf>
    <xf numFmtId="165" fontId="99" fillId="2" borderId="62" xfId="141" applyFont="1" applyFill="1" applyBorder="1" applyAlignment="1">
      <alignment horizontal="right" vertical="center"/>
    </xf>
    <xf numFmtId="165" fontId="106" fillId="0" borderId="22" xfId="141" applyFont="1" applyFill="1" applyBorder="1" applyAlignment="1">
      <alignment horizontal="right" vertical="center"/>
    </xf>
    <xf numFmtId="165" fontId="99" fillId="0" borderId="23" xfId="141" applyFont="1" applyFill="1" applyBorder="1" applyAlignment="1">
      <alignment horizontal="right" vertical="center"/>
    </xf>
    <xf numFmtId="165" fontId="99" fillId="0" borderId="62" xfId="141" applyFont="1" applyFill="1" applyBorder="1" applyAlignment="1">
      <alignment horizontal="center" vertical="center"/>
    </xf>
    <xf numFmtId="165" fontId="109" fillId="0" borderId="29" xfId="141" applyFont="1" applyFill="1" applyBorder="1" applyAlignment="1"/>
    <xf numFmtId="169" fontId="99" fillId="0" borderId="62" xfId="141" applyNumberFormat="1" applyFont="1" applyFill="1" applyBorder="1" applyAlignment="1">
      <alignment horizontal="center" vertical="center"/>
    </xf>
    <xf numFmtId="177" fontId="99" fillId="0" borderId="22" xfId="57" applyNumberFormat="1" applyFont="1" applyFill="1" applyBorder="1" applyAlignment="1">
      <alignment horizontal="center" vertical="center" wrapText="1"/>
    </xf>
    <xf numFmtId="177" fontId="99" fillId="0" borderId="23" xfId="57" applyNumberFormat="1" applyFont="1" applyFill="1" applyBorder="1" applyAlignment="1">
      <alignment horizontal="center" vertical="center" wrapText="1"/>
    </xf>
    <xf numFmtId="177" fontId="99" fillId="2" borderId="63" xfId="57" applyNumberFormat="1" applyFont="1" applyFill="1" applyBorder="1" applyAlignment="1">
      <alignment horizontal="center" vertical="center" wrapText="1"/>
    </xf>
    <xf numFmtId="177" fontId="99" fillId="2" borderId="22" xfId="57" applyNumberFormat="1" applyFont="1" applyFill="1" applyBorder="1" applyAlignment="1"/>
    <xf numFmtId="177" fontId="99" fillId="2" borderId="27" xfId="57" applyNumberFormat="1" applyFont="1" applyFill="1" applyBorder="1" applyAlignment="1">
      <alignment wrapText="1"/>
    </xf>
    <xf numFmtId="177" fontId="99" fillId="2" borderId="22" xfId="57" applyNumberFormat="1" applyFont="1" applyFill="1" applyBorder="1" applyAlignment="1">
      <alignment wrapText="1"/>
    </xf>
    <xf numFmtId="165" fontId="107" fillId="2" borderId="21" xfId="141" applyFont="1" applyFill="1" applyBorder="1" applyAlignment="1">
      <alignment horizontal="center" vertical="center"/>
    </xf>
    <xf numFmtId="169" fontId="107" fillId="0" borderId="20" xfId="141" applyNumberFormat="1" applyFont="1" applyFill="1" applyBorder="1"/>
    <xf numFmtId="165" fontId="107" fillId="0" borderId="21" xfId="141" applyFont="1" applyFill="1" applyBorder="1"/>
    <xf numFmtId="165" fontId="107" fillId="0" borderId="26" xfId="141" applyFont="1" applyFill="1" applyBorder="1" applyAlignment="1">
      <alignment horizontal="center"/>
    </xf>
    <xf numFmtId="169" fontId="99" fillId="0" borderId="39" xfId="141" applyNumberFormat="1" applyFont="1" applyFill="1" applyBorder="1" applyAlignment="1">
      <alignment wrapText="1"/>
    </xf>
    <xf numFmtId="169" fontId="99" fillId="0" borderId="40" xfId="141" applyNumberFormat="1" applyFont="1" applyFill="1" applyBorder="1" applyAlignment="1">
      <alignment wrapText="1"/>
    </xf>
    <xf numFmtId="169" fontId="99" fillId="0" borderId="41" xfId="141" applyNumberFormat="1" applyFont="1" applyFill="1" applyBorder="1" applyAlignment="1">
      <alignment wrapText="1"/>
    </xf>
    <xf numFmtId="43" fontId="107" fillId="0" borderId="13" xfId="57" applyFont="1" applyFill="1" applyBorder="1"/>
    <xf numFmtId="165" fontId="107" fillId="0" borderId="39" xfId="141" applyFont="1" applyFill="1" applyBorder="1" applyAlignment="1">
      <alignment horizontal="left"/>
    </xf>
    <xf numFmtId="165" fontId="107" fillId="0" borderId="40" xfId="141" applyFont="1" applyFill="1" applyBorder="1" applyAlignment="1">
      <alignment horizontal="left"/>
    </xf>
    <xf numFmtId="165" fontId="106" fillId="0" borderId="40" xfId="141" applyFont="1" applyFill="1" applyBorder="1" applyAlignment="1">
      <alignment horizontal="right"/>
    </xf>
    <xf numFmtId="165" fontId="108" fillId="0" borderId="40" xfId="141" applyFont="1" applyFill="1" applyBorder="1" applyAlignment="1"/>
    <xf numFmtId="165" fontId="109" fillId="0" borderId="41" xfId="141" applyFont="1" applyFill="1" applyBorder="1" applyAlignment="1"/>
    <xf numFmtId="169" fontId="99" fillId="0" borderId="39" xfId="141" applyNumberFormat="1" applyFont="1" applyFill="1" applyBorder="1" applyAlignment="1"/>
    <xf numFmtId="169" fontId="99" fillId="0" borderId="40" xfId="141" applyNumberFormat="1" applyFont="1" applyFill="1" applyBorder="1" applyAlignment="1"/>
    <xf numFmtId="169" fontId="99" fillId="0" borderId="87" xfId="141" applyNumberFormat="1" applyFont="1" applyFill="1" applyBorder="1" applyAlignment="1"/>
    <xf numFmtId="169" fontId="99" fillId="0" borderId="41" xfId="141" applyNumberFormat="1" applyFont="1" applyFill="1" applyBorder="1" applyAlignment="1"/>
    <xf numFmtId="177" fontId="99" fillId="0" borderId="39" xfId="57" applyNumberFormat="1" applyFont="1" applyFill="1" applyBorder="1" applyAlignment="1">
      <alignment horizontal="center"/>
    </xf>
    <xf numFmtId="177" fontId="99" fillId="0" borderId="86" xfId="57" applyNumberFormat="1" applyFont="1" applyFill="1" applyBorder="1" applyAlignment="1">
      <alignment horizontal="center"/>
    </xf>
    <xf numFmtId="169" fontId="99" fillId="0" borderId="5" xfId="141" applyNumberFormat="1" applyFont="1" applyFill="1" applyBorder="1" applyAlignment="1">
      <alignment wrapText="1"/>
    </xf>
    <xf numFmtId="169" fontId="107" fillId="12" borderId="9" xfId="141" applyNumberFormat="1" applyFont="1" applyFill="1" applyBorder="1" applyAlignment="1">
      <alignment horizontal="center" vertical="center"/>
    </xf>
    <xf numFmtId="43" fontId="107" fillId="0" borderId="9" xfId="57" applyFont="1" applyFill="1" applyBorder="1" applyAlignment="1">
      <alignment wrapText="1"/>
    </xf>
    <xf numFmtId="165" fontId="107" fillId="0" borderId="27" xfId="141" applyFont="1" applyFill="1" applyBorder="1" applyAlignment="1">
      <alignment horizontal="left"/>
    </xf>
    <xf numFmtId="165" fontId="107" fillId="0" borderId="28" xfId="141" applyFont="1" applyFill="1" applyBorder="1" applyAlignment="1">
      <alignment horizontal="left"/>
    </xf>
    <xf numFmtId="165" fontId="107" fillId="2" borderId="29" xfId="141" applyFont="1" applyFill="1" applyBorder="1" applyAlignment="1">
      <alignment horizontal="center" vertical="center"/>
    </xf>
    <xf numFmtId="165" fontId="99" fillId="2" borderId="27" xfId="141" applyFont="1" applyFill="1" applyBorder="1" applyAlignment="1">
      <alignment horizontal="right" vertical="center"/>
    </xf>
    <xf numFmtId="165" fontId="106" fillId="0" borderId="28" xfId="141" applyFont="1" applyFill="1" applyBorder="1" applyAlignment="1">
      <alignment horizontal="center" vertical="center"/>
    </xf>
    <xf numFmtId="165" fontId="99" fillId="0" borderId="29" xfId="141" applyFont="1" applyFill="1" applyBorder="1" applyAlignment="1">
      <alignment horizontal="center" vertical="center"/>
    </xf>
    <xf numFmtId="165" fontId="99" fillId="0" borderId="27" xfId="141" applyFont="1" applyFill="1" applyBorder="1" applyAlignment="1">
      <alignment horizontal="center" vertical="center"/>
    </xf>
    <xf numFmtId="165" fontId="108" fillId="0" borderId="28" xfId="141" applyFont="1" applyFill="1" applyBorder="1" applyAlignment="1"/>
    <xf numFmtId="169" fontId="99" fillId="0" borderId="22" xfId="141" applyNumberFormat="1" applyFont="1" applyFill="1" applyBorder="1" applyAlignment="1">
      <alignment horizontal="center" vertical="center" wrapText="1"/>
    </xf>
    <xf numFmtId="169" fontId="99" fillId="0" borderId="23" xfId="141" applyNumberFormat="1" applyFont="1" applyFill="1" applyBorder="1" applyAlignment="1">
      <alignment horizontal="center" vertical="center" wrapText="1"/>
    </xf>
    <xf numFmtId="165" fontId="107" fillId="0" borderId="41" xfId="141" applyFont="1" applyBorder="1" applyAlignment="1">
      <alignment horizontal="center"/>
    </xf>
    <xf numFmtId="165" fontId="99" fillId="0" borderId="39" xfId="141" applyFont="1" applyFill="1" applyBorder="1" applyAlignment="1">
      <alignment horizontal="right"/>
    </xf>
    <xf numFmtId="165" fontId="99" fillId="0" borderId="41" xfId="141" applyFont="1" applyFill="1" applyBorder="1" applyAlignment="1">
      <alignment horizontal="right"/>
    </xf>
    <xf numFmtId="165" fontId="99" fillId="0" borderId="3" xfId="141" applyFont="1" applyFill="1" applyBorder="1" applyAlignment="1">
      <alignment wrapText="1"/>
    </xf>
    <xf numFmtId="169" fontId="107" fillId="0" borderId="40" xfId="141" applyNumberFormat="1" applyFont="1" applyFill="1" applyBorder="1"/>
    <xf numFmtId="165" fontId="101" fillId="22" borderId="48" xfId="141" applyFont="1" applyFill="1" applyBorder="1" applyAlignment="1">
      <alignment horizontal="center" vertical="center"/>
    </xf>
    <xf numFmtId="169" fontId="107" fillId="22" borderId="52" xfId="141" applyNumberFormat="1" applyFont="1" applyFill="1" applyBorder="1" applyAlignment="1">
      <alignment horizontal="center" vertical="center"/>
    </xf>
    <xf numFmtId="43" fontId="101" fillId="22" borderId="52" xfId="57" applyFont="1" applyFill="1" applyBorder="1"/>
    <xf numFmtId="165" fontId="107" fillId="22" borderId="52" xfId="141" applyFont="1" applyFill="1" applyBorder="1" applyAlignment="1">
      <alignment horizontal="left"/>
    </xf>
    <xf numFmtId="165" fontId="107" fillId="22" borderId="52" xfId="141" applyFont="1" applyFill="1" applyBorder="1" applyAlignment="1">
      <alignment horizontal="center"/>
    </xf>
    <xf numFmtId="165" fontId="99" fillId="22" borderId="52" xfId="141" applyFont="1" applyFill="1" applyBorder="1" applyAlignment="1">
      <alignment horizontal="right"/>
    </xf>
    <xf numFmtId="165" fontId="106" fillId="22" borderId="52" xfId="141" applyFont="1" applyFill="1" applyBorder="1" applyAlignment="1">
      <alignment horizontal="right"/>
    </xf>
    <xf numFmtId="165" fontId="108" fillId="22" borderId="52" xfId="141" applyFont="1" applyFill="1" applyBorder="1" applyAlignment="1"/>
    <xf numFmtId="165" fontId="109" fillId="22" borderId="54" xfId="141" applyFont="1" applyFill="1" applyBorder="1" applyAlignment="1"/>
    <xf numFmtId="169" fontId="99" fillId="0" borderId="3" xfId="141" applyNumberFormat="1" applyFont="1" applyFill="1" applyBorder="1" applyAlignment="1"/>
    <xf numFmtId="169" fontId="102" fillId="22" borderId="59" xfId="141" applyNumberFormat="1" applyFont="1" applyFill="1" applyBorder="1" applyAlignment="1"/>
    <xf numFmtId="169" fontId="102" fillId="22" borderId="61" xfId="141" applyNumberFormat="1" applyFont="1" applyFill="1" applyBorder="1" applyAlignment="1"/>
    <xf numFmtId="169" fontId="102" fillId="22" borderId="50" xfId="141" applyNumberFormat="1" applyFont="1" applyFill="1" applyBorder="1" applyAlignment="1"/>
    <xf numFmtId="169" fontId="102" fillId="22" borderId="51" xfId="141" applyNumberFormat="1" applyFont="1" applyFill="1" applyBorder="1" applyAlignment="1"/>
    <xf numFmtId="169" fontId="102" fillId="22" borderId="60" xfId="141" applyNumberFormat="1" applyFont="1" applyFill="1" applyBorder="1" applyAlignment="1"/>
    <xf numFmtId="169" fontId="99" fillId="0" borderId="34" xfId="141" applyNumberFormat="1" applyFont="1" applyFill="1" applyBorder="1" applyAlignment="1"/>
    <xf numFmtId="169" fontId="102" fillId="22" borderId="54" xfId="141" applyNumberFormat="1" applyFont="1" applyFill="1" applyBorder="1" applyAlignment="1"/>
    <xf numFmtId="169" fontId="99" fillId="0" borderId="0" xfId="141" applyNumberFormat="1" applyFont="1" applyFill="1" applyBorder="1" applyAlignment="1"/>
    <xf numFmtId="169" fontId="102" fillId="22" borderId="50" xfId="141" applyNumberFormat="1" applyFont="1" applyFill="1" applyBorder="1" applyAlignment="1">
      <alignment horizontal="center" vertical="center"/>
    </xf>
    <xf numFmtId="169" fontId="102" fillId="22" borderId="59" xfId="141" applyNumberFormat="1" applyFont="1" applyFill="1" applyBorder="1" applyAlignment="1">
      <alignment horizontal="center" vertical="center"/>
    </xf>
    <xf numFmtId="169" fontId="102" fillId="22" borderId="51" xfId="141" applyNumberFormat="1" applyFont="1" applyFill="1" applyBorder="1" applyAlignment="1">
      <alignment horizontal="center" vertical="center"/>
    </xf>
    <xf numFmtId="169" fontId="99" fillId="22" borderId="50" xfId="141" applyNumberFormat="1" applyFont="1" applyFill="1" applyBorder="1" applyAlignment="1"/>
    <xf numFmtId="169" fontId="99" fillId="22" borderId="59" xfId="141" applyNumberFormat="1" applyFont="1" applyFill="1" applyBorder="1" applyAlignment="1"/>
    <xf numFmtId="169" fontId="99" fillId="22" borderId="51" xfId="141" applyNumberFormat="1" applyFont="1" applyFill="1" applyBorder="1" applyAlignment="1"/>
    <xf numFmtId="177" fontId="99" fillId="0" borderId="22" xfId="57" applyNumberFormat="1" applyFont="1" applyFill="1" applyBorder="1" applyAlignment="1">
      <alignment vertical="center" wrapText="1"/>
    </xf>
    <xf numFmtId="177" fontId="99" fillId="0" borderId="23" xfId="57" applyNumberFormat="1" applyFont="1" applyFill="1" applyBorder="1" applyAlignment="1">
      <alignment vertical="center" wrapText="1"/>
    </xf>
    <xf numFmtId="169" fontId="107" fillId="12" borderId="13" xfId="141" applyNumberFormat="1" applyFont="1" applyFill="1" applyBorder="1" applyAlignment="1">
      <alignment horizontal="center" vertical="center"/>
    </xf>
    <xf numFmtId="43" fontId="107" fillId="0" borderId="47" xfId="57" applyFont="1" applyFill="1" applyBorder="1" applyAlignment="1">
      <alignment wrapText="1"/>
    </xf>
    <xf numFmtId="165" fontId="106" fillId="0" borderId="22" xfId="141" applyFont="1" applyFill="1" applyBorder="1" applyAlignment="1">
      <alignment horizontal="center" vertical="center"/>
    </xf>
    <xf numFmtId="165" fontId="99" fillId="0" borderId="23" xfId="141" applyFont="1" applyFill="1" applyBorder="1" applyAlignment="1">
      <alignment horizontal="center" vertical="center"/>
    </xf>
    <xf numFmtId="165" fontId="107" fillId="0" borderId="41" xfId="141" applyFont="1" applyFill="1" applyBorder="1"/>
    <xf numFmtId="165" fontId="107" fillId="2" borderId="29" xfId="141" applyFont="1" applyFill="1" applyBorder="1" applyAlignment="1">
      <alignment horizontal="center"/>
    </xf>
    <xf numFmtId="165" fontId="99" fillId="2" borderId="27" xfId="141" applyFont="1" applyFill="1" applyBorder="1" applyAlignment="1">
      <alignment horizontal="right"/>
    </xf>
    <xf numFmtId="165" fontId="106" fillId="0" borderId="28" xfId="141" applyFont="1" applyFill="1" applyBorder="1" applyAlignment="1">
      <alignment horizontal="right"/>
    </xf>
    <xf numFmtId="165" fontId="99" fillId="0" borderId="29" xfId="141" applyFont="1" applyFill="1" applyBorder="1" applyAlignment="1">
      <alignment horizontal="right"/>
    </xf>
    <xf numFmtId="165" fontId="99" fillId="0" borderId="27" xfId="141" applyFont="1" applyFill="1" applyBorder="1" applyAlignment="1">
      <alignment horizontal="right"/>
    </xf>
    <xf numFmtId="165" fontId="107" fillId="0" borderId="24" xfId="141" applyFont="1" applyFill="1" applyBorder="1" applyAlignment="1">
      <alignment horizontal="center"/>
    </xf>
    <xf numFmtId="165" fontId="99" fillId="0" borderId="25" xfId="141" applyFont="1" applyFill="1" applyBorder="1" applyAlignment="1">
      <alignment horizontal="right"/>
    </xf>
    <xf numFmtId="165" fontId="107" fillId="2" borderId="23" xfId="141" applyFont="1" applyFill="1" applyBorder="1" applyAlignment="1">
      <alignment horizontal="center"/>
    </xf>
    <xf numFmtId="43" fontId="107" fillId="0" borderId="9" xfId="57" applyFont="1" applyFill="1" applyBorder="1" applyAlignment="1">
      <alignment vertical="center"/>
    </xf>
    <xf numFmtId="165" fontId="106" fillId="0" borderId="28" xfId="141" applyFont="1" applyFill="1" applyBorder="1" applyAlignment="1">
      <alignment horizontal="right" vertical="center"/>
    </xf>
    <xf numFmtId="165" fontId="99" fillId="0" borderId="29" xfId="141" applyFont="1" applyFill="1" applyBorder="1" applyAlignment="1">
      <alignment horizontal="right" vertical="center"/>
    </xf>
    <xf numFmtId="177" fontId="99" fillId="0" borderId="20" xfId="57" applyNumberFormat="1" applyFont="1" applyFill="1" applyBorder="1" applyAlignment="1">
      <alignment horizontal="center"/>
    </xf>
    <xf numFmtId="177" fontId="99" fillId="0" borderId="25" xfId="57" applyNumberFormat="1" applyFont="1" applyFill="1" applyBorder="1" applyAlignment="1">
      <alignment horizontal="center"/>
    </xf>
    <xf numFmtId="165" fontId="107" fillId="2" borderId="41" xfId="141" applyFont="1" applyFill="1" applyBorder="1" applyAlignment="1">
      <alignment horizontal="center"/>
    </xf>
    <xf numFmtId="165" fontId="99" fillId="2" borderId="39" xfId="141" applyFont="1" applyFill="1" applyBorder="1" applyAlignment="1">
      <alignment horizontal="right"/>
    </xf>
    <xf numFmtId="177" fontId="99" fillId="2" borderId="64" xfId="57" applyNumberFormat="1" applyFont="1" applyFill="1" applyBorder="1" applyAlignment="1">
      <alignment wrapText="1"/>
    </xf>
    <xf numFmtId="177" fontId="99" fillId="0" borderId="25" xfId="57" applyNumberFormat="1" applyFont="1" applyFill="1" applyBorder="1" applyAlignment="1">
      <alignment horizontal="center" wrapText="1"/>
    </xf>
    <xf numFmtId="177" fontId="99" fillId="0" borderId="26" xfId="57" applyNumberFormat="1" applyFont="1" applyFill="1" applyBorder="1" applyAlignment="1">
      <alignment horizontal="center" wrapText="1"/>
    </xf>
    <xf numFmtId="177" fontId="99" fillId="0" borderId="23" xfId="57" applyNumberFormat="1" applyFont="1" applyFill="1" applyBorder="1" applyAlignment="1">
      <alignment horizontal="center" wrapText="1"/>
    </xf>
    <xf numFmtId="177" fontId="99" fillId="0" borderId="22" xfId="57" applyNumberFormat="1" applyFont="1" applyFill="1" applyBorder="1" applyAlignment="1">
      <alignment horizontal="center"/>
    </xf>
    <xf numFmtId="169" fontId="99" fillId="0" borderId="37" xfId="141" applyNumberFormat="1" applyFont="1" applyFill="1" applyBorder="1" applyAlignment="1">
      <alignment wrapText="1"/>
    </xf>
    <xf numFmtId="169" fontId="99" fillId="0" borderId="42" xfId="141" applyNumberFormat="1" applyFont="1" applyFill="1" applyBorder="1" applyAlignment="1">
      <alignment wrapText="1"/>
    </xf>
    <xf numFmtId="165" fontId="101" fillId="0" borderId="48" xfId="141" applyFont="1" applyFill="1" applyBorder="1" applyAlignment="1">
      <alignment horizontal="center" vertical="center"/>
    </xf>
    <xf numFmtId="169" fontId="107" fillId="12" borderId="46" xfId="141" applyNumberFormat="1" applyFont="1" applyFill="1" applyBorder="1" applyAlignment="1">
      <alignment horizontal="center" vertical="center"/>
    </xf>
    <xf numFmtId="43" fontId="107" fillId="0" borderId="46" xfId="57" applyFont="1" applyFill="1" applyBorder="1"/>
    <xf numFmtId="165" fontId="107" fillId="0" borderId="50" xfId="141" applyFont="1" applyFill="1" applyBorder="1" applyAlignment="1">
      <alignment horizontal="left"/>
    </xf>
    <xf numFmtId="165" fontId="107" fillId="0" borderId="59" xfId="141" applyFont="1" applyFill="1" applyBorder="1" applyAlignment="1">
      <alignment horizontal="left"/>
    </xf>
    <xf numFmtId="165" fontId="107" fillId="0" borderId="51" xfId="141" applyFont="1" applyBorder="1" applyAlignment="1">
      <alignment horizontal="center"/>
    </xf>
    <xf numFmtId="165" fontId="99" fillId="0" borderId="50" xfId="141" applyFont="1" applyFill="1" applyBorder="1" applyAlignment="1">
      <alignment horizontal="right"/>
    </xf>
    <xf numFmtId="165" fontId="106" fillId="0" borderId="59" xfId="141" applyFont="1" applyFill="1" applyBorder="1" applyAlignment="1">
      <alignment horizontal="right"/>
    </xf>
    <xf numFmtId="165" fontId="99" fillId="0" borderId="51" xfId="141" applyFont="1" applyFill="1" applyBorder="1" applyAlignment="1">
      <alignment horizontal="right"/>
    </xf>
    <xf numFmtId="165" fontId="108" fillId="0" borderId="59" xfId="141" applyFont="1" applyFill="1" applyBorder="1" applyAlignment="1"/>
    <xf numFmtId="165" fontId="109" fillId="0" borderId="51" xfId="141" applyFont="1" applyFill="1" applyBorder="1" applyAlignment="1"/>
    <xf numFmtId="169" fontId="99" fillId="0" borderId="56" xfId="141" applyNumberFormat="1" applyFont="1" applyFill="1" applyBorder="1" applyAlignment="1"/>
    <xf numFmtId="169" fontId="99" fillId="0" borderId="58" xfId="141" applyNumberFormat="1" applyFont="1" applyFill="1" applyBorder="1" applyAlignment="1"/>
    <xf numFmtId="169" fontId="99" fillId="0" borderId="83" xfId="141" applyNumberFormat="1" applyFont="1" applyFill="1" applyBorder="1" applyAlignment="1"/>
    <xf numFmtId="169" fontId="99" fillId="0" borderId="57" xfId="141" applyNumberFormat="1" applyFont="1" applyFill="1" applyBorder="1" applyAlignment="1"/>
    <xf numFmtId="177" fontId="99" fillId="0" borderId="6" xfId="57" applyNumberFormat="1" applyFont="1" applyFill="1" applyBorder="1" applyAlignment="1">
      <alignment horizontal="center" wrapText="1"/>
    </xf>
    <xf numFmtId="177" fontId="99" fillId="0" borderId="4" xfId="57" applyNumberFormat="1" applyFont="1" applyFill="1" applyBorder="1" applyAlignment="1">
      <alignment horizontal="center"/>
    </xf>
    <xf numFmtId="177" fontId="99" fillId="0" borderId="73" xfId="57" applyNumberFormat="1" applyFont="1" applyFill="1" applyBorder="1" applyAlignment="1">
      <alignment horizontal="center"/>
    </xf>
    <xf numFmtId="177" fontId="99" fillId="0" borderId="5" xfId="57" applyNumberFormat="1" applyFont="1" applyFill="1" applyBorder="1" applyAlignment="1"/>
    <xf numFmtId="177" fontId="99" fillId="0" borderId="50" xfId="57" applyNumberFormat="1" applyFont="1" applyFill="1" applyBorder="1" applyAlignment="1"/>
    <xf numFmtId="177" fontId="99" fillId="0" borderId="59" xfId="57" applyNumberFormat="1" applyFont="1" applyFill="1" applyBorder="1" applyAlignment="1"/>
    <xf numFmtId="177" fontId="99" fillId="0" borderId="61" xfId="57" applyNumberFormat="1" applyFont="1" applyFill="1" applyBorder="1" applyAlignment="1"/>
    <xf numFmtId="177" fontId="99" fillId="0" borderId="51" xfId="57" applyNumberFormat="1" applyFont="1" applyFill="1" applyBorder="1" applyAlignment="1"/>
    <xf numFmtId="177" fontId="99" fillId="0" borderId="54" xfId="57" applyNumberFormat="1" applyFont="1" applyFill="1" applyBorder="1" applyAlignment="1"/>
    <xf numFmtId="177" fontId="99" fillId="0" borderId="34" xfId="57" applyNumberFormat="1" applyFont="1" applyFill="1" applyBorder="1" applyAlignment="1">
      <alignment wrapText="1"/>
    </xf>
    <xf numFmtId="169" fontId="99" fillId="0" borderId="4" xfId="141" applyNumberFormat="1" applyFont="1" applyFill="1" applyBorder="1" applyAlignment="1">
      <alignment wrapText="1"/>
    </xf>
    <xf numFmtId="169" fontId="99" fillId="0" borderId="6" xfId="141" applyNumberFormat="1" applyFont="1" applyFill="1" applyBorder="1" applyAlignment="1">
      <alignment wrapText="1"/>
    </xf>
    <xf numFmtId="177" fontId="99" fillId="0" borderId="82" xfId="57" applyNumberFormat="1" applyFont="1" applyFill="1" applyBorder="1" applyAlignment="1">
      <alignment wrapText="1"/>
    </xf>
    <xf numFmtId="177" fontId="99" fillId="0" borderId="60" xfId="57" applyNumberFormat="1" applyFont="1" applyFill="1" applyBorder="1" applyAlignment="1">
      <alignment wrapText="1"/>
    </xf>
    <xf numFmtId="169" fontId="99" fillId="0" borderId="82" xfId="141" applyNumberFormat="1" applyFont="1" applyFill="1" applyBorder="1" applyAlignment="1">
      <alignment wrapText="1"/>
    </xf>
    <xf numFmtId="165" fontId="101" fillId="0" borderId="0" xfId="141" applyFont="1" applyFill="1"/>
    <xf numFmtId="169" fontId="107" fillId="0" borderId="0" xfId="141" applyNumberFormat="1" applyFont="1"/>
    <xf numFmtId="165" fontId="106" fillId="0" borderId="0" xfId="141" applyFont="1"/>
    <xf numFmtId="165" fontId="108" fillId="0" borderId="0" xfId="141" applyFont="1"/>
    <xf numFmtId="165" fontId="102" fillId="0" borderId="0" xfId="141" applyFont="1"/>
    <xf numFmtId="165" fontId="99" fillId="0" borderId="0" xfId="141" applyFont="1" applyBorder="1"/>
    <xf numFmtId="169" fontId="101" fillId="0" borderId="50" xfId="141" applyNumberFormat="1" applyFont="1" applyBorder="1"/>
    <xf numFmtId="169" fontId="101" fillId="0" borderId="59" xfId="141" applyNumberFormat="1" applyFont="1" applyBorder="1"/>
    <xf numFmtId="169" fontId="101" fillId="0" borderId="61" xfId="141" applyNumberFormat="1" applyFont="1" applyBorder="1"/>
    <xf numFmtId="169" fontId="101" fillId="0" borderId="51" xfId="141" applyNumberFormat="1" applyFont="1" applyBorder="1"/>
    <xf numFmtId="169" fontId="101" fillId="0" borderId="60" xfId="141" applyNumberFormat="1" applyFont="1" applyBorder="1"/>
    <xf numFmtId="169" fontId="101" fillId="0" borderId="0" xfId="141" applyNumberFormat="1" applyFont="1" applyBorder="1"/>
    <xf numFmtId="169" fontId="101" fillId="0" borderId="54" xfId="141" applyNumberFormat="1" applyFont="1" applyBorder="1"/>
    <xf numFmtId="169" fontId="99" fillId="0" borderId="0" xfId="141" applyNumberFormat="1" applyFont="1"/>
    <xf numFmtId="165" fontId="99" fillId="0" borderId="0" xfId="141" applyFont="1"/>
    <xf numFmtId="165" fontId="99" fillId="0" borderId="0" xfId="141" applyFont="1" applyFill="1" applyBorder="1"/>
    <xf numFmtId="177" fontId="101" fillId="0" borderId="0" xfId="57" applyNumberFormat="1" applyFont="1" applyAlignment="1">
      <alignment horizontal="left" vertical="center"/>
    </xf>
    <xf numFmtId="177" fontId="102" fillId="0" borderId="0" xfId="57" applyNumberFormat="1" applyFont="1" applyAlignment="1">
      <alignment horizontal="right" vertical="center"/>
    </xf>
    <xf numFmtId="9" fontId="99" fillId="0" borderId="0" xfId="142" applyFont="1"/>
    <xf numFmtId="169" fontId="107" fillId="0" borderId="0" xfId="141" applyNumberFormat="1" applyFont="1" applyFill="1" applyBorder="1"/>
    <xf numFmtId="43" fontId="107" fillId="0" borderId="0" xfId="57" applyFont="1" applyFill="1" applyBorder="1"/>
    <xf numFmtId="43" fontId="101" fillId="0" borderId="0" xfId="57" applyFont="1" applyFill="1" applyBorder="1"/>
    <xf numFmtId="165" fontId="101" fillId="0" borderId="0" xfId="141" applyFont="1" applyFill="1" applyBorder="1" applyAlignment="1">
      <alignment horizontal="center"/>
    </xf>
    <xf numFmtId="165" fontId="107" fillId="0" borderId="0" xfId="141" applyFont="1" applyFill="1" applyBorder="1" applyAlignment="1">
      <alignment horizontal="center" vertical="center"/>
    </xf>
    <xf numFmtId="165" fontId="101" fillId="0" borderId="0" xfId="141" applyFont="1" applyFill="1" applyBorder="1"/>
    <xf numFmtId="177" fontId="101" fillId="0" borderId="0" xfId="57" applyNumberFormat="1" applyFont="1" applyFill="1" applyAlignment="1">
      <alignment horizontal="right" vertical="center"/>
    </xf>
    <xf numFmtId="43" fontId="47" fillId="2" borderId="0" xfId="1" applyFont="1" applyFill="1" applyBorder="1" applyAlignment="1">
      <alignment horizontal="center" vertical="center"/>
    </xf>
    <xf numFmtId="165" fontId="48" fillId="2" borderId="0" xfId="31" applyNumberFormat="1" applyFont="1" applyFill="1" applyBorder="1"/>
    <xf numFmtId="177" fontId="99" fillId="0" borderId="36" xfId="57" applyNumberFormat="1" applyFont="1" applyBorder="1" applyAlignment="1">
      <alignment horizontal="center" textRotation="90" wrapText="1"/>
    </xf>
    <xf numFmtId="177" fontId="99" fillId="0" borderId="83" xfId="57" applyNumberFormat="1" applyFont="1" applyFill="1" applyBorder="1" applyAlignment="1">
      <alignment wrapText="1"/>
    </xf>
    <xf numFmtId="169" fontId="107" fillId="0" borderId="38" xfId="141" applyNumberFormat="1" applyFont="1" applyFill="1" applyBorder="1"/>
    <xf numFmtId="169" fontId="107" fillId="0" borderId="87" xfId="141" applyNumberFormat="1" applyFont="1" applyFill="1" applyBorder="1"/>
    <xf numFmtId="0" fontId="47" fillId="0" borderId="0" xfId="8" applyFont="1" applyAlignment="1">
      <alignment horizontal="right" vertical="center"/>
    </xf>
    <xf numFmtId="0" fontId="54" fillId="0" borderId="0" xfId="8" applyFont="1" applyAlignment="1">
      <alignment horizontal="right"/>
    </xf>
    <xf numFmtId="0" fontId="47" fillId="0" borderId="9" xfId="1" applyNumberFormat="1" applyFont="1" applyBorder="1" applyAlignment="1">
      <alignment vertical="top"/>
    </xf>
    <xf numFmtId="169" fontId="102" fillId="0" borderId="53" xfId="141" applyNumberFormat="1" applyFont="1" applyFill="1" applyBorder="1" applyAlignment="1">
      <alignment horizontal="center" wrapText="1"/>
    </xf>
    <xf numFmtId="169" fontId="102" fillId="12" borderId="18" xfId="141" applyNumberFormat="1" applyFont="1" applyFill="1" applyBorder="1" applyAlignment="1">
      <alignment horizontal="center" vertical="center"/>
    </xf>
    <xf numFmtId="169" fontId="99" fillId="0" borderId="76" xfId="141" applyNumberFormat="1" applyFont="1" applyBorder="1" applyAlignment="1">
      <alignment horizontal="center" textRotation="90" wrapText="1"/>
    </xf>
    <xf numFmtId="169" fontId="102" fillId="0" borderId="52" xfId="141" applyNumberFormat="1" applyFont="1" applyBorder="1" applyAlignment="1">
      <alignment horizontal="center" vertical="center"/>
    </xf>
    <xf numFmtId="169" fontId="99" fillId="0" borderId="52" xfId="141" applyNumberFormat="1" applyFont="1" applyFill="1" applyBorder="1" applyAlignment="1">
      <alignment wrapText="1"/>
    </xf>
    <xf numFmtId="169" fontId="99" fillId="0" borderId="53" xfId="141" applyNumberFormat="1" applyFont="1" applyFill="1" applyBorder="1" applyAlignment="1">
      <alignment wrapText="1"/>
    </xf>
    <xf numFmtId="169" fontId="99" fillId="0" borderId="16" xfId="141" applyNumberFormat="1" applyFont="1" applyFill="1" applyBorder="1" applyAlignment="1">
      <alignment wrapText="1"/>
    </xf>
    <xf numFmtId="169" fontId="99" fillId="0" borderId="18" xfId="141" applyNumberFormat="1" applyFont="1" applyFill="1" applyBorder="1" applyAlignment="1">
      <alignment wrapText="1"/>
    </xf>
    <xf numFmtId="169" fontId="99" fillId="0" borderId="89" xfId="141" applyNumberFormat="1" applyFont="1" applyFill="1" applyBorder="1" applyAlignment="1">
      <alignment wrapText="1"/>
    </xf>
    <xf numFmtId="169" fontId="99" fillId="0" borderId="0" xfId="141" applyNumberFormat="1" applyFont="1" applyFill="1" applyBorder="1" applyAlignment="1">
      <alignment wrapText="1"/>
    </xf>
    <xf numFmtId="169" fontId="99" fillId="0" borderId="90" xfId="141" applyNumberFormat="1" applyFont="1" applyFill="1" applyBorder="1" applyAlignment="1">
      <alignment wrapText="1"/>
    </xf>
    <xf numFmtId="177" fontId="48" fillId="0" borderId="0" xfId="1" applyNumberFormat="1" applyFont="1" applyBorder="1"/>
    <xf numFmtId="14" fontId="47" fillId="0" borderId="0" xfId="1" applyNumberFormat="1" applyFont="1" applyFill="1" applyBorder="1"/>
    <xf numFmtId="43" fontId="44" fillId="0" borderId="0" xfId="1" applyFont="1" applyFill="1" applyAlignment="1">
      <alignment horizontal="center" vertical="center"/>
    </xf>
    <xf numFmtId="43" fontId="77" fillId="0" borderId="47" xfId="1" applyFont="1" applyBorder="1" applyAlignment="1">
      <alignment horizontal="center" vertical="center" shrinkToFit="1"/>
    </xf>
    <xf numFmtId="43" fontId="47" fillId="2" borderId="15" xfId="1" applyFont="1" applyFill="1" applyBorder="1" applyAlignment="1">
      <alignment horizontal="center" vertical="center"/>
    </xf>
    <xf numFmtId="177" fontId="47" fillId="2" borderId="15" xfId="1" applyNumberFormat="1" applyFont="1" applyFill="1" applyBorder="1"/>
    <xf numFmtId="177" fontId="54" fillId="2" borderId="0" xfId="1" applyNumberFormat="1" applyFont="1" applyFill="1"/>
    <xf numFmtId="43" fontId="48" fillId="0" borderId="54" xfId="1" applyFont="1" applyBorder="1" applyAlignment="1">
      <alignment horizontal="center" vertical="center"/>
    </xf>
    <xf numFmtId="177" fontId="92" fillId="2" borderId="15" xfId="1" applyNumberFormat="1" applyFont="1" applyFill="1" applyBorder="1" applyAlignment="1">
      <alignment horizontal="center" vertical="center" wrapText="1"/>
    </xf>
    <xf numFmtId="177" fontId="49" fillId="2" borderId="15" xfId="1" applyNumberFormat="1" applyFont="1" applyFill="1" applyBorder="1" applyAlignment="1">
      <alignment horizontal="center" vertical="center" wrapText="1"/>
    </xf>
    <xf numFmtId="9" fontId="54" fillId="0" borderId="0" xfId="60" applyFont="1" applyFill="1"/>
    <xf numFmtId="43" fontId="119" fillId="0" borderId="0" xfId="1" applyFont="1" applyBorder="1" applyAlignment="1">
      <alignment vertical="center"/>
    </xf>
    <xf numFmtId="43" fontId="119" fillId="0" borderId="46" xfId="1" applyFont="1" applyFill="1" applyBorder="1" applyAlignment="1">
      <alignment horizontal="center" vertical="center"/>
    </xf>
    <xf numFmtId="43" fontId="119" fillId="0" borderId="54" xfId="1" applyFont="1" applyFill="1" applyBorder="1" applyAlignment="1">
      <alignment horizontal="center" vertical="center"/>
    </xf>
    <xf numFmtId="43" fontId="114" fillId="0" borderId="47" xfId="1" applyFont="1" applyFill="1" applyBorder="1" applyAlignment="1">
      <alignment horizontal="center" vertical="center"/>
    </xf>
    <xf numFmtId="43" fontId="129" fillId="0" borderId="0" xfId="1" applyFont="1" applyAlignment="1">
      <alignment horizontal="center" vertical="center"/>
    </xf>
    <xf numFmtId="43" fontId="114" fillId="0" borderId="12" xfId="1" applyFont="1" applyFill="1" applyBorder="1" applyAlignment="1">
      <alignment horizontal="center" vertical="center"/>
    </xf>
    <xf numFmtId="43" fontId="114" fillId="0" borderId="9" xfId="43" applyFont="1" applyFill="1" applyBorder="1" applyAlignment="1">
      <alignment horizontal="center"/>
    </xf>
    <xf numFmtId="43" fontId="114" fillId="0" borderId="9" xfId="43" applyFont="1" applyFill="1" applyBorder="1" applyAlignment="1">
      <alignment horizontal="center" vertical="center"/>
    </xf>
    <xf numFmtId="43" fontId="114" fillId="0" borderId="12" xfId="43" applyFont="1" applyFill="1" applyBorder="1" applyAlignment="1">
      <alignment horizontal="center"/>
    </xf>
    <xf numFmtId="43" fontId="114" fillId="0" borderId="12" xfId="43" applyFont="1" applyFill="1" applyBorder="1" applyAlignment="1">
      <alignment horizontal="center" vertical="center"/>
    </xf>
    <xf numFmtId="43" fontId="114" fillId="0" borderId="13" xfId="43" applyFont="1" applyFill="1" applyBorder="1" applyAlignment="1">
      <alignment horizontal="center"/>
    </xf>
    <xf numFmtId="43" fontId="114" fillId="0" borderId="13" xfId="43" applyFont="1" applyFill="1" applyBorder="1" applyAlignment="1">
      <alignment horizontal="center" vertical="center"/>
    </xf>
    <xf numFmtId="43" fontId="114" fillId="0" borderId="15" xfId="43" applyFont="1" applyFill="1" applyBorder="1" applyAlignment="1">
      <alignment horizontal="center"/>
    </xf>
    <xf numFmtId="43" fontId="114" fillId="0" borderId="15" xfId="43" applyFont="1" applyFill="1" applyBorder="1" applyAlignment="1">
      <alignment horizontal="center" vertical="center"/>
    </xf>
    <xf numFmtId="43" fontId="129" fillId="0" borderId="12" xfId="1" applyFont="1" applyFill="1" applyBorder="1" applyAlignment="1">
      <alignment horizontal="center" vertical="center"/>
    </xf>
    <xf numFmtId="43" fontId="129" fillId="0" borderId="12" xfId="1" applyFont="1" applyFill="1" applyBorder="1" applyAlignment="1">
      <alignment horizontal="left" vertical="center"/>
    </xf>
    <xf numFmtId="43" fontId="114" fillId="0" borderId="47" xfId="43" applyFont="1" applyFill="1" applyBorder="1" applyAlignment="1">
      <alignment horizontal="center"/>
    </xf>
    <xf numFmtId="43" fontId="114" fillId="0" borderId="47" xfId="43" applyFont="1" applyFill="1" applyBorder="1" applyAlignment="1">
      <alignment horizontal="left" vertical="center"/>
    </xf>
    <xf numFmtId="43" fontId="114" fillId="0" borderId="47" xfId="43" applyFont="1" applyFill="1" applyBorder="1" applyAlignment="1">
      <alignment horizontal="center" vertical="center"/>
    </xf>
    <xf numFmtId="43" fontId="129" fillId="0" borderId="52" xfId="1" applyFont="1" applyBorder="1" applyAlignment="1">
      <alignment horizontal="center" vertical="center"/>
    </xf>
    <xf numFmtId="43" fontId="129" fillId="0" borderId="52" xfId="1" applyFont="1" applyBorder="1" applyAlignment="1">
      <alignment horizontal="center"/>
    </xf>
    <xf numFmtId="43" fontId="114" fillId="0" borderId="12" xfId="1" applyFont="1" applyFill="1" applyBorder="1" applyAlignment="1">
      <alignment horizontal="center"/>
    </xf>
    <xf numFmtId="43" fontId="129" fillId="0" borderId="15" xfId="1" applyFont="1" applyBorder="1" applyAlignment="1">
      <alignment horizontal="center" vertical="center"/>
    </xf>
    <xf numFmtId="43" fontId="114" fillId="0" borderId="47" xfId="1" applyFont="1" applyFill="1" applyBorder="1" applyAlignment="1">
      <alignment horizontal="left" vertical="center"/>
    </xf>
    <xf numFmtId="43" fontId="114" fillId="0" borderId="15" xfId="1" applyFont="1" applyFill="1" applyBorder="1" applyAlignment="1">
      <alignment horizontal="center"/>
    </xf>
    <xf numFmtId="43" fontId="114" fillId="0" borderId="15" xfId="1" applyFont="1" applyFill="1" applyBorder="1" applyAlignment="1">
      <alignment horizontal="center" vertical="center"/>
    </xf>
    <xf numFmtId="43" fontId="114" fillId="0" borderId="47" xfId="1" applyFont="1" applyFill="1" applyBorder="1" applyAlignment="1">
      <alignment horizontal="center"/>
    </xf>
    <xf numFmtId="43" fontId="129" fillId="0" borderId="12" xfId="1" applyFont="1" applyBorder="1" applyAlignment="1">
      <alignment horizontal="center"/>
    </xf>
    <xf numFmtId="43" fontId="129" fillId="0" borderId="12" xfId="1" applyFont="1" applyBorder="1" applyAlignment="1">
      <alignment horizontal="center" vertical="center"/>
    </xf>
    <xf numFmtId="43" fontId="129" fillId="0" borderId="13" xfId="1" applyFont="1" applyBorder="1" applyAlignment="1">
      <alignment horizontal="center"/>
    </xf>
    <xf numFmtId="43" fontId="129" fillId="0" borderId="13" xfId="1" applyFont="1" applyBorder="1" applyAlignment="1">
      <alignment horizontal="center" vertical="center"/>
    </xf>
    <xf numFmtId="43" fontId="129" fillId="0" borderId="15" xfId="1" applyFont="1" applyBorder="1" applyAlignment="1">
      <alignment horizontal="center"/>
    </xf>
    <xf numFmtId="43" fontId="131" fillId="0" borderId="48" xfId="1" applyFont="1" applyBorder="1" applyAlignment="1">
      <alignment horizontal="left" vertical="center"/>
    </xf>
    <xf numFmtId="43" fontId="131" fillId="0" borderId="52" xfId="1" applyFont="1" applyBorder="1" applyAlignment="1">
      <alignment horizontal="left" vertical="center"/>
    </xf>
    <xf numFmtId="43" fontId="131" fillId="0" borderId="52" xfId="1" applyFont="1" applyBorder="1" applyAlignment="1">
      <alignment horizontal="center" vertical="center"/>
    </xf>
    <xf numFmtId="43" fontId="114" fillId="0" borderId="52" xfId="1" applyFont="1" applyBorder="1" applyAlignment="1">
      <alignment horizontal="center" vertical="center"/>
    </xf>
    <xf numFmtId="43" fontId="129" fillId="0" borderId="47" xfId="1" applyFont="1" applyBorder="1" applyAlignment="1">
      <alignment horizontal="center"/>
    </xf>
    <xf numFmtId="43" fontId="129" fillId="0" borderId="47" xfId="1" applyFont="1" applyBorder="1" applyAlignment="1">
      <alignment horizontal="left" vertical="center"/>
    </xf>
    <xf numFmtId="43" fontId="129" fillId="0" borderId="47" xfId="1" applyFont="1" applyBorder="1" applyAlignment="1">
      <alignment horizontal="center" vertical="center"/>
    </xf>
    <xf numFmtId="43" fontId="129" fillId="0" borderId="52" xfId="57" applyFont="1" applyBorder="1" applyAlignment="1">
      <alignment horizontal="center" vertical="center"/>
    </xf>
    <xf numFmtId="43" fontId="114" fillId="0" borderId="52" xfId="57" applyFont="1" applyBorder="1" applyAlignment="1">
      <alignment horizontal="center" vertical="center"/>
    </xf>
    <xf numFmtId="43" fontId="129" fillId="0" borderId="47" xfId="57" applyFont="1" applyBorder="1" applyAlignment="1">
      <alignment horizontal="center"/>
    </xf>
    <xf numFmtId="43" fontId="129" fillId="0" borderId="47" xfId="57" applyFont="1" applyBorder="1" applyAlignment="1">
      <alignment horizontal="left" vertical="center"/>
    </xf>
    <xf numFmtId="43" fontId="129" fillId="0" borderId="9" xfId="57" applyFont="1" applyBorder="1" applyAlignment="1">
      <alignment horizontal="center"/>
    </xf>
    <xf numFmtId="43" fontId="133" fillId="0" borderId="12" xfId="57" applyFont="1" applyBorder="1" applyAlignment="1">
      <alignment horizontal="center" vertical="center"/>
    </xf>
    <xf numFmtId="43" fontId="129" fillId="0" borderId="12" xfId="57" applyFont="1" applyBorder="1" applyAlignment="1">
      <alignment horizontal="center"/>
    </xf>
    <xf numFmtId="43" fontId="129" fillId="0" borderId="12" xfId="57" applyFont="1" applyBorder="1" applyAlignment="1">
      <alignment horizontal="center" vertical="center"/>
    </xf>
    <xf numFmtId="43" fontId="133" fillId="0" borderId="15" xfId="57" applyFont="1" applyBorder="1" applyAlignment="1">
      <alignment horizontal="center" vertical="center"/>
    </xf>
    <xf numFmtId="43" fontId="129" fillId="0" borderId="47" xfId="1" applyFont="1" applyBorder="1" applyAlignment="1">
      <alignment horizontal="left"/>
    </xf>
    <xf numFmtId="43" fontId="129" fillId="0" borderId="0" xfId="1" applyFont="1" applyBorder="1" applyAlignment="1">
      <alignment horizontal="center"/>
    </xf>
    <xf numFmtId="43" fontId="129" fillId="0" borderId="0" xfId="1" applyFont="1" applyBorder="1" applyAlignment="1">
      <alignment horizontal="center" vertical="center"/>
    </xf>
    <xf numFmtId="43" fontId="114" fillId="0" borderId="0" xfId="1" applyFont="1" applyBorder="1" applyAlignment="1">
      <alignment horizontal="center" vertical="center"/>
    </xf>
    <xf numFmtId="43" fontId="114" fillId="0" borderId="0" xfId="1" applyFont="1" applyBorder="1" applyAlignment="1">
      <alignment vertical="center"/>
    </xf>
    <xf numFmtId="43" fontId="114" fillId="0" borderId="0" xfId="1" applyFont="1" applyFill="1" applyBorder="1" applyAlignment="1">
      <alignment horizontal="center" vertical="center"/>
    </xf>
    <xf numFmtId="43" fontId="115" fillId="0" borderId="0" xfId="1" applyFont="1" applyAlignment="1">
      <alignment vertical="center"/>
    </xf>
    <xf numFmtId="43" fontId="116" fillId="0" borderId="0" xfId="1" applyFont="1" applyAlignment="1">
      <alignment vertical="center"/>
    </xf>
    <xf numFmtId="43" fontId="114" fillId="0" borderId="0" xfId="1" applyFont="1" applyAlignment="1">
      <alignment vertical="center"/>
    </xf>
    <xf numFmtId="43" fontId="117" fillId="0" borderId="0" xfId="1" applyFont="1" applyAlignment="1">
      <alignment vertical="center"/>
    </xf>
    <xf numFmtId="43" fontId="118" fillId="0" borderId="0" xfId="1" applyFont="1" applyAlignment="1">
      <alignment vertical="center"/>
    </xf>
    <xf numFmtId="43" fontId="120" fillId="0" borderId="0" xfId="1" applyFont="1" applyFill="1" applyBorder="1" applyAlignment="1">
      <alignment horizontal="right" vertical="center"/>
    </xf>
    <xf numFmtId="43" fontId="121" fillId="0" borderId="0" xfId="1" applyFont="1" applyFill="1" applyBorder="1" applyAlignment="1">
      <alignment horizontal="right" vertical="center"/>
    </xf>
    <xf numFmtId="43" fontId="123" fillId="0" borderId="0" xfId="1" applyFont="1" applyBorder="1" applyAlignment="1"/>
    <xf numFmtId="43" fontId="124" fillId="0" borderId="0" xfId="1" applyFont="1" applyBorder="1" applyAlignment="1"/>
    <xf numFmtId="43" fontId="125" fillId="0" borderId="0" xfId="1" applyFont="1" applyBorder="1" applyAlignment="1"/>
    <xf numFmtId="43" fontId="126" fillId="0" borderId="0" xfId="1" applyFont="1" applyBorder="1" applyAlignment="1"/>
    <xf numFmtId="43" fontId="127" fillId="0" borderId="34" xfId="1" applyFont="1" applyBorder="1" applyAlignment="1"/>
    <xf numFmtId="43" fontId="114" fillId="0" borderId="76" xfId="1" applyFont="1" applyFill="1" applyBorder="1" applyAlignment="1">
      <alignment horizontal="center" vertical="center"/>
    </xf>
    <xf numFmtId="43" fontId="115" fillId="0" borderId="76" xfId="1" applyFont="1" applyFill="1" applyBorder="1" applyAlignment="1">
      <alignment horizontal="right" vertical="center"/>
    </xf>
    <xf numFmtId="43" fontId="116" fillId="0" borderId="76" xfId="1" applyFont="1" applyFill="1" applyBorder="1" applyAlignment="1">
      <alignment horizontal="right" vertical="center"/>
    </xf>
    <xf numFmtId="43" fontId="119" fillId="0" borderId="76" xfId="1" applyFont="1" applyBorder="1" applyAlignment="1">
      <alignment horizontal="center"/>
    </xf>
    <xf numFmtId="43" fontId="119" fillId="0" borderId="48" xfId="1" applyFont="1" applyFill="1" applyBorder="1" applyAlignment="1">
      <alignment horizontal="center" vertical="center"/>
    </xf>
    <xf numFmtId="43" fontId="119" fillId="0" borderId="52" xfId="1" applyFont="1" applyFill="1" applyBorder="1" applyAlignment="1">
      <alignment horizontal="center" vertical="center"/>
    </xf>
    <xf numFmtId="43" fontId="119" fillId="4" borderId="46" xfId="1" applyFont="1" applyFill="1" applyBorder="1" applyAlignment="1">
      <alignment horizontal="center" vertical="center"/>
    </xf>
    <xf numFmtId="43" fontId="129" fillId="0" borderId="0" xfId="1" applyFont="1" applyBorder="1" applyAlignment="1"/>
    <xf numFmtId="43" fontId="129" fillId="0" borderId="0" xfId="1" applyFont="1" applyAlignment="1"/>
    <xf numFmtId="43" fontId="119" fillId="0" borderId="48" xfId="1" applyFont="1" applyFill="1" applyBorder="1" applyAlignment="1">
      <alignment horizontal="left" vertical="center"/>
    </xf>
    <xf numFmtId="43" fontId="114" fillId="0" borderId="52" xfId="1" applyFont="1" applyFill="1" applyBorder="1" applyAlignment="1">
      <alignment horizontal="center" vertical="center"/>
    </xf>
    <xf numFmtId="43" fontId="115" fillId="0" borderId="52" xfId="1" applyFont="1" applyBorder="1" applyAlignment="1"/>
    <xf numFmtId="43" fontId="116" fillId="0" borderId="52" xfId="1" applyFont="1" applyBorder="1" applyAlignment="1"/>
    <xf numFmtId="43" fontId="129" fillId="0" borderId="52" xfId="1" applyFont="1" applyBorder="1" applyAlignment="1"/>
    <xf numFmtId="43" fontId="117" fillId="0" borderId="52" xfId="1" applyFont="1" applyBorder="1" applyAlignment="1"/>
    <xf numFmtId="43" fontId="118" fillId="0" borderId="52" xfId="1" applyFont="1" applyBorder="1" applyAlignment="1"/>
    <xf numFmtId="43" fontId="115" fillId="0" borderId="47" xfId="1" applyFont="1" applyBorder="1" applyAlignment="1"/>
    <xf numFmtId="43" fontId="116" fillId="0" borderId="47" xfId="1" applyFont="1" applyBorder="1" applyAlignment="1"/>
    <xf numFmtId="43" fontId="119" fillId="16" borderId="47" xfId="43" applyFont="1" applyFill="1" applyBorder="1" applyAlignment="1">
      <alignment horizontal="center" vertical="center"/>
    </xf>
    <xf numFmtId="43" fontId="130" fillId="0" borderId="47" xfId="43" applyFont="1" applyFill="1" applyBorder="1" applyAlignment="1">
      <alignment horizontal="center" vertical="center"/>
    </xf>
    <xf numFmtId="43" fontId="117" fillId="0" borderId="62" xfId="43" applyFont="1" applyFill="1" applyBorder="1" applyAlignment="1">
      <alignment horizontal="center" vertical="center"/>
    </xf>
    <xf numFmtId="43" fontId="118" fillId="0" borderId="22" xfId="43" applyFont="1" applyFill="1" applyBorder="1" applyAlignment="1">
      <alignment horizontal="center" vertical="center"/>
    </xf>
    <xf numFmtId="43" fontId="115" fillId="0" borderId="22" xfId="43" applyFont="1" applyFill="1" applyBorder="1" applyAlignment="1">
      <alignment horizontal="center" vertical="center"/>
    </xf>
    <xf numFmtId="43" fontId="116" fillId="0" borderId="23" xfId="43" applyFont="1" applyFill="1" applyBorder="1" applyAlignment="1">
      <alignment horizontal="center" vertical="center"/>
    </xf>
    <xf numFmtId="43" fontId="129" fillId="0" borderId="47" xfId="43" applyFont="1" applyFill="1" applyBorder="1" applyAlignment="1"/>
    <xf numFmtId="43" fontId="131" fillId="0" borderId="2" xfId="43" applyFont="1" applyFill="1" applyBorder="1" applyAlignment="1"/>
    <xf numFmtId="43" fontId="131" fillId="0" borderId="0" xfId="43" applyFont="1" applyFill="1" applyBorder="1" applyAlignment="1"/>
    <xf numFmtId="43" fontId="114" fillId="0" borderId="12" xfId="1" applyFont="1" applyFill="1" applyBorder="1" applyAlignment="1">
      <alignment horizontal="left" vertical="center"/>
    </xf>
    <xf numFmtId="173" fontId="132" fillId="0" borderId="12" xfId="43" applyNumberFormat="1" applyFont="1" applyFill="1" applyBorder="1" applyAlignment="1">
      <alignment horizontal="left" vertical="top"/>
    </xf>
    <xf numFmtId="43" fontId="132" fillId="0" borderId="12" xfId="1" applyFont="1" applyFill="1" applyBorder="1" applyAlignment="1">
      <alignment horizontal="center" vertical="center"/>
    </xf>
    <xf numFmtId="43" fontId="115" fillId="0" borderId="12" xfId="1" applyFont="1" applyBorder="1" applyAlignment="1"/>
    <xf numFmtId="43" fontId="116" fillId="0" borderId="12" xfId="1" applyFont="1" applyBorder="1" applyAlignment="1"/>
    <xf numFmtId="43" fontId="119" fillId="16" borderId="12" xfId="43" applyFont="1" applyFill="1" applyBorder="1" applyAlignment="1">
      <alignment horizontal="center" vertical="center"/>
    </xf>
    <xf numFmtId="43" fontId="133" fillId="0" borderId="12" xfId="43" applyFont="1" applyFill="1" applyBorder="1" applyAlignment="1">
      <alignment horizontal="center" vertical="center"/>
    </xf>
    <xf numFmtId="43" fontId="130" fillId="0" borderId="12" xfId="43" applyFont="1" applyFill="1" applyBorder="1" applyAlignment="1">
      <alignment horizontal="center" vertical="center"/>
    </xf>
    <xf numFmtId="43" fontId="117" fillId="0" borderId="19" xfId="43" applyFont="1" applyFill="1" applyBorder="1" applyAlignment="1">
      <alignment horizontal="center" vertical="center"/>
    </xf>
    <xf numFmtId="43" fontId="118" fillId="0" borderId="20" xfId="43" applyFont="1" applyFill="1" applyBorder="1" applyAlignment="1">
      <alignment horizontal="center" vertical="center"/>
    </xf>
    <xf numFmtId="43" fontId="115" fillId="0" borderId="20" xfId="43" applyFont="1" applyFill="1" applyBorder="1" applyAlignment="1">
      <alignment horizontal="center" vertical="center"/>
    </xf>
    <xf numFmtId="43" fontId="116" fillId="0" borderId="21" xfId="43" applyFont="1" applyFill="1" applyBorder="1" applyAlignment="1">
      <alignment horizontal="center" vertical="center"/>
    </xf>
    <xf numFmtId="43" fontId="133" fillId="0" borderId="12" xfId="43" applyFont="1" applyFill="1" applyBorder="1" applyAlignment="1"/>
    <xf numFmtId="43" fontId="119" fillId="0" borderId="12" xfId="1" applyFont="1" applyFill="1" applyBorder="1" applyAlignment="1">
      <alignment horizontal="left" vertical="center"/>
    </xf>
    <xf numFmtId="43" fontId="119" fillId="0" borderId="12" xfId="1" applyFont="1" applyFill="1" applyBorder="1" applyAlignment="1">
      <alignment horizontal="center" vertical="center"/>
    </xf>
    <xf numFmtId="43" fontId="133" fillId="16" borderId="12" xfId="43" applyFont="1" applyFill="1" applyBorder="1" applyAlignment="1">
      <alignment horizontal="center" vertical="center"/>
    </xf>
    <xf numFmtId="43" fontId="114" fillId="16" borderId="12" xfId="43" applyFont="1" applyFill="1" applyBorder="1" applyAlignment="1">
      <alignment horizontal="center" vertical="center"/>
    </xf>
    <xf numFmtId="43" fontId="131" fillId="0" borderId="2" xfId="1" applyFont="1" applyBorder="1" applyAlignment="1"/>
    <xf numFmtId="43" fontId="131" fillId="0" borderId="0" xfId="1" applyFont="1" applyBorder="1" applyAlignment="1"/>
    <xf numFmtId="43" fontId="119" fillId="0" borderId="15" xfId="1" applyFont="1" applyFill="1" applyBorder="1" applyAlignment="1">
      <alignment horizontal="left" vertical="center"/>
    </xf>
    <xf numFmtId="43" fontId="119" fillId="0" borderId="15" xfId="1" applyFont="1" applyFill="1" applyBorder="1" applyAlignment="1">
      <alignment horizontal="center" vertical="center"/>
    </xf>
    <xf numFmtId="173" fontId="132" fillId="0" borderId="15" xfId="43" applyNumberFormat="1" applyFont="1" applyFill="1" applyBorder="1" applyAlignment="1">
      <alignment horizontal="left" vertical="top"/>
    </xf>
    <xf numFmtId="43" fontId="132" fillId="0" borderId="15" xfId="1" applyFont="1" applyFill="1" applyBorder="1" applyAlignment="1">
      <alignment horizontal="center" vertical="center"/>
    </xf>
    <xf numFmtId="43" fontId="115" fillId="0" borderId="15" xfId="1" applyFont="1" applyBorder="1" applyAlignment="1"/>
    <xf numFmtId="43" fontId="116" fillId="0" borderId="15" xfId="1" applyFont="1" applyBorder="1" applyAlignment="1"/>
    <xf numFmtId="43" fontId="133" fillId="16" borderId="15" xfId="43" applyFont="1" applyFill="1" applyBorder="1" applyAlignment="1">
      <alignment horizontal="center" vertical="center"/>
    </xf>
    <xf numFmtId="43" fontId="133" fillId="0" borderId="15" xfId="43" applyFont="1" applyFill="1" applyBorder="1" applyAlignment="1">
      <alignment horizontal="center" vertical="center"/>
    </xf>
    <xf numFmtId="43" fontId="129" fillId="0" borderId="15" xfId="1" applyFont="1" applyBorder="1" applyAlignment="1"/>
    <xf numFmtId="43" fontId="117" fillId="0" borderId="24" xfId="1" applyFont="1" applyBorder="1" applyAlignment="1"/>
    <xf numFmtId="43" fontId="118" fillId="0" borderId="25" xfId="1" applyFont="1" applyBorder="1" applyAlignment="1"/>
    <xf numFmtId="43" fontId="115" fillId="0" borderId="25" xfId="1" applyFont="1" applyBorder="1" applyAlignment="1"/>
    <xf numFmtId="43" fontId="116" fillId="0" borderId="26" xfId="1" applyFont="1" applyBorder="1" applyAlignment="1"/>
    <xf numFmtId="43" fontId="114" fillId="16" borderId="15" xfId="43" applyFont="1" applyFill="1" applyBorder="1" applyAlignment="1">
      <alignment horizontal="center" vertical="center"/>
    </xf>
    <xf numFmtId="43" fontId="133" fillId="0" borderId="15" xfId="43" applyFont="1" applyFill="1" applyBorder="1" applyAlignment="1"/>
    <xf numFmtId="43" fontId="132" fillId="0" borderId="12" xfId="1" applyFont="1" applyFill="1" applyBorder="1" applyAlignment="1">
      <alignment horizontal="left" vertical="center"/>
    </xf>
    <xf numFmtId="43" fontId="134" fillId="0" borderId="12" xfId="1" applyFont="1" applyBorder="1" applyAlignment="1"/>
    <xf numFmtId="43" fontId="114" fillId="0" borderId="15" xfId="1" applyFont="1" applyFill="1" applyBorder="1" applyAlignment="1">
      <alignment horizontal="left" vertical="center"/>
    </xf>
    <xf numFmtId="43" fontId="132" fillId="0" borderId="15" xfId="1" applyFont="1" applyFill="1" applyBorder="1" applyAlignment="1">
      <alignment horizontal="left" vertical="center"/>
    </xf>
    <xf numFmtId="43" fontId="119" fillId="16" borderId="15" xfId="43" applyFont="1" applyFill="1" applyBorder="1" applyAlignment="1">
      <alignment horizontal="center" vertical="center"/>
    </xf>
    <xf numFmtId="43" fontId="130" fillId="0" borderId="15" xfId="43" applyFont="1" applyFill="1" applyBorder="1" applyAlignment="1">
      <alignment horizontal="center" vertical="center"/>
    </xf>
    <xf numFmtId="43" fontId="117" fillId="0" borderId="24" xfId="43" applyFont="1" applyFill="1" applyBorder="1" applyAlignment="1">
      <alignment horizontal="center" vertical="center"/>
    </xf>
    <xf numFmtId="43" fontId="118" fillId="0" borderId="25" xfId="43" applyFont="1" applyFill="1" applyBorder="1" applyAlignment="1">
      <alignment horizontal="center" vertical="center"/>
    </xf>
    <xf numFmtId="43" fontId="115" fillId="0" borderId="25" xfId="43" applyFont="1" applyFill="1" applyBorder="1" applyAlignment="1">
      <alignment horizontal="center" vertical="center"/>
    </xf>
    <xf numFmtId="43" fontId="116" fillId="0" borderId="26" xfId="43" applyFont="1" applyFill="1" applyBorder="1" applyAlignment="1">
      <alignment horizontal="center" vertical="center"/>
    </xf>
    <xf numFmtId="43" fontId="131" fillId="0" borderId="0" xfId="1" applyFont="1" applyAlignment="1"/>
    <xf numFmtId="43" fontId="114" fillId="0" borderId="13" xfId="1" applyFont="1" applyFill="1" applyBorder="1" applyAlignment="1">
      <alignment horizontal="left" vertical="center"/>
    </xf>
    <xf numFmtId="43" fontId="114" fillId="0" borderId="13" xfId="1" applyFont="1" applyFill="1" applyBorder="1" applyAlignment="1">
      <alignment horizontal="center" vertical="center"/>
    </xf>
    <xf numFmtId="43" fontId="132" fillId="0" borderId="13" xfId="1" applyFont="1" applyFill="1" applyBorder="1" applyAlignment="1">
      <alignment horizontal="center" vertical="center"/>
    </xf>
    <xf numFmtId="43" fontId="115" fillId="0" borderId="13" xfId="1" applyFont="1" applyBorder="1" applyAlignment="1"/>
    <xf numFmtId="43" fontId="116" fillId="0" borderId="13" xfId="1" applyFont="1" applyBorder="1" applyAlignment="1"/>
    <xf numFmtId="43" fontId="119" fillId="16" borderId="13" xfId="43" applyFont="1" applyFill="1" applyBorder="1" applyAlignment="1">
      <alignment horizontal="center" vertical="center"/>
    </xf>
    <xf numFmtId="43" fontId="130" fillId="0" borderId="13" xfId="43" applyFont="1" applyFill="1" applyBorder="1" applyAlignment="1">
      <alignment horizontal="center" vertical="center"/>
    </xf>
    <xf numFmtId="43" fontId="117" fillId="0" borderId="39" xfId="43" applyFont="1" applyFill="1" applyBorder="1" applyAlignment="1">
      <alignment horizontal="center" vertical="center"/>
    </xf>
    <xf numFmtId="43" fontId="118" fillId="0" borderId="40" xfId="43" applyFont="1" applyFill="1" applyBorder="1" applyAlignment="1">
      <alignment horizontal="center" vertical="center"/>
    </xf>
    <xf numFmtId="43" fontId="115" fillId="0" borderId="40" xfId="43" applyFont="1" applyFill="1" applyBorder="1" applyAlignment="1">
      <alignment horizontal="center" vertical="center"/>
    </xf>
    <xf numFmtId="43" fontId="116" fillId="0" borderId="41" xfId="43" applyFont="1" applyFill="1" applyBorder="1" applyAlignment="1">
      <alignment horizontal="center" vertical="center"/>
    </xf>
    <xf numFmtId="43" fontId="133" fillId="0" borderId="47" xfId="43" applyFont="1" applyFill="1" applyBorder="1" applyAlignment="1"/>
    <xf numFmtId="43" fontId="119" fillId="0" borderId="52" xfId="1" applyFont="1" applyFill="1" applyBorder="1" applyAlignment="1">
      <alignment horizontal="left" vertical="center"/>
    </xf>
    <xf numFmtId="43" fontId="132" fillId="0" borderId="52" xfId="1" applyFont="1" applyFill="1" applyBorder="1" applyAlignment="1">
      <alignment horizontal="center" vertical="center"/>
    </xf>
    <xf numFmtId="43" fontId="115" fillId="0" borderId="52" xfId="1" applyFont="1" applyFill="1" applyBorder="1" applyAlignment="1"/>
    <xf numFmtId="43" fontId="116" fillId="0" borderId="52" xfId="1" applyFont="1" applyFill="1" applyBorder="1" applyAlignment="1"/>
    <xf numFmtId="43" fontId="119" fillId="0" borderId="52" xfId="43" applyFont="1" applyFill="1" applyBorder="1" applyAlignment="1">
      <alignment horizontal="center" vertical="center"/>
    </xf>
    <xf numFmtId="43" fontId="114" fillId="0" borderId="52" xfId="43" applyFont="1" applyFill="1" applyBorder="1" applyAlignment="1">
      <alignment horizontal="center" vertical="center"/>
    </xf>
    <xf numFmtId="43" fontId="130" fillId="0" borderId="52" xfId="43" applyFont="1" applyFill="1" applyBorder="1" applyAlignment="1">
      <alignment horizontal="center" vertical="center"/>
    </xf>
    <xf numFmtId="43" fontId="117" fillId="0" borderId="52" xfId="43" applyFont="1" applyFill="1" applyBorder="1" applyAlignment="1">
      <alignment horizontal="center" vertical="center"/>
    </xf>
    <xf numFmtId="43" fontId="118" fillId="0" borderId="52" xfId="43" applyFont="1" applyFill="1" applyBorder="1" applyAlignment="1">
      <alignment horizontal="center" vertical="center"/>
    </xf>
    <xf numFmtId="43" fontId="115" fillId="0" borderId="52" xfId="43" applyFont="1" applyFill="1" applyBorder="1" applyAlignment="1">
      <alignment horizontal="center" vertical="center"/>
    </xf>
    <xf numFmtId="43" fontId="116" fillId="0" borderId="52" xfId="43" applyFont="1" applyFill="1" applyBorder="1" applyAlignment="1">
      <alignment horizontal="center" vertical="center"/>
    </xf>
    <xf numFmtId="43" fontId="129" fillId="0" borderId="52" xfId="43" applyFont="1" applyFill="1" applyBorder="1" applyAlignment="1"/>
    <xf numFmtId="43" fontId="129" fillId="0" borderId="54" xfId="43" applyFont="1" applyFill="1" applyBorder="1" applyAlignment="1"/>
    <xf numFmtId="43" fontId="117" fillId="0" borderId="63" xfId="43" applyFont="1" applyFill="1" applyBorder="1" applyAlignment="1">
      <alignment horizontal="center" vertical="center"/>
    </xf>
    <xf numFmtId="43" fontId="116" fillId="0" borderId="37" xfId="43" applyFont="1" applyFill="1" applyBorder="1" applyAlignment="1">
      <alignment horizontal="center" vertical="center"/>
    </xf>
    <xf numFmtId="43" fontId="117" fillId="0" borderId="64" xfId="43" applyFont="1" applyFill="1" applyBorder="1" applyAlignment="1">
      <alignment horizontal="center" vertical="center"/>
    </xf>
    <xf numFmtId="43" fontId="118" fillId="0" borderId="28" xfId="43" applyFont="1" applyFill="1" applyBorder="1" applyAlignment="1">
      <alignment horizontal="center" vertical="center"/>
    </xf>
    <xf numFmtId="43" fontId="115" fillId="0" borderId="28" xfId="43" applyFont="1" applyFill="1" applyBorder="1" applyAlignment="1">
      <alignment horizontal="center" vertical="center"/>
    </xf>
    <xf numFmtId="43" fontId="116" fillId="0" borderId="43" xfId="43" applyFont="1" applyFill="1" applyBorder="1" applyAlignment="1">
      <alignment horizontal="center" vertical="center"/>
    </xf>
    <xf numFmtId="43" fontId="119" fillId="16" borderId="9" xfId="43" applyFont="1" applyFill="1" applyBorder="1" applyAlignment="1">
      <alignment horizontal="center" vertical="center"/>
    </xf>
    <xf numFmtId="43" fontId="117" fillId="0" borderId="44" xfId="43" applyFont="1" applyFill="1" applyBorder="1" applyAlignment="1">
      <alignment horizontal="center" vertical="center"/>
    </xf>
    <xf numFmtId="43" fontId="116" fillId="0" borderId="38" xfId="43" applyFont="1" applyFill="1" applyBorder="1" applyAlignment="1">
      <alignment horizontal="center" vertical="center"/>
    </xf>
    <xf numFmtId="43" fontId="114" fillId="0" borderId="9" xfId="1" applyFont="1" applyFill="1" applyBorder="1" applyAlignment="1">
      <alignment horizontal="left" vertical="center"/>
    </xf>
    <xf numFmtId="43" fontId="114" fillId="0" borderId="9" xfId="1" applyFont="1" applyFill="1" applyBorder="1" applyAlignment="1">
      <alignment horizontal="center" vertical="center"/>
    </xf>
    <xf numFmtId="43" fontId="115" fillId="0" borderId="9" xfId="1" applyFont="1" applyBorder="1" applyAlignment="1"/>
    <xf numFmtId="43" fontId="116" fillId="0" borderId="9" xfId="1" applyFont="1" applyBorder="1" applyAlignment="1"/>
    <xf numFmtId="43" fontId="132" fillId="0" borderId="13" xfId="1" applyFont="1" applyFill="1" applyBorder="1" applyAlignment="1">
      <alignment horizontal="left" vertical="center"/>
    </xf>
    <xf numFmtId="43" fontId="117" fillId="0" borderId="73" xfId="43" applyFont="1" applyFill="1" applyBorder="1" applyAlignment="1">
      <alignment horizontal="center" vertical="center"/>
    </xf>
    <xf numFmtId="43" fontId="118" fillId="0" borderId="5" xfId="43" applyFont="1" applyFill="1" applyBorder="1" applyAlignment="1">
      <alignment horizontal="center" vertical="center"/>
    </xf>
    <xf numFmtId="43" fontId="115" fillId="0" borderId="5" xfId="43" applyFont="1" applyFill="1" applyBorder="1" applyAlignment="1">
      <alignment horizontal="center" vertical="center"/>
    </xf>
    <xf numFmtId="43" fontId="116" fillId="0" borderId="82" xfId="43" applyFont="1" applyFill="1" applyBorder="1" applyAlignment="1">
      <alignment horizontal="center" vertical="center"/>
    </xf>
    <xf numFmtId="43" fontId="119" fillId="16" borderId="3" xfId="43" applyFont="1" applyFill="1" applyBorder="1" applyAlignment="1">
      <alignment horizontal="center" vertical="center"/>
    </xf>
    <xf numFmtId="43" fontId="130" fillId="0" borderId="15" xfId="1" applyFont="1" applyBorder="1" applyAlignment="1"/>
    <xf numFmtId="43" fontId="117" fillId="0" borderId="45" xfId="43" applyFont="1" applyFill="1" applyBorder="1" applyAlignment="1">
      <alignment horizontal="center" vertical="center"/>
    </xf>
    <xf numFmtId="43" fontId="116" fillId="0" borderId="42" xfId="43" applyFont="1" applyFill="1" applyBorder="1" applyAlignment="1">
      <alignment horizontal="center" vertical="center"/>
    </xf>
    <xf numFmtId="43" fontId="115" fillId="0" borderId="47" xfId="1" applyFont="1" applyFill="1" applyBorder="1" applyAlignment="1"/>
    <xf numFmtId="43" fontId="116" fillId="0" borderId="47" xfId="1" applyFont="1" applyFill="1" applyBorder="1" applyAlignment="1"/>
    <xf numFmtId="43" fontId="115" fillId="0" borderId="12" xfId="1" applyFont="1" applyFill="1" applyBorder="1" applyAlignment="1"/>
    <xf numFmtId="43" fontId="116" fillId="0" borderId="12" xfId="1" applyFont="1" applyFill="1" applyBorder="1" applyAlignment="1"/>
    <xf numFmtId="43" fontId="129" fillId="0" borderId="12" xfId="1" applyFont="1" applyBorder="1" applyAlignment="1"/>
    <xf numFmtId="43" fontId="115" fillId="0" borderId="15" xfId="1" applyFont="1" applyFill="1" applyBorder="1" applyAlignment="1"/>
    <xf numFmtId="43" fontId="116" fillId="0" borderId="15" xfId="1" applyFont="1" applyFill="1" applyBorder="1" applyAlignment="1"/>
    <xf numFmtId="43" fontId="114" fillId="0" borderId="9" xfId="43" applyFont="1" applyFill="1" applyBorder="1" applyAlignment="1">
      <alignment vertical="top"/>
    </xf>
    <xf numFmtId="43" fontId="115" fillId="0" borderId="9" xfId="43" applyFont="1" applyFill="1" applyBorder="1" applyAlignment="1">
      <alignment horizontal="center" vertical="center"/>
    </xf>
    <xf numFmtId="43" fontId="135" fillId="0" borderId="9" xfId="43" applyFont="1" applyFill="1" applyBorder="1" applyAlignment="1">
      <alignment horizontal="center" vertical="center"/>
    </xf>
    <xf numFmtId="43" fontId="130" fillId="0" borderId="9" xfId="43" applyFont="1" applyFill="1" applyBorder="1" applyAlignment="1">
      <alignment horizontal="center" vertical="center"/>
    </xf>
    <xf numFmtId="43" fontId="117" fillId="0" borderId="27" xfId="43" applyFont="1" applyFill="1" applyBorder="1" applyAlignment="1">
      <alignment horizontal="center" vertical="center"/>
    </xf>
    <xf numFmtId="43" fontId="116" fillId="0" borderId="29" xfId="43" applyFont="1" applyFill="1" applyBorder="1" applyAlignment="1">
      <alignment horizontal="center" vertical="center"/>
    </xf>
    <xf numFmtId="43" fontId="129" fillId="0" borderId="9" xfId="43" applyFont="1" applyFill="1" applyBorder="1" applyAlignment="1"/>
    <xf numFmtId="43" fontId="129" fillId="0" borderId="10" xfId="43" applyFont="1" applyFill="1" applyBorder="1" applyAlignment="1"/>
    <xf numFmtId="173" fontId="133" fillId="0" borderId="9" xfId="43" applyNumberFormat="1" applyFont="1" applyFill="1" applyBorder="1" applyAlignment="1">
      <alignment horizontal="left" vertical="top"/>
    </xf>
    <xf numFmtId="43" fontId="133" fillId="0" borderId="9" xfId="1" applyFont="1" applyFill="1" applyBorder="1" applyAlignment="1">
      <alignment horizontal="center" vertical="center"/>
    </xf>
    <xf numFmtId="43" fontId="134" fillId="0" borderId="9" xfId="43" applyFont="1" applyFill="1" applyBorder="1" applyAlignment="1">
      <alignment horizontal="center" vertical="center"/>
    </xf>
    <xf numFmtId="43" fontId="136" fillId="0" borderId="9" xfId="43" applyFont="1" applyFill="1" applyBorder="1" applyAlignment="1">
      <alignment horizontal="center" vertical="center"/>
    </xf>
    <xf numFmtId="43" fontId="133" fillId="16" borderId="9" xfId="43" applyFont="1" applyFill="1" applyBorder="1" applyAlignment="1">
      <alignment horizontal="center" vertical="center"/>
    </xf>
    <xf numFmtId="43" fontId="133" fillId="0" borderId="9" xfId="43" applyFont="1" applyFill="1" applyBorder="1" applyAlignment="1">
      <alignment horizontal="center" vertical="center"/>
    </xf>
    <xf numFmtId="43" fontId="114" fillId="16" borderId="9" xfId="43" applyFont="1" applyFill="1" applyBorder="1" applyAlignment="1">
      <alignment horizontal="center" vertical="center"/>
    </xf>
    <xf numFmtId="43" fontId="133" fillId="0" borderId="9" xfId="43" applyFont="1" applyFill="1" applyBorder="1" applyAlignment="1"/>
    <xf numFmtId="43" fontId="133" fillId="0" borderId="10" xfId="43" applyFont="1" applyFill="1" applyBorder="1" applyAlignment="1"/>
    <xf numFmtId="43" fontId="115" fillId="0" borderId="47" xfId="43" applyFont="1" applyFill="1" applyBorder="1" applyAlignment="1">
      <alignment horizontal="center" vertical="center"/>
    </xf>
    <xf numFmtId="43" fontId="135" fillId="0" borderId="47" xfId="43" applyFont="1" applyFill="1" applyBorder="1" applyAlignment="1">
      <alignment horizontal="center" vertical="center"/>
    </xf>
    <xf numFmtId="173" fontId="133" fillId="0" borderId="12" xfId="43" applyNumberFormat="1" applyFont="1" applyFill="1" applyBorder="1" applyAlignment="1">
      <alignment horizontal="left" vertical="top"/>
    </xf>
    <xf numFmtId="43" fontId="133" fillId="0" borderId="12" xfId="1" applyFont="1" applyFill="1" applyBorder="1" applyAlignment="1">
      <alignment horizontal="center" vertical="center"/>
    </xf>
    <xf numFmtId="43" fontId="134" fillId="0" borderId="12" xfId="43" applyFont="1" applyFill="1" applyBorder="1" applyAlignment="1">
      <alignment horizontal="center" vertical="center"/>
    </xf>
    <xf numFmtId="43" fontId="136" fillId="0" borderId="12" xfId="43" applyFont="1" applyFill="1" applyBorder="1" applyAlignment="1">
      <alignment horizontal="center" vertical="center"/>
    </xf>
    <xf numFmtId="43" fontId="133" fillId="0" borderId="12" xfId="57" applyFont="1" applyFill="1" applyBorder="1" applyAlignment="1">
      <alignment horizontal="center" vertical="center"/>
    </xf>
    <xf numFmtId="173" fontId="133" fillId="0" borderId="13" xfId="43" applyNumberFormat="1" applyFont="1" applyFill="1" applyBorder="1" applyAlignment="1">
      <alignment horizontal="left" vertical="top"/>
    </xf>
    <xf numFmtId="43" fontId="133" fillId="0" borderId="13" xfId="1" applyFont="1" applyFill="1" applyBorder="1" applyAlignment="1">
      <alignment horizontal="center" vertical="center"/>
    </xf>
    <xf numFmtId="43" fontId="134" fillId="0" borderId="13" xfId="43" applyFont="1" applyFill="1" applyBorder="1" applyAlignment="1">
      <alignment horizontal="center" vertical="center"/>
    </xf>
    <xf numFmtId="43" fontId="136" fillId="0" borderId="13" xfId="43" applyFont="1" applyFill="1" applyBorder="1" applyAlignment="1">
      <alignment horizontal="center" vertical="center"/>
    </xf>
    <xf numFmtId="43" fontId="133" fillId="16" borderId="13" xfId="43" applyFont="1" applyFill="1" applyBorder="1" applyAlignment="1">
      <alignment horizontal="center" vertical="center"/>
    </xf>
    <xf numFmtId="43" fontId="114" fillId="16" borderId="13" xfId="43" applyFont="1" applyFill="1" applyBorder="1" applyAlignment="1">
      <alignment horizontal="center" vertical="center"/>
    </xf>
    <xf numFmtId="173" fontId="133" fillId="0" borderId="15" xfId="43" applyNumberFormat="1" applyFont="1" applyFill="1" applyBorder="1" applyAlignment="1">
      <alignment horizontal="left" vertical="top"/>
    </xf>
    <xf numFmtId="43" fontId="133" fillId="0" borderId="15" xfId="1" applyFont="1" applyFill="1" applyBorder="1" applyAlignment="1">
      <alignment horizontal="center" vertical="center"/>
    </xf>
    <xf numFmtId="43" fontId="134" fillId="0" borderId="15" xfId="43" applyFont="1" applyFill="1" applyBorder="1" applyAlignment="1">
      <alignment horizontal="center" vertical="center"/>
    </xf>
    <xf numFmtId="43" fontId="136" fillId="0" borderId="15" xfId="43" applyFont="1" applyFill="1" applyBorder="1" applyAlignment="1">
      <alignment horizontal="center" vertical="center"/>
    </xf>
    <xf numFmtId="43" fontId="134" fillId="0" borderId="52" xfId="43" applyFont="1" applyFill="1" applyBorder="1" applyAlignment="1">
      <alignment horizontal="center" vertical="center"/>
    </xf>
    <xf numFmtId="43" fontId="136" fillId="0" borderId="52" xfId="43" applyFont="1" applyFill="1" applyBorder="1" applyAlignment="1">
      <alignment horizontal="center" vertical="center"/>
    </xf>
    <xf numFmtId="43" fontId="133" fillId="0" borderId="52" xfId="43" applyFont="1" applyFill="1" applyBorder="1" applyAlignment="1">
      <alignment horizontal="center" vertical="center"/>
    </xf>
    <xf numFmtId="43" fontId="133" fillId="0" borderId="52" xfId="43" applyFont="1" applyFill="1" applyBorder="1" applyAlignment="1"/>
    <xf numFmtId="43" fontId="133" fillId="0" borderId="54" xfId="43" applyFont="1" applyFill="1" applyBorder="1" applyAlignment="1"/>
    <xf numFmtId="43" fontId="134" fillId="0" borderId="47" xfId="43" applyFont="1" applyFill="1" applyBorder="1" applyAlignment="1">
      <alignment horizontal="center" vertical="center"/>
    </xf>
    <xf numFmtId="43" fontId="136" fillId="0" borderId="47" xfId="43" applyFont="1" applyFill="1" applyBorder="1" applyAlignment="1">
      <alignment horizontal="center" vertical="center"/>
    </xf>
    <xf numFmtId="43" fontId="129" fillId="0" borderId="54" xfId="1" applyFont="1" applyBorder="1" applyAlignment="1"/>
    <xf numFmtId="43" fontId="114" fillId="0" borderId="49" xfId="1" applyFont="1" applyFill="1" applyBorder="1" applyAlignment="1">
      <alignment horizontal="left" vertical="center"/>
    </xf>
    <xf numFmtId="43" fontId="114" fillId="0" borderId="49" xfId="1" applyFont="1" applyFill="1" applyBorder="1" applyAlignment="1">
      <alignment horizontal="center" vertical="center"/>
    </xf>
    <xf numFmtId="43" fontId="116" fillId="0" borderId="47" xfId="43" applyFont="1" applyFill="1" applyBorder="1" applyAlignment="1">
      <alignment horizontal="center" vertical="center"/>
    </xf>
    <xf numFmtId="43" fontId="114" fillId="0" borderId="12" xfId="43" applyFont="1" applyFill="1" applyBorder="1" applyAlignment="1">
      <alignment vertical="top"/>
    </xf>
    <xf numFmtId="43" fontId="115" fillId="0" borderId="12" xfId="43" applyFont="1" applyFill="1" applyBorder="1" applyAlignment="1">
      <alignment horizontal="center" vertical="center"/>
    </xf>
    <xf numFmtId="43" fontId="116" fillId="0" borderId="12" xfId="1" applyFont="1" applyFill="1" applyBorder="1" applyAlignment="1">
      <alignment horizontal="center" vertical="center"/>
    </xf>
    <xf numFmtId="43" fontId="129" fillId="0" borderId="2" xfId="1" applyFont="1" applyBorder="1" applyAlignment="1"/>
    <xf numFmtId="43" fontId="114" fillId="0" borderId="11" xfId="43" applyFont="1" applyFill="1" applyBorder="1" applyAlignment="1">
      <alignment vertical="top"/>
    </xf>
    <xf numFmtId="43" fontId="114" fillId="0" borderId="11" xfId="43" applyFont="1" applyFill="1" applyBorder="1" applyAlignment="1">
      <alignment horizontal="center" vertical="center"/>
    </xf>
    <xf numFmtId="43" fontId="133" fillId="0" borderId="11" xfId="1" applyFont="1" applyFill="1" applyBorder="1" applyAlignment="1">
      <alignment horizontal="center" vertical="center"/>
    </xf>
    <xf numFmtId="173" fontId="133" fillId="0" borderId="11" xfId="43" applyNumberFormat="1" applyFont="1" applyFill="1" applyBorder="1" applyAlignment="1">
      <alignment horizontal="left" vertical="top"/>
    </xf>
    <xf numFmtId="43" fontId="114" fillId="0" borderId="17" xfId="43" applyFont="1" applyFill="1" applyBorder="1" applyAlignment="1">
      <alignment vertical="top"/>
    </xf>
    <xf numFmtId="43" fontId="114" fillId="0" borderId="17" xfId="43" applyFont="1" applyFill="1" applyBorder="1" applyAlignment="1">
      <alignment horizontal="center" vertical="center"/>
    </xf>
    <xf numFmtId="173" fontId="133" fillId="0" borderId="17" xfId="43" applyNumberFormat="1" applyFont="1" applyFill="1" applyBorder="1" applyAlignment="1">
      <alignment horizontal="left" vertical="top"/>
    </xf>
    <xf numFmtId="43" fontId="133" fillId="0" borderId="17" xfId="1" applyFont="1" applyFill="1" applyBorder="1" applyAlignment="1">
      <alignment horizontal="center" vertical="center"/>
    </xf>
    <xf numFmtId="43" fontId="115" fillId="0" borderId="15" xfId="43" applyFont="1" applyFill="1" applyBorder="1" applyAlignment="1">
      <alignment horizontal="center" vertical="center"/>
    </xf>
    <xf numFmtId="43" fontId="116" fillId="0" borderId="15" xfId="1" applyFont="1" applyFill="1" applyBorder="1" applyAlignment="1">
      <alignment horizontal="center" vertical="center"/>
    </xf>
    <xf numFmtId="43" fontId="114" fillId="0" borderId="13" xfId="43" applyFont="1" applyFill="1" applyBorder="1" applyAlignment="1">
      <alignment vertical="top"/>
    </xf>
    <xf numFmtId="43" fontId="115" fillId="0" borderId="13" xfId="43" applyFont="1" applyFill="1" applyBorder="1" applyAlignment="1">
      <alignment horizontal="center" vertical="center"/>
    </xf>
    <xf numFmtId="43" fontId="116" fillId="0" borderId="13" xfId="1" applyFont="1" applyFill="1" applyBorder="1" applyAlignment="1">
      <alignment horizontal="center" vertical="center"/>
    </xf>
    <xf numFmtId="43" fontId="133" fillId="0" borderId="13" xfId="43" applyFont="1" applyFill="1" applyBorder="1" applyAlignment="1">
      <alignment horizontal="center" vertical="center"/>
    </xf>
    <xf numFmtId="43" fontId="133" fillId="0" borderId="13" xfId="43" applyFont="1" applyFill="1" applyBorder="1" applyAlignment="1"/>
    <xf numFmtId="43" fontId="114" fillId="0" borderId="15" xfId="43" applyFont="1" applyFill="1" applyBorder="1" applyAlignment="1">
      <alignment vertical="top"/>
    </xf>
    <xf numFmtId="43" fontId="129" fillId="0" borderId="0" xfId="43" applyFont="1" applyFill="1" applyAlignment="1"/>
    <xf numFmtId="43" fontId="137" fillId="16" borderId="12" xfId="43" applyFont="1" applyFill="1" applyBorder="1" applyAlignment="1">
      <alignment horizontal="center" vertical="center"/>
    </xf>
    <xf numFmtId="43" fontId="129" fillId="0" borderId="0" xfId="43" applyFont="1" applyFill="1" applyBorder="1" applyAlignment="1"/>
    <xf numFmtId="43" fontId="137" fillId="16" borderId="13" xfId="43" applyFont="1" applyFill="1" applyBorder="1" applyAlignment="1">
      <alignment horizontal="center" vertical="center"/>
    </xf>
    <xf numFmtId="43" fontId="137" fillId="16" borderId="15" xfId="43" applyFont="1" applyFill="1" applyBorder="1" applyAlignment="1">
      <alignment horizontal="center" vertical="center"/>
    </xf>
    <xf numFmtId="43" fontId="116" fillId="0" borderId="13" xfId="1" applyFont="1" applyFill="1" applyBorder="1" applyAlignment="1"/>
    <xf numFmtId="43" fontId="131" fillId="0" borderId="48" xfId="1" applyFont="1" applyBorder="1" applyAlignment="1"/>
    <xf numFmtId="43" fontId="131" fillId="0" borderId="52" xfId="1" applyFont="1" applyBorder="1" applyAlignment="1"/>
    <xf numFmtId="43" fontId="114" fillId="0" borderId="47" xfId="1" applyFont="1" applyFill="1" applyBorder="1" applyAlignment="1">
      <alignment vertical="top"/>
    </xf>
    <xf numFmtId="43" fontId="114" fillId="0" borderId="47" xfId="1" applyFont="1" applyFill="1" applyBorder="1" applyAlignment="1">
      <alignment horizontal="center" vertical="top"/>
    </xf>
    <xf numFmtId="43" fontId="115" fillId="0" borderId="47" xfId="1" applyFont="1" applyFill="1" applyBorder="1" applyAlignment="1">
      <alignment horizontal="center" vertical="center"/>
    </xf>
    <xf numFmtId="43" fontId="135" fillId="0" borderId="47" xfId="1" applyFont="1" applyFill="1" applyBorder="1" applyAlignment="1">
      <alignment horizontal="center" vertical="center"/>
    </xf>
    <xf numFmtId="43" fontId="130" fillId="0" borderId="47" xfId="1" applyFont="1" applyFill="1" applyBorder="1" applyAlignment="1">
      <alignment horizontal="center" vertical="center"/>
    </xf>
    <xf numFmtId="43" fontId="117" fillId="0" borderId="62" xfId="1" applyFont="1" applyFill="1" applyBorder="1" applyAlignment="1">
      <alignment horizontal="center" vertical="center"/>
    </xf>
    <xf numFmtId="43" fontId="118" fillId="0" borderId="22" xfId="1" applyFont="1" applyFill="1" applyBorder="1" applyAlignment="1">
      <alignment horizontal="center" vertical="center"/>
    </xf>
    <xf numFmtId="43" fontId="115" fillId="0" borderId="22" xfId="1" applyFont="1" applyFill="1" applyBorder="1" applyAlignment="1">
      <alignment horizontal="center" vertical="center"/>
    </xf>
    <xf numFmtId="43" fontId="116" fillId="0" borderId="23" xfId="1" applyFont="1" applyFill="1" applyBorder="1" applyAlignment="1">
      <alignment horizontal="center" vertical="center"/>
    </xf>
    <xf numFmtId="43" fontId="129" fillId="0" borderId="47" xfId="1" applyFont="1" applyFill="1" applyBorder="1" applyAlignment="1"/>
    <xf numFmtId="43" fontId="134" fillId="0" borderId="12" xfId="1" applyFont="1" applyFill="1" applyBorder="1" applyAlignment="1">
      <alignment horizontal="center" vertical="center"/>
    </xf>
    <xf numFmtId="43" fontId="136" fillId="0" borderId="12" xfId="1" applyFont="1" applyBorder="1" applyAlignment="1"/>
    <xf numFmtId="43" fontId="133" fillId="16" borderId="12" xfId="1" applyFont="1" applyFill="1" applyBorder="1" applyAlignment="1">
      <alignment horizontal="center" vertical="center"/>
    </xf>
    <xf numFmtId="43" fontId="130" fillId="0" borderId="12" xfId="1" applyFont="1" applyFill="1" applyBorder="1" applyAlignment="1">
      <alignment horizontal="center" vertical="center"/>
    </xf>
    <xf numFmtId="43" fontId="117" fillId="0" borderId="19" xfId="1" applyFont="1" applyFill="1" applyBorder="1" applyAlignment="1">
      <alignment horizontal="center" vertical="center"/>
    </xf>
    <xf numFmtId="43" fontId="118" fillId="0" borderId="20" xfId="1" applyFont="1" applyFill="1" applyBorder="1" applyAlignment="1">
      <alignment horizontal="center" vertical="center"/>
    </xf>
    <xf numFmtId="43" fontId="115" fillId="0" borderId="20" xfId="1" applyFont="1" applyFill="1" applyBorder="1" applyAlignment="1">
      <alignment horizontal="center" vertical="center"/>
    </xf>
    <xf numFmtId="43" fontId="116" fillId="0" borderId="21" xfId="1" applyFont="1" applyFill="1" applyBorder="1" applyAlignment="1">
      <alignment horizontal="center" vertical="center"/>
    </xf>
    <xf numFmtId="43" fontId="114" fillId="16" borderId="12" xfId="1" applyFont="1" applyFill="1" applyBorder="1" applyAlignment="1">
      <alignment horizontal="center" vertical="center"/>
    </xf>
    <xf numFmtId="43" fontId="136" fillId="0" borderId="12" xfId="1" applyFont="1" applyFill="1" applyBorder="1" applyAlignment="1">
      <alignment horizontal="center" vertical="center"/>
    </xf>
    <xf numFmtId="43" fontId="130" fillId="0" borderId="3" xfId="43" applyFont="1" applyFill="1" applyBorder="1" applyAlignment="1">
      <alignment horizontal="center" vertical="center"/>
    </xf>
    <xf numFmtId="43" fontId="114" fillId="16" borderId="3" xfId="43" applyFont="1" applyFill="1" applyBorder="1" applyAlignment="1">
      <alignment horizontal="center" vertical="center"/>
    </xf>
    <xf numFmtId="43" fontId="114" fillId="0" borderId="12" xfId="1" applyFont="1" applyFill="1" applyBorder="1" applyAlignment="1">
      <alignment vertical="top"/>
    </xf>
    <xf numFmtId="43" fontId="134" fillId="0" borderId="15" xfId="1" applyFont="1" applyFill="1" applyBorder="1" applyAlignment="1">
      <alignment horizontal="center" vertical="center"/>
    </xf>
    <xf numFmtId="43" fontId="136" fillId="0" borderId="15" xfId="1" applyFont="1" applyFill="1" applyBorder="1" applyAlignment="1">
      <alignment horizontal="center" vertical="center"/>
    </xf>
    <xf numFmtId="43" fontId="133" fillId="16" borderId="15" xfId="1" applyFont="1" applyFill="1" applyBorder="1" applyAlignment="1">
      <alignment horizontal="center" vertical="center"/>
    </xf>
    <xf numFmtId="43" fontId="134" fillId="0" borderId="47" xfId="1" applyFont="1" applyFill="1" applyBorder="1" applyAlignment="1">
      <alignment horizontal="center" vertical="center"/>
    </xf>
    <xf numFmtId="43" fontId="136" fillId="0" borderId="47" xfId="1" applyFont="1" applyFill="1" applyBorder="1" applyAlignment="1">
      <alignment horizontal="center" vertical="center"/>
    </xf>
    <xf numFmtId="173" fontId="133" fillId="0" borderId="12" xfId="1" applyNumberFormat="1" applyFont="1" applyFill="1" applyBorder="1" applyAlignment="1">
      <alignment horizontal="left" vertical="top"/>
    </xf>
    <xf numFmtId="43" fontId="133" fillId="0" borderId="12" xfId="1" applyFont="1" applyFill="1" applyBorder="1" applyAlignment="1"/>
    <xf numFmtId="173" fontId="133" fillId="0" borderId="15" xfId="1" applyNumberFormat="1" applyFont="1" applyFill="1" applyBorder="1" applyAlignment="1">
      <alignment horizontal="left" vertical="top"/>
    </xf>
    <xf numFmtId="43" fontId="130" fillId="0" borderId="15" xfId="1" applyFont="1" applyFill="1" applyBorder="1" applyAlignment="1">
      <alignment horizontal="center" vertical="center"/>
    </xf>
    <xf numFmtId="43" fontId="117" fillId="0" borderId="24" xfId="1" applyFont="1" applyFill="1" applyBorder="1" applyAlignment="1">
      <alignment horizontal="center" vertical="center"/>
    </xf>
    <xf numFmtId="43" fontId="118" fillId="0" borderId="25" xfId="1" applyFont="1" applyFill="1" applyBorder="1" applyAlignment="1">
      <alignment horizontal="center" vertical="center"/>
    </xf>
    <xf numFmtId="43" fontId="115" fillId="0" borderId="25" xfId="1" applyFont="1" applyFill="1" applyBorder="1" applyAlignment="1">
      <alignment horizontal="center" vertical="center"/>
    </xf>
    <xf numFmtId="43" fontId="116" fillId="0" borderId="26" xfId="1" applyFont="1" applyFill="1" applyBorder="1" applyAlignment="1">
      <alignment horizontal="center" vertical="center"/>
    </xf>
    <xf numFmtId="43" fontId="114" fillId="16" borderId="15" xfId="1" applyFont="1" applyFill="1" applyBorder="1" applyAlignment="1">
      <alignment horizontal="center" vertical="center"/>
    </xf>
    <xf numFmtId="43" fontId="133" fillId="0" borderId="12" xfId="1" applyFont="1" applyFill="1" applyBorder="1" applyAlignment="1">
      <alignment vertical="top"/>
    </xf>
    <xf numFmtId="43" fontId="133" fillId="0" borderId="13" xfId="1" applyFont="1" applyFill="1" applyBorder="1" applyAlignment="1">
      <alignment vertical="top"/>
    </xf>
    <xf numFmtId="43" fontId="133" fillId="0" borderId="15" xfId="1" applyFont="1" applyFill="1" applyBorder="1" applyAlignment="1"/>
    <xf numFmtId="43" fontId="129" fillId="0" borderId="47" xfId="1" applyFont="1" applyBorder="1" applyAlignment="1"/>
    <xf numFmtId="43" fontId="117" fillId="0" borderId="62" xfId="1" applyFont="1" applyBorder="1" applyAlignment="1"/>
    <xf numFmtId="43" fontId="118" fillId="0" borderId="22" xfId="1" applyFont="1" applyBorder="1" applyAlignment="1"/>
    <xf numFmtId="43" fontId="115" fillId="0" borderId="22" xfId="1" applyFont="1" applyBorder="1" applyAlignment="1"/>
    <xf numFmtId="43" fontId="116" fillId="0" borderId="23" xfId="1" applyFont="1" applyBorder="1" applyAlignment="1"/>
    <xf numFmtId="43" fontId="117" fillId="0" borderId="19" xfId="1" applyFont="1" applyBorder="1" applyAlignment="1"/>
    <xf numFmtId="43" fontId="118" fillId="0" borderId="20" xfId="1" applyFont="1" applyBorder="1" applyAlignment="1"/>
    <xf numFmtId="43" fontId="115" fillId="0" borderId="20" xfId="1" applyFont="1" applyBorder="1" applyAlignment="1"/>
    <xf numFmtId="43" fontId="116" fillId="0" borderId="21" xfId="1" applyFont="1" applyBorder="1" applyAlignment="1"/>
    <xf numFmtId="43" fontId="133" fillId="16" borderId="13" xfId="1" applyFont="1" applyFill="1" applyBorder="1" applyAlignment="1">
      <alignment horizontal="center" vertical="center"/>
    </xf>
    <xf numFmtId="43" fontId="129" fillId="0" borderId="13" xfId="1" applyFont="1" applyBorder="1" applyAlignment="1"/>
    <xf numFmtId="43" fontId="117" fillId="0" borderId="39" xfId="1" applyFont="1" applyBorder="1" applyAlignment="1"/>
    <xf numFmtId="43" fontId="118" fillId="0" borderId="40" xfId="1" applyFont="1" applyBorder="1" applyAlignment="1"/>
    <xf numFmtId="43" fontId="115" fillId="0" borderId="40" xfId="1" applyFont="1" applyBorder="1" applyAlignment="1"/>
    <xf numFmtId="43" fontId="116" fillId="0" borderId="41" xfId="1" applyFont="1" applyBorder="1" applyAlignment="1"/>
    <xf numFmtId="43" fontId="114" fillId="16" borderId="13" xfId="1" applyFont="1" applyFill="1" applyBorder="1" applyAlignment="1">
      <alignment horizontal="center" vertical="center"/>
    </xf>
    <xf numFmtId="43" fontId="133" fillId="0" borderId="15" xfId="1" applyFont="1" applyFill="1" applyBorder="1" applyAlignment="1">
      <alignment vertical="top"/>
    </xf>
    <xf numFmtId="43" fontId="130" fillId="0" borderId="12" xfId="1" applyFont="1" applyBorder="1" applyAlignment="1"/>
    <xf numFmtId="43" fontId="130" fillId="0" borderId="13" xfId="1" applyFont="1" applyBorder="1" applyAlignment="1"/>
    <xf numFmtId="43" fontId="117" fillId="0" borderId="63" xfId="1" applyFont="1" applyBorder="1" applyAlignment="1"/>
    <xf numFmtId="43" fontId="116" fillId="0" borderId="37" xfId="1" applyFont="1" applyBorder="1" applyAlignment="1"/>
    <xf numFmtId="43" fontId="117" fillId="0" borderId="44" xfId="1" applyFont="1" applyBorder="1" applyAlignment="1"/>
    <xf numFmtId="43" fontId="116" fillId="0" borderId="38" xfId="1" applyFont="1" applyBorder="1" applyAlignment="1"/>
    <xf numFmtId="43" fontId="131" fillId="0" borderId="48" xfId="57" applyFont="1" applyFill="1" applyBorder="1" applyAlignment="1"/>
    <xf numFmtId="43" fontId="131" fillId="0" borderId="52" xfId="57" applyFont="1" applyFill="1" applyBorder="1" applyAlignment="1"/>
    <xf numFmtId="43" fontId="115" fillId="0" borderId="52" xfId="57" applyFont="1" applyBorder="1" applyAlignment="1"/>
    <xf numFmtId="43" fontId="116" fillId="0" borderId="52" xfId="57" applyFont="1" applyBorder="1" applyAlignment="1"/>
    <xf numFmtId="43" fontId="129" fillId="0" borderId="52" xfId="57" applyFont="1" applyBorder="1" applyAlignment="1"/>
    <xf numFmtId="43" fontId="117" fillId="0" borderId="52" xfId="57" applyFont="1" applyBorder="1" applyAlignment="1"/>
    <xf numFmtId="43" fontId="118" fillId="0" borderId="52" xfId="57" applyFont="1" applyBorder="1" applyAlignment="1"/>
    <xf numFmtId="43" fontId="129" fillId="0" borderId="54" xfId="57" applyFont="1" applyBorder="1" applyAlignment="1"/>
    <xf numFmtId="43" fontId="115" fillId="0" borderId="47" xfId="57" applyFont="1" applyBorder="1" applyAlignment="1"/>
    <xf numFmtId="43" fontId="116" fillId="0" borderId="47" xfId="57" applyFont="1" applyBorder="1" applyAlignment="1"/>
    <xf numFmtId="43" fontId="129" fillId="0" borderId="47" xfId="57" applyFont="1" applyBorder="1" applyAlignment="1"/>
    <xf numFmtId="43" fontId="117" fillId="0" borderId="62" xfId="57" applyFont="1" applyBorder="1" applyAlignment="1"/>
    <xf numFmtId="43" fontId="118" fillId="0" borderId="22" xfId="57" applyFont="1" applyBorder="1" applyAlignment="1"/>
    <xf numFmtId="43" fontId="115" fillId="0" borderId="22" xfId="57" applyFont="1" applyBorder="1" applyAlignment="1"/>
    <xf numFmtId="43" fontId="116" fillId="0" borderId="23" xfId="57" applyFont="1" applyBorder="1" applyAlignment="1"/>
    <xf numFmtId="43" fontId="129" fillId="0" borderId="47" xfId="57" applyFont="1" applyFill="1" applyBorder="1" applyAlignment="1"/>
    <xf numFmtId="43" fontId="129" fillId="0" borderId="0" xfId="57" applyFont="1" applyBorder="1" applyAlignment="1"/>
    <xf numFmtId="43" fontId="133" fillId="0" borderId="12" xfId="1" applyFont="1" applyBorder="1" applyAlignment="1"/>
    <xf numFmtId="43" fontId="115" fillId="0" borderId="9" xfId="57" applyFont="1" applyBorder="1" applyAlignment="1"/>
    <xf numFmtId="43" fontId="116" fillId="0" borderId="9" xfId="57" applyFont="1" applyBorder="1" applyAlignment="1"/>
    <xf numFmtId="43" fontId="130" fillId="0" borderId="9" xfId="57" applyFont="1" applyBorder="1" applyAlignment="1"/>
    <xf numFmtId="43" fontId="117" fillId="0" borderId="27" xfId="57" applyFont="1" applyBorder="1" applyAlignment="1"/>
    <xf numFmtId="43" fontId="118" fillId="0" borderId="28" xfId="57" applyFont="1" applyBorder="1" applyAlignment="1"/>
    <xf numFmtId="43" fontId="115" fillId="0" borderId="28" xfId="57" applyFont="1" applyBorder="1" applyAlignment="1"/>
    <xf numFmtId="43" fontId="116" fillId="0" borderId="29" xfId="57" applyFont="1" applyBorder="1" applyAlignment="1"/>
    <xf numFmtId="43" fontId="138" fillId="0" borderId="12" xfId="1" applyFont="1" applyBorder="1" applyAlignment="1"/>
    <xf numFmtId="43" fontId="116" fillId="0" borderId="12" xfId="57" applyFont="1" applyBorder="1" applyAlignment="1"/>
    <xf numFmtId="43" fontId="133" fillId="16" borderId="12" xfId="57" applyFont="1" applyFill="1" applyBorder="1" applyAlignment="1">
      <alignment horizontal="center" vertical="center"/>
    </xf>
    <xf numFmtId="43" fontId="117" fillId="0" borderId="19" xfId="57" applyFont="1" applyBorder="1" applyAlignment="1"/>
    <xf numFmtId="43" fontId="118" fillId="0" borderId="20" xfId="57" applyFont="1" applyBorder="1" applyAlignment="1"/>
    <xf numFmtId="43" fontId="115" fillId="0" borderId="20" xfId="57" applyFont="1" applyBorder="1" applyAlignment="1"/>
    <xf numFmtId="43" fontId="116" fillId="0" borderId="21" xfId="57" applyFont="1" applyBorder="1" applyAlignment="1"/>
    <xf numFmtId="43" fontId="114" fillId="16" borderId="12" xfId="57" applyFont="1" applyFill="1" applyBorder="1" applyAlignment="1">
      <alignment horizontal="center" vertical="center"/>
    </xf>
    <xf numFmtId="43" fontId="133" fillId="0" borderId="12" xfId="57" applyFont="1" applyBorder="1" applyAlignment="1"/>
    <xf numFmtId="43" fontId="115" fillId="2" borderId="12" xfId="1" applyFont="1" applyFill="1" applyBorder="1" applyAlignment="1"/>
    <xf numFmtId="43" fontId="133" fillId="0" borderId="15" xfId="57" applyFont="1" applyBorder="1" applyAlignment="1"/>
    <xf numFmtId="43" fontId="133" fillId="16" borderId="15" xfId="57" applyFont="1" applyFill="1" applyBorder="1" applyAlignment="1">
      <alignment horizontal="center" vertical="center"/>
    </xf>
    <xf numFmtId="43" fontId="133" fillId="0" borderId="15" xfId="57" applyFont="1" applyFill="1" applyBorder="1" applyAlignment="1">
      <alignment horizontal="center" vertical="center"/>
    </xf>
    <xf numFmtId="43" fontId="114" fillId="16" borderId="15" xfId="57" applyFont="1" applyFill="1" applyBorder="1" applyAlignment="1">
      <alignment horizontal="center" vertical="center"/>
    </xf>
    <xf numFmtId="43" fontId="115" fillId="0" borderId="0" xfId="1" applyFont="1" applyAlignment="1"/>
    <xf numFmtId="43" fontId="116" fillId="0" borderId="0" xfId="1" applyFont="1" applyAlignment="1"/>
    <xf numFmtId="43" fontId="117" fillId="0" borderId="0" xfId="1" applyFont="1" applyAlignment="1"/>
    <xf numFmtId="43" fontId="118" fillId="0" borderId="0" xfId="1" applyFont="1" applyAlignment="1"/>
    <xf numFmtId="177" fontId="119" fillId="0" borderId="76" xfId="1" applyNumberFormat="1" applyFont="1" applyBorder="1" applyAlignment="1">
      <alignment horizontal="center"/>
    </xf>
    <xf numFmtId="177" fontId="119" fillId="0" borderId="77" xfId="1" applyNumberFormat="1" applyFont="1" applyBorder="1" applyAlignment="1">
      <alignment horizontal="center"/>
    </xf>
    <xf numFmtId="0" fontId="68" fillId="0" borderId="52" xfId="36" applyFont="1" applyBorder="1" applyAlignment="1">
      <alignment horizontal="center" vertical="center" wrapText="1"/>
    </xf>
    <xf numFmtId="43" fontId="48" fillId="0" borderId="55" xfId="35" applyFont="1" applyBorder="1" applyAlignment="1">
      <alignment horizontal="center"/>
    </xf>
    <xf numFmtId="177" fontId="48" fillId="0" borderId="48" xfId="1" applyNumberFormat="1" applyFont="1" applyBorder="1" applyAlignment="1">
      <alignment horizontal="center" wrapText="1"/>
    </xf>
    <xf numFmtId="177" fontId="48" fillId="0" borderId="52" xfId="1" applyNumberFormat="1" applyFont="1" applyBorder="1" applyAlignment="1">
      <alignment horizontal="center" wrapText="1"/>
    </xf>
    <xf numFmtId="177" fontId="48" fillId="0" borderId="54" xfId="1" applyNumberFormat="1" applyFont="1" applyBorder="1" applyAlignment="1">
      <alignment horizontal="center" wrapText="1"/>
    </xf>
    <xf numFmtId="43" fontId="119" fillId="4" borderId="74" xfId="1" applyFont="1" applyFill="1" applyBorder="1" applyAlignment="1">
      <alignment horizontal="center" vertical="center"/>
    </xf>
    <xf numFmtId="43" fontId="119" fillId="4" borderId="75" xfId="1" applyFont="1" applyFill="1" applyBorder="1" applyAlignment="1">
      <alignment horizontal="center" vertical="center"/>
    </xf>
    <xf numFmtId="43" fontId="114" fillId="0" borderId="46" xfId="1" applyFont="1" applyFill="1" applyBorder="1" applyAlignment="1">
      <alignment horizontal="center" vertical="center"/>
    </xf>
    <xf numFmtId="43" fontId="119" fillId="0" borderId="46" xfId="1" applyFont="1" applyBorder="1" applyAlignment="1">
      <alignment horizontal="center"/>
    </xf>
    <xf numFmtId="43" fontId="122" fillId="0" borderId="46" xfId="1" applyFont="1" applyBorder="1" applyAlignment="1"/>
    <xf numFmtId="43" fontId="122" fillId="0" borderId="46" xfId="1" applyFont="1" applyFill="1" applyBorder="1" applyAlignment="1">
      <alignment horizontal="center" vertical="center"/>
    </xf>
    <xf numFmtId="43" fontId="128" fillId="0" borderId="48" xfId="1" applyFont="1" applyBorder="1" applyAlignment="1">
      <alignment horizontal="center"/>
    </xf>
    <xf numFmtId="43" fontId="128" fillId="0" borderId="52" xfId="1" applyFont="1" applyBorder="1" applyAlignment="1">
      <alignment horizontal="center"/>
    </xf>
    <xf numFmtId="43" fontId="128" fillId="0" borderId="54" xfId="1" applyFont="1" applyBorder="1" applyAlignment="1">
      <alignment horizontal="center"/>
    </xf>
    <xf numFmtId="165" fontId="101" fillId="0" borderId="65" xfId="141" applyFont="1" applyFill="1" applyBorder="1" applyAlignment="1">
      <alignment horizontal="center" vertical="center"/>
    </xf>
    <xf numFmtId="165" fontId="101" fillId="0" borderId="3" xfId="141" applyFont="1" applyFill="1" applyBorder="1" applyAlignment="1">
      <alignment horizontal="center" vertical="center"/>
    </xf>
    <xf numFmtId="165" fontId="101" fillId="0" borderId="32" xfId="141" applyFont="1" applyFill="1" applyBorder="1" applyAlignment="1">
      <alignment horizontal="center" vertical="center"/>
    </xf>
    <xf numFmtId="165" fontId="100" fillId="0" borderId="0" xfId="141" applyFont="1" applyFill="1" applyBorder="1" applyAlignment="1">
      <alignment horizontal="center" vertical="center"/>
    </xf>
    <xf numFmtId="165" fontId="102" fillId="0" borderId="0" xfId="141" applyFont="1" applyFill="1" applyBorder="1" applyAlignment="1">
      <alignment horizontal="center" vertical="center"/>
    </xf>
    <xf numFmtId="169" fontId="102" fillId="0" borderId="74" xfId="141" applyNumberFormat="1" applyFont="1" applyFill="1" applyBorder="1" applyAlignment="1">
      <alignment horizontal="center" vertical="center"/>
    </xf>
    <xf numFmtId="169" fontId="102" fillId="0" borderId="55" xfId="141" applyNumberFormat="1" applyFont="1" applyFill="1" applyBorder="1" applyAlignment="1">
      <alignment horizontal="center" vertical="center"/>
    </xf>
    <xf numFmtId="169" fontId="102" fillId="0" borderId="75" xfId="141" applyNumberFormat="1" applyFont="1" applyFill="1" applyBorder="1" applyAlignment="1">
      <alignment horizontal="center" vertical="center"/>
    </xf>
    <xf numFmtId="169" fontId="102" fillId="0" borderId="33" xfId="141" applyNumberFormat="1" applyFont="1" applyFill="1" applyBorder="1" applyAlignment="1">
      <alignment horizontal="center" vertical="center"/>
    </xf>
    <xf numFmtId="169" fontId="102" fillId="0" borderId="76" xfId="141" applyNumberFormat="1" applyFont="1" applyFill="1" applyBorder="1" applyAlignment="1">
      <alignment horizontal="center" vertical="center"/>
    </xf>
    <xf numFmtId="169" fontId="102" fillId="0" borderId="77" xfId="141" applyNumberFormat="1" applyFont="1" applyFill="1" applyBorder="1" applyAlignment="1">
      <alignment horizontal="center" vertical="center"/>
    </xf>
    <xf numFmtId="165" fontId="101" fillId="0" borderId="2" xfId="141" applyFont="1" applyFill="1" applyBorder="1" applyAlignment="1">
      <alignment horizontal="center" vertical="center"/>
    </xf>
    <xf numFmtId="165" fontId="101" fillId="0" borderId="81" xfId="141" applyFont="1" applyFill="1" applyBorder="1" applyAlignment="1">
      <alignment horizontal="center" vertical="center"/>
    </xf>
    <xf numFmtId="165" fontId="101" fillId="0" borderId="80" xfId="141" applyFont="1" applyFill="1" applyBorder="1" applyAlignment="1">
      <alignment horizontal="center" vertical="center"/>
    </xf>
  </cellXfs>
  <cellStyles count="143">
    <cellStyle name="Comma" xfId="1" builtinId="3"/>
    <cellStyle name="Euro" xfId="34" xr:uid="{00000000-0005-0000-0000-000001000000}"/>
    <cellStyle name="Excel Built-in Comma [0]" xfId="64" xr:uid="{00000000-0005-0000-0000-000002000000}"/>
    <cellStyle name="Good" xfId="11" builtinId="26"/>
    <cellStyle name="Hyperlink" xfId="128" builtinId="8"/>
    <cellStyle name="Millares 10" xfId="43" xr:uid="{00000000-0005-0000-0000-000005000000}"/>
    <cellStyle name="Millares 10 2" xfId="103" xr:uid="{E5C698FE-2B84-4DCC-A6B6-ECDA79CE9F4C}"/>
    <cellStyle name="Millares 10 3" xfId="136" xr:uid="{95435624-2280-4129-8893-62C6CF0866BB}"/>
    <cellStyle name="Millares 11" xfId="28" xr:uid="{00000000-0005-0000-0000-000006000000}"/>
    <cellStyle name="Millares 11 2" xfId="50" xr:uid="{00000000-0005-0000-0000-000007000000}"/>
    <cellStyle name="Millares 12" xfId="63" xr:uid="{00000000-0005-0000-0000-000008000000}"/>
    <cellStyle name="Millares 12 2" xfId="57" xr:uid="{00000000-0005-0000-0000-000009000000}"/>
    <cellStyle name="Millares 13" xfId="66" xr:uid="{00000000-0005-0000-0000-00000A000000}"/>
    <cellStyle name="Millares 14" xfId="16" xr:uid="{00000000-0005-0000-0000-00000B000000}"/>
    <cellStyle name="Millares 14 2" xfId="21" xr:uid="{00000000-0005-0000-0000-00000C000000}"/>
    <cellStyle name="Millares 14 2 2" xfId="42" xr:uid="{00000000-0005-0000-0000-00000D000000}"/>
    <cellStyle name="Millares 15" xfId="68" xr:uid="{00000000-0005-0000-0000-00000E000000}"/>
    <cellStyle name="Millares 16" xfId="73" xr:uid="{00000000-0005-0000-0000-00000F000000}"/>
    <cellStyle name="Millares 17" xfId="54" xr:uid="{00000000-0005-0000-0000-000010000000}"/>
    <cellStyle name="Millares 18" xfId="23" xr:uid="{00000000-0005-0000-0000-000011000000}"/>
    <cellStyle name="Millares 19" xfId="74" xr:uid="{00000000-0005-0000-0000-000012000000}"/>
    <cellStyle name="Millares 2" xfId="3" xr:uid="{00000000-0005-0000-0000-000013000000}"/>
    <cellStyle name="Millares 2 2" xfId="47" xr:uid="{00000000-0005-0000-0000-000014000000}"/>
    <cellStyle name="Millares 2 3" xfId="80" xr:uid="{00000000-0005-0000-0000-000015000000}"/>
    <cellStyle name="Millares 2 4" xfId="5" xr:uid="{00000000-0005-0000-0000-000016000000}"/>
    <cellStyle name="Millares 2 5" xfId="123" xr:uid="{13979146-C849-4773-B246-7505D0E23784}"/>
    <cellStyle name="Millares 20" xfId="14" xr:uid="{00000000-0005-0000-0000-000017000000}"/>
    <cellStyle name="Millares 21" xfId="77" xr:uid="{00000000-0005-0000-0000-000018000000}"/>
    <cellStyle name="Millares 22" xfId="87" xr:uid="{00000000-0005-0000-0000-000019000000}"/>
    <cellStyle name="Millares 23" xfId="88" xr:uid="{00000000-0005-0000-0000-00001A000000}"/>
    <cellStyle name="Millares 23 2" xfId="112" xr:uid="{B56D480C-2DED-46DE-B174-9F30A7B29992}"/>
    <cellStyle name="Millares 23 2 2" xfId="122" xr:uid="{65EA6826-ECA2-446E-AF82-6B1164B7EFF4}"/>
    <cellStyle name="Millares 23 2 3" xfId="129" xr:uid="{871CDAF4-89B3-4733-8DAC-4F3BB4F3D56B}"/>
    <cellStyle name="Millares 23 2 3 2" xfId="138" xr:uid="{D7B451EB-E66E-414E-B38D-4BBD677C24D4}"/>
    <cellStyle name="Millares 24" xfId="92" xr:uid="{00000000-0005-0000-0000-00001B000000}"/>
    <cellStyle name="Millares 25" xfId="94" xr:uid="{00000000-0005-0000-0000-00001C000000}"/>
    <cellStyle name="Millares 26" xfId="106" xr:uid="{7D75E608-F5B8-4761-BDB1-8558659491AC}"/>
    <cellStyle name="Millares 26 2" xfId="114" xr:uid="{162B1448-2B2B-4329-880E-6089E74F803F}"/>
    <cellStyle name="Millares 26 3" xfId="116" xr:uid="{2D743C02-BC7B-4D57-85AA-AC8CD12FCEC3}"/>
    <cellStyle name="Millares 26 4" xfId="133" xr:uid="{F425C2A0-17C7-4E17-9D79-97C7C2514122}"/>
    <cellStyle name="Millares 26 4 2" xfId="135" xr:uid="{9987ACE5-5028-4E0C-A689-36F782F55A24}"/>
    <cellStyle name="Millares 26 4 2 2" xfId="139" xr:uid="{FEB59F3A-D275-4678-8D19-13A7C59E8376}"/>
    <cellStyle name="Millares 26 4 2 3" xfId="141" xr:uid="{F2712035-AD79-4554-AD4D-0ACF7A623E2C}"/>
    <cellStyle name="Millares 27" xfId="109" xr:uid="{BFCB44A0-1566-4570-92FF-3962E27A1002}"/>
    <cellStyle name="Millares 28" xfId="119" xr:uid="{D6ADCD09-C01B-4024-BFE3-EB18DD7F50DA}"/>
    <cellStyle name="Millares 29" xfId="121" xr:uid="{33329ADB-31CA-4FD4-923D-06832478427B}"/>
    <cellStyle name="Millares 3" xfId="7" xr:uid="{00000000-0005-0000-0000-00001D000000}"/>
    <cellStyle name="Millares 3 2" xfId="95" xr:uid="{00000000-0005-0000-0000-00001E000000}"/>
    <cellStyle name="Millares 3 3" xfId="96" xr:uid="{00000000-0005-0000-0000-00001F000000}"/>
    <cellStyle name="Millares 3 5" xfId="4" xr:uid="{00000000-0005-0000-0000-000020000000}"/>
    <cellStyle name="Millares 3 5 2" xfId="9" xr:uid="{00000000-0005-0000-0000-000021000000}"/>
    <cellStyle name="Millares 3 5 2 2" xfId="51" xr:uid="{00000000-0005-0000-0000-000022000000}"/>
    <cellStyle name="Millares 3 5 2 3" xfId="97" xr:uid="{00000000-0005-0000-0000-000023000000}"/>
    <cellStyle name="Millares 3 5 3" xfId="22" xr:uid="{00000000-0005-0000-0000-000024000000}"/>
    <cellStyle name="Millares 3 5 4" xfId="26" xr:uid="{00000000-0005-0000-0000-000025000000}"/>
    <cellStyle name="Millares 3 5 4 2" xfId="48" xr:uid="{00000000-0005-0000-0000-000026000000}"/>
    <cellStyle name="Millares 30" xfId="124" xr:uid="{8751487E-83E6-4A6D-A0FD-86A8409683A8}"/>
    <cellStyle name="Millares 31" xfId="126" xr:uid="{1FDFA573-2006-4C5B-9127-0820E633A136}"/>
    <cellStyle name="Millares 32" xfId="131" xr:uid="{A3EEF76E-ECC5-479B-9FA8-9295149859E3}"/>
    <cellStyle name="Millares 32 2" xfId="132" xr:uid="{12207403-90D8-4507-BFAE-FD10BD460D63}"/>
    <cellStyle name="Millares 32 3" xfId="137" xr:uid="{CD4DAB93-905E-4C90-9A04-D0E128A84D70}"/>
    <cellStyle name="Millares 4" xfId="13" xr:uid="{00000000-0005-0000-0000-000027000000}"/>
    <cellStyle name="Millares 4 2" xfId="98" xr:uid="{00000000-0005-0000-0000-000028000000}"/>
    <cellStyle name="Millares 4 3" xfId="72" xr:uid="{00000000-0005-0000-0000-000029000000}"/>
    <cellStyle name="Millares 5" xfId="20" xr:uid="{00000000-0005-0000-0000-00002A000000}"/>
    <cellStyle name="Millares 5 2" xfId="44" xr:uid="{00000000-0005-0000-0000-00002B000000}"/>
    <cellStyle name="Millares 5 3" xfId="52" xr:uid="{00000000-0005-0000-0000-00002C000000}"/>
    <cellStyle name="Millares 6" xfId="24" xr:uid="{00000000-0005-0000-0000-00002D000000}"/>
    <cellStyle name="Millares 6 2" xfId="46" xr:uid="{00000000-0005-0000-0000-00002E000000}"/>
    <cellStyle name="Millares 6 3" xfId="61" xr:uid="{00000000-0005-0000-0000-00002F000000}"/>
    <cellStyle name="Millares 7" xfId="32" xr:uid="{00000000-0005-0000-0000-000030000000}"/>
    <cellStyle name="Millares 8" xfId="35" xr:uid="{00000000-0005-0000-0000-000031000000}"/>
    <cellStyle name="Millares 9" xfId="39" xr:uid="{00000000-0005-0000-0000-000032000000}"/>
    <cellStyle name="Millares 9 2" xfId="79" xr:uid="{00000000-0005-0000-0000-000033000000}"/>
    <cellStyle name="Millares 9 3" xfId="82" xr:uid="{00000000-0005-0000-0000-000034000000}"/>
    <cellStyle name="Millares 9 3 2" xfId="89" xr:uid="{00000000-0005-0000-0000-000035000000}"/>
    <cellStyle name="Moneda 2" xfId="19" xr:uid="{00000000-0005-0000-0000-000037000000}"/>
    <cellStyle name="Moneda 2 3" xfId="65" xr:uid="{00000000-0005-0000-0000-000038000000}"/>
    <cellStyle name="Moneda 3" xfId="45" xr:uid="{00000000-0005-0000-0000-000039000000}"/>
    <cellStyle name="Moneda 3 2" xfId="105" xr:uid="{5E235BF7-1E3A-4ADE-B3EE-4A0748086F13}"/>
    <cellStyle name="Moneda 4" xfId="70" xr:uid="{00000000-0005-0000-0000-00003A000000}"/>
    <cellStyle name="Moneda 5" xfId="59" xr:uid="{00000000-0005-0000-0000-00003B000000}"/>
    <cellStyle name="Moneda 6" xfId="85" xr:uid="{00000000-0005-0000-0000-00003C000000}"/>
    <cellStyle name="Normal" xfId="0" builtinId="0"/>
    <cellStyle name="Normal 10" xfId="53" xr:uid="{00000000-0005-0000-0000-00003E000000}"/>
    <cellStyle name="Normal 10 2" xfId="104" xr:uid="{3C07F71E-9294-49B3-A02B-DB340F4A0F55}"/>
    <cellStyle name="Normal 11" xfId="62" xr:uid="{00000000-0005-0000-0000-00003F000000}"/>
    <cellStyle name="Normal 12" xfId="6" xr:uid="{00000000-0005-0000-0000-000040000000}"/>
    <cellStyle name="Normal 13" xfId="67" xr:uid="{00000000-0005-0000-0000-000041000000}"/>
    <cellStyle name="Normal 14" xfId="69" xr:uid="{00000000-0005-0000-0000-000042000000}"/>
    <cellStyle name="Normal 15" xfId="76" xr:uid="{00000000-0005-0000-0000-000043000000}"/>
    <cellStyle name="Normal 16" xfId="81" xr:uid="{00000000-0005-0000-0000-000044000000}"/>
    <cellStyle name="Normal 17" xfId="86" xr:uid="{00000000-0005-0000-0000-000045000000}"/>
    <cellStyle name="Normal 18" xfId="18" xr:uid="{00000000-0005-0000-0000-000046000000}"/>
    <cellStyle name="Normal 19" xfId="91" xr:uid="{00000000-0005-0000-0000-000047000000}"/>
    <cellStyle name="Normal 2" xfId="8" xr:uid="{00000000-0005-0000-0000-000048000000}"/>
    <cellStyle name="Normal 2 2" xfId="2" xr:uid="{00000000-0005-0000-0000-000049000000}"/>
    <cellStyle name="Normal 2 3" xfId="36" xr:uid="{00000000-0005-0000-0000-00004A000000}"/>
    <cellStyle name="Normal 2 4" xfId="75" xr:uid="{00000000-0005-0000-0000-00004B000000}"/>
    <cellStyle name="Normal 2 5" xfId="99" xr:uid="{00000000-0005-0000-0000-00004C000000}"/>
    <cellStyle name="Normal 2 6" xfId="113" xr:uid="{DCED6DF7-595B-4164-B97A-EF6C78C0DE8E}"/>
    <cellStyle name="Normal 20" xfId="31" xr:uid="{00000000-0005-0000-0000-00004D000000}"/>
    <cellStyle name="Normal 21" xfId="93" xr:uid="{00000000-0005-0000-0000-00004E000000}"/>
    <cellStyle name="Normal 22" xfId="100" xr:uid="{00000000-0005-0000-0000-00004F000000}"/>
    <cellStyle name="Normal 23" xfId="101" xr:uid="{00000000-0005-0000-0000-000050000000}"/>
    <cellStyle name="Normal 24" xfId="102" xr:uid="{00000000-0005-0000-0000-000051000000}"/>
    <cellStyle name="Normal 25" xfId="107" xr:uid="{41976CED-5EB8-4C63-9817-D2AFFFAC7CF7}"/>
    <cellStyle name="Normal 25 2" xfId="115" xr:uid="{7E9445B8-AF1C-4601-8B4F-D509BF705A6D}"/>
    <cellStyle name="Normal 25 3" xfId="117" xr:uid="{720270B3-0AE9-4C29-9101-FB9923337FDD}"/>
    <cellStyle name="Normal 25 4" xfId="134" xr:uid="{B27ABDAF-0596-4A68-868F-2070012443FB}"/>
    <cellStyle name="Normal 26" xfId="108" xr:uid="{098590AB-3AED-4208-91DC-4521A83E1CB9}"/>
    <cellStyle name="Normal 27" xfId="110" xr:uid="{CEDD172B-C9EA-474C-AC79-739E8829C6AC}"/>
    <cellStyle name="Normal 28" xfId="118" xr:uid="{7227B9E6-52A4-4172-B736-55256D97AF6B}"/>
    <cellStyle name="Normal 29" xfId="120" xr:uid="{480D4456-E241-4A06-8475-7B365DA713F2}"/>
    <cellStyle name="Normal 3" xfId="12" xr:uid="{00000000-0005-0000-0000-000052000000}"/>
    <cellStyle name="Normal 3 3" xfId="25" xr:uid="{00000000-0005-0000-0000-000053000000}"/>
    <cellStyle name="Normal 3 3 2" xfId="56" xr:uid="{00000000-0005-0000-0000-000054000000}"/>
    <cellStyle name="Normal 30" xfId="125" xr:uid="{BCF36CF0-77D0-4D6D-97C4-A69105AF3AF6}"/>
    <cellStyle name="Normal 31" xfId="127" xr:uid="{F16A7135-75E0-4A14-8039-F7DE9508F217}"/>
    <cellStyle name="Normal 32" xfId="130" xr:uid="{A97967CA-131C-4236-9250-48403EACA8F8}"/>
    <cellStyle name="Normal 4" xfId="17" xr:uid="{00000000-0005-0000-0000-000055000000}"/>
    <cellStyle name="Normal 4 2" xfId="41" xr:uid="{00000000-0005-0000-0000-000056000000}"/>
    <cellStyle name="Normal 4 3" xfId="71" xr:uid="{00000000-0005-0000-0000-000057000000}"/>
    <cellStyle name="Normal 5" xfId="27" xr:uid="{00000000-0005-0000-0000-000058000000}"/>
    <cellStyle name="Normal 5 2" xfId="38" xr:uid="{00000000-0005-0000-0000-000059000000}"/>
    <cellStyle name="Normal 5 2 2" xfId="49" xr:uid="{00000000-0005-0000-0000-00005A000000}"/>
    <cellStyle name="Normal 6" xfId="29" xr:uid="{00000000-0005-0000-0000-00005B000000}"/>
    <cellStyle name="Normal 7" xfId="33" xr:uid="{00000000-0005-0000-0000-00005C000000}"/>
    <cellStyle name="Normal 8" xfId="37" xr:uid="{00000000-0005-0000-0000-00005D000000}"/>
    <cellStyle name="Normal 9" xfId="40" xr:uid="{00000000-0005-0000-0000-00005E000000}"/>
    <cellStyle name="Normal 9 2" xfId="78" xr:uid="{00000000-0005-0000-0000-00005F000000}"/>
    <cellStyle name="Normal 9 3" xfId="83" xr:uid="{00000000-0005-0000-0000-000060000000}"/>
    <cellStyle name="Normal 9 3 2" xfId="90" xr:uid="{00000000-0005-0000-0000-000061000000}"/>
    <cellStyle name="Percent" xfId="30" builtinId="5"/>
    <cellStyle name="Porcentaje 2" xfId="10" xr:uid="{00000000-0005-0000-0000-000063000000}"/>
    <cellStyle name="Porcentaje 2 2" xfId="58" xr:uid="{00000000-0005-0000-0000-000064000000}"/>
    <cellStyle name="Porcentaje 3" xfId="15" xr:uid="{00000000-0005-0000-0000-000065000000}"/>
    <cellStyle name="Porcentaje 4" xfId="55" xr:uid="{00000000-0005-0000-0000-000066000000}"/>
    <cellStyle name="Porcentaje 5" xfId="60" xr:uid="{00000000-0005-0000-0000-000067000000}"/>
    <cellStyle name="Porcentaje 6" xfId="84" xr:uid="{00000000-0005-0000-0000-000068000000}"/>
    <cellStyle name="Porcentaje 7" xfId="111" xr:uid="{95808023-F18D-4536-91B0-10BA510D6154}"/>
    <cellStyle name="Porcentaje 8" xfId="140" xr:uid="{7386BCD6-4D5B-4F5C-9D18-121BF4E53E0B}"/>
    <cellStyle name="Porcentaje 9" xfId="142" xr:uid="{E9D016FD-557D-4D97-9479-1EB5CE78F96B}"/>
  </cellStyles>
  <dxfs count="32">
    <dxf>
      <numFmt numFmtId="181" formatCode="\-"/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9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styles" Target="styles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sharedStrings" Target="sharedString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104775</xdr:rowOff>
    </xdr:from>
    <xdr:to>
      <xdr:col>2</xdr:col>
      <xdr:colOff>779145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4775"/>
          <a:ext cx="24955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</xdr:colOff>
      <xdr:row>0</xdr:row>
      <xdr:rowOff>131445</xdr:rowOff>
    </xdr:from>
    <xdr:to>
      <xdr:col>2</xdr:col>
      <xdr:colOff>2464129</xdr:colOff>
      <xdr:row>3</xdr:row>
      <xdr:rowOff>133350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4350" y="131445"/>
          <a:ext cx="2403804" cy="5162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</xdr:colOff>
      <xdr:row>0</xdr:row>
      <xdr:rowOff>83820</xdr:rowOff>
    </xdr:from>
    <xdr:to>
      <xdr:col>1</xdr:col>
      <xdr:colOff>2473642</xdr:colOff>
      <xdr:row>2</xdr:row>
      <xdr:rowOff>173381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7665" y="83820"/>
          <a:ext cx="2448877" cy="4553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64769</xdr:colOff>
      <xdr:row>5</xdr:row>
      <xdr:rowOff>587586</xdr:rowOff>
    </xdr:from>
    <xdr:to>
      <xdr:col>2</xdr:col>
      <xdr:colOff>2188846</xdr:colOff>
      <xdr:row>5</xdr:row>
      <xdr:rowOff>1086574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F7A9378B-37BC-4B2B-8288-0EE87EBFB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2034" y="1467696"/>
          <a:ext cx="2127887" cy="4951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obra\Obras\Estudios\Preus\Presupuesto\Presupuesto%20Vivienda%20Galmarini%20Isla%20del%20So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JULIO%20PC\MENU2\2015\completo%20MANO%20DE%20OBRA%2001-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el\mis%20documentos\Lanas\Base%20Costos%20PEDRO%20CHUTRO%20Marzo-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el\mis%20documentos\Documents%20and%20Settings\Usuario\Escritorio\Presupuesto%20Ca&#241;ada%20Etapa%201%20Marzo%20-%200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os\Datos\JULIO%20PC\MENU2\2016\completo%20MATERIALES%2001-20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rlos\marce\WINDOWS\Escritorio\Transferencia\ANALISIS-MR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os\Datos\Documents%20and%20Settings\Administrador\Escritorio\BACKUP\OBRAS\TELECOM\02-Puerto%20madero\Hera\Documents%20and%20Settings\Adrian\Escritorio\PARA%20MARCELO%2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RQING\River\CARP%20-%20Impermeabilizacion%200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.shortcut-targets-by-id\12P4-JRy35OWEYJQoK9xHuNCzrgTm5YFV\RIVA\5.%20Materiales\2.%20Estructura\Acero\RIVA%20-%20Control%20acer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elo\c\WINDOWS\Escritorio\Mi%20Malet&#237;n\generado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rris\intercambio\DOCUME~1\mrepetto\CONFIG~1\Temp\Costos%20Arcos%20217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obra\Estudios\Alvarez%20Claros\Casa%20Alvarez%20claros\Presupuesto\listado%20de%20items%20comput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rcelo\transferenci\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rris\intercambio\Documents%20and%20Settings\mrepetto\Escritorio\Arcos%202170\Costos%20Arcos%20217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980C7C8\Presupuest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ravello\TRANFERENCIA\DOCUME~1\mrepetto\CONFIG~1\Temp\Costos%20Arcos%20217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eficios"/>
      <sheetName val="Presupuesto Completo (2)"/>
      <sheetName val="Planilla"/>
      <sheetName val="Precio Materiales"/>
    </sheetNames>
    <sheetDataSet>
      <sheetData sheetId="0">
        <row r="3">
          <cell r="C3">
            <v>1.2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RMONES"/>
      <sheetName val="FORMULAS"/>
      <sheetName val="PRECIOS ACTUALIZADOS"/>
      <sheetName val="LISTA DE PRECIOS ABELSON"/>
      <sheetName val="MATERIALES DURLOCK MATYSER"/>
    </sheetNames>
    <sheetDataSet>
      <sheetData sheetId="0" refreshError="1"/>
      <sheetData sheetId="1" refreshError="1"/>
      <sheetData sheetId="2">
        <row r="16">
          <cell r="E16">
            <v>13456.928838951311</v>
          </cell>
        </row>
        <row r="44">
          <cell r="E44">
            <v>296.61</v>
          </cell>
        </row>
        <row r="54">
          <cell r="E54">
            <v>1667.44</v>
          </cell>
        </row>
        <row r="56">
          <cell r="E56">
            <v>1843.8</v>
          </cell>
        </row>
        <row r="161">
          <cell r="E161">
            <v>12030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resupuesto"/>
      <sheetName val="Presupuesto Edificio 1"/>
      <sheetName val="AnalisisUsados E1"/>
      <sheetName val="Presupuesto Edificio 2"/>
      <sheetName val="AnalisisUsados E2"/>
      <sheetName val="Presupuesto Edificio 3"/>
      <sheetName val="AnalisisUsados E3"/>
      <sheetName val="Presupuesto Edificio 4"/>
      <sheetName val="AnalisisUsados E4"/>
      <sheetName val="Presupuesto Edificio 5"/>
      <sheetName val="AnalisisUsados E5"/>
      <sheetName val="Presupuesto O. Ext."/>
      <sheetName val="AnalisisUsados O. Ext."/>
      <sheetName val="Presupuesto Resumen"/>
      <sheetName val="AnalisisUsados Resumen"/>
      <sheetName val="AnalisisUsados"/>
      <sheetName val="Items"/>
      <sheetName val="Analisis Nuevo"/>
      <sheetName val="Actualizar HP"/>
      <sheetName val="Tabla de Hierros"/>
      <sheetName val="Insumos"/>
      <sheetName val="Abelson"/>
      <sheetName val="Detalle M de O"/>
      <sheetName val="Analisis"/>
      <sheetName val="Explosion"/>
      <sheetName val="ImportarAnalisis"/>
      <sheetName val="UNIDADES"/>
      <sheetName val="RUBROS"/>
      <sheetName val="SUBRUBROS"/>
      <sheetName val="Analisis Vista"/>
      <sheetName val="ListaCambios"/>
      <sheetName val="SISTEMA"/>
      <sheetName val="Componentes"/>
      <sheetName val="Panel"/>
      <sheetName val="Lista"/>
      <sheetName val="Copete"/>
      <sheetName val="ListaUsados"/>
      <sheetName val="Ver Analisis"/>
      <sheetName val="Formulas"/>
      <sheetName val="Constantes"/>
      <sheetName val="Mano de obra"/>
      <sheetName val="MEMO"/>
      <sheetName val="PATRONES"/>
      <sheetName val="GRUPOS"/>
      <sheetName val="Secciones"/>
      <sheetName val="Divis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 Resumen"/>
      <sheetName val="Ana OEx"/>
      <sheetName val="Ana Edi 1"/>
      <sheetName val="Ana Edi 2"/>
      <sheetName val="Ana Edi 2 Var"/>
      <sheetName val="Ana Ed 3"/>
      <sheetName val="Ana Edi 3 Var"/>
      <sheetName val="Ana Cent Com"/>
      <sheetName val="Insumos"/>
      <sheetName val="Mano de Obra"/>
      <sheetName val="Auxiliar"/>
      <sheetName val="Gs Gs"/>
      <sheetName val="Plan de Trabajos"/>
      <sheetName val="Curva"/>
      <sheetName val="Presupuesto Resumen etapa 1"/>
      <sheetName val="Presupuesto O Ext. Etapa 1"/>
      <sheetName val="Presupuesto Centro Comunitario"/>
      <sheetName val="Presupuesto Edificio 1"/>
      <sheetName val="Presupuesto Edificio 2"/>
      <sheetName val="Presupuesto Edificio 2 Variante"/>
      <sheetName val="Presupuesto Edificio 3"/>
      <sheetName val="Presupuesto Edificio 3 Varia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RMONES"/>
      <sheetName val="FORMULAS"/>
      <sheetName val="PRECIOS ACTUALIZADOS"/>
      <sheetName val="LISTA DE PRECIOS ABELSON"/>
      <sheetName val="MATERIALES DURLOCK MATYSER"/>
    </sheetNames>
    <sheetDataSet>
      <sheetData sheetId="0"/>
      <sheetData sheetId="1"/>
      <sheetData sheetId="2">
        <row r="10">
          <cell r="E10">
            <v>121.67</v>
          </cell>
        </row>
        <row r="11">
          <cell r="E11">
            <v>100.28</v>
          </cell>
        </row>
        <row r="12">
          <cell r="E12">
            <v>84.89</v>
          </cell>
        </row>
      </sheetData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UMOS"/>
      <sheetName val="Rubros"/>
      <sheetName val="Análisis "/>
      <sheetName val="INFO"/>
      <sheetName val="Ayu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RES COMPLETO"/>
      <sheetName val="PRES PARCIAL"/>
      <sheetName val="PLAN DE TRABAJOS"/>
      <sheetName val="INCENDIO C SECA"/>
      <sheetName val="DEAGUES PLUVIALES"/>
      <sheetName val="MOVIMIENTO SUELOS"/>
      <sheetName val="FUNDACIONES"/>
      <sheetName val="EST H A"/>
      <sheetName val="EST MET"/>
      <sheetName val="REVOQUES EXTERIORES"/>
      <sheetName val="CUBIERTA"/>
      <sheetName val="CARPINTERIA"/>
      <sheetName val="TD MAMP"/>
      <sheetName val="MAMPOSTERIA"/>
      <sheetName val="ESCALERAS METALICAS"/>
      <sheetName val="Presupuesto"/>
      <sheetName val="C. I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8">
          <cell r="F8" t="str">
            <v>Coef. Teórico</v>
          </cell>
          <cell r="G8">
            <v>1.4006326126247435</v>
          </cell>
        </row>
        <row r="9">
          <cell r="F9" t="str">
            <v>Coef.  General</v>
          </cell>
          <cell r="G9">
            <v>1.47</v>
          </cell>
        </row>
        <row r="10">
          <cell r="F10" t="str">
            <v>Coef.  Dif.</v>
          </cell>
          <cell r="G10">
            <v>1.25</v>
          </cell>
        </row>
        <row r="11">
          <cell r="F11" t="str">
            <v>Coef. Pro Real</v>
          </cell>
          <cell r="G11">
            <v>1.4033842864472881</v>
          </cell>
        </row>
        <row r="12">
          <cell r="F12" t="str">
            <v>Costo</v>
          </cell>
          <cell r="G12">
            <v>784250.39999999991</v>
          </cell>
        </row>
        <row r="13">
          <cell r="F13" t="str">
            <v>Venta</v>
          </cell>
          <cell r="G13">
            <v>1100604.6880000001</v>
          </cell>
        </row>
        <row r="14">
          <cell r="C14" t="str">
            <v>DESCRIPCION</v>
          </cell>
          <cell r="D14" t="str">
            <v>UN.</v>
          </cell>
          <cell r="E14" t="str">
            <v>CANT.</v>
          </cell>
          <cell r="F14" t="str">
            <v>PRECIO UNITARIO</v>
          </cell>
          <cell r="G14" t="str">
            <v>PRECIO PARCIAL</v>
          </cell>
          <cell r="H14" t="str">
            <v>PRECIO TOTAL</v>
          </cell>
        </row>
        <row r="17">
          <cell r="C17" t="str">
            <v>TRABAJOS PRELIMINARES</v>
          </cell>
          <cell r="H17">
            <v>5600</v>
          </cell>
        </row>
        <row r="18">
          <cell r="C18" t="str">
            <v>REPLANTEO</v>
          </cell>
          <cell r="D18" t="str">
            <v>gl</v>
          </cell>
          <cell r="E18">
            <v>1</v>
          </cell>
          <cell r="F18">
            <v>1600</v>
          </cell>
          <cell r="G18">
            <v>1600</v>
          </cell>
        </row>
        <row r="19">
          <cell r="C19" t="str">
            <v>RETIRO DE ARBOLES EXISTENTE</v>
          </cell>
          <cell r="D19" t="str">
            <v>gl</v>
          </cell>
          <cell r="E19">
            <v>1</v>
          </cell>
          <cell r="F19">
            <v>4000</v>
          </cell>
          <cell r="G19">
            <v>4000</v>
          </cell>
        </row>
        <row r="21">
          <cell r="C21" t="str">
            <v>EXCAVACIONES</v>
          </cell>
          <cell r="H21">
            <v>10532</v>
          </cell>
        </row>
        <row r="22">
          <cell r="C22" t="str">
            <v>P/ FUNDACIONES</v>
          </cell>
          <cell r="D22" t="str">
            <v>m3</v>
          </cell>
          <cell r="E22">
            <v>98.3</v>
          </cell>
          <cell r="F22">
            <v>40</v>
          </cell>
          <cell r="G22">
            <v>3932</v>
          </cell>
        </row>
        <row r="23">
          <cell r="C23" t="str">
            <v>MOVIMIENTO DE SUELO( Rellenado y compactado)</v>
          </cell>
          <cell r="D23" t="str">
            <v>m3</v>
          </cell>
          <cell r="E23">
            <v>120</v>
          </cell>
          <cell r="F23">
            <v>55</v>
          </cell>
          <cell r="G23">
            <v>6600</v>
          </cell>
        </row>
        <row r="25">
          <cell r="C25" t="str">
            <v>FUNDACIONES</v>
          </cell>
          <cell r="H25">
            <v>41858.5</v>
          </cell>
        </row>
        <row r="26">
          <cell r="C26" t="str">
            <v>BASES</v>
          </cell>
          <cell r="D26" t="str">
            <v>m3</v>
          </cell>
          <cell r="E26">
            <v>19.45</v>
          </cell>
          <cell r="F26">
            <v>770</v>
          </cell>
          <cell r="G26">
            <v>14976.5</v>
          </cell>
        </row>
        <row r="27">
          <cell r="C27" t="str">
            <v>FUSTES DE BASES</v>
          </cell>
          <cell r="D27" t="str">
            <v>m3</v>
          </cell>
          <cell r="E27">
            <v>3.31</v>
          </cell>
          <cell r="F27">
            <v>1650</v>
          </cell>
          <cell r="G27">
            <v>5461.5</v>
          </cell>
        </row>
        <row r="28">
          <cell r="C28" t="str">
            <v>VIGA ENCADENADO INFERIOR</v>
          </cell>
          <cell r="D28" t="str">
            <v>m3</v>
          </cell>
          <cell r="E28">
            <v>14.15</v>
          </cell>
          <cell r="F28">
            <v>1150</v>
          </cell>
          <cell r="G28">
            <v>16272.5</v>
          </cell>
        </row>
        <row r="29">
          <cell r="C29" t="str">
            <v>PILOTINES</v>
          </cell>
          <cell r="D29" t="str">
            <v>m3</v>
          </cell>
          <cell r="E29">
            <v>4.68</v>
          </cell>
          <cell r="F29">
            <v>1100</v>
          </cell>
          <cell r="G29">
            <v>5148</v>
          </cell>
        </row>
        <row r="31">
          <cell r="C31" t="str">
            <v>ESTRUCTURA</v>
          </cell>
          <cell r="H31">
            <v>91463.4</v>
          </cell>
        </row>
        <row r="32">
          <cell r="C32" t="str">
            <v>COLUMNAS</v>
          </cell>
          <cell r="D32" t="str">
            <v>m3</v>
          </cell>
          <cell r="E32">
            <v>11.47</v>
          </cell>
          <cell r="F32">
            <v>2070</v>
          </cell>
          <cell r="G32">
            <v>23742.9</v>
          </cell>
        </row>
        <row r="33">
          <cell r="C33" t="str">
            <v>VIGA ENCADENADO SUPERIOR</v>
          </cell>
          <cell r="D33" t="str">
            <v>m3</v>
          </cell>
          <cell r="E33">
            <v>13.48</v>
          </cell>
          <cell r="F33">
            <v>1150</v>
          </cell>
          <cell r="G33">
            <v>15502</v>
          </cell>
        </row>
        <row r="34">
          <cell r="C34" t="str">
            <v>VIGAS PRINCIPALES</v>
          </cell>
          <cell r="D34" t="str">
            <v>m3</v>
          </cell>
          <cell r="E34">
            <v>9.6999999999999993</v>
          </cell>
          <cell r="F34">
            <v>1630</v>
          </cell>
          <cell r="G34">
            <v>15810.999999999998</v>
          </cell>
        </row>
        <row r="35">
          <cell r="C35" t="str">
            <v>LOSA DE H° A° (Esp. Estimado 0,10)</v>
          </cell>
          <cell r="D35" t="str">
            <v>m2</v>
          </cell>
          <cell r="E35">
            <v>95</v>
          </cell>
          <cell r="F35">
            <v>120.5</v>
          </cell>
          <cell r="G35">
            <v>11447.5</v>
          </cell>
        </row>
        <row r="36">
          <cell r="C36" t="str">
            <v>LOSA DE VIGUETAS Y LADRILLO CERAMICO</v>
          </cell>
          <cell r="D36" t="str">
            <v>m2</v>
          </cell>
          <cell r="E36">
            <v>192</v>
          </cell>
          <cell r="F36">
            <v>130</v>
          </cell>
          <cell r="G36">
            <v>24960</v>
          </cell>
        </row>
        <row r="37">
          <cell r="G37">
            <v>0</v>
          </cell>
        </row>
        <row r="39">
          <cell r="C39" t="str">
            <v>MAMPOSTERIA / REVOQUES</v>
          </cell>
          <cell r="H39">
            <v>174561.2</v>
          </cell>
        </row>
        <row r="40">
          <cell r="C40" t="str">
            <v>MAMPOSTERIA de 0,30 ladrillo comun carga de techo</v>
          </cell>
          <cell r="D40" t="str">
            <v>ml</v>
          </cell>
          <cell r="E40">
            <v>94.5</v>
          </cell>
          <cell r="F40">
            <v>46</v>
          </cell>
          <cell r="G40">
            <v>4347</v>
          </cell>
        </row>
        <row r="41">
          <cell r="C41" t="str">
            <v>MAMPOSTERIA de 0,20 ladrillos ceramicos huecos</v>
          </cell>
          <cell r="D41" t="str">
            <v>m2</v>
          </cell>
          <cell r="E41">
            <v>1055</v>
          </cell>
          <cell r="F41">
            <v>70</v>
          </cell>
          <cell r="G41">
            <v>73850</v>
          </cell>
        </row>
        <row r="42">
          <cell r="C42" t="str">
            <v>MAMPOSTERIA de 0,15 ladrillos ceramicos huecos</v>
          </cell>
          <cell r="D42" t="str">
            <v>m2</v>
          </cell>
          <cell r="E42">
            <v>277</v>
          </cell>
          <cell r="F42">
            <v>57</v>
          </cell>
          <cell r="G42">
            <v>15789</v>
          </cell>
        </row>
        <row r="43">
          <cell r="C43" t="str">
            <v>MAMPOSTERIA de 0,10 ladrillos ceramicos huecos</v>
          </cell>
          <cell r="D43" t="str">
            <v>m2</v>
          </cell>
          <cell r="E43">
            <v>27</v>
          </cell>
          <cell r="F43">
            <v>48</v>
          </cell>
          <cell r="G43">
            <v>1296</v>
          </cell>
        </row>
        <row r="44">
          <cell r="C44" t="str">
            <v>CAPA AISLADORA doble sellada</v>
          </cell>
          <cell r="D44" t="str">
            <v>m2</v>
          </cell>
          <cell r="E44">
            <v>183</v>
          </cell>
          <cell r="F44">
            <v>15</v>
          </cell>
          <cell r="G44">
            <v>2745</v>
          </cell>
        </row>
        <row r="45">
          <cell r="C45" t="str">
            <v>REVOQUE GRUESO</v>
          </cell>
          <cell r="D45" t="str">
            <v>m2</v>
          </cell>
          <cell r="E45">
            <v>1897</v>
          </cell>
          <cell r="F45">
            <v>19.600000000000001</v>
          </cell>
          <cell r="G45">
            <v>37181.200000000004</v>
          </cell>
        </row>
        <row r="46">
          <cell r="C46" t="str">
            <v xml:space="preserve">REVOQUE HIDROFUGO </v>
          </cell>
          <cell r="D46" t="str">
            <v>m2</v>
          </cell>
          <cell r="E46">
            <v>852</v>
          </cell>
          <cell r="F46">
            <v>11.5</v>
          </cell>
          <cell r="G46">
            <v>9798</v>
          </cell>
        </row>
        <row r="47">
          <cell r="C47" t="str">
            <v>REVOQUE FINO</v>
          </cell>
          <cell r="D47" t="str">
            <v>m2</v>
          </cell>
          <cell r="E47">
            <v>1718</v>
          </cell>
          <cell r="F47">
            <v>15.5</v>
          </cell>
          <cell r="G47">
            <v>26629</v>
          </cell>
        </row>
        <row r="48">
          <cell r="C48" t="str">
            <v>MOCHETAS 10 x 25</v>
          </cell>
          <cell r="D48" t="str">
            <v>ml</v>
          </cell>
          <cell r="E48">
            <v>133</v>
          </cell>
          <cell r="F48">
            <v>22</v>
          </cell>
          <cell r="G48">
            <v>2926</v>
          </cell>
        </row>
        <row r="50">
          <cell r="C50" t="str">
            <v>PISO/REVESTIMIENTOS</v>
          </cell>
          <cell r="H50">
            <v>83650.3</v>
          </cell>
        </row>
        <row r="51">
          <cell r="C51" t="str">
            <v>CONTRAPISO</v>
          </cell>
          <cell r="D51" t="str">
            <v>m2</v>
          </cell>
          <cell r="E51">
            <v>713</v>
          </cell>
          <cell r="F51">
            <v>40</v>
          </cell>
          <cell r="G51">
            <v>28520</v>
          </cell>
        </row>
        <row r="52">
          <cell r="C52" t="str">
            <v>CARPETA NIVELADORA</v>
          </cell>
          <cell r="D52" t="str">
            <v>m2</v>
          </cell>
          <cell r="E52">
            <v>713</v>
          </cell>
          <cell r="F52">
            <v>18.600000000000001</v>
          </cell>
          <cell r="G52">
            <v>13261.800000000001</v>
          </cell>
        </row>
        <row r="53">
          <cell r="C53" t="str">
            <v>PISO CERAMICO/PORCELANATO (COLOCACION)</v>
          </cell>
          <cell r="D53" t="str">
            <v>m2</v>
          </cell>
          <cell r="E53">
            <v>638</v>
          </cell>
          <cell r="F53">
            <v>35</v>
          </cell>
          <cell r="G53">
            <v>22330</v>
          </cell>
        </row>
        <row r="54">
          <cell r="C54" t="str">
            <v>ALISADO CEMENTO</v>
          </cell>
          <cell r="D54" t="str">
            <v>m2</v>
          </cell>
          <cell r="E54">
            <v>230</v>
          </cell>
          <cell r="F54">
            <v>33.700000000000003</v>
          </cell>
          <cell r="G54">
            <v>7751.0000000000009</v>
          </cell>
        </row>
        <row r="55">
          <cell r="C55" t="str">
            <v>ZOCALOS(COLOCACION)</v>
          </cell>
          <cell r="D55" t="str">
            <v>ml</v>
          </cell>
          <cell r="E55">
            <v>334</v>
          </cell>
          <cell r="F55">
            <v>20</v>
          </cell>
          <cell r="G55">
            <v>6680</v>
          </cell>
        </row>
        <row r="56">
          <cell r="C56" t="str">
            <v>REVESTIMIENTO CERAMICOS(COLOCACION)</v>
          </cell>
          <cell r="D56" t="str">
            <v>m2</v>
          </cell>
          <cell r="E56">
            <v>180</v>
          </cell>
          <cell r="F56">
            <v>25</v>
          </cell>
          <cell r="G56">
            <v>4500</v>
          </cell>
        </row>
        <row r="57">
          <cell r="C57" t="str">
            <v>ANTEPECHOS</v>
          </cell>
          <cell r="D57" t="str">
            <v>ml</v>
          </cell>
          <cell r="E57">
            <v>24.3</v>
          </cell>
          <cell r="F57">
            <v>25</v>
          </cell>
          <cell r="G57">
            <v>607.5</v>
          </cell>
        </row>
        <row r="59">
          <cell r="C59" t="str">
            <v>CIELORRASOS</v>
          </cell>
          <cell r="H59">
            <v>67255</v>
          </cell>
        </row>
        <row r="60">
          <cell r="C60" t="str">
            <v>APLICADO Bajo losa</v>
          </cell>
          <cell r="D60" t="str">
            <v>m2</v>
          </cell>
          <cell r="E60">
            <v>265</v>
          </cell>
          <cell r="F60">
            <v>35</v>
          </cell>
          <cell r="G60">
            <v>9275</v>
          </cell>
        </row>
        <row r="61">
          <cell r="C61" t="str">
            <v>SUSPENDIDO DE PLACAS PARA EXTERIORES</v>
          </cell>
          <cell r="D61" t="str">
            <v>m2</v>
          </cell>
          <cell r="E61">
            <v>22</v>
          </cell>
          <cell r="F61">
            <v>70</v>
          </cell>
          <cell r="G61">
            <v>1540</v>
          </cell>
        </row>
        <row r="62">
          <cell r="C62" t="str">
            <v>SUSPENDIDO DE FIBRA DE VIDRIO</v>
          </cell>
          <cell r="D62" t="str">
            <v>m2</v>
          </cell>
          <cell r="E62">
            <v>244</v>
          </cell>
          <cell r="F62">
            <v>55</v>
          </cell>
          <cell r="G62">
            <v>13420</v>
          </cell>
        </row>
        <row r="63">
          <cell r="C63" t="str">
            <v>SUSPENDIDO DE PLACAS CLEANEO AKUSTIK</v>
          </cell>
          <cell r="D63" t="str">
            <v>m2</v>
          </cell>
          <cell r="E63">
            <v>239</v>
          </cell>
          <cell r="F63">
            <v>180</v>
          </cell>
          <cell r="G63">
            <v>43020</v>
          </cell>
        </row>
        <row r="66">
          <cell r="C66" t="str">
            <v>PINTURA</v>
          </cell>
          <cell r="H66">
            <v>31980</v>
          </cell>
        </row>
        <row r="67">
          <cell r="C67" t="str">
            <v>LATEX INTERIOR</v>
          </cell>
          <cell r="D67" t="str">
            <v>m2</v>
          </cell>
          <cell r="E67">
            <v>1273</v>
          </cell>
          <cell r="F67">
            <v>12</v>
          </cell>
          <cell r="G67">
            <v>15276</v>
          </cell>
        </row>
        <row r="68">
          <cell r="C68" t="str">
            <v>LATEX CIELORRASOS</v>
          </cell>
          <cell r="D68" t="str">
            <v>m2</v>
          </cell>
          <cell r="E68">
            <v>504</v>
          </cell>
          <cell r="F68">
            <v>11</v>
          </cell>
          <cell r="G68">
            <v>5544</v>
          </cell>
        </row>
        <row r="69">
          <cell r="C69" t="str">
            <v>LATEX EXTERIOR</v>
          </cell>
          <cell r="D69" t="str">
            <v>m2</v>
          </cell>
          <cell r="E69">
            <v>545</v>
          </cell>
          <cell r="F69">
            <v>13</v>
          </cell>
          <cell r="G69">
            <v>7085</v>
          </cell>
        </row>
        <row r="70">
          <cell r="C70" t="str">
            <v>PINTURA ACRILICA TEXTURADA</v>
          </cell>
          <cell r="D70" t="str">
            <v>m2</v>
          </cell>
          <cell r="E70">
            <v>50</v>
          </cell>
          <cell r="F70">
            <v>35</v>
          </cell>
          <cell r="G70">
            <v>1750</v>
          </cell>
        </row>
        <row r="71">
          <cell r="C71" t="str">
            <v>PINTURA ESMALTE SINTETICO/ANTIOXIDO</v>
          </cell>
          <cell r="D71" t="str">
            <v>m2</v>
          </cell>
          <cell r="E71">
            <v>93</v>
          </cell>
          <cell r="F71">
            <v>25</v>
          </cell>
          <cell r="G71">
            <v>2325</v>
          </cell>
        </row>
        <row r="73">
          <cell r="C73" t="str">
            <v xml:space="preserve">INSTALACION ELECTRICA </v>
          </cell>
          <cell r="H73">
            <v>57070</v>
          </cell>
        </row>
        <row r="74">
          <cell r="C74" t="str">
            <v>INSTALACION ELECTRICA (sin artefactos de iluminacion y de acuerdo a documentacion )</v>
          </cell>
          <cell r="D74" t="str">
            <v>gl</v>
          </cell>
          <cell r="E74">
            <v>1</v>
          </cell>
          <cell r="F74">
            <v>57070</v>
          </cell>
          <cell r="G74">
            <v>57070</v>
          </cell>
        </row>
        <row r="76">
          <cell r="C76" t="str">
            <v xml:space="preserve">INSTALACION SANITARIA </v>
          </cell>
          <cell r="H76">
            <v>26500</v>
          </cell>
        </row>
        <row r="77">
          <cell r="C77" t="str">
            <v>INSTALACION SANITARIA COMPLETA(de acuerdo a documentacion )</v>
          </cell>
          <cell r="D77" t="str">
            <v>gl</v>
          </cell>
          <cell r="E77">
            <v>1</v>
          </cell>
          <cell r="F77">
            <v>26500</v>
          </cell>
          <cell r="G77">
            <v>26500</v>
          </cell>
        </row>
        <row r="79">
          <cell r="C79" t="str">
            <v>ABERTURAS ALUMINIO(Solo colocacion)</v>
          </cell>
          <cell r="H79">
            <v>12570</v>
          </cell>
        </row>
        <row r="80">
          <cell r="C80" t="str">
            <v>V1- VENTANA 1,80 X1,00</v>
          </cell>
          <cell r="D80" t="str">
            <v>un</v>
          </cell>
          <cell r="E80">
            <v>9</v>
          </cell>
          <cell r="F80">
            <v>216</v>
          </cell>
          <cell r="G80">
            <v>1944</v>
          </cell>
        </row>
        <row r="81">
          <cell r="C81" t="str">
            <v>V2- VENTANA 0,50 X0,50</v>
          </cell>
          <cell r="D81" t="str">
            <v>un</v>
          </cell>
          <cell r="E81">
            <v>5</v>
          </cell>
          <cell r="F81">
            <v>30</v>
          </cell>
          <cell r="G81">
            <v>150</v>
          </cell>
        </row>
        <row r="82">
          <cell r="C82" t="str">
            <v>V3- VENTANA 1,20X 3,00</v>
          </cell>
          <cell r="D82" t="str">
            <v>un</v>
          </cell>
          <cell r="E82">
            <v>3</v>
          </cell>
          <cell r="F82">
            <v>431.99999999999994</v>
          </cell>
          <cell r="G82">
            <v>1295.9999999999998</v>
          </cell>
        </row>
        <row r="83">
          <cell r="C83" t="str">
            <v>V4- VENTANA 1,00 X1,00</v>
          </cell>
          <cell r="D83" t="str">
            <v>un</v>
          </cell>
          <cell r="E83">
            <v>3</v>
          </cell>
          <cell r="F83">
            <v>120</v>
          </cell>
          <cell r="G83">
            <v>360</v>
          </cell>
        </row>
        <row r="84">
          <cell r="C84" t="str">
            <v>V5- LUCERNARIO METALICO 2,00 X2,00</v>
          </cell>
          <cell r="D84" t="str">
            <v>un</v>
          </cell>
          <cell r="E84">
            <v>1</v>
          </cell>
          <cell r="F84">
            <v>480</v>
          </cell>
          <cell r="G84">
            <v>480</v>
          </cell>
        </row>
        <row r="85">
          <cell r="C85" t="str">
            <v>P1 PUERTA ACCESO 2,40 X 2,50</v>
          </cell>
          <cell r="D85" t="str">
            <v>un</v>
          </cell>
          <cell r="E85">
            <v>1</v>
          </cell>
          <cell r="F85">
            <v>720</v>
          </cell>
          <cell r="G85">
            <v>720</v>
          </cell>
        </row>
        <row r="86">
          <cell r="C86" t="str">
            <v>P2 PORTON CORREDIZO ACCESO</v>
          </cell>
          <cell r="D86" t="str">
            <v>un</v>
          </cell>
          <cell r="E86">
            <v>2</v>
          </cell>
          <cell r="F86">
            <v>900</v>
          </cell>
          <cell r="G86">
            <v>1800</v>
          </cell>
        </row>
        <row r="87">
          <cell r="C87" t="str">
            <v xml:space="preserve">P3 PUERTA EXTERIOR 0,80 X2,00 </v>
          </cell>
          <cell r="D87" t="str">
            <v>un</v>
          </cell>
          <cell r="E87">
            <v>3</v>
          </cell>
          <cell r="F87">
            <v>192</v>
          </cell>
          <cell r="G87">
            <v>576</v>
          </cell>
        </row>
        <row r="88">
          <cell r="C88" t="str">
            <v xml:space="preserve">P4 PUERTA PLACA 0,60 X2,00 </v>
          </cell>
          <cell r="D88" t="str">
            <v>un</v>
          </cell>
          <cell r="E88">
            <v>5</v>
          </cell>
          <cell r="F88">
            <v>144</v>
          </cell>
          <cell r="G88">
            <v>720</v>
          </cell>
        </row>
        <row r="89">
          <cell r="C89" t="str">
            <v xml:space="preserve">P5 PUERTA EXTERIOR 0,80 X2,00 </v>
          </cell>
          <cell r="D89" t="str">
            <v>un</v>
          </cell>
          <cell r="E89">
            <v>2</v>
          </cell>
          <cell r="F89">
            <v>192</v>
          </cell>
          <cell r="G89">
            <v>384</v>
          </cell>
        </row>
        <row r="90">
          <cell r="C90" t="str">
            <v xml:space="preserve">P6 PUERTA EXTERIOR 0,90 X2,00 </v>
          </cell>
          <cell r="D90" t="str">
            <v>un</v>
          </cell>
          <cell r="E90">
            <v>9</v>
          </cell>
          <cell r="F90">
            <v>216</v>
          </cell>
          <cell r="G90">
            <v>1944</v>
          </cell>
        </row>
        <row r="91">
          <cell r="C91" t="str">
            <v xml:space="preserve">P7 PUERTA EXTERIOR 1,80 X2,00 </v>
          </cell>
          <cell r="D91" t="str">
            <v>un</v>
          </cell>
          <cell r="E91">
            <v>2</v>
          </cell>
          <cell r="F91">
            <v>432</v>
          </cell>
          <cell r="G91">
            <v>864</v>
          </cell>
        </row>
        <row r="92">
          <cell r="C92" t="str">
            <v xml:space="preserve">P8 PUERTA PLACA  2,40 X2,00 </v>
          </cell>
          <cell r="D92" t="str">
            <v>un</v>
          </cell>
          <cell r="E92">
            <v>1</v>
          </cell>
          <cell r="F92">
            <v>576</v>
          </cell>
          <cell r="G92">
            <v>576</v>
          </cell>
        </row>
        <row r="93">
          <cell r="C93" t="str">
            <v xml:space="preserve">P9 PUERTA BAÑO  0,60 X1,50 </v>
          </cell>
          <cell r="D93" t="str">
            <v>un</v>
          </cell>
          <cell r="E93">
            <v>7</v>
          </cell>
          <cell r="F93">
            <v>107.99999999999999</v>
          </cell>
          <cell r="G93">
            <v>755.99999999999989</v>
          </cell>
        </row>
        <row r="95">
          <cell r="C95" t="str">
            <v>TECHO / CUBIERTA</v>
          </cell>
          <cell r="H95">
            <v>158025</v>
          </cell>
        </row>
        <row r="96">
          <cell r="C96" t="str">
            <v>ESTRUCTURA DE TECHO METALICO</v>
          </cell>
          <cell r="D96" t="str">
            <v>m2</v>
          </cell>
          <cell r="E96">
            <v>510</v>
          </cell>
          <cell r="F96">
            <v>220</v>
          </cell>
          <cell r="G96">
            <v>112200</v>
          </cell>
        </row>
        <row r="97">
          <cell r="C97" t="str">
            <v>CUBIERTA DE CHAPA (Tipo Cincalum N° 24)</v>
          </cell>
          <cell r="D97" t="str">
            <v>m2</v>
          </cell>
          <cell r="E97">
            <v>510</v>
          </cell>
          <cell r="F97">
            <v>35</v>
          </cell>
          <cell r="G97">
            <v>17850</v>
          </cell>
        </row>
        <row r="98">
          <cell r="C98" t="str">
            <v>CLARABOYA CUPULA ACRILICA 60X80</v>
          </cell>
          <cell r="D98" t="str">
            <v>m2</v>
          </cell>
          <cell r="E98">
            <v>9</v>
          </cell>
          <cell r="F98">
            <v>1800</v>
          </cell>
          <cell r="G98">
            <v>16200</v>
          </cell>
        </row>
        <row r="99">
          <cell r="C99" t="str">
            <v>AISLACION TERMICA (lana de vidrio con papel kraf 38mm)</v>
          </cell>
          <cell r="D99" t="str">
            <v>m2</v>
          </cell>
          <cell r="E99">
            <v>510</v>
          </cell>
          <cell r="F99">
            <v>15</v>
          </cell>
          <cell r="G99">
            <v>7650</v>
          </cell>
        </row>
        <row r="100">
          <cell r="C100" t="str">
            <v>MEMBRANA GEOTEXTIL (Membrana 4mm epesor)</v>
          </cell>
          <cell r="D100" t="str">
            <v>m2</v>
          </cell>
          <cell r="E100">
            <v>75</v>
          </cell>
          <cell r="F100">
            <v>35</v>
          </cell>
          <cell r="G100">
            <v>2625</v>
          </cell>
        </row>
        <row r="101">
          <cell r="C101" t="str">
            <v xml:space="preserve">PINTURA  PARA MEMBRANA GEOTEXTIL </v>
          </cell>
          <cell r="D101" t="str">
            <v>m2</v>
          </cell>
          <cell r="E101">
            <v>75</v>
          </cell>
          <cell r="F101">
            <v>20</v>
          </cell>
          <cell r="G101">
            <v>1500</v>
          </cell>
        </row>
        <row r="103">
          <cell r="C103" t="str">
            <v>ZINGUERIA</v>
          </cell>
          <cell r="H103">
            <v>1165</v>
          </cell>
        </row>
        <row r="104">
          <cell r="C104" t="str">
            <v>CANALETAS CHº Nº 24 (Seccion 20x25cm)</v>
          </cell>
          <cell r="D104" t="str">
            <v>ml</v>
          </cell>
          <cell r="E104">
            <v>19</v>
          </cell>
          <cell r="F104">
            <v>40</v>
          </cell>
          <cell r="G104">
            <v>760</v>
          </cell>
        </row>
        <row r="105">
          <cell r="C105" t="str">
            <v>CONDUCTO DE BAJADA CH° G° N° 24 Seccion100X100mm</v>
          </cell>
          <cell r="D105" t="str">
            <v>ml</v>
          </cell>
          <cell r="E105">
            <v>13.5</v>
          </cell>
          <cell r="F105">
            <v>30</v>
          </cell>
          <cell r="G105">
            <v>405</v>
          </cell>
        </row>
        <row r="108">
          <cell r="C108" t="str">
            <v>HERRERIA</v>
          </cell>
          <cell r="H108">
            <v>840</v>
          </cell>
        </row>
        <row r="109">
          <cell r="C109" t="str">
            <v>COLOCACION DE ESCALERA (En sotano y Acceso a tanque reserva)</v>
          </cell>
          <cell r="D109" t="str">
            <v>gl</v>
          </cell>
          <cell r="E109">
            <v>2</v>
          </cell>
          <cell r="F109">
            <v>120</v>
          </cell>
          <cell r="G109">
            <v>240</v>
          </cell>
        </row>
        <row r="110">
          <cell r="C110" t="str">
            <v xml:space="preserve">COLOCACION DE PASAMANO EN ESCALERA </v>
          </cell>
          <cell r="D110" t="str">
            <v>ml</v>
          </cell>
          <cell r="E110">
            <v>12</v>
          </cell>
          <cell r="F110">
            <v>50</v>
          </cell>
          <cell r="G110">
            <v>600</v>
          </cell>
        </row>
        <row r="112">
          <cell r="C112" t="str">
            <v>VARIOS</v>
          </cell>
          <cell r="H112">
            <v>6180</v>
          </cell>
        </row>
        <row r="113">
          <cell r="C113" t="str">
            <v xml:space="preserve">COLOCACION MESADA GRANITO CON BACHAS (2,00X0,60m) </v>
          </cell>
          <cell r="D113" t="str">
            <v>un</v>
          </cell>
          <cell r="E113">
            <v>5</v>
          </cell>
          <cell r="F113">
            <v>144</v>
          </cell>
          <cell r="G113">
            <v>720</v>
          </cell>
        </row>
        <row r="114">
          <cell r="C114" t="str">
            <v>CONDUCTO ENTRE CIELORRASO Y CLARABOYA (en placa de yeso 60x80cm)</v>
          </cell>
          <cell r="D114" t="str">
            <v>un</v>
          </cell>
          <cell r="E114">
            <v>9</v>
          </cell>
          <cell r="F114">
            <v>320</v>
          </cell>
          <cell r="G114">
            <v>2880</v>
          </cell>
        </row>
        <row r="115">
          <cell r="C115" t="str">
            <v xml:space="preserve">COLOCACION GRANITO ALTAR </v>
          </cell>
          <cell r="D115" t="str">
            <v>m2</v>
          </cell>
          <cell r="E115">
            <v>3.6</v>
          </cell>
          <cell r="F115">
            <v>50</v>
          </cell>
          <cell r="G115">
            <v>180</v>
          </cell>
        </row>
        <row r="116">
          <cell r="C116" t="str">
            <v>CANTEROS PARA JARDIN</v>
          </cell>
          <cell r="D116" t="str">
            <v>gl</v>
          </cell>
          <cell r="E116">
            <v>2</v>
          </cell>
          <cell r="F116">
            <v>1200</v>
          </cell>
          <cell r="G116">
            <v>2400</v>
          </cell>
        </row>
        <row r="118">
          <cell r="C118" t="str">
            <v>ITEMS AGREGADOS</v>
          </cell>
          <cell r="H118">
            <v>15000</v>
          </cell>
        </row>
        <row r="119">
          <cell r="C119" t="str">
            <v>OBRADOR, TRASLADOS DE EQUIPOS</v>
          </cell>
          <cell r="D119" t="str">
            <v>gl</v>
          </cell>
          <cell r="E119">
            <v>1</v>
          </cell>
          <cell r="F119">
            <v>9000</v>
          </cell>
          <cell r="G119">
            <v>9000</v>
          </cell>
        </row>
        <row r="120">
          <cell r="C120" t="str">
            <v>ELEMENTOS DE SEGURIDAD, TECNICO EN SEGURIDAD E HIGIENE</v>
          </cell>
          <cell r="D120" t="str">
            <v>gl</v>
          </cell>
          <cell r="E120">
            <v>1</v>
          </cell>
          <cell r="F120">
            <v>6000</v>
          </cell>
          <cell r="G120">
            <v>6000</v>
          </cell>
        </row>
        <row r="127">
          <cell r="C127" t="str">
            <v>TOTAL (sin IVA)</v>
          </cell>
          <cell r="H127">
            <v>784250.39999999991</v>
          </cell>
        </row>
        <row r="130">
          <cell r="C130" t="str">
            <v>La obra ha sido cotizada con los computos suministrados por el Estudio,</v>
          </cell>
        </row>
        <row r="131">
          <cell r="C131" t="str">
            <v>cualquier diferencia que pudiera existir con lo realmente ejecutado</v>
          </cell>
        </row>
        <row r="132">
          <cell r="C132" t="str">
            <v>será cobrado como adicional en base a los precios unitarios de la planilla de Presupuesto.</v>
          </cell>
        </row>
        <row r="134">
          <cell r="C134" t="str">
            <v>Forma de pago:  Acopio 30%, saldo Certificaciones Quincenales s/ avance de Obra</v>
          </cell>
        </row>
        <row r="135">
          <cell r="C135" t="str">
            <v>Plazo de Obra:  150 días corridos</v>
          </cell>
        </row>
        <row r="136">
          <cell r="C136" t="str">
            <v>Actualización de Precios:  Los precios serán ajustados según Indice de la C.A.C. (Cámara Argentina</v>
          </cell>
        </row>
        <row r="137">
          <cell r="C137" t="str">
            <v>de la Construcción) base Agosto de 2008.</v>
          </cell>
        </row>
      </sheetData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 - A"/>
      <sheetName val="01 - B"/>
      <sheetName val="02"/>
      <sheetName val="GGBB"/>
      <sheetName val="APU"/>
      <sheetName val="MO"/>
      <sheetName val="Computo"/>
      <sheetName val="Cotizaciones"/>
      <sheetName val="MAT"/>
      <sheetName val="EQ"/>
    </sheetNames>
    <sheetDataSet>
      <sheetData sheetId="0"/>
      <sheetData sheetId="1"/>
      <sheetData sheetId="2"/>
      <sheetData sheetId="3">
        <row r="60">
          <cell r="F60" t="e">
            <v>#REF!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Computo"/>
      <sheetName val="Varios"/>
    </sheetNames>
    <sheetDataSet>
      <sheetData sheetId="0"/>
      <sheetData sheetId="1">
        <row r="3">
          <cell r="N3">
            <v>0.22195333349999999</v>
          </cell>
        </row>
        <row r="4">
          <cell r="N4">
            <v>0.39458370399999998</v>
          </cell>
        </row>
        <row r="5">
          <cell r="N5">
            <v>0.6165370375</v>
          </cell>
        </row>
        <row r="6">
          <cell r="N6">
            <v>0.88781333399999995</v>
          </cell>
        </row>
        <row r="7">
          <cell r="N7">
            <v>1.5783348159999999</v>
          </cell>
        </row>
        <row r="8">
          <cell r="N8">
            <v>2.46614815</v>
          </cell>
        </row>
        <row r="9">
          <cell r="N9">
            <v>3.8533564843749994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s"/>
      <sheetName val="Insumos"/>
      <sheetName val="Constantes"/>
      <sheetName val="Analisis"/>
      <sheetName val="Analisis Nuevo"/>
      <sheetName val="Presupuesto"/>
      <sheetName val="Rubros"/>
      <sheetName val="Formu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BROS"/>
      <sheetName val="SUBRUBROS"/>
      <sheetName val="Insumos"/>
      <sheetName val="Items"/>
      <sheetName val="Analisis Nuevo"/>
      <sheetName val="Analisis Vista"/>
      <sheetName val="AnalisisUsados"/>
      <sheetName val="ListaCambios"/>
      <sheetName val="SISTEMA"/>
      <sheetName val="Componentes"/>
      <sheetName val="Panel"/>
      <sheetName val="Analisis"/>
      <sheetName val="Presupuesto"/>
      <sheetName val="Explosion"/>
      <sheetName val="Copete"/>
      <sheetName val="Lista"/>
      <sheetName val="ListaUsados"/>
      <sheetName val="Ver Analisis"/>
      <sheetName val="Formulas"/>
      <sheetName val="Constantes"/>
      <sheetName val="Mano de Obra"/>
      <sheetName val="MEMO"/>
      <sheetName val="PATRONES"/>
      <sheetName val="GRUPOS"/>
      <sheetName val="Secciones"/>
      <sheetName val="Divis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 TIPO"/>
      <sheetName val="BENS"/>
      <sheetName val="Jornales Enero 2008"/>
      <sheetName val="Analisis Mano de Obra"/>
      <sheetName val="Planilla"/>
      <sheetName val="Precio Materiale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s"/>
      <sheetName val="Insumos"/>
      <sheetName val="Constantes"/>
      <sheetName val="Analisis"/>
      <sheetName val="Analisis Nuevo"/>
      <sheetName val="Presupuesto"/>
      <sheetName val="Rubros"/>
      <sheetName val="Formulas"/>
      <sheetName val="UNITARIOS"/>
      <sheetName val="Paquetes de Obra"/>
      <sheetName val="COSTOS"/>
      <sheetName val="ACERO"/>
      <sheetName val="Tipos de Hº"/>
      <sheetName val="Ace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BROS"/>
      <sheetName val="SUBRUBROS"/>
      <sheetName val="Insumos"/>
      <sheetName val="Items"/>
      <sheetName val="Analisis Nuevo"/>
      <sheetName val="Analisis Vista"/>
      <sheetName val="AnalisisUsados"/>
      <sheetName val="ListaCambios"/>
      <sheetName val="SISTEMA"/>
      <sheetName val="Componentes"/>
      <sheetName val="Panel"/>
      <sheetName val="Analisis"/>
      <sheetName val="Presupuesto"/>
      <sheetName val="Explosion"/>
      <sheetName val="Copete"/>
      <sheetName val="Lista"/>
      <sheetName val="ListaUsados"/>
      <sheetName val="Ver Analisis"/>
      <sheetName val="Formulas"/>
      <sheetName val="Constantes"/>
      <sheetName val="Mano de Obra"/>
      <sheetName val="MEMO"/>
      <sheetName val="PATRONES"/>
      <sheetName val="GRUPOS"/>
      <sheetName val="Secciones"/>
      <sheetName val="Divis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DE TRABAJOS"/>
      <sheetName val="Presupuesto NUEVO"/>
    </sheetNames>
    <sheetDataSet>
      <sheetData sheetId="0" refreshError="1"/>
      <sheetData sheetId="1">
        <row r="3">
          <cell r="C3" t="str">
            <v>DESCRIPCION DE TAREAS</v>
          </cell>
          <cell r="D3" t="str">
            <v>UNIDAD</v>
          </cell>
          <cell r="E3" t="str">
            <v>CANTIDAD</v>
          </cell>
          <cell r="F3" t="str">
            <v>PRECIO U</v>
          </cell>
          <cell r="G3" t="str">
            <v>SUBTOTAL</v>
          </cell>
          <cell r="H3" t="str">
            <v>TOTAL</v>
          </cell>
        </row>
        <row r="4">
          <cell r="C4" t="str">
            <v>TRABAJOS PRELIMINARES</v>
          </cell>
        </row>
        <row r="5">
          <cell r="C5" t="str">
            <v>Limpieza de Terreno</v>
          </cell>
          <cell r="D5" t="str">
            <v>M2</v>
          </cell>
          <cell r="F5">
            <v>0</v>
          </cell>
          <cell r="G5">
            <v>0</v>
          </cell>
        </row>
        <row r="6">
          <cell r="C6" t="str">
            <v>Cerco de obra</v>
          </cell>
          <cell r="D6" t="str">
            <v>ML</v>
          </cell>
          <cell r="F6">
            <v>0</v>
          </cell>
          <cell r="G6">
            <v>0</v>
          </cell>
        </row>
        <row r="7">
          <cell r="C7" t="str">
            <v>Cartel de Obra</v>
          </cell>
          <cell r="D7" t="str">
            <v>M2</v>
          </cell>
          <cell r="F7">
            <v>0</v>
          </cell>
          <cell r="G7">
            <v>0</v>
          </cell>
        </row>
        <row r="8">
          <cell r="C8" t="str">
            <v>Obrador</v>
          </cell>
          <cell r="D8" t="str">
            <v>GL</v>
          </cell>
          <cell r="F8">
            <v>0</v>
          </cell>
          <cell r="G8">
            <v>0</v>
          </cell>
        </row>
        <row r="9">
          <cell r="C9" t="str">
            <v>MOVIMIENTO DE SUELOS</v>
          </cell>
          <cell r="H9">
            <v>0</v>
          </cell>
        </row>
        <row r="10">
          <cell r="C10" t="str">
            <v xml:space="preserve">Excavación manual </v>
          </cell>
          <cell r="D10" t="str">
            <v>M3</v>
          </cell>
          <cell r="E10">
            <v>0</v>
          </cell>
          <cell r="F10">
            <v>0</v>
          </cell>
          <cell r="G10">
            <v>0</v>
          </cell>
        </row>
        <row r="11">
          <cell r="C11" t="str">
            <v>Relleno y compactacion manual (c/suelo del lugar)</v>
          </cell>
          <cell r="D11" t="str">
            <v>M3</v>
          </cell>
          <cell r="E11">
            <v>0</v>
          </cell>
          <cell r="F11">
            <v>0</v>
          </cell>
          <cell r="G11">
            <v>0</v>
          </cell>
        </row>
        <row r="12">
          <cell r="C12" t="str">
            <v>Relleno y compactacion manual (c/tosca)</v>
          </cell>
          <cell r="D12" t="str">
            <v>M3</v>
          </cell>
          <cell r="E12">
            <v>0</v>
          </cell>
          <cell r="F12">
            <v>0</v>
          </cell>
          <cell r="G12">
            <v>0</v>
          </cell>
        </row>
        <row r="13">
          <cell r="C13" t="str">
            <v>Retiro de excedentes con multifuncion-camion</v>
          </cell>
          <cell r="D13" t="str">
            <v>M3</v>
          </cell>
          <cell r="E13">
            <v>0</v>
          </cell>
          <cell r="F13">
            <v>0</v>
          </cell>
          <cell r="G13">
            <v>0</v>
          </cell>
        </row>
        <row r="14">
          <cell r="C14" t="str">
            <v>FUNDACIONES</v>
          </cell>
          <cell r="H14">
            <v>0</v>
          </cell>
        </row>
        <row r="15">
          <cell r="C15" t="str">
            <v>Bases</v>
          </cell>
          <cell r="D15" t="str">
            <v>M3</v>
          </cell>
          <cell r="E15">
            <v>0</v>
          </cell>
          <cell r="F15">
            <v>0</v>
          </cell>
          <cell r="G15">
            <v>0</v>
          </cell>
        </row>
        <row r="16">
          <cell r="C16" t="str">
            <v>Tensores</v>
          </cell>
          <cell r="D16" t="str">
            <v>M3</v>
          </cell>
          <cell r="E16">
            <v>0</v>
          </cell>
          <cell r="F16">
            <v>0</v>
          </cell>
          <cell r="G16">
            <v>0</v>
          </cell>
        </row>
        <row r="17">
          <cell r="C17" t="str">
            <v>Tronco de Columnas</v>
          </cell>
          <cell r="D17" t="str">
            <v>M3</v>
          </cell>
          <cell r="E17">
            <v>0</v>
          </cell>
          <cell r="F17">
            <v>0</v>
          </cell>
          <cell r="G17">
            <v>0</v>
          </cell>
        </row>
        <row r="18">
          <cell r="C18" t="str">
            <v>ESTRUCTURA DE HORMIGON ARMADO</v>
          </cell>
          <cell r="H18">
            <v>0</v>
          </cell>
        </row>
        <row r="19">
          <cell r="C19" t="str">
            <v>Columnas</v>
          </cell>
          <cell r="D19" t="str">
            <v>M3</v>
          </cell>
          <cell r="E19">
            <v>0</v>
          </cell>
          <cell r="F19">
            <v>0</v>
          </cell>
          <cell r="G19">
            <v>0</v>
          </cell>
        </row>
        <row r="20">
          <cell r="C20" t="str">
            <v>Vigas</v>
          </cell>
          <cell r="D20" t="str">
            <v>M3</v>
          </cell>
          <cell r="E20">
            <v>0</v>
          </cell>
          <cell r="F20">
            <v>0</v>
          </cell>
          <cell r="G20">
            <v>0</v>
          </cell>
        </row>
        <row r="21">
          <cell r="C21" t="str">
            <v>Losas</v>
          </cell>
          <cell r="D21" t="str">
            <v>M3</v>
          </cell>
          <cell r="E21">
            <v>0</v>
          </cell>
          <cell r="F21">
            <v>0</v>
          </cell>
          <cell r="G21">
            <v>0</v>
          </cell>
        </row>
        <row r="22">
          <cell r="C22" t="str">
            <v>Escaleras</v>
          </cell>
          <cell r="D22" t="str">
            <v>M3</v>
          </cell>
          <cell r="E22">
            <v>0</v>
          </cell>
          <cell r="F22">
            <v>0</v>
          </cell>
          <cell r="G22">
            <v>0</v>
          </cell>
        </row>
        <row r="23">
          <cell r="C23" t="str">
            <v>ESTRUCTURA METALICA</v>
          </cell>
          <cell r="H23">
            <v>0</v>
          </cell>
        </row>
        <row r="24">
          <cell r="C24" t="str">
            <v>C140X60</v>
          </cell>
          <cell r="D24" t="str">
            <v>ML</v>
          </cell>
          <cell r="E24">
            <v>0</v>
          </cell>
          <cell r="F24">
            <v>0</v>
          </cell>
          <cell r="G24">
            <v>0</v>
          </cell>
        </row>
        <row r="25">
          <cell r="C25" t="str">
            <v>C160X60</v>
          </cell>
          <cell r="D25" t="str">
            <v>ML</v>
          </cell>
          <cell r="E25">
            <v>0</v>
          </cell>
          <cell r="F25">
            <v>0</v>
          </cell>
          <cell r="G25">
            <v>0</v>
          </cell>
        </row>
        <row r="26">
          <cell r="C26" t="str">
            <v>C220X80</v>
          </cell>
          <cell r="D26" t="str">
            <v>ML</v>
          </cell>
          <cell r="E26">
            <v>0</v>
          </cell>
          <cell r="F26">
            <v>0</v>
          </cell>
          <cell r="G26">
            <v>0</v>
          </cell>
        </row>
        <row r="27">
          <cell r="C27" t="str">
            <v>Correas perfil C 80</v>
          </cell>
          <cell r="D27" t="str">
            <v>ML</v>
          </cell>
          <cell r="E27">
            <v>0</v>
          </cell>
          <cell r="F27">
            <v>0</v>
          </cell>
          <cell r="G27">
            <v>0</v>
          </cell>
        </row>
        <row r="28">
          <cell r="C28" t="str">
            <v>Pasarelas de tanques de reserva</v>
          </cell>
          <cell r="D28" t="str">
            <v>M2</v>
          </cell>
          <cell r="E28">
            <v>0</v>
          </cell>
          <cell r="F28">
            <v>0</v>
          </cell>
          <cell r="G28">
            <v>0</v>
          </cell>
        </row>
        <row r="29">
          <cell r="C29" t="str">
            <v>Escaleras metálicas de 1,40 x 2,52 con baranda</v>
          </cell>
          <cell r="D29" t="str">
            <v>U</v>
          </cell>
          <cell r="E29">
            <v>0</v>
          </cell>
          <cell r="F29">
            <v>0</v>
          </cell>
          <cell r="G29">
            <v>0</v>
          </cell>
        </row>
        <row r="30">
          <cell r="C30" t="str">
            <v>MAMPOSTERIA</v>
          </cell>
          <cell r="H30">
            <v>0</v>
          </cell>
        </row>
        <row r="31">
          <cell r="C31" t="str">
            <v>Capa aisladora horizontal en muros 1:3 +H esp 2 cm</v>
          </cell>
          <cell r="D31" t="str">
            <v>M2</v>
          </cell>
          <cell r="E31">
            <v>0</v>
          </cell>
          <cell r="F31">
            <v>0</v>
          </cell>
          <cell r="G31">
            <v>0</v>
          </cell>
        </row>
        <row r="32">
          <cell r="C32" t="str">
            <v xml:space="preserve">Mamp. de lad comun </v>
          </cell>
          <cell r="D32" t="str">
            <v>M3</v>
          </cell>
          <cell r="E32">
            <v>0</v>
          </cell>
          <cell r="F32">
            <v>0</v>
          </cell>
          <cell r="G32">
            <v>0</v>
          </cell>
        </row>
        <row r="33">
          <cell r="C33" t="str">
            <v>Mamp. de lad.hueco 18:18:33</v>
          </cell>
          <cell r="D33" t="str">
            <v>M2</v>
          </cell>
          <cell r="E33">
            <v>0</v>
          </cell>
          <cell r="F33">
            <v>0</v>
          </cell>
          <cell r="G33">
            <v>0</v>
          </cell>
        </row>
        <row r="34">
          <cell r="C34" t="str">
            <v>Mamp. de lad.hueco 12:18:33</v>
          </cell>
          <cell r="D34" t="str">
            <v>M2</v>
          </cell>
          <cell r="E34">
            <v>0</v>
          </cell>
          <cell r="F34">
            <v>0</v>
          </cell>
          <cell r="G34">
            <v>0</v>
          </cell>
        </row>
        <row r="35">
          <cell r="C35" t="str">
            <v>Mamp. de lad.hueco 8:18:33</v>
          </cell>
          <cell r="D35" t="str">
            <v>M2</v>
          </cell>
          <cell r="E35">
            <v>0</v>
          </cell>
          <cell r="F35">
            <v>0</v>
          </cell>
          <cell r="G35">
            <v>0</v>
          </cell>
        </row>
        <row r="36">
          <cell r="C36" t="str">
            <v>Tabique de madera tablillas cerramiento patio</v>
          </cell>
          <cell r="D36" t="str">
            <v>M2</v>
          </cell>
          <cell r="E36">
            <v>0</v>
          </cell>
          <cell r="F36">
            <v>0</v>
          </cell>
          <cell r="G36">
            <v>0</v>
          </cell>
        </row>
        <row r="37">
          <cell r="C37" t="str">
            <v>CONTRAPISOS</v>
          </cell>
          <cell r="H37">
            <v>0</v>
          </cell>
        </row>
        <row r="38">
          <cell r="C38" t="str">
            <v xml:space="preserve">Contrapiso s/terr.nat. de H.P. esp.12cm </v>
          </cell>
          <cell r="D38" t="str">
            <v>M2</v>
          </cell>
          <cell r="E38">
            <v>0</v>
          </cell>
          <cell r="F38">
            <v>0</v>
          </cell>
          <cell r="G38">
            <v>0</v>
          </cell>
        </row>
        <row r="39">
          <cell r="C39" t="str">
            <v xml:space="preserve">Contrapiso s/losa. de H.P. esp.8cm </v>
          </cell>
          <cell r="D39" t="str">
            <v>M2</v>
          </cell>
          <cell r="E39">
            <v>0</v>
          </cell>
          <cell r="F39">
            <v>0</v>
          </cell>
          <cell r="G39">
            <v>0</v>
          </cell>
        </row>
        <row r="40">
          <cell r="C40" t="str">
            <v>CARPETAS</v>
          </cell>
          <cell r="H40">
            <v>0</v>
          </cell>
        </row>
        <row r="41">
          <cell r="C41" t="str">
            <v>Carpeta impermeable 1:3+H esp 2 cm</v>
          </cell>
          <cell r="D41" t="str">
            <v>M2</v>
          </cell>
          <cell r="E41">
            <v>0</v>
          </cell>
          <cell r="F41">
            <v>0</v>
          </cell>
          <cell r="G41">
            <v>0</v>
          </cell>
        </row>
        <row r="42">
          <cell r="C42" t="str">
            <v>Carpeta de nivelacion 1/4:1:4 esp 2cm</v>
          </cell>
          <cell r="D42" t="str">
            <v>M2</v>
          </cell>
          <cell r="E42">
            <v>0</v>
          </cell>
          <cell r="F42">
            <v>0</v>
          </cell>
          <cell r="G42">
            <v>0</v>
          </cell>
        </row>
        <row r="43">
          <cell r="C43" t="str">
            <v>PISOS</v>
          </cell>
          <cell r="H43">
            <v>0</v>
          </cell>
        </row>
        <row r="44">
          <cell r="C44" t="str">
            <v>Baldosas de cemento de 40x40 cm</v>
          </cell>
          <cell r="D44" t="str">
            <v>M2</v>
          </cell>
          <cell r="E44">
            <v>0</v>
          </cell>
          <cell r="F44">
            <v>0</v>
          </cell>
          <cell r="G44">
            <v>0</v>
          </cell>
        </row>
        <row r="45">
          <cell r="C45" t="str">
            <v>Binder granítico</v>
          </cell>
          <cell r="D45" t="str">
            <v>M2</v>
          </cell>
          <cell r="E45">
            <v>0</v>
          </cell>
          <cell r="F45">
            <v>0</v>
          </cell>
          <cell r="G45">
            <v>0</v>
          </cell>
        </row>
        <row r="46">
          <cell r="C46" t="str">
            <v>Piso de cemento alisado</v>
          </cell>
          <cell r="D46" t="str">
            <v>M2</v>
          </cell>
          <cell r="E46">
            <v>0</v>
          </cell>
          <cell r="F46">
            <v>0</v>
          </cell>
          <cell r="G46">
            <v>0</v>
          </cell>
        </row>
        <row r="47">
          <cell r="C47" t="str">
            <v>Piso de cemento alisado con color con perf L</v>
          </cell>
          <cell r="D47" t="str">
            <v>M2</v>
          </cell>
          <cell r="E47">
            <v>0</v>
          </cell>
          <cell r="F47">
            <v>0</v>
          </cell>
          <cell r="G47">
            <v>0</v>
          </cell>
        </row>
        <row r="48">
          <cell r="C48" t="str">
            <v>Baldosas cerámicas de 20x20</v>
          </cell>
          <cell r="D48" t="str">
            <v>M2</v>
          </cell>
          <cell r="E48">
            <v>0</v>
          </cell>
          <cell r="F48">
            <v>0</v>
          </cell>
          <cell r="G48">
            <v>0</v>
          </cell>
        </row>
        <row r="49">
          <cell r="C49" t="str">
            <v>Baldosas cerámicas de 30X30</v>
          </cell>
          <cell r="D49" t="str">
            <v>M2</v>
          </cell>
          <cell r="E49">
            <v>0</v>
          </cell>
          <cell r="F49">
            <v>0</v>
          </cell>
          <cell r="G49">
            <v>0</v>
          </cell>
        </row>
        <row r="50">
          <cell r="C50" t="str">
            <v>Piso de Hormigon peinado</v>
          </cell>
          <cell r="D50" t="str">
            <v>M2</v>
          </cell>
          <cell r="E50">
            <v>0</v>
          </cell>
          <cell r="F50">
            <v>0</v>
          </cell>
          <cell r="G50">
            <v>0</v>
          </cell>
        </row>
        <row r="51">
          <cell r="C51" t="str">
            <v>Zocalo de cerámica H 10 cm</v>
          </cell>
          <cell r="D51" t="str">
            <v>ML</v>
          </cell>
          <cell r="E51">
            <v>0</v>
          </cell>
          <cell r="F51">
            <v>0</v>
          </cell>
          <cell r="G51">
            <v>0</v>
          </cell>
        </row>
        <row r="52">
          <cell r="C52" t="str">
            <v>Zocalo de madera 2"</v>
          </cell>
          <cell r="D52" t="str">
            <v>ML</v>
          </cell>
          <cell r="E52">
            <v>0</v>
          </cell>
          <cell r="F52">
            <v>0</v>
          </cell>
          <cell r="G52">
            <v>0</v>
          </cell>
        </row>
        <row r="53">
          <cell r="C53" t="str">
            <v>Cordon de Hormigon 20x30</v>
          </cell>
          <cell r="D53" t="str">
            <v>ML</v>
          </cell>
          <cell r="E53">
            <v>0</v>
          </cell>
          <cell r="F53">
            <v>0</v>
          </cell>
          <cell r="G53">
            <v>0</v>
          </cell>
        </row>
        <row r="54">
          <cell r="C54" t="str">
            <v>REVOQUES</v>
          </cell>
          <cell r="H54">
            <v>0</v>
          </cell>
        </row>
        <row r="55">
          <cell r="C55" t="str">
            <v>Azotado impermeable ext.(1:3 + hidrofugo) c/andamio</v>
          </cell>
          <cell r="D55" t="str">
            <v>M2</v>
          </cell>
          <cell r="E55">
            <v>0</v>
          </cell>
          <cell r="F55">
            <v>0</v>
          </cell>
          <cell r="G55">
            <v>0</v>
          </cell>
        </row>
        <row r="56">
          <cell r="C56" t="str">
            <v>Jaharro fratasado ext. a la cal c/andamio</v>
          </cell>
          <cell r="D56" t="str">
            <v>M2</v>
          </cell>
          <cell r="E56">
            <v>0</v>
          </cell>
          <cell r="F56">
            <v>0</v>
          </cell>
          <cell r="G56">
            <v>0</v>
          </cell>
        </row>
        <row r="57">
          <cell r="C57" t="str">
            <v>Azotado hidrofugo bajo revestimiento</v>
          </cell>
          <cell r="D57" t="str">
            <v>M2</v>
          </cell>
          <cell r="E57">
            <v>0</v>
          </cell>
          <cell r="F57">
            <v>0</v>
          </cell>
          <cell r="G57">
            <v>0</v>
          </cell>
        </row>
        <row r="58">
          <cell r="C58" t="str">
            <v>Jaharro fratasado interior a la cal</v>
          </cell>
          <cell r="D58" t="str">
            <v>M2</v>
          </cell>
          <cell r="E58">
            <v>0</v>
          </cell>
          <cell r="F58">
            <v>0</v>
          </cell>
          <cell r="G58">
            <v>0</v>
          </cell>
        </row>
        <row r="59">
          <cell r="C59" t="str">
            <v>Revoque impermeable en tanque</v>
          </cell>
          <cell r="D59" t="str">
            <v>M2</v>
          </cell>
          <cell r="E59">
            <v>0</v>
          </cell>
          <cell r="F59">
            <v>0</v>
          </cell>
          <cell r="G59">
            <v>0</v>
          </cell>
        </row>
        <row r="60">
          <cell r="C60" t="str">
            <v>REVESTIMIENTOS</v>
          </cell>
          <cell r="H60">
            <v>0</v>
          </cell>
        </row>
        <row r="61">
          <cell r="C61" t="str">
            <v>Ceramica monococción 20x20 esmaltada,coloc c/pegam</v>
          </cell>
          <cell r="D61" t="str">
            <v>M2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CIELORRASOS</v>
          </cell>
          <cell r="H62">
            <v>0</v>
          </cell>
        </row>
        <row r="63">
          <cell r="C63" t="str">
            <v>Cielorraso Hº Visto sin Oquedades</v>
          </cell>
          <cell r="D63" t="str">
            <v>M2</v>
          </cell>
          <cell r="E63">
            <v>0</v>
          </cell>
          <cell r="F63">
            <v>0</v>
          </cell>
          <cell r="G63">
            <v>0</v>
          </cell>
        </row>
        <row r="64">
          <cell r="C64" t="str">
            <v>Cielorraso suspendido Durlock (soleras chapa)</v>
          </cell>
          <cell r="D64" t="str">
            <v>M2</v>
          </cell>
          <cell r="E64">
            <v>0</v>
          </cell>
          <cell r="F64">
            <v>0</v>
          </cell>
          <cell r="G64">
            <v>0</v>
          </cell>
        </row>
        <row r="65">
          <cell r="C65" t="str">
            <v>CUBIERTAS</v>
          </cell>
          <cell r="H65">
            <v>0</v>
          </cell>
        </row>
        <row r="66">
          <cell r="C66" t="str">
            <v>Cubierta de chapa</v>
          </cell>
          <cell r="D66" t="str">
            <v>M2</v>
          </cell>
          <cell r="E66">
            <v>0</v>
          </cell>
          <cell r="F66">
            <v>0</v>
          </cell>
          <cell r="G66">
            <v>0</v>
          </cell>
        </row>
        <row r="67">
          <cell r="C67" t="str">
            <v>Techo de policarbonato</v>
          </cell>
          <cell r="D67" t="str">
            <v>M2</v>
          </cell>
          <cell r="E67">
            <v>0</v>
          </cell>
          <cell r="F67">
            <v>0</v>
          </cell>
          <cell r="G67">
            <v>0</v>
          </cell>
        </row>
        <row r="68">
          <cell r="C68" t="str">
            <v>Canaletas</v>
          </cell>
          <cell r="D68" t="str">
            <v>ML</v>
          </cell>
          <cell r="E68">
            <v>0</v>
          </cell>
          <cell r="F68">
            <v>0</v>
          </cell>
          <cell r="G68">
            <v>0</v>
          </cell>
        </row>
        <row r="69">
          <cell r="C69" t="str">
            <v>Zinguería perimetral</v>
          </cell>
          <cell r="D69" t="str">
            <v>ML</v>
          </cell>
          <cell r="E69">
            <v>0</v>
          </cell>
          <cell r="F69">
            <v>0</v>
          </cell>
          <cell r="G69">
            <v>0</v>
          </cell>
        </row>
        <row r="70">
          <cell r="C70" t="str">
            <v>CARPINTERIAS</v>
          </cell>
          <cell r="H70">
            <v>0</v>
          </cell>
        </row>
        <row r="71">
          <cell r="C71" t="str">
            <v>METALICA</v>
          </cell>
        </row>
        <row r="72">
          <cell r="C72" t="str">
            <v>Puerta P1 (0,80X2,05) F60</v>
          </cell>
          <cell r="D72" t="str">
            <v>U</v>
          </cell>
          <cell r="E72">
            <v>0</v>
          </cell>
          <cell r="F72">
            <v>0</v>
          </cell>
          <cell r="G72">
            <v>0</v>
          </cell>
        </row>
        <row r="73">
          <cell r="C73" t="str">
            <v>Puerta P2 (0,70X2,05)</v>
          </cell>
          <cell r="D73" t="str">
            <v>U</v>
          </cell>
          <cell r="E73">
            <v>0</v>
          </cell>
          <cell r="F73">
            <v>0</v>
          </cell>
          <cell r="G73">
            <v>0</v>
          </cell>
        </row>
        <row r="74">
          <cell r="C74" t="str">
            <v>Puerta P3 (0,90X2,05) F30</v>
          </cell>
          <cell r="D74" t="str">
            <v>U</v>
          </cell>
          <cell r="E74">
            <v>0</v>
          </cell>
          <cell r="F74">
            <v>0</v>
          </cell>
          <cell r="G74">
            <v>0</v>
          </cell>
        </row>
        <row r="75">
          <cell r="C75" t="str">
            <v>Marco P4 (0,80X2,05)</v>
          </cell>
          <cell r="D75" t="str">
            <v>U</v>
          </cell>
          <cell r="E75">
            <v>0</v>
          </cell>
          <cell r="F75">
            <v>0</v>
          </cell>
          <cell r="G75">
            <v>0</v>
          </cell>
        </row>
        <row r="76">
          <cell r="C76" t="str">
            <v>Marco P5 (0,60X0,60)</v>
          </cell>
          <cell r="D76" t="str">
            <v>U</v>
          </cell>
          <cell r="E76">
            <v>0</v>
          </cell>
          <cell r="F76">
            <v>0</v>
          </cell>
          <cell r="G76">
            <v>0</v>
          </cell>
        </row>
        <row r="77">
          <cell r="C77" t="str">
            <v>Marco P6 (0,80X2,05)</v>
          </cell>
          <cell r="D77" t="str">
            <v>U</v>
          </cell>
          <cell r="E77">
            <v>0</v>
          </cell>
          <cell r="F77">
            <v>0</v>
          </cell>
          <cell r="G77">
            <v>0</v>
          </cell>
        </row>
        <row r="78">
          <cell r="C78" t="str">
            <v>ALUMINIO</v>
          </cell>
        </row>
        <row r="79">
          <cell r="C79" t="str">
            <v>PV1 (2,90X2,20)</v>
          </cell>
          <cell r="D79" t="str">
            <v>U</v>
          </cell>
          <cell r="E79">
            <v>0</v>
          </cell>
          <cell r="F79">
            <v>0</v>
          </cell>
          <cell r="G79">
            <v>0</v>
          </cell>
        </row>
        <row r="80">
          <cell r="C80" t="str">
            <v>PV2 (2,40X2,10)</v>
          </cell>
          <cell r="D80" t="str">
            <v>U</v>
          </cell>
          <cell r="E80">
            <v>0</v>
          </cell>
          <cell r="F80">
            <v>0</v>
          </cell>
          <cell r="G80">
            <v>0</v>
          </cell>
        </row>
        <row r="81">
          <cell r="C81" t="str">
            <v>PV3 (2,88X2,10)</v>
          </cell>
          <cell r="D81" t="str">
            <v>U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PV4 (3,38X2,10)</v>
          </cell>
          <cell r="D82" t="str">
            <v>U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PV5 (2,40X2,20)</v>
          </cell>
          <cell r="D83" t="str">
            <v>U</v>
          </cell>
          <cell r="E83">
            <v>0</v>
          </cell>
          <cell r="F83">
            <v>0</v>
          </cell>
          <cell r="G83">
            <v>0</v>
          </cell>
        </row>
        <row r="84">
          <cell r="C84" t="str">
            <v>V3 (1,20X0,5)</v>
          </cell>
          <cell r="D84" t="str">
            <v>U</v>
          </cell>
          <cell r="E84">
            <v>0</v>
          </cell>
          <cell r="F84">
            <v>0</v>
          </cell>
          <cell r="G84">
            <v>0</v>
          </cell>
        </row>
        <row r="85">
          <cell r="C85" t="str">
            <v>V4 (2,63X1,40)</v>
          </cell>
          <cell r="D85" t="str">
            <v>U</v>
          </cell>
          <cell r="E85">
            <v>0</v>
          </cell>
          <cell r="F85">
            <v>0</v>
          </cell>
          <cell r="G85">
            <v>0</v>
          </cell>
        </row>
        <row r="86">
          <cell r="C86" t="str">
            <v>V5 (1,20X2,10)</v>
          </cell>
          <cell r="D86" t="str">
            <v>U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V7 (2,40X1,20)</v>
          </cell>
          <cell r="D87" t="str">
            <v>U</v>
          </cell>
          <cell r="E87">
            <v>0</v>
          </cell>
          <cell r="F87">
            <v>0</v>
          </cell>
          <cell r="G87">
            <v>0</v>
          </cell>
        </row>
        <row r="88">
          <cell r="C88" t="str">
            <v>V8 (1,25X2,20)</v>
          </cell>
          <cell r="D88" t="str">
            <v>U</v>
          </cell>
          <cell r="E88">
            <v>0</v>
          </cell>
          <cell r="F88">
            <v>0</v>
          </cell>
          <cell r="G88">
            <v>0</v>
          </cell>
        </row>
        <row r="89">
          <cell r="C89" t="str">
            <v>V9 (1,20X2,40)</v>
          </cell>
          <cell r="D89" t="str">
            <v>U</v>
          </cell>
          <cell r="E89">
            <v>0</v>
          </cell>
          <cell r="F89">
            <v>0</v>
          </cell>
          <cell r="G89">
            <v>0</v>
          </cell>
        </row>
        <row r="90">
          <cell r="C90" t="str">
            <v>V10 (2,88X1,20)</v>
          </cell>
          <cell r="D90" t="str">
            <v>U</v>
          </cell>
          <cell r="E90">
            <v>0</v>
          </cell>
          <cell r="F90">
            <v>0</v>
          </cell>
          <cell r="G90">
            <v>0</v>
          </cell>
        </row>
        <row r="91">
          <cell r="C91" t="str">
            <v>V11 (3,88X1,20)</v>
          </cell>
          <cell r="D91" t="str">
            <v>U</v>
          </cell>
          <cell r="E91">
            <v>0</v>
          </cell>
          <cell r="F91">
            <v>0</v>
          </cell>
          <cell r="G91">
            <v>0</v>
          </cell>
        </row>
        <row r="92">
          <cell r="C92" t="str">
            <v>V12 (0,80X0,40)</v>
          </cell>
          <cell r="D92" t="str">
            <v>U</v>
          </cell>
          <cell r="E92">
            <v>0</v>
          </cell>
          <cell r="F92">
            <v>0</v>
          </cell>
          <cell r="G92">
            <v>0</v>
          </cell>
        </row>
        <row r="93">
          <cell r="C93" t="str">
            <v>V13 (1,08X1,60)</v>
          </cell>
          <cell r="D93" t="str">
            <v>U</v>
          </cell>
          <cell r="E93">
            <v>0</v>
          </cell>
          <cell r="F93">
            <v>0</v>
          </cell>
          <cell r="G93">
            <v>0</v>
          </cell>
        </row>
        <row r="94">
          <cell r="C94" t="str">
            <v>V14 (0,64X0,40)</v>
          </cell>
          <cell r="D94" t="str">
            <v>U</v>
          </cell>
          <cell r="E94">
            <v>0</v>
          </cell>
          <cell r="F94">
            <v>0</v>
          </cell>
          <cell r="G94">
            <v>0</v>
          </cell>
        </row>
        <row r="95">
          <cell r="C95" t="str">
            <v>Separador balcon (2m2)</v>
          </cell>
          <cell r="D95" t="str">
            <v>U</v>
          </cell>
          <cell r="E95">
            <v>0</v>
          </cell>
          <cell r="F95">
            <v>0</v>
          </cell>
          <cell r="G95">
            <v>0</v>
          </cell>
        </row>
        <row r="96">
          <cell r="C96" t="str">
            <v>MADERA</v>
          </cell>
        </row>
        <row r="97">
          <cell r="C97" t="str">
            <v>Placa MDF P4 (0,80x2,05)</v>
          </cell>
          <cell r="D97" t="str">
            <v>U</v>
          </cell>
          <cell r="E97">
            <v>0</v>
          </cell>
          <cell r="F97">
            <v>0</v>
          </cell>
          <cell r="G97">
            <v>0</v>
          </cell>
        </row>
        <row r="98">
          <cell r="C98" t="str">
            <v>Placa MDF P6 (0,80x2,05)</v>
          </cell>
          <cell r="D98" t="str">
            <v>U</v>
          </cell>
          <cell r="E98">
            <v>0</v>
          </cell>
          <cell r="F98">
            <v>0</v>
          </cell>
          <cell r="G98">
            <v>0</v>
          </cell>
        </row>
        <row r="99">
          <cell r="C99" t="str">
            <v>HERRERIA</v>
          </cell>
        </row>
        <row r="100">
          <cell r="C100" t="str">
            <v>Baranda B1</v>
          </cell>
          <cell r="D100" t="str">
            <v>ML</v>
          </cell>
          <cell r="E100">
            <v>0</v>
          </cell>
          <cell r="F100">
            <v>0</v>
          </cell>
          <cell r="G100">
            <v>0</v>
          </cell>
        </row>
        <row r="101">
          <cell r="C101" t="str">
            <v xml:space="preserve">Baranda B2 </v>
          </cell>
          <cell r="D101" t="str">
            <v>ML</v>
          </cell>
          <cell r="E101">
            <v>0</v>
          </cell>
          <cell r="F101">
            <v>0</v>
          </cell>
          <cell r="G101">
            <v>0</v>
          </cell>
        </row>
        <row r="102">
          <cell r="C102" t="str">
            <v>Baranda B3</v>
          </cell>
          <cell r="D102" t="str">
            <v>ML</v>
          </cell>
          <cell r="E102">
            <v>0</v>
          </cell>
          <cell r="F102">
            <v>0</v>
          </cell>
          <cell r="G102">
            <v>0</v>
          </cell>
        </row>
        <row r="103">
          <cell r="C103" t="str">
            <v>Baranda B11</v>
          </cell>
          <cell r="D103" t="str">
            <v>ML</v>
          </cell>
          <cell r="E103">
            <v>0</v>
          </cell>
          <cell r="F103">
            <v>0</v>
          </cell>
          <cell r="G103">
            <v>0</v>
          </cell>
        </row>
        <row r="104">
          <cell r="C104" t="str">
            <v>Baranda escalera</v>
          </cell>
          <cell r="D104" t="str">
            <v>ML</v>
          </cell>
          <cell r="E104">
            <v>0</v>
          </cell>
          <cell r="F104">
            <v>0</v>
          </cell>
          <cell r="G104">
            <v>0</v>
          </cell>
        </row>
        <row r="105">
          <cell r="C105" t="str">
            <v>Barandas Pasarelas</v>
          </cell>
          <cell r="D105" t="str">
            <v>ML</v>
          </cell>
          <cell r="E105">
            <v>0</v>
          </cell>
          <cell r="F105">
            <v>0</v>
          </cell>
          <cell r="G105">
            <v>0</v>
          </cell>
        </row>
        <row r="106">
          <cell r="C106" t="str">
            <v>Escalera marinera</v>
          </cell>
          <cell r="D106" t="str">
            <v>ML</v>
          </cell>
          <cell r="E106">
            <v>0</v>
          </cell>
          <cell r="F106">
            <v>0</v>
          </cell>
          <cell r="G106">
            <v>0</v>
          </cell>
        </row>
        <row r="107">
          <cell r="C107" t="str">
            <v>Reja de ventilacion H1 (1,20x0,5)</v>
          </cell>
          <cell r="D107" t="str">
            <v>U</v>
          </cell>
          <cell r="E107">
            <v>0</v>
          </cell>
          <cell r="F107">
            <v>0</v>
          </cell>
          <cell r="G107">
            <v>0</v>
          </cell>
        </row>
        <row r="108">
          <cell r="C108" t="str">
            <v>Puerta Chapa (2,83x2,25)</v>
          </cell>
          <cell r="D108" t="str">
            <v>U</v>
          </cell>
          <cell r="E108">
            <v>0</v>
          </cell>
          <cell r="F108">
            <v>0</v>
          </cell>
          <cell r="G108">
            <v>0</v>
          </cell>
        </row>
        <row r="109">
          <cell r="C109" t="str">
            <v>Porton (6,64x2,68)</v>
          </cell>
          <cell r="D109" t="str">
            <v>U</v>
          </cell>
          <cell r="E109">
            <v>0</v>
          </cell>
          <cell r="F109">
            <v>0</v>
          </cell>
          <cell r="G109">
            <v>0</v>
          </cell>
        </row>
        <row r="110">
          <cell r="C110" t="str">
            <v>Puerta lateral porton (1,11x2,14)</v>
          </cell>
          <cell r="D110" t="str">
            <v>U</v>
          </cell>
          <cell r="E110">
            <v>0</v>
          </cell>
          <cell r="F110">
            <v>0</v>
          </cell>
          <cell r="G110">
            <v>0</v>
          </cell>
        </row>
        <row r="111">
          <cell r="C111" t="str">
            <v>Ventana lateral porton (2,32x0,38)</v>
          </cell>
          <cell r="D111" t="str">
            <v>U</v>
          </cell>
          <cell r="E111">
            <v>0</v>
          </cell>
          <cell r="F111">
            <v>0</v>
          </cell>
          <cell r="G111">
            <v>0</v>
          </cell>
        </row>
        <row r="112">
          <cell r="C112" t="str">
            <v>Puerta medidor electrico</v>
          </cell>
          <cell r="D112" t="str">
            <v>U</v>
          </cell>
          <cell r="E112">
            <v>0</v>
          </cell>
          <cell r="F112">
            <v>0</v>
          </cell>
          <cell r="G112">
            <v>0</v>
          </cell>
        </row>
        <row r="113">
          <cell r="C113" t="str">
            <v>INSTALACION SANITARIA</v>
          </cell>
          <cell r="H113">
            <v>0</v>
          </cell>
        </row>
        <row r="114">
          <cell r="C114" t="str">
            <v>Cañerias Agua Fria y Cal,  Depto (Coc+Lav+Baño)</v>
          </cell>
          <cell r="D114" t="str">
            <v>VIV</v>
          </cell>
          <cell r="E114">
            <v>0</v>
          </cell>
          <cell r="F114">
            <v>0</v>
          </cell>
          <cell r="G114">
            <v>0</v>
          </cell>
        </row>
        <row r="115">
          <cell r="C115" t="str">
            <v>Cañerias Agua Fria y Cal,  Baño Auxiliar de Porteria</v>
          </cell>
          <cell r="D115" t="str">
            <v>U</v>
          </cell>
          <cell r="E115">
            <v>0</v>
          </cell>
          <cell r="F115">
            <v>0</v>
          </cell>
          <cell r="G115">
            <v>0</v>
          </cell>
        </row>
        <row r="116">
          <cell r="C116" t="str">
            <v>Desague Cloacal (Coc+Lav+Baño)</v>
          </cell>
          <cell r="D116" t="str">
            <v>U</v>
          </cell>
          <cell r="E116">
            <v>0</v>
          </cell>
          <cell r="F116">
            <v>0</v>
          </cell>
          <cell r="G116">
            <v>0</v>
          </cell>
        </row>
        <row r="117">
          <cell r="C117" t="str">
            <v>Desague cloacal baño porteria</v>
          </cell>
          <cell r="D117" t="str">
            <v>U</v>
          </cell>
          <cell r="E117">
            <v>0</v>
          </cell>
          <cell r="F117">
            <v>0</v>
          </cell>
          <cell r="G117">
            <v>0</v>
          </cell>
        </row>
        <row r="118">
          <cell r="C118" t="str">
            <v>Desagues Pluviales</v>
          </cell>
          <cell r="D118" t="str">
            <v>U</v>
          </cell>
          <cell r="E118">
            <v>0</v>
          </cell>
          <cell r="F118">
            <v>0</v>
          </cell>
          <cell r="G118">
            <v>0</v>
          </cell>
        </row>
        <row r="119">
          <cell r="C119" t="str">
            <v>Artefactos y Griferias Cocina</v>
          </cell>
          <cell r="D119" t="str">
            <v>U</v>
          </cell>
          <cell r="E119">
            <v>0</v>
          </cell>
          <cell r="F119">
            <v>0</v>
          </cell>
          <cell r="G119">
            <v>0</v>
          </cell>
        </row>
        <row r="120">
          <cell r="C120" t="str">
            <v>Artefactos y Griferias Lavadero</v>
          </cell>
          <cell r="D120" t="str">
            <v>U</v>
          </cell>
          <cell r="E120">
            <v>0</v>
          </cell>
          <cell r="F120">
            <v>0</v>
          </cell>
          <cell r="G120">
            <v>0</v>
          </cell>
        </row>
        <row r="121">
          <cell r="C121" t="str">
            <v>Artefactos y Griferias Baño Principal</v>
          </cell>
          <cell r="D121" t="str">
            <v>U</v>
          </cell>
          <cell r="E121">
            <v>0</v>
          </cell>
          <cell r="F121">
            <v>0</v>
          </cell>
          <cell r="G121">
            <v>0</v>
          </cell>
        </row>
        <row r="122">
          <cell r="C122" t="str">
            <v>Tanques de acero inoxidable de 2000 litros</v>
          </cell>
          <cell r="D122" t="str">
            <v>U</v>
          </cell>
          <cell r="E122">
            <v>0</v>
          </cell>
          <cell r="F122">
            <v>0</v>
          </cell>
          <cell r="G122">
            <v>0</v>
          </cell>
        </row>
        <row r="123">
          <cell r="C123" t="str">
            <v>Tanque cisterna de 3000 litros</v>
          </cell>
          <cell r="D123" t="str">
            <v>U</v>
          </cell>
          <cell r="E123">
            <v>0</v>
          </cell>
          <cell r="F123">
            <v>0</v>
          </cell>
          <cell r="G123">
            <v>0</v>
          </cell>
        </row>
        <row r="124">
          <cell r="C124" t="str">
            <v>Tanque cisterna de 2000 litros</v>
          </cell>
          <cell r="D124" t="str">
            <v>U</v>
          </cell>
          <cell r="E124">
            <v>0</v>
          </cell>
          <cell r="F124">
            <v>0</v>
          </cell>
          <cell r="G124">
            <v>0</v>
          </cell>
        </row>
        <row r="125">
          <cell r="C125" t="str">
            <v>Ayuda de Gremios Inst. Sanitaria (Por Depto)</v>
          </cell>
          <cell r="D125" t="str">
            <v>U</v>
          </cell>
          <cell r="E125">
            <v>0</v>
          </cell>
          <cell r="F125">
            <v>0</v>
          </cell>
          <cell r="G125">
            <v>0</v>
          </cell>
        </row>
        <row r="126">
          <cell r="C126" t="str">
            <v>INSTALACION DE GAS</v>
          </cell>
          <cell r="H126">
            <v>0</v>
          </cell>
        </row>
        <row r="127">
          <cell r="C127" t="str">
            <v>Cañerías de gas (3 picos)</v>
          </cell>
          <cell r="D127" t="str">
            <v>VIV</v>
          </cell>
          <cell r="E127">
            <v>0</v>
          </cell>
          <cell r="F127">
            <v>0</v>
          </cell>
          <cell r="G127">
            <v>0</v>
          </cell>
        </row>
        <row r="128">
          <cell r="C128" t="str">
            <v xml:space="preserve">Cocina </v>
          </cell>
          <cell r="D128" t="str">
            <v>U</v>
          </cell>
          <cell r="E128">
            <v>0</v>
          </cell>
          <cell r="F128">
            <v>0</v>
          </cell>
          <cell r="G128">
            <v>0</v>
          </cell>
        </row>
        <row r="129">
          <cell r="C129" t="str">
            <v>Calefón TN</v>
          </cell>
          <cell r="D129" t="str">
            <v>U</v>
          </cell>
          <cell r="E129">
            <v>0</v>
          </cell>
          <cell r="F129">
            <v>0</v>
          </cell>
          <cell r="G129">
            <v>0</v>
          </cell>
        </row>
        <row r="130">
          <cell r="C130" t="str">
            <v>Calefactor TB</v>
          </cell>
          <cell r="D130" t="str">
            <v>U</v>
          </cell>
          <cell r="E130">
            <v>0</v>
          </cell>
          <cell r="F130">
            <v>0</v>
          </cell>
          <cell r="G130">
            <v>0</v>
          </cell>
        </row>
        <row r="131">
          <cell r="C131" t="str">
            <v>Ayuda de Gremios Inst. Gas (Por Depto)</v>
          </cell>
          <cell r="D131" t="str">
            <v>U</v>
          </cell>
          <cell r="E131">
            <v>0</v>
          </cell>
          <cell r="F131">
            <v>0</v>
          </cell>
          <cell r="G131">
            <v>0</v>
          </cell>
        </row>
        <row r="132">
          <cell r="C132" t="str">
            <v>INSTALACION ELECTRICA</v>
          </cell>
          <cell r="H132">
            <v>0</v>
          </cell>
        </row>
        <row r="133">
          <cell r="C133" t="str">
            <v>Boca Electricidad</v>
          </cell>
          <cell r="D133" t="str">
            <v>BOCA</v>
          </cell>
          <cell r="E133">
            <v>0</v>
          </cell>
          <cell r="F133">
            <v>0</v>
          </cell>
          <cell r="G133">
            <v>0</v>
          </cell>
        </row>
        <row r="134">
          <cell r="C134" t="str">
            <v>Boca Telefono</v>
          </cell>
          <cell r="D134" t="str">
            <v>BOCA</v>
          </cell>
          <cell r="E134">
            <v>0</v>
          </cell>
          <cell r="F134">
            <v>0</v>
          </cell>
          <cell r="G134">
            <v>0</v>
          </cell>
        </row>
        <row r="135">
          <cell r="C135" t="str">
            <v>Boca Timbre Completa</v>
          </cell>
          <cell r="D135" t="str">
            <v>BOCA</v>
          </cell>
          <cell r="E135">
            <v>0</v>
          </cell>
          <cell r="F135">
            <v>0</v>
          </cell>
          <cell r="G135">
            <v>0</v>
          </cell>
        </row>
        <row r="136">
          <cell r="C136" t="str">
            <v>Boca TV</v>
          </cell>
          <cell r="D136" t="str">
            <v>BOCA</v>
          </cell>
          <cell r="E136">
            <v>0</v>
          </cell>
          <cell r="F136">
            <v>0</v>
          </cell>
          <cell r="G136">
            <v>0</v>
          </cell>
        </row>
        <row r="137">
          <cell r="C137" t="str">
            <v>Boca Portero Electrico</v>
          </cell>
          <cell r="D137" t="str">
            <v>BOCA</v>
          </cell>
          <cell r="E137">
            <v>0</v>
          </cell>
          <cell r="F137">
            <v>0</v>
          </cell>
          <cell r="G137">
            <v>0</v>
          </cell>
        </row>
        <row r="138">
          <cell r="C138" t="str">
            <v>Boca Luz Emergencia</v>
          </cell>
          <cell r="D138" t="str">
            <v>BOCA</v>
          </cell>
          <cell r="E138">
            <v>0</v>
          </cell>
          <cell r="F138">
            <v>0</v>
          </cell>
          <cell r="G138">
            <v>0</v>
          </cell>
        </row>
        <row r="139">
          <cell r="C139" t="str">
            <v>Portero electrico</v>
          </cell>
          <cell r="D139" t="str">
            <v>U</v>
          </cell>
          <cell r="E139">
            <v>0</v>
          </cell>
          <cell r="F139">
            <v>0</v>
          </cell>
          <cell r="G139">
            <v>0</v>
          </cell>
        </row>
        <row r="140">
          <cell r="C140" t="str">
            <v xml:space="preserve">Inst. Electrica Equipo Luz Emergencia </v>
          </cell>
          <cell r="D140" t="str">
            <v>U</v>
          </cell>
          <cell r="E140">
            <v>0</v>
          </cell>
          <cell r="F140">
            <v>0</v>
          </cell>
          <cell r="G140">
            <v>0</v>
          </cell>
        </row>
        <row r="141">
          <cell r="C141" t="str">
            <v>Artefacto Electrico Locales Comunes</v>
          </cell>
          <cell r="D141" t="str">
            <v>U</v>
          </cell>
          <cell r="E141">
            <v>0</v>
          </cell>
          <cell r="F141">
            <v>0</v>
          </cell>
          <cell r="G141">
            <v>0</v>
          </cell>
        </row>
        <row r="142">
          <cell r="C142" t="str">
            <v>Ayuda de Gremios Inst. electrica</v>
          </cell>
          <cell r="D142" t="str">
            <v>VIV</v>
          </cell>
          <cell r="E142">
            <v>0</v>
          </cell>
          <cell r="F142">
            <v>0</v>
          </cell>
          <cell r="G142">
            <v>0</v>
          </cell>
        </row>
        <row r="143">
          <cell r="C143" t="str">
            <v>INSTALACIONES ELECTROMECANICAS</v>
          </cell>
          <cell r="H143">
            <v>0</v>
          </cell>
        </row>
        <row r="144">
          <cell r="C144" t="str">
            <v>Juego de 2 electrobombas</v>
          </cell>
          <cell r="D144" t="str">
            <v>U</v>
          </cell>
          <cell r="E144">
            <v>0</v>
          </cell>
          <cell r="F144">
            <v>0</v>
          </cell>
          <cell r="G144">
            <v>0</v>
          </cell>
        </row>
        <row r="145">
          <cell r="C145" t="str">
            <v>Ascensor Ingeser 5 paradas 450 kg</v>
          </cell>
          <cell r="D145" t="str">
            <v>U</v>
          </cell>
          <cell r="E145">
            <v>0</v>
          </cell>
          <cell r="F145">
            <v>0</v>
          </cell>
          <cell r="G145">
            <v>0</v>
          </cell>
        </row>
        <row r="146">
          <cell r="C146" t="str">
            <v>INSTALACION CONTRA INCENDIO</v>
          </cell>
          <cell r="H146">
            <v>0</v>
          </cell>
        </row>
        <row r="147">
          <cell r="C147" t="str">
            <v>Matafuego de 5 kg (Polvo Quimico) c/Gabinete</v>
          </cell>
          <cell r="D147" t="str">
            <v>U</v>
          </cell>
          <cell r="E147">
            <v>0</v>
          </cell>
          <cell r="F147">
            <v>0</v>
          </cell>
          <cell r="G147">
            <v>0</v>
          </cell>
        </row>
        <row r="148">
          <cell r="C148" t="str">
            <v>Boca de Impulsión</v>
          </cell>
          <cell r="D148" t="str">
            <v>U</v>
          </cell>
          <cell r="E148">
            <v>0</v>
          </cell>
          <cell r="F148">
            <v>0</v>
          </cell>
          <cell r="G148">
            <v>0</v>
          </cell>
        </row>
        <row r="149">
          <cell r="C149" t="str">
            <v>Instalación contra incendio cañería seca HG 64 mm</v>
          </cell>
          <cell r="D149" t="str">
            <v>ML</v>
          </cell>
          <cell r="E149">
            <v>0</v>
          </cell>
          <cell r="F149">
            <v>0</v>
          </cell>
          <cell r="G149">
            <v>0</v>
          </cell>
        </row>
        <row r="150">
          <cell r="C150" t="str">
            <v xml:space="preserve">Boca de Incendio </v>
          </cell>
          <cell r="D150" t="str">
            <v>U</v>
          </cell>
          <cell r="E150">
            <v>0</v>
          </cell>
          <cell r="F150">
            <v>0</v>
          </cell>
          <cell r="G150">
            <v>0</v>
          </cell>
        </row>
        <row r="151">
          <cell r="C151" t="str">
            <v>CONDUCTOS Y VENTILACIONES</v>
          </cell>
          <cell r="H151">
            <v>0</v>
          </cell>
        </row>
        <row r="152">
          <cell r="C152" t="str">
            <v>Conducto de ventilacion doble baño-cocina</v>
          </cell>
          <cell r="D152" t="str">
            <v>ML</v>
          </cell>
          <cell r="E152">
            <v>0</v>
          </cell>
          <cell r="F152">
            <v>0</v>
          </cell>
          <cell r="G152">
            <v>0</v>
          </cell>
        </row>
        <row r="153">
          <cell r="C153" t="str">
            <v>Conducto de ventilacion simple cocina</v>
          </cell>
          <cell r="D153" t="str">
            <v>ML</v>
          </cell>
          <cell r="E153">
            <v>0</v>
          </cell>
          <cell r="F153">
            <v>0</v>
          </cell>
          <cell r="G153">
            <v>0</v>
          </cell>
        </row>
        <row r="154">
          <cell r="C154" t="str">
            <v>Sombrerete de remate</v>
          </cell>
          <cell r="D154" t="str">
            <v>Nº</v>
          </cell>
          <cell r="E154">
            <v>0</v>
          </cell>
          <cell r="F154">
            <v>0</v>
          </cell>
          <cell r="G154">
            <v>0</v>
          </cell>
        </row>
        <row r="155">
          <cell r="C155" t="str">
            <v>Rejilla de ventilacion</v>
          </cell>
          <cell r="D155" t="str">
            <v>N°</v>
          </cell>
          <cell r="E155">
            <v>0</v>
          </cell>
          <cell r="F155">
            <v>0</v>
          </cell>
          <cell r="G155">
            <v>0</v>
          </cell>
        </row>
        <row r="156">
          <cell r="C156" t="str">
            <v>PINTURAS</v>
          </cell>
          <cell r="H156">
            <v>0</v>
          </cell>
        </row>
        <row r="157">
          <cell r="C157" t="str">
            <v>INTERIORES</v>
          </cell>
        </row>
        <row r="158">
          <cell r="C158" t="str">
            <v>Pint. Int. al latex en muros</v>
          </cell>
          <cell r="D158" t="str">
            <v>M2</v>
          </cell>
          <cell r="E158">
            <v>0</v>
          </cell>
          <cell r="F158">
            <v>0</v>
          </cell>
          <cell r="G158">
            <v>0</v>
          </cell>
        </row>
        <row r="159">
          <cell r="C159" t="str">
            <v>Pint. Int. al latex en cielorrasos</v>
          </cell>
          <cell r="D159" t="str">
            <v>M2</v>
          </cell>
          <cell r="E159">
            <v>0</v>
          </cell>
          <cell r="F159">
            <v>0</v>
          </cell>
          <cell r="G159">
            <v>0</v>
          </cell>
        </row>
        <row r="160">
          <cell r="C160" t="str">
            <v>EXTERIORES</v>
          </cell>
        </row>
        <row r="161">
          <cell r="C161" t="str">
            <v>Pint. Ext. Latex acrílico en cielorrasos 1m fij + 3 m latex</v>
          </cell>
          <cell r="D161" t="str">
            <v>M2</v>
          </cell>
          <cell r="E161">
            <v>0</v>
          </cell>
          <cell r="F161">
            <v>0</v>
          </cell>
          <cell r="G161">
            <v>0</v>
          </cell>
        </row>
        <row r="162">
          <cell r="C162" t="str">
            <v>Pint. s/carp.metalica 1 m ant.+ 2 esmalte</v>
          </cell>
          <cell r="D162" t="str">
            <v>M2</v>
          </cell>
          <cell r="E162">
            <v>0</v>
          </cell>
          <cell r="F162">
            <v>0</v>
          </cell>
          <cell r="G162">
            <v>0</v>
          </cell>
        </row>
        <row r="163">
          <cell r="C163" t="str">
            <v>VIDRIOS</v>
          </cell>
          <cell r="H163">
            <v>0</v>
          </cell>
        </row>
        <row r="164">
          <cell r="C164" t="str">
            <v>Vidrio Translucido esp. 3 mm</v>
          </cell>
          <cell r="D164" t="str">
            <v>M2</v>
          </cell>
          <cell r="E164">
            <v>0</v>
          </cell>
          <cell r="F164">
            <v>0</v>
          </cell>
          <cell r="G164">
            <v>0</v>
          </cell>
        </row>
        <row r="165">
          <cell r="C165" t="str">
            <v>Vidrio Translucido esp. 4 mm</v>
          </cell>
          <cell r="D165" t="str">
            <v>M2</v>
          </cell>
          <cell r="E165">
            <v>0</v>
          </cell>
          <cell r="F165">
            <v>0</v>
          </cell>
          <cell r="G165">
            <v>0</v>
          </cell>
        </row>
        <row r="166">
          <cell r="C166" t="str">
            <v>Policarbonato</v>
          </cell>
          <cell r="D166" t="str">
            <v>M2</v>
          </cell>
          <cell r="E166">
            <v>0</v>
          </cell>
          <cell r="F166">
            <v>0</v>
          </cell>
          <cell r="G166">
            <v>0</v>
          </cell>
        </row>
        <row r="167">
          <cell r="C167" t="str">
            <v>VARIOS</v>
          </cell>
          <cell r="H167">
            <v>0</v>
          </cell>
        </row>
        <row r="168">
          <cell r="C168" t="str">
            <v>Mesada de granito gris mara esp 2 cm</v>
          </cell>
          <cell r="D168" t="str">
            <v>M2</v>
          </cell>
          <cell r="E168">
            <v>0</v>
          </cell>
          <cell r="F168">
            <v>0</v>
          </cell>
          <cell r="G168">
            <v>0</v>
          </cell>
        </row>
        <row r="169">
          <cell r="C169" t="str">
            <v>Banco de Hormigon</v>
          </cell>
          <cell r="D169" t="str">
            <v>M3</v>
          </cell>
          <cell r="E169">
            <v>0</v>
          </cell>
          <cell r="F169">
            <v>0</v>
          </cell>
          <cell r="G169">
            <v>0</v>
          </cell>
        </row>
        <row r="170">
          <cell r="C170" t="str">
            <v>Buzon reglamentario</v>
          </cell>
          <cell r="D170" t="str">
            <v>U</v>
          </cell>
          <cell r="E170">
            <v>0</v>
          </cell>
          <cell r="F170">
            <v>0</v>
          </cell>
          <cell r="G170">
            <v>0</v>
          </cell>
        </row>
        <row r="171">
          <cell r="C171" t="str">
            <v>Indicador de número domiciliario oficial</v>
          </cell>
          <cell r="D171" t="str">
            <v>U</v>
          </cell>
          <cell r="E171">
            <v>0</v>
          </cell>
          <cell r="F171">
            <v>0</v>
          </cell>
          <cell r="G171">
            <v>0</v>
          </cell>
        </row>
        <row r="172">
          <cell r="C172" t="str">
            <v xml:space="preserve">Planos, Derechos y Gravamenes </v>
          </cell>
          <cell r="D172" t="str">
            <v>U</v>
          </cell>
          <cell r="E172">
            <v>0</v>
          </cell>
          <cell r="F172">
            <v>0</v>
          </cell>
          <cell r="G172">
            <v>0</v>
          </cell>
        </row>
        <row r="173">
          <cell r="C173" t="str">
            <v>Limpieza periodica y final de obra</v>
          </cell>
          <cell r="D173" t="str">
            <v>M2</v>
          </cell>
          <cell r="E173">
            <v>0</v>
          </cell>
          <cell r="F173">
            <v>0</v>
          </cell>
          <cell r="G173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BROS"/>
      <sheetName val="SUBRUBROS"/>
      <sheetName val="Insumos"/>
      <sheetName val="Items"/>
      <sheetName val="Analisis Nuevo"/>
      <sheetName val="Analisis Vista"/>
      <sheetName val="AnalisisUsados"/>
      <sheetName val="ListaCambios"/>
      <sheetName val="SISTEMA"/>
      <sheetName val="Componentes"/>
      <sheetName val="Panel"/>
      <sheetName val="Analisis"/>
      <sheetName val="Presupuesto"/>
      <sheetName val="Explosion"/>
      <sheetName val="Copete"/>
      <sheetName val="Lista"/>
      <sheetName val="ListaUsados"/>
      <sheetName val="Ver Analisis"/>
      <sheetName val="Formulas"/>
      <sheetName val="Constantes"/>
      <sheetName val="Mano de Obra"/>
      <sheetName val="MEMO"/>
      <sheetName val="PATRONES"/>
      <sheetName val="GRUPOS"/>
      <sheetName val="Secciones"/>
      <sheetName val="Divis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ías Castarataro" id="{F6F9EF7D-5FE4-47A2-9826-4EBA5E05C3EF}" userId="S::matias.castarataro@arquinering.com::f13938ae-405c-413a-8a11-5bb41d9db49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43" dT="2024-08-21T17:55:21.52" personId="{F6F9EF7D-5FE4-47A2-9826-4EBA5E05C3EF}" id="{5C912E93-383F-41E9-A8CE-7C7DD4F44698}">
    <text xml:space="preserve">Divido x 1,5 ya que reutilizo dicho material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refsuministros.mercadoshops.com.ar/MLA-1315412695-rejilla-de-ventilacion-60x25-fija-retorno-extraccion-_JM?gad_source=1&amp;gclid=CjwKCAjwuMC2BhA7EiwAmJKRrBsF7v-jNZTqJpTBzXJ5xCG9oqcQTWkgAttZaEZuAUMNY4ZB49ecMBoCDdgQAvD_Bw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0FB9-E396-4351-B348-D625193E8F20}">
  <sheetPr>
    <tabColor rgb="FF92D050"/>
  </sheetPr>
  <dimension ref="A1:L426"/>
  <sheetViews>
    <sheetView topLeftCell="A2" workbookViewId="0">
      <selection activeCell="D10" sqref="D10:D16"/>
    </sheetView>
  </sheetViews>
  <sheetFormatPr defaultColWidth="11.54296875" defaultRowHeight="13" outlineLevelRow="2"/>
  <cols>
    <col min="1" max="1" width="3.1796875" style="241" customWidth="1"/>
    <col min="2" max="2" width="63" style="241" customWidth="1"/>
    <col min="3" max="3" width="7.7265625" style="301" bestFit="1" customWidth="1"/>
    <col min="4" max="4" width="13.453125" style="1" bestFit="1" customWidth="1"/>
    <col min="5" max="5" width="18.54296875" style="301" customWidth="1"/>
    <col min="6" max="6" width="10.54296875" style="241" bestFit="1" customWidth="1"/>
    <col min="7" max="7" width="17.1796875" style="241" customWidth="1"/>
    <col min="8" max="8" width="12.453125" style="241" customWidth="1"/>
    <col min="9" max="9" width="10.26953125" style="241" bestFit="1" customWidth="1"/>
    <col min="10" max="10" width="11" style="241" bestFit="1" customWidth="1"/>
    <col min="11" max="11" width="10" style="241" bestFit="1" customWidth="1"/>
    <col min="12" max="15" width="102.1796875" style="241" customWidth="1"/>
    <col min="16" max="16384" width="11.54296875" style="241"/>
  </cols>
  <sheetData>
    <row r="1" spans="2:9">
      <c r="I1" s="302">
        <f>+GGBB!H2</f>
        <v>45846</v>
      </c>
    </row>
    <row r="2" spans="2:9">
      <c r="B2" s="594" t="s">
        <v>653</v>
      </c>
      <c r="C2" s="595" t="s">
        <v>523</v>
      </c>
      <c r="D2" s="442" t="s">
        <v>654</v>
      </c>
      <c r="E2" s="595" t="s">
        <v>655</v>
      </c>
      <c r="F2" s="768" t="s">
        <v>24</v>
      </c>
      <c r="H2" s="301" t="s">
        <v>30</v>
      </c>
      <c r="I2" s="301" t="s">
        <v>1</v>
      </c>
    </row>
    <row r="3" spans="2:9">
      <c r="B3" s="594" t="s">
        <v>656</v>
      </c>
      <c r="C3" s="595"/>
      <c r="D3" s="396"/>
      <c r="E3" s="595"/>
      <c r="F3" s="601"/>
      <c r="H3" s="769">
        <f>+GGBB!G4</f>
        <v>1280</v>
      </c>
      <c r="I3" s="769">
        <f>+GGBB!H4</f>
        <v>1276</v>
      </c>
    </row>
    <row r="4" spans="2:9" outlineLevel="1">
      <c r="B4" s="435" t="s">
        <v>657</v>
      </c>
      <c r="C4" s="436" t="s">
        <v>4</v>
      </c>
      <c r="D4" s="760">
        <f>13142.74/1.21</f>
        <v>10861.768595041323</v>
      </c>
      <c r="E4" s="436" t="s">
        <v>658</v>
      </c>
      <c r="F4" s="597">
        <v>45785</v>
      </c>
    </row>
    <row r="5" spans="2:9" outlineLevel="1">
      <c r="B5" s="111" t="s">
        <v>659</v>
      </c>
      <c r="C5" s="113" t="s">
        <v>660</v>
      </c>
      <c r="D5" s="758">
        <f>328085.32/1.21</f>
        <v>271144.89256198349</v>
      </c>
      <c r="E5" s="113" t="s">
        <v>658</v>
      </c>
      <c r="F5" s="598">
        <v>45785</v>
      </c>
    </row>
    <row r="6" spans="2:9" outlineLevel="1">
      <c r="B6" s="111" t="s">
        <v>661</v>
      </c>
      <c r="C6" s="113" t="s">
        <v>660</v>
      </c>
      <c r="D6" s="758">
        <f>28463.74/1.21</f>
        <v>23523.752066115703</v>
      </c>
      <c r="E6" s="113" t="s">
        <v>658</v>
      </c>
      <c r="F6" s="598">
        <v>45785</v>
      </c>
    </row>
    <row r="7" spans="2:9" outlineLevel="1">
      <c r="B7" s="111" t="s">
        <v>207</v>
      </c>
      <c r="C7" s="113" t="s">
        <v>660</v>
      </c>
      <c r="D7" s="758">
        <f>103323.57/1.21</f>
        <v>85391.380165289258</v>
      </c>
      <c r="E7" s="113" t="s">
        <v>658</v>
      </c>
      <c r="F7" s="598">
        <v>45785</v>
      </c>
    </row>
    <row r="8" spans="2:9" outlineLevel="1">
      <c r="B8" s="111" t="s">
        <v>208</v>
      </c>
      <c r="C8" s="113" t="s">
        <v>72</v>
      </c>
      <c r="D8" s="758">
        <f>13957.04/1.21</f>
        <v>11534.743801652894</v>
      </c>
      <c r="E8" s="113" t="s">
        <v>658</v>
      </c>
      <c r="F8" s="598">
        <v>45785</v>
      </c>
    </row>
    <row r="9" spans="2:9" outlineLevel="1">
      <c r="B9" s="111" t="s">
        <v>276</v>
      </c>
      <c r="C9" s="113" t="s">
        <v>72</v>
      </c>
      <c r="D9" s="758">
        <f>57320.11/1.21</f>
        <v>47371.991735537194</v>
      </c>
      <c r="E9" s="113" t="s">
        <v>658</v>
      </c>
      <c r="F9" s="598">
        <v>45785</v>
      </c>
    </row>
    <row r="10" spans="2:9" outlineLevel="1">
      <c r="B10" s="619" t="s">
        <v>662</v>
      </c>
      <c r="C10" s="113" t="s">
        <v>72</v>
      </c>
      <c r="D10" s="758">
        <f>20659.53/1.21</f>
        <v>17073.991735537191</v>
      </c>
      <c r="E10" s="113" t="s">
        <v>658</v>
      </c>
      <c r="F10" s="598">
        <v>45785</v>
      </c>
    </row>
    <row r="11" spans="2:9" outlineLevel="1">
      <c r="B11" s="619" t="s">
        <v>663</v>
      </c>
      <c r="C11" s="113" t="s">
        <v>72</v>
      </c>
      <c r="D11" s="758">
        <f>25162.26/1.21</f>
        <v>20795.256198347106</v>
      </c>
      <c r="E11" s="113" t="s">
        <v>658</v>
      </c>
      <c r="F11" s="598">
        <v>45785</v>
      </c>
    </row>
    <row r="12" spans="2:9" outlineLevel="1">
      <c r="B12" s="619" t="s">
        <v>664</v>
      </c>
      <c r="C12" s="113" t="s">
        <v>72</v>
      </c>
      <c r="D12" s="758">
        <f>24100.79/1.21</f>
        <v>19918.008264462813</v>
      </c>
      <c r="E12" s="113" t="s">
        <v>658</v>
      </c>
      <c r="F12" s="598">
        <v>45785</v>
      </c>
    </row>
    <row r="13" spans="2:9" outlineLevel="1">
      <c r="B13" s="619" t="s">
        <v>665</v>
      </c>
      <c r="C13" s="113" t="s">
        <v>72</v>
      </c>
      <c r="D13" s="758">
        <f>29391.17/1.21</f>
        <v>24290.223140495866</v>
      </c>
      <c r="E13" s="113" t="s">
        <v>658</v>
      </c>
      <c r="F13" s="598">
        <v>45785</v>
      </c>
    </row>
    <row r="14" spans="2:9" outlineLevel="1">
      <c r="B14" s="619" t="s">
        <v>666</v>
      </c>
      <c r="C14" s="113" t="s">
        <v>72</v>
      </c>
      <c r="D14" s="758">
        <f>41709.52/1.21</f>
        <v>34470.67768595041</v>
      </c>
      <c r="E14" s="113" t="s">
        <v>658</v>
      </c>
      <c r="F14" s="598">
        <v>45785</v>
      </c>
    </row>
    <row r="15" spans="2:9" outlineLevel="1">
      <c r="B15" s="619" t="s">
        <v>667</v>
      </c>
      <c r="C15" s="113" t="s">
        <v>72</v>
      </c>
      <c r="D15" s="758">
        <f>46496.8/1.21</f>
        <v>38427.10743801653</v>
      </c>
      <c r="E15" s="113" t="s">
        <v>658</v>
      </c>
      <c r="F15" s="598">
        <v>45785</v>
      </c>
      <c r="H15" s="1">
        <f>+D15/D13</f>
        <v>1.5819989473028806</v>
      </c>
    </row>
    <row r="16" spans="2:9" outlineLevel="1">
      <c r="B16" s="619" t="s">
        <v>274</v>
      </c>
      <c r="C16" s="113" t="s">
        <v>72</v>
      </c>
      <c r="D16" s="758">
        <f>12473.83/1.21</f>
        <v>10308.950413223141</v>
      </c>
      <c r="E16" s="113" t="s">
        <v>658</v>
      </c>
      <c r="F16" s="598">
        <v>45785</v>
      </c>
    </row>
    <row r="17" spans="2:11" outlineLevel="1">
      <c r="B17" s="619" t="s">
        <v>2349</v>
      </c>
      <c r="C17" s="113" t="s">
        <v>532</v>
      </c>
      <c r="D17" s="758">
        <f>5615/1.21</f>
        <v>4640.4958677685954</v>
      </c>
      <c r="E17" s="113" t="s">
        <v>2348</v>
      </c>
      <c r="F17" s="598">
        <v>45846</v>
      </c>
    </row>
    <row r="18" spans="2:11" outlineLevel="1">
      <c r="B18" s="619" t="s">
        <v>2236</v>
      </c>
      <c r="C18" s="113" t="s">
        <v>72</v>
      </c>
      <c r="D18" s="758">
        <f>29859.05/1.21</f>
        <v>24676.900826446283</v>
      </c>
      <c r="E18" s="113" t="s">
        <v>2237</v>
      </c>
      <c r="F18" s="598">
        <v>45845</v>
      </c>
    </row>
    <row r="19" spans="2:11" outlineLevel="1">
      <c r="B19" s="620" t="s">
        <v>2235</v>
      </c>
      <c r="C19" s="599" t="s">
        <v>532</v>
      </c>
      <c r="D19" s="759">
        <v>21485.39</v>
      </c>
      <c r="E19" s="599" t="s">
        <v>658</v>
      </c>
      <c r="F19" s="600">
        <v>45845</v>
      </c>
    </row>
    <row r="20" spans="2:11">
      <c r="B20" s="594" t="s">
        <v>668</v>
      </c>
      <c r="C20" s="595"/>
      <c r="D20" s="396"/>
      <c r="E20" s="595"/>
      <c r="F20" s="601"/>
    </row>
    <row r="21" spans="2:11" outlineLevel="1">
      <c r="B21" s="223" t="s">
        <v>669</v>
      </c>
      <c r="C21" s="602" t="s">
        <v>670</v>
      </c>
      <c r="D21" s="760">
        <v>26393.8</v>
      </c>
      <c r="E21" s="113" t="s">
        <v>671</v>
      </c>
      <c r="F21" s="598">
        <v>45782</v>
      </c>
    </row>
    <row r="22" spans="2:11" outlineLevel="1">
      <c r="B22" s="645" t="s">
        <v>672</v>
      </c>
      <c r="C22" s="756" t="s">
        <v>670</v>
      </c>
      <c r="D22" s="903">
        <f>61746/1.21</f>
        <v>51029.752066115703</v>
      </c>
      <c r="E22" s="113" t="s">
        <v>1746</v>
      </c>
      <c r="F22" s="598">
        <v>45785</v>
      </c>
    </row>
    <row r="23" spans="2:11" outlineLevel="1">
      <c r="B23" s="111" t="s">
        <v>296</v>
      </c>
      <c r="C23" s="113" t="s">
        <v>72</v>
      </c>
      <c r="D23" s="758">
        <f>133124.28/60</f>
        <v>2218.7379999999998</v>
      </c>
      <c r="E23" s="113" t="s">
        <v>671</v>
      </c>
      <c r="F23" s="598">
        <v>45782</v>
      </c>
      <c r="K23" s="1"/>
    </row>
    <row r="24" spans="2:11" outlineLevel="1">
      <c r="B24" s="517" t="s">
        <v>297</v>
      </c>
      <c r="C24" s="599" t="s">
        <v>72</v>
      </c>
      <c r="D24" s="759">
        <f>149764.94/30</f>
        <v>4992.1646666666666</v>
      </c>
      <c r="E24" s="113" t="s">
        <v>671</v>
      </c>
      <c r="F24" s="598">
        <v>45782</v>
      </c>
    </row>
    <row r="25" spans="2:11">
      <c r="B25" s="594" t="s">
        <v>673</v>
      </c>
      <c r="C25" s="595"/>
      <c r="D25" s="396"/>
      <c r="E25" s="595"/>
      <c r="F25" s="596"/>
    </row>
    <row r="26" spans="2:11" outlineLevel="1">
      <c r="B26" s="435" t="s">
        <v>1745</v>
      </c>
      <c r="C26" s="436" t="s">
        <v>66</v>
      </c>
      <c r="D26" s="1247">
        <v>148900</v>
      </c>
      <c r="E26" s="436" t="s">
        <v>675</v>
      </c>
      <c r="F26" s="597">
        <v>45785</v>
      </c>
    </row>
    <row r="27" spans="2:11" outlineLevel="2">
      <c r="B27" s="111" t="s">
        <v>277</v>
      </c>
      <c r="C27" s="113" t="s">
        <v>66</v>
      </c>
      <c r="D27" s="758">
        <v>125000</v>
      </c>
      <c r="E27" s="113" t="s">
        <v>675</v>
      </c>
      <c r="F27" s="598">
        <v>45832</v>
      </c>
    </row>
    <row r="28" spans="2:11" outlineLevel="2">
      <c r="B28" s="111" t="s">
        <v>674</v>
      </c>
      <c r="C28" s="113" t="s">
        <v>66</v>
      </c>
      <c r="D28" s="1248">
        <v>115100</v>
      </c>
      <c r="E28" s="113" t="s">
        <v>675</v>
      </c>
      <c r="F28" s="598">
        <v>45785</v>
      </c>
    </row>
    <row r="29" spans="2:11" outlineLevel="2">
      <c r="B29" s="111" t="s">
        <v>278</v>
      </c>
      <c r="C29" s="113" t="s">
        <v>54</v>
      </c>
      <c r="D29" s="758">
        <v>533000</v>
      </c>
      <c r="E29" s="113" t="s">
        <v>675</v>
      </c>
      <c r="F29" s="598">
        <v>45832</v>
      </c>
    </row>
    <row r="30" spans="2:11" outlineLevel="2">
      <c r="B30" s="111" t="s">
        <v>262</v>
      </c>
      <c r="C30" s="113" t="s">
        <v>66</v>
      </c>
      <c r="D30" s="758">
        <v>5330</v>
      </c>
      <c r="E30" s="113" t="s">
        <v>675</v>
      </c>
      <c r="F30" s="598">
        <v>45832</v>
      </c>
    </row>
    <row r="31" spans="2:11" outlineLevel="2">
      <c r="B31" s="111" t="s">
        <v>676</v>
      </c>
      <c r="C31" s="113" t="s">
        <v>66</v>
      </c>
      <c r="D31" s="758">
        <v>1500</v>
      </c>
      <c r="E31" s="113" t="s">
        <v>675</v>
      </c>
      <c r="F31" s="598">
        <v>45832</v>
      </c>
    </row>
    <row r="32" spans="2:11" outlineLevel="2">
      <c r="B32" s="517" t="s">
        <v>677</v>
      </c>
      <c r="C32" s="599"/>
      <c r="D32" s="971"/>
      <c r="E32" s="599"/>
      <c r="F32" s="600"/>
      <c r="H32" s="301"/>
      <c r="I32" s="301"/>
    </row>
    <row r="33" spans="2:11">
      <c r="B33" s="594" t="s">
        <v>678</v>
      </c>
      <c r="C33" s="595"/>
      <c r="D33" s="396"/>
      <c r="E33" s="595"/>
      <c r="F33" s="596"/>
      <c r="H33" s="301"/>
      <c r="I33" s="301"/>
    </row>
    <row r="34" spans="2:11" outlineLevel="1">
      <c r="B34" s="435" t="s">
        <v>679</v>
      </c>
      <c r="C34" s="436" t="s">
        <v>153</v>
      </c>
      <c r="D34" s="757">
        <v>1769.41</v>
      </c>
      <c r="E34" s="436" t="s">
        <v>680</v>
      </c>
      <c r="F34" s="597">
        <v>45800</v>
      </c>
      <c r="H34" s="771">
        <f>+D34/D41</f>
        <v>1.3216486528880558</v>
      </c>
      <c r="I34" s="301"/>
    </row>
    <row r="35" spans="2:11" outlineLevel="1">
      <c r="B35" s="111" t="s">
        <v>681</v>
      </c>
      <c r="C35" s="113" t="s">
        <v>153</v>
      </c>
      <c r="D35" s="758">
        <v>1641.01</v>
      </c>
      <c r="E35" s="113" t="s">
        <v>680</v>
      </c>
      <c r="F35" s="598">
        <v>45800</v>
      </c>
      <c r="H35" s="771">
        <f t="shared" ref="H35:H40" si="0">+D35/D42</f>
        <v>1.2605796633865678</v>
      </c>
      <c r="I35" s="301"/>
    </row>
    <row r="36" spans="2:11" outlineLevel="1">
      <c r="B36" s="111" t="s">
        <v>682</v>
      </c>
      <c r="C36" s="113" t="s">
        <v>153</v>
      </c>
      <c r="D36" s="758">
        <v>1610.19</v>
      </c>
      <c r="E36" s="113" t="s">
        <v>680</v>
      </c>
      <c r="F36" s="598">
        <v>45800</v>
      </c>
      <c r="H36" s="771">
        <f t="shared" si="0"/>
        <v>1.2369045698614984</v>
      </c>
      <c r="I36" s="301"/>
    </row>
    <row r="37" spans="2:11" outlineLevel="1">
      <c r="B37" s="111" t="s">
        <v>683</v>
      </c>
      <c r="C37" s="113" t="s">
        <v>153</v>
      </c>
      <c r="D37" s="758">
        <v>1569.1</v>
      </c>
      <c r="E37" s="113" t="s">
        <v>680</v>
      </c>
      <c r="F37" s="598">
        <v>45800</v>
      </c>
      <c r="H37" s="771">
        <f t="shared" si="0"/>
        <v>1.2136752136752136</v>
      </c>
      <c r="I37" s="301"/>
    </row>
    <row r="38" spans="2:11" outlineLevel="1">
      <c r="B38" s="111" t="s">
        <v>684</v>
      </c>
      <c r="C38" s="113" t="s">
        <v>153</v>
      </c>
      <c r="D38" s="758">
        <v>1537</v>
      </c>
      <c r="E38" s="113" t="s">
        <v>680</v>
      </c>
      <c r="F38" s="598">
        <v>45800</v>
      </c>
      <c r="H38" s="771">
        <f t="shared" si="0"/>
        <v>1.2036870257105041</v>
      </c>
      <c r="I38" s="301"/>
    </row>
    <row r="39" spans="2:11" outlineLevel="1">
      <c r="B39" s="111" t="s">
        <v>685</v>
      </c>
      <c r="C39" s="113" t="s">
        <v>153</v>
      </c>
      <c r="D39" s="758">
        <v>1526.73</v>
      </c>
      <c r="E39" s="113" t="s">
        <v>680</v>
      </c>
      <c r="F39" s="598">
        <v>45800</v>
      </c>
      <c r="H39" s="771">
        <f t="shared" si="0"/>
        <v>1.1956441722595954</v>
      </c>
      <c r="I39" s="301"/>
    </row>
    <row r="40" spans="2:11" outlineLevel="1">
      <c r="B40" s="517" t="s">
        <v>686</v>
      </c>
      <c r="C40" s="599" t="s">
        <v>153</v>
      </c>
      <c r="D40" s="759">
        <v>1526.73</v>
      </c>
      <c r="E40" s="599" t="s">
        <v>680</v>
      </c>
      <c r="F40" s="598">
        <v>45800</v>
      </c>
      <c r="H40" s="771">
        <f t="shared" si="0"/>
        <v>1.1956441722595954</v>
      </c>
      <c r="I40" s="301"/>
    </row>
    <row r="41" spans="2:11" outlineLevel="1">
      <c r="B41" s="435" t="s">
        <v>679</v>
      </c>
      <c r="C41" s="436" t="s">
        <v>153</v>
      </c>
      <c r="D41" s="757">
        <v>1338.79</v>
      </c>
      <c r="E41" s="436" t="s">
        <v>692</v>
      </c>
      <c r="F41" s="597">
        <v>45825</v>
      </c>
    </row>
    <row r="42" spans="2:11" outlineLevel="1">
      <c r="B42" s="111" t="s">
        <v>681</v>
      </c>
      <c r="C42" s="113" t="s">
        <v>153</v>
      </c>
      <c r="D42" s="758">
        <v>1301.79</v>
      </c>
      <c r="E42" s="113" t="s">
        <v>692</v>
      </c>
      <c r="F42" s="598">
        <v>45825</v>
      </c>
    </row>
    <row r="43" spans="2:11" outlineLevel="1">
      <c r="B43" s="111" t="s">
        <v>682</v>
      </c>
      <c r="C43" s="113" t="s">
        <v>153</v>
      </c>
      <c r="D43" s="758">
        <v>1301.79</v>
      </c>
      <c r="E43" s="113" t="s">
        <v>692</v>
      </c>
      <c r="F43" s="598">
        <v>45825</v>
      </c>
    </row>
    <row r="44" spans="2:11" outlineLevel="1">
      <c r="B44" s="111" t="s">
        <v>683</v>
      </c>
      <c r="C44" s="113" t="s">
        <v>153</v>
      </c>
      <c r="D44" s="758">
        <v>1292.8499999999999</v>
      </c>
      <c r="E44" s="113" t="s">
        <v>692</v>
      </c>
      <c r="F44" s="598">
        <v>45825</v>
      </c>
    </row>
    <row r="45" spans="2:11" outlineLevel="1">
      <c r="B45" s="111" t="s">
        <v>684</v>
      </c>
      <c r="C45" s="113" t="s">
        <v>153</v>
      </c>
      <c r="D45" s="758">
        <v>1276.9100000000001</v>
      </c>
      <c r="E45" s="113" t="s">
        <v>692</v>
      </c>
      <c r="F45" s="598">
        <v>45825</v>
      </c>
    </row>
    <row r="46" spans="2:11" outlineLevel="1">
      <c r="B46" s="111" t="s">
        <v>685</v>
      </c>
      <c r="C46" s="113" t="s">
        <v>153</v>
      </c>
      <c r="D46" s="758">
        <v>1276.9100000000001</v>
      </c>
      <c r="E46" s="113" t="s">
        <v>692</v>
      </c>
      <c r="F46" s="598">
        <v>45825</v>
      </c>
    </row>
    <row r="47" spans="2:11" outlineLevel="1">
      <c r="B47" s="517" t="s">
        <v>686</v>
      </c>
      <c r="C47" s="599" t="s">
        <v>153</v>
      </c>
      <c r="D47" s="759">
        <v>1276.9100000000001</v>
      </c>
      <c r="E47" s="599" t="s">
        <v>692</v>
      </c>
      <c r="F47" s="600">
        <v>45825</v>
      </c>
    </row>
    <row r="48" spans="2:11">
      <c r="B48" s="594" t="s">
        <v>687</v>
      </c>
      <c r="C48" s="595"/>
      <c r="D48" s="396"/>
      <c r="E48" s="595"/>
      <c r="F48" s="596"/>
      <c r="K48" s="301"/>
    </row>
    <row r="49" spans="2:11" outlineLevel="1">
      <c r="B49" s="435" t="s">
        <v>688</v>
      </c>
      <c r="C49" s="436" t="s">
        <v>72</v>
      </c>
      <c r="D49" s="757">
        <v>80000</v>
      </c>
      <c r="E49" s="436" t="s">
        <v>689</v>
      </c>
      <c r="F49" s="597">
        <v>45845</v>
      </c>
      <c r="G49" s="1"/>
      <c r="H49" s="302"/>
      <c r="J49" s="770"/>
      <c r="K49" s="103"/>
    </row>
    <row r="50" spans="2:11" outlineLevel="1">
      <c r="B50" s="517" t="s">
        <v>690</v>
      </c>
      <c r="C50" s="599" t="s">
        <v>72</v>
      </c>
      <c r="D50" s="758">
        <v>20000</v>
      </c>
      <c r="E50" s="599" t="s">
        <v>689</v>
      </c>
      <c r="F50" s="600">
        <v>45845</v>
      </c>
      <c r="G50" s="1"/>
      <c r="H50" s="302"/>
      <c r="J50" s="770"/>
      <c r="K50" s="103"/>
    </row>
    <row r="51" spans="2:11">
      <c r="B51" s="594" t="s">
        <v>194</v>
      </c>
      <c r="C51" s="595"/>
      <c r="D51" s="396"/>
      <c r="E51" s="595"/>
      <c r="F51" s="596"/>
      <c r="J51" s="242"/>
      <c r="K51" s="105"/>
    </row>
    <row r="52" spans="2:11" outlineLevel="1">
      <c r="B52" s="435" t="s">
        <v>691</v>
      </c>
      <c r="C52" s="436" t="s">
        <v>72</v>
      </c>
      <c r="D52" s="757">
        <v>3538.08</v>
      </c>
      <c r="E52" s="436" t="s">
        <v>692</v>
      </c>
      <c r="F52" s="598">
        <v>45786</v>
      </c>
      <c r="G52" s="1"/>
    </row>
    <row r="53" spans="2:11" outlineLevel="1">
      <c r="B53" s="111" t="s">
        <v>267</v>
      </c>
      <c r="C53" s="113" t="s">
        <v>211</v>
      </c>
      <c r="D53" s="758">
        <v>42850.080000000002</v>
      </c>
      <c r="E53" s="113" t="s">
        <v>692</v>
      </c>
      <c r="F53" s="598">
        <v>45786</v>
      </c>
      <c r="J53" s="1"/>
      <c r="K53" s="613"/>
    </row>
    <row r="54" spans="2:11" outlineLevel="1">
      <c r="B54" s="111" t="s">
        <v>693</v>
      </c>
      <c r="C54" s="113" t="s">
        <v>72</v>
      </c>
      <c r="D54" s="903">
        <f>8900/1.21/10</f>
        <v>735.53719008264466</v>
      </c>
      <c r="E54" s="113" t="s">
        <v>524</v>
      </c>
      <c r="F54" s="598">
        <v>45811</v>
      </c>
    </row>
    <row r="55" spans="2:11" outlineLevel="1">
      <c r="B55" s="111" t="s">
        <v>694</v>
      </c>
      <c r="C55" s="113" t="s">
        <v>266</v>
      </c>
      <c r="D55" s="758">
        <v>7524.72</v>
      </c>
      <c r="E55" s="113" t="s">
        <v>692</v>
      </c>
      <c r="F55" s="598">
        <v>45786</v>
      </c>
    </row>
    <row r="56" spans="2:11" outlineLevel="1">
      <c r="B56" s="111" t="s">
        <v>1747</v>
      </c>
      <c r="C56" s="113" t="s">
        <v>72</v>
      </c>
      <c r="D56" s="758">
        <v>1566</v>
      </c>
      <c r="E56" s="113" t="s">
        <v>692</v>
      </c>
      <c r="F56" s="598">
        <v>45786</v>
      </c>
    </row>
    <row r="57" spans="2:11" outlineLevel="1">
      <c r="B57" s="111" t="s">
        <v>695</v>
      </c>
      <c r="C57" s="113" t="s">
        <v>271</v>
      </c>
      <c r="D57" s="758">
        <v>152600</v>
      </c>
      <c r="E57" s="113" t="s">
        <v>696</v>
      </c>
      <c r="F57" s="598">
        <v>45811</v>
      </c>
      <c r="H57" s="241" t="s">
        <v>697</v>
      </c>
    </row>
    <row r="58" spans="2:11" outlineLevel="1">
      <c r="B58" s="111" t="s">
        <v>698</v>
      </c>
      <c r="C58" s="113" t="s">
        <v>56</v>
      </c>
      <c r="D58" s="758">
        <v>2212.06</v>
      </c>
      <c r="E58" s="113" t="s">
        <v>692</v>
      </c>
      <c r="F58" s="598">
        <v>45786</v>
      </c>
    </row>
    <row r="59" spans="2:11" outlineLevel="1">
      <c r="B59" s="621" t="s">
        <v>699</v>
      </c>
      <c r="C59" s="113" t="s">
        <v>56</v>
      </c>
      <c r="D59" s="758">
        <v>10716.59</v>
      </c>
      <c r="E59" s="113" t="s">
        <v>692</v>
      </c>
      <c r="F59" s="598">
        <v>45786</v>
      </c>
    </row>
    <row r="60" spans="2:11" outlineLevel="1">
      <c r="B60" s="111" t="s">
        <v>700</v>
      </c>
      <c r="C60" s="113" t="s">
        <v>211</v>
      </c>
      <c r="D60" s="758">
        <v>27000</v>
      </c>
      <c r="E60" s="113" t="s">
        <v>692</v>
      </c>
      <c r="F60" s="598">
        <v>45786</v>
      </c>
    </row>
    <row r="61" spans="2:11" outlineLevel="1">
      <c r="B61" s="111" t="s">
        <v>701</v>
      </c>
      <c r="C61" s="113" t="s">
        <v>211</v>
      </c>
      <c r="D61" s="758">
        <v>57227.91</v>
      </c>
      <c r="E61" s="113" t="s">
        <v>692</v>
      </c>
      <c r="F61" s="598">
        <v>45786</v>
      </c>
    </row>
    <row r="62" spans="2:11" outlineLevel="1">
      <c r="B62" s="111" t="s">
        <v>702</v>
      </c>
      <c r="C62" s="113" t="s">
        <v>266</v>
      </c>
      <c r="D62" s="758">
        <v>57141</v>
      </c>
      <c r="E62" s="113" t="s">
        <v>692</v>
      </c>
      <c r="F62" s="598">
        <v>45786</v>
      </c>
    </row>
    <row r="63" spans="2:11" outlineLevel="1">
      <c r="B63" s="111" t="s">
        <v>279</v>
      </c>
      <c r="C63" s="113" t="s">
        <v>72</v>
      </c>
      <c r="D63" s="758">
        <v>74988.34</v>
      </c>
      <c r="E63" s="113" t="s">
        <v>692</v>
      </c>
      <c r="F63" s="598">
        <v>45786</v>
      </c>
    </row>
    <row r="64" spans="2:11" outlineLevel="1">
      <c r="B64" s="111" t="s">
        <v>293</v>
      </c>
      <c r="C64" s="113" t="s">
        <v>266</v>
      </c>
      <c r="D64" s="758">
        <v>18900</v>
      </c>
      <c r="E64" s="113" t="s">
        <v>692</v>
      </c>
      <c r="F64" s="598">
        <v>45786</v>
      </c>
    </row>
    <row r="65" spans="2:12" outlineLevel="1">
      <c r="B65" s="111" t="s">
        <v>703</v>
      </c>
      <c r="C65" s="113" t="s">
        <v>266</v>
      </c>
      <c r="D65" s="758">
        <v>7809.92</v>
      </c>
      <c r="E65" s="113" t="s">
        <v>692</v>
      </c>
      <c r="F65" s="598">
        <v>45786</v>
      </c>
    </row>
    <row r="66" spans="2:12" outlineLevel="1">
      <c r="B66" s="111" t="s">
        <v>1837</v>
      </c>
      <c r="C66" s="113" t="s">
        <v>266</v>
      </c>
      <c r="D66" s="758">
        <f>3897.52</f>
        <v>3897.52</v>
      </c>
      <c r="E66" s="113" t="s">
        <v>692</v>
      </c>
      <c r="F66" s="598">
        <v>45786</v>
      </c>
    </row>
    <row r="67" spans="2:12" outlineLevel="1">
      <c r="B67" s="111" t="s">
        <v>1468</v>
      </c>
      <c r="C67" s="113" t="s">
        <v>266</v>
      </c>
      <c r="D67" s="903">
        <f>23489/1.21</f>
        <v>19412.396694214876</v>
      </c>
      <c r="E67" s="113" t="s">
        <v>524</v>
      </c>
      <c r="F67" s="598">
        <v>45785</v>
      </c>
    </row>
    <row r="68" spans="2:12" outlineLevel="1">
      <c r="B68" s="111" t="s">
        <v>1469</v>
      </c>
      <c r="C68" s="599" t="s">
        <v>266</v>
      </c>
      <c r="D68" s="759">
        <v>7081.2</v>
      </c>
      <c r="E68" s="599" t="s">
        <v>692</v>
      </c>
      <c r="F68" s="598">
        <v>45771</v>
      </c>
    </row>
    <row r="69" spans="2:12">
      <c r="B69" s="594" t="s">
        <v>704</v>
      </c>
      <c r="C69" s="595"/>
      <c r="D69" s="396"/>
      <c r="E69" s="595"/>
      <c r="F69" s="596"/>
    </row>
    <row r="70" spans="2:12" outlineLevel="1">
      <c r="B70" s="435" t="s">
        <v>1437</v>
      </c>
      <c r="C70" s="436" t="s">
        <v>211</v>
      </c>
      <c r="D70" s="974"/>
      <c r="E70" s="436" t="s">
        <v>947</v>
      </c>
      <c r="F70" s="597"/>
    </row>
    <row r="71" spans="2:12" outlineLevel="1">
      <c r="B71" s="111" t="s">
        <v>1438</v>
      </c>
      <c r="C71" s="113" t="s">
        <v>211</v>
      </c>
      <c r="D71" s="972"/>
      <c r="E71" s="113" t="s">
        <v>947</v>
      </c>
      <c r="F71" s="598"/>
    </row>
    <row r="72" spans="2:12" outlineLevel="1">
      <c r="B72" s="111" t="s">
        <v>705</v>
      </c>
      <c r="C72" s="113" t="s">
        <v>72</v>
      </c>
      <c r="D72" s="972"/>
      <c r="E72" s="113" t="s">
        <v>524</v>
      </c>
      <c r="F72" s="598"/>
    </row>
    <row r="73" spans="2:12" outlineLevel="1">
      <c r="B73" s="517" t="s">
        <v>706</v>
      </c>
      <c r="C73" s="599" t="s">
        <v>72</v>
      </c>
      <c r="D73" s="758">
        <f>22360.76/1.21</f>
        <v>18479.96694214876</v>
      </c>
      <c r="E73" s="599" t="s">
        <v>707</v>
      </c>
      <c r="F73" s="598">
        <v>45811</v>
      </c>
    </row>
    <row r="74" spans="2:12">
      <c r="B74" s="594" t="s">
        <v>708</v>
      </c>
      <c r="C74" s="595"/>
      <c r="D74" s="396"/>
      <c r="E74" s="595"/>
      <c r="F74" s="596"/>
    </row>
    <row r="75" spans="2:12" outlineLevel="1">
      <c r="B75" s="435" t="s">
        <v>155</v>
      </c>
      <c r="C75" s="436" t="s">
        <v>72</v>
      </c>
      <c r="D75" s="904">
        <f>22000/1.21</f>
        <v>18181.818181818184</v>
      </c>
      <c r="E75" s="436" t="s">
        <v>524</v>
      </c>
      <c r="F75" s="597">
        <v>45785</v>
      </c>
    </row>
    <row r="76" spans="2:12" outlineLevel="1">
      <c r="B76" s="111" t="s">
        <v>709</v>
      </c>
      <c r="C76" s="113" t="s">
        <v>59</v>
      </c>
      <c r="D76" s="903">
        <f>8436.22/1.21</f>
        <v>6972.0826446280989</v>
      </c>
      <c r="E76" s="113" t="s">
        <v>524</v>
      </c>
      <c r="F76" s="598">
        <v>45785</v>
      </c>
    </row>
    <row r="77" spans="2:12" outlineLevel="1">
      <c r="B77" s="715" t="s">
        <v>157</v>
      </c>
      <c r="C77" s="113" t="s">
        <v>72</v>
      </c>
      <c r="D77" s="758">
        <f>51021.1/1.21</f>
        <v>42166.198347107435</v>
      </c>
      <c r="E77" s="113" t="s">
        <v>710</v>
      </c>
      <c r="F77" s="598">
        <v>45785</v>
      </c>
      <c r="G77" s="753" t="s">
        <v>711</v>
      </c>
    </row>
    <row r="78" spans="2:12" outlineLevel="1">
      <c r="B78" s="883" t="s">
        <v>1750</v>
      </c>
      <c r="C78" s="682" t="s">
        <v>72</v>
      </c>
      <c r="D78" s="976">
        <v>65000</v>
      </c>
      <c r="E78" s="682" t="s">
        <v>1749</v>
      </c>
      <c r="F78" s="725">
        <v>45750</v>
      </c>
      <c r="G78" s="753"/>
    </row>
    <row r="79" spans="2:12" outlineLevel="1">
      <c r="B79" s="716" t="s">
        <v>1748</v>
      </c>
      <c r="C79" s="599" t="s">
        <v>72</v>
      </c>
      <c r="D79" s="759">
        <v>163642</v>
      </c>
      <c r="E79" s="599" t="s">
        <v>1749</v>
      </c>
      <c r="F79" s="600">
        <v>45750</v>
      </c>
      <c r="G79" s="753"/>
    </row>
    <row r="80" spans="2:12">
      <c r="B80" s="622" t="s">
        <v>374</v>
      </c>
      <c r="C80" s="676"/>
      <c r="D80" s="677"/>
      <c r="E80" s="676"/>
      <c r="F80" s="678"/>
      <c r="I80" s="241" t="s">
        <v>1948</v>
      </c>
      <c r="K80" s="1">
        <v>16700.7</v>
      </c>
      <c r="L80" s="1171">
        <v>45505</v>
      </c>
    </row>
    <row r="81" spans="1:12" outlineLevel="1">
      <c r="A81" s="591"/>
      <c r="B81" s="623" t="s">
        <v>1646</v>
      </c>
      <c r="C81" s="624" t="s">
        <v>59</v>
      </c>
      <c r="D81" s="758">
        <f>+H81*$K$83</f>
        <v>10647.353896961737</v>
      </c>
      <c r="E81" s="436" t="s">
        <v>809</v>
      </c>
      <c r="F81" s="597">
        <v>45814</v>
      </c>
      <c r="H81" s="972">
        <f>11974/1.21</f>
        <v>9895.8677685950424</v>
      </c>
      <c r="I81" s="597">
        <v>45654</v>
      </c>
      <c r="K81" s="1">
        <v>17375.7</v>
      </c>
      <c r="L81" s="1171">
        <v>45597</v>
      </c>
    </row>
    <row r="82" spans="1:12" outlineLevel="1">
      <c r="A82" s="592"/>
      <c r="B82" s="625" t="s">
        <v>713</v>
      </c>
      <c r="C82" s="626" t="s">
        <v>59</v>
      </c>
      <c r="D82" s="976">
        <f t="shared" ref="D82:D145" si="1">+H82*$K$83</f>
        <v>18677.339406182196</v>
      </c>
      <c r="E82" s="113" t="s">
        <v>712</v>
      </c>
      <c r="F82" s="598">
        <v>45814</v>
      </c>
      <c r="H82" s="972">
        <v>17359.099999999999</v>
      </c>
      <c r="I82" s="598">
        <v>45636</v>
      </c>
      <c r="K82" s="1">
        <v>18695.2</v>
      </c>
      <c r="L82" s="1172">
        <v>45778</v>
      </c>
    </row>
    <row r="83" spans="1:12" outlineLevel="1">
      <c r="A83" s="592"/>
      <c r="B83" s="625" t="s">
        <v>714</v>
      </c>
      <c r="C83" s="626" t="s">
        <v>59</v>
      </c>
      <c r="D83" s="976">
        <f t="shared" si="1"/>
        <v>12168.03522989002</v>
      </c>
      <c r="E83" s="113" t="s">
        <v>712</v>
      </c>
      <c r="F83" s="598">
        <v>45814</v>
      </c>
      <c r="H83" s="972">
        <v>11309.22</v>
      </c>
      <c r="I83" s="598">
        <v>45636</v>
      </c>
      <c r="K83" s="1">
        <f>+K82/K81</f>
        <v>1.0759393866146401</v>
      </c>
      <c r="L83" s="360" t="s">
        <v>1947</v>
      </c>
    </row>
    <row r="84" spans="1:12" outlineLevel="1">
      <c r="A84" s="592"/>
      <c r="B84" s="625" t="s">
        <v>715</v>
      </c>
      <c r="C84" s="626" t="s">
        <v>59</v>
      </c>
      <c r="D84" s="976">
        <f t="shared" si="1"/>
        <v>6493.4771079150769</v>
      </c>
      <c r="E84" s="113" t="s">
        <v>712</v>
      </c>
      <c r="F84" s="598">
        <v>45814</v>
      </c>
      <c r="H84" s="972">
        <v>6035.17</v>
      </c>
      <c r="I84" s="725">
        <v>45636</v>
      </c>
      <c r="K84" s="1">
        <f>+K82/K80</f>
        <v>1.1194261318387853</v>
      </c>
      <c r="L84" s="360" t="s">
        <v>1947</v>
      </c>
    </row>
    <row r="85" spans="1:12" outlineLevel="1">
      <c r="A85" s="592"/>
      <c r="B85" s="625" t="s">
        <v>1647</v>
      </c>
      <c r="C85" s="626" t="s">
        <v>59</v>
      </c>
      <c r="D85" s="976">
        <f t="shared" si="1"/>
        <v>7374.1862257811654</v>
      </c>
      <c r="E85" s="113" t="s">
        <v>809</v>
      </c>
      <c r="F85" s="598">
        <v>45814</v>
      </c>
      <c r="H85" s="972">
        <f>8293/1.21</f>
        <v>6853.7190082644629</v>
      </c>
      <c r="I85" s="598">
        <v>45654</v>
      </c>
    </row>
    <row r="86" spans="1:12" outlineLevel="1">
      <c r="A86" s="592"/>
      <c r="B86" s="625" t="s">
        <v>716</v>
      </c>
      <c r="C86" s="626" t="s">
        <v>59</v>
      </c>
      <c r="D86" s="976">
        <f t="shared" si="1"/>
        <v>3978.963723821199</v>
      </c>
      <c r="E86" s="113" t="s">
        <v>712</v>
      </c>
      <c r="F86" s="598">
        <v>45814</v>
      </c>
      <c r="H86" s="972">
        <v>3698.13</v>
      </c>
      <c r="I86" s="598">
        <v>45636</v>
      </c>
    </row>
    <row r="87" spans="1:12" outlineLevel="1">
      <c r="A87" s="592"/>
      <c r="B87" s="625" t="s">
        <v>717</v>
      </c>
      <c r="C87" s="626" t="s">
        <v>59</v>
      </c>
      <c r="D87" s="976">
        <f t="shared" si="1"/>
        <v>2895.6433930143821</v>
      </c>
      <c r="E87" s="113" t="s">
        <v>712</v>
      </c>
      <c r="F87" s="598">
        <v>45814</v>
      </c>
      <c r="H87" s="972">
        <v>2691.27</v>
      </c>
      <c r="I87" s="598">
        <v>45636</v>
      </c>
    </row>
    <row r="88" spans="1:12" outlineLevel="1">
      <c r="A88" s="592"/>
      <c r="B88" s="625" t="s">
        <v>718</v>
      </c>
      <c r="C88" s="626" t="s">
        <v>59</v>
      </c>
      <c r="D88" s="976">
        <f t="shared" si="1"/>
        <v>1908.8133063991668</v>
      </c>
      <c r="E88" s="113" t="s">
        <v>712</v>
      </c>
      <c r="F88" s="598">
        <v>45814</v>
      </c>
      <c r="H88" s="972">
        <v>1774.09</v>
      </c>
      <c r="I88" s="598">
        <v>45636</v>
      </c>
    </row>
    <row r="89" spans="1:12" outlineLevel="1">
      <c r="A89" s="592"/>
      <c r="B89" s="625" t="s">
        <v>719</v>
      </c>
      <c r="C89" s="626" t="s">
        <v>59</v>
      </c>
      <c r="D89" s="976">
        <f t="shared" si="1"/>
        <v>22097.051355628839</v>
      </c>
      <c r="E89" s="113" t="s">
        <v>712</v>
      </c>
      <c r="F89" s="598">
        <v>45814</v>
      </c>
      <c r="H89" s="972">
        <v>20537.45</v>
      </c>
      <c r="I89" s="598">
        <v>45636</v>
      </c>
    </row>
    <row r="90" spans="1:12" outlineLevel="1">
      <c r="A90" s="592"/>
      <c r="B90" s="625" t="s">
        <v>1648</v>
      </c>
      <c r="C90" s="626" t="s">
        <v>59</v>
      </c>
      <c r="D90" s="976">
        <f t="shared" si="1"/>
        <v>4801.7129650570714</v>
      </c>
      <c r="E90" s="113" t="s">
        <v>809</v>
      </c>
      <c r="F90" s="598">
        <v>45814</v>
      </c>
      <c r="H90" s="972">
        <f>5400/1.21</f>
        <v>4462.8099173553719</v>
      </c>
      <c r="I90" s="598">
        <v>45654</v>
      </c>
    </row>
    <row r="91" spans="1:12" outlineLevel="1">
      <c r="A91" s="592"/>
      <c r="B91" s="625" t="s">
        <v>720</v>
      </c>
      <c r="C91" s="626" t="s">
        <v>211</v>
      </c>
      <c r="D91" s="976">
        <f t="shared" si="1"/>
        <v>288766.91758444265</v>
      </c>
      <c r="E91" s="113" t="s">
        <v>712</v>
      </c>
      <c r="F91" s="598">
        <v>45814</v>
      </c>
      <c r="H91" s="972">
        <v>268385.86</v>
      </c>
      <c r="I91" s="598">
        <v>45636</v>
      </c>
    </row>
    <row r="92" spans="1:12" outlineLevel="1">
      <c r="A92" s="592"/>
      <c r="B92" s="625" t="s">
        <v>721</v>
      </c>
      <c r="C92" s="626" t="s">
        <v>211</v>
      </c>
      <c r="D92" s="976">
        <f t="shared" si="1"/>
        <v>45833.877374033858</v>
      </c>
      <c r="E92" s="113" t="s">
        <v>712</v>
      </c>
      <c r="F92" s="598">
        <v>45814</v>
      </c>
      <c r="H92" s="972">
        <v>42598.94</v>
      </c>
      <c r="I92" s="598">
        <v>45636</v>
      </c>
    </row>
    <row r="93" spans="1:12" outlineLevel="1">
      <c r="A93" s="592"/>
      <c r="B93" s="625" t="s">
        <v>722</v>
      </c>
      <c r="C93" s="626" t="s">
        <v>211</v>
      </c>
      <c r="D93" s="976">
        <f t="shared" si="1"/>
        <v>28477.232046133395</v>
      </c>
      <c r="E93" s="113" t="s">
        <v>712</v>
      </c>
      <c r="F93" s="598">
        <v>45814</v>
      </c>
      <c r="H93" s="972">
        <v>26467.32</v>
      </c>
      <c r="I93" s="598">
        <v>45636</v>
      </c>
    </row>
    <row r="94" spans="1:12" outlineLevel="1">
      <c r="A94" s="592"/>
      <c r="B94" s="625" t="s">
        <v>723</v>
      </c>
      <c r="C94" s="626" t="s">
        <v>211</v>
      </c>
      <c r="D94" s="976">
        <f t="shared" si="1"/>
        <v>71572.004448511434</v>
      </c>
      <c r="E94" s="113" t="s">
        <v>712</v>
      </c>
      <c r="F94" s="598">
        <v>45814</v>
      </c>
      <c r="H94" s="972">
        <v>66520.479999999996</v>
      </c>
      <c r="I94" s="598">
        <v>45636</v>
      </c>
    </row>
    <row r="95" spans="1:12" outlineLevel="1">
      <c r="A95" s="592"/>
      <c r="B95" s="724" t="s">
        <v>647</v>
      </c>
      <c r="C95" s="626" t="s">
        <v>211</v>
      </c>
      <c r="D95" s="976">
        <f t="shared" si="1"/>
        <v>103147.90813826302</v>
      </c>
      <c r="E95" s="113" t="s">
        <v>809</v>
      </c>
      <c r="F95" s="598">
        <v>45814</v>
      </c>
      <c r="H95" s="972">
        <f>1160*100/1.21</f>
        <v>95867.768595041329</v>
      </c>
      <c r="I95" s="598">
        <v>45654</v>
      </c>
    </row>
    <row r="96" spans="1:12" outlineLevel="1">
      <c r="A96" s="592"/>
      <c r="B96" s="724" t="s">
        <v>646</v>
      </c>
      <c r="C96" s="626" t="s">
        <v>59</v>
      </c>
      <c r="D96" s="976">
        <f t="shared" si="1"/>
        <v>1780.1906214896771</v>
      </c>
      <c r="E96" s="113" t="s">
        <v>809</v>
      </c>
      <c r="F96" s="598">
        <v>45814</v>
      </c>
      <c r="H96" s="972">
        <f>2002/1.21</f>
        <v>1654.5454545454545</v>
      </c>
      <c r="I96" s="598">
        <v>45654</v>
      </c>
    </row>
    <row r="97" spans="1:9" outlineLevel="1">
      <c r="A97" s="592"/>
      <c r="B97" s="625" t="s">
        <v>724</v>
      </c>
      <c r="C97" s="626" t="s">
        <v>72</v>
      </c>
      <c r="D97" s="976">
        <f t="shared" si="1"/>
        <v>29030.942732666888</v>
      </c>
      <c r="E97" s="113" t="s">
        <v>712</v>
      </c>
      <c r="F97" s="598">
        <v>45814</v>
      </c>
      <c r="H97" s="972">
        <v>26981.95</v>
      </c>
      <c r="I97" s="598">
        <v>45636</v>
      </c>
    </row>
    <row r="98" spans="1:9" outlineLevel="1">
      <c r="A98" s="592"/>
      <c r="B98" s="625" t="s">
        <v>725</v>
      </c>
      <c r="C98" s="626" t="s">
        <v>72</v>
      </c>
      <c r="D98" s="976">
        <f t="shared" si="1"/>
        <v>18112.395912452448</v>
      </c>
      <c r="E98" s="113" t="s">
        <v>712</v>
      </c>
      <c r="F98" s="598">
        <v>45814</v>
      </c>
      <c r="H98" s="972">
        <v>16834.03</v>
      </c>
      <c r="I98" s="598">
        <v>45636</v>
      </c>
    </row>
    <row r="99" spans="1:9" outlineLevel="1">
      <c r="A99" s="592"/>
      <c r="B99" s="724" t="s">
        <v>622</v>
      </c>
      <c r="C99" s="626" t="s">
        <v>72</v>
      </c>
      <c r="D99" s="976">
        <f t="shared" si="1"/>
        <v>1167.9967605333886</v>
      </c>
      <c r="E99" s="113" t="s">
        <v>712</v>
      </c>
      <c r="F99" s="598">
        <v>45814</v>
      </c>
      <c r="H99" s="972">
        <v>1085.56</v>
      </c>
      <c r="I99" s="598">
        <v>45636</v>
      </c>
    </row>
    <row r="100" spans="1:9" outlineLevel="1">
      <c r="A100" s="592"/>
      <c r="B100" s="625" t="s">
        <v>726</v>
      </c>
      <c r="C100" s="626" t="s">
        <v>72</v>
      </c>
      <c r="D100" s="976">
        <f t="shared" si="1"/>
        <v>16986.629772843684</v>
      </c>
      <c r="E100" s="113" t="s">
        <v>712</v>
      </c>
      <c r="F100" s="598">
        <v>45814</v>
      </c>
      <c r="H100" s="972">
        <v>15787.72</v>
      </c>
      <c r="I100" s="598">
        <v>45636</v>
      </c>
    </row>
    <row r="101" spans="1:9" outlineLevel="1">
      <c r="A101" s="592"/>
      <c r="B101" s="625" t="s">
        <v>727</v>
      </c>
      <c r="C101" s="626" t="s">
        <v>72</v>
      </c>
      <c r="D101" s="976">
        <f t="shared" si="1"/>
        <v>16986.629772843684</v>
      </c>
      <c r="E101" s="113" t="s">
        <v>712</v>
      </c>
      <c r="F101" s="598">
        <v>45814</v>
      </c>
      <c r="H101" s="972">
        <v>15787.72</v>
      </c>
      <c r="I101" s="598">
        <v>45636</v>
      </c>
    </row>
    <row r="102" spans="1:9" outlineLevel="1">
      <c r="A102" s="592"/>
      <c r="B102" s="625" t="s">
        <v>728</v>
      </c>
      <c r="C102" s="626" t="s">
        <v>72</v>
      </c>
      <c r="D102" s="976">
        <f t="shared" si="1"/>
        <v>16986.629772843684</v>
      </c>
      <c r="E102" s="113" t="s">
        <v>712</v>
      </c>
      <c r="F102" s="598">
        <v>45814</v>
      </c>
      <c r="H102" s="972">
        <v>15787.72</v>
      </c>
      <c r="I102" s="598">
        <v>45636</v>
      </c>
    </row>
    <row r="103" spans="1:9" outlineLevel="1">
      <c r="A103" s="592"/>
      <c r="B103" s="625" t="s">
        <v>729</v>
      </c>
      <c r="C103" s="626" t="s">
        <v>72</v>
      </c>
      <c r="D103" s="976">
        <f t="shared" si="1"/>
        <v>21831.089898651564</v>
      </c>
      <c r="E103" s="113" t="s">
        <v>712</v>
      </c>
      <c r="F103" s="598">
        <v>45814</v>
      </c>
      <c r="H103" s="972">
        <v>20290.259999999998</v>
      </c>
      <c r="I103" s="598">
        <v>45636</v>
      </c>
    </row>
    <row r="104" spans="1:9" outlineLevel="1">
      <c r="A104" s="592"/>
      <c r="B104" s="625" t="s">
        <v>730</v>
      </c>
      <c r="C104" s="626" t="s">
        <v>72</v>
      </c>
      <c r="D104" s="976">
        <f t="shared" si="1"/>
        <v>69764.544632331366</v>
      </c>
      <c r="E104" s="113" t="s">
        <v>712</v>
      </c>
      <c r="F104" s="598">
        <v>45814</v>
      </c>
      <c r="H104" s="972">
        <v>64840.59</v>
      </c>
      <c r="I104" s="598">
        <v>45636</v>
      </c>
    </row>
    <row r="105" spans="1:9" outlineLevel="1">
      <c r="A105" s="592"/>
      <c r="B105" s="625" t="s">
        <v>731</v>
      </c>
      <c r="C105" s="626" t="s">
        <v>72</v>
      </c>
      <c r="D105" s="976">
        <f t="shared" si="1"/>
        <v>76240.914303999263</v>
      </c>
      <c r="E105" s="113" t="s">
        <v>712</v>
      </c>
      <c r="F105" s="598">
        <v>45814</v>
      </c>
      <c r="H105" s="972">
        <v>70859.86</v>
      </c>
      <c r="I105" s="598">
        <v>45636</v>
      </c>
    </row>
    <row r="106" spans="1:9" outlineLevel="1">
      <c r="A106" s="592"/>
      <c r="B106" s="625" t="s">
        <v>732</v>
      </c>
      <c r="C106" s="626" t="s">
        <v>72</v>
      </c>
      <c r="D106" s="976">
        <f t="shared" si="1"/>
        <v>23515.946421726898</v>
      </c>
      <c r="E106" s="113" t="s">
        <v>712</v>
      </c>
      <c r="F106" s="598">
        <v>45814</v>
      </c>
      <c r="H106" s="972">
        <v>21856.2</v>
      </c>
      <c r="I106" s="598">
        <v>45636</v>
      </c>
    </row>
    <row r="107" spans="1:9" outlineLevel="1">
      <c r="A107" s="592"/>
      <c r="B107" s="625" t="s">
        <v>733</v>
      </c>
      <c r="C107" s="626" t="s">
        <v>72</v>
      </c>
      <c r="D107" s="976">
        <f t="shared" si="1"/>
        <v>130403.91821405757</v>
      </c>
      <c r="E107" s="113" t="s">
        <v>712</v>
      </c>
      <c r="F107" s="598">
        <v>45814</v>
      </c>
      <c r="H107" s="972">
        <v>121200.06</v>
      </c>
      <c r="I107" s="598">
        <v>45636</v>
      </c>
    </row>
    <row r="108" spans="1:9" outlineLevel="1">
      <c r="A108" s="592"/>
      <c r="B108" s="625" t="s">
        <v>734</v>
      </c>
      <c r="C108" s="626" t="s">
        <v>72</v>
      </c>
      <c r="D108" s="976">
        <f t="shared" si="1"/>
        <v>122237.77497631751</v>
      </c>
      <c r="E108" s="113" t="s">
        <v>712</v>
      </c>
      <c r="F108" s="598">
        <v>45814</v>
      </c>
      <c r="H108" s="972">
        <v>113610.28</v>
      </c>
      <c r="I108" s="598">
        <v>45636</v>
      </c>
    </row>
    <row r="109" spans="1:9" outlineLevel="1">
      <c r="A109" s="592"/>
      <c r="B109" s="625" t="s">
        <v>735</v>
      </c>
      <c r="C109" s="626" t="s">
        <v>72</v>
      </c>
      <c r="D109" s="976">
        <f t="shared" si="1"/>
        <v>12011.346177017329</v>
      </c>
      <c r="E109" s="113" t="s">
        <v>712</v>
      </c>
      <c r="F109" s="598">
        <v>45814</v>
      </c>
      <c r="H109" s="972">
        <v>11163.59</v>
      </c>
      <c r="I109" s="598">
        <v>45636</v>
      </c>
    </row>
    <row r="110" spans="1:9" outlineLevel="1">
      <c r="A110" s="592"/>
      <c r="B110" s="625" t="s">
        <v>736</v>
      </c>
      <c r="C110" s="626" t="s">
        <v>72</v>
      </c>
      <c r="D110" s="976">
        <f t="shared" si="1"/>
        <v>12011.346177017329</v>
      </c>
      <c r="E110" s="113" t="s">
        <v>712</v>
      </c>
      <c r="F110" s="598">
        <v>45814</v>
      </c>
      <c r="H110" s="972">
        <v>11163.59</v>
      </c>
      <c r="I110" s="598">
        <v>45636</v>
      </c>
    </row>
    <row r="111" spans="1:9" outlineLevel="1">
      <c r="A111" s="592"/>
      <c r="B111" s="625" t="s">
        <v>737</v>
      </c>
      <c r="C111" s="626" t="s">
        <v>72</v>
      </c>
      <c r="D111" s="976">
        <f t="shared" si="1"/>
        <v>12869.106574814252</v>
      </c>
      <c r="E111" s="113" t="s">
        <v>712</v>
      </c>
      <c r="F111" s="598">
        <v>45814</v>
      </c>
      <c r="H111" s="972">
        <v>11960.81</v>
      </c>
      <c r="I111" s="598">
        <v>45636</v>
      </c>
    </row>
    <row r="112" spans="1:9" outlineLevel="1">
      <c r="A112" s="592"/>
      <c r="B112" s="625" t="s">
        <v>738</v>
      </c>
      <c r="C112" s="626" t="s">
        <v>72</v>
      </c>
      <c r="D112" s="976">
        <f t="shared" si="1"/>
        <v>5688.7390030905226</v>
      </c>
      <c r="E112" s="113" t="s">
        <v>712</v>
      </c>
      <c r="F112" s="598">
        <v>45814</v>
      </c>
      <c r="H112" s="972">
        <v>5287.23</v>
      </c>
      <c r="I112" s="598">
        <v>45636</v>
      </c>
    </row>
    <row r="113" spans="1:9" outlineLevel="1">
      <c r="A113" s="592"/>
      <c r="B113" s="625" t="s">
        <v>739</v>
      </c>
      <c r="C113" s="626" t="s">
        <v>72</v>
      </c>
      <c r="D113" s="976">
        <f t="shared" si="1"/>
        <v>5688.7390030905226</v>
      </c>
      <c r="E113" s="113" t="s">
        <v>712</v>
      </c>
      <c r="F113" s="598">
        <v>45814</v>
      </c>
      <c r="H113" s="972">
        <v>5287.23</v>
      </c>
      <c r="I113" s="598">
        <v>45636</v>
      </c>
    </row>
    <row r="114" spans="1:9" outlineLevel="1">
      <c r="A114" s="592"/>
      <c r="B114" s="625" t="s">
        <v>740</v>
      </c>
      <c r="C114" s="626" t="s">
        <v>72</v>
      </c>
      <c r="D114" s="976">
        <f t="shared" si="1"/>
        <v>38605.985559603359</v>
      </c>
      <c r="E114" s="113" t="s">
        <v>712</v>
      </c>
      <c r="F114" s="598">
        <v>45814</v>
      </c>
      <c r="H114" s="972">
        <v>35881.19</v>
      </c>
      <c r="I114" s="598">
        <v>45636</v>
      </c>
    </row>
    <row r="115" spans="1:9" outlineLevel="1">
      <c r="A115" s="592"/>
      <c r="B115" s="625" t="s">
        <v>741</v>
      </c>
      <c r="C115" s="626" t="s">
        <v>72</v>
      </c>
      <c r="D115" s="976">
        <f t="shared" si="1"/>
        <v>46757.409946534535</v>
      </c>
      <c r="E115" s="113" t="s">
        <v>712</v>
      </c>
      <c r="F115" s="598">
        <v>45814</v>
      </c>
      <c r="H115" s="972">
        <v>43457.29</v>
      </c>
      <c r="I115" s="598">
        <v>45636</v>
      </c>
    </row>
    <row r="116" spans="1:9" outlineLevel="1">
      <c r="A116" s="592"/>
      <c r="B116" s="625" t="s">
        <v>742</v>
      </c>
      <c r="C116" s="626" t="s">
        <v>72</v>
      </c>
      <c r="D116" s="976">
        <f t="shared" si="1"/>
        <v>36890.464764009514</v>
      </c>
      <c r="E116" s="113" t="s">
        <v>712</v>
      </c>
      <c r="F116" s="598">
        <v>45814</v>
      </c>
      <c r="H116" s="972">
        <v>34286.75</v>
      </c>
      <c r="I116" s="598">
        <v>45636</v>
      </c>
    </row>
    <row r="117" spans="1:9" outlineLevel="1">
      <c r="A117" s="592"/>
      <c r="B117" s="625" t="s">
        <v>743</v>
      </c>
      <c r="C117" s="626" t="s">
        <v>72</v>
      </c>
      <c r="D117" s="976">
        <f t="shared" si="1"/>
        <v>20196.092406751959</v>
      </c>
      <c r="E117" s="113" t="s">
        <v>712</v>
      </c>
      <c r="F117" s="598">
        <v>45814</v>
      </c>
      <c r="H117" s="972">
        <v>18770.66</v>
      </c>
      <c r="I117" s="598">
        <v>45636</v>
      </c>
    </row>
    <row r="118" spans="1:9" outlineLevel="1">
      <c r="A118" s="592"/>
      <c r="B118" s="625" t="s">
        <v>744</v>
      </c>
      <c r="C118" s="626" t="s">
        <v>72</v>
      </c>
      <c r="D118" s="976">
        <f t="shared" si="1"/>
        <v>287817.56246666325</v>
      </c>
      <c r="E118" s="113" t="s">
        <v>712</v>
      </c>
      <c r="F118" s="598">
        <v>45814</v>
      </c>
      <c r="H118" s="972">
        <v>267503.51</v>
      </c>
      <c r="I118" s="598">
        <v>45636</v>
      </c>
    </row>
    <row r="119" spans="1:9" outlineLevel="1">
      <c r="A119" s="592"/>
      <c r="B119" s="625" t="s">
        <v>745</v>
      </c>
      <c r="C119" s="626" t="s">
        <v>72</v>
      </c>
      <c r="D119" s="976">
        <f t="shared" si="1"/>
        <v>103423.56532076406</v>
      </c>
      <c r="E119" s="113" t="s">
        <v>712</v>
      </c>
      <c r="F119" s="598">
        <v>45814</v>
      </c>
      <c r="H119" s="972">
        <v>96123.97</v>
      </c>
      <c r="I119" s="598">
        <v>45636</v>
      </c>
    </row>
    <row r="120" spans="1:9" outlineLevel="1">
      <c r="A120" s="592"/>
      <c r="B120" s="625" t="s">
        <v>746</v>
      </c>
      <c r="C120" s="626" t="s">
        <v>72</v>
      </c>
      <c r="D120" s="976">
        <f t="shared" si="1"/>
        <v>10003.040755537908</v>
      </c>
      <c r="E120" s="113" t="s">
        <v>712</v>
      </c>
      <c r="F120" s="598">
        <v>45814</v>
      </c>
      <c r="H120" s="972">
        <v>9297.0300000000007</v>
      </c>
      <c r="I120" s="598">
        <v>45636</v>
      </c>
    </row>
    <row r="121" spans="1:9" outlineLevel="1">
      <c r="A121" s="592"/>
      <c r="B121" s="625" t="s">
        <v>747</v>
      </c>
      <c r="C121" s="626" t="s">
        <v>72</v>
      </c>
      <c r="D121" s="976">
        <f t="shared" si="1"/>
        <v>5486.8604959800186</v>
      </c>
      <c r="E121" s="113" t="s">
        <v>712</v>
      </c>
      <c r="F121" s="598">
        <v>45814</v>
      </c>
      <c r="H121" s="972">
        <v>5099.6000000000004</v>
      </c>
      <c r="I121" s="598">
        <v>45636</v>
      </c>
    </row>
    <row r="122" spans="1:9" outlineLevel="1">
      <c r="A122" s="592"/>
      <c r="B122" s="625" t="s">
        <v>748</v>
      </c>
      <c r="C122" s="626" t="s">
        <v>72</v>
      </c>
      <c r="D122" s="976">
        <f t="shared" si="1"/>
        <v>15819.526042001187</v>
      </c>
      <c r="E122" s="113" t="s">
        <v>712</v>
      </c>
      <c r="F122" s="598">
        <v>45814</v>
      </c>
      <c r="H122" s="972">
        <v>14702.99</v>
      </c>
      <c r="I122" s="598">
        <v>45636</v>
      </c>
    </row>
    <row r="123" spans="1:9" outlineLevel="1">
      <c r="A123" s="592"/>
      <c r="B123" s="625" t="s">
        <v>749</v>
      </c>
      <c r="C123" s="626" t="s">
        <v>72</v>
      </c>
      <c r="D123" s="976">
        <f t="shared" si="1"/>
        <v>7792.2112633160104</v>
      </c>
      <c r="E123" s="113" t="s">
        <v>712</v>
      </c>
      <c r="F123" s="598">
        <v>45814</v>
      </c>
      <c r="H123" s="972">
        <v>7242.24</v>
      </c>
      <c r="I123" s="598">
        <v>45636</v>
      </c>
    </row>
    <row r="124" spans="1:9" outlineLevel="1">
      <c r="A124" s="592"/>
      <c r="B124" s="625" t="s">
        <v>750</v>
      </c>
      <c r="C124" s="626" t="s">
        <v>72</v>
      </c>
      <c r="D124" s="976">
        <f t="shared" si="1"/>
        <v>150904.88880540064</v>
      </c>
      <c r="E124" s="113" t="s">
        <v>712</v>
      </c>
      <c r="F124" s="598">
        <v>45814</v>
      </c>
      <c r="H124" s="972">
        <v>140254.07999999999</v>
      </c>
      <c r="I124" s="598">
        <v>45636</v>
      </c>
    </row>
    <row r="125" spans="1:9" outlineLevel="1">
      <c r="A125" s="592"/>
      <c r="B125" s="625" t="s">
        <v>751</v>
      </c>
      <c r="C125" s="626" t="s">
        <v>72</v>
      </c>
      <c r="D125" s="976">
        <f t="shared" si="1"/>
        <v>72848.638808911288</v>
      </c>
      <c r="E125" s="113" t="s">
        <v>712</v>
      </c>
      <c r="F125" s="598">
        <v>45814</v>
      </c>
      <c r="H125" s="972">
        <v>67707.009999999995</v>
      </c>
      <c r="I125" s="598">
        <v>45636</v>
      </c>
    </row>
    <row r="126" spans="1:9" outlineLevel="1">
      <c r="A126" s="592"/>
      <c r="B126" s="625" t="s">
        <v>752</v>
      </c>
      <c r="C126" s="626" t="s">
        <v>72</v>
      </c>
      <c r="D126" s="976">
        <f t="shared" si="1"/>
        <v>127056.05749684907</v>
      </c>
      <c r="E126" s="113" t="s">
        <v>712</v>
      </c>
      <c r="F126" s="598">
        <v>45814</v>
      </c>
      <c r="H126" s="972">
        <v>118088.49</v>
      </c>
      <c r="I126" s="598">
        <v>45636</v>
      </c>
    </row>
    <row r="127" spans="1:9" outlineLevel="1">
      <c r="A127" s="592"/>
      <c r="B127" s="625" t="s">
        <v>753</v>
      </c>
      <c r="C127" s="626" t="s">
        <v>72</v>
      </c>
      <c r="D127" s="976">
        <f t="shared" si="1"/>
        <v>62950.082527207538</v>
      </c>
      <c r="E127" s="113" t="s">
        <v>712</v>
      </c>
      <c r="F127" s="598">
        <v>45814</v>
      </c>
      <c r="H127" s="972">
        <v>58507.09</v>
      </c>
      <c r="I127" s="598">
        <v>45636</v>
      </c>
    </row>
    <row r="128" spans="1:9" outlineLevel="1">
      <c r="A128" s="592"/>
      <c r="B128" s="625" t="s">
        <v>754</v>
      </c>
      <c r="C128" s="626" t="s">
        <v>72</v>
      </c>
      <c r="D128" s="976">
        <f t="shared" si="1"/>
        <v>55782.00218327895</v>
      </c>
      <c r="E128" s="113" t="s">
        <v>712</v>
      </c>
      <c r="F128" s="598">
        <v>45814</v>
      </c>
      <c r="H128" s="972">
        <v>51844.93</v>
      </c>
      <c r="I128" s="598">
        <v>45636</v>
      </c>
    </row>
    <row r="129" spans="1:9" outlineLevel="1">
      <c r="A129" s="592"/>
      <c r="B129" s="625" t="s">
        <v>755</v>
      </c>
      <c r="C129" s="626" t="s">
        <v>72</v>
      </c>
      <c r="D129" s="976">
        <f t="shared" si="1"/>
        <v>36421.71025144311</v>
      </c>
      <c r="E129" s="113" t="s">
        <v>712</v>
      </c>
      <c r="F129" s="598">
        <v>45814</v>
      </c>
      <c r="H129" s="972">
        <v>33851.08</v>
      </c>
      <c r="I129" s="598">
        <v>45636</v>
      </c>
    </row>
    <row r="130" spans="1:9" outlineLevel="1">
      <c r="A130" s="592"/>
      <c r="B130" s="625" t="s">
        <v>756</v>
      </c>
      <c r="C130" s="626" t="s">
        <v>72</v>
      </c>
      <c r="D130" s="976">
        <f t="shared" si="1"/>
        <v>29395.083658672746</v>
      </c>
      <c r="E130" s="113" t="s">
        <v>712</v>
      </c>
      <c r="F130" s="598">
        <v>45814</v>
      </c>
      <c r="H130" s="972">
        <v>27320.39</v>
      </c>
      <c r="I130" s="598">
        <v>45636</v>
      </c>
    </row>
    <row r="131" spans="1:9" outlineLevel="1">
      <c r="A131" s="592"/>
      <c r="B131" s="625" t="s">
        <v>757</v>
      </c>
      <c r="C131" s="626" t="s">
        <v>72</v>
      </c>
      <c r="D131" s="976">
        <f t="shared" si="1"/>
        <v>21627.048753373965</v>
      </c>
      <c r="E131" s="113" t="s">
        <v>712</v>
      </c>
      <c r="F131" s="598">
        <v>45814</v>
      </c>
      <c r="H131" s="972">
        <v>20100.62</v>
      </c>
      <c r="I131" s="598">
        <v>45636</v>
      </c>
    </row>
    <row r="132" spans="1:9" outlineLevel="1">
      <c r="A132" s="592"/>
      <c r="B132" s="625" t="s">
        <v>758</v>
      </c>
      <c r="C132" s="626" t="s">
        <v>72</v>
      </c>
      <c r="D132" s="976">
        <f t="shared" si="1"/>
        <v>34605.728995321057</v>
      </c>
      <c r="E132" s="113" t="s">
        <v>712</v>
      </c>
      <c r="F132" s="598">
        <v>45814</v>
      </c>
      <c r="H132" s="972">
        <v>32163.27</v>
      </c>
      <c r="I132" s="598">
        <v>45636</v>
      </c>
    </row>
    <row r="133" spans="1:9" outlineLevel="1">
      <c r="A133" s="592"/>
      <c r="B133" s="625" t="s">
        <v>759</v>
      </c>
      <c r="C133" s="626" t="s">
        <v>72</v>
      </c>
      <c r="D133" s="976">
        <f t="shared" si="1"/>
        <v>4823.6299392830224</v>
      </c>
      <c r="E133" s="113" t="s">
        <v>712</v>
      </c>
      <c r="F133" s="598">
        <v>45814</v>
      </c>
      <c r="H133" s="972">
        <v>4483.18</v>
      </c>
      <c r="I133" s="598">
        <v>45636</v>
      </c>
    </row>
    <row r="134" spans="1:9" outlineLevel="1">
      <c r="A134" s="592"/>
      <c r="B134" s="625" t="s">
        <v>760</v>
      </c>
      <c r="C134" s="626" t="s">
        <v>72</v>
      </c>
      <c r="D134" s="976">
        <f t="shared" si="1"/>
        <v>5703.5762072319394</v>
      </c>
      <c r="E134" s="113" t="s">
        <v>712</v>
      </c>
      <c r="F134" s="598">
        <v>45814</v>
      </c>
      <c r="H134" s="972">
        <v>5301.02</v>
      </c>
      <c r="I134" s="598">
        <v>45636</v>
      </c>
    </row>
    <row r="135" spans="1:9" outlineLevel="1">
      <c r="A135" s="592"/>
      <c r="B135" s="625" t="s">
        <v>761</v>
      </c>
      <c r="C135" s="626" t="s">
        <v>72</v>
      </c>
      <c r="D135" s="976">
        <f t="shared" si="1"/>
        <v>5788.5538999867631</v>
      </c>
      <c r="E135" s="113" t="s">
        <v>712</v>
      </c>
      <c r="F135" s="598">
        <v>45814</v>
      </c>
      <c r="H135" s="972">
        <v>5380</v>
      </c>
      <c r="I135" s="598">
        <v>45636</v>
      </c>
    </row>
    <row r="136" spans="1:9" outlineLevel="1">
      <c r="A136" s="592"/>
      <c r="B136" s="625" t="s">
        <v>762</v>
      </c>
      <c r="C136" s="626" t="s">
        <v>72</v>
      </c>
      <c r="D136" s="976">
        <f t="shared" si="1"/>
        <v>3151.0821627905639</v>
      </c>
      <c r="E136" s="113" t="s">
        <v>712</v>
      </c>
      <c r="F136" s="598">
        <v>45814</v>
      </c>
      <c r="H136" s="972">
        <v>2928.68</v>
      </c>
      <c r="I136" s="598">
        <v>45636</v>
      </c>
    </row>
    <row r="137" spans="1:9" outlineLevel="1">
      <c r="A137" s="592"/>
      <c r="B137" s="625" t="s">
        <v>763</v>
      </c>
      <c r="C137" s="626" t="s">
        <v>72</v>
      </c>
      <c r="D137" s="976">
        <f t="shared" si="1"/>
        <v>4613.5635334403796</v>
      </c>
      <c r="E137" s="113" t="s">
        <v>712</v>
      </c>
      <c r="F137" s="598">
        <v>45814</v>
      </c>
      <c r="H137" s="972">
        <v>4287.9399999999996</v>
      </c>
      <c r="I137" s="598">
        <v>45636</v>
      </c>
    </row>
    <row r="138" spans="1:9" outlineLevel="1">
      <c r="A138" s="592"/>
      <c r="B138" s="625" t="s">
        <v>764</v>
      </c>
      <c r="C138" s="626" t="s">
        <v>72</v>
      </c>
      <c r="D138" s="976">
        <f t="shared" si="1"/>
        <v>1666.4149219887545</v>
      </c>
      <c r="E138" s="113" t="s">
        <v>712</v>
      </c>
      <c r="F138" s="598">
        <v>45814</v>
      </c>
      <c r="H138" s="972">
        <v>1548.8</v>
      </c>
      <c r="I138" s="598">
        <v>45636</v>
      </c>
    </row>
    <row r="139" spans="1:9" outlineLevel="1">
      <c r="A139" s="592"/>
      <c r="B139" s="625" t="s">
        <v>765</v>
      </c>
      <c r="C139" s="626" t="s">
        <v>72</v>
      </c>
      <c r="D139" s="976">
        <f t="shared" si="1"/>
        <v>1026.7581972524849</v>
      </c>
      <c r="E139" s="113" t="s">
        <v>712</v>
      </c>
      <c r="F139" s="598">
        <v>45814</v>
      </c>
      <c r="H139" s="972">
        <v>954.29</v>
      </c>
      <c r="I139" s="598">
        <v>45636</v>
      </c>
    </row>
    <row r="140" spans="1:9" outlineLevel="1">
      <c r="A140" s="592"/>
      <c r="B140" s="625" t="s">
        <v>766</v>
      </c>
      <c r="C140" s="626" t="s">
        <v>72</v>
      </c>
      <c r="D140" s="976">
        <f t="shared" si="1"/>
        <v>34.31170703914087</v>
      </c>
      <c r="E140" s="113" t="s">
        <v>712</v>
      </c>
      <c r="F140" s="598">
        <v>45814</v>
      </c>
      <c r="H140" s="972">
        <v>31.89</v>
      </c>
      <c r="I140" s="598">
        <v>45636</v>
      </c>
    </row>
    <row r="141" spans="1:9" outlineLevel="1">
      <c r="A141" s="592"/>
      <c r="B141" s="625" t="s">
        <v>767</v>
      </c>
      <c r="C141" s="626" t="s">
        <v>72</v>
      </c>
      <c r="D141" s="976">
        <f t="shared" si="1"/>
        <v>76135.192499870522</v>
      </c>
      <c r="E141" s="113" t="s">
        <v>712</v>
      </c>
      <c r="F141" s="598">
        <v>45814</v>
      </c>
      <c r="H141" s="972">
        <v>70761.600000000006</v>
      </c>
      <c r="I141" s="598">
        <v>45636</v>
      </c>
    </row>
    <row r="142" spans="1:9" outlineLevel="1">
      <c r="A142" s="592"/>
      <c r="B142" s="625" t="s">
        <v>768</v>
      </c>
      <c r="C142" s="626" t="s">
        <v>72</v>
      </c>
      <c r="D142" s="976">
        <f t="shared" si="1"/>
        <v>9330.5033231466932</v>
      </c>
      <c r="E142" s="113" t="s">
        <v>712</v>
      </c>
      <c r="F142" s="598">
        <v>45814</v>
      </c>
      <c r="H142" s="972">
        <v>8671.9599999999991</v>
      </c>
      <c r="I142" s="598">
        <v>45636</v>
      </c>
    </row>
    <row r="143" spans="1:9" outlineLevel="1">
      <c r="A143" s="592"/>
      <c r="B143" s="625" t="s">
        <v>769</v>
      </c>
      <c r="C143" s="626" t="s">
        <v>72</v>
      </c>
      <c r="D143" s="976">
        <f t="shared" si="1"/>
        <v>14191.436080963646</v>
      </c>
      <c r="E143" s="113" t="s">
        <v>712</v>
      </c>
      <c r="F143" s="598">
        <v>45814</v>
      </c>
      <c r="H143" s="972">
        <v>13189.81</v>
      </c>
      <c r="I143" s="598">
        <v>45636</v>
      </c>
    </row>
    <row r="144" spans="1:9" outlineLevel="1">
      <c r="A144" s="592"/>
      <c r="B144" s="625" t="s">
        <v>770</v>
      </c>
      <c r="C144" s="626" t="s">
        <v>72</v>
      </c>
      <c r="D144" s="976">
        <f t="shared" si="1"/>
        <v>92416.985139936805</v>
      </c>
      <c r="E144" s="113" t="s">
        <v>712</v>
      </c>
      <c r="F144" s="598">
        <v>45814</v>
      </c>
      <c r="H144" s="972">
        <v>85894.23</v>
      </c>
      <c r="I144" s="598">
        <v>45636</v>
      </c>
    </row>
    <row r="145" spans="1:9" outlineLevel="1">
      <c r="A145" s="592"/>
      <c r="B145" s="625" t="s">
        <v>771</v>
      </c>
      <c r="C145" s="626" t="s">
        <v>72</v>
      </c>
      <c r="D145" s="976">
        <f t="shared" si="1"/>
        <v>139000.40492826188</v>
      </c>
      <c r="E145" s="113" t="s">
        <v>712</v>
      </c>
      <c r="F145" s="598">
        <v>45814</v>
      </c>
      <c r="H145" s="972">
        <v>129189.81</v>
      </c>
      <c r="I145" s="598">
        <v>45636</v>
      </c>
    </row>
    <row r="146" spans="1:9" outlineLevel="1">
      <c r="A146" s="592"/>
      <c r="B146" s="625" t="s">
        <v>772</v>
      </c>
      <c r="C146" s="626" t="s">
        <v>72</v>
      </c>
      <c r="D146" s="976">
        <f t="shared" ref="D146:D189" si="2">+H146*$K$83</f>
        <v>1398.6028492665046</v>
      </c>
      <c r="E146" s="113" t="s">
        <v>712</v>
      </c>
      <c r="F146" s="598">
        <v>45814</v>
      </c>
      <c r="H146" s="972">
        <v>1299.8900000000001</v>
      </c>
      <c r="I146" s="598">
        <v>45636</v>
      </c>
    </row>
    <row r="147" spans="1:9" outlineLevel="1">
      <c r="A147" s="592"/>
      <c r="B147" s="625" t="s">
        <v>773</v>
      </c>
      <c r="C147" s="626" t="s">
        <v>72</v>
      </c>
      <c r="D147" s="976">
        <f t="shared" si="2"/>
        <v>1975.4354732183454</v>
      </c>
      <c r="E147" s="113" t="s">
        <v>712</v>
      </c>
      <c r="F147" s="598">
        <v>45814</v>
      </c>
      <c r="H147" s="972">
        <v>1836.01</v>
      </c>
      <c r="I147" s="598">
        <v>45636</v>
      </c>
    </row>
    <row r="148" spans="1:9" outlineLevel="1">
      <c r="A148" s="592"/>
      <c r="B148" s="625" t="s">
        <v>774</v>
      </c>
      <c r="C148" s="626" t="s">
        <v>72</v>
      </c>
      <c r="D148" s="976">
        <f t="shared" si="2"/>
        <v>6261.2786288897714</v>
      </c>
      <c r="E148" s="113" t="s">
        <v>712</v>
      </c>
      <c r="F148" s="598">
        <v>45814</v>
      </c>
      <c r="H148" s="972">
        <v>5819.36</v>
      </c>
      <c r="I148" s="598">
        <v>45636</v>
      </c>
    </row>
    <row r="149" spans="1:9" outlineLevel="1">
      <c r="A149" s="592"/>
      <c r="B149" s="625" t="s">
        <v>775</v>
      </c>
      <c r="C149" s="626" t="s">
        <v>72</v>
      </c>
      <c r="D149" s="976">
        <f t="shared" si="2"/>
        <v>9585.1781759583791</v>
      </c>
      <c r="E149" s="113" t="s">
        <v>712</v>
      </c>
      <c r="F149" s="598">
        <v>45814</v>
      </c>
      <c r="H149" s="972">
        <v>8908.66</v>
      </c>
      <c r="I149" s="598">
        <v>45636</v>
      </c>
    </row>
    <row r="150" spans="1:9" outlineLevel="1">
      <c r="A150" s="592"/>
      <c r="B150" s="625" t="s">
        <v>776</v>
      </c>
      <c r="C150" s="626" t="s">
        <v>72</v>
      </c>
      <c r="D150" s="976">
        <f t="shared" si="2"/>
        <v>267.28486242280889</v>
      </c>
      <c r="E150" s="113" t="s">
        <v>712</v>
      </c>
      <c r="F150" s="598">
        <v>45814</v>
      </c>
      <c r="H150" s="972">
        <v>248.42</v>
      </c>
      <c r="I150" s="598">
        <v>45636</v>
      </c>
    </row>
    <row r="151" spans="1:9" outlineLevel="1">
      <c r="A151" s="592"/>
      <c r="B151" s="625" t="s">
        <v>777</v>
      </c>
      <c r="C151" s="626" t="s">
        <v>72</v>
      </c>
      <c r="D151" s="976">
        <f t="shared" si="2"/>
        <v>342.63289766743213</v>
      </c>
      <c r="E151" s="113" t="s">
        <v>712</v>
      </c>
      <c r="F151" s="598">
        <v>45814</v>
      </c>
      <c r="H151" s="972">
        <v>318.45</v>
      </c>
      <c r="I151" s="598">
        <v>45636</v>
      </c>
    </row>
    <row r="152" spans="1:9" outlineLevel="1">
      <c r="A152" s="593"/>
      <c r="B152" s="625" t="s">
        <v>778</v>
      </c>
      <c r="C152" s="626" t="s">
        <v>72</v>
      </c>
      <c r="D152" s="976">
        <f t="shared" si="2"/>
        <v>199.8557410636694</v>
      </c>
      <c r="E152" s="113" t="s">
        <v>712</v>
      </c>
      <c r="F152" s="598">
        <v>45814</v>
      </c>
      <c r="H152" s="972">
        <v>185.75</v>
      </c>
      <c r="I152" s="598">
        <v>45636</v>
      </c>
    </row>
    <row r="153" spans="1:9" outlineLevel="1">
      <c r="A153" s="593"/>
      <c r="B153" s="625" t="s">
        <v>779</v>
      </c>
      <c r="C153" s="626" t="s">
        <v>72</v>
      </c>
      <c r="D153" s="976">
        <f t="shared" si="2"/>
        <v>199.8557410636694</v>
      </c>
      <c r="E153" s="113" t="s">
        <v>712</v>
      </c>
      <c r="F153" s="598">
        <v>45814</v>
      </c>
      <c r="H153" s="972">
        <v>185.75</v>
      </c>
      <c r="I153" s="598">
        <v>45636</v>
      </c>
    </row>
    <row r="154" spans="1:9" outlineLevel="1">
      <c r="A154" s="593"/>
      <c r="B154" s="625" t="s">
        <v>780</v>
      </c>
      <c r="C154" s="626" t="s">
        <v>72</v>
      </c>
      <c r="D154" s="976">
        <f t="shared" si="2"/>
        <v>199.8557410636694</v>
      </c>
      <c r="E154" s="113" t="s">
        <v>712</v>
      </c>
      <c r="F154" s="598">
        <v>45814</v>
      </c>
      <c r="H154" s="972">
        <v>185.75</v>
      </c>
      <c r="I154" s="598">
        <v>45636</v>
      </c>
    </row>
    <row r="155" spans="1:9" outlineLevel="1">
      <c r="A155" s="592"/>
      <c r="B155" s="625" t="s">
        <v>781</v>
      </c>
      <c r="C155" s="626" t="s">
        <v>72</v>
      </c>
      <c r="D155" s="976">
        <f t="shared" si="2"/>
        <v>119.68749736701255</v>
      </c>
      <c r="E155" s="113" t="s">
        <v>712</v>
      </c>
      <c r="F155" s="598">
        <v>45814</v>
      </c>
      <c r="H155" s="972">
        <v>111.24</v>
      </c>
      <c r="I155" s="598">
        <v>45636</v>
      </c>
    </row>
    <row r="156" spans="1:9" outlineLevel="1">
      <c r="A156" s="592"/>
      <c r="B156" s="625" t="s">
        <v>643</v>
      </c>
      <c r="C156" s="626" t="s">
        <v>72</v>
      </c>
      <c r="D156" s="976">
        <f t="shared" si="2"/>
        <v>255.28813826205567</v>
      </c>
      <c r="E156" s="113" t="s">
        <v>712</v>
      </c>
      <c r="F156" s="598">
        <v>45814</v>
      </c>
      <c r="H156" s="972">
        <v>237.27</v>
      </c>
      <c r="I156" s="598">
        <v>45636</v>
      </c>
    </row>
    <row r="157" spans="1:9" outlineLevel="1">
      <c r="A157" s="592"/>
      <c r="B157" s="625" t="s">
        <v>782</v>
      </c>
      <c r="C157" s="626" t="s">
        <v>72</v>
      </c>
      <c r="D157" s="976">
        <f t="shared" si="2"/>
        <v>89.195375150353669</v>
      </c>
      <c r="E157" s="113" t="s">
        <v>712</v>
      </c>
      <c r="F157" s="598">
        <v>45814</v>
      </c>
      <c r="H157" s="972">
        <v>82.9</v>
      </c>
      <c r="I157" s="598">
        <v>45636</v>
      </c>
    </row>
    <row r="158" spans="1:9" outlineLevel="1">
      <c r="A158" s="592"/>
      <c r="B158" s="625" t="s">
        <v>783</v>
      </c>
      <c r="C158" s="626" t="s">
        <v>72</v>
      </c>
      <c r="D158" s="976">
        <f t="shared" si="2"/>
        <v>128.56399730658333</v>
      </c>
      <c r="E158" s="113" t="s">
        <v>712</v>
      </c>
      <c r="F158" s="598">
        <v>45814</v>
      </c>
      <c r="H158" s="972">
        <v>119.49</v>
      </c>
      <c r="I158" s="598">
        <v>45636</v>
      </c>
    </row>
    <row r="159" spans="1:9" outlineLevel="1">
      <c r="A159" s="592"/>
      <c r="B159" s="625" t="s">
        <v>784</v>
      </c>
      <c r="C159" s="626" t="s">
        <v>72</v>
      </c>
      <c r="D159" s="976">
        <f t="shared" si="2"/>
        <v>3028.5003884735579</v>
      </c>
      <c r="E159" s="113" t="s">
        <v>712</v>
      </c>
      <c r="F159" s="598">
        <v>45814</v>
      </c>
      <c r="H159" s="972">
        <v>2814.75</v>
      </c>
      <c r="I159" s="598">
        <v>45636</v>
      </c>
    </row>
    <row r="160" spans="1:9" outlineLevel="1">
      <c r="A160" s="592"/>
      <c r="B160" s="625" t="s">
        <v>785</v>
      </c>
      <c r="C160" s="626" t="s">
        <v>72</v>
      </c>
      <c r="D160" s="976">
        <f t="shared" si="2"/>
        <v>4781.399318358398</v>
      </c>
      <c r="E160" s="113" t="s">
        <v>712</v>
      </c>
      <c r="F160" s="598">
        <v>45814</v>
      </c>
      <c r="H160" s="972">
        <v>4443.93</v>
      </c>
      <c r="I160" s="598">
        <v>45636</v>
      </c>
    </row>
    <row r="161" spans="1:9" outlineLevel="1">
      <c r="A161" s="592"/>
      <c r="B161" s="625" t="s">
        <v>786</v>
      </c>
      <c r="C161" s="626" t="s">
        <v>72</v>
      </c>
      <c r="D161" s="976">
        <f t="shared" si="2"/>
        <v>5791.7709587527406</v>
      </c>
      <c r="E161" s="113" t="s">
        <v>712</v>
      </c>
      <c r="F161" s="598">
        <v>45814</v>
      </c>
      <c r="H161" s="972">
        <v>5382.99</v>
      </c>
      <c r="I161" s="598">
        <v>45636</v>
      </c>
    </row>
    <row r="162" spans="1:9" outlineLevel="1">
      <c r="A162" s="592"/>
      <c r="B162" s="625" t="s">
        <v>787</v>
      </c>
      <c r="C162" s="626" t="s">
        <v>72</v>
      </c>
      <c r="D162" s="976">
        <f t="shared" si="2"/>
        <v>8445.0052079628458</v>
      </c>
      <c r="E162" s="113" t="s">
        <v>712</v>
      </c>
      <c r="F162" s="598">
        <v>45814</v>
      </c>
      <c r="H162" s="972">
        <v>7848.96</v>
      </c>
      <c r="I162" s="598">
        <v>45636</v>
      </c>
    </row>
    <row r="163" spans="1:9" outlineLevel="1">
      <c r="A163" s="592"/>
      <c r="B163" s="625" t="s">
        <v>788</v>
      </c>
      <c r="C163" s="626" t="s">
        <v>72</v>
      </c>
      <c r="D163" s="976">
        <f t="shared" si="2"/>
        <v>17921.093889512365</v>
      </c>
      <c r="E163" s="113" t="s">
        <v>712</v>
      </c>
      <c r="F163" s="598">
        <v>45814</v>
      </c>
      <c r="H163" s="972">
        <v>16656.23</v>
      </c>
      <c r="I163" s="598">
        <v>45636</v>
      </c>
    </row>
    <row r="164" spans="1:9" outlineLevel="1">
      <c r="A164" s="592"/>
      <c r="B164" s="625" t="s">
        <v>789</v>
      </c>
      <c r="C164" s="626" t="s">
        <v>72</v>
      </c>
      <c r="D164" s="976">
        <f t="shared" si="2"/>
        <v>721.24520842325785</v>
      </c>
      <c r="E164" s="113" t="s">
        <v>712</v>
      </c>
      <c r="F164" s="598">
        <v>45814</v>
      </c>
      <c r="H164" s="972">
        <v>670.34</v>
      </c>
      <c r="I164" s="598">
        <v>45636</v>
      </c>
    </row>
    <row r="165" spans="1:9" outlineLevel="1">
      <c r="A165" s="592"/>
      <c r="B165" s="625" t="s">
        <v>790</v>
      </c>
      <c r="C165" s="626" t="s">
        <v>72</v>
      </c>
      <c r="D165" s="976">
        <f t="shared" si="2"/>
        <v>678.55193356238885</v>
      </c>
      <c r="E165" s="113" t="s">
        <v>712</v>
      </c>
      <c r="F165" s="598">
        <v>45814</v>
      </c>
      <c r="H165" s="972">
        <v>630.66</v>
      </c>
      <c r="I165" s="598">
        <v>45636</v>
      </c>
    </row>
    <row r="166" spans="1:9" outlineLevel="1">
      <c r="A166" s="592"/>
      <c r="B166" s="625" t="s">
        <v>791</v>
      </c>
      <c r="C166" s="626" t="s">
        <v>72</v>
      </c>
      <c r="D166" s="976">
        <f t="shared" si="2"/>
        <v>108.60532168488176</v>
      </c>
      <c r="E166" s="113" t="s">
        <v>712</v>
      </c>
      <c r="F166" s="598">
        <v>45814</v>
      </c>
      <c r="H166" s="972">
        <v>100.94</v>
      </c>
      <c r="I166" s="598">
        <v>45636</v>
      </c>
    </row>
    <row r="167" spans="1:9" outlineLevel="1">
      <c r="A167" s="592"/>
      <c r="B167" s="625" t="s">
        <v>792</v>
      </c>
      <c r="C167" s="626" t="s">
        <v>72</v>
      </c>
      <c r="D167" s="976">
        <f t="shared" si="2"/>
        <v>66.600648031446212</v>
      </c>
      <c r="E167" s="113" t="s">
        <v>712</v>
      </c>
      <c r="F167" s="598">
        <v>45814</v>
      </c>
      <c r="H167" s="972">
        <v>61.9</v>
      </c>
      <c r="I167" s="598">
        <v>45636</v>
      </c>
    </row>
    <row r="168" spans="1:9" outlineLevel="1">
      <c r="A168" s="592"/>
      <c r="B168" s="625" t="s">
        <v>793</v>
      </c>
      <c r="C168" s="626" t="s">
        <v>72</v>
      </c>
      <c r="D168" s="976">
        <f t="shared" si="2"/>
        <v>5452.4196762144838</v>
      </c>
      <c r="E168" s="113" t="s">
        <v>712</v>
      </c>
      <c r="F168" s="598">
        <v>45814</v>
      </c>
      <c r="H168" s="972">
        <v>5067.59</v>
      </c>
      <c r="I168" s="598">
        <v>45636</v>
      </c>
    </row>
    <row r="169" spans="1:9" outlineLevel="1">
      <c r="A169" s="592"/>
      <c r="B169" s="625" t="s">
        <v>794</v>
      </c>
      <c r="C169" s="626" t="s">
        <v>72</v>
      </c>
      <c r="D169" s="976">
        <f t="shared" si="2"/>
        <v>2100.6532990325572</v>
      </c>
      <c r="E169" s="113" t="s">
        <v>712</v>
      </c>
      <c r="F169" s="598">
        <v>45814</v>
      </c>
      <c r="H169" s="972">
        <v>1952.39</v>
      </c>
      <c r="I169" s="598">
        <v>45636</v>
      </c>
    </row>
    <row r="170" spans="1:9" outlineLevel="1">
      <c r="A170" s="592"/>
      <c r="B170" s="625" t="s">
        <v>795</v>
      </c>
      <c r="C170" s="626" t="s">
        <v>72</v>
      </c>
      <c r="D170" s="976">
        <f t="shared" si="2"/>
        <v>461.11534292143631</v>
      </c>
      <c r="E170" s="113" t="s">
        <v>712</v>
      </c>
      <c r="F170" s="598">
        <v>45814</v>
      </c>
      <c r="H170" s="972">
        <v>428.57</v>
      </c>
      <c r="I170" s="598">
        <v>45636</v>
      </c>
    </row>
    <row r="171" spans="1:9" outlineLevel="1">
      <c r="A171" s="592"/>
      <c r="B171" s="625" t="s">
        <v>796</v>
      </c>
      <c r="C171" s="626" t="s">
        <v>72</v>
      </c>
      <c r="D171" s="976">
        <f t="shared" si="2"/>
        <v>1229.6588467802735</v>
      </c>
      <c r="E171" s="113" t="s">
        <v>712</v>
      </c>
      <c r="F171" s="598">
        <v>45814</v>
      </c>
      <c r="H171" s="972">
        <v>1142.8699999999999</v>
      </c>
      <c r="I171" s="598">
        <v>45636</v>
      </c>
    </row>
    <row r="172" spans="1:9" outlineLevel="1">
      <c r="A172" s="592"/>
      <c r="B172" s="625" t="s">
        <v>797</v>
      </c>
      <c r="C172" s="626" t="s">
        <v>72</v>
      </c>
      <c r="D172" s="976">
        <f t="shared" si="2"/>
        <v>1229.6588467802735</v>
      </c>
      <c r="E172" s="113" t="s">
        <v>712</v>
      </c>
      <c r="F172" s="598">
        <v>45814</v>
      </c>
      <c r="H172" s="972">
        <v>1142.8699999999999</v>
      </c>
      <c r="I172" s="598">
        <v>45636</v>
      </c>
    </row>
    <row r="173" spans="1:9" outlineLevel="1">
      <c r="A173" s="592"/>
      <c r="B173" s="625" t="s">
        <v>798</v>
      </c>
      <c r="C173" s="626" t="s">
        <v>72</v>
      </c>
      <c r="D173" s="976">
        <f t="shared" si="2"/>
        <v>2270.7593160563315</v>
      </c>
      <c r="E173" s="113" t="s">
        <v>712</v>
      </c>
      <c r="F173" s="598">
        <v>45814</v>
      </c>
      <c r="H173" s="972">
        <v>2110.4899999999998</v>
      </c>
      <c r="I173" s="598">
        <v>45636</v>
      </c>
    </row>
    <row r="174" spans="1:9" outlineLevel="1">
      <c r="A174" s="592"/>
      <c r="B174" s="625" t="s">
        <v>799</v>
      </c>
      <c r="C174" s="626" t="s">
        <v>72</v>
      </c>
      <c r="D174" s="976">
        <f t="shared" si="2"/>
        <v>1935.5181219749422</v>
      </c>
      <c r="E174" s="113" t="s">
        <v>712</v>
      </c>
      <c r="F174" s="598">
        <v>45814</v>
      </c>
      <c r="H174" s="972">
        <v>1798.91</v>
      </c>
      <c r="I174" s="598">
        <v>45636</v>
      </c>
    </row>
    <row r="175" spans="1:9" outlineLevel="1">
      <c r="A175" s="592"/>
      <c r="B175" s="625" t="s">
        <v>800</v>
      </c>
      <c r="C175" s="626" t="s">
        <v>72</v>
      </c>
      <c r="D175" s="976">
        <f t="shared" si="2"/>
        <v>1188.0630300937516</v>
      </c>
      <c r="E175" s="113" t="s">
        <v>712</v>
      </c>
      <c r="F175" s="598">
        <v>45814</v>
      </c>
      <c r="H175" s="972">
        <v>1104.21</v>
      </c>
      <c r="I175" s="598">
        <v>45636</v>
      </c>
    </row>
    <row r="176" spans="1:9" outlineLevel="1">
      <c r="A176" s="592"/>
      <c r="B176" s="700" t="s">
        <v>178</v>
      </c>
      <c r="C176" s="626" t="s">
        <v>72</v>
      </c>
      <c r="D176" s="976">
        <f t="shared" si="2"/>
        <v>13338.356019498497</v>
      </c>
      <c r="E176" s="113" t="s">
        <v>712</v>
      </c>
      <c r="F176" s="598">
        <v>45814</v>
      </c>
      <c r="H176" s="972">
        <v>12396.94</v>
      </c>
      <c r="I176" s="598">
        <v>45636</v>
      </c>
    </row>
    <row r="177" spans="1:9" outlineLevel="1">
      <c r="A177" s="592"/>
      <c r="B177" s="625" t="s">
        <v>801</v>
      </c>
      <c r="C177" s="626" t="s">
        <v>72</v>
      </c>
      <c r="D177" s="976">
        <f t="shared" si="2"/>
        <v>450.87239996086493</v>
      </c>
      <c r="E177" s="113" t="s">
        <v>712</v>
      </c>
      <c r="F177" s="598">
        <v>45814</v>
      </c>
      <c r="H177" s="972">
        <v>419.05</v>
      </c>
      <c r="I177" s="598">
        <v>45636</v>
      </c>
    </row>
    <row r="178" spans="1:9" outlineLevel="1">
      <c r="A178" s="592"/>
      <c r="B178" s="625" t="s">
        <v>802</v>
      </c>
      <c r="C178" s="626" t="s">
        <v>72</v>
      </c>
      <c r="D178" s="976">
        <f t="shared" si="2"/>
        <v>2270.7593160563315</v>
      </c>
      <c r="E178" s="113" t="s">
        <v>712</v>
      </c>
      <c r="F178" s="598">
        <v>45814</v>
      </c>
      <c r="H178" s="972">
        <v>2110.4899999999998</v>
      </c>
      <c r="I178" s="598">
        <v>45636</v>
      </c>
    </row>
    <row r="179" spans="1:9" outlineLevel="1">
      <c r="A179" s="592"/>
      <c r="B179" s="625" t="s">
        <v>803</v>
      </c>
      <c r="C179" s="626" t="s">
        <v>72</v>
      </c>
      <c r="D179" s="976">
        <f t="shared" si="2"/>
        <v>922.24144523673874</v>
      </c>
      <c r="E179" s="113" t="s">
        <v>712</v>
      </c>
      <c r="F179" s="598">
        <v>45814</v>
      </c>
      <c r="H179" s="972">
        <v>857.15</v>
      </c>
      <c r="I179" s="598">
        <v>45636</v>
      </c>
    </row>
    <row r="180" spans="1:9" outlineLevel="1">
      <c r="A180" s="592"/>
      <c r="B180" s="724" t="s">
        <v>179</v>
      </c>
      <c r="C180" s="626" t="s">
        <v>72</v>
      </c>
      <c r="D180" s="976">
        <f t="shared" si="2"/>
        <v>11051.97406354852</v>
      </c>
      <c r="E180" s="113" t="s">
        <v>712</v>
      </c>
      <c r="F180" s="598">
        <v>45814</v>
      </c>
      <c r="H180" s="972">
        <v>10271.93</v>
      </c>
      <c r="I180" s="598">
        <v>45636</v>
      </c>
    </row>
    <row r="181" spans="1:9" outlineLevel="1">
      <c r="A181" s="592"/>
      <c r="B181" s="625" t="s">
        <v>804</v>
      </c>
      <c r="C181" s="626" t="s">
        <v>72</v>
      </c>
      <c r="D181" s="976">
        <f t="shared" si="2"/>
        <v>1398.9794280518197</v>
      </c>
      <c r="E181" s="113" t="s">
        <v>712</v>
      </c>
      <c r="F181" s="598">
        <v>45814</v>
      </c>
      <c r="H181" s="972">
        <v>1300.24</v>
      </c>
      <c r="I181" s="598">
        <v>45636</v>
      </c>
    </row>
    <row r="182" spans="1:9" outlineLevel="1">
      <c r="A182" s="592"/>
      <c r="B182" s="625" t="s">
        <v>805</v>
      </c>
      <c r="C182" s="626" t="s">
        <v>72</v>
      </c>
      <c r="D182" s="976">
        <f t="shared" si="2"/>
        <v>114.22172528301019</v>
      </c>
      <c r="E182" s="113" t="s">
        <v>712</v>
      </c>
      <c r="F182" s="598">
        <v>45814</v>
      </c>
      <c r="H182" s="972">
        <v>106.16</v>
      </c>
      <c r="I182" s="598">
        <v>45636</v>
      </c>
    </row>
    <row r="183" spans="1:9" outlineLevel="1">
      <c r="A183" s="591"/>
      <c r="B183" s="625" t="s">
        <v>806</v>
      </c>
      <c r="C183" s="626" t="s">
        <v>72</v>
      </c>
      <c r="D183" s="976">
        <f t="shared" si="2"/>
        <v>1665.4573359346675</v>
      </c>
      <c r="E183" s="113" t="s">
        <v>712</v>
      </c>
      <c r="F183" s="598">
        <v>45814</v>
      </c>
      <c r="H183" s="972">
        <v>1547.91</v>
      </c>
      <c r="I183" s="598">
        <v>45636</v>
      </c>
    </row>
    <row r="184" spans="1:9" outlineLevel="1">
      <c r="A184" s="592"/>
      <c r="B184" s="625" t="s">
        <v>807</v>
      </c>
      <c r="C184" s="626" t="s">
        <v>72</v>
      </c>
      <c r="D184" s="976">
        <f t="shared" si="2"/>
        <v>467.99059560190381</v>
      </c>
      <c r="E184" s="113" t="s">
        <v>712</v>
      </c>
      <c r="F184" s="598">
        <v>45814</v>
      </c>
      <c r="H184" s="972">
        <v>434.96</v>
      </c>
      <c r="I184" s="598">
        <v>45636</v>
      </c>
    </row>
    <row r="185" spans="1:9" outlineLevel="1">
      <c r="A185" s="592"/>
      <c r="B185" s="625" t="s">
        <v>808</v>
      </c>
      <c r="C185" s="626" t="s">
        <v>72</v>
      </c>
      <c r="D185" s="976">
        <f t="shared" si="2"/>
        <v>5542.2928931784045</v>
      </c>
      <c r="E185" s="113" t="s">
        <v>712</v>
      </c>
      <c r="F185" s="598">
        <v>45814</v>
      </c>
      <c r="H185" s="972">
        <v>5151.12</v>
      </c>
      <c r="I185" s="598">
        <v>45636</v>
      </c>
    </row>
    <row r="186" spans="1:9" outlineLevel="1">
      <c r="B186" s="111" t="s">
        <v>578</v>
      </c>
      <c r="C186" s="113" t="s">
        <v>72</v>
      </c>
      <c r="D186" s="976">
        <f t="shared" si="2"/>
        <v>3933.8478069282378</v>
      </c>
      <c r="E186" s="113" t="s">
        <v>809</v>
      </c>
      <c r="F186" s="598">
        <v>45814</v>
      </c>
      <c r="H186" s="972">
        <f>4424/1.21</f>
        <v>3656.1983471074382</v>
      </c>
      <c r="I186" s="598">
        <v>45654</v>
      </c>
    </row>
    <row r="187" spans="1:9" outlineLevel="1">
      <c r="B187" s="111" t="s">
        <v>1642</v>
      </c>
      <c r="C187" s="113" t="s">
        <v>72</v>
      </c>
      <c r="D187" s="976">
        <f t="shared" si="2"/>
        <v>895554.29658569163</v>
      </c>
      <c r="E187" s="113" t="s">
        <v>712</v>
      </c>
      <c r="F187" s="598">
        <v>45814</v>
      </c>
      <c r="H187" s="972">
        <v>832346.42</v>
      </c>
      <c r="I187" s="598">
        <v>45636</v>
      </c>
    </row>
    <row r="188" spans="1:9" outlineLevel="1">
      <c r="B188" s="111" t="s">
        <v>1643</v>
      </c>
      <c r="C188" s="113" t="s">
        <v>72</v>
      </c>
      <c r="D188" s="976">
        <f t="shared" si="2"/>
        <v>226574.59764844007</v>
      </c>
      <c r="E188" s="113" t="s">
        <v>712</v>
      </c>
      <c r="F188" s="598">
        <v>45814</v>
      </c>
      <c r="H188" s="972">
        <v>210583.05</v>
      </c>
      <c r="I188" s="598">
        <v>45636</v>
      </c>
    </row>
    <row r="189" spans="1:9" outlineLevel="1">
      <c r="B189" s="111" t="s">
        <v>1644</v>
      </c>
      <c r="C189" s="113" t="s">
        <v>72</v>
      </c>
      <c r="D189" s="976">
        <f t="shared" si="2"/>
        <v>476241.79184815579</v>
      </c>
      <c r="E189" s="113" t="s">
        <v>712</v>
      </c>
      <c r="F189" s="598">
        <v>45814</v>
      </c>
      <c r="H189" s="972">
        <v>442628.83</v>
      </c>
      <c r="I189" s="598">
        <v>45636</v>
      </c>
    </row>
    <row r="190" spans="1:9" outlineLevel="1">
      <c r="B190" s="111" t="s">
        <v>285</v>
      </c>
      <c r="C190" s="113" t="s">
        <v>72</v>
      </c>
      <c r="D190" s="976">
        <f>+H190*$K$84</f>
        <v>1083962.7455649166</v>
      </c>
      <c r="E190" s="113" t="s">
        <v>712</v>
      </c>
      <c r="F190" s="598">
        <v>45814</v>
      </c>
      <c r="H190" s="973">
        <v>968320.03</v>
      </c>
      <c r="I190" s="598">
        <v>45510</v>
      </c>
    </row>
    <row r="191" spans="1:9" outlineLevel="1">
      <c r="B191" s="111" t="s">
        <v>286</v>
      </c>
      <c r="C191" s="113" t="s">
        <v>72</v>
      </c>
      <c r="D191" s="976">
        <f t="shared" ref="D191:D193" si="3">+H191*$K$84</f>
        <v>548913.07767889975</v>
      </c>
      <c r="E191" s="113" t="s">
        <v>712</v>
      </c>
      <c r="F191" s="598">
        <v>45814</v>
      </c>
      <c r="H191" s="973">
        <v>490352.21</v>
      </c>
      <c r="I191" s="598">
        <v>45510</v>
      </c>
    </row>
    <row r="192" spans="1:9" outlineLevel="1">
      <c r="B192" s="111" t="s">
        <v>287</v>
      </c>
      <c r="C192" s="113" t="s">
        <v>72</v>
      </c>
      <c r="D192" s="976">
        <f t="shared" si="3"/>
        <v>1719995.0835943404</v>
      </c>
      <c r="E192" s="113" t="s">
        <v>712</v>
      </c>
      <c r="F192" s="598">
        <v>45814</v>
      </c>
      <c r="H192" s="973">
        <v>1536497.17</v>
      </c>
      <c r="I192" s="598">
        <v>45510</v>
      </c>
    </row>
    <row r="193" spans="2:9" outlineLevel="1">
      <c r="B193" s="111" t="s">
        <v>288</v>
      </c>
      <c r="C193" s="113" t="s">
        <v>72</v>
      </c>
      <c r="D193" s="976">
        <f t="shared" si="3"/>
        <v>492607.4544726868</v>
      </c>
      <c r="E193" s="113" t="s">
        <v>712</v>
      </c>
      <c r="F193" s="598">
        <v>45814</v>
      </c>
      <c r="H193" s="973">
        <v>440053.56</v>
      </c>
      <c r="I193" s="598">
        <v>45510</v>
      </c>
    </row>
    <row r="194" spans="2:9" outlineLevel="1">
      <c r="B194" s="111" t="s">
        <v>1645</v>
      </c>
      <c r="C194" s="113" t="s">
        <v>72</v>
      </c>
      <c r="D194" s="976">
        <f>+H194*$K$83</f>
        <v>498022.38791139348</v>
      </c>
      <c r="E194" s="113" t="s">
        <v>712</v>
      </c>
      <c r="F194" s="598">
        <v>45814</v>
      </c>
      <c r="H194" s="972">
        <v>462872.16</v>
      </c>
      <c r="I194" s="598">
        <v>45636</v>
      </c>
    </row>
    <row r="195" spans="2:9" outlineLevel="1">
      <c r="B195" s="111" t="s">
        <v>629</v>
      </c>
      <c r="C195" s="113" t="s">
        <v>72</v>
      </c>
      <c r="D195" s="976">
        <f t="shared" ref="D195:D197" si="4">+H195*$K$83</f>
        <v>4071.7096989473807</v>
      </c>
      <c r="E195" s="113" t="s">
        <v>712</v>
      </c>
      <c r="F195" s="598">
        <v>45814</v>
      </c>
      <c r="H195" s="972">
        <v>3784.33</v>
      </c>
      <c r="I195" s="598">
        <v>45636</v>
      </c>
    </row>
    <row r="196" spans="2:9" outlineLevel="1">
      <c r="B196" s="111" t="s">
        <v>631</v>
      </c>
      <c r="C196" s="113" t="s">
        <v>72</v>
      </c>
      <c r="D196" s="976">
        <f t="shared" si="4"/>
        <v>10375.132873610848</v>
      </c>
      <c r="E196" s="113" t="s">
        <v>712</v>
      </c>
      <c r="F196" s="598">
        <v>45814</v>
      </c>
      <c r="H196" s="972">
        <v>9642.86</v>
      </c>
      <c r="I196" s="598">
        <v>45636</v>
      </c>
    </row>
    <row r="197" spans="2:9" outlineLevel="1">
      <c r="B197" s="724" t="s">
        <v>810</v>
      </c>
      <c r="C197" s="113" t="s">
        <v>72</v>
      </c>
      <c r="D197" s="976">
        <f t="shared" si="4"/>
        <v>4623.8717441290319</v>
      </c>
      <c r="E197" s="113" t="s">
        <v>524</v>
      </c>
      <c r="F197" s="598">
        <v>45814</v>
      </c>
      <c r="H197" s="973">
        <f>5200/1.21</f>
        <v>4297.5206611570247</v>
      </c>
      <c r="I197" s="725">
        <v>45654</v>
      </c>
    </row>
    <row r="198" spans="2:9" outlineLevel="1">
      <c r="B198" s="724" t="s">
        <v>811</v>
      </c>
      <c r="C198" s="113" t="s">
        <v>72</v>
      </c>
      <c r="D198" s="976">
        <f t="shared" ref="D198:D209" si="5">+H198*$K$84</f>
        <v>566.54156532360923</v>
      </c>
      <c r="E198" s="113" t="s">
        <v>712</v>
      </c>
      <c r="F198" s="598">
        <v>45814</v>
      </c>
      <c r="H198" s="973">
        <v>506.1</v>
      </c>
      <c r="I198" s="598">
        <v>45511</v>
      </c>
    </row>
    <row r="199" spans="2:9" outlineLevel="1">
      <c r="B199" s="724" t="s">
        <v>812</v>
      </c>
      <c r="C199" s="113" t="s">
        <v>72</v>
      </c>
      <c r="D199" s="976">
        <f t="shared" si="5"/>
        <v>530.71992910476808</v>
      </c>
      <c r="E199" s="113" t="s">
        <v>712</v>
      </c>
      <c r="F199" s="598">
        <v>45814</v>
      </c>
      <c r="H199" s="973">
        <v>474.1</v>
      </c>
      <c r="I199" s="598">
        <v>45511</v>
      </c>
    </row>
    <row r="200" spans="2:9" outlineLevel="1">
      <c r="B200" s="724" t="s">
        <v>813</v>
      </c>
      <c r="C200" s="113" t="s">
        <v>72</v>
      </c>
      <c r="D200" s="976">
        <f t="shared" si="5"/>
        <v>1157.139598220434</v>
      </c>
      <c r="E200" s="113" t="s">
        <v>712</v>
      </c>
      <c r="F200" s="598">
        <v>45814</v>
      </c>
      <c r="H200" s="973">
        <v>1033.69</v>
      </c>
      <c r="I200" s="598">
        <v>45511</v>
      </c>
    </row>
    <row r="201" spans="2:9" outlineLevel="1">
      <c r="B201" s="724" t="s">
        <v>814</v>
      </c>
      <c r="C201" s="113" t="s">
        <v>72</v>
      </c>
      <c r="D201" s="976">
        <f t="shared" si="5"/>
        <v>2757.1577569802466</v>
      </c>
      <c r="E201" s="113" t="s">
        <v>712</v>
      </c>
      <c r="F201" s="598">
        <v>45814</v>
      </c>
      <c r="H201" s="973">
        <v>2463.0100000000002</v>
      </c>
      <c r="I201" s="598">
        <v>45511</v>
      </c>
    </row>
    <row r="202" spans="2:9" outlineLevel="1">
      <c r="B202" s="724" t="s">
        <v>815</v>
      </c>
      <c r="C202" s="113" t="s">
        <v>72</v>
      </c>
      <c r="D202" s="976">
        <f t="shared" si="5"/>
        <v>1053.9508973875347</v>
      </c>
      <c r="E202" s="113" t="s">
        <v>712</v>
      </c>
      <c r="F202" s="598">
        <v>45814</v>
      </c>
      <c r="H202" s="973">
        <v>941.51</v>
      </c>
      <c r="I202" s="598">
        <v>45511</v>
      </c>
    </row>
    <row r="203" spans="2:9" outlineLevel="1">
      <c r="B203" s="724" t="s">
        <v>816</v>
      </c>
      <c r="C203" s="113" t="s">
        <v>72</v>
      </c>
      <c r="D203" s="976">
        <f t="shared" si="5"/>
        <v>2681.4397734226709</v>
      </c>
      <c r="E203" s="113" t="s">
        <v>712</v>
      </c>
      <c r="F203" s="598">
        <v>45814</v>
      </c>
      <c r="H203" s="973">
        <v>2395.37</v>
      </c>
      <c r="I203" s="598">
        <v>45511</v>
      </c>
    </row>
    <row r="204" spans="2:9" outlineLevel="1">
      <c r="B204" s="724" t="s">
        <v>817</v>
      </c>
      <c r="C204" s="113" t="s">
        <v>72</v>
      </c>
      <c r="D204" s="976">
        <f t="shared" si="5"/>
        <v>137.91329944253835</v>
      </c>
      <c r="E204" s="113" t="s">
        <v>712</v>
      </c>
      <c r="F204" s="598">
        <v>45814</v>
      </c>
      <c r="H204" s="973">
        <v>123.2</v>
      </c>
      <c r="I204" s="598">
        <v>45511</v>
      </c>
    </row>
    <row r="205" spans="2:9" outlineLevel="1">
      <c r="B205" s="741" t="s">
        <v>180</v>
      </c>
      <c r="C205" s="113" t="s">
        <v>72</v>
      </c>
      <c r="D205" s="976">
        <f t="shared" si="5"/>
        <v>3549.4539903117834</v>
      </c>
      <c r="E205" s="113" t="s">
        <v>712</v>
      </c>
      <c r="F205" s="598">
        <v>45814</v>
      </c>
      <c r="H205" s="973">
        <f>+H198+H199+H200+H200+H204</f>
        <v>3170.7799999999997</v>
      </c>
      <c r="I205" s="598">
        <v>45511</v>
      </c>
    </row>
    <row r="206" spans="2:9" outlineLevel="1">
      <c r="B206" s="741" t="s">
        <v>181</v>
      </c>
      <c r="C206" s="113" t="s">
        <v>72</v>
      </c>
      <c r="D206" s="976">
        <f t="shared" si="5"/>
        <v>3854.4192514086239</v>
      </c>
      <c r="E206" s="113" t="s">
        <v>712</v>
      </c>
      <c r="F206" s="598">
        <v>45814</v>
      </c>
      <c r="H206" s="973">
        <f>+H198+H199+H201</f>
        <v>3443.21</v>
      </c>
      <c r="I206" s="598">
        <v>45511</v>
      </c>
    </row>
    <row r="207" spans="2:9" outlineLevel="1">
      <c r="B207" s="741" t="s">
        <v>182</v>
      </c>
      <c r="C207" s="113" t="s">
        <v>72</v>
      </c>
      <c r="D207" s="976">
        <f t="shared" si="5"/>
        <v>2427.038990700989</v>
      </c>
      <c r="E207" s="113" t="s">
        <v>712</v>
      </c>
      <c r="F207" s="598">
        <v>45814</v>
      </c>
      <c r="H207" s="973">
        <f>+H198+H199+H202+H204+H204</f>
        <v>2168.11</v>
      </c>
      <c r="I207" s="598">
        <v>45511</v>
      </c>
    </row>
    <row r="208" spans="2:9" outlineLevel="1">
      <c r="B208" s="741" t="s">
        <v>183</v>
      </c>
      <c r="C208" s="113" t="s">
        <v>72</v>
      </c>
      <c r="D208" s="976">
        <f t="shared" si="5"/>
        <v>4054.5278667361245</v>
      </c>
      <c r="E208" s="113" t="s">
        <v>712</v>
      </c>
      <c r="F208" s="598">
        <v>45814</v>
      </c>
      <c r="H208" s="973">
        <f>+H198+H199+H203+H204+H204</f>
        <v>3621.9699999999993</v>
      </c>
      <c r="I208" s="598">
        <v>45511</v>
      </c>
    </row>
    <row r="209" spans="1:9" outlineLevel="1">
      <c r="B209" s="707" t="s">
        <v>184</v>
      </c>
      <c r="C209" s="599" t="s">
        <v>72</v>
      </c>
      <c r="D209" s="976">
        <f t="shared" si="5"/>
        <v>1511.0013927559926</v>
      </c>
      <c r="E209" s="599" t="s">
        <v>712</v>
      </c>
      <c r="F209" s="600">
        <v>45814</v>
      </c>
      <c r="H209" s="973">
        <f>+H198+H199+H204*3</f>
        <v>1349.8000000000002</v>
      </c>
      <c r="I209" s="598">
        <v>45511</v>
      </c>
    </row>
    <row r="210" spans="1:9">
      <c r="B210" s="594" t="s">
        <v>818</v>
      </c>
      <c r="C210" s="595"/>
      <c r="D210" s="396"/>
      <c r="E210" s="595"/>
      <c r="F210" s="596"/>
    </row>
    <row r="211" spans="1:9" outlineLevel="1">
      <c r="A211" s="241">
        <v>1</v>
      </c>
      <c r="B211" s="632" t="s">
        <v>1493</v>
      </c>
      <c r="C211" s="436" t="s">
        <v>532</v>
      </c>
      <c r="D211" s="976">
        <f>+H211*$K$83</f>
        <v>85882.267275332793</v>
      </c>
      <c r="E211" s="113" t="s">
        <v>926</v>
      </c>
      <c r="F211" s="597">
        <v>45644</v>
      </c>
      <c r="H211" s="974">
        <v>79820.73</v>
      </c>
      <c r="I211" s="597">
        <v>45644</v>
      </c>
    </row>
    <row r="212" spans="1:9" outlineLevel="1">
      <c r="A212" s="241">
        <v>2</v>
      </c>
      <c r="B212" s="355" t="s">
        <v>1494</v>
      </c>
      <c r="C212" s="113" t="s">
        <v>72</v>
      </c>
      <c r="D212" s="976">
        <f t="shared" ref="D212:D249" si="6">+H212*$K$83</f>
        <v>5407.9080637902362</v>
      </c>
      <c r="E212" s="113" t="s">
        <v>926</v>
      </c>
      <c r="F212" s="598">
        <v>45644</v>
      </c>
      <c r="H212" s="972">
        <v>5026.22</v>
      </c>
      <c r="I212" s="598">
        <v>45644</v>
      </c>
    </row>
    <row r="213" spans="1:9" outlineLevel="1">
      <c r="A213" s="241">
        <v>3</v>
      </c>
      <c r="B213" s="355" t="s">
        <v>1495</v>
      </c>
      <c r="C213" s="113" t="s">
        <v>72</v>
      </c>
      <c r="D213" s="976">
        <f t="shared" si="6"/>
        <v>3865.0109833848419</v>
      </c>
      <c r="E213" s="113" t="s">
        <v>926</v>
      </c>
      <c r="F213" s="598">
        <v>45644</v>
      </c>
      <c r="H213" s="972">
        <v>3592.22</v>
      </c>
      <c r="I213" s="598">
        <v>45644</v>
      </c>
    </row>
    <row r="214" spans="1:9" outlineLevel="1">
      <c r="A214" s="241">
        <v>4</v>
      </c>
      <c r="B214" s="355" t="s">
        <v>1496</v>
      </c>
      <c r="C214" s="113" t="s">
        <v>72</v>
      </c>
      <c r="D214" s="976">
        <f t="shared" si="6"/>
        <v>1113.0377766651129</v>
      </c>
      <c r="E214" s="113" t="s">
        <v>926</v>
      </c>
      <c r="F214" s="598">
        <v>45644</v>
      </c>
      <c r="H214" s="972">
        <v>1034.48</v>
      </c>
      <c r="I214" s="598">
        <v>45644</v>
      </c>
    </row>
    <row r="215" spans="1:9" outlineLevel="1">
      <c r="A215" s="241">
        <v>5</v>
      </c>
      <c r="B215" s="355" t="s">
        <v>1497</v>
      </c>
      <c r="C215" s="113" t="s">
        <v>72</v>
      </c>
      <c r="D215" s="976">
        <f t="shared" si="6"/>
        <v>4313.6239106338162</v>
      </c>
      <c r="E215" s="113" t="s">
        <v>926</v>
      </c>
      <c r="F215" s="598">
        <v>45644</v>
      </c>
      <c r="H215" s="972">
        <v>4009.17</v>
      </c>
      <c r="I215" s="598">
        <v>45644</v>
      </c>
    </row>
    <row r="216" spans="1:9" outlineLevel="1">
      <c r="A216" s="241">
        <v>6</v>
      </c>
      <c r="B216" s="355" t="s">
        <v>1498</v>
      </c>
      <c r="C216" s="113" t="s">
        <v>72</v>
      </c>
      <c r="D216" s="976">
        <f t="shared" si="6"/>
        <v>3817.2823121946171</v>
      </c>
      <c r="E216" s="113" t="s">
        <v>926</v>
      </c>
      <c r="F216" s="598">
        <v>45644</v>
      </c>
      <c r="H216" s="972">
        <v>3547.86</v>
      </c>
      <c r="I216" s="598">
        <v>45644</v>
      </c>
    </row>
    <row r="217" spans="1:9" outlineLevel="1">
      <c r="A217" s="241">
        <v>7</v>
      </c>
      <c r="B217" s="355" t="s">
        <v>1499</v>
      </c>
      <c r="C217" s="113" t="s">
        <v>72</v>
      </c>
      <c r="D217" s="976">
        <f t="shared" si="6"/>
        <v>94942.04273001953</v>
      </c>
      <c r="E217" s="113" t="s">
        <v>926</v>
      </c>
      <c r="F217" s="598">
        <v>45644</v>
      </c>
      <c r="H217" s="972">
        <v>88241.07</v>
      </c>
      <c r="I217" s="598">
        <v>45644</v>
      </c>
    </row>
    <row r="218" spans="1:9" outlineLevel="1">
      <c r="A218" s="241">
        <v>8</v>
      </c>
      <c r="B218" s="355" t="s">
        <v>1500</v>
      </c>
      <c r="C218" s="113" t="s">
        <v>72</v>
      </c>
      <c r="D218" s="976">
        <f t="shared" si="6"/>
        <v>4426.9741250136694</v>
      </c>
      <c r="E218" s="113" t="s">
        <v>926</v>
      </c>
      <c r="F218" s="598">
        <v>45644</v>
      </c>
      <c r="H218" s="972">
        <v>4114.5200000000004</v>
      </c>
      <c r="I218" s="598">
        <v>45644</v>
      </c>
    </row>
    <row r="219" spans="1:9" outlineLevel="1">
      <c r="A219" s="241">
        <v>9</v>
      </c>
      <c r="B219" s="355" t="s">
        <v>1501</v>
      </c>
      <c r="C219" s="113" t="s">
        <v>72</v>
      </c>
      <c r="D219" s="976">
        <f t="shared" si="6"/>
        <v>14513.722964830195</v>
      </c>
      <c r="E219" s="113" t="s">
        <v>926</v>
      </c>
      <c r="F219" s="598">
        <v>45644</v>
      </c>
      <c r="H219" s="972">
        <v>13489.35</v>
      </c>
      <c r="I219" s="598">
        <v>45644</v>
      </c>
    </row>
    <row r="220" spans="1:9" outlineLevel="1">
      <c r="A220" s="241">
        <v>10</v>
      </c>
      <c r="B220" s="355" t="s">
        <v>1502</v>
      </c>
      <c r="C220" s="113" t="s">
        <v>72</v>
      </c>
      <c r="D220" s="976">
        <f t="shared" si="6"/>
        <v>139939.36647156661</v>
      </c>
      <c r="E220" s="113" t="s">
        <v>926</v>
      </c>
      <c r="F220" s="598">
        <v>45644</v>
      </c>
      <c r="H220" s="972">
        <v>130062.5</v>
      </c>
      <c r="I220" s="598">
        <v>45644</v>
      </c>
    </row>
    <row r="221" spans="1:9" outlineLevel="1">
      <c r="A221" s="241">
        <v>11</v>
      </c>
      <c r="B221" s="355" t="s">
        <v>1503</v>
      </c>
      <c r="C221" s="113" t="s">
        <v>532</v>
      </c>
      <c r="D221" s="976">
        <f t="shared" si="6"/>
        <v>11975.689545744921</v>
      </c>
      <c r="E221" s="113" t="s">
        <v>926</v>
      </c>
      <c r="F221" s="598">
        <v>45644</v>
      </c>
      <c r="H221" s="972">
        <v>11130.45</v>
      </c>
      <c r="I221" s="598">
        <v>45644</v>
      </c>
    </row>
    <row r="222" spans="1:9" outlineLevel="1">
      <c r="A222" s="241">
        <v>12</v>
      </c>
      <c r="B222" s="355" t="s">
        <v>1504</v>
      </c>
      <c r="C222" s="113" t="s">
        <v>532</v>
      </c>
      <c r="D222" s="976">
        <f t="shared" si="6"/>
        <v>15522.620568264878</v>
      </c>
      <c r="E222" s="113" t="s">
        <v>926</v>
      </c>
      <c r="F222" s="598">
        <v>45644</v>
      </c>
      <c r="H222" s="972">
        <v>14427.04</v>
      </c>
      <c r="I222" s="598">
        <v>45644</v>
      </c>
    </row>
    <row r="223" spans="1:9" outlineLevel="1">
      <c r="A223" s="241">
        <v>13</v>
      </c>
      <c r="B223" s="355" t="s">
        <v>1505</v>
      </c>
      <c r="C223" s="113" t="s">
        <v>532</v>
      </c>
      <c r="D223" s="976">
        <f t="shared" si="6"/>
        <v>23660.649509832696</v>
      </c>
      <c r="E223" s="113" t="s">
        <v>926</v>
      </c>
      <c r="F223" s="598">
        <v>45644</v>
      </c>
      <c r="H223" s="972">
        <v>21990.69</v>
      </c>
      <c r="I223" s="598">
        <v>45644</v>
      </c>
    </row>
    <row r="224" spans="1:9" outlineLevel="1">
      <c r="A224" s="241">
        <v>14</v>
      </c>
      <c r="B224" s="111" t="s">
        <v>1506</v>
      </c>
      <c r="C224" s="113" t="s">
        <v>532</v>
      </c>
      <c r="D224" s="976">
        <f t="shared" si="6"/>
        <v>34177.77410429508</v>
      </c>
      <c r="E224" s="113" t="s">
        <v>926</v>
      </c>
      <c r="F224" s="598">
        <v>45644</v>
      </c>
      <c r="H224" s="972">
        <v>31765.52</v>
      </c>
      <c r="I224" s="598">
        <v>45644</v>
      </c>
    </row>
    <row r="225" spans="1:9" outlineLevel="1">
      <c r="A225" s="241">
        <v>15</v>
      </c>
      <c r="B225" s="111" t="s">
        <v>1507</v>
      </c>
      <c r="C225" s="113" t="s">
        <v>72</v>
      </c>
      <c r="D225" s="976">
        <f t="shared" si="6"/>
        <v>1073.1742223910403</v>
      </c>
      <c r="E225" s="113" t="s">
        <v>926</v>
      </c>
      <c r="F225" s="598">
        <v>45644</v>
      </c>
      <c r="H225" s="972">
        <v>997.43</v>
      </c>
      <c r="I225" s="598">
        <v>45644</v>
      </c>
    </row>
    <row r="226" spans="1:9" outlineLevel="1">
      <c r="A226" s="241">
        <v>16</v>
      </c>
      <c r="B226" s="111" t="s">
        <v>1508</v>
      </c>
      <c r="C226" s="113" t="s">
        <v>72</v>
      </c>
      <c r="D226" s="976">
        <f t="shared" si="6"/>
        <v>1208.667269347422</v>
      </c>
      <c r="E226" s="113" t="s">
        <v>926</v>
      </c>
      <c r="F226" s="598">
        <v>45644</v>
      </c>
      <c r="H226" s="972">
        <v>1123.3599999999999</v>
      </c>
      <c r="I226" s="598">
        <v>45644</v>
      </c>
    </row>
    <row r="227" spans="1:9" outlineLevel="1">
      <c r="A227" s="241">
        <v>17</v>
      </c>
      <c r="B227" s="111" t="s">
        <v>1509</v>
      </c>
      <c r="C227" s="113" t="s">
        <v>72</v>
      </c>
      <c r="D227" s="976">
        <f t="shared" si="6"/>
        <v>1372.2208155067133</v>
      </c>
      <c r="E227" s="113" t="s">
        <v>926</v>
      </c>
      <c r="F227" s="598">
        <v>45644</v>
      </c>
      <c r="H227" s="972">
        <v>1275.3699999999999</v>
      </c>
      <c r="I227" s="598">
        <v>45644</v>
      </c>
    </row>
    <row r="228" spans="1:9" outlineLevel="1">
      <c r="A228" s="241">
        <v>18</v>
      </c>
      <c r="B228" s="111" t="s">
        <v>1510</v>
      </c>
      <c r="C228" s="113" t="s">
        <v>72</v>
      </c>
      <c r="D228" s="976">
        <f t="shared" si="6"/>
        <v>6565.6080843937225</v>
      </c>
      <c r="E228" s="113" t="s">
        <v>926</v>
      </c>
      <c r="F228" s="598">
        <v>45644</v>
      </c>
      <c r="H228" s="972">
        <v>6102.21</v>
      </c>
      <c r="I228" s="598">
        <v>45644</v>
      </c>
    </row>
    <row r="229" spans="1:9" outlineLevel="1">
      <c r="A229" s="241">
        <v>19</v>
      </c>
      <c r="B229" s="111" t="s">
        <v>1511</v>
      </c>
      <c r="C229" s="113" t="s">
        <v>72</v>
      </c>
      <c r="D229" s="976">
        <f t="shared" si="6"/>
        <v>2889.7364857818684</v>
      </c>
      <c r="E229" s="113" t="s">
        <v>926</v>
      </c>
      <c r="F229" s="598">
        <v>45644</v>
      </c>
      <c r="H229" s="972">
        <v>2685.78</v>
      </c>
      <c r="I229" s="598">
        <v>45644</v>
      </c>
    </row>
    <row r="230" spans="1:9" outlineLevel="1">
      <c r="A230" s="241">
        <v>20</v>
      </c>
      <c r="B230" s="111" t="s">
        <v>1512</v>
      </c>
      <c r="C230" s="113" t="s">
        <v>72</v>
      </c>
      <c r="D230" s="976">
        <f t="shared" si="6"/>
        <v>3803.381175319556</v>
      </c>
      <c r="E230" s="113" t="s">
        <v>926</v>
      </c>
      <c r="F230" s="598">
        <v>45644</v>
      </c>
      <c r="H230" s="972">
        <v>3534.94</v>
      </c>
      <c r="I230" s="598">
        <v>45644</v>
      </c>
    </row>
    <row r="231" spans="1:9" outlineLevel="1">
      <c r="A231" s="241">
        <v>21</v>
      </c>
      <c r="B231" s="111" t="s">
        <v>1513</v>
      </c>
      <c r="C231" s="113" t="s">
        <v>72</v>
      </c>
      <c r="D231" s="976">
        <f t="shared" si="6"/>
        <v>13292.886821020162</v>
      </c>
      <c r="E231" s="113" t="s">
        <v>926</v>
      </c>
      <c r="F231" s="598">
        <v>45644</v>
      </c>
      <c r="H231" s="972">
        <v>12354.68</v>
      </c>
      <c r="I231" s="598">
        <v>45644</v>
      </c>
    </row>
    <row r="232" spans="1:9" outlineLevel="1">
      <c r="A232" s="241">
        <v>22</v>
      </c>
      <c r="B232" s="111" t="s">
        <v>1514</v>
      </c>
      <c r="C232" s="113" t="s">
        <v>72</v>
      </c>
      <c r="D232" s="976">
        <f t="shared" si="6"/>
        <v>1428.0620696720132</v>
      </c>
      <c r="E232" s="113" t="s">
        <v>926</v>
      </c>
      <c r="F232" s="598">
        <v>45644</v>
      </c>
      <c r="H232" s="972">
        <v>1327.27</v>
      </c>
      <c r="I232" s="598">
        <v>45644</v>
      </c>
    </row>
    <row r="233" spans="1:9" outlineLevel="1">
      <c r="A233" s="241">
        <v>23</v>
      </c>
      <c r="B233" s="111" t="s">
        <v>1515</v>
      </c>
      <c r="C233" s="113" t="s">
        <v>72</v>
      </c>
      <c r="D233" s="976">
        <f t="shared" si="6"/>
        <v>1557.5836530326837</v>
      </c>
      <c r="E233" s="113" t="s">
        <v>926</v>
      </c>
      <c r="F233" s="598">
        <v>45644</v>
      </c>
      <c r="H233" s="972">
        <v>1447.65</v>
      </c>
      <c r="I233" s="598">
        <v>45644</v>
      </c>
    </row>
    <row r="234" spans="1:9" outlineLevel="1">
      <c r="A234" s="241">
        <v>24</v>
      </c>
      <c r="B234" s="111" t="s">
        <v>1516</v>
      </c>
      <c r="C234" s="113" t="s">
        <v>72</v>
      </c>
      <c r="D234" s="976">
        <f t="shared" si="6"/>
        <v>2394.2448794580941</v>
      </c>
      <c r="E234" s="113" t="s">
        <v>926</v>
      </c>
      <c r="F234" s="598">
        <v>45644</v>
      </c>
      <c r="H234" s="972">
        <v>2225.2600000000002</v>
      </c>
      <c r="I234" s="598">
        <v>45644</v>
      </c>
    </row>
    <row r="235" spans="1:9" outlineLevel="1">
      <c r="A235" s="241">
        <v>25</v>
      </c>
      <c r="B235" s="111" t="s">
        <v>1517</v>
      </c>
      <c r="C235" s="113" t="s">
        <v>72</v>
      </c>
      <c r="D235" s="976">
        <f t="shared" si="6"/>
        <v>9913.7915834182222</v>
      </c>
      <c r="E235" s="113" t="s">
        <v>926</v>
      </c>
      <c r="F235" s="598">
        <v>45644</v>
      </c>
      <c r="H235" s="972">
        <v>9214.08</v>
      </c>
      <c r="I235" s="598">
        <v>45644</v>
      </c>
    </row>
    <row r="236" spans="1:9" outlineLevel="1">
      <c r="A236" s="241">
        <v>26</v>
      </c>
      <c r="B236" s="111" t="s">
        <v>1518</v>
      </c>
      <c r="C236" s="113" t="s">
        <v>72</v>
      </c>
      <c r="D236" s="976">
        <f t="shared" si="6"/>
        <v>2621.8168191209566</v>
      </c>
      <c r="E236" s="113" t="s">
        <v>926</v>
      </c>
      <c r="F236" s="598">
        <v>45644</v>
      </c>
      <c r="H236" s="972">
        <v>2436.77</v>
      </c>
      <c r="I236" s="598">
        <v>45644</v>
      </c>
    </row>
    <row r="237" spans="1:9" outlineLevel="1">
      <c r="A237" s="241">
        <v>27</v>
      </c>
      <c r="B237" s="111" t="s">
        <v>1519</v>
      </c>
      <c r="C237" s="113" t="s">
        <v>72</v>
      </c>
      <c r="D237" s="976">
        <f t="shared" si="6"/>
        <v>1022.6158306140186</v>
      </c>
      <c r="E237" s="113" t="s">
        <v>926</v>
      </c>
      <c r="F237" s="598">
        <v>45644</v>
      </c>
      <c r="H237" s="972">
        <v>950.44</v>
      </c>
      <c r="I237" s="598">
        <v>45644</v>
      </c>
    </row>
    <row r="238" spans="1:9" outlineLevel="1">
      <c r="A238" s="241">
        <v>28</v>
      </c>
      <c r="B238" s="111" t="s">
        <v>1520</v>
      </c>
      <c r="C238" s="113" t="s">
        <v>72</v>
      </c>
      <c r="D238" s="976">
        <f t="shared" si="6"/>
        <v>1203.9331360463177</v>
      </c>
      <c r="E238" s="113" t="s">
        <v>926</v>
      </c>
      <c r="F238" s="598">
        <v>45644</v>
      </c>
      <c r="H238" s="972">
        <v>1118.96</v>
      </c>
      <c r="I238" s="598">
        <v>45644</v>
      </c>
    </row>
    <row r="239" spans="1:9" outlineLevel="1">
      <c r="A239" s="241">
        <v>29</v>
      </c>
      <c r="B239" s="111" t="s">
        <v>1521</v>
      </c>
      <c r="C239" s="113" t="s">
        <v>72</v>
      </c>
      <c r="D239" s="976">
        <f t="shared" si="6"/>
        <v>6447.6098118636955</v>
      </c>
      <c r="E239" s="113" t="s">
        <v>926</v>
      </c>
      <c r="F239" s="598">
        <v>45644</v>
      </c>
      <c r="H239" s="972">
        <v>5992.54</v>
      </c>
      <c r="I239" s="598">
        <v>45644</v>
      </c>
    </row>
    <row r="240" spans="1:9" outlineLevel="1">
      <c r="A240" s="241">
        <v>30</v>
      </c>
      <c r="B240" s="111" t="s">
        <v>1522</v>
      </c>
      <c r="C240" s="113" t="s">
        <v>72</v>
      </c>
      <c r="D240" s="976">
        <f t="shared" si="6"/>
        <v>2873.9524549802313</v>
      </c>
      <c r="E240" s="113" t="s">
        <v>926</v>
      </c>
      <c r="F240" s="598">
        <v>45644</v>
      </c>
      <c r="H240" s="972">
        <v>2671.11</v>
      </c>
      <c r="I240" s="598">
        <v>45644</v>
      </c>
    </row>
    <row r="241" spans="1:9" outlineLevel="1">
      <c r="A241" s="241">
        <v>31</v>
      </c>
      <c r="B241" s="111" t="s">
        <v>1523</v>
      </c>
      <c r="C241" s="113" t="s">
        <v>72</v>
      </c>
      <c r="D241" s="976">
        <f t="shared" si="6"/>
        <v>4269.0047042709075</v>
      </c>
      <c r="E241" s="113" t="s">
        <v>926</v>
      </c>
      <c r="F241" s="598">
        <v>45644</v>
      </c>
      <c r="H241" s="972">
        <v>3967.7</v>
      </c>
      <c r="I241" s="598">
        <v>45644</v>
      </c>
    </row>
    <row r="242" spans="1:9" outlineLevel="1">
      <c r="A242" s="241">
        <v>32</v>
      </c>
      <c r="B242" s="111" t="s">
        <v>1524</v>
      </c>
      <c r="C242" s="113" t="s">
        <v>72</v>
      </c>
      <c r="D242" s="976">
        <f t="shared" si="6"/>
        <v>5883.3334005536472</v>
      </c>
      <c r="E242" s="113" t="s">
        <v>926</v>
      </c>
      <c r="F242" s="598">
        <v>45644</v>
      </c>
      <c r="H242" s="972">
        <v>5468.09</v>
      </c>
      <c r="I242" s="598">
        <v>45644</v>
      </c>
    </row>
    <row r="243" spans="1:9" outlineLevel="1">
      <c r="A243" s="241">
        <v>33</v>
      </c>
      <c r="B243" s="111" t="s">
        <v>1525</v>
      </c>
      <c r="C243" s="113" t="s">
        <v>72</v>
      </c>
      <c r="D243" s="976">
        <f t="shared" si="6"/>
        <v>15209.726635243473</v>
      </c>
      <c r="E243" s="113" t="s">
        <v>926</v>
      </c>
      <c r="F243" s="598">
        <v>45644</v>
      </c>
      <c r="H243" s="972">
        <v>14136.23</v>
      </c>
      <c r="I243" s="598">
        <v>45644</v>
      </c>
    </row>
    <row r="244" spans="1:9" outlineLevel="1">
      <c r="A244" s="241">
        <v>34</v>
      </c>
      <c r="B244" s="111" t="s">
        <v>1526</v>
      </c>
      <c r="C244" s="113" t="s">
        <v>72</v>
      </c>
      <c r="D244" s="976">
        <f t="shared" si="6"/>
        <v>15225.779650891764</v>
      </c>
      <c r="E244" s="113" t="s">
        <v>926</v>
      </c>
      <c r="F244" s="598">
        <v>45644</v>
      </c>
      <c r="H244" s="972">
        <v>14151.15</v>
      </c>
      <c r="I244" s="598">
        <v>45644</v>
      </c>
    </row>
    <row r="245" spans="1:9" outlineLevel="1">
      <c r="A245" s="241">
        <v>35</v>
      </c>
      <c r="B245" s="111" t="s">
        <v>1527</v>
      </c>
      <c r="C245" s="113" t="s">
        <v>72</v>
      </c>
      <c r="D245" s="976">
        <f t="shared" si="6"/>
        <v>36808.069325782562</v>
      </c>
      <c r="E245" s="113" t="s">
        <v>926</v>
      </c>
      <c r="F245" s="598">
        <v>45644</v>
      </c>
      <c r="H245" s="972">
        <v>34210.17</v>
      </c>
      <c r="I245" s="598">
        <v>45644</v>
      </c>
    </row>
    <row r="246" spans="1:9" outlineLevel="1">
      <c r="A246" s="241">
        <v>36</v>
      </c>
      <c r="B246" s="111" t="s">
        <v>1528</v>
      </c>
      <c r="C246" s="113" t="s">
        <v>72</v>
      </c>
      <c r="D246" s="976">
        <f t="shared" si="6"/>
        <v>11763.266832645593</v>
      </c>
      <c r="E246" s="113" t="s">
        <v>926</v>
      </c>
      <c r="F246" s="598">
        <v>45644</v>
      </c>
      <c r="H246" s="972">
        <v>10933.02</v>
      </c>
      <c r="I246" s="598">
        <v>45644</v>
      </c>
    </row>
    <row r="247" spans="1:9" outlineLevel="1">
      <c r="A247" s="241">
        <v>37</v>
      </c>
      <c r="B247" s="111" t="s">
        <v>1529</v>
      </c>
      <c r="C247" s="113" t="s">
        <v>72</v>
      </c>
      <c r="D247" s="976">
        <f t="shared" si="6"/>
        <v>16928.292339301439</v>
      </c>
      <c r="E247" s="113" t="s">
        <v>926</v>
      </c>
      <c r="F247" s="598">
        <v>45644</v>
      </c>
      <c r="H247" s="972">
        <v>15733.5</v>
      </c>
      <c r="I247" s="598">
        <v>45644</v>
      </c>
    </row>
    <row r="248" spans="1:9" outlineLevel="1">
      <c r="A248" s="241">
        <v>38</v>
      </c>
      <c r="B248" s="111" t="s">
        <v>1530</v>
      </c>
      <c r="C248" s="113" t="s">
        <v>72</v>
      </c>
      <c r="D248" s="976">
        <f t="shared" si="6"/>
        <v>80849.001305961792</v>
      </c>
      <c r="E248" s="113" t="s">
        <v>926</v>
      </c>
      <c r="F248" s="598">
        <v>45644</v>
      </c>
      <c r="H248" s="972">
        <v>75142.710000000006</v>
      </c>
      <c r="I248" s="598">
        <v>45644</v>
      </c>
    </row>
    <row r="249" spans="1:9" outlineLevel="1">
      <c r="A249" s="241">
        <v>39</v>
      </c>
      <c r="B249" s="111" t="s">
        <v>1531</v>
      </c>
      <c r="C249" s="113" t="s">
        <v>72</v>
      </c>
      <c r="D249" s="976">
        <f t="shared" si="6"/>
        <v>831.71190524698295</v>
      </c>
      <c r="E249" s="113" t="s">
        <v>926</v>
      </c>
      <c r="F249" s="598">
        <v>45644</v>
      </c>
      <c r="H249" s="975">
        <v>773.01</v>
      </c>
      <c r="I249" s="598">
        <v>45644</v>
      </c>
    </row>
    <row r="250" spans="1:9">
      <c r="B250" s="594" t="s">
        <v>1539</v>
      </c>
      <c r="C250" s="595"/>
      <c r="D250" s="396"/>
      <c r="E250" s="595"/>
      <c r="F250" s="596"/>
    </row>
    <row r="251" spans="1:9" outlineLevel="1">
      <c r="B251" s="435" t="s">
        <v>1552</v>
      </c>
      <c r="C251" s="436" t="s">
        <v>72</v>
      </c>
      <c r="D251" s="976">
        <f>+H251*$K$83</f>
        <v>285491.67201643682</v>
      </c>
      <c r="E251" s="113" t="s">
        <v>926</v>
      </c>
      <c r="F251" s="597">
        <v>45644</v>
      </c>
      <c r="H251" s="974">
        <v>265341.78000000003</v>
      </c>
      <c r="I251" s="597">
        <v>45644</v>
      </c>
    </row>
    <row r="252" spans="1:9" outlineLevel="1">
      <c r="B252" s="111" t="s">
        <v>1553</v>
      </c>
      <c r="C252" s="113" t="s">
        <v>72</v>
      </c>
      <c r="D252" s="976">
        <f t="shared" ref="D252:D260" si="7">+H252*$K$83</f>
        <v>326160.39477108838</v>
      </c>
      <c r="E252" s="113" t="s">
        <v>926</v>
      </c>
      <c r="F252" s="598">
        <v>45644</v>
      </c>
      <c r="H252" s="972">
        <v>303140.12</v>
      </c>
      <c r="I252" s="598">
        <v>45644</v>
      </c>
    </row>
    <row r="253" spans="1:9" outlineLevel="1">
      <c r="B253" s="111" t="s">
        <v>1554</v>
      </c>
      <c r="C253" s="113" t="s">
        <v>72</v>
      </c>
      <c r="D253" s="976">
        <f t="shared" si="7"/>
        <v>78983.161018664003</v>
      </c>
      <c r="E253" s="113" t="s">
        <v>926</v>
      </c>
      <c r="F253" s="598">
        <v>45644</v>
      </c>
      <c r="H253" s="972">
        <v>73408.56</v>
      </c>
      <c r="I253" s="598">
        <v>45644</v>
      </c>
    </row>
    <row r="254" spans="1:9" outlineLevel="1">
      <c r="B254" s="111" t="s">
        <v>1555</v>
      </c>
      <c r="C254" s="113" t="s">
        <v>72</v>
      </c>
      <c r="D254" s="976">
        <f t="shared" si="7"/>
        <v>100197.17816030435</v>
      </c>
      <c r="E254" s="113" t="s">
        <v>926</v>
      </c>
      <c r="F254" s="598">
        <v>45644</v>
      </c>
      <c r="H254" s="972">
        <v>93125.3</v>
      </c>
      <c r="I254" s="598">
        <v>45644</v>
      </c>
    </row>
    <row r="255" spans="1:9" outlineLevel="1">
      <c r="B255" s="111" t="s">
        <v>1540</v>
      </c>
      <c r="C255" s="113" t="s">
        <v>211</v>
      </c>
      <c r="D255" s="976">
        <f t="shared" si="7"/>
        <v>204450.58325178269</v>
      </c>
      <c r="E255" s="113" t="s">
        <v>926</v>
      </c>
      <c r="F255" s="598">
        <v>45644</v>
      </c>
      <c r="H255" s="972">
        <v>190020.54</v>
      </c>
      <c r="I255" s="598">
        <v>45644</v>
      </c>
    </row>
    <row r="256" spans="1:9" outlineLevel="1">
      <c r="B256" s="111" t="s">
        <v>1541</v>
      </c>
      <c r="C256" s="113" t="s">
        <v>211</v>
      </c>
      <c r="D256" s="976">
        <f t="shared" si="7"/>
        <v>60978.660307901264</v>
      </c>
      <c r="E256" s="113" t="s">
        <v>926</v>
      </c>
      <c r="F256" s="598">
        <v>45644</v>
      </c>
      <c r="H256" s="972">
        <v>56674.81</v>
      </c>
      <c r="I256" s="598">
        <v>45644</v>
      </c>
    </row>
    <row r="257" spans="2:9" outlineLevel="1">
      <c r="B257" s="111" t="s">
        <v>1542</v>
      </c>
      <c r="C257" s="113" t="s">
        <v>72</v>
      </c>
      <c r="D257" s="976">
        <f t="shared" si="7"/>
        <v>1327.8383158088595</v>
      </c>
      <c r="E257" s="113" t="s">
        <v>926</v>
      </c>
      <c r="F257" s="598">
        <v>45644</v>
      </c>
      <c r="H257" s="972">
        <v>1234.1199999999999</v>
      </c>
      <c r="I257" s="598">
        <v>45644</v>
      </c>
    </row>
    <row r="258" spans="2:9" outlineLevel="1">
      <c r="B258" s="111" t="s">
        <v>1543</v>
      </c>
      <c r="C258" s="113" t="s">
        <v>1545</v>
      </c>
      <c r="D258" s="976">
        <f t="shared" si="7"/>
        <v>4474.6597586284297</v>
      </c>
      <c r="E258" s="113" t="s">
        <v>926</v>
      </c>
      <c r="F258" s="598">
        <v>45644</v>
      </c>
      <c r="H258" s="972">
        <v>4158.84</v>
      </c>
      <c r="I258" s="598">
        <v>45644</v>
      </c>
    </row>
    <row r="259" spans="2:9" outlineLevel="1">
      <c r="B259" s="111" t="s">
        <v>1544</v>
      </c>
      <c r="C259" s="113" t="s">
        <v>532</v>
      </c>
      <c r="D259" s="976">
        <f t="shared" si="7"/>
        <v>917.14149254418533</v>
      </c>
      <c r="E259" s="113" t="s">
        <v>926</v>
      </c>
      <c r="F259" s="598">
        <v>45644</v>
      </c>
      <c r="H259" s="972">
        <v>852.41</v>
      </c>
      <c r="I259" s="598">
        <v>45644</v>
      </c>
    </row>
    <row r="260" spans="2:9" outlineLevel="1">
      <c r="B260" s="111" t="s">
        <v>1556</v>
      </c>
      <c r="C260" s="113" t="s">
        <v>72</v>
      </c>
      <c r="D260" s="976">
        <f t="shared" si="7"/>
        <v>30601.781958942662</v>
      </c>
      <c r="E260" s="682" t="s">
        <v>926</v>
      </c>
      <c r="F260" s="725">
        <v>45644</v>
      </c>
      <c r="H260" s="972">
        <v>28441.919999999998</v>
      </c>
      <c r="I260" s="725">
        <v>45644</v>
      </c>
    </row>
    <row r="261" spans="2:9">
      <c r="B261" s="594" t="s">
        <v>820</v>
      </c>
      <c r="C261" s="595"/>
      <c r="D261" s="396"/>
      <c r="E261" s="595"/>
      <c r="F261" s="601"/>
    </row>
    <row r="262" spans="2:9" outlineLevel="1">
      <c r="B262" s="435" t="s">
        <v>174</v>
      </c>
      <c r="C262" s="436" t="s">
        <v>72</v>
      </c>
      <c r="D262" s="976">
        <f>+H262*$K$83</f>
        <v>51214.71480285687</v>
      </c>
      <c r="E262" s="977" t="s">
        <v>1492</v>
      </c>
      <c r="F262" s="978">
        <v>45686</v>
      </c>
      <c r="H262" s="976">
        <v>47600</v>
      </c>
      <c r="I262" s="978">
        <v>45686</v>
      </c>
    </row>
    <row r="263" spans="2:9" outlineLevel="1">
      <c r="B263" s="111" t="s">
        <v>1536</v>
      </c>
      <c r="C263" s="113" t="s">
        <v>72</v>
      </c>
      <c r="D263" s="976">
        <f t="shared" ref="D263:D272" si="8">+H263*$K$83</f>
        <v>56938.71233964675</v>
      </c>
      <c r="E263" s="113" t="s">
        <v>926</v>
      </c>
      <c r="F263" s="598">
        <v>45644</v>
      </c>
      <c r="H263" s="972">
        <v>52920</v>
      </c>
      <c r="I263" s="598">
        <v>45644</v>
      </c>
    </row>
    <row r="264" spans="2:9" outlineLevel="1">
      <c r="B264" s="111" t="s">
        <v>175</v>
      </c>
      <c r="C264" s="113" t="s">
        <v>72</v>
      </c>
      <c r="D264" s="976">
        <f t="shared" si="8"/>
        <v>286985.31259172293</v>
      </c>
      <c r="E264" s="113" t="s">
        <v>926</v>
      </c>
      <c r="F264" s="598">
        <v>45644</v>
      </c>
      <c r="H264" s="972">
        <v>266730</v>
      </c>
      <c r="I264" s="598">
        <v>45644</v>
      </c>
    </row>
    <row r="265" spans="2:9" outlineLevel="1">
      <c r="B265" s="111" t="s">
        <v>176</v>
      </c>
      <c r="C265" s="113" t="s">
        <v>72</v>
      </c>
      <c r="D265" s="976">
        <f t="shared" si="8"/>
        <v>47125.768554935923</v>
      </c>
      <c r="E265" s="113" t="s">
        <v>1492</v>
      </c>
      <c r="F265" s="598">
        <v>45686</v>
      </c>
      <c r="H265" s="976">
        <f>20326.9+23472.75</f>
        <v>43799.65</v>
      </c>
      <c r="I265" s="598">
        <v>45686</v>
      </c>
    </row>
    <row r="266" spans="2:9" outlineLevel="1">
      <c r="B266" s="111" t="s">
        <v>177</v>
      </c>
      <c r="C266" s="113" t="s">
        <v>72</v>
      </c>
      <c r="D266" s="976">
        <f t="shared" si="8"/>
        <v>137686.18800508758</v>
      </c>
      <c r="E266" s="113" t="s">
        <v>1492</v>
      </c>
      <c r="F266" s="598">
        <v>45686</v>
      </c>
      <c r="H266" s="976">
        <v>127968.35</v>
      </c>
      <c r="I266" s="598">
        <v>45686</v>
      </c>
    </row>
    <row r="267" spans="2:9" outlineLevel="1">
      <c r="B267" s="111" t="s">
        <v>1564</v>
      </c>
      <c r="C267" s="113" t="s">
        <v>72</v>
      </c>
      <c r="D267" s="976">
        <f t="shared" si="8"/>
        <v>48000.991448977598</v>
      </c>
      <c r="E267" s="113" t="s">
        <v>1492</v>
      </c>
      <c r="F267" s="598">
        <v>45686</v>
      </c>
      <c r="H267" s="976">
        <v>44613.1</v>
      </c>
      <c r="I267" s="598">
        <v>45686</v>
      </c>
    </row>
    <row r="268" spans="2:9" outlineLevel="1">
      <c r="B268" s="111" t="s">
        <v>531</v>
      </c>
      <c r="C268" s="113" t="s">
        <v>532</v>
      </c>
      <c r="D268" s="976">
        <f>+H268*$K$84</f>
        <v>213864.12363553623</v>
      </c>
      <c r="E268" s="113" t="s">
        <v>821</v>
      </c>
      <c r="F268" s="598">
        <v>45505</v>
      </c>
      <c r="H268" s="972">
        <v>191048</v>
      </c>
      <c r="I268" s="598">
        <v>45505</v>
      </c>
    </row>
    <row r="269" spans="2:9" outlineLevel="1">
      <c r="B269" s="111" t="s">
        <v>534</v>
      </c>
      <c r="C269" s="113" t="s">
        <v>532</v>
      </c>
      <c r="D269" s="976">
        <f t="shared" si="8"/>
        <v>243957.30222828436</v>
      </c>
      <c r="E269" s="113" t="s">
        <v>926</v>
      </c>
      <c r="F269" s="598">
        <v>45644</v>
      </c>
      <c r="H269" s="972">
        <v>226738.89</v>
      </c>
      <c r="I269" s="598">
        <v>45644</v>
      </c>
    </row>
    <row r="270" spans="2:9" outlineLevel="1">
      <c r="B270" s="111" t="s">
        <v>536</v>
      </c>
      <c r="C270" s="113" t="s">
        <v>72</v>
      </c>
      <c r="D270" s="976">
        <f>+H270*$K$84</f>
        <v>21017.561453112743</v>
      </c>
      <c r="E270" s="113" t="s">
        <v>821</v>
      </c>
      <c r="F270" s="598">
        <v>45505</v>
      </c>
      <c r="H270" s="972">
        <v>18775.3</v>
      </c>
      <c r="I270" s="598">
        <v>45505</v>
      </c>
    </row>
    <row r="271" spans="2:9" outlineLevel="1">
      <c r="B271" s="111" t="s">
        <v>538</v>
      </c>
      <c r="C271" s="113" t="s">
        <v>72</v>
      </c>
      <c r="D271" s="976">
        <f t="shared" si="8"/>
        <v>23588.238789113533</v>
      </c>
      <c r="E271" s="113" t="s">
        <v>926</v>
      </c>
      <c r="F271" s="598">
        <v>45644</v>
      </c>
      <c r="H271" s="972">
        <v>21923.39</v>
      </c>
      <c r="I271" s="598">
        <v>45644</v>
      </c>
    </row>
    <row r="272" spans="2:9" outlineLevel="1">
      <c r="B272" s="111" t="s">
        <v>539</v>
      </c>
      <c r="C272" s="113" t="s">
        <v>72</v>
      </c>
      <c r="D272" s="976">
        <f t="shared" si="8"/>
        <v>18240.034601886542</v>
      </c>
      <c r="E272" s="113" t="s">
        <v>926</v>
      </c>
      <c r="F272" s="598">
        <v>45644</v>
      </c>
      <c r="H272" s="972">
        <v>16952.66</v>
      </c>
      <c r="I272" s="598">
        <v>45644</v>
      </c>
    </row>
    <row r="273" spans="2:9" outlineLevel="1">
      <c r="B273" s="111" t="s">
        <v>540</v>
      </c>
      <c r="C273" s="113" t="s">
        <v>72</v>
      </c>
      <c r="D273" s="976">
        <f>+H273*$K$84</f>
        <v>8050.017199279072</v>
      </c>
      <c r="E273" s="113" t="s">
        <v>821</v>
      </c>
      <c r="F273" s="598">
        <v>45505</v>
      </c>
      <c r="H273" s="972">
        <v>7191.2</v>
      </c>
      <c r="I273" s="598">
        <v>45505</v>
      </c>
    </row>
    <row r="274" spans="2:9" outlineLevel="1">
      <c r="B274" s="111" t="s">
        <v>541</v>
      </c>
      <c r="C274" s="113" t="s">
        <v>72</v>
      </c>
      <c r="D274" s="976">
        <f>+H274*$K$84</f>
        <v>7526.1257695785207</v>
      </c>
      <c r="E274" s="113" t="s">
        <v>821</v>
      </c>
      <c r="F274" s="598">
        <v>45505</v>
      </c>
      <c r="H274" s="972">
        <v>6723.2</v>
      </c>
      <c r="I274" s="598">
        <v>45505</v>
      </c>
    </row>
    <row r="275" spans="2:9" outlineLevel="1">
      <c r="B275" s="111" t="s">
        <v>1491</v>
      </c>
      <c r="C275" s="113" t="s">
        <v>72</v>
      </c>
      <c r="D275" s="976">
        <f>+H275*$K$84</f>
        <v>4907.0044489153152</v>
      </c>
      <c r="E275" s="113" t="s">
        <v>821</v>
      </c>
      <c r="F275" s="598">
        <v>45505</v>
      </c>
      <c r="H275" s="972">
        <v>4383.5</v>
      </c>
      <c r="I275" s="598">
        <v>45505</v>
      </c>
    </row>
    <row r="276" spans="2:9" outlineLevel="1">
      <c r="B276" s="111" t="s">
        <v>542</v>
      </c>
      <c r="C276" s="113" t="s">
        <v>72</v>
      </c>
      <c r="D276" s="976">
        <f t="shared" ref="D276" si="9">+H276*$K$83</f>
        <v>16504.37222097527</v>
      </c>
      <c r="E276" s="113" t="s">
        <v>926</v>
      </c>
      <c r="F276" s="598">
        <v>45644</v>
      </c>
      <c r="H276" s="972">
        <v>15339.5</v>
      </c>
      <c r="I276" s="598">
        <v>45644</v>
      </c>
    </row>
    <row r="277" spans="2:9" outlineLevel="1">
      <c r="B277" s="111" t="s">
        <v>543</v>
      </c>
      <c r="C277" s="113" t="s">
        <v>72</v>
      </c>
      <c r="D277" s="976">
        <f>+H277*$K$84</f>
        <v>6211.2478351206846</v>
      </c>
      <c r="E277" s="113" t="s">
        <v>821</v>
      </c>
      <c r="F277" s="598">
        <v>45505</v>
      </c>
      <c r="H277" s="972">
        <v>5548.6</v>
      </c>
      <c r="I277" s="598">
        <v>45505</v>
      </c>
    </row>
    <row r="278" spans="2:9" outlineLevel="1">
      <c r="B278" s="111" t="s">
        <v>1715</v>
      </c>
      <c r="C278" s="113" t="s">
        <v>72</v>
      </c>
      <c r="D278" s="976">
        <f t="shared" ref="D278:D279" si="10">+H278*$K$83</f>
        <v>63187.068936503281</v>
      </c>
      <c r="E278" s="113" t="s">
        <v>1492</v>
      </c>
      <c r="F278" s="598">
        <v>45645</v>
      </c>
      <c r="H278" s="972">
        <f>56111.35+1916+700</f>
        <v>58727.35</v>
      </c>
      <c r="I278" s="598">
        <v>45645</v>
      </c>
    </row>
    <row r="279" spans="2:9" outlineLevel="1">
      <c r="B279" s="111" t="s">
        <v>1716</v>
      </c>
      <c r="C279" s="599" t="s">
        <v>72</v>
      </c>
      <c r="D279" s="976">
        <f t="shared" si="10"/>
        <v>288770.79096623452</v>
      </c>
      <c r="E279" s="599" t="s">
        <v>1492</v>
      </c>
      <c r="F279" s="600">
        <v>45645</v>
      </c>
      <c r="H279" s="972">
        <f>265773.46+1916+700</f>
        <v>268389.46000000002</v>
      </c>
      <c r="I279" s="600">
        <v>45645</v>
      </c>
    </row>
    <row r="280" spans="2:9">
      <c r="B280" s="594" t="s">
        <v>129</v>
      </c>
      <c r="C280" s="595"/>
      <c r="D280" s="396"/>
      <c r="E280" s="595"/>
      <c r="F280" s="596"/>
    </row>
    <row r="281" spans="2:9" outlineLevel="1">
      <c r="B281" s="435" t="s">
        <v>822</v>
      </c>
      <c r="C281" s="436" t="s">
        <v>532</v>
      </c>
      <c r="D281" s="976">
        <f>+H281*$K$83</f>
        <v>4391.6187567695115</v>
      </c>
      <c r="E281" s="436" t="s">
        <v>926</v>
      </c>
      <c r="F281" s="597">
        <v>45644</v>
      </c>
      <c r="H281" s="972">
        <v>4081.66</v>
      </c>
      <c r="I281" s="597">
        <v>45644</v>
      </c>
    </row>
    <row r="282" spans="2:9" outlineLevel="1">
      <c r="B282" s="111" t="s">
        <v>823</v>
      </c>
      <c r="C282" s="113" t="s">
        <v>72</v>
      </c>
      <c r="D282" s="976">
        <f t="shared" ref="D282:D314" si="11">+H282*$K$83</f>
        <v>1306.0613026237793</v>
      </c>
      <c r="E282" s="113" t="s">
        <v>926</v>
      </c>
      <c r="F282" s="598">
        <v>45644</v>
      </c>
      <c r="H282" s="972">
        <v>1213.8800000000001</v>
      </c>
      <c r="I282" s="598">
        <v>45644</v>
      </c>
    </row>
    <row r="283" spans="2:9" outlineLevel="1">
      <c r="B283" s="111" t="s">
        <v>824</v>
      </c>
      <c r="C283" s="113" t="s">
        <v>72</v>
      </c>
      <c r="D283" s="976">
        <f t="shared" si="11"/>
        <v>218.32962033184273</v>
      </c>
      <c r="E283" s="113" t="s">
        <v>926</v>
      </c>
      <c r="F283" s="598">
        <v>45644</v>
      </c>
      <c r="H283" s="972">
        <v>202.92</v>
      </c>
      <c r="I283" s="598">
        <v>45644</v>
      </c>
    </row>
    <row r="284" spans="2:9" outlineLevel="1">
      <c r="B284" s="111" t="s">
        <v>825</v>
      </c>
      <c r="C284" s="113" t="s">
        <v>72</v>
      </c>
      <c r="D284" s="976">
        <f t="shared" si="11"/>
        <v>285.21001260380876</v>
      </c>
      <c r="E284" s="113" t="s">
        <v>926</v>
      </c>
      <c r="F284" s="598">
        <v>45644</v>
      </c>
      <c r="H284" s="972">
        <v>265.08</v>
      </c>
      <c r="I284" s="598">
        <v>45644</v>
      </c>
    </row>
    <row r="285" spans="2:9" outlineLevel="1">
      <c r="B285" s="111" t="s">
        <v>826</v>
      </c>
      <c r="C285" s="113" t="s">
        <v>72</v>
      </c>
      <c r="D285" s="976">
        <f t="shared" si="11"/>
        <v>1411.4065279672186</v>
      </c>
      <c r="E285" s="113" t="s">
        <v>926</v>
      </c>
      <c r="F285" s="598">
        <v>45644</v>
      </c>
      <c r="H285" s="972">
        <v>1311.79</v>
      </c>
      <c r="I285" s="598">
        <v>45644</v>
      </c>
    </row>
    <row r="286" spans="2:9" outlineLevel="1">
      <c r="B286" s="111" t="s">
        <v>827</v>
      </c>
      <c r="C286" s="113" t="s">
        <v>72</v>
      </c>
      <c r="D286" s="976">
        <f t="shared" si="11"/>
        <v>919.60539373953293</v>
      </c>
      <c r="E286" s="113" t="s">
        <v>926</v>
      </c>
      <c r="F286" s="598">
        <v>45644</v>
      </c>
      <c r="H286" s="972">
        <v>854.7</v>
      </c>
      <c r="I286" s="598">
        <v>45644</v>
      </c>
    </row>
    <row r="287" spans="2:9" outlineLevel="1">
      <c r="B287" s="111" t="s">
        <v>828</v>
      </c>
      <c r="C287" s="113" t="s">
        <v>72</v>
      </c>
      <c r="D287" s="976">
        <f t="shared" si="11"/>
        <v>1493.8988007389632</v>
      </c>
      <c r="E287" s="113" t="s">
        <v>926</v>
      </c>
      <c r="F287" s="598">
        <v>45644</v>
      </c>
      <c r="H287" s="972">
        <v>1388.46</v>
      </c>
      <c r="I287" s="598">
        <v>45644</v>
      </c>
    </row>
    <row r="288" spans="2:9" outlineLevel="1">
      <c r="B288" s="111" t="s">
        <v>829</v>
      </c>
      <c r="C288" s="113" t="s">
        <v>72</v>
      </c>
      <c r="D288" s="976">
        <f t="shared" si="11"/>
        <v>1764.0241431424347</v>
      </c>
      <c r="E288" s="113" t="s">
        <v>926</v>
      </c>
      <c r="F288" s="598">
        <v>45644</v>
      </c>
      <c r="H288" s="972">
        <v>1639.52</v>
      </c>
      <c r="I288" s="598">
        <v>45644</v>
      </c>
    </row>
    <row r="289" spans="2:9" outlineLevel="1">
      <c r="B289" s="111" t="s">
        <v>830</v>
      </c>
      <c r="C289" s="113" t="s">
        <v>72</v>
      </c>
      <c r="D289" s="976">
        <f t="shared" si="11"/>
        <v>10618.574919226277</v>
      </c>
      <c r="E289" s="113" t="s">
        <v>926</v>
      </c>
      <c r="F289" s="598">
        <v>45644</v>
      </c>
      <c r="H289" s="972">
        <v>9869.1200000000008</v>
      </c>
      <c r="I289" s="598">
        <v>45644</v>
      </c>
    </row>
    <row r="290" spans="2:9" outlineLevel="1">
      <c r="B290" s="111" t="s">
        <v>831</v>
      </c>
      <c r="C290" s="113" t="s">
        <v>72</v>
      </c>
      <c r="D290" s="976">
        <f t="shared" si="11"/>
        <v>347.5929782397256</v>
      </c>
      <c r="E290" s="113" t="s">
        <v>926</v>
      </c>
      <c r="F290" s="598">
        <v>45644</v>
      </c>
      <c r="H290" s="972">
        <v>323.06</v>
      </c>
      <c r="I290" s="598">
        <v>45644</v>
      </c>
    </row>
    <row r="291" spans="2:9" outlineLevel="1">
      <c r="B291" s="111" t="s">
        <v>832</v>
      </c>
      <c r="C291" s="113" t="s">
        <v>72</v>
      </c>
      <c r="D291" s="976">
        <f t="shared" si="11"/>
        <v>7147.7235707338414</v>
      </c>
      <c r="E291" s="113" t="s">
        <v>926</v>
      </c>
      <c r="F291" s="598">
        <v>45644</v>
      </c>
      <c r="H291" s="972">
        <v>6643.24</v>
      </c>
      <c r="I291" s="598">
        <v>45644</v>
      </c>
    </row>
    <row r="292" spans="2:9" outlineLevel="1">
      <c r="B292" s="111" t="s">
        <v>833</v>
      </c>
      <c r="C292" s="113" t="s">
        <v>532</v>
      </c>
      <c r="D292" s="976">
        <f t="shared" si="11"/>
        <v>10282.946386965707</v>
      </c>
      <c r="E292" s="113" t="s">
        <v>926</v>
      </c>
      <c r="F292" s="598">
        <v>45644</v>
      </c>
      <c r="H292" s="972">
        <v>9557.18</v>
      </c>
      <c r="I292" s="598">
        <v>45644</v>
      </c>
    </row>
    <row r="293" spans="2:9" outlineLevel="1">
      <c r="B293" s="111" t="s">
        <v>834</v>
      </c>
      <c r="C293" s="113" t="s">
        <v>532</v>
      </c>
      <c r="D293" s="976">
        <f t="shared" si="11"/>
        <v>11243.39443982113</v>
      </c>
      <c r="E293" s="113" t="s">
        <v>926</v>
      </c>
      <c r="F293" s="598">
        <v>45644</v>
      </c>
      <c r="H293" s="972">
        <v>10449.84</v>
      </c>
      <c r="I293" s="598">
        <v>45644</v>
      </c>
    </row>
    <row r="294" spans="2:9" outlineLevel="1">
      <c r="B294" s="111" t="s">
        <v>835</v>
      </c>
      <c r="C294" s="113" t="s">
        <v>72</v>
      </c>
      <c r="D294" s="976">
        <f t="shared" si="11"/>
        <v>1632.576628279724</v>
      </c>
      <c r="E294" s="113" t="s">
        <v>926</v>
      </c>
      <c r="F294" s="598">
        <v>45644</v>
      </c>
      <c r="H294" s="972">
        <v>1517.35</v>
      </c>
      <c r="I294" s="598">
        <v>45644</v>
      </c>
    </row>
    <row r="295" spans="2:9" outlineLevel="1">
      <c r="B295" s="111" t="s">
        <v>836</v>
      </c>
      <c r="C295" s="113" t="s">
        <v>72</v>
      </c>
      <c r="D295" s="976">
        <f t="shared" si="11"/>
        <v>368.33708961365585</v>
      </c>
      <c r="E295" s="113" t="s">
        <v>926</v>
      </c>
      <c r="F295" s="598">
        <v>45644</v>
      </c>
      <c r="H295" s="972">
        <v>342.34</v>
      </c>
      <c r="I295" s="598">
        <v>45644</v>
      </c>
    </row>
    <row r="296" spans="2:9" outlineLevel="1">
      <c r="B296" s="111" t="s">
        <v>837</v>
      </c>
      <c r="C296" s="113" t="s">
        <v>72</v>
      </c>
      <c r="D296" s="976">
        <f t="shared" si="11"/>
        <v>462.53558291176762</v>
      </c>
      <c r="E296" s="113" t="s">
        <v>926</v>
      </c>
      <c r="F296" s="598">
        <v>45644</v>
      </c>
      <c r="H296" s="972">
        <v>429.89</v>
      </c>
      <c r="I296" s="598">
        <v>45644</v>
      </c>
    </row>
    <row r="297" spans="2:9" outlineLevel="1">
      <c r="B297" s="111" t="s">
        <v>838</v>
      </c>
      <c r="C297" s="113" t="s">
        <v>72</v>
      </c>
      <c r="D297" s="976">
        <f t="shared" si="11"/>
        <v>2090.7761754634348</v>
      </c>
      <c r="E297" s="113" t="s">
        <v>926</v>
      </c>
      <c r="F297" s="598">
        <v>45644</v>
      </c>
      <c r="H297" s="972">
        <v>1943.21</v>
      </c>
      <c r="I297" s="598">
        <v>45644</v>
      </c>
    </row>
    <row r="298" spans="2:9" outlineLevel="1">
      <c r="B298" s="111" t="s">
        <v>839</v>
      </c>
      <c r="C298" s="113" t="s">
        <v>72</v>
      </c>
      <c r="D298" s="976">
        <f t="shared" si="11"/>
        <v>693.78723527685224</v>
      </c>
      <c r="E298" s="113" t="s">
        <v>926</v>
      </c>
      <c r="F298" s="598">
        <v>45644</v>
      </c>
      <c r="H298" s="972">
        <v>644.82000000000005</v>
      </c>
      <c r="I298" s="598">
        <v>45644</v>
      </c>
    </row>
    <row r="299" spans="2:9" outlineLevel="1">
      <c r="B299" s="111" t="s">
        <v>840</v>
      </c>
      <c r="C299" s="113" t="s">
        <v>72</v>
      </c>
      <c r="D299" s="976">
        <f t="shared" si="11"/>
        <v>7656.8796072676214</v>
      </c>
      <c r="E299" s="113" t="s">
        <v>926</v>
      </c>
      <c r="F299" s="598">
        <v>45644</v>
      </c>
      <c r="H299" s="972">
        <v>7116.46</v>
      </c>
      <c r="I299" s="598">
        <v>45644</v>
      </c>
    </row>
    <row r="300" spans="2:9" outlineLevel="1">
      <c r="B300" s="111" t="s">
        <v>841</v>
      </c>
      <c r="C300" s="113" t="s">
        <v>532</v>
      </c>
      <c r="D300" s="976">
        <f t="shared" si="11"/>
        <v>13407.506643876219</v>
      </c>
      <c r="E300" s="113" t="s">
        <v>926</v>
      </c>
      <c r="F300" s="598">
        <v>45644</v>
      </c>
      <c r="H300" s="972">
        <v>12461.21</v>
      </c>
      <c r="I300" s="598">
        <v>45644</v>
      </c>
    </row>
    <row r="301" spans="2:9" outlineLevel="1">
      <c r="B301" s="111" t="s">
        <v>842</v>
      </c>
      <c r="C301" s="113" t="s">
        <v>72</v>
      </c>
      <c r="D301" s="976">
        <f t="shared" si="11"/>
        <v>535.96844604821683</v>
      </c>
      <c r="E301" s="113" t="s">
        <v>926</v>
      </c>
      <c r="F301" s="598">
        <v>45644</v>
      </c>
      <c r="H301" s="972">
        <v>498.14</v>
      </c>
      <c r="I301" s="598">
        <v>45644</v>
      </c>
    </row>
    <row r="302" spans="2:9" outlineLevel="1">
      <c r="B302" s="111" t="s">
        <v>843</v>
      </c>
      <c r="C302" s="113" t="s">
        <v>72</v>
      </c>
      <c r="D302" s="976">
        <f t="shared" si="11"/>
        <v>693.78723527685224</v>
      </c>
      <c r="E302" s="113" t="s">
        <v>926</v>
      </c>
      <c r="F302" s="598">
        <v>45644</v>
      </c>
      <c r="H302" s="972">
        <v>644.82000000000005</v>
      </c>
      <c r="I302" s="598">
        <v>45644</v>
      </c>
    </row>
    <row r="303" spans="2:9" outlineLevel="1">
      <c r="B303" s="111" t="s">
        <v>844</v>
      </c>
      <c r="C303" s="113" t="s">
        <v>72</v>
      </c>
      <c r="D303" s="976">
        <f t="shared" si="11"/>
        <v>1026.7044002831542</v>
      </c>
      <c r="E303" s="113" t="s">
        <v>926</v>
      </c>
      <c r="F303" s="598">
        <v>45644</v>
      </c>
      <c r="H303" s="972">
        <v>954.24</v>
      </c>
      <c r="I303" s="598">
        <v>45644</v>
      </c>
    </row>
    <row r="304" spans="2:9" outlineLevel="1">
      <c r="B304" s="111" t="s">
        <v>845</v>
      </c>
      <c r="C304" s="113" t="s">
        <v>72</v>
      </c>
      <c r="D304" s="976">
        <f t="shared" si="11"/>
        <v>13613.592073988388</v>
      </c>
      <c r="E304" s="113" t="s">
        <v>926</v>
      </c>
      <c r="F304" s="598">
        <v>45644</v>
      </c>
      <c r="H304" s="972">
        <v>12652.75</v>
      </c>
      <c r="I304" s="598">
        <v>45644</v>
      </c>
    </row>
    <row r="305" spans="2:9" outlineLevel="1">
      <c r="B305" s="111" t="s">
        <v>846</v>
      </c>
      <c r="C305" s="113" t="s">
        <v>72</v>
      </c>
      <c r="D305" s="976">
        <f t="shared" si="11"/>
        <v>16301.686759324806</v>
      </c>
      <c r="E305" s="113" t="s">
        <v>926</v>
      </c>
      <c r="F305" s="598">
        <v>45644</v>
      </c>
      <c r="H305" s="972">
        <v>15151.12</v>
      </c>
      <c r="I305" s="598">
        <v>45644</v>
      </c>
    </row>
    <row r="306" spans="2:9" outlineLevel="1">
      <c r="B306" s="111" t="s">
        <v>847</v>
      </c>
      <c r="C306" s="113" t="s">
        <v>532</v>
      </c>
      <c r="D306" s="976">
        <f t="shared" si="11"/>
        <v>18915.208085774964</v>
      </c>
      <c r="E306" s="113" t="s">
        <v>926</v>
      </c>
      <c r="F306" s="598">
        <v>45644</v>
      </c>
      <c r="H306" s="972">
        <v>17580.18</v>
      </c>
      <c r="I306" s="598">
        <v>45644</v>
      </c>
    </row>
    <row r="307" spans="2:9" outlineLevel="1">
      <c r="B307" s="111" t="s">
        <v>848</v>
      </c>
      <c r="C307" s="113" t="s">
        <v>72</v>
      </c>
      <c r="D307" s="976">
        <f t="shared" si="11"/>
        <v>1245.0555394027292</v>
      </c>
      <c r="E307" s="113" t="s">
        <v>926</v>
      </c>
      <c r="F307" s="598">
        <v>45644</v>
      </c>
      <c r="H307" s="972">
        <v>1157.18</v>
      </c>
      <c r="I307" s="598">
        <v>45644</v>
      </c>
    </row>
    <row r="308" spans="2:9" outlineLevel="1">
      <c r="B308" s="111" t="s">
        <v>849</v>
      </c>
      <c r="C308" s="113" t="s">
        <v>72</v>
      </c>
      <c r="D308" s="976">
        <f t="shared" si="11"/>
        <v>1540.3686228468496</v>
      </c>
      <c r="E308" s="113" t="s">
        <v>926</v>
      </c>
      <c r="F308" s="598">
        <v>45644</v>
      </c>
      <c r="H308" s="972">
        <v>1431.65</v>
      </c>
      <c r="I308" s="598">
        <v>45644</v>
      </c>
    </row>
    <row r="309" spans="2:9" outlineLevel="1">
      <c r="B309" s="111" t="s">
        <v>850</v>
      </c>
      <c r="C309" s="113" t="s">
        <v>72</v>
      </c>
      <c r="D309" s="976">
        <f t="shared" si="11"/>
        <v>2184.8025184596881</v>
      </c>
      <c r="E309" s="113" t="s">
        <v>926</v>
      </c>
      <c r="F309" s="598">
        <v>45644</v>
      </c>
      <c r="H309" s="972">
        <v>2030.6</v>
      </c>
      <c r="I309" s="598">
        <v>45644</v>
      </c>
    </row>
    <row r="310" spans="2:9" outlineLevel="1">
      <c r="B310" s="111" t="s">
        <v>851</v>
      </c>
      <c r="C310" s="113" t="s">
        <v>72</v>
      </c>
      <c r="D310" s="976">
        <f t="shared" si="11"/>
        <v>27551.795060918412</v>
      </c>
      <c r="E310" s="113" t="s">
        <v>926</v>
      </c>
      <c r="F310" s="598">
        <v>45644</v>
      </c>
      <c r="H310" s="972">
        <v>25607.200000000001</v>
      </c>
      <c r="I310" s="598">
        <v>45644</v>
      </c>
    </row>
    <row r="311" spans="2:9" outlineLevel="1">
      <c r="B311" s="111" t="s">
        <v>852</v>
      </c>
      <c r="C311" s="113" t="s">
        <v>532</v>
      </c>
      <c r="D311" s="976">
        <f t="shared" si="11"/>
        <v>32747.162058276794</v>
      </c>
      <c r="E311" s="113" t="s">
        <v>926</v>
      </c>
      <c r="F311" s="598">
        <v>45644</v>
      </c>
      <c r="H311" s="972">
        <v>30435.88</v>
      </c>
      <c r="I311" s="598">
        <v>45644</v>
      </c>
    </row>
    <row r="312" spans="2:9" outlineLevel="1">
      <c r="B312" s="111" t="s">
        <v>853</v>
      </c>
      <c r="C312" s="113" t="s">
        <v>72</v>
      </c>
      <c r="D312" s="976">
        <f t="shared" si="11"/>
        <v>3672.0842919709712</v>
      </c>
      <c r="E312" s="113" t="s">
        <v>926</v>
      </c>
      <c r="F312" s="598">
        <v>45644</v>
      </c>
      <c r="H312" s="972">
        <v>3412.91</v>
      </c>
      <c r="I312" s="598">
        <v>45644</v>
      </c>
    </row>
    <row r="313" spans="2:9" outlineLevel="1">
      <c r="B313" s="111" t="s">
        <v>854</v>
      </c>
      <c r="C313" s="113" t="s">
        <v>72</v>
      </c>
      <c r="D313" s="976">
        <f t="shared" si="11"/>
        <v>4369.7126308580382</v>
      </c>
      <c r="E313" s="113" t="s">
        <v>926</v>
      </c>
      <c r="F313" s="598">
        <v>45644</v>
      </c>
      <c r="H313" s="972">
        <v>4061.3</v>
      </c>
      <c r="I313" s="598">
        <v>45644</v>
      </c>
    </row>
    <row r="314" spans="2:9" outlineLevel="1">
      <c r="B314" s="111" t="s">
        <v>855</v>
      </c>
      <c r="C314" s="113" t="s">
        <v>72</v>
      </c>
      <c r="D314" s="976">
        <f t="shared" si="11"/>
        <v>6137.6209151861513</v>
      </c>
      <c r="E314" s="113" t="s">
        <v>926</v>
      </c>
      <c r="F314" s="598">
        <v>45644</v>
      </c>
      <c r="H314" s="972">
        <v>5704.43</v>
      </c>
      <c r="I314" s="598">
        <v>45644</v>
      </c>
    </row>
    <row r="315" spans="2:9" outlineLevel="1">
      <c r="B315" s="111" t="s">
        <v>856</v>
      </c>
      <c r="C315" s="113" t="s">
        <v>72</v>
      </c>
      <c r="D315" s="976">
        <f>+H315*$K$84</f>
        <v>67204.535133976417</v>
      </c>
      <c r="E315" s="113" t="s">
        <v>819</v>
      </c>
      <c r="F315" s="598">
        <v>45386</v>
      </c>
      <c r="H315" s="972">
        <v>60034.81</v>
      </c>
      <c r="I315" s="598">
        <v>45386</v>
      </c>
    </row>
    <row r="316" spans="2:9" outlineLevel="1">
      <c r="B316" s="111" t="s">
        <v>857</v>
      </c>
      <c r="C316" s="113" t="s">
        <v>72</v>
      </c>
      <c r="D316" s="976">
        <f>+H316*$K$84</f>
        <v>33611.183796128309</v>
      </c>
      <c r="E316" s="113" t="s">
        <v>819</v>
      </c>
      <c r="F316" s="598">
        <v>45386</v>
      </c>
      <c r="H316" s="972">
        <v>30025.37</v>
      </c>
      <c r="I316" s="598">
        <v>45386</v>
      </c>
    </row>
    <row r="317" spans="2:9" outlineLevel="1">
      <c r="B317" s="111" t="s">
        <v>858</v>
      </c>
      <c r="C317" s="113" t="s">
        <v>72</v>
      </c>
      <c r="D317" s="976">
        <f t="shared" ref="D317:D318" si="12">+H317*$K$83</f>
        <v>21041.85608038813</v>
      </c>
      <c r="E317" s="113" t="s">
        <v>926</v>
      </c>
      <c r="F317" s="598">
        <v>45644</v>
      </c>
      <c r="H317" s="972">
        <v>19556.73</v>
      </c>
      <c r="I317" s="598">
        <v>45644</v>
      </c>
    </row>
    <row r="318" spans="2:9" outlineLevel="1">
      <c r="B318" s="111" t="s">
        <v>859</v>
      </c>
      <c r="C318" s="113" t="s">
        <v>72</v>
      </c>
      <c r="D318" s="976">
        <f t="shared" si="12"/>
        <v>27083.212698653868</v>
      </c>
      <c r="E318" s="113" t="s">
        <v>926</v>
      </c>
      <c r="F318" s="598">
        <v>45644</v>
      </c>
      <c r="H318" s="972">
        <v>25171.69</v>
      </c>
      <c r="I318" s="598">
        <v>45644</v>
      </c>
    </row>
    <row r="319" spans="2:9" outlineLevel="1">
      <c r="B319" s="111" t="s">
        <v>860</v>
      </c>
      <c r="C319" s="113" t="s">
        <v>72</v>
      </c>
      <c r="D319" s="976">
        <f>+H319*$K$84</f>
        <v>49434.484860634584</v>
      </c>
      <c r="E319" s="113" t="s">
        <v>819</v>
      </c>
      <c r="F319" s="598">
        <v>45386</v>
      </c>
      <c r="H319" s="972">
        <v>44160.56</v>
      </c>
      <c r="I319" s="598">
        <v>45386</v>
      </c>
    </row>
    <row r="320" spans="2:9" outlineLevel="1">
      <c r="B320" s="111" t="s">
        <v>861</v>
      </c>
      <c r="C320" s="113" t="s">
        <v>72</v>
      </c>
      <c r="D320" s="976">
        <f>+H320*$K$84</f>
        <v>9510.4429193985889</v>
      </c>
      <c r="E320" s="113" t="s">
        <v>819</v>
      </c>
      <c r="F320" s="598">
        <v>45386</v>
      </c>
      <c r="H320" s="972">
        <v>8495.82</v>
      </c>
      <c r="I320" s="598">
        <v>45386</v>
      </c>
    </row>
    <row r="321" spans="2:9" outlineLevel="1">
      <c r="B321" s="111" t="s">
        <v>862</v>
      </c>
      <c r="C321" s="113" t="s">
        <v>72</v>
      </c>
      <c r="D321" s="976">
        <f t="shared" ref="D321" si="13">+H321*$K$83</f>
        <v>46949.561961590036</v>
      </c>
      <c r="E321" s="113" t="s">
        <v>926</v>
      </c>
      <c r="F321" s="598">
        <v>45644</v>
      </c>
      <c r="H321" s="972">
        <v>43635.88</v>
      </c>
      <c r="I321" s="598">
        <v>45644</v>
      </c>
    </row>
    <row r="322" spans="2:9" outlineLevel="1">
      <c r="B322" s="111" t="s">
        <v>863</v>
      </c>
      <c r="C322" s="113" t="s">
        <v>72</v>
      </c>
      <c r="D322" s="976">
        <f>+H322*$K$84</f>
        <v>215.32161645919032</v>
      </c>
      <c r="E322" s="113" t="s">
        <v>819</v>
      </c>
      <c r="F322" s="598">
        <v>45386</v>
      </c>
      <c r="H322" s="972">
        <v>192.35</v>
      </c>
      <c r="I322" s="598">
        <v>45386</v>
      </c>
    </row>
    <row r="323" spans="2:9" outlineLevel="1">
      <c r="B323" s="111" t="s">
        <v>864</v>
      </c>
      <c r="C323" s="113" t="s">
        <v>72</v>
      </c>
      <c r="D323" s="976">
        <f t="shared" ref="D323" si="14">+H323*$K$83</f>
        <v>292.42956588799302</v>
      </c>
      <c r="E323" s="113" t="s">
        <v>926</v>
      </c>
      <c r="F323" s="598">
        <v>45644</v>
      </c>
      <c r="H323" s="972">
        <v>271.79000000000002</v>
      </c>
      <c r="I323" s="598">
        <v>45644</v>
      </c>
    </row>
    <row r="324" spans="2:9" outlineLevel="1">
      <c r="B324" s="111" t="s">
        <v>865</v>
      </c>
      <c r="C324" s="113" t="s">
        <v>72</v>
      </c>
      <c r="D324" s="976">
        <f>+H324*$K$84</f>
        <v>940.17242534744059</v>
      </c>
      <c r="E324" s="113" t="s">
        <v>819</v>
      </c>
      <c r="F324" s="598">
        <v>45386</v>
      </c>
      <c r="H324" s="972">
        <v>839.87</v>
      </c>
      <c r="I324" s="598">
        <v>45386</v>
      </c>
    </row>
    <row r="325" spans="2:9" outlineLevel="1">
      <c r="B325" s="111" t="s">
        <v>866</v>
      </c>
      <c r="C325" s="113" t="s">
        <v>72</v>
      </c>
      <c r="D325" s="976">
        <f t="shared" ref="D325:D330" si="15">+H325*$K$83</f>
        <v>1164.9410926754031</v>
      </c>
      <c r="E325" s="113" t="s">
        <v>926</v>
      </c>
      <c r="F325" s="598">
        <v>45644</v>
      </c>
      <c r="H325" s="972">
        <v>1082.72</v>
      </c>
      <c r="I325" s="598">
        <v>45644</v>
      </c>
    </row>
    <row r="326" spans="2:9" outlineLevel="1">
      <c r="B326" s="111" t="s">
        <v>867</v>
      </c>
      <c r="C326" s="113" t="s">
        <v>72</v>
      </c>
      <c r="D326" s="976">
        <f t="shared" si="15"/>
        <v>386.71413433703395</v>
      </c>
      <c r="E326" s="113" t="s">
        <v>926</v>
      </c>
      <c r="F326" s="598">
        <v>45644</v>
      </c>
      <c r="H326" s="972">
        <v>359.42</v>
      </c>
      <c r="I326" s="598">
        <v>45644</v>
      </c>
    </row>
    <row r="327" spans="2:9" outlineLevel="1">
      <c r="B327" s="111" t="s">
        <v>868</v>
      </c>
      <c r="C327" s="113" t="s">
        <v>72</v>
      </c>
      <c r="D327" s="976">
        <f t="shared" si="15"/>
        <v>8211.1175041005554</v>
      </c>
      <c r="E327" s="113" t="s">
        <v>926</v>
      </c>
      <c r="F327" s="598">
        <v>45644</v>
      </c>
      <c r="H327" s="972">
        <v>7631.58</v>
      </c>
      <c r="I327" s="598">
        <v>45644</v>
      </c>
    </row>
    <row r="328" spans="2:9" outlineLevel="1">
      <c r="B328" s="111" t="s">
        <v>869</v>
      </c>
      <c r="C328" s="113" t="s">
        <v>72</v>
      </c>
      <c r="D328" s="976">
        <f>+H328*$K$84</f>
        <v>8540.6616728640129</v>
      </c>
      <c r="E328" s="113" t="s">
        <v>819</v>
      </c>
      <c r="F328" s="598">
        <v>45386</v>
      </c>
      <c r="H328" s="972">
        <v>7629.5</v>
      </c>
      <c r="I328" s="598">
        <v>45386</v>
      </c>
    </row>
    <row r="329" spans="2:9" outlineLevel="1">
      <c r="B329" s="111" t="s">
        <v>870</v>
      </c>
      <c r="C329" s="113" t="s">
        <v>72</v>
      </c>
      <c r="D329" s="976">
        <f t="shared" si="15"/>
        <v>384.18567677848949</v>
      </c>
      <c r="E329" s="113" t="s">
        <v>926</v>
      </c>
      <c r="F329" s="598">
        <v>45644</v>
      </c>
      <c r="H329" s="972">
        <v>357.07</v>
      </c>
      <c r="I329" s="598">
        <v>45644</v>
      </c>
    </row>
    <row r="330" spans="2:9" outlineLevel="1">
      <c r="B330" s="517" t="s">
        <v>871</v>
      </c>
      <c r="C330" s="599" t="s">
        <v>72</v>
      </c>
      <c r="D330" s="976">
        <f t="shared" si="15"/>
        <v>14639.962933061692</v>
      </c>
      <c r="E330" s="113" t="s">
        <v>926</v>
      </c>
      <c r="F330" s="598">
        <v>45644</v>
      </c>
      <c r="H330" s="972">
        <v>13606.68</v>
      </c>
      <c r="I330" s="598">
        <v>45644</v>
      </c>
    </row>
    <row r="331" spans="2:9">
      <c r="B331" s="594" t="s">
        <v>872</v>
      </c>
      <c r="C331" s="595"/>
      <c r="D331" s="396"/>
      <c r="E331" s="595"/>
      <c r="F331" s="596"/>
    </row>
    <row r="332" spans="2:9" outlineLevel="1">
      <c r="B332" s="435" t="s">
        <v>873</v>
      </c>
      <c r="C332" s="436" t="s">
        <v>532</v>
      </c>
      <c r="D332" s="976">
        <f>+H332*$K$83</f>
        <v>12852.386476746262</v>
      </c>
      <c r="E332" s="436" t="s">
        <v>819</v>
      </c>
      <c r="F332" s="597">
        <v>45644</v>
      </c>
      <c r="H332" s="974">
        <v>11945.27</v>
      </c>
      <c r="I332" s="597">
        <v>45644</v>
      </c>
    </row>
    <row r="333" spans="2:9" outlineLevel="1">
      <c r="B333" s="111" t="s">
        <v>874</v>
      </c>
      <c r="C333" s="113" t="s">
        <v>72</v>
      </c>
      <c r="D333" s="976">
        <f t="shared" ref="D333:D389" si="16">+H333*$K$83</f>
        <v>4872.4991062230592</v>
      </c>
      <c r="E333" s="113" t="s">
        <v>819</v>
      </c>
      <c r="F333" s="598">
        <v>45644</v>
      </c>
      <c r="H333" s="972">
        <v>4528.6000000000004</v>
      </c>
      <c r="I333" s="598">
        <v>45644</v>
      </c>
    </row>
    <row r="334" spans="2:9" outlineLevel="1">
      <c r="B334" s="111" t="s">
        <v>875</v>
      </c>
      <c r="C334" s="113" t="s">
        <v>72</v>
      </c>
      <c r="D334" s="976">
        <f t="shared" si="16"/>
        <v>2114.554435907618</v>
      </c>
      <c r="E334" s="113" t="s">
        <v>819</v>
      </c>
      <c r="F334" s="598">
        <v>45644</v>
      </c>
      <c r="H334" s="972">
        <v>1965.31</v>
      </c>
      <c r="I334" s="598">
        <v>45644</v>
      </c>
    </row>
    <row r="335" spans="2:9" outlineLevel="1">
      <c r="B335" s="111" t="s">
        <v>876</v>
      </c>
      <c r="C335" s="113" t="s">
        <v>532</v>
      </c>
      <c r="D335" s="976">
        <f>+H335*$K$84</f>
        <v>15030.624226289916</v>
      </c>
      <c r="E335" s="113" t="s">
        <v>819</v>
      </c>
      <c r="F335" s="598">
        <v>45386</v>
      </c>
      <c r="H335" s="972">
        <v>13427.08</v>
      </c>
      <c r="I335" s="598">
        <v>45386</v>
      </c>
    </row>
    <row r="336" spans="2:9" outlineLevel="1">
      <c r="B336" s="111" t="s">
        <v>877</v>
      </c>
      <c r="C336" s="113" t="s">
        <v>532</v>
      </c>
      <c r="D336" s="976">
        <f t="shared" si="16"/>
        <v>15376.594074713537</v>
      </c>
      <c r="E336" s="113" t="s">
        <v>819</v>
      </c>
      <c r="F336" s="598">
        <v>45644</v>
      </c>
      <c r="H336" s="972">
        <v>14291.32</v>
      </c>
      <c r="I336" s="598">
        <v>45644</v>
      </c>
    </row>
    <row r="337" spans="2:9" outlineLevel="1">
      <c r="B337" s="111" t="s">
        <v>878</v>
      </c>
      <c r="C337" s="113" t="s">
        <v>532</v>
      </c>
      <c r="D337" s="976">
        <f t="shared" si="16"/>
        <v>8313.6868058265281</v>
      </c>
      <c r="E337" s="113" t="s">
        <v>819</v>
      </c>
      <c r="F337" s="598">
        <v>45644</v>
      </c>
      <c r="H337" s="972">
        <v>7726.91</v>
      </c>
      <c r="I337" s="598">
        <v>45644</v>
      </c>
    </row>
    <row r="338" spans="2:9" outlineLevel="1">
      <c r="B338" s="111" t="s">
        <v>879</v>
      </c>
      <c r="C338" s="113" t="s">
        <v>72</v>
      </c>
      <c r="D338" s="976">
        <f>+H338*$K$84</f>
        <v>2723.1383968336659</v>
      </c>
      <c r="E338" s="113" t="s">
        <v>819</v>
      </c>
      <c r="F338" s="598">
        <v>45386</v>
      </c>
      <c r="H338" s="972">
        <v>2432.62</v>
      </c>
      <c r="I338" s="598">
        <v>45386</v>
      </c>
    </row>
    <row r="339" spans="2:9" outlineLevel="1">
      <c r="B339" s="111" t="s">
        <v>880</v>
      </c>
      <c r="C339" s="113" t="s">
        <v>532</v>
      </c>
      <c r="D339" s="976">
        <f t="shared" si="16"/>
        <v>6715.6585912510009</v>
      </c>
      <c r="E339" s="113" t="s">
        <v>819</v>
      </c>
      <c r="F339" s="598">
        <v>45644</v>
      </c>
      <c r="H339" s="972">
        <v>6241.67</v>
      </c>
      <c r="I339" s="598">
        <v>45644</v>
      </c>
    </row>
    <row r="340" spans="2:9" outlineLevel="1">
      <c r="B340" s="111" t="s">
        <v>881</v>
      </c>
      <c r="C340" s="113" t="s">
        <v>532</v>
      </c>
      <c r="D340" s="976">
        <f t="shared" si="16"/>
        <v>5296.1072021271093</v>
      </c>
      <c r="E340" s="113" t="s">
        <v>819</v>
      </c>
      <c r="F340" s="598">
        <v>45644</v>
      </c>
      <c r="H340" s="972">
        <v>4922.3100000000004</v>
      </c>
      <c r="I340" s="598">
        <v>45644</v>
      </c>
    </row>
    <row r="341" spans="2:9" outlineLevel="1">
      <c r="B341" s="111" t="s">
        <v>882</v>
      </c>
      <c r="C341" s="113" t="s">
        <v>72</v>
      </c>
      <c r="D341" s="976">
        <f t="shared" si="16"/>
        <v>1603.0205733294201</v>
      </c>
      <c r="E341" s="113" t="s">
        <v>819</v>
      </c>
      <c r="F341" s="598">
        <v>45644</v>
      </c>
      <c r="H341" s="972">
        <v>1489.88</v>
      </c>
      <c r="I341" s="598">
        <v>45644</v>
      </c>
    </row>
    <row r="342" spans="2:9" outlineLevel="1">
      <c r="B342" s="111" t="s">
        <v>883</v>
      </c>
      <c r="C342" s="113" t="s">
        <v>72</v>
      </c>
      <c r="D342" s="976">
        <f t="shared" si="16"/>
        <v>586.2148154031205</v>
      </c>
      <c r="E342" s="113" t="s">
        <v>819</v>
      </c>
      <c r="F342" s="598">
        <v>45644</v>
      </c>
      <c r="H342" s="972">
        <v>544.84</v>
      </c>
      <c r="I342" s="598">
        <v>45644</v>
      </c>
    </row>
    <row r="343" spans="2:9" outlineLevel="1">
      <c r="B343" s="111" t="s">
        <v>884</v>
      </c>
      <c r="C343" s="113" t="s">
        <v>72</v>
      </c>
      <c r="D343" s="976">
        <f t="shared" si="16"/>
        <v>361.83841571850348</v>
      </c>
      <c r="E343" s="113" t="s">
        <v>819</v>
      </c>
      <c r="F343" s="598">
        <v>45644</v>
      </c>
      <c r="H343" s="972">
        <v>336.3</v>
      </c>
      <c r="I343" s="598">
        <v>45644</v>
      </c>
    </row>
    <row r="344" spans="2:9" outlineLevel="1">
      <c r="B344" s="111" t="s">
        <v>885</v>
      </c>
      <c r="C344" s="113" t="s">
        <v>72</v>
      </c>
      <c r="D344" s="976">
        <f t="shared" si="16"/>
        <v>9878.3824182047356</v>
      </c>
      <c r="E344" s="113" t="s">
        <v>819</v>
      </c>
      <c r="F344" s="598">
        <v>45644</v>
      </c>
      <c r="H344" s="972">
        <v>9181.17</v>
      </c>
      <c r="I344" s="598">
        <v>45644</v>
      </c>
    </row>
    <row r="345" spans="2:9" outlineLevel="1">
      <c r="B345" s="111" t="s">
        <v>886</v>
      </c>
      <c r="C345" s="113" t="s">
        <v>72</v>
      </c>
      <c r="D345" s="976">
        <f t="shared" si="16"/>
        <v>6989.269977267104</v>
      </c>
      <c r="E345" s="113" t="s">
        <v>819</v>
      </c>
      <c r="F345" s="598">
        <v>45644</v>
      </c>
      <c r="H345" s="972">
        <v>6495.97</v>
      </c>
      <c r="I345" s="598">
        <v>45644</v>
      </c>
    </row>
    <row r="346" spans="2:9" outlineLevel="1">
      <c r="B346" s="111" t="s">
        <v>887</v>
      </c>
      <c r="C346" s="113" t="s">
        <v>72</v>
      </c>
      <c r="D346" s="976">
        <f t="shared" si="16"/>
        <v>2423.2952428966896</v>
      </c>
      <c r="E346" s="113" t="s">
        <v>819</v>
      </c>
      <c r="F346" s="598">
        <v>45644</v>
      </c>
      <c r="H346" s="972">
        <v>2252.2600000000002</v>
      </c>
      <c r="I346" s="598">
        <v>45644</v>
      </c>
    </row>
    <row r="347" spans="2:9" outlineLevel="1">
      <c r="B347" s="111" t="s">
        <v>888</v>
      </c>
      <c r="C347" s="113" t="s">
        <v>72</v>
      </c>
      <c r="D347" s="976">
        <f t="shared" si="16"/>
        <v>4732.89597080981</v>
      </c>
      <c r="E347" s="113" t="s">
        <v>819</v>
      </c>
      <c r="F347" s="598">
        <v>45644</v>
      </c>
      <c r="H347" s="972">
        <v>4398.8500000000004</v>
      </c>
      <c r="I347" s="598">
        <v>45644</v>
      </c>
    </row>
    <row r="348" spans="2:9" outlineLevel="1">
      <c r="B348" s="111" t="s">
        <v>889</v>
      </c>
      <c r="C348" s="113" t="s">
        <v>72</v>
      </c>
      <c r="D348" s="976">
        <f t="shared" si="16"/>
        <v>3362.0093201424979</v>
      </c>
      <c r="E348" s="113" t="s">
        <v>819</v>
      </c>
      <c r="F348" s="598">
        <v>45644</v>
      </c>
      <c r="H348" s="972">
        <v>3124.72</v>
      </c>
      <c r="I348" s="598">
        <v>45644</v>
      </c>
    </row>
    <row r="349" spans="2:9" outlineLevel="1">
      <c r="B349" s="111" t="s">
        <v>890</v>
      </c>
      <c r="C349" s="113" t="s">
        <v>72</v>
      </c>
      <c r="D349" s="976">
        <f t="shared" si="16"/>
        <v>2240.299472021271</v>
      </c>
      <c r="E349" s="113" t="s">
        <v>819</v>
      </c>
      <c r="F349" s="598">
        <v>45644</v>
      </c>
      <c r="H349" s="972">
        <v>2082.1799999999998</v>
      </c>
      <c r="I349" s="598">
        <v>45644</v>
      </c>
    </row>
    <row r="350" spans="2:9" outlineLevel="1">
      <c r="B350" s="111" t="s">
        <v>891</v>
      </c>
      <c r="C350" s="113" t="s">
        <v>72</v>
      </c>
      <c r="D350" s="976">
        <f t="shared" si="16"/>
        <v>2137.1599224203919</v>
      </c>
      <c r="E350" s="113" t="s">
        <v>819</v>
      </c>
      <c r="F350" s="598">
        <v>45644</v>
      </c>
      <c r="H350" s="972">
        <v>1986.32</v>
      </c>
      <c r="I350" s="598">
        <v>45644</v>
      </c>
    </row>
    <row r="351" spans="2:9" outlineLevel="1">
      <c r="B351" s="111" t="s">
        <v>892</v>
      </c>
      <c r="C351" s="113" t="s">
        <v>72</v>
      </c>
      <c r="D351" s="976">
        <f t="shared" si="16"/>
        <v>960.65248133888144</v>
      </c>
      <c r="E351" s="113" t="s">
        <v>819</v>
      </c>
      <c r="F351" s="598">
        <v>45644</v>
      </c>
      <c r="H351" s="972">
        <v>892.85</v>
      </c>
      <c r="I351" s="598">
        <v>45644</v>
      </c>
    </row>
    <row r="352" spans="2:9" outlineLevel="1">
      <c r="B352" s="111" t="s">
        <v>893</v>
      </c>
      <c r="C352" s="113" t="s">
        <v>72</v>
      </c>
      <c r="D352" s="976">
        <f t="shared" si="16"/>
        <v>723.32177143942408</v>
      </c>
      <c r="E352" s="113" t="s">
        <v>819</v>
      </c>
      <c r="F352" s="598">
        <v>45644</v>
      </c>
      <c r="H352" s="972">
        <v>672.27</v>
      </c>
      <c r="I352" s="598">
        <v>45644</v>
      </c>
    </row>
    <row r="353" spans="2:9" outlineLevel="1">
      <c r="B353" s="111" t="s">
        <v>894</v>
      </c>
      <c r="C353" s="113" t="s">
        <v>72</v>
      </c>
      <c r="D353" s="976">
        <f t="shared" si="16"/>
        <v>658.67933309161651</v>
      </c>
      <c r="E353" s="113" t="s">
        <v>819</v>
      </c>
      <c r="F353" s="598">
        <v>45644</v>
      </c>
      <c r="H353" s="972">
        <v>612.19000000000005</v>
      </c>
      <c r="I353" s="598">
        <v>45644</v>
      </c>
    </row>
    <row r="354" spans="2:9" outlineLevel="1">
      <c r="B354" s="111" t="s">
        <v>895</v>
      </c>
      <c r="C354" s="113" t="s">
        <v>72</v>
      </c>
      <c r="D354" s="976">
        <f t="shared" si="16"/>
        <v>2245.1196804733045</v>
      </c>
      <c r="E354" s="113" t="s">
        <v>819</v>
      </c>
      <c r="F354" s="598">
        <v>45644</v>
      </c>
      <c r="H354" s="972">
        <v>2086.66</v>
      </c>
      <c r="I354" s="598">
        <v>45644</v>
      </c>
    </row>
    <row r="355" spans="2:9" outlineLevel="1">
      <c r="B355" s="111" t="s">
        <v>896</v>
      </c>
      <c r="C355" s="113" t="s">
        <v>72</v>
      </c>
      <c r="D355" s="976">
        <f t="shared" si="16"/>
        <v>1014.4279318818811</v>
      </c>
      <c r="E355" s="113" t="s">
        <v>819</v>
      </c>
      <c r="F355" s="598">
        <v>45644</v>
      </c>
      <c r="H355" s="972">
        <v>942.83</v>
      </c>
      <c r="I355" s="598">
        <v>45644</v>
      </c>
    </row>
    <row r="356" spans="2:9" outlineLevel="1">
      <c r="B356" s="111" t="s">
        <v>897</v>
      </c>
      <c r="C356" s="113" t="s">
        <v>72</v>
      </c>
      <c r="D356" s="976">
        <f t="shared" si="16"/>
        <v>571.84026519794895</v>
      </c>
      <c r="E356" s="113" t="s">
        <v>819</v>
      </c>
      <c r="F356" s="598">
        <v>45644</v>
      </c>
      <c r="H356" s="972">
        <v>531.48</v>
      </c>
      <c r="I356" s="598">
        <v>45644</v>
      </c>
    </row>
    <row r="357" spans="2:9" outlineLevel="1">
      <c r="B357" s="111" t="s">
        <v>898</v>
      </c>
      <c r="C357" s="113" t="s">
        <v>72</v>
      </c>
      <c r="D357" s="976">
        <f t="shared" si="16"/>
        <v>432.16181402763635</v>
      </c>
      <c r="E357" s="113" t="s">
        <v>819</v>
      </c>
      <c r="F357" s="598">
        <v>45644</v>
      </c>
      <c r="H357" s="972">
        <v>401.66</v>
      </c>
      <c r="I357" s="598">
        <v>45644</v>
      </c>
    </row>
    <row r="358" spans="2:9" outlineLevel="1">
      <c r="B358" s="111" t="s">
        <v>899</v>
      </c>
      <c r="C358" s="113" t="s">
        <v>72</v>
      </c>
      <c r="D358" s="976">
        <f t="shared" si="16"/>
        <v>2066.7612083541962</v>
      </c>
      <c r="E358" s="113" t="s">
        <v>819</v>
      </c>
      <c r="F358" s="598">
        <v>45644</v>
      </c>
      <c r="H358" s="972">
        <v>1920.89</v>
      </c>
      <c r="I358" s="598">
        <v>45644</v>
      </c>
    </row>
    <row r="359" spans="2:9" outlineLevel="1">
      <c r="B359" s="111" t="s">
        <v>900</v>
      </c>
      <c r="C359" s="113" t="s">
        <v>72</v>
      </c>
      <c r="D359" s="976">
        <f t="shared" si="16"/>
        <v>960.65248133888144</v>
      </c>
      <c r="E359" s="113" t="s">
        <v>819</v>
      </c>
      <c r="F359" s="598">
        <v>45644</v>
      </c>
      <c r="H359" s="972">
        <v>892.85</v>
      </c>
      <c r="I359" s="598">
        <v>45644</v>
      </c>
    </row>
    <row r="360" spans="2:9" outlineLevel="1">
      <c r="B360" s="111" t="s">
        <v>901</v>
      </c>
      <c r="C360" s="113" t="s">
        <v>72</v>
      </c>
      <c r="D360" s="976">
        <f t="shared" si="16"/>
        <v>696.15430192740439</v>
      </c>
      <c r="E360" s="113" t="s">
        <v>819</v>
      </c>
      <c r="F360" s="598">
        <v>45644</v>
      </c>
      <c r="H360" s="972">
        <v>647.02</v>
      </c>
      <c r="I360" s="598">
        <v>45644</v>
      </c>
    </row>
    <row r="361" spans="2:9" outlineLevel="1">
      <c r="B361" s="111" t="s">
        <v>902</v>
      </c>
      <c r="C361" s="113" t="s">
        <v>72</v>
      </c>
      <c r="D361" s="976">
        <f t="shared" si="16"/>
        <v>424.18910317282183</v>
      </c>
      <c r="E361" s="113" t="s">
        <v>819</v>
      </c>
      <c r="F361" s="598">
        <v>45644</v>
      </c>
      <c r="H361" s="972">
        <v>394.25</v>
      </c>
      <c r="I361" s="598">
        <v>45644</v>
      </c>
    </row>
    <row r="362" spans="2:9" outlineLevel="1">
      <c r="B362" s="111" t="s">
        <v>903</v>
      </c>
      <c r="C362" s="113" t="s">
        <v>72</v>
      </c>
      <c r="D362" s="976">
        <f t="shared" si="16"/>
        <v>653.42874888493702</v>
      </c>
      <c r="E362" s="113" t="s">
        <v>819</v>
      </c>
      <c r="F362" s="598">
        <v>45644</v>
      </c>
      <c r="H362" s="972">
        <v>607.30999999999995</v>
      </c>
      <c r="I362" s="598">
        <v>45644</v>
      </c>
    </row>
    <row r="363" spans="2:9" outlineLevel="1">
      <c r="B363" s="111" t="s">
        <v>904</v>
      </c>
      <c r="C363" s="113" t="s">
        <v>72</v>
      </c>
      <c r="D363" s="976">
        <f t="shared" si="16"/>
        <v>4518.7194765102995</v>
      </c>
      <c r="E363" s="113" t="s">
        <v>819</v>
      </c>
      <c r="F363" s="598">
        <v>45644</v>
      </c>
      <c r="H363" s="972">
        <v>4199.79</v>
      </c>
      <c r="I363" s="598">
        <v>45644</v>
      </c>
    </row>
    <row r="364" spans="2:9" outlineLevel="1">
      <c r="B364" s="111" t="s">
        <v>905</v>
      </c>
      <c r="C364" s="113" t="s">
        <v>72</v>
      </c>
      <c r="D364" s="976">
        <f t="shared" si="16"/>
        <v>571.84026519794895</v>
      </c>
      <c r="E364" s="113" t="s">
        <v>819</v>
      </c>
      <c r="F364" s="598">
        <v>45644</v>
      </c>
      <c r="H364" s="972">
        <v>531.48</v>
      </c>
      <c r="I364" s="598">
        <v>45644</v>
      </c>
    </row>
    <row r="365" spans="2:9" outlineLevel="1">
      <c r="B365" s="111" t="s">
        <v>906</v>
      </c>
      <c r="C365" s="113" t="s">
        <v>72</v>
      </c>
      <c r="D365" s="976">
        <f t="shared" si="16"/>
        <v>399.5500912193466</v>
      </c>
      <c r="E365" s="113" t="s">
        <v>819</v>
      </c>
      <c r="F365" s="598">
        <v>45644</v>
      </c>
      <c r="H365" s="972">
        <v>371.35</v>
      </c>
      <c r="I365" s="598">
        <v>45644</v>
      </c>
    </row>
    <row r="366" spans="2:9" outlineLevel="1">
      <c r="B366" s="111" t="s">
        <v>907</v>
      </c>
      <c r="C366" s="113" t="s">
        <v>532</v>
      </c>
      <c r="D366" s="976">
        <f t="shared" si="16"/>
        <v>4922.6056034577032</v>
      </c>
      <c r="E366" s="113" t="s">
        <v>819</v>
      </c>
      <c r="F366" s="598">
        <v>45644</v>
      </c>
      <c r="H366" s="972">
        <v>4575.17</v>
      </c>
      <c r="I366" s="598">
        <v>45644</v>
      </c>
    </row>
    <row r="367" spans="2:9" outlineLevel="1">
      <c r="B367" s="111" t="s">
        <v>908</v>
      </c>
      <c r="C367" s="113" t="s">
        <v>72</v>
      </c>
      <c r="D367" s="976">
        <f t="shared" si="16"/>
        <v>6006.9588360756688</v>
      </c>
      <c r="E367" s="113" t="s">
        <v>819</v>
      </c>
      <c r="F367" s="598">
        <v>45644</v>
      </c>
      <c r="H367" s="972">
        <v>5582.99</v>
      </c>
      <c r="I367" s="598">
        <v>45644</v>
      </c>
    </row>
    <row r="368" spans="2:9" outlineLevel="1">
      <c r="B368" s="111" t="s">
        <v>909</v>
      </c>
      <c r="C368" s="113" t="s">
        <v>72</v>
      </c>
      <c r="D368" s="976">
        <f t="shared" si="16"/>
        <v>7761.1919307999106</v>
      </c>
      <c r="E368" s="113" t="s">
        <v>819</v>
      </c>
      <c r="F368" s="598">
        <v>45644</v>
      </c>
      <c r="H368" s="972">
        <v>7213.41</v>
      </c>
      <c r="I368" s="598">
        <v>45644</v>
      </c>
    </row>
    <row r="369" spans="2:9" outlineLevel="1">
      <c r="B369" s="111" t="s">
        <v>910</v>
      </c>
      <c r="C369" s="113" t="s">
        <v>532</v>
      </c>
      <c r="D369" s="976">
        <f t="shared" si="16"/>
        <v>3243.9464912492735</v>
      </c>
      <c r="E369" s="113" t="s">
        <v>819</v>
      </c>
      <c r="F369" s="598">
        <v>45644</v>
      </c>
      <c r="H369" s="972">
        <v>3014.99</v>
      </c>
      <c r="I369" s="598">
        <v>45644</v>
      </c>
    </row>
    <row r="370" spans="2:9" outlineLevel="1">
      <c r="B370" s="111" t="s">
        <v>911</v>
      </c>
      <c r="C370" s="113" t="s">
        <v>72</v>
      </c>
      <c r="D370" s="976">
        <f t="shared" si="16"/>
        <v>452.99200055249571</v>
      </c>
      <c r="E370" s="113" t="s">
        <v>819</v>
      </c>
      <c r="F370" s="598">
        <v>45644</v>
      </c>
      <c r="H370" s="972">
        <v>421.02</v>
      </c>
      <c r="I370" s="598">
        <v>45644</v>
      </c>
    </row>
    <row r="371" spans="2:9" outlineLevel="1">
      <c r="B371" s="111" t="s">
        <v>912</v>
      </c>
      <c r="C371" s="113" t="s">
        <v>72</v>
      </c>
      <c r="D371" s="976">
        <f t="shared" si="16"/>
        <v>9528.6698393733786</v>
      </c>
      <c r="E371" s="113" t="s">
        <v>819</v>
      </c>
      <c r="F371" s="598">
        <v>45644</v>
      </c>
      <c r="H371" s="972">
        <v>8856.14</v>
      </c>
      <c r="I371" s="598">
        <v>45644</v>
      </c>
    </row>
    <row r="372" spans="2:9" outlineLevel="1">
      <c r="B372" s="111" t="s">
        <v>913</v>
      </c>
      <c r="C372" s="113" t="s">
        <v>72</v>
      </c>
      <c r="D372" s="976">
        <f t="shared" si="16"/>
        <v>12501.673274285353</v>
      </c>
      <c r="E372" s="113" t="s">
        <v>819</v>
      </c>
      <c r="F372" s="598">
        <v>45644</v>
      </c>
      <c r="H372" s="972">
        <v>11619.31</v>
      </c>
      <c r="I372" s="598">
        <v>45644</v>
      </c>
    </row>
    <row r="373" spans="2:9" outlineLevel="1">
      <c r="B373" s="111" t="s">
        <v>914</v>
      </c>
      <c r="C373" s="113" t="s">
        <v>72</v>
      </c>
      <c r="D373" s="976">
        <f t="shared" si="16"/>
        <v>4507.7018571913659</v>
      </c>
      <c r="E373" s="113" t="s">
        <v>819</v>
      </c>
      <c r="F373" s="598">
        <v>45644</v>
      </c>
      <c r="H373" s="972">
        <v>4189.55</v>
      </c>
      <c r="I373" s="598">
        <v>45644</v>
      </c>
    </row>
    <row r="374" spans="2:9" outlineLevel="1">
      <c r="B374" s="111" t="s">
        <v>915</v>
      </c>
      <c r="C374" s="113" t="s">
        <v>72</v>
      </c>
      <c r="D374" s="976">
        <f t="shared" si="16"/>
        <v>588.94770144512165</v>
      </c>
      <c r="E374" s="113" t="s">
        <v>819</v>
      </c>
      <c r="F374" s="598">
        <v>45644</v>
      </c>
      <c r="H374" s="972">
        <v>547.38</v>
      </c>
      <c r="I374" s="598">
        <v>45644</v>
      </c>
    </row>
    <row r="375" spans="2:9" outlineLevel="1">
      <c r="B375" s="111" t="s">
        <v>916</v>
      </c>
      <c r="C375" s="113" t="s">
        <v>72</v>
      </c>
      <c r="D375" s="976">
        <f t="shared" si="16"/>
        <v>3704.4377893264736</v>
      </c>
      <c r="E375" s="113" t="s">
        <v>819</v>
      </c>
      <c r="F375" s="598">
        <v>45644</v>
      </c>
      <c r="H375" s="972">
        <v>3442.98</v>
      </c>
      <c r="I375" s="598">
        <v>45644</v>
      </c>
    </row>
    <row r="376" spans="2:9" outlineLevel="1">
      <c r="B376" s="111" t="s">
        <v>917</v>
      </c>
      <c r="C376" s="113" t="s">
        <v>72</v>
      </c>
      <c r="D376" s="976">
        <f t="shared" si="16"/>
        <v>4644.8303320154009</v>
      </c>
      <c r="E376" s="113" t="s">
        <v>819</v>
      </c>
      <c r="F376" s="598">
        <v>45644</v>
      </c>
      <c r="H376" s="972">
        <v>4317</v>
      </c>
      <c r="I376" s="598">
        <v>45644</v>
      </c>
    </row>
    <row r="377" spans="2:9" outlineLevel="1">
      <c r="B377" s="111" t="s">
        <v>918</v>
      </c>
      <c r="C377" s="113" t="s">
        <v>72</v>
      </c>
      <c r="D377" s="976">
        <f t="shared" si="16"/>
        <v>452.99200055249571</v>
      </c>
      <c r="E377" s="113" t="s">
        <v>819</v>
      </c>
      <c r="F377" s="598">
        <v>45644</v>
      </c>
      <c r="H377" s="972">
        <v>421.02</v>
      </c>
      <c r="I377" s="598">
        <v>45644</v>
      </c>
    </row>
    <row r="378" spans="2:9" outlineLevel="1">
      <c r="B378" s="111" t="s">
        <v>919</v>
      </c>
      <c r="C378" s="113" t="s">
        <v>72</v>
      </c>
      <c r="D378" s="976">
        <f t="shared" si="16"/>
        <v>5164.4229805993427</v>
      </c>
      <c r="E378" s="113" t="s">
        <v>819</v>
      </c>
      <c r="F378" s="598">
        <v>45644</v>
      </c>
      <c r="H378" s="972">
        <v>4799.92</v>
      </c>
      <c r="I378" s="598">
        <v>45644</v>
      </c>
    </row>
    <row r="379" spans="2:9" outlineLevel="1">
      <c r="B379" s="111" t="s">
        <v>920</v>
      </c>
      <c r="C379" s="113" t="s">
        <v>72</v>
      </c>
      <c r="D379" s="976">
        <f t="shared" si="16"/>
        <v>1758.0096419712588</v>
      </c>
      <c r="E379" s="113" t="s">
        <v>819</v>
      </c>
      <c r="F379" s="598">
        <v>45644</v>
      </c>
      <c r="H379" s="972">
        <v>1633.93</v>
      </c>
      <c r="I379" s="598">
        <v>45644</v>
      </c>
    </row>
    <row r="380" spans="2:9" outlineLevel="1">
      <c r="B380" s="111" t="s">
        <v>921</v>
      </c>
      <c r="C380" s="113" t="s">
        <v>72</v>
      </c>
      <c r="D380" s="976">
        <f t="shared" si="16"/>
        <v>9863.9863492118311</v>
      </c>
      <c r="E380" s="113" t="s">
        <v>819</v>
      </c>
      <c r="F380" s="598">
        <v>45644</v>
      </c>
      <c r="H380" s="972">
        <v>9167.7900000000009</v>
      </c>
      <c r="I380" s="598">
        <v>45644</v>
      </c>
    </row>
    <row r="381" spans="2:9" outlineLevel="1">
      <c r="B381" s="111" t="s">
        <v>922</v>
      </c>
      <c r="C381" s="113" t="s">
        <v>72</v>
      </c>
      <c r="D381" s="976">
        <f t="shared" si="16"/>
        <v>337.95256133565846</v>
      </c>
      <c r="E381" s="113" t="s">
        <v>819</v>
      </c>
      <c r="F381" s="598">
        <v>45644</v>
      </c>
      <c r="H381" s="972">
        <v>314.10000000000002</v>
      </c>
      <c r="I381" s="598">
        <v>45644</v>
      </c>
    </row>
    <row r="382" spans="2:9" outlineLevel="1">
      <c r="B382" s="111" t="s">
        <v>923</v>
      </c>
      <c r="C382" s="113" t="s">
        <v>72</v>
      </c>
      <c r="D382" s="976">
        <f t="shared" si="16"/>
        <v>54352.423039071808</v>
      </c>
      <c r="E382" s="113" t="s">
        <v>819</v>
      </c>
      <c r="F382" s="598">
        <v>45644</v>
      </c>
      <c r="H382" s="972">
        <v>50516.25</v>
      </c>
      <c r="I382" s="598">
        <v>45644</v>
      </c>
    </row>
    <row r="383" spans="2:9" outlineLevel="1">
      <c r="B383" s="111" t="s">
        <v>924</v>
      </c>
      <c r="C383" s="113" t="s">
        <v>72</v>
      </c>
      <c r="D383" s="976">
        <f t="shared" si="16"/>
        <v>3447.2882759255745</v>
      </c>
      <c r="E383" s="113" t="s">
        <v>819</v>
      </c>
      <c r="F383" s="598">
        <v>45644</v>
      </c>
      <c r="H383" s="972">
        <v>3203.98</v>
      </c>
      <c r="I383" s="598">
        <v>45644</v>
      </c>
    </row>
    <row r="384" spans="2:9" outlineLevel="1">
      <c r="B384" s="111" t="s">
        <v>1605</v>
      </c>
      <c r="C384" s="113" t="s">
        <v>72</v>
      </c>
      <c r="D384" s="976">
        <f t="shared" si="16"/>
        <v>6417.289839948894</v>
      </c>
      <c r="E384" s="113" t="s">
        <v>819</v>
      </c>
      <c r="F384" s="598">
        <v>45644</v>
      </c>
      <c r="H384" s="972">
        <v>5964.36</v>
      </c>
      <c r="I384" s="598">
        <v>45644</v>
      </c>
    </row>
    <row r="385" spans="2:9" outlineLevel="1">
      <c r="B385" s="111" t="s">
        <v>1604</v>
      </c>
      <c r="C385" s="113" t="s">
        <v>72</v>
      </c>
      <c r="D385" s="976">
        <f t="shared" si="16"/>
        <v>47005.76903514679</v>
      </c>
      <c r="E385" s="113" t="s">
        <v>819</v>
      </c>
      <c r="F385" s="598">
        <v>45644</v>
      </c>
      <c r="H385" s="972">
        <v>43688.12</v>
      </c>
      <c r="I385" s="598">
        <v>45644</v>
      </c>
    </row>
    <row r="386" spans="2:9" outlineLevel="1">
      <c r="B386" s="111" t="s">
        <v>1614</v>
      </c>
      <c r="C386" s="113" t="s">
        <v>72</v>
      </c>
      <c r="D386" s="976">
        <f t="shared" si="16"/>
        <v>3556.8244185607937</v>
      </c>
      <c r="E386" s="113" t="s">
        <v>524</v>
      </c>
      <c r="F386" s="598">
        <v>45653</v>
      </c>
      <c r="H386" s="972">
        <v>3305.7851239669421</v>
      </c>
      <c r="I386" s="598">
        <v>45653</v>
      </c>
    </row>
    <row r="387" spans="2:9" outlineLevel="1">
      <c r="B387" s="111" t="s">
        <v>1615</v>
      </c>
      <c r="C387" s="113" t="s">
        <v>72</v>
      </c>
      <c r="D387" s="976">
        <f t="shared" si="16"/>
        <v>22230.152616004962</v>
      </c>
      <c r="E387" s="113" t="s">
        <v>524</v>
      </c>
      <c r="F387" s="598">
        <v>45653</v>
      </c>
      <c r="H387" s="972">
        <v>20661.157024793389</v>
      </c>
      <c r="I387" s="598">
        <v>45653</v>
      </c>
    </row>
    <row r="388" spans="2:9" outlineLevel="1">
      <c r="B388" s="111" t="s">
        <v>1616</v>
      </c>
      <c r="C388" s="113" t="s">
        <v>72</v>
      </c>
      <c r="D388" s="976">
        <f t="shared" si="16"/>
        <v>84474.579940818861</v>
      </c>
      <c r="E388" s="113" t="s">
        <v>524</v>
      </c>
      <c r="F388" s="598">
        <v>45653</v>
      </c>
      <c r="H388" s="972">
        <v>78512.396694214884</v>
      </c>
      <c r="I388" s="598">
        <v>45653</v>
      </c>
    </row>
    <row r="389" spans="2:9" outlineLevel="1">
      <c r="B389" s="517" t="s">
        <v>1618</v>
      </c>
      <c r="C389" s="599" t="s">
        <v>72</v>
      </c>
      <c r="D389" s="976">
        <f t="shared" si="16"/>
        <v>12004.282412642679</v>
      </c>
      <c r="E389" s="599" t="s">
        <v>524</v>
      </c>
      <c r="F389" s="600">
        <v>45653</v>
      </c>
      <c r="H389" s="975">
        <v>11157.024793388429</v>
      </c>
      <c r="I389" s="600">
        <v>45653</v>
      </c>
    </row>
    <row r="390" spans="2:9">
      <c r="B390" s="594" t="s">
        <v>925</v>
      </c>
      <c r="C390" s="595"/>
      <c r="D390" s="396"/>
      <c r="E390" s="595"/>
      <c r="F390" s="596"/>
    </row>
    <row r="391" spans="2:9" outlineLevel="1">
      <c r="B391" s="435" t="s">
        <v>160</v>
      </c>
      <c r="C391" s="436" t="s">
        <v>56</v>
      </c>
      <c r="D391" s="976">
        <f>+H391*$K$84</f>
        <v>443087.98278012301</v>
      </c>
      <c r="E391" s="436" t="s">
        <v>926</v>
      </c>
      <c r="F391" s="597">
        <v>45509</v>
      </c>
      <c r="H391" s="974">
        <v>395817.08</v>
      </c>
      <c r="I391" s="597">
        <v>45509</v>
      </c>
    </row>
    <row r="392" spans="2:9" outlineLevel="1">
      <c r="B392" s="111" t="s">
        <v>927</v>
      </c>
      <c r="C392" s="113" t="s">
        <v>56</v>
      </c>
      <c r="D392" s="976">
        <f t="shared" ref="D392:D402" si="17">+H392*$K$84</f>
        <v>148896.49296376802</v>
      </c>
      <c r="E392" s="113" t="s">
        <v>926</v>
      </c>
      <c r="F392" s="598">
        <v>45509</v>
      </c>
      <c r="H392" s="972">
        <v>133011.45000000001</v>
      </c>
      <c r="I392" s="598">
        <v>45509</v>
      </c>
    </row>
    <row r="393" spans="2:9" outlineLevel="1">
      <c r="B393" s="111" t="s">
        <v>162</v>
      </c>
      <c r="C393" s="113" t="s">
        <v>56</v>
      </c>
      <c r="D393" s="976">
        <f t="shared" si="17"/>
        <v>272572.19204033364</v>
      </c>
      <c r="E393" s="113" t="s">
        <v>926</v>
      </c>
      <c r="F393" s="598">
        <v>45509</v>
      </c>
      <c r="H393" s="972">
        <v>243492.79</v>
      </c>
      <c r="I393" s="598">
        <v>45509</v>
      </c>
    </row>
    <row r="394" spans="2:9" outlineLevel="1">
      <c r="B394" s="111" t="s">
        <v>928</v>
      </c>
      <c r="C394" s="113" t="s">
        <v>56</v>
      </c>
      <c r="D394" s="976">
        <f t="shared" si="17"/>
        <v>2758603.9547942304</v>
      </c>
      <c r="E394" s="113" t="s">
        <v>926</v>
      </c>
      <c r="F394" s="598">
        <v>45509</v>
      </c>
      <c r="H394" s="972">
        <v>2464301.91</v>
      </c>
      <c r="I394" s="598">
        <v>45509</v>
      </c>
    </row>
    <row r="395" spans="2:9" outlineLevel="1">
      <c r="B395" s="111" t="s">
        <v>163</v>
      </c>
      <c r="C395" s="113" t="s">
        <v>56</v>
      </c>
      <c r="D395" s="976">
        <f t="shared" si="17"/>
        <v>433696.53485853889</v>
      </c>
      <c r="E395" s="113" t="s">
        <v>926</v>
      </c>
      <c r="F395" s="598">
        <v>45509</v>
      </c>
      <c r="H395" s="972">
        <v>387427.56</v>
      </c>
      <c r="I395" s="598">
        <v>45509</v>
      </c>
    </row>
    <row r="396" spans="2:9" outlineLevel="1">
      <c r="B396" s="111" t="s">
        <v>164</v>
      </c>
      <c r="C396" s="113" t="s">
        <v>56</v>
      </c>
      <c r="D396" s="976">
        <f t="shared" si="17"/>
        <v>910658.05014304793</v>
      </c>
      <c r="E396" s="113" t="s">
        <v>926</v>
      </c>
      <c r="F396" s="598">
        <v>45509</v>
      </c>
      <c r="H396" s="972">
        <v>813504.37</v>
      </c>
      <c r="I396" s="598">
        <v>45509</v>
      </c>
    </row>
    <row r="397" spans="2:9" outlineLevel="1">
      <c r="B397" s="111" t="s">
        <v>160</v>
      </c>
      <c r="C397" s="113" t="s">
        <v>56</v>
      </c>
      <c r="D397" s="976">
        <f t="shared" si="17"/>
        <v>423539.76887340052</v>
      </c>
      <c r="E397" s="113" t="s">
        <v>929</v>
      </c>
      <c r="F397" s="598">
        <v>45509</v>
      </c>
      <c r="H397" s="972">
        <v>378354.37</v>
      </c>
      <c r="I397" s="598">
        <v>45509</v>
      </c>
    </row>
    <row r="398" spans="2:9" outlineLevel="1">
      <c r="B398" s="111" t="s">
        <v>161</v>
      </c>
      <c r="C398" s="113" t="s">
        <v>56</v>
      </c>
      <c r="D398" s="976">
        <f t="shared" si="17"/>
        <v>344076.7116089745</v>
      </c>
      <c r="E398" s="113" t="s">
        <v>929</v>
      </c>
      <c r="F398" s="598">
        <v>45509</v>
      </c>
      <c r="H398" s="972">
        <v>307368.84000000003</v>
      </c>
      <c r="I398" s="598">
        <v>45509</v>
      </c>
    </row>
    <row r="399" spans="2:9" outlineLevel="1">
      <c r="B399" s="111" t="s">
        <v>162</v>
      </c>
      <c r="C399" s="113" t="s">
        <v>56</v>
      </c>
      <c r="D399" s="976">
        <f t="shared" si="17"/>
        <v>260546.61129365835</v>
      </c>
      <c r="E399" s="113" t="s">
        <v>929</v>
      </c>
      <c r="F399" s="598">
        <v>45509</v>
      </c>
      <c r="H399" s="972">
        <v>232750.16</v>
      </c>
      <c r="I399" s="598">
        <v>45509</v>
      </c>
    </row>
    <row r="400" spans="2:9" outlineLevel="1">
      <c r="B400" s="111" t="s">
        <v>930</v>
      </c>
      <c r="C400" s="113" t="s">
        <v>56</v>
      </c>
      <c r="D400" s="976">
        <f t="shared" si="17"/>
        <v>2687747.0904084262</v>
      </c>
      <c r="E400" s="113" t="s">
        <v>929</v>
      </c>
      <c r="F400" s="598">
        <v>45509</v>
      </c>
      <c r="H400" s="972">
        <v>2401004.42</v>
      </c>
      <c r="I400" s="598">
        <v>45509</v>
      </c>
    </row>
    <row r="401" spans="2:9" outlineLevel="1">
      <c r="B401" s="111" t="s">
        <v>931</v>
      </c>
      <c r="C401" s="113" t="s">
        <v>56</v>
      </c>
      <c r="D401" s="976">
        <f t="shared" si="17"/>
        <v>441529.56249642232</v>
      </c>
      <c r="E401" s="113" t="s">
        <v>929</v>
      </c>
      <c r="F401" s="598">
        <v>45509</v>
      </c>
      <c r="H401" s="972">
        <v>394424.92</v>
      </c>
      <c r="I401" s="598">
        <v>45509</v>
      </c>
    </row>
    <row r="402" spans="2:9" outlineLevel="1">
      <c r="B402" s="111" t="s">
        <v>932</v>
      </c>
      <c r="C402" s="113" t="s">
        <v>56</v>
      </c>
      <c r="D402" s="976">
        <f t="shared" si="17"/>
        <v>714617.76520648843</v>
      </c>
      <c r="E402" s="113" t="s">
        <v>929</v>
      </c>
      <c r="F402" s="598">
        <v>45509</v>
      </c>
      <c r="H402" s="972">
        <v>638378.67000000004</v>
      </c>
      <c r="I402" s="598">
        <v>45509</v>
      </c>
    </row>
    <row r="403" spans="2:9" outlineLevel="1">
      <c r="B403" s="111" t="s">
        <v>934</v>
      </c>
      <c r="C403" s="113" t="s">
        <v>72</v>
      </c>
      <c r="D403" s="976">
        <f>+H403*$H$3</f>
        <v>16128000</v>
      </c>
      <c r="E403" s="113" t="s">
        <v>935</v>
      </c>
      <c r="F403" s="598">
        <v>45518</v>
      </c>
      <c r="G403" s="279" t="s">
        <v>933</v>
      </c>
      <c r="H403" s="241">
        <v>12600</v>
      </c>
    </row>
    <row r="404" spans="2:9" outlineLevel="1">
      <c r="B404" s="111" t="s">
        <v>936</v>
      </c>
      <c r="C404" s="113" t="s">
        <v>72</v>
      </c>
      <c r="D404" s="976">
        <f t="shared" ref="D404:D414" si="18">+H404*$H$3</f>
        <v>26880000</v>
      </c>
      <c r="E404" s="113" t="s">
        <v>935</v>
      </c>
      <c r="F404" s="598">
        <v>45518</v>
      </c>
      <c r="G404" s="590"/>
      <c r="H404" s="241">
        <v>21000</v>
      </c>
    </row>
    <row r="405" spans="2:9" outlineLevel="1">
      <c r="B405" s="111" t="s">
        <v>937</v>
      </c>
      <c r="C405" s="113" t="s">
        <v>72</v>
      </c>
      <c r="D405" s="976">
        <f t="shared" si="18"/>
        <v>6857600</v>
      </c>
      <c r="E405" s="113" t="s">
        <v>938</v>
      </c>
      <c r="F405" s="598">
        <v>45520</v>
      </c>
      <c r="G405" s="590"/>
      <c r="H405" s="241">
        <v>5357.5</v>
      </c>
    </row>
    <row r="406" spans="2:9" outlineLevel="1">
      <c r="B406" s="111" t="s">
        <v>165</v>
      </c>
      <c r="C406" s="113" t="s">
        <v>72</v>
      </c>
      <c r="D406" s="976">
        <f t="shared" si="18"/>
        <v>1628800</v>
      </c>
      <c r="E406" s="113" t="s">
        <v>938</v>
      </c>
      <c r="F406" s="598">
        <v>45520</v>
      </c>
      <c r="G406" s="590"/>
      <c r="H406" s="241">
        <v>1272.5</v>
      </c>
    </row>
    <row r="407" spans="2:9" outlineLevel="1">
      <c r="B407" s="111" t="s">
        <v>166</v>
      </c>
      <c r="C407" s="113" t="s">
        <v>72</v>
      </c>
      <c r="D407" s="976">
        <f t="shared" si="18"/>
        <v>224000</v>
      </c>
      <c r="E407" s="113" t="s">
        <v>938</v>
      </c>
      <c r="F407" s="598">
        <v>45520</v>
      </c>
      <c r="G407" s="590"/>
      <c r="H407" s="241">
        <v>175</v>
      </c>
    </row>
    <row r="408" spans="2:9" outlineLevel="1">
      <c r="B408" s="111" t="s">
        <v>167</v>
      </c>
      <c r="C408" s="113" t="s">
        <v>72</v>
      </c>
      <c r="D408" s="976">
        <f t="shared" si="18"/>
        <v>126400</v>
      </c>
      <c r="E408" s="113" t="s">
        <v>938</v>
      </c>
      <c r="F408" s="598">
        <v>45520</v>
      </c>
      <c r="G408" s="590"/>
      <c r="H408" s="241">
        <v>98.75</v>
      </c>
    </row>
    <row r="409" spans="2:9" outlineLevel="1">
      <c r="B409" s="111" t="s">
        <v>168</v>
      </c>
      <c r="C409" s="113" t="s">
        <v>72</v>
      </c>
      <c r="D409" s="976">
        <f t="shared" si="18"/>
        <v>243200</v>
      </c>
      <c r="E409" s="603" t="s">
        <v>524</v>
      </c>
      <c r="F409" s="598">
        <v>45532</v>
      </c>
      <c r="G409" s="590"/>
      <c r="H409" s="241">
        <v>190</v>
      </c>
    </row>
    <row r="410" spans="2:9" outlineLevel="1">
      <c r="B410" s="111" t="s">
        <v>169</v>
      </c>
      <c r="C410" s="113" t="s">
        <v>72</v>
      </c>
      <c r="D410" s="976">
        <f t="shared" si="18"/>
        <v>398400</v>
      </c>
      <c r="E410" s="113" t="s">
        <v>938</v>
      </c>
      <c r="F410" s="598">
        <v>45520</v>
      </c>
      <c r="G410" s="590"/>
      <c r="H410" s="241">
        <v>311.25</v>
      </c>
    </row>
    <row r="411" spans="2:9" outlineLevel="1">
      <c r="B411" s="111" t="s">
        <v>170</v>
      </c>
      <c r="C411" s="113" t="s">
        <v>72</v>
      </c>
      <c r="D411" s="976">
        <f t="shared" si="18"/>
        <v>2784000</v>
      </c>
      <c r="E411" s="113" t="s">
        <v>938</v>
      </c>
      <c r="F411" s="598">
        <v>45520</v>
      </c>
      <c r="G411" s="590"/>
      <c r="H411" s="241">
        <v>2175</v>
      </c>
    </row>
    <row r="412" spans="2:9" outlineLevel="1">
      <c r="B412" s="111" t="s">
        <v>171</v>
      </c>
      <c r="C412" s="113" t="s">
        <v>72</v>
      </c>
      <c r="D412" s="976">
        <f t="shared" si="18"/>
        <v>428800</v>
      </c>
      <c r="E412" s="113" t="s">
        <v>938</v>
      </c>
      <c r="F412" s="598">
        <v>45520</v>
      </c>
      <c r="G412" s="590"/>
      <c r="H412" s="241">
        <v>335</v>
      </c>
    </row>
    <row r="413" spans="2:9" outlineLevel="1">
      <c r="B413" s="111" t="s">
        <v>172</v>
      </c>
      <c r="C413" s="113" t="s">
        <v>72</v>
      </c>
      <c r="D413" s="976">
        <f t="shared" si="18"/>
        <v>771200</v>
      </c>
      <c r="E413" s="113" t="s">
        <v>938</v>
      </c>
      <c r="F413" s="598">
        <v>45520</v>
      </c>
      <c r="G413" s="590"/>
      <c r="H413" s="241">
        <v>602.5</v>
      </c>
    </row>
    <row r="414" spans="2:9" outlineLevel="1">
      <c r="B414" s="111" t="s">
        <v>173</v>
      </c>
      <c r="C414" s="113" t="s">
        <v>72</v>
      </c>
      <c r="D414" s="976">
        <f t="shared" si="18"/>
        <v>102400</v>
      </c>
      <c r="E414" s="113" t="s">
        <v>938</v>
      </c>
      <c r="F414" s="598">
        <v>45520</v>
      </c>
      <c r="G414" s="590"/>
      <c r="H414" s="241">
        <v>80</v>
      </c>
    </row>
    <row r="415" spans="2:9" outlineLevel="1">
      <c r="B415" s="715" t="s">
        <v>1563</v>
      </c>
      <c r="C415" s="113" t="s">
        <v>72</v>
      </c>
      <c r="D415" s="976">
        <f>+H415*H3</f>
        <v>2020800</v>
      </c>
      <c r="E415" s="113" t="s">
        <v>938</v>
      </c>
      <c r="F415" s="598">
        <v>45581</v>
      </c>
      <c r="H415" s="241">
        <v>1578.75</v>
      </c>
    </row>
    <row r="416" spans="2:9" outlineLevel="1">
      <c r="B416" s="716" t="s">
        <v>1562</v>
      </c>
      <c r="C416" s="599" t="s">
        <v>72</v>
      </c>
      <c r="D416" s="976">
        <f>60000*1.1</f>
        <v>66000</v>
      </c>
      <c r="E416" s="599" t="s">
        <v>938</v>
      </c>
      <c r="F416" s="600">
        <v>45581</v>
      </c>
    </row>
    <row r="417" spans="2:9">
      <c r="B417" s="519" t="s">
        <v>939</v>
      </c>
      <c r="C417" s="595"/>
      <c r="D417" s="595"/>
      <c r="E417" s="595"/>
      <c r="F417" s="596"/>
    </row>
    <row r="418" spans="2:9" outlineLevel="1">
      <c r="B418" s="685" t="s">
        <v>940</v>
      </c>
      <c r="C418" s="686"/>
      <c r="D418" s="686"/>
      <c r="E418" s="686"/>
      <c r="F418" s="687"/>
      <c r="I418" s="241">
        <v>1.21</v>
      </c>
    </row>
    <row r="419" spans="2:9" outlineLevel="1">
      <c r="B419" s="435" t="s">
        <v>941</v>
      </c>
      <c r="C419" s="436" t="s">
        <v>271</v>
      </c>
      <c r="D419" s="1176">
        <f>+H419/$I$418</f>
        <v>60365.748018579121</v>
      </c>
      <c r="E419" s="436" t="s">
        <v>942</v>
      </c>
      <c r="F419" s="597">
        <v>45509</v>
      </c>
      <c r="G419" s="1">
        <v>65250</v>
      </c>
      <c r="H419" s="1">
        <f>+G419*$K$84</f>
        <v>73042.555102480736</v>
      </c>
      <c r="I419" s="597">
        <v>45509</v>
      </c>
    </row>
    <row r="420" spans="2:9" outlineLevel="1">
      <c r="B420" s="111" t="s">
        <v>943</v>
      </c>
      <c r="C420" s="113" t="s">
        <v>271</v>
      </c>
      <c r="D420" s="976">
        <f t="shared" ref="D420:D423" si="19">+H420/$I$418</f>
        <v>104541.44867585351</v>
      </c>
      <c r="E420" s="113" t="s">
        <v>942</v>
      </c>
      <c r="F420" s="598">
        <v>45509</v>
      </c>
      <c r="G420" s="1">
        <v>113000</v>
      </c>
      <c r="H420" s="1">
        <f t="shared" ref="H420:H423" si="20">+G420*$K$84</f>
        <v>126495.15289778274</v>
      </c>
      <c r="I420" s="598">
        <v>45509</v>
      </c>
    </row>
    <row r="421" spans="2:9" outlineLevel="1">
      <c r="B421" s="111" t="s">
        <v>944</v>
      </c>
      <c r="C421" s="113" t="s">
        <v>271</v>
      </c>
      <c r="D421" s="976">
        <f t="shared" si="19"/>
        <v>63845.220482914381</v>
      </c>
      <c r="E421" s="113" t="s">
        <v>942</v>
      </c>
      <c r="F421" s="598">
        <v>45509</v>
      </c>
      <c r="G421" s="1">
        <v>69011</v>
      </c>
      <c r="H421" s="1">
        <f t="shared" si="20"/>
        <v>77252.716784326403</v>
      </c>
      <c r="I421" s="598">
        <v>45509</v>
      </c>
    </row>
    <row r="422" spans="2:9" outlineLevel="1">
      <c r="B422" s="111" t="s">
        <v>945</v>
      </c>
      <c r="C422" s="113" t="s">
        <v>271</v>
      </c>
      <c r="D422" s="976">
        <f t="shared" si="19"/>
        <v>100990.74000312849</v>
      </c>
      <c r="E422" s="113" t="s">
        <v>942</v>
      </c>
      <c r="F422" s="598">
        <v>45509</v>
      </c>
      <c r="G422" s="1">
        <v>109162</v>
      </c>
      <c r="H422" s="1">
        <f t="shared" si="20"/>
        <v>122198.79540378548</v>
      </c>
      <c r="I422" s="598">
        <v>45509</v>
      </c>
    </row>
    <row r="423" spans="2:9" outlineLevel="1">
      <c r="B423" s="517" t="s">
        <v>946</v>
      </c>
      <c r="C423" s="599" t="s">
        <v>271</v>
      </c>
      <c r="D423" s="759">
        <f t="shared" si="19"/>
        <v>63388.198574543843</v>
      </c>
      <c r="E423" s="599" t="s">
        <v>942</v>
      </c>
      <c r="F423" s="600">
        <v>45509</v>
      </c>
      <c r="G423" s="1">
        <v>68517</v>
      </c>
      <c r="H423" s="1">
        <f t="shared" si="20"/>
        <v>76699.720275198051</v>
      </c>
      <c r="I423" s="600">
        <v>45509</v>
      </c>
    </row>
    <row r="425" spans="2:9">
      <c r="B425" s="517" t="s">
        <v>1711</v>
      </c>
      <c r="C425" s="301" t="s">
        <v>271</v>
      </c>
      <c r="D425" s="1">
        <f>90400/1.21</f>
        <v>74710.74380165289</v>
      </c>
      <c r="E425" s="301" t="s">
        <v>1712</v>
      </c>
      <c r="F425" s="302">
        <v>45814</v>
      </c>
    </row>
    <row r="426" spans="2:9">
      <c r="B426" s="241" t="s">
        <v>1713</v>
      </c>
      <c r="C426" s="928" t="s">
        <v>271</v>
      </c>
      <c r="D426" s="1">
        <f>61423/1.21</f>
        <v>50762.809917355371</v>
      </c>
      <c r="E426" s="301" t="s">
        <v>1712</v>
      </c>
      <c r="F426" s="302">
        <v>45814</v>
      </c>
    </row>
  </sheetData>
  <autoFilter ref="B2:F423" xr:uid="{12500FB9-E396-4351-B348-D625193E8F20}">
    <sortState xmlns:xlrd2="http://schemas.microsoft.com/office/spreadsheetml/2017/richdata2" ref="B336:F377">
      <sortCondition descending="1" ref="B2:B383"/>
    </sortState>
  </autoFilter>
  <hyperlinks>
    <hyperlink ref="G77" r:id="rId1" xr:uid="{1A427E8B-68D1-4B48-ADD5-61C5F6EDDD7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F970-ECD0-4C33-A0A8-92AB59D420B1}">
  <sheetPr>
    <tabColor rgb="FF92D050"/>
  </sheetPr>
  <dimension ref="B2:V97"/>
  <sheetViews>
    <sheetView topLeftCell="A30" workbookViewId="0">
      <selection activeCell="A34" sqref="A34"/>
    </sheetView>
  </sheetViews>
  <sheetFormatPr defaultColWidth="11.54296875" defaultRowHeight="13" outlineLevelRow="1"/>
  <cols>
    <col min="1" max="1" width="4.54296875" style="241" customWidth="1"/>
    <col min="2" max="2" width="35.7265625" style="360" bestFit="1" customWidth="1"/>
    <col min="3" max="3" width="3.453125" style="301" bestFit="1" customWidth="1"/>
    <col min="4" max="4" width="13.453125" style="103" bestFit="1" customWidth="1"/>
    <col min="5" max="5" width="10.453125" style="103" bestFit="1" customWidth="1"/>
    <col min="6" max="6" width="18.81640625" style="103" bestFit="1" customWidth="1"/>
    <col min="7" max="7" width="35.26953125" style="1" bestFit="1" customWidth="1"/>
    <col min="8" max="8" width="43" style="1" bestFit="1" customWidth="1"/>
    <col min="9" max="9" width="15.453125" style="1" bestFit="1" customWidth="1"/>
    <col min="10" max="10" width="13" style="241" bestFit="1" customWidth="1"/>
    <col min="11" max="11" width="16.1796875" style="241" bestFit="1" customWidth="1"/>
    <col min="12" max="12" width="13.453125" style="241" bestFit="1" customWidth="1"/>
    <col min="13" max="13" width="35.26953125" style="241" bestFit="1" customWidth="1"/>
    <col min="14" max="14" width="13.453125" style="241" bestFit="1" customWidth="1"/>
    <col min="15" max="16384" width="11.54296875" style="241"/>
  </cols>
  <sheetData>
    <row r="2" spans="2:14">
      <c r="J2" s="1">
        <v>10331</v>
      </c>
      <c r="K2" s="613">
        <v>45292</v>
      </c>
      <c r="M2" s="279" t="s">
        <v>30</v>
      </c>
      <c r="N2" s="279" t="s">
        <v>1</v>
      </c>
    </row>
    <row r="3" spans="2:14">
      <c r="B3" s="630" t="s">
        <v>653</v>
      </c>
      <c r="C3" s="631" t="s">
        <v>523</v>
      </c>
      <c r="D3" s="182" t="s">
        <v>948</v>
      </c>
      <c r="E3" s="194" t="s">
        <v>949</v>
      </c>
      <c r="F3" s="194" t="s">
        <v>950</v>
      </c>
      <c r="H3" s="357" t="s">
        <v>951</v>
      </c>
      <c r="J3" s="1">
        <v>16253.5</v>
      </c>
      <c r="K3" s="613">
        <v>45748</v>
      </c>
      <c r="M3" s="241">
        <f>+GGBB!G4</f>
        <v>1280</v>
      </c>
      <c r="N3" s="241">
        <f>+GGBB!H4</f>
        <v>1276</v>
      </c>
    </row>
    <row r="4" spans="2:14">
      <c r="B4" s="594" t="s">
        <v>952</v>
      </c>
      <c r="C4" s="595"/>
      <c r="D4" s="396"/>
      <c r="E4" s="595"/>
      <c r="F4" s="596"/>
      <c r="H4" s="357"/>
      <c r="J4" s="1">
        <f>+J3/J2</f>
        <v>1.5732746103958959</v>
      </c>
      <c r="K4" s="444" t="s">
        <v>953</v>
      </c>
    </row>
    <row r="5" spans="2:14" outlineLevel="1">
      <c r="B5" s="435" t="s">
        <v>954</v>
      </c>
      <c r="C5" s="436" t="s">
        <v>54</v>
      </c>
      <c r="D5" s="618">
        <f t="shared" ref="D5:D12" si="0">+H5*$J$4</f>
        <v>1274352.4344206757</v>
      </c>
      <c r="E5" s="627">
        <v>45748</v>
      </c>
      <c r="F5" s="742" t="s">
        <v>955</v>
      </c>
      <c r="H5" s="1">
        <v>810000</v>
      </c>
      <c r="I5" s="109">
        <v>45356</v>
      </c>
      <c r="J5" s="1"/>
    </row>
    <row r="6" spans="2:14" outlineLevel="1">
      <c r="B6" s="355" t="s">
        <v>956</v>
      </c>
      <c r="C6" s="113" t="s">
        <v>54</v>
      </c>
      <c r="D6" s="405">
        <f t="shared" si="0"/>
        <v>51918.062143064562</v>
      </c>
      <c r="E6" s="627">
        <v>45749</v>
      </c>
      <c r="F6" s="405" t="s">
        <v>955</v>
      </c>
      <c r="H6" s="1">
        <v>33000</v>
      </c>
      <c r="I6" s="109">
        <v>45356</v>
      </c>
    </row>
    <row r="7" spans="2:14" outlineLevel="1">
      <c r="B7" s="355" t="s">
        <v>957</v>
      </c>
      <c r="C7" s="113" t="s">
        <v>54</v>
      </c>
      <c r="D7" s="405">
        <f t="shared" si="0"/>
        <v>116422.32116929629</v>
      </c>
      <c r="E7" s="627">
        <v>45750</v>
      </c>
      <c r="F7" s="405" t="s">
        <v>955</v>
      </c>
      <c r="H7" s="358">
        <v>74000</v>
      </c>
      <c r="I7" s="109">
        <v>45356</v>
      </c>
    </row>
    <row r="8" spans="2:14" outlineLevel="1">
      <c r="B8" s="355" t="s">
        <v>958</v>
      </c>
      <c r="C8" s="113" t="s">
        <v>54</v>
      </c>
      <c r="D8" s="405">
        <f t="shared" si="0"/>
        <v>143167.98954602654</v>
      </c>
      <c r="E8" s="627">
        <v>45751</v>
      </c>
      <c r="F8" s="405" t="s">
        <v>955</v>
      </c>
      <c r="H8" s="358">
        <v>91000</v>
      </c>
      <c r="I8" s="109">
        <v>45356</v>
      </c>
    </row>
    <row r="9" spans="2:14" outlineLevel="1">
      <c r="B9" s="355" t="s">
        <v>959</v>
      </c>
      <c r="C9" s="113" t="s">
        <v>54</v>
      </c>
      <c r="D9" s="405">
        <f t="shared" si="0"/>
        <v>121142.14500048399</v>
      </c>
      <c r="E9" s="627">
        <v>45752</v>
      </c>
      <c r="F9" s="405" t="s">
        <v>955</v>
      </c>
      <c r="H9" s="358">
        <v>77000</v>
      </c>
      <c r="I9" s="109">
        <v>45356</v>
      </c>
    </row>
    <row r="10" spans="2:14" outlineLevel="1">
      <c r="B10" s="355" t="s">
        <v>960</v>
      </c>
      <c r="C10" s="113" t="s">
        <v>54</v>
      </c>
      <c r="D10" s="405">
        <f t="shared" si="0"/>
        <v>259590.31071532282</v>
      </c>
      <c r="E10" s="627">
        <v>45753</v>
      </c>
      <c r="F10" s="405" t="s">
        <v>955</v>
      </c>
      <c r="H10" s="358">
        <v>165000</v>
      </c>
      <c r="I10" s="109">
        <v>45356</v>
      </c>
    </row>
    <row r="11" spans="2:14" outlineLevel="1">
      <c r="B11" s="355" t="s">
        <v>961</v>
      </c>
      <c r="C11" s="113" t="s">
        <v>54</v>
      </c>
      <c r="D11" s="405">
        <f t="shared" si="0"/>
        <v>157327.4610395896</v>
      </c>
      <c r="E11" s="627">
        <v>45754</v>
      </c>
      <c r="F11" s="405" t="s">
        <v>955</v>
      </c>
      <c r="H11" s="358">
        <v>100000</v>
      </c>
      <c r="I11" s="109">
        <v>45356</v>
      </c>
    </row>
    <row r="12" spans="2:14" outlineLevel="1">
      <c r="B12" s="355" t="s">
        <v>962</v>
      </c>
      <c r="C12" s="113" t="s">
        <v>54</v>
      </c>
      <c r="D12" s="405">
        <f t="shared" si="0"/>
        <v>550646.11363856355</v>
      </c>
      <c r="E12" s="627">
        <v>45755</v>
      </c>
      <c r="F12" s="405" t="s">
        <v>955</v>
      </c>
      <c r="H12" s="358">
        <v>350000</v>
      </c>
      <c r="I12" s="109">
        <v>45356</v>
      </c>
    </row>
    <row r="13" spans="2:14" outlineLevel="1">
      <c r="B13" s="594" t="s">
        <v>963</v>
      </c>
      <c r="C13" s="595"/>
      <c r="D13" s="396"/>
      <c r="E13" s="595"/>
      <c r="F13" s="596"/>
      <c r="G13" s="3"/>
      <c r="H13" s="3"/>
      <c r="I13" s="359"/>
    </row>
    <row r="14" spans="2:14" outlineLevel="1">
      <c r="B14" s="355" t="s">
        <v>260</v>
      </c>
      <c r="C14" s="113" t="s">
        <v>72</v>
      </c>
      <c r="D14" s="405">
        <f t="shared" ref="D14:D19" si="1">+H14*$J$4</f>
        <v>113275.77194850451</v>
      </c>
      <c r="E14" s="627">
        <v>45757</v>
      </c>
      <c r="F14" s="405" t="s">
        <v>955</v>
      </c>
      <c r="H14" s="358">
        <v>72000</v>
      </c>
      <c r="I14" s="109">
        <v>45356</v>
      </c>
    </row>
    <row r="15" spans="2:14" outlineLevel="1">
      <c r="B15" s="355" t="s">
        <v>964</v>
      </c>
      <c r="C15" s="113" t="s">
        <v>72</v>
      </c>
      <c r="D15" s="405">
        <f t="shared" si="1"/>
        <v>113275.77194850451</v>
      </c>
      <c r="E15" s="627">
        <v>45758</v>
      </c>
      <c r="F15" s="405" t="s">
        <v>955</v>
      </c>
      <c r="H15" s="1">
        <v>72000</v>
      </c>
      <c r="I15" s="109">
        <v>45356</v>
      </c>
    </row>
    <row r="16" spans="2:14" outlineLevel="1">
      <c r="B16" s="355" t="s">
        <v>965</v>
      </c>
      <c r="C16" s="113" t="s">
        <v>72</v>
      </c>
      <c r="D16" s="405">
        <f t="shared" si="1"/>
        <v>166767.10870196496</v>
      </c>
      <c r="E16" s="627">
        <v>45759</v>
      </c>
      <c r="F16" s="405" t="s">
        <v>955</v>
      </c>
      <c r="H16" s="1">
        <v>106000</v>
      </c>
      <c r="I16" s="109">
        <v>45356</v>
      </c>
    </row>
    <row r="17" spans="2:15" outlineLevel="1">
      <c r="B17" s="355" t="s">
        <v>966</v>
      </c>
      <c r="C17" s="113" t="s">
        <v>72</v>
      </c>
      <c r="D17" s="405">
        <f t="shared" si="1"/>
        <v>78663.730519794801</v>
      </c>
      <c r="E17" s="627">
        <v>45760</v>
      </c>
      <c r="F17" s="405" t="s">
        <v>955</v>
      </c>
      <c r="H17" s="1">
        <v>50000</v>
      </c>
      <c r="I17" s="109">
        <v>45356</v>
      </c>
    </row>
    <row r="18" spans="2:15" outlineLevel="1">
      <c r="B18" s="355" t="s">
        <v>261</v>
      </c>
      <c r="C18" s="113" t="s">
        <v>72</v>
      </c>
      <c r="D18" s="405">
        <f t="shared" si="1"/>
        <v>99116.300454941447</v>
      </c>
      <c r="E18" s="627">
        <v>45761</v>
      </c>
      <c r="F18" s="405" t="s">
        <v>955</v>
      </c>
      <c r="H18" s="1">
        <v>63000</v>
      </c>
      <c r="I18" s="109">
        <v>45356</v>
      </c>
    </row>
    <row r="19" spans="2:15" outlineLevel="1">
      <c r="B19" s="628" t="s">
        <v>967</v>
      </c>
      <c r="C19" s="599" t="s">
        <v>72</v>
      </c>
      <c r="D19" s="406">
        <f t="shared" si="1"/>
        <v>49558.150227470724</v>
      </c>
      <c r="E19" s="629">
        <v>45762</v>
      </c>
      <c r="F19" s="406" t="s">
        <v>955</v>
      </c>
      <c r="H19" s="1">
        <v>31500</v>
      </c>
      <c r="I19" s="109">
        <v>45356</v>
      </c>
    </row>
    <row r="20" spans="2:15">
      <c r="B20" s="594" t="s">
        <v>968</v>
      </c>
      <c r="C20" s="595"/>
      <c r="D20" s="396"/>
      <c r="E20" s="595"/>
      <c r="F20" s="767"/>
      <c r="I20" s="109"/>
    </row>
    <row r="21" spans="2:15" outlineLevel="1">
      <c r="B21" s="634" t="s">
        <v>969</v>
      </c>
      <c r="C21" s="635" t="s">
        <v>54</v>
      </c>
      <c r="D21" s="537">
        <f>(38800+(22000/2))/1.21</f>
        <v>41157.024793388431</v>
      </c>
      <c r="E21" s="636">
        <v>45756</v>
      </c>
      <c r="F21" s="521" t="s">
        <v>970</v>
      </c>
    </row>
    <row r="22" spans="2:15">
      <c r="B22" s="594" t="s">
        <v>971</v>
      </c>
      <c r="C22" s="595"/>
      <c r="D22" s="396"/>
      <c r="E22" s="595"/>
      <c r="F22" s="596"/>
      <c r="I22" s="613" t="s">
        <v>1466</v>
      </c>
      <c r="J22" s="241">
        <v>10084.9</v>
      </c>
    </row>
    <row r="23" spans="2:15" outlineLevel="1">
      <c r="B23" s="632" t="s">
        <v>1411</v>
      </c>
      <c r="C23" s="436" t="s">
        <v>66</v>
      </c>
      <c r="D23" s="196">
        <v>19500</v>
      </c>
      <c r="E23" s="633">
        <v>45783</v>
      </c>
      <c r="F23" s="404" t="s">
        <v>972</v>
      </c>
      <c r="H23" s="103"/>
      <c r="I23" s="613" t="s">
        <v>1817</v>
      </c>
      <c r="J23" s="241">
        <v>12755.3</v>
      </c>
      <c r="L23" s="241">
        <v>0.66500000000000004</v>
      </c>
      <c r="M23" s="241" t="s">
        <v>1439</v>
      </c>
    </row>
    <row r="24" spans="2:15" outlineLevel="1">
      <c r="B24" s="355" t="s">
        <v>2091</v>
      </c>
      <c r="C24" s="113" t="s">
        <v>4</v>
      </c>
      <c r="D24" s="405">
        <f>+H24/600</f>
        <v>21120</v>
      </c>
      <c r="E24" s="627">
        <v>45790</v>
      </c>
      <c r="F24" s="405" t="s">
        <v>2089</v>
      </c>
      <c r="G24" s="1" t="s">
        <v>2090</v>
      </c>
      <c r="H24" s="1">
        <v>12672000</v>
      </c>
      <c r="I24" s="241"/>
      <c r="J24" s="1">
        <f>+J23/J22+K24</f>
        <v>1.3447919166278297</v>
      </c>
      <c r="K24" s="241">
        <v>0.08</v>
      </c>
      <c r="L24" s="241">
        <v>0.9</v>
      </c>
      <c r="M24" s="241" t="s">
        <v>1440</v>
      </c>
    </row>
    <row r="25" spans="2:15" outlineLevel="1">
      <c r="B25" s="355" t="s">
        <v>2091</v>
      </c>
      <c r="C25" s="113" t="s">
        <v>4</v>
      </c>
      <c r="D25" s="405">
        <f>+H25/180</f>
        <v>23552.222222222223</v>
      </c>
      <c r="E25" s="627">
        <v>45652</v>
      </c>
      <c r="F25" s="405" t="s">
        <v>2089</v>
      </c>
      <c r="G25" s="1" t="s">
        <v>2092</v>
      </c>
      <c r="H25" s="1">
        <f>3854000*1.1</f>
        <v>4239400</v>
      </c>
      <c r="I25" s="241"/>
      <c r="J25" s="1"/>
    </row>
    <row r="26" spans="2:15" outlineLevel="1">
      <c r="B26" s="355" t="s">
        <v>2093</v>
      </c>
      <c r="C26" s="113" t="s">
        <v>201</v>
      </c>
      <c r="D26" s="405">
        <v>528000</v>
      </c>
      <c r="E26" s="627">
        <v>45833</v>
      </c>
      <c r="F26" s="405" t="s">
        <v>2089</v>
      </c>
      <c r="I26" s="241"/>
      <c r="J26" s="1"/>
    </row>
    <row r="27" spans="2:15" outlineLevel="1">
      <c r="B27" s="355" t="s">
        <v>2094</v>
      </c>
      <c r="C27" s="113" t="s">
        <v>201</v>
      </c>
      <c r="D27" s="405">
        <v>140000</v>
      </c>
      <c r="E27" s="627">
        <v>45833</v>
      </c>
      <c r="F27" s="405" t="s">
        <v>2089</v>
      </c>
      <c r="I27" s="241"/>
      <c r="J27" s="1"/>
    </row>
    <row r="28" spans="2:15" outlineLevel="1">
      <c r="B28" s="628" t="s">
        <v>2095</v>
      </c>
      <c r="C28" s="599" t="s">
        <v>72</v>
      </c>
      <c r="D28" s="406">
        <v>80000</v>
      </c>
      <c r="E28" s="629">
        <v>45833</v>
      </c>
      <c r="F28" s="406" t="s">
        <v>2089</v>
      </c>
      <c r="I28" s="241"/>
      <c r="J28" s="1"/>
    </row>
    <row r="29" spans="2:15">
      <c r="B29" s="594" t="s">
        <v>973</v>
      </c>
      <c r="C29" s="595"/>
      <c r="D29" s="396"/>
      <c r="E29" s="595"/>
      <c r="F29" s="596"/>
      <c r="H29" s="1" t="s">
        <v>974</v>
      </c>
      <c r="J29" s="445"/>
      <c r="K29" s="3"/>
      <c r="L29" s="241" t="s">
        <v>975</v>
      </c>
    </row>
    <row r="30" spans="2:15" outlineLevel="1">
      <c r="B30" s="632" t="s">
        <v>976</v>
      </c>
      <c r="C30" s="436" t="s">
        <v>4</v>
      </c>
      <c r="D30" s="404">
        <f>+L30</f>
        <v>9100.0956764289222</v>
      </c>
      <c r="E30" s="633">
        <v>45748</v>
      </c>
      <c r="F30" s="404" t="s">
        <v>977</v>
      </c>
      <c r="H30" s="1">
        <v>4500</v>
      </c>
      <c r="I30" s="109">
        <v>45510</v>
      </c>
      <c r="J30" s="280">
        <f>+H30*$J$24</f>
        <v>6051.563624825234</v>
      </c>
      <c r="L30" s="1">
        <f>+J30/$L$23</f>
        <v>9100.0956764289222</v>
      </c>
      <c r="N30" s="280"/>
      <c r="O30" s="280"/>
    </row>
    <row r="31" spans="2:15" outlineLevel="1">
      <c r="B31" s="355" t="s">
        <v>978</v>
      </c>
      <c r="C31" s="113" t="s">
        <v>4</v>
      </c>
      <c r="D31" s="405">
        <f t="shared" ref="D31:D36" si="2">+L31</f>
        <v>8088.9739346034867</v>
      </c>
      <c r="E31" s="627">
        <v>45748</v>
      </c>
      <c r="F31" s="405" t="s">
        <v>977</v>
      </c>
      <c r="H31" s="1">
        <v>4000</v>
      </c>
      <c r="I31" s="109">
        <v>45510</v>
      </c>
      <c r="J31" s="280">
        <f t="shared" ref="J31:J39" si="3">+H31*$J$24</f>
        <v>5379.1676665113191</v>
      </c>
      <c r="L31" s="1">
        <f t="shared" ref="L31:L39" si="4">+J31/$L$23</f>
        <v>8088.9739346034867</v>
      </c>
    </row>
    <row r="32" spans="2:15" outlineLevel="1">
      <c r="B32" s="355" t="s">
        <v>435</v>
      </c>
      <c r="C32" s="113" t="s">
        <v>4</v>
      </c>
      <c r="D32" s="405">
        <f t="shared" si="2"/>
        <v>12252.548573720227</v>
      </c>
      <c r="E32" s="627">
        <v>45748</v>
      </c>
      <c r="F32" s="405" t="s">
        <v>977</v>
      </c>
      <c r="H32" s="1">
        <v>8200</v>
      </c>
      <c r="I32" s="109">
        <v>45510</v>
      </c>
      <c r="J32" s="280">
        <f t="shared" si="3"/>
        <v>11027.293716348204</v>
      </c>
      <c r="L32" s="1">
        <f>+J32/$L$24</f>
        <v>12252.548573720227</v>
      </c>
    </row>
    <row r="33" spans="2:14" outlineLevel="1">
      <c r="B33" s="355" t="s">
        <v>979</v>
      </c>
      <c r="C33" s="113" t="s">
        <v>59</v>
      </c>
      <c r="D33" s="405">
        <f t="shared" si="2"/>
        <v>13144.582643730666</v>
      </c>
      <c r="E33" s="627">
        <v>45748</v>
      </c>
      <c r="F33" s="405" t="s">
        <v>977</v>
      </c>
      <c r="H33" s="1">
        <v>6500</v>
      </c>
      <c r="I33" s="109">
        <v>45510</v>
      </c>
      <c r="J33" s="280">
        <f t="shared" si="3"/>
        <v>8741.1474580808936</v>
      </c>
      <c r="L33" s="1">
        <f t="shared" si="4"/>
        <v>13144.582643730666</v>
      </c>
    </row>
    <row r="34" spans="2:14" outlineLevel="1">
      <c r="B34" s="355" t="s">
        <v>980</v>
      </c>
      <c r="C34" s="113" t="s">
        <v>72</v>
      </c>
      <c r="D34" s="405">
        <f t="shared" si="2"/>
        <v>13144.582643730666</v>
      </c>
      <c r="E34" s="627">
        <v>45748</v>
      </c>
      <c r="F34" s="405" t="s">
        <v>977</v>
      </c>
      <c r="H34" s="1">
        <v>6500</v>
      </c>
      <c r="I34" s="109">
        <v>45510</v>
      </c>
      <c r="J34" s="280">
        <f t="shared" si="3"/>
        <v>8741.1474580808936</v>
      </c>
      <c r="L34" s="1">
        <f t="shared" si="4"/>
        <v>13144.582643730666</v>
      </c>
    </row>
    <row r="35" spans="2:14" outlineLevel="1">
      <c r="B35" s="355" t="s">
        <v>981</v>
      </c>
      <c r="C35" s="113" t="s">
        <v>4</v>
      </c>
      <c r="D35" s="405">
        <f t="shared" si="2"/>
        <v>22244.67832015959</v>
      </c>
      <c r="E35" s="627">
        <v>45748</v>
      </c>
      <c r="F35" s="405" t="s">
        <v>977</v>
      </c>
      <c r="H35" s="1">
        <v>11000</v>
      </c>
      <c r="I35" s="109">
        <v>45510</v>
      </c>
      <c r="J35" s="280">
        <f t="shared" si="3"/>
        <v>14792.711082906128</v>
      </c>
      <c r="L35" s="1">
        <f t="shared" si="4"/>
        <v>22244.67832015959</v>
      </c>
    </row>
    <row r="36" spans="2:14" outlineLevel="1">
      <c r="B36" s="628" t="s">
        <v>982</v>
      </c>
      <c r="C36" s="599" t="s">
        <v>59</v>
      </c>
      <c r="D36" s="406">
        <f t="shared" si="2"/>
        <v>11122.339160079795</v>
      </c>
      <c r="E36" s="627">
        <v>45748</v>
      </c>
      <c r="F36" s="406" t="s">
        <v>977</v>
      </c>
      <c r="H36" s="1">
        <v>5500</v>
      </c>
      <c r="I36" s="109">
        <v>45510</v>
      </c>
      <c r="J36" s="280">
        <f t="shared" si="3"/>
        <v>7396.3555414530638</v>
      </c>
      <c r="L36" s="1">
        <f t="shared" si="4"/>
        <v>11122.339160079795</v>
      </c>
    </row>
    <row r="37" spans="2:14">
      <c r="B37" s="594" t="s">
        <v>983</v>
      </c>
      <c r="C37" s="595"/>
      <c r="D37" s="396"/>
      <c r="E37" s="595"/>
      <c r="F37" s="596"/>
      <c r="I37" s="109"/>
      <c r="J37" s="280"/>
      <c r="L37" s="1"/>
    </row>
    <row r="38" spans="2:14" outlineLevel="1">
      <c r="B38" s="632" t="s">
        <v>984</v>
      </c>
      <c r="C38" s="436" t="s">
        <v>4</v>
      </c>
      <c r="D38" s="404">
        <f>+L38</f>
        <v>10111.217418254359</v>
      </c>
      <c r="E38" s="627">
        <v>45748</v>
      </c>
      <c r="F38" s="404" t="s">
        <v>985</v>
      </c>
      <c r="H38" s="1">
        <v>5000</v>
      </c>
      <c r="I38" s="109">
        <v>45510</v>
      </c>
      <c r="J38" s="280">
        <f t="shared" si="3"/>
        <v>6723.9595831391489</v>
      </c>
      <c r="L38" s="1">
        <f t="shared" si="4"/>
        <v>10111.217418254359</v>
      </c>
    </row>
    <row r="39" spans="2:14" outlineLevel="1">
      <c r="B39" s="628" t="s">
        <v>984</v>
      </c>
      <c r="C39" s="599" t="s">
        <v>4</v>
      </c>
      <c r="D39" s="406">
        <f>+L39</f>
        <v>14155.704385556102</v>
      </c>
      <c r="E39" s="627">
        <v>45748</v>
      </c>
      <c r="F39" s="406" t="s">
        <v>985</v>
      </c>
      <c r="G39" s="1" t="s">
        <v>986</v>
      </c>
      <c r="H39" s="1">
        <f>+H38*1.4</f>
        <v>7000</v>
      </c>
      <c r="I39" s="109">
        <v>45510</v>
      </c>
      <c r="J39" s="280">
        <f t="shared" si="3"/>
        <v>9413.5434163948084</v>
      </c>
      <c r="L39" s="1">
        <f t="shared" si="4"/>
        <v>14155.704385556102</v>
      </c>
      <c r="M39" s="1" t="s">
        <v>986</v>
      </c>
      <c r="N39" s="1"/>
    </row>
    <row r="40" spans="2:14">
      <c r="B40" s="594" t="s">
        <v>987</v>
      </c>
      <c r="C40" s="595"/>
      <c r="D40" s="396"/>
      <c r="E40" s="595"/>
      <c r="F40" s="596"/>
      <c r="G40" s="1">
        <v>40</v>
      </c>
      <c r="I40" s="109"/>
    </row>
    <row r="41" spans="2:14" outlineLevel="1">
      <c r="B41" s="632" t="s">
        <v>988</v>
      </c>
      <c r="C41" s="436" t="s">
        <v>72</v>
      </c>
      <c r="D41" s="404">
        <f>+G41/$G$40</f>
        <v>247500</v>
      </c>
      <c r="E41" s="633">
        <v>45840</v>
      </c>
      <c r="F41" s="404" t="s">
        <v>989</v>
      </c>
      <c r="G41" s="1">
        <v>9900000</v>
      </c>
      <c r="I41" s="109"/>
    </row>
    <row r="42" spans="2:14" outlineLevel="1">
      <c r="B42" s="355" t="s">
        <v>990</v>
      </c>
      <c r="C42" s="113" t="s">
        <v>72</v>
      </c>
      <c r="D42" s="405">
        <f>+G42/$G$40</f>
        <v>230000</v>
      </c>
      <c r="E42" s="627">
        <v>45840</v>
      </c>
      <c r="F42" s="405" t="s">
        <v>989</v>
      </c>
      <c r="G42" s="1">
        <v>9200000</v>
      </c>
      <c r="I42" s="109"/>
    </row>
    <row r="43" spans="2:14" outlineLevel="1">
      <c r="B43" s="628" t="s">
        <v>991</v>
      </c>
      <c r="C43" s="599" t="s">
        <v>72</v>
      </c>
      <c r="D43" s="406">
        <f>+G43/$G$40</f>
        <v>0</v>
      </c>
      <c r="E43" s="629"/>
      <c r="F43" s="406" t="s">
        <v>989</v>
      </c>
      <c r="I43" s="109"/>
    </row>
    <row r="44" spans="2:14">
      <c r="B44" s="594" t="s">
        <v>112</v>
      </c>
      <c r="C44" s="595"/>
      <c r="D44" s="396"/>
      <c r="E44" s="595"/>
      <c r="F44" s="596"/>
      <c r="G44" s="444" t="s">
        <v>992</v>
      </c>
      <c r="H44" s="1153">
        <v>45778</v>
      </c>
    </row>
    <row r="45" spans="2:14" outlineLevel="1">
      <c r="B45" s="632" t="s">
        <v>993</v>
      </c>
      <c r="C45" s="436" t="s">
        <v>994</v>
      </c>
      <c r="D45" s="404">
        <f>+G45*0.7</f>
        <v>30114.699999999997</v>
      </c>
      <c r="E45" s="633">
        <v>45778</v>
      </c>
      <c r="F45" s="404" t="s">
        <v>995</v>
      </c>
      <c r="G45" s="1">
        <v>43021</v>
      </c>
    </row>
    <row r="46" spans="2:14" outlineLevel="1">
      <c r="B46" s="355" t="s">
        <v>645</v>
      </c>
      <c r="C46" s="113" t="s">
        <v>994</v>
      </c>
      <c r="D46" s="405">
        <f>+G46*0.7</f>
        <v>13192.199999999999</v>
      </c>
      <c r="E46" s="627">
        <v>45778</v>
      </c>
      <c r="F46" s="405" t="s">
        <v>995</v>
      </c>
      <c r="G46" s="1">
        <v>18846</v>
      </c>
    </row>
    <row r="47" spans="2:14" outlineLevel="1">
      <c r="B47" s="355" t="s">
        <v>996</v>
      </c>
      <c r="C47" s="113"/>
      <c r="D47" s="405">
        <f>+D45+D46</f>
        <v>43306.899999999994</v>
      </c>
      <c r="E47" s="627">
        <v>45778</v>
      </c>
      <c r="F47" s="405" t="s">
        <v>995</v>
      </c>
    </row>
    <row r="48" spans="2:14" outlineLevel="1">
      <c r="B48" s="355" t="s">
        <v>997</v>
      </c>
      <c r="C48" s="113" t="s">
        <v>994</v>
      </c>
      <c r="D48" s="405">
        <f>+G48*0.7</f>
        <v>53617.2</v>
      </c>
      <c r="E48" s="627">
        <v>45778</v>
      </c>
      <c r="F48" s="405" t="s">
        <v>995</v>
      </c>
      <c r="G48" s="1">
        <v>76596</v>
      </c>
    </row>
    <row r="49" spans="2:16" outlineLevel="1">
      <c r="B49" s="355" t="s">
        <v>998</v>
      </c>
      <c r="C49" s="113" t="s">
        <v>994</v>
      </c>
      <c r="D49" s="405">
        <f t="shared" ref="D49:D62" si="5">+G49*0.7</f>
        <v>9575.2999999999993</v>
      </c>
      <c r="E49" s="627">
        <v>45778</v>
      </c>
      <c r="F49" s="405" t="s">
        <v>995</v>
      </c>
      <c r="G49" s="1">
        <v>13679</v>
      </c>
    </row>
    <row r="50" spans="2:16" outlineLevel="1">
      <c r="B50" s="355" t="s">
        <v>999</v>
      </c>
      <c r="C50" s="113" t="s">
        <v>72</v>
      </c>
      <c r="D50" s="405">
        <f t="shared" si="5"/>
        <v>14693.699999999999</v>
      </c>
      <c r="E50" s="627">
        <v>45778</v>
      </c>
      <c r="F50" s="405" t="s">
        <v>995</v>
      </c>
      <c r="G50" s="1">
        <v>20991</v>
      </c>
    </row>
    <row r="51" spans="2:16" outlineLevel="1">
      <c r="B51" s="637" t="s">
        <v>1000</v>
      </c>
      <c r="C51" s="638" t="s">
        <v>72</v>
      </c>
      <c r="D51" s="639">
        <f>+G51*0.5</f>
        <v>59550</v>
      </c>
      <c r="E51" s="640">
        <v>45778</v>
      </c>
      <c r="F51" s="639" t="s">
        <v>1001</v>
      </c>
      <c r="G51" s="614">
        <v>119100</v>
      </c>
    </row>
    <row r="52" spans="2:16" outlineLevel="1">
      <c r="B52" s="637" t="s">
        <v>1002</v>
      </c>
      <c r="C52" s="638" t="s">
        <v>72</v>
      </c>
      <c r="D52" s="639">
        <f>+G52*0.5</f>
        <v>84800</v>
      </c>
      <c r="E52" s="640">
        <v>45778</v>
      </c>
      <c r="F52" s="639" t="s">
        <v>1001</v>
      </c>
      <c r="G52" s="614">
        <v>169600</v>
      </c>
    </row>
    <row r="53" spans="2:16" outlineLevel="1">
      <c r="B53" s="637" t="s">
        <v>1003</v>
      </c>
      <c r="C53" s="638" t="s">
        <v>72</v>
      </c>
      <c r="D53" s="639">
        <f t="shared" si="5"/>
        <v>22610</v>
      </c>
      <c r="E53" s="640">
        <v>45778</v>
      </c>
      <c r="F53" s="639" t="s">
        <v>1001</v>
      </c>
      <c r="G53" s="614">
        <v>32300</v>
      </c>
    </row>
    <row r="54" spans="2:16" outlineLevel="1">
      <c r="B54" s="355" t="s">
        <v>1004</v>
      </c>
      <c r="C54" s="113" t="s">
        <v>72</v>
      </c>
      <c r="D54" s="405">
        <f>+G54*0.45</f>
        <v>289506.60000000003</v>
      </c>
      <c r="E54" s="627">
        <v>45778</v>
      </c>
      <c r="F54" s="405" t="s">
        <v>995</v>
      </c>
      <c r="G54" s="1">
        <v>643348</v>
      </c>
    </row>
    <row r="55" spans="2:16" outlineLevel="1">
      <c r="B55" s="355" t="s">
        <v>1005</v>
      </c>
      <c r="C55" s="113" t="s">
        <v>72</v>
      </c>
      <c r="D55" s="405">
        <f>+G55*0.45</f>
        <v>434240.10000000003</v>
      </c>
      <c r="E55" s="627">
        <v>45778</v>
      </c>
      <c r="F55" s="405" t="s">
        <v>995</v>
      </c>
      <c r="G55" s="1">
        <v>964978</v>
      </c>
    </row>
    <row r="56" spans="2:16" outlineLevel="1">
      <c r="B56" s="637" t="s">
        <v>1006</v>
      </c>
      <c r="C56" s="638" t="s">
        <v>72</v>
      </c>
      <c r="D56" s="639">
        <f t="shared" si="5"/>
        <v>26460</v>
      </c>
      <c r="E56" s="640">
        <v>45778</v>
      </c>
      <c r="F56" s="639" t="s">
        <v>1001</v>
      </c>
      <c r="G56" s="614">
        <v>37800</v>
      </c>
    </row>
    <row r="57" spans="2:16" outlineLevel="1">
      <c r="B57" s="355" t="s">
        <v>1007</v>
      </c>
      <c r="C57" s="113" t="s">
        <v>59</v>
      </c>
      <c r="D57" s="405">
        <f t="shared" si="5"/>
        <v>26831</v>
      </c>
      <c r="E57" s="627">
        <v>45778</v>
      </c>
      <c r="F57" s="405" t="s">
        <v>995</v>
      </c>
      <c r="G57" s="1">
        <v>38330</v>
      </c>
    </row>
    <row r="58" spans="2:16" outlineLevel="1">
      <c r="B58" s="355" t="s">
        <v>1008</v>
      </c>
      <c r="C58" s="113" t="s">
        <v>72</v>
      </c>
      <c r="D58" s="405">
        <f t="shared" si="5"/>
        <v>428925</v>
      </c>
      <c r="E58" s="627">
        <v>45778</v>
      </c>
      <c r="F58" s="405" t="s">
        <v>995</v>
      </c>
      <c r="G58" s="1">
        <v>612750</v>
      </c>
      <c r="O58" s="241" t="s">
        <v>1821</v>
      </c>
      <c r="P58" s="241" t="s">
        <v>1537</v>
      </c>
    </row>
    <row r="59" spans="2:16" outlineLevel="1">
      <c r="B59" s="355" t="s">
        <v>1009</v>
      </c>
      <c r="C59" s="113" t="s">
        <v>72</v>
      </c>
      <c r="D59" s="405">
        <f t="shared" si="5"/>
        <v>112571.9</v>
      </c>
      <c r="E59" s="627">
        <v>45778</v>
      </c>
      <c r="F59" s="405" t="s">
        <v>995</v>
      </c>
      <c r="G59" s="1">
        <v>160817</v>
      </c>
      <c r="O59" s="241" t="s">
        <v>18</v>
      </c>
      <c r="P59" s="241">
        <v>80</v>
      </c>
    </row>
    <row r="60" spans="2:16" outlineLevel="1">
      <c r="B60" s="355" t="s">
        <v>289</v>
      </c>
      <c r="C60" s="113" t="s">
        <v>72</v>
      </c>
      <c r="D60" s="405">
        <f t="shared" si="5"/>
        <v>112571.9</v>
      </c>
      <c r="E60" s="627">
        <v>45778</v>
      </c>
      <c r="F60" s="405" t="s">
        <v>995</v>
      </c>
      <c r="G60" s="1">
        <v>160817</v>
      </c>
      <c r="K60" s="242">
        <v>45383</v>
      </c>
      <c r="L60" s="241">
        <v>7803.5</v>
      </c>
      <c r="O60" s="241" t="s">
        <v>1822</v>
      </c>
      <c r="P60" s="241">
        <v>75</v>
      </c>
    </row>
    <row r="61" spans="2:16" outlineLevel="1">
      <c r="B61" s="355" t="s">
        <v>290</v>
      </c>
      <c r="C61" s="113" t="s">
        <v>72</v>
      </c>
      <c r="D61" s="405">
        <f t="shared" si="5"/>
        <v>160878.19999999998</v>
      </c>
      <c r="E61" s="627">
        <v>45778</v>
      </c>
      <c r="F61" s="405" t="s">
        <v>995</v>
      </c>
      <c r="G61" s="1">
        <v>229826</v>
      </c>
      <c r="K61" s="242">
        <v>45748</v>
      </c>
      <c r="L61" s="241">
        <v>12755.3</v>
      </c>
      <c r="O61" s="241" t="s">
        <v>1823</v>
      </c>
      <c r="P61" s="241">
        <v>80</v>
      </c>
    </row>
    <row r="62" spans="2:16" outlineLevel="1">
      <c r="B62" s="628" t="s">
        <v>1010</v>
      </c>
      <c r="C62" s="599" t="s">
        <v>72</v>
      </c>
      <c r="D62" s="406">
        <f t="shared" si="5"/>
        <v>80397.099999999991</v>
      </c>
      <c r="E62" s="627">
        <v>45778</v>
      </c>
      <c r="F62" s="406" t="s">
        <v>995</v>
      </c>
      <c r="G62" s="1">
        <v>114853</v>
      </c>
      <c r="L62" s="1">
        <f>+L61/L60</f>
        <v>1.6345614147497918</v>
      </c>
      <c r="M62" s="895">
        <f>+P63/T70</f>
        <v>0.38265306122448978</v>
      </c>
      <c r="O62" s="241" t="s">
        <v>1823</v>
      </c>
      <c r="P62" s="241">
        <v>65</v>
      </c>
    </row>
    <row r="63" spans="2:16">
      <c r="B63" s="594" t="s">
        <v>1011</v>
      </c>
      <c r="C63" s="595"/>
      <c r="D63" s="396"/>
      <c r="E63" s="595"/>
      <c r="F63" s="596"/>
      <c r="H63" s="633">
        <v>45385</v>
      </c>
      <c r="J63" s="241" t="s">
        <v>1012</v>
      </c>
      <c r="K63" s="241" t="s">
        <v>1013</v>
      </c>
      <c r="L63" s="241" t="s">
        <v>1014</v>
      </c>
      <c r="M63" s="896" t="s">
        <v>1015</v>
      </c>
      <c r="P63" s="786">
        <f>+SUM(P59:P62)</f>
        <v>300</v>
      </c>
    </row>
    <row r="64" spans="2:16" outlineLevel="1">
      <c r="B64" s="632" t="s">
        <v>1016</v>
      </c>
      <c r="C64" s="436" t="s">
        <v>54</v>
      </c>
      <c r="D64" s="404">
        <f>+M64</f>
        <v>10758082.78075118</v>
      </c>
      <c r="E64" s="627">
        <v>45748</v>
      </c>
      <c r="F64" s="404" t="s">
        <v>1017</v>
      </c>
      <c r="H64" s="1">
        <v>17200</v>
      </c>
      <c r="I64" s="103" t="s">
        <v>1018</v>
      </c>
      <c r="J64" s="241">
        <v>1000</v>
      </c>
      <c r="K64" s="1">
        <f>+H64*J64</f>
        <v>17200000</v>
      </c>
      <c r="L64" s="1">
        <f>+K64*L62</f>
        <v>28114456.333696418</v>
      </c>
      <c r="M64" s="445">
        <f>+L64*M62</f>
        <v>10758082.78075118</v>
      </c>
    </row>
    <row r="65" spans="2:22" outlineLevel="1">
      <c r="B65" s="355"/>
      <c r="C65" s="113"/>
      <c r="D65" s="405"/>
      <c r="E65" s="405"/>
      <c r="F65" s="405"/>
      <c r="G65" s="1">
        <v>1</v>
      </c>
      <c r="O65" s="241" t="s">
        <v>1820</v>
      </c>
      <c r="P65" s="241" t="s">
        <v>365</v>
      </c>
      <c r="Q65" s="241" t="s">
        <v>368</v>
      </c>
      <c r="R65" s="241" t="s">
        <v>4</v>
      </c>
      <c r="S65" s="241" t="s">
        <v>515</v>
      </c>
      <c r="T65" s="241" t="s">
        <v>4</v>
      </c>
    </row>
    <row r="66" spans="2:22" outlineLevel="1">
      <c r="B66" s="355" t="s">
        <v>1019</v>
      </c>
      <c r="C66" s="113" t="s">
        <v>72</v>
      </c>
      <c r="D66" s="405">
        <f>+$D$64/$G$65*G66</f>
        <v>9144370.3636385035</v>
      </c>
      <c r="E66" s="627">
        <v>45748</v>
      </c>
      <c r="F66" s="405" t="s">
        <v>1017</v>
      </c>
      <c r="G66" s="409">
        <v>0.85</v>
      </c>
      <c r="H66" s="1">
        <f>+D66/4</f>
        <v>2286092.5909096259</v>
      </c>
      <c r="I66" s="1" t="s">
        <v>1020</v>
      </c>
      <c r="J66" s="1"/>
      <c r="K66" s="445" t="s">
        <v>4</v>
      </c>
      <c r="L66" s="1">
        <f>+T70</f>
        <v>784</v>
      </c>
      <c r="O66" s="241" t="s">
        <v>400</v>
      </c>
      <c r="P66" s="241">
        <v>47</v>
      </c>
      <c r="Q66" s="241">
        <v>47</v>
      </c>
      <c r="R66" s="241">
        <f>+SUM(P66:Q66)</f>
        <v>94</v>
      </c>
      <c r="S66" s="241">
        <v>1</v>
      </c>
      <c r="T66" s="241">
        <f>+R66*S66</f>
        <v>94</v>
      </c>
      <c r="V66" s="241">
        <f>2*S66</f>
        <v>2</v>
      </c>
    </row>
    <row r="67" spans="2:22" outlineLevel="1">
      <c r="B67" s="801" t="s">
        <v>1021</v>
      </c>
      <c r="C67" s="682" t="s">
        <v>72</v>
      </c>
      <c r="D67" s="405">
        <f>+$D$64/$G$65*G67</f>
        <v>0</v>
      </c>
      <c r="E67" s="803"/>
      <c r="F67" s="802"/>
      <c r="G67" s="409">
        <v>0</v>
      </c>
      <c r="H67" s="1">
        <f>+D67/81</f>
        <v>0</v>
      </c>
      <c r="K67" s="896" t="s">
        <v>1965</v>
      </c>
      <c r="L67" s="280">
        <f>+L64/L66</f>
        <v>35860.275935837264</v>
      </c>
      <c r="O67" s="241" t="s">
        <v>1818</v>
      </c>
      <c r="P67" s="241">
        <v>47</v>
      </c>
      <c r="Q67" s="241">
        <v>47</v>
      </c>
      <c r="R67" s="241">
        <f>+SUM(P67:Q67)</f>
        <v>94</v>
      </c>
      <c r="S67" s="241">
        <v>6</v>
      </c>
      <c r="T67" s="241">
        <f>+R67*S67</f>
        <v>564</v>
      </c>
      <c r="V67" s="241">
        <f>2*S67</f>
        <v>12</v>
      </c>
    </row>
    <row r="68" spans="2:22" outlineLevel="1">
      <c r="B68" s="628" t="s">
        <v>1022</v>
      </c>
      <c r="C68" s="599" t="s">
        <v>72</v>
      </c>
      <c r="D68" s="406">
        <f>+$D$64/$G$65*G68</f>
        <v>1613712.4171126769</v>
      </c>
      <c r="E68" s="629">
        <v>45748</v>
      </c>
      <c r="F68" s="406" t="s">
        <v>1017</v>
      </c>
      <c r="G68" s="409">
        <v>0.15</v>
      </c>
      <c r="H68" s="1">
        <f>+D68/4</f>
        <v>403428.10427816922</v>
      </c>
      <c r="I68" s="1" t="s">
        <v>1023</v>
      </c>
      <c r="O68" s="241" t="s">
        <v>407</v>
      </c>
      <c r="P68" s="241">
        <v>36</v>
      </c>
      <c r="Q68" s="241">
        <v>47</v>
      </c>
      <c r="R68" s="241">
        <f>+SUM(P68:Q68)</f>
        <v>83</v>
      </c>
      <c r="S68" s="241">
        <v>1</v>
      </c>
      <c r="T68" s="241">
        <f>+R68*S68</f>
        <v>83</v>
      </c>
      <c r="V68" s="241">
        <f>2*S68</f>
        <v>2</v>
      </c>
    </row>
    <row r="69" spans="2:22" outlineLevel="1">
      <c r="B69" s="869"/>
      <c r="C69" s="676"/>
      <c r="D69" s="870"/>
      <c r="E69" s="871"/>
      <c r="F69" s="872"/>
      <c r="G69" s="409"/>
      <c r="H69" s="1">
        <v>10483.299999999999</v>
      </c>
      <c r="I69" s="1" t="s">
        <v>1462</v>
      </c>
      <c r="O69" s="241" t="s">
        <v>1819</v>
      </c>
      <c r="P69" s="241">
        <v>43</v>
      </c>
      <c r="R69" s="241">
        <f>+SUM(P69:Q69)</f>
        <v>43</v>
      </c>
      <c r="S69" s="241">
        <v>1</v>
      </c>
      <c r="T69" s="241">
        <f>+R69*S69</f>
        <v>43</v>
      </c>
      <c r="V69" s="241">
        <f>1*S69</f>
        <v>1</v>
      </c>
    </row>
    <row r="70" spans="2:22" outlineLevel="1">
      <c r="B70" s="869"/>
      <c r="C70" s="676"/>
      <c r="D70" s="870"/>
      <c r="E70" s="871"/>
      <c r="F70" s="872"/>
      <c r="G70" s="409"/>
      <c r="H70" s="1">
        <v>12755.3</v>
      </c>
      <c r="I70" s="1" t="s">
        <v>1824</v>
      </c>
      <c r="T70" s="786">
        <f>+SUM(T66:T69)</f>
        <v>784</v>
      </c>
      <c r="V70" s="241">
        <f>+SUM(V66:V69)</f>
        <v>17</v>
      </c>
    </row>
    <row r="71" spans="2:22">
      <c r="B71" s="594" t="s">
        <v>1024</v>
      </c>
      <c r="C71" s="595"/>
      <c r="D71" s="442"/>
      <c r="E71" s="442"/>
      <c r="F71" s="804"/>
      <c r="H71" s="411">
        <f>+H70/H69</f>
        <v>1.2167256493661347</v>
      </c>
      <c r="I71" s="411" t="s">
        <v>1461</v>
      </c>
    </row>
    <row r="72" spans="2:22" outlineLevel="1">
      <c r="B72" s="632" t="s">
        <v>1025</v>
      </c>
      <c r="C72" s="436" t="s">
        <v>54</v>
      </c>
      <c r="D72" s="404">
        <f>+H72</f>
        <v>3163486.6883519501</v>
      </c>
      <c r="E72" s="633">
        <v>45748</v>
      </c>
      <c r="F72" s="404" t="s">
        <v>1026</v>
      </c>
      <c r="G72" s="404">
        <v>2600000</v>
      </c>
      <c r="H72" s="1">
        <f>+G72*$H$71</f>
        <v>3163486.6883519501</v>
      </c>
    </row>
    <row r="73" spans="2:22" outlineLevel="1">
      <c r="B73" s="628" t="s">
        <v>1457</v>
      </c>
      <c r="C73" s="599" t="s">
        <v>54</v>
      </c>
      <c r="D73" s="406">
        <f>+H73</f>
        <v>6326973.3767039003</v>
      </c>
      <c r="E73" s="629">
        <v>45748</v>
      </c>
      <c r="F73" s="406" t="s">
        <v>1026</v>
      </c>
      <c r="G73" s="406">
        <f>+G72*2</f>
        <v>5200000</v>
      </c>
      <c r="H73" s="1">
        <f>+G73*$H$71</f>
        <v>6326973.3767039003</v>
      </c>
    </row>
    <row r="74" spans="2:22">
      <c r="B74" s="594" t="s">
        <v>1456</v>
      </c>
      <c r="C74" s="595"/>
      <c r="D74" s="442"/>
      <c r="E74" s="442"/>
      <c r="F74" s="804"/>
      <c r="I74" s="1">
        <f>1/1.5</f>
        <v>0.66666666666666663</v>
      </c>
      <c r="J74" s="241" t="s">
        <v>975</v>
      </c>
    </row>
    <row r="75" spans="2:22">
      <c r="B75" s="632" t="s">
        <v>1455</v>
      </c>
      <c r="C75" s="436" t="s">
        <v>4</v>
      </c>
      <c r="D75" s="404">
        <f>+I75</f>
        <v>12775.619318344416</v>
      </c>
      <c r="E75" s="633">
        <v>45748</v>
      </c>
      <c r="F75" s="404" t="s">
        <v>1454</v>
      </c>
      <c r="G75" s="868">
        <v>7000</v>
      </c>
      <c r="H75" s="1">
        <f>+G75*$H$71</f>
        <v>8517.0795455629432</v>
      </c>
      <c r="I75" s="1">
        <f>+H75/I74</f>
        <v>12775.619318344416</v>
      </c>
    </row>
    <row r="76" spans="2:22">
      <c r="B76" s="355" t="s">
        <v>1458</v>
      </c>
      <c r="C76" s="113" t="s">
        <v>59</v>
      </c>
      <c r="D76" s="405">
        <f>+H76</f>
        <v>29809.778409470298</v>
      </c>
      <c r="E76" s="627">
        <v>45748</v>
      </c>
      <c r="F76" s="405" t="s">
        <v>1460</v>
      </c>
      <c r="G76" s="103">
        <v>24500</v>
      </c>
      <c r="H76" s="1">
        <f>+G76*$H$71</f>
        <v>29809.778409470298</v>
      </c>
    </row>
    <row r="77" spans="2:22">
      <c r="B77" s="355" t="s">
        <v>1459</v>
      </c>
      <c r="C77" s="113" t="s">
        <v>4</v>
      </c>
      <c r="D77" s="405">
        <f>+H77</f>
        <v>14600.707792393616</v>
      </c>
      <c r="E77" s="627">
        <v>45748</v>
      </c>
      <c r="F77" s="405" t="s">
        <v>1460</v>
      </c>
      <c r="G77" s="103">
        <v>12000</v>
      </c>
      <c r="H77" s="1">
        <f>+G77*$H$71</f>
        <v>14600.707792393616</v>
      </c>
    </row>
    <row r="78" spans="2:22">
      <c r="B78" s="628" t="s">
        <v>1464</v>
      </c>
      <c r="C78" s="599" t="s">
        <v>54</v>
      </c>
      <c r="D78" s="406">
        <f>+H78</f>
        <v>1041517.1558574113</v>
      </c>
      <c r="E78" s="629">
        <v>45748</v>
      </c>
      <c r="F78" s="406" t="s">
        <v>1460</v>
      </c>
      <c r="G78" s="1">
        <v>856000</v>
      </c>
      <c r="H78" s="1">
        <f>+G78*$H$71</f>
        <v>1041517.1558574113</v>
      </c>
    </row>
    <row r="79" spans="2:22">
      <c r="B79" s="594" t="s">
        <v>1752</v>
      </c>
      <c r="C79" s="595"/>
      <c r="D79" s="442"/>
      <c r="E79" s="442"/>
      <c r="F79" s="804"/>
    </row>
    <row r="80" spans="2:22">
      <c r="B80" s="632" t="s">
        <v>1753</v>
      </c>
      <c r="C80" s="436" t="s">
        <v>4</v>
      </c>
      <c r="D80" s="404">
        <v>14150</v>
      </c>
      <c r="E80" s="633">
        <v>45777</v>
      </c>
      <c r="F80" s="404" t="s">
        <v>1754</v>
      </c>
      <c r="G80" s="358"/>
      <c r="H80" s="358">
        <f>+D80/0.15</f>
        <v>94333.333333333343</v>
      </c>
    </row>
    <row r="81" spans="2:16">
      <c r="B81" s="628" t="s">
        <v>1755</v>
      </c>
      <c r="C81" s="599" t="s">
        <v>54</v>
      </c>
      <c r="D81" s="406">
        <v>90000</v>
      </c>
      <c r="E81" s="629">
        <v>45777</v>
      </c>
      <c r="F81" s="406" t="s">
        <v>1754</v>
      </c>
    </row>
    <row r="82" spans="2:16">
      <c r="B82" s="594" t="s">
        <v>1825</v>
      </c>
      <c r="C82" s="595"/>
      <c r="D82" s="442"/>
      <c r="E82" s="442"/>
      <c r="F82" s="804"/>
      <c r="H82" s="411">
        <f>+H80+H81</f>
        <v>94333.333333333343</v>
      </c>
      <c r="I82" s="1" t="s">
        <v>1315</v>
      </c>
    </row>
    <row r="83" spans="2:16">
      <c r="B83" s="628" t="s">
        <v>1760</v>
      </c>
      <c r="C83" s="599" t="s">
        <v>59</v>
      </c>
      <c r="D83" s="406">
        <v>40000</v>
      </c>
      <c r="E83" s="629">
        <v>45777</v>
      </c>
      <c r="F83" s="406" t="s">
        <v>1759</v>
      </c>
    </row>
    <row r="84" spans="2:16">
      <c r="B84" s="594" t="s">
        <v>1826</v>
      </c>
      <c r="C84" s="595"/>
      <c r="D84" s="442"/>
      <c r="E84" s="442"/>
      <c r="F84" s="804"/>
    </row>
    <row r="85" spans="2:16">
      <c r="B85" s="632" t="s">
        <v>1827</v>
      </c>
      <c r="C85" s="436" t="s">
        <v>54</v>
      </c>
      <c r="D85" s="404">
        <v>450000</v>
      </c>
      <c r="E85" s="633">
        <v>45779</v>
      </c>
      <c r="F85" s="404" t="s">
        <v>1831</v>
      </c>
      <c r="M85" s="1260">
        <f>+SUM(L86)</f>
        <v>5760970.2000000002</v>
      </c>
      <c r="N85" s="280">
        <f>+M85+D91</f>
        <v>61950970.200000003</v>
      </c>
    </row>
    <row r="86" spans="2:16">
      <c r="B86" s="355" t="s">
        <v>1828</v>
      </c>
      <c r="C86" s="113" t="s">
        <v>54</v>
      </c>
      <c r="D86" s="405">
        <v>550000</v>
      </c>
      <c r="E86" s="627">
        <v>45779</v>
      </c>
      <c r="F86" s="405" t="s">
        <v>1831</v>
      </c>
      <c r="H86" s="1" t="s">
        <v>2039</v>
      </c>
      <c r="J86" s="241">
        <v>730</v>
      </c>
      <c r="K86" s="241">
        <v>7891.74</v>
      </c>
      <c r="L86" s="1">
        <f>+J86*K86</f>
        <v>5760970.2000000002</v>
      </c>
    </row>
    <row r="87" spans="2:16">
      <c r="B87" s="355" t="s">
        <v>1829</v>
      </c>
      <c r="C87" s="113" t="s">
        <v>54</v>
      </c>
      <c r="D87" s="405">
        <v>400000</v>
      </c>
      <c r="E87" s="627">
        <v>45779</v>
      </c>
      <c r="F87" s="405" t="s">
        <v>1831</v>
      </c>
      <c r="M87" s="1260">
        <f>+SUM(L88:L91)</f>
        <v>19437121.039999999</v>
      </c>
      <c r="N87" s="280">
        <f>+M87+D90</f>
        <v>78473121.039999992</v>
      </c>
    </row>
    <row r="88" spans="2:16">
      <c r="B88" s="628" t="s">
        <v>1830</v>
      </c>
      <c r="C88" s="599" t="s">
        <v>54</v>
      </c>
      <c r="D88" s="406">
        <v>1500000</v>
      </c>
      <c r="E88" s="629"/>
      <c r="F88" s="406"/>
      <c r="J88" s="241">
        <v>1310</v>
      </c>
      <c r="K88" s="241">
        <v>7891.74</v>
      </c>
      <c r="L88" s="1">
        <f>+J88*K88</f>
        <v>10338179.4</v>
      </c>
    </row>
    <row r="89" spans="2:16">
      <c r="B89" s="594" t="s">
        <v>2034</v>
      </c>
      <c r="C89" s="595"/>
      <c r="D89" s="442"/>
      <c r="E89" s="442"/>
      <c r="F89" s="804"/>
      <c r="I89" s="1">
        <v>12</v>
      </c>
      <c r="J89" s="241">
        <v>56</v>
      </c>
      <c r="K89" s="241">
        <v>14040.44</v>
      </c>
      <c r="L89" s="1">
        <f>+J89*K89</f>
        <v>786264.64</v>
      </c>
    </row>
    <row r="90" spans="2:16">
      <c r="B90" s="632" t="s">
        <v>2035</v>
      </c>
      <c r="C90" s="436" t="s">
        <v>54</v>
      </c>
      <c r="D90" s="404">
        <v>59036000</v>
      </c>
      <c r="E90" s="633">
        <v>45803</v>
      </c>
      <c r="F90" s="404" t="s">
        <v>2036</v>
      </c>
      <c r="G90" s="1" t="s">
        <v>40</v>
      </c>
      <c r="H90" s="1" t="s">
        <v>2038</v>
      </c>
      <c r="I90" s="1">
        <v>16</v>
      </c>
      <c r="J90" s="241">
        <v>120</v>
      </c>
      <c r="K90" s="241">
        <v>24503.33</v>
      </c>
      <c r="L90" s="1">
        <f>+J90*K90</f>
        <v>2940399.6</v>
      </c>
    </row>
    <row r="91" spans="2:16">
      <c r="B91" s="355" t="s">
        <v>2037</v>
      </c>
      <c r="C91" s="113" t="s">
        <v>54</v>
      </c>
      <c r="D91" s="405">
        <v>56190000</v>
      </c>
      <c r="E91" s="627">
        <v>45803</v>
      </c>
      <c r="F91" s="405" t="s">
        <v>2036</v>
      </c>
      <c r="I91" s="1">
        <v>20</v>
      </c>
      <c r="J91" s="241">
        <v>140</v>
      </c>
      <c r="K91" s="241">
        <v>38373.410000000003</v>
      </c>
      <c r="L91" s="1">
        <f>+J91*K91</f>
        <v>5372277.4000000004</v>
      </c>
    </row>
    <row r="92" spans="2:16">
      <c r="B92" s="355" t="s">
        <v>2041</v>
      </c>
      <c r="C92" s="113" t="s">
        <v>54</v>
      </c>
      <c r="D92" s="405">
        <v>950000</v>
      </c>
      <c r="E92" s="627">
        <v>45803</v>
      </c>
      <c r="F92" s="405" t="s">
        <v>2040</v>
      </c>
      <c r="M92" s="1260">
        <f>+SUM(L93:L95)</f>
        <v>9703977.8000000007</v>
      </c>
      <c r="N92" s="280">
        <f>+M92+D93+D92</f>
        <v>45003977.799999997</v>
      </c>
    </row>
    <row r="93" spans="2:16">
      <c r="B93" s="628" t="s">
        <v>2042</v>
      </c>
      <c r="C93" s="599" t="s">
        <v>54</v>
      </c>
      <c r="D93" s="406">
        <v>34350000</v>
      </c>
      <c r="E93" s="629">
        <v>45803</v>
      </c>
      <c r="F93" s="406" t="s">
        <v>2040</v>
      </c>
      <c r="H93" s="1" t="s">
        <v>2043</v>
      </c>
      <c r="J93" s="241">
        <v>1100</v>
      </c>
      <c r="K93" s="241">
        <v>7891.74</v>
      </c>
      <c r="L93" s="1">
        <f>+J93*K93</f>
        <v>8680914</v>
      </c>
    </row>
    <row r="94" spans="2:16">
      <c r="I94" s="1">
        <v>12</v>
      </c>
      <c r="J94" s="241">
        <v>24</v>
      </c>
      <c r="K94" s="241">
        <v>14040.44</v>
      </c>
      <c r="L94" s="1">
        <f>+J94*K94</f>
        <v>336970.56</v>
      </c>
      <c r="O94" s="241">
        <v>10.65</v>
      </c>
      <c r="P94" s="241">
        <f>+O94*J94</f>
        <v>255.60000000000002</v>
      </c>
    </row>
    <row r="95" spans="2:16">
      <c r="I95" s="1">
        <v>16</v>
      </c>
      <c r="J95" s="241">
        <v>28</v>
      </c>
      <c r="K95" s="241">
        <v>24503.33</v>
      </c>
      <c r="L95" s="1">
        <f>+J95*K95</f>
        <v>686093.24</v>
      </c>
      <c r="O95" s="241">
        <v>18.940000000000001</v>
      </c>
      <c r="P95" s="241">
        <f>+O95*J95</f>
        <v>530.32000000000005</v>
      </c>
    </row>
    <row r="96" spans="2:16">
      <c r="P96" s="241">
        <f>+SUM(P94:P95)</f>
        <v>785.92000000000007</v>
      </c>
    </row>
    <row r="97" spans="16:16">
      <c r="P97" s="241"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A92"/>
  <sheetViews>
    <sheetView topLeftCell="A25" workbookViewId="0">
      <selection activeCell="C93" sqref="C93"/>
    </sheetView>
  </sheetViews>
  <sheetFormatPr defaultColWidth="11.54296875" defaultRowHeight="13" outlineLevelCol="1"/>
  <cols>
    <col min="1" max="1" width="13.26953125" style="18" bestFit="1" customWidth="1"/>
    <col min="2" max="2" width="13.54296875" style="19" customWidth="1"/>
    <col min="3" max="3" width="90.81640625" style="18" bestFit="1" customWidth="1"/>
    <col min="4" max="4" width="4.7265625" style="960" customWidth="1"/>
    <col min="5" max="5" width="17.7265625" style="18" bestFit="1" customWidth="1"/>
    <col min="6" max="7" width="2.7265625" style="18" hidden="1" customWidth="1" outlineLevel="1"/>
    <col min="8" max="8" width="20.7265625" style="18" bestFit="1" customWidth="1" collapsed="1"/>
    <col min="9" max="10" width="2.26953125" style="18" hidden="1" customWidth="1" outlineLevel="1"/>
    <col min="11" max="11" width="15.54296875" style="18" bestFit="1" customWidth="1" collapsed="1"/>
    <col min="12" max="12" width="11.54296875" style="18" bestFit="1" customWidth="1"/>
    <col min="13" max="13" width="10.7265625" style="18" bestFit="1" customWidth="1"/>
    <col min="14" max="14" width="42.1796875" style="18" bestFit="1" customWidth="1"/>
    <col min="15" max="26" width="11.453125" style="18"/>
    <col min="27" max="27" width="12.453125" style="18" bestFit="1" customWidth="1"/>
    <col min="28" max="261" width="11.453125" style="18"/>
    <col min="262" max="262" width="8.81640625" style="18" bestFit="1" customWidth="1"/>
    <col min="263" max="263" width="65.81640625" style="18" customWidth="1"/>
    <col min="264" max="269" width="11.453125" style="18"/>
    <col min="270" max="270" width="42.1796875" style="18" bestFit="1" customWidth="1"/>
    <col min="271" max="517" width="11.453125" style="18"/>
    <col min="518" max="518" width="8.81640625" style="18" bestFit="1" customWidth="1"/>
    <col min="519" max="519" width="65.81640625" style="18" customWidth="1"/>
    <col min="520" max="525" width="11.453125" style="18"/>
    <col min="526" max="526" width="42.1796875" style="18" bestFit="1" customWidth="1"/>
    <col min="527" max="773" width="11.453125" style="18"/>
    <col min="774" max="774" width="8.81640625" style="18" bestFit="1" customWidth="1"/>
    <col min="775" max="775" width="65.81640625" style="18" customWidth="1"/>
    <col min="776" max="781" width="11.453125" style="18"/>
    <col min="782" max="782" width="42.1796875" style="18" bestFit="1" customWidth="1"/>
    <col min="783" max="1029" width="11.453125" style="18"/>
    <col min="1030" max="1030" width="8.81640625" style="18" bestFit="1" customWidth="1"/>
    <col min="1031" max="1031" width="65.81640625" style="18" customWidth="1"/>
    <col min="1032" max="1037" width="11.453125" style="18"/>
    <col min="1038" max="1038" width="42.1796875" style="18" bestFit="1" customWidth="1"/>
    <col min="1039" max="1285" width="11.453125" style="18"/>
    <col min="1286" max="1286" width="8.81640625" style="18" bestFit="1" customWidth="1"/>
    <col min="1287" max="1287" width="65.81640625" style="18" customWidth="1"/>
    <col min="1288" max="1293" width="11.453125" style="18"/>
    <col min="1294" max="1294" width="42.1796875" style="18" bestFit="1" customWidth="1"/>
    <col min="1295" max="1541" width="11.453125" style="18"/>
    <col min="1542" max="1542" width="8.81640625" style="18" bestFit="1" customWidth="1"/>
    <col min="1543" max="1543" width="65.81640625" style="18" customWidth="1"/>
    <col min="1544" max="1549" width="11.453125" style="18"/>
    <col min="1550" max="1550" width="42.1796875" style="18" bestFit="1" customWidth="1"/>
    <col min="1551" max="1797" width="11.453125" style="18"/>
    <col min="1798" max="1798" width="8.81640625" style="18" bestFit="1" customWidth="1"/>
    <col min="1799" max="1799" width="65.81640625" style="18" customWidth="1"/>
    <col min="1800" max="1805" width="11.453125" style="18"/>
    <col min="1806" max="1806" width="42.1796875" style="18" bestFit="1" customWidth="1"/>
    <col min="1807" max="2053" width="11.453125" style="18"/>
    <col min="2054" max="2054" width="8.81640625" style="18" bestFit="1" customWidth="1"/>
    <col min="2055" max="2055" width="65.81640625" style="18" customWidth="1"/>
    <col min="2056" max="2061" width="11.453125" style="18"/>
    <col min="2062" max="2062" width="42.1796875" style="18" bestFit="1" customWidth="1"/>
    <col min="2063" max="2309" width="11.453125" style="18"/>
    <col min="2310" max="2310" width="8.81640625" style="18" bestFit="1" customWidth="1"/>
    <col min="2311" max="2311" width="65.81640625" style="18" customWidth="1"/>
    <col min="2312" max="2317" width="11.453125" style="18"/>
    <col min="2318" max="2318" width="42.1796875" style="18" bestFit="1" customWidth="1"/>
    <col min="2319" max="2565" width="11.453125" style="18"/>
    <col min="2566" max="2566" width="8.81640625" style="18" bestFit="1" customWidth="1"/>
    <col min="2567" max="2567" width="65.81640625" style="18" customWidth="1"/>
    <col min="2568" max="2573" width="11.453125" style="18"/>
    <col min="2574" max="2574" width="42.1796875" style="18" bestFit="1" customWidth="1"/>
    <col min="2575" max="2821" width="11.453125" style="18"/>
    <col min="2822" max="2822" width="8.81640625" style="18" bestFit="1" customWidth="1"/>
    <col min="2823" max="2823" width="65.81640625" style="18" customWidth="1"/>
    <col min="2824" max="2829" width="11.453125" style="18"/>
    <col min="2830" max="2830" width="42.1796875" style="18" bestFit="1" customWidth="1"/>
    <col min="2831" max="3077" width="11.453125" style="18"/>
    <col min="3078" max="3078" width="8.81640625" style="18" bestFit="1" customWidth="1"/>
    <col min="3079" max="3079" width="65.81640625" style="18" customWidth="1"/>
    <col min="3080" max="3085" width="11.453125" style="18"/>
    <col min="3086" max="3086" width="42.1796875" style="18" bestFit="1" customWidth="1"/>
    <col min="3087" max="3333" width="11.453125" style="18"/>
    <col min="3334" max="3334" width="8.81640625" style="18" bestFit="1" customWidth="1"/>
    <col min="3335" max="3335" width="65.81640625" style="18" customWidth="1"/>
    <col min="3336" max="3341" width="11.453125" style="18"/>
    <col min="3342" max="3342" width="42.1796875" style="18" bestFit="1" customWidth="1"/>
    <col min="3343" max="3589" width="11.453125" style="18"/>
    <col min="3590" max="3590" width="8.81640625" style="18" bestFit="1" customWidth="1"/>
    <col min="3591" max="3591" width="65.81640625" style="18" customWidth="1"/>
    <col min="3592" max="3597" width="11.453125" style="18"/>
    <col min="3598" max="3598" width="42.1796875" style="18" bestFit="1" customWidth="1"/>
    <col min="3599" max="3845" width="11.453125" style="18"/>
    <col min="3846" max="3846" width="8.81640625" style="18" bestFit="1" customWidth="1"/>
    <col min="3847" max="3847" width="65.81640625" style="18" customWidth="1"/>
    <col min="3848" max="3853" width="11.453125" style="18"/>
    <col min="3854" max="3854" width="42.1796875" style="18" bestFit="1" customWidth="1"/>
    <col min="3855" max="4101" width="11.453125" style="18"/>
    <col min="4102" max="4102" width="8.81640625" style="18" bestFit="1" customWidth="1"/>
    <col min="4103" max="4103" width="65.81640625" style="18" customWidth="1"/>
    <col min="4104" max="4109" width="11.453125" style="18"/>
    <col min="4110" max="4110" width="42.1796875" style="18" bestFit="1" customWidth="1"/>
    <col min="4111" max="4357" width="11.453125" style="18"/>
    <col min="4358" max="4358" width="8.81640625" style="18" bestFit="1" customWidth="1"/>
    <col min="4359" max="4359" width="65.81640625" style="18" customWidth="1"/>
    <col min="4360" max="4365" width="11.453125" style="18"/>
    <col min="4366" max="4366" width="42.1796875" style="18" bestFit="1" customWidth="1"/>
    <col min="4367" max="4613" width="11.453125" style="18"/>
    <col min="4614" max="4614" width="8.81640625" style="18" bestFit="1" customWidth="1"/>
    <col min="4615" max="4615" width="65.81640625" style="18" customWidth="1"/>
    <col min="4616" max="4621" width="11.453125" style="18"/>
    <col min="4622" max="4622" width="42.1796875" style="18" bestFit="1" customWidth="1"/>
    <col min="4623" max="4869" width="11.453125" style="18"/>
    <col min="4870" max="4870" width="8.81640625" style="18" bestFit="1" customWidth="1"/>
    <col min="4871" max="4871" width="65.81640625" style="18" customWidth="1"/>
    <col min="4872" max="4877" width="11.453125" style="18"/>
    <col min="4878" max="4878" width="42.1796875" style="18" bestFit="1" customWidth="1"/>
    <col min="4879" max="5125" width="11.453125" style="18"/>
    <col min="5126" max="5126" width="8.81640625" style="18" bestFit="1" customWidth="1"/>
    <col min="5127" max="5127" width="65.81640625" style="18" customWidth="1"/>
    <col min="5128" max="5133" width="11.453125" style="18"/>
    <col min="5134" max="5134" width="42.1796875" style="18" bestFit="1" customWidth="1"/>
    <col min="5135" max="5381" width="11.453125" style="18"/>
    <col min="5382" max="5382" width="8.81640625" style="18" bestFit="1" customWidth="1"/>
    <col min="5383" max="5383" width="65.81640625" style="18" customWidth="1"/>
    <col min="5384" max="5389" width="11.453125" style="18"/>
    <col min="5390" max="5390" width="42.1796875" style="18" bestFit="1" customWidth="1"/>
    <col min="5391" max="5637" width="11.453125" style="18"/>
    <col min="5638" max="5638" width="8.81640625" style="18" bestFit="1" customWidth="1"/>
    <col min="5639" max="5639" width="65.81640625" style="18" customWidth="1"/>
    <col min="5640" max="5645" width="11.453125" style="18"/>
    <col min="5646" max="5646" width="42.1796875" style="18" bestFit="1" customWidth="1"/>
    <col min="5647" max="5893" width="11.453125" style="18"/>
    <col min="5894" max="5894" width="8.81640625" style="18" bestFit="1" customWidth="1"/>
    <col min="5895" max="5895" width="65.81640625" style="18" customWidth="1"/>
    <col min="5896" max="5901" width="11.453125" style="18"/>
    <col min="5902" max="5902" width="42.1796875" style="18" bestFit="1" customWidth="1"/>
    <col min="5903" max="6149" width="11.453125" style="18"/>
    <col min="6150" max="6150" width="8.81640625" style="18" bestFit="1" customWidth="1"/>
    <col min="6151" max="6151" width="65.81640625" style="18" customWidth="1"/>
    <col min="6152" max="6157" width="11.453125" style="18"/>
    <col min="6158" max="6158" width="42.1796875" style="18" bestFit="1" customWidth="1"/>
    <col min="6159" max="6405" width="11.453125" style="18"/>
    <col min="6406" max="6406" width="8.81640625" style="18" bestFit="1" customWidth="1"/>
    <col min="6407" max="6407" width="65.81640625" style="18" customWidth="1"/>
    <col min="6408" max="6413" width="11.453125" style="18"/>
    <col min="6414" max="6414" width="42.1796875" style="18" bestFit="1" customWidth="1"/>
    <col min="6415" max="6661" width="11.453125" style="18"/>
    <col min="6662" max="6662" width="8.81640625" style="18" bestFit="1" customWidth="1"/>
    <col min="6663" max="6663" width="65.81640625" style="18" customWidth="1"/>
    <col min="6664" max="6669" width="11.453125" style="18"/>
    <col min="6670" max="6670" width="42.1796875" style="18" bestFit="1" customWidth="1"/>
    <col min="6671" max="6917" width="11.453125" style="18"/>
    <col min="6918" max="6918" width="8.81640625" style="18" bestFit="1" customWidth="1"/>
    <col min="6919" max="6919" width="65.81640625" style="18" customWidth="1"/>
    <col min="6920" max="6925" width="11.453125" style="18"/>
    <col min="6926" max="6926" width="42.1796875" style="18" bestFit="1" customWidth="1"/>
    <col min="6927" max="7173" width="11.453125" style="18"/>
    <col min="7174" max="7174" width="8.81640625" style="18" bestFit="1" customWidth="1"/>
    <col min="7175" max="7175" width="65.81640625" style="18" customWidth="1"/>
    <col min="7176" max="7181" width="11.453125" style="18"/>
    <col min="7182" max="7182" width="42.1796875" style="18" bestFit="1" customWidth="1"/>
    <col min="7183" max="7429" width="11.453125" style="18"/>
    <col min="7430" max="7430" width="8.81640625" style="18" bestFit="1" customWidth="1"/>
    <col min="7431" max="7431" width="65.81640625" style="18" customWidth="1"/>
    <col min="7432" max="7437" width="11.453125" style="18"/>
    <col min="7438" max="7438" width="42.1796875" style="18" bestFit="1" customWidth="1"/>
    <col min="7439" max="7685" width="11.453125" style="18"/>
    <col min="7686" max="7686" width="8.81640625" style="18" bestFit="1" customWidth="1"/>
    <col min="7687" max="7687" width="65.81640625" style="18" customWidth="1"/>
    <col min="7688" max="7693" width="11.453125" style="18"/>
    <col min="7694" max="7694" width="42.1796875" style="18" bestFit="1" customWidth="1"/>
    <col min="7695" max="7941" width="11.453125" style="18"/>
    <col min="7942" max="7942" width="8.81640625" style="18" bestFit="1" customWidth="1"/>
    <col min="7943" max="7943" width="65.81640625" style="18" customWidth="1"/>
    <col min="7944" max="7949" width="11.453125" style="18"/>
    <col min="7950" max="7950" width="42.1796875" style="18" bestFit="1" customWidth="1"/>
    <col min="7951" max="8197" width="11.453125" style="18"/>
    <col min="8198" max="8198" width="8.81640625" style="18" bestFit="1" customWidth="1"/>
    <col min="8199" max="8199" width="65.81640625" style="18" customWidth="1"/>
    <col min="8200" max="8205" width="11.453125" style="18"/>
    <col min="8206" max="8206" width="42.1796875" style="18" bestFit="1" customWidth="1"/>
    <col min="8207" max="8453" width="11.453125" style="18"/>
    <col min="8454" max="8454" width="8.81640625" style="18" bestFit="1" customWidth="1"/>
    <col min="8455" max="8455" width="65.81640625" style="18" customWidth="1"/>
    <col min="8456" max="8461" width="11.453125" style="18"/>
    <col min="8462" max="8462" width="42.1796875" style="18" bestFit="1" customWidth="1"/>
    <col min="8463" max="8709" width="11.453125" style="18"/>
    <col min="8710" max="8710" width="8.81640625" style="18" bestFit="1" customWidth="1"/>
    <col min="8711" max="8711" width="65.81640625" style="18" customWidth="1"/>
    <col min="8712" max="8717" width="11.453125" style="18"/>
    <col min="8718" max="8718" width="42.1796875" style="18" bestFit="1" customWidth="1"/>
    <col min="8719" max="8965" width="11.453125" style="18"/>
    <col min="8966" max="8966" width="8.81640625" style="18" bestFit="1" customWidth="1"/>
    <col min="8967" max="8967" width="65.81640625" style="18" customWidth="1"/>
    <col min="8968" max="8973" width="11.453125" style="18"/>
    <col min="8974" max="8974" width="42.1796875" style="18" bestFit="1" customWidth="1"/>
    <col min="8975" max="9221" width="11.453125" style="18"/>
    <col min="9222" max="9222" width="8.81640625" style="18" bestFit="1" customWidth="1"/>
    <col min="9223" max="9223" width="65.81640625" style="18" customWidth="1"/>
    <col min="9224" max="9229" width="11.453125" style="18"/>
    <col min="9230" max="9230" width="42.1796875" style="18" bestFit="1" customWidth="1"/>
    <col min="9231" max="9477" width="11.453125" style="18"/>
    <col min="9478" max="9478" width="8.81640625" style="18" bestFit="1" customWidth="1"/>
    <col min="9479" max="9479" width="65.81640625" style="18" customWidth="1"/>
    <col min="9480" max="9485" width="11.453125" style="18"/>
    <col min="9486" max="9486" width="42.1796875" style="18" bestFit="1" customWidth="1"/>
    <col min="9487" max="9733" width="11.453125" style="18"/>
    <col min="9734" max="9734" width="8.81640625" style="18" bestFit="1" customWidth="1"/>
    <col min="9735" max="9735" width="65.81640625" style="18" customWidth="1"/>
    <col min="9736" max="9741" width="11.453125" style="18"/>
    <col min="9742" max="9742" width="42.1796875" style="18" bestFit="1" customWidth="1"/>
    <col min="9743" max="9989" width="11.453125" style="18"/>
    <col min="9990" max="9990" width="8.81640625" style="18" bestFit="1" customWidth="1"/>
    <col min="9991" max="9991" width="65.81640625" style="18" customWidth="1"/>
    <col min="9992" max="9997" width="11.453125" style="18"/>
    <col min="9998" max="9998" width="42.1796875" style="18" bestFit="1" customWidth="1"/>
    <col min="9999" max="10245" width="11.453125" style="18"/>
    <col min="10246" max="10246" width="8.81640625" style="18" bestFit="1" customWidth="1"/>
    <col min="10247" max="10247" width="65.81640625" style="18" customWidth="1"/>
    <col min="10248" max="10253" width="11.453125" style="18"/>
    <col min="10254" max="10254" width="42.1796875" style="18" bestFit="1" customWidth="1"/>
    <col min="10255" max="10501" width="11.453125" style="18"/>
    <col min="10502" max="10502" width="8.81640625" style="18" bestFit="1" customWidth="1"/>
    <col min="10503" max="10503" width="65.81640625" style="18" customWidth="1"/>
    <col min="10504" max="10509" width="11.453125" style="18"/>
    <col min="10510" max="10510" width="42.1796875" style="18" bestFit="1" customWidth="1"/>
    <col min="10511" max="10757" width="11.453125" style="18"/>
    <col min="10758" max="10758" width="8.81640625" style="18" bestFit="1" customWidth="1"/>
    <col min="10759" max="10759" width="65.81640625" style="18" customWidth="1"/>
    <col min="10760" max="10765" width="11.453125" style="18"/>
    <col min="10766" max="10766" width="42.1796875" style="18" bestFit="1" customWidth="1"/>
    <col min="10767" max="11013" width="11.453125" style="18"/>
    <col min="11014" max="11014" width="8.81640625" style="18" bestFit="1" customWidth="1"/>
    <col min="11015" max="11015" width="65.81640625" style="18" customWidth="1"/>
    <col min="11016" max="11021" width="11.453125" style="18"/>
    <col min="11022" max="11022" width="42.1796875" style="18" bestFit="1" customWidth="1"/>
    <col min="11023" max="11269" width="11.453125" style="18"/>
    <col min="11270" max="11270" width="8.81640625" style="18" bestFit="1" customWidth="1"/>
    <col min="11271" max="11271" width="65.81640625" style="18" customWidth="1"/>
    <col min="11272" max="11277" width="11.453125" style="18"/>
    <col min="11278" max="11278" width="42.1796875" style="18" bestFit="1" customWidth="1"/>
    <col min="11279" max="11525" width="11.453125" style="18"/>
    <col min="11526" max="11526" width="8.81640625" style="18" bestFit="1" customWidth="1"/>
    <col min="11527" max="11527" width="65.81640625" style="18" customWidth="1"/>
    <col min="11528" max="11533" width="11.453125" style="18"/>
    <col min="11534" max="11534" width="42.1796875" style="18" bestFit="1" customWidth="1"/>
    <col min="11535" max="11781" width="11.453125" style="18"/>
    <col min="11782" max="11782" width="8.81640625" style="18" bestFit="1" customWidth="1"/>
    <col min="11783" max="11783" width="65.81640625" style="18" customWidth="1"/>
    <col min="11784" max="11789" width="11.453125" style="18"/>
    <col min="11790" max="11790" width="42.1796875" style="18" bestFit="1" customWidth="1"/>
    <col min="11791" max="12037" width="11.453125" style="18"/>
    <col min="12038" max="12038" width="8.81640625" style="18" bestFit="1" customWidth="1"/>
    <col min="12039" max="12039" width="65.81640625" style="18" customWidth="1"/>
    <col min="12040" max="12045" width="11.453125" style="18"/>
    <col min="12046" max="12046" width="42.1796875" style="18" bestFit="1" customWidth="1"/>
    <col min="12047" max="12293" width="11.453125" style="18"/>
    <col min="12294" max="12294" width="8.81640625" style="18" bestFit="1" customWidth="1"/>
    <col min="12295" max="12295" width="65.81640625" style="18" customWidth="1"/>
    <col min="12296" max="12301" width="11.453125" style="18"/>
    <col min="12302" max="12302" width="42.1796875" style="18" bestFit="1" customWidth="1"/>
    <col min="12303" max="12549" width="11.453125" style="18"/>
    <col min="12550" max="12550" width="8.81640625" style="18" bestFit="1" customWidth="1"/>
    <col min="12551" max="12551" width="65.81640625" style="18" customWidth="1"/>
    <col min="12552" max="12557" width="11.453125" style="18"/>
    <col min="12558" max="12558" width="42.1796875" style="18" bestFit="1" customWidth="1"/>
    <col min="12559" max="12805" width="11.453125" style="18"/>
    <col min="12806" max="12806" width="8.81640625" style="18" bestFit="1" customWidth="1"/>
    <col min="12807" max="12807" width="65.81640625" style="18" customWidth="1"/>
    <col min="12808" max="12813" width="11.453125" style="18"/>
    <col min="12814" max="12814" width="42.1796875" style="18" bestFit="1" customWidth="1"/>
    <col min="12815" max="13061" width="11.453125" style="18"/>
    <col min="13062" max="13062" width="8.81640625" style="18" bestFit="1" customWidth="1"/>
    <col min="13063" max="13063" width="65.81640625" style="18" customWidth="1"/>
    <col min="13064" max="13069" width="11.453125" style="18"/>
    <col min="13070" max="13070" width="42.1796875" style="18" bestFit="1" customWidth="1"/>
    <col min="13071" max="13317" width="11.453125" style="18"/>
    <col min="13318" max="13318" width="8.81640625" style="18" bestFit="1" customWidth="1"/>
    <col min="13319" max="13319" width="65.81640625" style="18" customWidth="1"/>
    <col min="13320" max="13325" width="11.453125" style="18"/>
    <col min="13326" max="13326" width="42.1796875" style="18" bestFit="1" customWidth="1"/>
    <col min="13327" max="13573" width="11.453125" style="18"/>
    <col min="13574" max="13574" width="8.81640625" style="18" bestFit="1" customWidth="1"/>
    <col min="13575" max="13575" width="65.81640625" style="18" customWidth="1"/>
    <col min="13576" max="13581" width="11.453125" style="18"/>
    <col min="13582" max="13582" width="42.1796875" style="18" bestFit="1" customWidth="1"/>
    <col min="13583" max="13829" width="11.453125" style="18"/>
    <col min="13830" max="13830" width="8.81640625" style="18" bestFit="1" customWidth="1"/>
    <col min="13831" max="13831" width="65.81640625" style="18" customWidth="1"/>
    <col min="13832" max="13837" width="11.453125" style="18"/>
    <col min="13838" max="13838" width="42.1796875" style="18" bestFit="1" customWidth="1"/>
    <col min="13839" max="14085" width="11.453125" style="18"/>
    <col min="14086" max="14086" width="8.81640625" style="18" bestFit="1" customWidth="1"/>
    <col min="14087" max="14087" width="65.81640625" style="18" customWidth="1"/>
    <col min="14088" max="14093" width="11.453125" style="18"/>
    <col min="14094" max="14094" width="42.1796875" style="18" bestFit="1" customWidth="1"/>
    <col min="14095" max="14341" width="11.453125" style="18"/>
    <col min="14342" max="14342" width="8.81640625" style="18" bestFit="1" customWidth="1"/>
    <col min="14343" max="14343" width="65.81640625" style="18" customWidth="1"/>
    <col min="14344" max="14349" width="11.453125" style="18"/>
    <col min="14350" max="14350" width="42.1796875" style="18" bestFit="1" customWidth="1"/>
    <col min="14351" max="14597" width="11.453125" style="18"/>
    <col min="14598" max="14598" width="8.81640625" style="18" bestFit="1" customWidth="1"/>
    <col min="14599" max="14599" width="65.81640625" style="18" customWidth="1"/>
    <col min="14600" max="14605" width="11.453125" style="18"/>
    <col min="14606" max="14606" width="42.1796875" style="18" bestFit="1" customWidth="1"/>
    <col min="14607" max="14853" width="11.453125" style="18"/>
    <col min="14854" max="14854" width="8.81640625" style="18" bestFit="1" customWidth="1"/>
    <col min="14855" max="14855" width="65.81640625" style="18" customWidth="1"/>
    <col min="14856" max="14861" width="11.453125" style="18"/>
    <col min="14862" max="14862" width="42.1796875" style="18" bestFit="1" customWidth="1"/>
    <col min="14863" max="15109" width="11.453125" style="18"/>
    <col min="15110" max="15110" width="8.81640625" style="18" bestFit="1" customWidth="1"/>
    <col min="15111" max="15111" width="65.81640625" style="18" customWidth="1"/>
    <col min="15112" max="15117" width="11.453125" style="18"/>
    <col min="15118" max="15118" width="42.1796875" style="18" bestFit="1" customWidth="1"/>
    <col min="15119" max="15365" width="11.453125" style="18"/>
    <col min="15366" max="15366" width="8.81640625" style="18" bestFit="1" customWidth="1"/>
    <col min="15367" max="15367" width="65.81640625" style="18" customWidth="1"/>
    <col min="15368" max="15373" width="11.453125" style="18"/>
    <col min="15374" max="15374" width="42.1796875" style="18" bestFit="1" customWidth="1"/>
    <col min="15375" max="15621" width="11.453125" style="18"/>
    <col min="15622" max="15622" width="8.81640625" style="18" bestFit="1" customWidth="1"/>
    <col min="15623" max="15623" width="65.81640625" style="18" customWidth="1"/>
    <col min="15624" max="15629" width="11.453125" style="18"/>
    <col min="15630" max="15630" width="42.1796875" style="18" bestFit="1" customWidth="1"/>
    <col min="15631" max="15877" width="11.453125" style="18"/>
    <col min="15878" max="15878" width="8.81640625" style="18" bestFit="1" customWidth="1"/>
    <col min="15879" max="15879" width="65.81640625" style="18" customWidth="1"/>
    <col min="15880" max="15885" width="11.453125" style="18"/>
    <col min="15886" max="15886" width="42.1796875" style="18" bestFit="1" customWidth="1"/>
    <col min="15887" max="16133" width="11.453125" style="18"/>
    <col min="16134" max="16134" width="8.81640625" style="18" bestFit="1" customWidth="1"/>
    <col min="16135" max="16135" width="65.81640625" style="18" customWidth="1"/>
    <col min="16136" max="16141" width="11.453125" style="18"/>
    <col min="16142" max="16142" width="42.1796875" style="18" bestFit="1" customWidth="1"/>
    <col min="16143" max="16384" width="11.453125" style="18"/>
  </cols>
  <sheetData>
    <row r="1" spans="1:14">
      <c r="A1" s="18" t="s">
        <v>1027</v>
      </c>
      <c r="K1" s="95" t="s">
        <v>1028</v>
      </c>
      <c r="L1" s="96" t="s">
        <v>1949</v>
      </c>
      <c r="N1" s="20"/>
    </row>
    <row r="2" spans="1:14">
      <c r="K2" s="95" t="s">
        <v>1029</v>
      </c>
      <c r="L2" s="97">
        <v>2025</v>
      </c>
      <c r="N2" s="20"/>
    </row>
    <row r="3" spans="1:14">
      <c r="K3" s="95" t="s">
        <v>1030</v>
      </c>
      <c r="L3" s="96" t="s">
        <v>432</v>
      </c>
      <c r="N3" s="20"/>
    </row>
    <row r="4" spans="1:14">
      <c r="N4" s="20"/>
    </row>
    <row r="5" spans="1:14" s="22" customFormat="1" ht="15.5">
      <c r="A5" s="200"/>
      <c r="B5" s="201"/>
      <c r="C5" s="2048" t="s">
        <v>1031</v>
      </c>
      <c r="D5" s="2048"/>
      <c r="E5" s="2048"/>
      <c r="F5" s="202"/>
      <c r="G5" s="202"/>
      <c r="H5" s="203"/>
      <c r="I5" s="203"/>
      <c r="J5" s="203"/>
      <c r="K5" s="204"/>
      <c r="L5" s="205"/>
    </row>
    <row r="6" spans="1:14">
      <c r="N6" s="23"/>
    </row>
    <row r="7" spans="1:14" s="22" customFormat="1" ht="15.5">
      <c r="A7" s="200"/>
      <c r="B7" s="201"/>
      <c r="C7" s="2048" t="s">
        <v>1032</v>
      </c>
      <c r="D7" s="2048"/>
      <c r="E7" s="2048"/>
      <c r="F7" s="202"/>
      <c r="G7" s="202"/>
      <c r="H7" s="203"/>
      <c r="I7" s="203"/>
      <c r="J7" s="203"/>
      <c r="K7" s="204"/>
      <c r="L7" s="205"/>
    </row>
    <row r="8" spans="1:14">
      <c r="E8" s="2049" t="s">
        <v>1033</v>
      </c>
      <c r="F8" s="2049"/>
      <c r="G8" s="2049"/>
      <c r="H8" s="2049"/>
      <c r="I8" s="2049"/>
      <c r="J8" s="2049"/>
      <c r="K8" s="2049"/>
      <c r="L8" s="21"/>
      <c r="N8" s="20"/>
    </row>
    <row r="9" spans="1:14">
      <c r="E9" s="24" t="s">
        <v>1034</v>
      </c>
      <c r="F9" s="24"/>
      <c r="G9" s="24"/>
      <c r="H9" s="24" t="s">
        <v>1035</v>
      </c>
      <c r="I9" s="24"/>
      <c r="J9" s="24"/>
      <c r="K9" s="24" t="s">
        <v>1036</v>
      </c>
      <c r="M9" s="964" t="s">
        <v>1037</v>
      </c>
    </row>
    <row r="10" spans="1:14">
      <c r="A10" s="206" t="s">
        <v>1038</v>
      </c>
      <c r="B10" s="206" t="s">
        <v>1039</v>
      </c>
      <c r="C10" s="206" t="s">
        <v>1040</v>
      </c>
      <c r="D10" s="961"/>
      <c r="E10" s="206" t="s">
        <v>291</v>
      </c>
      <c r="F10" s="206"/>
      <c r="G10" s="206"/>
      <c r="H10" s="206" t="s">
        <v>1041</v>
      </c>
      <c r="I10" s="206"/>
      <c r="J10" s="206"/>
      <c r="K10" s="206" t="s">
        <v>48</v>
      </c>
      <c r="L10" s="206" t="s">
        <v>188</v>
      </c>
      <c r="M10" s="965" t="s">
        <v>1042</v>
      </c>
    </row>
    <row r="11" spans="1:14">
      <c r="A11" s="209"/>
      <c r="B11" s="207">
        <v>32</v>
      </c>
      <c r="C11" s="184" t="s">
        <v>1043</v>
      </c>
      <c r="D11" s="404" t="s">
        <v>66</v>
      </c>
      <c r="E11" s="184">
        <v>12754.6733337154</v>
      </c>
      <c r="F11" s="184"/>
      <c r="G11" s="184"/>
      <c r="H11" s="184">
        <v>6652.3710499651588</v>
      </c>
      <c r="I11" s="184"/>
      <c r="J11" s="184"/>
      <c r="K11" s="184">
        <v>40200</v>
      </c>
      <c r="L11" s="208">
        <f t="shared" ref="L11:L74" si="0">+SUM(E11:K11)</f>
        <v>59607.044383680557</v>
      </c>
      <c r="M11" s="966">
        <v>25</v>
      </c>
      <c r="N11" s="125"/>
    </row>
    <row r="12" spans="1:14">
      <c r="A12" s="37" t="s">
        <v>1044</v>
      </c>
      <c r="B12" s="38">
        <v>33</v>
      </c>
      <c r="C12" s="13" t="s">
        <v>1045</v>
      </c>
      <c r="D12" s="405" t="s">
        <v>4</v>
      </c>
      <c r="E12" s="13">
        <v>14000.877265932</v>
      </c>
      <c r="F12" s="13"/>
      <c r="G12" s="13"/>
      <c r="H12" s="13">
        <v>23059.662391972353</v>
      </c>
      <c r="I12" s="13"/>
      <c r="J12" s="13"/>
      <c r="K12" s="13">
        <v>548.10111944550124</v>
      </c>
      <c r="L12" s="15">
        <f t="shared" si="0"/>
        <v>37608.64077734985</v>
      </c>
      <c r="M12" s="966">
        <v>7</v>
      </c>
      <c r="N12" s="100"/>
    </row>
    <row r="13" spans="1:14">
      <c r="A13" s="37" t="s">
        <v>1044</v>
      </c>
      <c r="B13" s="38">
        <v>34</v>
      </c>
      <c r="C13" s="13" t="s">
        <v>1046</v>
      </c>
      <c r="D13" s="405" t="s">
        <v>4</v>
      </c>
      <c r="E13" s="13">
        <v>10053.788111207799</v>
      </c>
      <c r="F13" s="13"/>
      <c r="G13" s="13"/>
      <c r="H13" s="13">
        <v>10761.175782920433</v>
      </c>
      <c r="I13" s="13"/>
      <c r="J13" s="13"/>
      <c r="K13" s="13">
        <v>255.78052240790058</v>
      </c>
      <c r="L13" s="15">
        <f t="shared" si="0"/>
        <v>21070.744416536134</v>
      </c>
      <c r="M13" s="966">
        <v>15</v>
      </c>
      <c r="N13" s="100"/>
    </row>
    <row r="14" spans="1:14">
      <c r="A14" s="37" t="s">
        <v>1044</v>
      </c>
      <c r="B14" s="38">
        <v>35</v>
      </c>
      <c r="C14" s="13" t="s">
        <v>1047</v>
      </c>
      <c r="D14" s="405" t="s">
        <v>4</v>
      </c>
      <c r="E14" s="13">
        <v>12465.037584000003</v>
      </c>
      <c r="F14" s="13"/>
      <c r="G14" s="13"/>
      <c r="H14" s="13">
        <v>10761.175782920433</v>
      </c>
      <c r="I14" s="13"/>
      <c r="J14" s="13"/>
      <c r="K14" s="13">
        <v>255.78052240790058</v>
      </c>
      <c r="L14" s="15">
        <f t="shared" si="0"/>
        <v>23481.993889328336</v>
      </c>
      <c r="M14" s="966">
        <v>15</v>
      </c>
      <c r="N14" s="100"/>
    </row>
    <row r="15" spans="1:14">
      <c r="A15" s="37" t="s">
        <v>1044</v>
      </c>
      <c r="B15" s="38">
        <v>36</v>
      </c>
      <c r="C15" s="13" t="s">
        <v>1048</v>
      </c>
      <c r="D15" s="405" t="s">
        <v>4</v>
      </c>
      <c r="E15" s="13">
        <v>17538.995251022599</v>
      </c>
      <c r="F15" s="13"/>
      <c r="G15" s="13"/>
      <c r="H15" s="13">
        <v>10761.175782920433</v>
      </c>
      <c r="I15" s="13"/>
      <c r="J15" s="13"/>
      <c r="K15" s="13">
        <v>255.78052240790058</v>
      </c>
      <c r="L15" s="15">
        <f t="shared" si="0"/>
        <v>28555.951556350934</v>
      </c>
      <c r="M15" s="966">
        <v>15</v>
      </c>
      <c r="N15" s="100"/>
    </row>
    <row r="16" spans="1:14">
      <c r="A16" s="37" t="s">
        <v>1044</v>
      </c>
      <c r="B16" s="38">
        <v>37</v>
      </c>
      <c r="C16" s="13" t="s">
        <v>1049</v>
      </c>
      <c r="D16" s="405" t="s">
        <v>4</v>
      </c>
      <c r="E16" s="13">
        <v>31798.203777716502</v>
      </c>
      <c r="F16" s="13"/>
      <c r="G16" s="13"/>
      <c r="H16" s="13">
        <v>38841.497961595596</v>
      </c>
      <c r="I16" s="13"/>
      <c r="J16" s="13"/>
      <c r="K16" s="13">
        <v>959.17695902962714</v>
      </c>
      <c r="L16" s="15">
        <f t="shared" si="0"/>
        <v>71598.878698341723</v>
      </c>
      <c r="M16" s="966">
        <v>4</v>
      </c>
      <c r="N16" s="100"/>
    </row>
    <row r="17" spans="1:23">
      <c r="A17" s="37" t="s">
        <v>1044</v>
      </c>
      <c r="B17" s="38">
        <v>38</v>
      </c>
      <c r="C17" s="13" t="s">
        <v>1050</v>
      </c>
      <c r="D17" s="405" t="s">
        <v>4</v>
      </c>
      <c r="E17" s="13">
        <v>18207.260451115199</v>
      </c>
      <c r="F17" s="13"/>
      <c r="G17" s="13"/>
      <c r="H17" s="13">
        <v>10761.175782920433</v>
      </c>
      <c r="I17" s="13"/>
      <c r="J17" s="13"/>
      <c r="K17" s="13">
        <v>255.78052240790058</v>
      </c>
      <c r="L17" s="15">
        <f t="shared" si="0"/>
        <v>29224.216756443533</v>
      </c>
      <c r="M17" s="966">
        <v>15</v>
      </c>
      <c r="N17" s="100"/>
    </row>
    <row r="18" spans="1:23">
      <c r="A18" s="39" t="s">
        <v>1044</v>
      </c>
      <c r="B18" s="38">
        <v>39</v>
      </c>
      <c r="C18" s="13" t="s">
        <v>1051</v>
      </c>
      <c r="D18" s="405" t="s">
        <v>72</v>
      </c>
      <c r="E18" s="13">
        <v>4104.3831840000003</v>
      </c>
      <c r="F18" s="13"/>
      <c r="G18" s="13"/>
      <c r="H18" s="13">
        <v>60531.613778927429</v>
      </c>
      <c r="I18" s="13"/>
      <c r="J18" s="13"/>
      <c r="K18" s="13">
        <v>440.78780564123963</v>
      </c>
      <c r="L18" s="15">
        <f t="shared" si="0"/>
        <v>65076.784768568665</v>
      </c>
      <c r="M18" s="966">
        <v>2</v>
      </c>
      <c r="N18" s="100"/>
    </row>
    <row r="19" spans="1:23">
      <c r="A19" s="37" t="s">
        <v>1044</v>
      </c>
      <c r="B19" s="38">
        <v>40</v>
      </c>
      <c r="C19" s="13" t="s">
        <v>1052</v>
      </c>
      <c r="D19" s="405" t="s">
        <v>72</v>
      </c>
      <c r="E19" s="13">
        <v>1501.8311196</v>
      </c>
      <c r="F19" s="13"/>
      <c r="G19" s="13"/>
      <c r="H19" s="13">
        <v>40354.409185951619</v>
      </c>
      <c r="I19" s="13"/>
      <c r="J19" s="13"/>
      <c r="K19" s="13">
        <v>220.39390282061981</v>
      </c>
      <c r="L19" s="15">
        <f t="shared" si="0"/>
        <v>42076.634208372241</v>
      </c>
      <c r="M19" s="966">
        <v>4</v>
      </c>
      <c r="N19" s="100"/>
    </row>
    <row r="20" spans="1:23">
      <c r="A20" s="37" t="s">
        <v>1044</v>
      </c>
      <c r="B20" s="38">
        <v>41</v>
      </c>
      <c r="C20" s="13" t="s">
        <v>1053</v>
      </c>
      <c r="D20" s="405" t="s">
        <v>59</v>
      </c>
      <c r="E20" s="13">
        <v>310.90702618800003</v>
      </c>
      <c r="F20" s="13"/>
      <c r="G20" s="13"/>
      <c r="H20" s="13">
        <v>32283.527348761294</v>
      </c>
      <c r="I20" s="13"/>
      <c r="J20" s="13"/>
      <c r="K20" s="13">
        <v>300.60867207946546</v>
      </c>
      <c r="L20" s="15">
        <f t="shared" si="0"/>
        <v>32895.043047028761</v>
      </c>
      <c r="M20" s="966">
        <v>5</v>
      </c>
      <c r="N20" s="100"/>
    </row>
    <row r="21" spans="1:23">
      <c r="A21" s="37" t="s">
        <v>1044</v>
      </c>
      <c r="B21" s="38">
        <v>42</v>
      </c>
      <c r="C21" s="13" t="s">
        <v>1054</v>
      </c>
      <c r="D21" s="405" t="s">
        <v>4</v>
      </c>
      <c r="E21" s="13">
        <v>827.27861400000006</v>
      </c>
      <c r="F21" s="13"/>
      <c r="G21" s="13"/>
      <c r="H21" s="13">
        <v>4324.0477652730679</v>
      </c>
      <c r="I21" s="13"/>
      <c r="J21" s="13"/>
      <c r="K21" s="13">
        <v>137.02527986137531</v>
      </c>
      <c r="L21" s="15">
        <f t="shared" si="0"/>
        <v>5288.3516591344433</v>
      </c>
      <c r="M21" s="966">
        <v>28</v>
      </c>
      <c r="N21" s="100"/>
    </row>
    <row r="22" spans="1:23">
      <c r="A22" s="37" t="s">
        <v>1044</v>
      </c>
      <c r="B22" s="38">
        <v>43</v>
      </c>
      <c r="C22" s="13" t="s">
        <v>1055</v>
      </c>
      <c r="D22" s="405" t="s">
        <v>4</v>
      </c>
      <c r="E22" s="13">
        <v>2891.2175380000008</v>
      </c>
      <c r="F22" s="13"/>
      <c r="G22" s="13"/>
      <c r="H22" s="13">
        <v>22980.57702378547</v>
      </c>
      <c r="I22" s="13"/>
      <c r="J22" s="13"/>
      <c r="K22" s="13">
        <v>639.45130601975143</v>
      </c>
      <c r="L22" s="15">
        <f t="shared" si="0"/>
        <v>26511.245867805221</v>
      </c>
      <c r="M22" s="966">
        <v>6</v>
      </c>
      <c r="N22" s="100"/>
    </row>
    <row r="23" spans="1:23">
      <c r="A23" s="37" t="s">
        <v>1044</v>
      </c>
      <c r="B23" s="38">
        <v>44</v>
      </c>
      <c r="C23" s="13" t="s">
        <v>1056</v>
      </c>
      <c r="D23" s="405" t="s">
        <v>4</v>
      </c>
      <c r="E23" s="13">
        <v>4061.1650940000004</v>
      </c>
      <c r="F23" s="13"/>
      <c r="G23" s="13"/>
      <c r="H23" s="13">
        <v>11697.516278234732</v>
      </c>
      <c r="I23" s="13"/>
      <c r="J23" s="13"/>
      <c r="K23" s="13">
        <v>333.62676835813119</v>
      </c>
      <c r="L23" s="15">
        <f t="shared" si="0"/>
        <v>16092.308140592864</v>
      </c>
      <c r="M23" s="966">
        <v>11.5</v>
      </c>
      <c r="N23" s="100"/>
    </row>
    <row r="24" spans="1:23">
      <c r="A24" s="37" t="s">
        <v>1044</v>
      </c>
      <c r="B24" s="38">
        <v>45</v>
      </c>
      <c r="C24" s="13" t="s">
        <v>1057</v>
      </c>
      <c r="D24" s="405" t="s">
        <v>4</v>
      </c>
      <c r="E24" s="13">
        <v>4061.1650940000004</v>
      </c>
      <c r="F24" s="13"/>
      <c r="G24" s="13"/>
      <c r="H24" s="13">
        <v>16815.179649962429</v>
      </c>
      <c r="I24" s="13"/>
      <c r="J24" s="13"/>
      <c r="K24" s="13">
        <v>863.36280564123967</v>
      </c>
      <c r="L24" s="15">
        <f t="shared" si="0"/>
        <v>21739.707549603667</v>
      </c>
      <c r="M24" s="966">
        <v>8</v>
      </c>
      <c r="N24" s="100"/>
    </row>
    <row r="25" spans="1:23">
      <c r="A25" s="39" t="s">
        <v>1044</v>
      </c>
      <c r="B25" s="38">
        <v>46</v>
      </c>
      <c r="C25" s="13" t="s">
        <v>1058</v>
      </c>
      <c r="D25" s="405" t="s">
        <v>66</v>
      </c>
      <c r="E25" s="13">
        <v>67976.634462000002</v>
      </c>
      <c r="F25" s="13"/>
      <c r="G25" s="13"/>
      <c r="H25" s="13">
        <v>98480.965909229839</v>
      </c>
      <c r="I25" s="13"/>
      <c r="J25" s="13"/>
      <c r="K25" s="13">
        <v>2518.7874608070838</v>
      </c>
      <c r="L25" s="15">
        <f t="shared" si="0"/>
        <v>168976.38783203691</v>
      </c>
      <c r="M25" s="966">
        <v>1.4</v>
      </c>
      <c r="N25" s="100"/>
    </row>
    <row r="26" spans="1:23">
      <c r="A26" s="37" t="s">
        <v>1044</v>
      </c>
      <c r="B26" s="38">
        <v>47</v>
      </c>
      <c r="C26" s="13" t="s">
        <v>1059</v>
      </c>
      <c r="D26" s="405" t="s">
        <v>4</v>
      </c>
      <c r="E26" s="13">
        <v>3420.3193200000005</v>
      </c>
      <c r="F26" s="13"/>
      <c r="G26" s="13"/>
      <c r="H26" s="13">
        <v>8295.6908247106203</v>
      </c>
      <c r="I26" s="13"/>
      <c r="J26" s="13"/>
      <c r="K26" s="13">
        <v>235.08682967532781</v>
      </c>
      <c r="L26" s="15">
        <f t="shared" si="0"/>
        <v>11951.096974385948</v>
      </c>
      <c r="M26" s="966">
        <v>15</v>
      </c>
      <c r="N26" s="100"/>
    </row>
    <row r="27" spans="1:23">
      <c r="A27" s="37" t="s">
        <v>1044</v>
      </c>
      <c r="B27" s="38">
        <v>48</v>
      </c>
      <c r="C27" s="13" t="s">
        <v>1060</v>
      </c>
      <c r="D27" s="405" t="s">
        <v>4</v>
      </c>
      <c r="E27" s="13">
        <v>6717.8752369750009</v>
      </c>
      <c r="F27" s="13"/>
      <c r="G27" s="13"/>
      <c r="H27" s="13">
        <v>11145.0220670823</v>
      </c>
      <c r="I27" s="13"/>
      <c r="J27" s="13"/>
      <c r="K27" s="13">
        <v>130.47811125144119</v>
      </c>
      <c r="L27" s="15">
        <f t="shared" si="0"/>
        <v>17993.375415308743</v>
      </c>
      <c r="M27" s="966">
        <v>35</v>
      </c>
      <c r="N27" s="100"/>
    </row>
    <row r="28" spans="1:23">
      <c r="A28" s="37" t="s">
        <v>1044</v>
      </c>
      <c r="B28" s="38">
        <v>49</v>
      </c>
      <c r="C28" s="13" t="s">
        <v>1061</v>
      </c>
      <c r="D28" s="405" t="s">
        <v>4</v>
      </c>
      <c r="E28" s="13">
        <v>4136.3930700000001</v>
      </c>
      <c r="F28" s="13"/>
      <c r="G28" s="13"/>
      <c r="H28" s="13">
        <v>8295.6908247106203</v>
      </c>
      <c r="I28" s="13"/>
      <c r="J28" s="13"/>
      <c r="K28" s="13">
        <v>235.08682967532781</v>
      </c>
      <c r="L28" s="15">
        <f t="shared" si="0"/>
        <v>12667.170724385947</v>
      </c>
      <c r="M28" s="966">
        <v>15</v>
      </c>
      <c r="N28" s="100"/>
    </row>
    <row r="29" spans="1:23">
      <c r="A29" s="37" t="s">
        <v>1044</v>
      </c>
      <c r="B29" s="38">
        <v>50</v>
      </c>
      <c r="C29" s="13" t="s">
        <v>1062</v>
      </c>
      <c r="D29" s="405" t="s">
        <v>4</v>
      </c>
      <c r="E29" s="13">
        <v>4104.3831840000012</v>
      </c>
      <c r="F29" s="13"/>
      <c r="G29" s="13"/>
      <c r="H29" s="13">
        <v>11112.816288145448</v>
      </c>
      <c r="I29" s="13"/>
      <c r="J29" s="13"/>
      <c r="K29" s="13">
        <v>306.63499522868841</v>
      </c>
      <c r="L29" s="15">
        <f t="shared" si="0"/>
        <v>15523.834467374139</v>
      </c>
      <c r="M29" s="966">
        <v>11.5</v>
      </c>
      <c r="N29" s="100"/>
      <c r="U29" s="18" t="s">
        <v>217</v>
      </c>
      <c r="V29" s="18" t="s">
        <v>218</v>
      </c>
    </row>
    <row r="30" spans="1:23">
      <c r="A30" s="39" t="s">
        <v>1044</v>
      </c>
      <c r="B30" s="38">
        <v>51</v>
      </c>
      <c r="C30" s="13" t="s">
        <v>1063</v>
      </c>
      <c r="D30" s="405" t="s">
        <v>4</v>
      </c>
      <c r="E30" s="13">
        <v>4251.3981882128101</v>
      </c>
      <c r="F30" s="13"/>
      <c r="G30" s="13"/>
      <c r="H30" s="13">
        <v>8379.1959472966591</v>
      </c>
      <c r="I30" s="124"/>
      <c r="J30" s="124"/>
      <c r="K30" s="13">
        <v>190.09545073004176</v>
      </c>
      <c r="L30" s="15">
        <f t="shared" si="0"/>
        <v>12820.68958623951</v>
      </c>
      <c r="M30" s="966">
        <v>22</v>
      </c>
      <c r="N30" s="100"/>
      <c r="Q30" s="18" t="s">
        <v>1064</v>
      </c>
      <c r="R30" s="18">
        <v>8</v>
      </c>
      <c r="S30" s="18">
        <v>4</v>
      </c>
      <c r="T30" s="18">
        <f t="shared" ref="T30:T35" si="1">+R30*S30</f>
        <v>32</v>
      </c>
      <c r="U30" s="18">
        <f t="shared" ref="U30:U35" si="2">+R30*2+S30*2</f>
        <v>24</v>
      </c>
      <c r="V30" s="18">
        <v>4.5</v>
      </c>
      <c r="W30" s="18">
        <f t="shared" ref="W30:W35" si="3">+U30*V30</f>
        <v>108</v>
      </c>
    </row>
    <row r="31" spans="1:23">
      <c r="A31" s="39" t="s">
        <v>1044</v>
      </c>
      <c r="B31" s="38">
        <v>52</v>
      </c>
      <c r="C31" s="13" t="s">
        <v>1065</v>
      </c>
      <c r="D31" s="405" t="s">
        <v>4</v>
      </c>
      <c r="E31" s="13">
        <v>4251.3981882128101</v>
      </c>
      <c r="F31" s="13"/>
      <c r="G31" s="13"/>
      <c r="H31" s="13">
        <v>9503.3872142359414</v>
      </c>
      <c r="I31" s="124"/>
      <c r="J31" s="124"/>
      <c r="K31" s="13">
        <v>262.01469147676113</v>
      </c>
      <c r="L31" s="15">
        <f t="shared" si="0"/>
        <v>14016.800093925513</v>
      </c>
      <c r="M31" s="966">
        <v>17.5</v>
      </c>
      <c r="N31" s="100"/>
      <c r="Q31" s="18" t="s">
        <v>521</v>
      </c>
      <c r="R31" s="18">
        <v>3</v>
      </c>
      <c r="S31" s="18">
        <v>5</v>
      </c>
      <c r="T31" s="18">
        <f t="shared" si="1"/>
        <v>15</v>
      </c>
      <c r="U31" s="18">
        <f t="shared" si="2"/>
        <v>16</v>
      </c>
      <c r="V31" s="18">
        <v>1</v>
      </c>
      <c r="W31" s="18">
        <f t="shared" si="3"/>
        <v>16</v>
      </c>
    </row>
    <row r="32" spans="1:23">
      <c r="A32" s="39" t="s">
        <v>1044</v>
      </c>
      <c r="B32" s="38">
        <v>53</v>
      </c>
      <c r="C32" s="13" t="s">
        <v>1066</v>
      </c>
      <c r="D32" s="405" t="s">
        <v>4</v>
      </c>
      <c r="E32" s="13">
        <v>2901.8566528925621</v>
      </c>
      <c r="F32" s="13"/>
      <c r="G32" s="13"/>
      <c r="H32" s="13">
        <v>6075.9443795831521</v>
      </c>
      <c r="I32" s="124"/>
      <c r="J32" s="124"/>
      <c r="K32" s="13">
        <v>134.90644890519093</v>
      </c>
      <c r="L32" s="15">
        <f t="shared" si="0"/>
        <v>9112.7074813809049</v>
      </c>
      <c r="M32" s="966">
        <v>15.5</v>
      </c>
      <c r="N32" s="100"/>
      <c r="Q32" s="18" t="s">
        <v>1067</v>
      </c>
      <c r="R32" s="18">
        <v>6</v>
      </c>
      <c r="S32" s="18">
        <v>4</v>
      </c>
      <c r="T32" s="18">
        <f t="shared" si="1"/>
        <v>24</v>
      </c>
      <c r="U32" s="18">
        <f t="shared" si="2"/>
        <v>20</v>
      </c>
      <c r="V32" s="18">
        <v>4.5</v>
      </c>
      <c r="W32" s="18">
        <f t="shared" si="3"/>
        <v>90</v>
      </c>
    </row>
    <row r="33" spans="1:27">
      <c r="A33" s="39" t="s">
        <v>1068</v>
      </c>
      <c r="B33" s="38" t="s">
        <v>1069</v>
      </c>
      <c r="C33" s="13" t="s">
        <v>1070</v>
      </c>
      <c r="D33" s="405" t="s">
        <v>4</v>
      </c>
      <c r="E33" s="13">
        <v>2901.8566528925621</v>
      </c>
      <c r="F33" s="13"/>
      <c r="G33" s="13"/>
      <c r="H33" s="13">
        <v>15936.651265873046</v>
      </c>
      <c r="I33" s="124"/>
      <c r="J33" s="124"/>
      <c r="K33" s="13">
        <v>254.81361733394411</v>
      </c>
      <c r="L33" s="15">
        <f t="shared" si="0"/>
        <v>19093.321536099553</v>
      </c>
      <c r="M33" s="966">
        <v>15.5</v>
      </c>
      <c r="N33" s="100"/>
      <c r="Q33" s="18" t="s">
        <v>1067</v>
      </c>
      <c r="R33" s="18">
        <v>3</v>
      </c>
      <c r="S33" s="18">
        <v>4</v>
      </c>
      <c r="T33" s="18">
        <f t="shared" si="1"/>
        <v>12</v>
      </c>
      <c r="U33" s="18">
        <f t="shared" si="2"/>
        <v>14</v>
      </c>
      <c r="V33" s="18">
        <v>2</v>
      </c>
      <c r="W33" s="18">
        <f t="shared" si="3"/>
        <v>28</v>
      </c>
    </row>
    <row r="34" spans="1:27">
      <c r="A34" s="39" t="s">
        <v>1044</v>
      </c>
      <c r="B34" s="38">
        <v>54</v>
      </c>
      <c r="C34" s="13" t="s">
        <v>1071</v>
      </c>
      <c r="D34" s="405" t="s">
        <v>4</v>
      </c>
      <c r="E34" s="13">
        <v>4460.7311983471072</v>
      </c>
      <c r="F34" s="13"/>
      <c r="G34" s="13"/>
      <c r="H34" s="13">
        <v>11772.142235442358</v>
      </c>
      <c r="I34" s="124"/>
      <c r="J34" s="124"/>
      <c r="K34" s="13">
        <v>261.38124475380744</v>
      </c>
      <c r="L34" s="15">
        <f t="shared" si="0"/>
        <v>16494.254678543271</v>
      </c>
      <c r="M34" s="966">
        <v>8</v>
      </c>
      <c r="N34" s="100"/>
      <c r="Q34" s="18" t="s">
        <v>480</v>
      </c>
      <c r="R34" s="18">
        <v>3</v>
      </c>
      <c r="S34" s="18">
        <v>2</v>
      </c>
      <c r="T34" s="18">
        <f t="shared" si="1"/>
        <v>6</v>
      </c>
      <c r="U34" s="18">
        <f t="shared" si="2"/>
        <v>10</v>
      </c>
      <c r="V34" s="18">
        <v>1</v>
      </c>
      <c r="W34" s="18">
        <f t="shared" si="3"/>
        <v>10</v>
      </c>
      <c r="Z34" s="18">
        <f>+Z36*1.35</f>
        <v>6356.956807138873</v>
      </c>
    </row>
    <row r="35" spans="1:27">
      <c r="A35" s="37" t="s">
        <v>1044</v>
      </c>
      <c r="B35" s="38">
        <v>55</v>
      </c>
      <c r="C35" s="13" t="s">
        <v>1072</v>
      </c>
      <c r="D35" s="405" t="s">
        <v>4</v>
      </c>
      <c r="E35" s="13">
        <v>6929.1780082644646</v>
      </c>
      <c r="F35" s="13"/>
      <c r="G35" s="13"/>
      <c r="H35" s="394">
        <v>12350.904731051611</v>
      </c>
      <c r="I35" s="124"/>
      <c r="J35" s="124"/>
      <c r="K35" s="13">
        <v>197.48055343380668</v>
      </c>
      <c r="L35" s="15">
        <f t="shared" si="0"/>
        <v>19477.563292749885</v>
      </c>
      <c r="M35" s="966">
        <v>20</v>
      </c>
      <c r="N35" s="100"/>
      <c r="Q35" s="18" t="s">
        <v>480</v>
      </c>
      <c r="R35" s="18">
        <v>1.5</v>
      </c>
      <c r="S35" s="18">
        <v>2</v>
      </c>
      <c r="T35" s="18">
        <f t="shared" si="1"/>
        <v>3</v>
      </c>
      <c r="U35" s="18">
        <f t="shared" si="2"/>
        <v>7</v>
      </c>
      <c r="V35" s="18">
        <v>1</v>
      </c>
      <c r="W35" s="18">
        <f t="shared" si="3"/>
        <v>7</v>
      </c>
    </row>
    <row r="36" spans="1:27">
      <c r="A36" s="39" t="s">
        <v>1044</v>
      </c>
      <c r="B36" s="38">
        <v>56</v>
      </c>
      <c r="C36" s="13" t="s">
        <v>1073</v>
      </c>
      <c r="D36" s="405" t="s">
        <v>4</v>
      </c>
      <c r="E36" s="13">
        <v>6932.2708051239661</v>
      </c>
      <c r="F36" s="13"/>
      <c r="G36" s="13"/>
      <c r="H36" s="13">
        <v>12793.021249932997</v>
      </c>
      <c r="I36" s="124"/>
      <c r="J36" s="124"/>
      <c r="K36" s="13">
        <v>245.43420967337988</v>
      </c>
      <c r="L36" s="15">
        <f t="shared" si="0"/>
        <v>19970.726264730343</v>
      </c>
      <c r="M36" s="966">
        <v>13</v>
      </c>
      <c r="N36" s="100"/>
      <c r="T36" s="18">
        <f>+SUM(T30:T35)</f>
        <v>92</v>
      </c>
      <c r="W36" s="18">
        <f>+SUM(W30:W35)</f>
        <v>259</v>
      </c>
      <c r="Y36" s="18">
        <f>+T36+W36</f>
        <v>351</v>
      </c>
      <c r="Z36" s="18">
        <f>+H80</f>
        <v>4708.8568941769427</v>
      </c>
      <c r="AA36" s="18">
        <f>+Y36*Z36</f>
        <v>1652808.769856107</v>
      </c>
    </row>
    <row r="37" spans="1:27">
      <c r="A37" s="37" t="s">
        <v>1044</v>
      </c>
      <c r="B37" s="38">
        <v>57</v>
      </c>
      <c r="C37" s="13" t="s">
        <v>1074</v>
      </c>
      <c r="D37" s="405" t="s">
        <v>4</v>
      </c>
      <c r="E37" s="13">
        <v>6932.2708051239661</v>
      </c>
      <c r="F37" s="13"/>
      <c r="G37" s="13"/>
      <c r="H37" s="13">
        <v>16630.927624912896</v>
      </c>
      <c r="I37" s="13"/>
      <c r="J37" s="13"/>
      <c r="K37" s="13">
        <v>319.06447257539384</v>
      </c>
      <c r="L37" s="15">
        <f t="shared" si="0"/>
        <v>23882.262902612259</v>
      </c>
      <c r="M37" s="966">
        <v>10</v>
      </c>
      <c r="N37" s="100"/>
      <c r="Y37" s="18">
        <f>+Y36</f>
        <v>351</v>
      </c>
      <c r="Z37" s="289">
        <v>2126.0864878065313</v>
      </c>
      <c r="AA37" s="18">
        <f>+Y37*Z37</f>
        <v>746256.35722009244</v>
      </c>
    </row>
    <row r="38" spans="1:27">
      <c r="A38" s="37" t="s">
        <v>1044</v>
      </c>
      <c r="B38" s="38">
        <v>58</v>
      </c>
      <c r="C38" s="13" t="s">
        <v>1075</v>
      </c>
      <c r="D38" s="405" t="s">
        <v>59</v>
      </c>
      <c r="E38" s="13">
        <v>1001.4972036694213</v>
      </c>
      <c r="F38" s="13"/>
      <c r="G38" s="13"/>
      <c r="H38" s="13">
        <v>5543.6425416376323</v>
      </c>
      <c r="I38" s="13"/>
      <c r="J38" s="13"/>
      <c r="K38" s="13">
        <v>106.35482419179795</v>
      </c>
      <c r="L38" s="15">
        <f t="shared" si="0"/>
        <v>6651.4945694988519</v>
      </c>
      <c r="M38" s="966">
        <v>30</v>
      </c>
      <c r="N38" s="100"/>
    </row>
    <row r="39" spans="1:27">
      <c r="A39" s="39" t="s">
        <v>1068</v>
      </c>
      <c r="B39" s="38">
        <v>59</v>
      </c>
      <c r="C39" s="13" t="s">
        <v>1076</v>
      </c>
      <c r="D39" s="405" t="s">
        <v>4</v>
      </c>
      <c r="E39" s="13">
        <v>6691.9787667252085</v>
      </c>
      <c r="F39" s="13"/>
      <c r="G39" s="13"/>
      <c r="H39" s="13">
        <v>15119.02511355718</v>
      </c>
      <c r="I39" s="124"/>
      <c r="J39" s="124"/>
      <c r="K39" s="13">
        <v>360.40421080601249</v>
      </c>
      <c r="L39" s="15">
        <f t="shared" si="0"/>
        <v>22171.4080910884</v>
      </c>
      <c r="M39" s="966">
        <v>11</v>
      </c>
      <c r="N39" s="100"/>
      <c r="AA39" s="18">
        <f>+AA36+AA37</f>
        <v>2399065.1270761993</v>
      </c>
    </row>
    <row r="40" spans="1:27">
      <c r="A40" s="37" t="s">
        <v>1077</v>
      </c>
      <c r="B40" s="38">
        <v>60</v>
      </c>
      <c r="C40" s="13" t="s">
        <v>1078</v>
      </c>
      <c r="D40" s="405" t="s">
        <v>4</v>
      </c>
      <c r="E40" s="13">
        <v>10667.044969530953</v>
      </c>
      <c r="F40" s="13"/>
      <c r="G40" s="13"/>
      <c r="H40" s="13">
        <v>17506.239605171471</v>
      </c>
      <c r="I40" s="124"/>
      <c r="J40" s="124"/>
      <c r="K40" s="13">
        <v>286.6463366158178</v>
      </c>
      <c r="L40" s="15">
        <f t="shared" si="0"/>
        <v>28459.930911318243</v>
      </c>
      <c r="M40" s="966">
        <v>9.5</v>
      </c>
      <c r="N40" s="100"/>
    </row>
    <row r="41" spans="1:27">
      <c r="A41" s="37" t="s">
        <v>1079</v>
      </c>
      <c r="B41" s="38">
        <v>61</v>
      </c>
      <c r="C41" s="13" t="s">
        <v>1080</v>
      </c>
      <c r="D41" s="405" t="s">
        <v>4</v>
      </c>
      <c r="E41" s="13">
        <v>14748.700231069415</v>
      </c>
      <c r="F41" s="13"/>
      <c r="G41" s="13"/>
      <c r="H41" s="13">
        <v>17506.239605171471</v>
      </c>
      <c r="I41" s="124"/>
      <c r="J41" s="124"/>
      <c r="K41" s="13">
        <v>286.6463366158178</v>
      </c>
      <c r="L41" s="15">
        <f t="shared" si="0"/>
        <v>32541.586172856703</v>
      </c>
      <c r="M41" s="966">
        <v>9.5</v>
      </c>
      <c r="N41" s="100"/>
    </row>
    <row r="42" spans="1:27">
      <c r="A42" s="37" t="s">
        <v>1081</v>
      </c>
      <c r="B42" s="38">
        <v>62</v>
      </c>
      <c r="C42" s="13" t="s">
        <v>1082</v>
      </c>
      <c r="D42" s="405" t="s">
        <v>4</v>
      </c>
      <c r="E42" s="13">
        <v>13947.895533138644</v>
      </c>
      <c r="F42" s="13"/>
      <c r="G42" s="13"/>
      <c r="H42" s="13">
        <v>17506.239605171471</v>
      </c>
      <c r="I42" s="124"/>
      <c r="J42" s="124"/>
      <c r="K42" s="13">
        <v>286.6463366158178</v>
      </c>
      <c r="L42" s="15">
        <f t="shared" si="0"/>
        <v>31740.781474925931</v>
      </c>
      <c r="M42" s="966">
        <v>9.5</v>
      </c>
      <c r="N42" s="100"/>
    </row>
    <row r="43" spans="1:27">
      <c r="A43" s="37" t="s">
        <v>1083</v>
      </c>
      <c r="B43" s="38">
        <v>63</v>
      </c>
      <c r="C43" s="13" t="s">
        <v>1084</v>
      </c>
      <c r="D43" s="405" t="s">
        <v>4</v>
      </c>
      <c r="E43" s="13">
        <v>6636.1993553719012</v>
      </c>
      <c r="F43" s="13"/>
      <c r="G43" s="13"/>
      <c r="H43" s="13">
        <v>16630.927624912896</v>
      </c>
      <c r="I43" s="13"/>
      <c r="J43" s="13"/>
      <c r="K43" s="13">
        <v>272.31401978502691</v>
      </c>
      <c r="L43" s="15">
        <f t="shared" si="0"/>
        <v>23539.441000069823</v>
      </c>
      <c r="M43" s="966">
        <v>10</v>
      </c>
      <c r="N43" s="100"/>
    </row>
    <row r="44" spans="1:27">
      <c r="A44" s="37"/>
      <c r="B44" s="38" t="s">
        <v>1085</v>
      </c>
      <c r="C44" s="13" t="s">
        <v>1086</v>
      </c>
      <c r="D44" s="405" t="s">
        <v>4</v>
      </c>
      <c r="E44" s="13">
        <v>33199.927272727276</v>
      </c>
      <c r="F44" s="13"/>
      <c r="G44" s="13"/>
      <c r="H44" s="13">
        <v>16630.927624912896</v>
      </c>
      <c r="I44" s="13"/>
      <c r="J44" s="13"/>
      <c r="K44" s="13">
        <v>272.31401978502691</v>
      </c>
      <c r="L44" s="15">
        <f t="shared" si="0"/>
        <v>50103.168917425202</v>
      </c>
      <c r="M44" s="966">
        <v>10</v>
      </c>
      <c r="N44" s="100"/>
    </row>
    <row r="45" spans="1:27">
      <c r="A45" s="37" t="s">
        <v>1087</v>
      </c>
      <c r="B45" s="38">
        <v>64</v>
      </c>
      <c r="C45" s="13" t="s">
        <v>1088</v>
      </c>
      <c r="D45" s="405" t="s">
        <v>4</v>
      </c>
      <c r="E45" s="13">
        <v>16393.936522916752</v>
      </c>
      <c r="F45" s="13"/>
      <c r="G45" s="13"/>
      <c r="H45" s="13">
        <v>23758.468035589853</v>
      </c>
      <c r="I45" s="124"/>
      <c r="J45" s="124"/>
      <c r="K45" s="13">
        <v>378.13572295905715</v>
      </c>
      <c r="L45" s="15">
        <f t="shared" si="0"/>
        <v>40530.540281465663</v>
      </c>
      <c r="M45" s="966">
        <v>7</v>
      </c>
      <c r="N45" s="100"/>
    </row>
    <row r="46" spans="1:27">
      <c r="A46" s="37" t="s">
        <v>1089</v>
      </c>
      <c r="B46" s="38">
        <v>65</v>
      </c>
      <c r="C46" s="13" t="s">
        <v>1090</v>
      </c>
      <c r="D46" s="405" t="s">
        <v>4</v>
      </c>
      <c r="E46" s="13">
        <v>28944.105044419659</v>
      </c>
      <c r="F46" s="13"/>
      <c r="G46" s="13"/>
      <c r="H46" s="13">
        <v>27718.212708188163</v>
      </c>
      <c r="I46" s="13"/>
      <c r="J46" s="13"/>
      <c r="K46" s="13">
        <v>441.15834345223334</v>
      </c>
      <c r="L46" s="15">
        <f t="shared" si="0"/>
        <v>57103.476096060054</v>
      </c>
      <c r="M46" s="966">
        <v>6</v>
      </c>
      <c r="N46" s="100"/>
    </row>
    <row r="47" spans="1:27">
      <c r="A47" s="37" t="s">
        <v>1091</v>
      </c>
      <c r="B47" s="38">
        <v>66</v>
      </c>
      <c r="C47" s="13" t="s">
        <v>1092</v>
      </c>
      <c r="D47" s="405" t="s">
        <v>4</v>
      </c>
      <c r="E47" s="13">
        <v>11507.596936773018</v>
      </c>
      <c r="F47" s="13"/>
      <c r="G47" s="13"/>
      <c r="H47" s="13">
        <v>15119.02511355718</v>
      </c>
      <c r="I47" s="13"/>
      <c r="J47" s="13"/>
      <c r="K47" s="13">
        <v>441.15834345223334</v>
      </c>
      <c r="L47" s="15">
        <f t="shared" si="0"/>
        <v>27067.780393782428</v>
      </c>
      <c r="M47" s="966">
        <v>11</v>
      </c>
      <c r="N47" s="100"/>
    </row>
    <row r="48" spans="1:27">
      <c r="A48" s="37" t="s">
        <v>1093</v>
      </c>
      <c r="B48" s="38">
        <v>67</v>
      </c>
      <c r="C48" s="13" t="s">
        <v>1094</v>
      </c>
      <c r="D48" s="405" t="s">
        <v>4</v>
      </c>
      <c r="E48" s="13">
        <v>4981.3708677685954</v>
      </c>
      <c r="F48" s="13"/>
      <c r="G48" s="13"/>
      <c r="H48" s="13">
        <v>8315.4638124564481</v>
      </c>
      <c r="I48" s="13"/>
      <c r="J48" s="13"/>
      <c r="K48" s="13">
        <v>104.55249790152297</v>
      </c>
      <c r="L48" s="15">
        <f t="shared" si="0"/>
        <v>13401.387178126566</v>
      </c>
      <c r="M48" s="966">
        <v>20</v>
      </c>
      <c r="N48" s="100"/>
    </row>
    <row r="49" spans="1:14">
      <c r="A49" s="37" t="s">
        <v>1095</v>
      </c>
      <c r="B49" s="38">
        <v>68</v>
      </c>
      <c r="C49" s="13" t="s">
        <v>1096</v>
      </c>
      <c r="D49" s="405" t="s">
        <v>4</v>
      </c>
      <c r="E49" s="13">
        <v>3751.4788050000006</v>
      </c>
      <c r="F49" s="13"/>
      <c r="G49" s="13"/>
      <c r="H49" s="13">
        <v>10761.175782920433</v>
      </c>
      <c r="I49" s="13"/>
      <c r="J49" s="13"/>
      <c r="K49" s="13">
        <v>255.78052240790058</v>
      </c>
      <c r="L49" s="15">
        <f t="shared" si="0"/>
        <v>14768.435110328333</v>
      </c>
      <c r="M49" s="966">
        <v>15</v>
      </c>
      <c r="N49" s="100"/>
    </row>
    <row r="50" spans="1:14">
      <c r="A50" s="39" t="s">
        <v>1097</v>
      </c>
      <c r="B50" s="38">
        <v>70</v>
      </c>
      <c r="C50" s="13" t="s">
        <v>1098</v>
      </c>
      <c r="D50" s="405" t="s">
        <v>4</v>
      </c>
      <c r="E50" s="13">
        <v>8716.8187099632705</v>
      </c>
      <c r="F50" s="13"/>
      <c r="G50" s="13"/>
      <c r="H50" s="13">
        <v>6456.705469752259</v>
      </c>
      <c r="I50" s="13"/>
      <c r="J50" s="13"/>
      <c r="K50" s="13">
        <v>34.976452245793809</v>
      </c>
      <c r="L50" s="15">
        <f t="shared" si="0"/>
        <v>15208.500631961322</v>
      </c>
      <c r="M50" s="966">
        <v>25</v>
      </c>
      <c r="N50" s="100"/>
    </row>
    <row r="51" spans="1:14">
      <c r="A51" s="39" t="s">
        <v>1099</v>
      </c>
      <c r="B51" s="38">
        <v>71</v>
      </c>
      <c r="C51" s="13" t="s">
        <v>1100</v>
      </c>
      <c r="D51" s="405" t="s">
        <v>4</v>
      </c>
      <c r="E51" s="13">
        <v>8638.6330578512425</v>
      </c>
      <c r="F51" s="13"/>
      <c r="G51" s="13"/>
      <c r="H51" s="13">
        <v>3228.3527348761295</v>
      </c>
      <c r="I51" s="13"/>
      <c r="J51" s="13"/>
      <c r="K51" s="13">
        <v>40.51553270218831</v>
      </c>
      <c r="L51" s="15">
        <f t="shared" si="0"/>
        <v>11907.501325429559</v>
      </c>
      <c r="M51" s="966">
        <v>50</v>
      </c>
      <c r="N51" s="100"/>
    </row>
    <row r="52" spans="1:14">
      <c r="A52" s="37" t="s">
        <v>1101</v>
      </c>
      <c r="B52" s="38">
        <v>72</v>
      </c>
      <c r="C52" s="13" t="s">
        <v>1102</v>
      </c>
      <c r="D52" s="405" t="s">
        <v>4</v>
      </c>
      <c r="E52" s="13">
        <v>13018.852000000001</v>
      </c>
      <c r="F52" s="13"/>
      <c r="G52" s="13"/>
      <c r="H52" s="13">
        <v>7633.4292725580117</v>
      </c>
      <c r="I52" s="13"/>
      <c r="J52" s="13"/>
      <c r="K52" s="13">
        <v>1260.1909079553309</v>
      </c>
      <c r="L52" s="15">
        <f t="shared" si="0"/>
        <v>21912.472180513341</v>
      </c>
      <c r="M52" s="966">
        <v>35</v>
      </c>
      <c r="N52" s="100"/>
    </row>
    <row r="53" spans="1:14">
      <c r="A53" s="37" t="s">
        <v>1103</v>
      </c>
      <c r="B53" s="40">
        <v>73</v>
      </c>
      <c r="C53" s="13" t="s">
        <v>1104</v>
      </c>
      <c r="D53" s="405" t="s">
        <v>4</v>
      </c>
      <c r="E53" s="13">
        <v>2616.1484595041329</v>
      </c>
      <c r="F53" s="13"/>
      <c r="G53" s="13"/>
      <c r="H53" s="13">
        <v>4708.8568941769427</v>
      </c>
      <c r="I53" s="13"/>
      <c r="J53" s="13"/>
      <c r="K53" s="13">
        <v>104.55249790152297</v>
      </c>
      <c r="L53" s="15">
        <f t="shared" si="0"/>
        <v>7429.5578515825982</v>
      </c>
      <c r="M53" s="966">
        <v>20</v>
      </c>
      <c r="N53" s="100"/>
    </row>
    <row r="54" spans="1:14">
      <c r="A54" s="37" t="s">
        <v>1105</v>
      </c>
      <c r="B54" s="40">
        <v>74</v>
      </c>
      <c r="C54" s="13" t="s">
        <v>1106</v>
      </c>
      <c r="D54" s="405" t="s">
        <v>4</v>
      </c>
      <c r="E54" s="13">
        <v>2454.0124003305791</v>
      </c>
      <c r="F54" s="13"/>
      <c r="G54" s="13"/>
      <c r="H54" s="13">
        <v>5543.6425416376323</v>
      </c>
      <c r="I54" s="13"/>
      <c r="J54" s="13"/>
      <c r="K54" s="13">
        <v>67.525887836980516</v>
      </c>
      <c r="L54" s="15">
        <f t="shared" si="0"/>
        <v>8065.1808298051919</v>
      </c>
      <c r="M54" s="966">
        <v>30</v>
      </c>
      <c r="N54" s="100"/>
    </row>
    <row r="55" spans="1:14">
      <c r="A55" s="37" t="s">
        <v>1107</v>
      </c>
      <c r="B55" s="40">
        <v>75</v>
      </c>
      <c r="C55" s="13" t="s">
        <v>1108</v>
      </c>
      <c r="D55" s="405" t="s">
        <v>4</v>
      </c>
      <c r="E55" s="13">
        <v>22250.605073522602</v>
      </c>
      <c r="F55" s="13"/>
      <c r="G55" s="13"/>
      <c r="H55" s="13">
        <v>11087.285083275265</v>
      </c>
      <c r="I55" s="13"/>
      <c r="J55" s="13"/>
      <c r="K55" s="13">
        <v>255.78052240790058</v>
      </c>
      <c r="L55" s="15">
        <f t="shared" si="0"/>
        <v>33593.670679205767</v>
      </c>
      <c r="M55" s="966">
        <v>15</v>
      </c>
      <c r="N55" s="100"/>
    </row>
    <row r="56" spans="1:14">
      <c r="A56" s="37" t="s">
        <v>1109</v>
      </c>
      <c r="B56" s="38">
        <v>113</v>
      </c>
      <c r="C56" s="13" t="s">
        <v>1110</v>
      </c>
      <c r="D56" s="405" t="s">
        <v>4</v>
      </c>
      <c r="E56" s="13">
        <v>1392.6097669880623</v>
      </c>
      <c r="F56" s="13"/>
      <c r="G56" s="13"/>
      <c r="H56" s="13">
        <v>2017.7204592975809</v>
      </c>
      <c r="I56" s="13"/>
      <c r="J56" s="13"/>
      <c r="K56" s="13">
        <v>10.930141326810567</v>
      </c>
      <c r="L56" s="15">
        <f t="shared" si="0"/>
        <v>3421.2603676124536</v>
      </c>
      <c r="M56" s="966">
        <v>80</v>
      </c>
      <c r="N56" s="100"/>
    </row>
    <row r="57" spans="1:14">
      <c r="A57" s="37" t="s">
        <v>1111</v>
      </c>
      <c r="B57" s="41">
        <v>114</v>
      </c>
      <c r="C57" s="13" t="s">
        <v>1112</v>
      </c>
      <c r="D57" s="405" t="s">
        <v>1113</v>
      </c>
      <c r="E57" s="13">
        <v>3733.7132250000009</v>
      </c>
      <c r="F57" s="13"/>
      <c r="G57" s="13"/>
      <c r="H57" s="13">
        <v>2690.2939457301081</v>
      </c>
      <c r="I57" s="13"/>
      <c r="J57" s="13"/>
      <c r="K57" s="13">
        <v>14.573521769080754</v>
      </c>
      <c r="L57" s="15">
        <f t="shared" si="0"/>
        <v>6438.5806924991894</v>
      </c>
      <c r="M57" s="966">
        <v>60</v>
      </c>
      <c r="N57" s="100"/>
    </row>
    <row r="58" spans="1:14">
      <c r="A58" s="37" t="s">
        <v>1114</v>
      </c>
      <c r="B58" s="41">
        <v>115</v>
      </c>
      <c r="C58" s="13" t="s">
        <v>1115</v>
      </c>
      <c r="D58" s="405" t="s">
        <v>4</v>
      </c>
      <c r="E58" s="13">
        <v>2950.8968000000004</v>
      </c>
      <c r="F58" s="13"/>
      <c r="G58" s="13"/>
      <c r="H58" s="13">
        <v>10761.175782920433</v>
      </c>
      <c r="I58" s="13"/>
      <c r="J58" s="13"/>
      <c r="K58" s="13">
        <v>0</v>
      </c>
      <c r="L58" s="15">
        <f t="shared" si="0"/>
        <v>13712.072582920433</v>
      </c>
      <c r="M58" s="966">
        <v>15</v>
      </c>
      <c r="N58" s="100"/>
    </row>
    <row r="59" spans="1:14">
      <c r="A59" s="37" t="s">
        <v>1116</v>
      </c>
      <c r="B59" s="41">
        <v>116</v>
      </c>
      <c r="C59" s="13" t="s">
        <v>1117</v>
      </c>
      <c r="D59" s="405" t="s">
        <v>4</v>
      </c>
      <c r="E59" s="13">
        <v>16332.300519524144</v>
      </c>
      <c r="F59" s="13"/>
      <c r="G59" s="13"/>
      <c r="H59" s="13">
        <v>13859.106354094081</v>
      </c>
      <c r="I59" s="13"/>
      <c r="J59" s="13"/>
      <c r="K59" s="13">
        <v>226.92834982085574</v>
      </c>
      <c r="L59" s="15">
        <f t="shared" si="0"/>
        <v>30418.33522343908</v>
      </c>
      <c r="M59" s="966">
        <v>12</v>
      </c>
      <c r="N59" s="100"/>
    </row>
    <row r="60" spans="1:14">
      <c r="A60" s="37" t="s">
        <v>1118</v>
      </c>
      <c r="B60" s="38">
        <v>117</v>
      </c>
      <c r="C60" s="13" t="s">
        <v>1119</v>
      </c>
      <c r="D60" s="405" t="s">
        <v>59</v>
      </c>
      <c r="E60" s="13">
        <v>987.17450099173561</v>
      </c>
      <c r="F60" s="13"/>
      <c r="G60" s="13"/>
      <c r="H60" s="13">
        <v>6278.4758589025905</v>
      </c>
      <c r="I60" s="13"/>
      <c r="J60" s="13"/>
      <c r="K60" s="13">
        <v>181.5426798566846</v>
      </c>
      <c r="L60" s="15">
        <f t="shared" si="0"/>
        <v>7447.1930397510114</v>
      </c>
      <c r="M60" s="967">
        <v>15</v>
      </c>
      <c r="N60" s="100"/>
    </row>
    <row r="61" spans="1:14">
      <c r="A61" s="37" t="s">
        <v>1120</v>
      </c>
      <c r="B61" s="41">
        <v>118</v>
      </c>
      <c r="C61" s="13" t="s">
        <v>1121</v>
      </c>
      <c r="D61" s="405" t="s">
        <v>4</v>
      </c>
      <c r="E61" s="13">
        <v>12733.788773411199</v>
      </c>
      <c r="F61" s="13"/>
      <c r="G61" s="13"/>
      <c r="H61" s="13">
        <v>12574.566263368657</v>
      </c>
      <c r="I61" s="13"/>
      <c r="J61" s="13"/>
      <c r="K61" s="13">
        <v>333.62676835813119</v>
      </c>
      <c r="L61" s="15">
        <f t="shared" si="0"/>
        <v>25641.981805137988</v>
      </c>
      <c r="M61" s="841">
        <v>11.5</v>
      </c>
      <c r="N61" s="100"/>
    </row>
    <row r="62" spans="1:14">
      <c r="A62" s="37" t="s">
        <v>1122</v>
      </c>
      <c r="B62" s="41">
        <v>119</v>
      </c>
      <c r="C62" s="289" t="s">
        <v>1123</v>
      </c>
      <c r="D62" s="962" t="s">
        <v>4</v>
      </c>
      <c r="E62" s="289">
        <v>18247.942492989841</v>
      </c>
      <c r="F62" s="13"/>
      <c r="G62" s="13"/>
      <c r="H62" s="289">
        <v>12574.566263368657</v>
      </c>
      <c r="I62" s="13"/>
      <c r="J62" s="13"/>
      <c r="K62" s="289">
        <v>333.62676835813119</v>
      </c>
      <c r="L62" s="15">
        <f t="shared" si="0"/>
        <v>31156.135524716628</v>
      </c>
      <c r="M62" s="841">
        <v>11.5</v>
      </c>
    </row>
    <row r="63" spans="1:14">
      <c r="A63" s="37" t="s">
        <v>1124</v>
      </c>
      <c r="B63" s="41">
        <v>120</v>
      </c>
      <c r="C63" s="286" t="s">
        <v>1125</v>
      </c>
      <c r="D63" s="962" t="s">
        <v>59</v>
      </c>
      <c r="E63" s="289">
        <v>17610.205138368772</v>
      </c>
      <c r="F63" s="13"/>
      <c r="G63" s="13"/>
      <c r="H63" s="289">
        <v>49666.965151940458</v>
      </c>
      <c r="I63" s="13"/>
      <c r="J63" s="13"/>
      <c r="K63" s="289">
        <v>1812.1956821517972</v>
      </c>
      <c r="L63" s="15">
        <f t="shared" si="0"/>
        <v>69089.365972461033</v>
      </c>
      <c r="M63" s="967">
        <v>3.25</v>
      </c>
    </row>
    <row r="64" spans="1:14">
      <c r="A64" s="37" t="s">
        <v>1126</v>
      </c>
      <c r="B64" s="38">
        <v>121</v>
      </c>
      <c r="C64" s="286" t="s">
        <v>1127</v>
      </c>
      <c r="D64" s="962" t="s">
        <v>59</v>
      </c>
      <c r="E64" s="289">
        <v>15896.430633907985</v>
      </c>
      <c r="F64" s="13"/>
      <c r="G64" s="13"/>
      <c r="H64" s="289">
        <v>49666.965151940458</v>
      </c>
      <c r="I64" s="13"/>
      <c r="J64" s="13"/>
      <c r="K64" s="289">
        <v>1812.1956821517972</v>
      </c>
      <c r="L64" s="15">
        <f t="shared" si="0"/>
        <v>67375.591468000232</v>
      </c>
      <c r="M64" s="967">
        <v>3.25</v>
      </c>
    </row>
    <row r="65" spans="1:13">
      <c r="A65" s="37" t="s">
        <v>1128</v>
      </c>
      <c r="B65" s="41">
        <v>122</v>
      </c>
      <c r="C65" s="286" t="s">
        <v>1129</v>
      </c>
      <c r="D65" s="962" t="s">
        <v>59</v>
      </c>
      <c r="E65" s="289">
        <v>18848.234598287454</v>
      </c>
      <c r="F65" s="13"/>
      <c r="G65" s="13"/>
      <c r="H65" s="289">
        <v>11167.815681950839</v>
      </c>
      <c r="I65" s="13"/>
      <c r="J65" s="13"/>
      <c r="K65" s="289">
        <v>0</v>
      </c>
      <c r="L65" s="15">
        <f t="shared" si="0"/>
        <v>30016.050280238291</v>
      </c>
      <c r="M65" s="967">
        <v>12</v>
      </c>
    </row>
    <row r="66" spans="1:13">
      <c r="A66" s="37" t="s">
        <v>1130</v>
      </c>
      <c r="B66" s="41">
        <v>123</v>
      </c>
      <c r="C66" s="286" t="s">
        <v>1131</v>
      </c>
      <c r="D66" s="962" t="s">
        <v>66</v>
      </c>
      <c r="E66" s="289"/>
      <c r="F66" s="13"/>
      <c r="G66" s="13"/>
      <c r="H66" s="289"/>
      <c r="I66" s="13"/>
      <c r="J66" s="13"/>
      <c r="K66" s="289"/>
      <c r="L66" s="15">
        <f t="shared" si="0"/>
        <v>0</v>
      </c>
      <c r="M66" s="967"/>
    </row>
    <row r="67" spans="1:13">
      <c r="A67" s="37" t="s">
        <v>1132</v>
      </c>
      <c r="B67" s="41">
        <v>124</v>
      </c>
      <c r="C67" s="286" t="s">
        <v>1133</v>
      </c>
      <c r="D67" s="962" t="s">
        <v>66</v>
      </c>
      <c r="E67" s="289"/>
      <c r="F67" s="13"/>
      <c r="G67" s="13"/>
      <c r="H67" s="289"/>
      <c r="I67" s="13"/>
      <c r="J67" s="13"/>
      <c r="K67" s="289"/>
      <c r="L67" s="15">
        <f t="shared" si="0"/>
        <v>0</v>
      </c>
      <c r="M67" s="967"/>
    </row>
    <row r="68" spans="1:13">
      <c r="A68" s="37" t="s">
        <v>1134</v>
      </c>
      <c r="B68" s="41">
        <v>125</v>
      </c>
      <c r="C68" s="287" t="s">
        <v>1135</v>
      </c>
      <c r="D68" s="962"/>
      <c r="E68" s="289"/>
      <c r="F68" s="13"/>
      <c r="G68" s="13"/>
      <c r="H68" s="289"/>
      <c r="I68" s="13"/>
      <c r="J68" s="13"/>
      <c r="K68" s="289"/>
      <c r="L68" s="15">
        <f t="shared" si="0"/>
        <v>0</v>
      </c>
      <c r="M68" s="967"/>
    </row>
    <row r="69" spans="1:13">
      <c r="A69" s="37" t="s">
        <v>1136</v>
      </c>
      <c r="B69" s="41">
        <v>126</v>
      </c>
      <c r="C69" s="287" t="s">
        <v>1137</v>
      </c>
      <c r="D69" s="962"/>
      <c r="E69" s="289"/>
      <c r="F69" s="13"/>
      <c r="G69" s="13"/>
      <c r="H69" s="289"/>
      <c r="I69" s="13"/>
      <c r="J69" s="13"/>
      <c r="K69" s="289"/>
      <c r="L69" s="15">
        <f t="shared" si="0"/>
        <v>0</v>
      </c>
      <c r="M69" s="967"/>
    </row>
    <row r="70" spans="1:13">
      <c r="A70" s="37" t="s">
        <v>1138</v>
      </c>
      <c r="B70" s="41">
        <v>127</v>
      </c>
      <c r="C70" s="287" t="s">
        <v>1139</v>
      </c>
      <c r="D70" s="962"/>
      <c r="E70" s="289"/>
      <c r="F70" s="13"/>
      <c r="G70" s="13"/>
      <c r="H70" s="289"/>
      <c r="I70" s="13"/>
      <c r="J70" s="13"/>
      <c r="K70" s="289"/>
      <c r="L70" s="15">
        <f t="shared" si="0"/>
        <v>0</v>
      </c>
      <c r="M70" s="967"/>
    </row>
    <row r="71" spans="1:13">
      <c r="A71" s="37" t="s">
        <v>1140</v>
      </c>
      <c r="B71" s="41">
        <v>128</v>
      </c>
      <c r="C71" s="287" t="s">
        <v>1141</v>
      </c>
      <c r="D71" s="962"/>
      <c r="E71" s="289"/>
      <c r="F71" s="13"/>
      <c r="G71" s="13"/>
      <c r="H71" s="289"/>
      <c r="I71" s="13"/>
      <c r="J71" s="13"/>
      <c r="K71" s="289"/>
      <c r="L71" s="15">
        <f t="shared" si="0"/>
        <v>0</v>
      </c>
      <c r="M71" s="967"/>
    </row>
    <row r="72" spans="1:13">
      <c r="A72" s="37" t="s">
        <v>1142</v>
      </c>
      <c r="B72" s="41">
        <v>129</v>
      </c>
      <c r="C72" s="287" t="s">
        <v>1143</v>
      </c>
      <c r="D72" s="962"/>
      <c r="E72" s="289"/>
      <c r="F72" s="13"/>
      <c r="G72" s="13"/>
      <c r="H72" s="289"/>
      <c r="I72" s="13"/>
      <c r="J72" s="13"/>
      <c r="K72" s="289"/>
      <c r="L72" s="15">
        <f t="shared" si="0"/>
        <v>0</v>
      </c>
      <c r="M72" s="967"/>
    </row>
    <row r="73" spans="1:13">
      <c r="A73" s="37" t="s">
        <v>1144</v>
      </c>
      <c r="B73" s="41">
        <v>130</v>
      </c>
      <c r="C73" s="287" t="s">
        <v>1145</v>
      </c>
      <c r="D73" s="962"/>
      <c r="E73" s="289"/>
      <c r="F73" s="13"/>
      <c r="G73" s="13"/>
      <c r="H73" s="289"/>
      <c r="I73" s="13"/>
      <c r="J73" s="13"/>
      <c r="K73" s="289"/>
      <c r="L73" s="15">
        <f t="shared" si="0"/>
        <v>0</v>
      </c>
      <c r="M73" s="967"/>
    </row>
    <row r="74" spans="1:13">
      <c r="A74" s="37" t="s">
        <v>1146</v>
      </c>
      <c r="B74" s="41">
        <v>131</v>
      </c>
      <c r="C74" s="287" t="s">
        <v>1147</v>
      </c>
      <c r="D74" s="962"/>
      <c r="E74" s="289"/>
      <c r="F74" s="13"/>
      <c r="G74" s="13"/>
      <c r="H74" s="289"/>
      <c r="I74" s="13"/>
      <c r="J74" s="13"/>
      <c r="K74" s="289"/>
      <c r="L74" s="15">
        <f t="shared" si="0"/>
        <v>0</v>
      </c>
      <c r="M74" s="967"/>
    </row>
    <row r="75" spans="1:13">
      <c r="A75" s="37" t="s">
        <v>1148</v>
      </c>
      <c r="B75" s="41">
        <v>132</v>
      </c>
      <c r="C75" s="287" t="s">
        <v>1149</v>
      </c>
      <c r="D75" s="962"/>
      <c r="E75" s="289"/>
      <c r="F75" s="13"/>
      <c r="G75" s="13"/>
      <c r="H75" s="289"/>
      <c r="I75" s="13"/>
      <c r="J75" s="13"/>
      <c r="K75" s="289"/>
      <c r="L75" s="15">
        <f t="shared" ref="L75:L90" si="4">+SUM(E75:K75)</f>
        <v>0</v>
      </c>
      <c r="M75" s="967"/>
    </row>
    <row r="76" spans="1:13">
      <c r="A76" s="37" t="s">
        <v>1150</v>
      </c>
      <c r="B76" s="41">
        <v>133</v>
      </c>
      <c r="C76" s="288" t="s">
        <v>1151</v>
      </c>
      <c r="D76" s="962"/>
      <c r="E76" s="289"/>
      <c r="F76" s="13"/>
      <c r="G76" s="13"/>
      <c r="H76" s="289"/>
      <c r="I76" s="13"/>
      <c r="J76" s="13"/>
      <c r="K76" s="289"/>
      <c r="L76" s="15">
        <f t="shared" si="4"/>
        <v>0</v>
      </c>
      <c r="M76" s="967"/>
    </row>
    <row r="77" spans="1:13">
      <c r="A77" s="37" t="s">
        <v>1152</v>
      </c>
      <c r="B77" s="41">
        <v>134</v>
      </c>
      <c r="C77" s="140" t="s">
        <v>1153</v>
      </c>
      <c r="D77" s="962" t="s">
        <v>4</v>
      </c>
      <c r="E77" s="289">
        <v>1553.2760760000006</v>
      </c>
      <c r="F77" s="13"/>
      <c r="G77" s="13"/>
      <c r="H77" s="289">
        <v>8033.7506682633084</v>
      </c>
      <c r="I77" s="13"/>
      <c r="J77" s="13"/>
      <c r="K77" s="289">
        <v>172.59343213536533</v>
      </c>
      <c r="L77" s="15">
        <f t="shared" si="4"/>
        <v>9759.6201763986737</v>
      </c>
      <c r="M77" s="967">
        <v>18</v>
      </c>
    </row>
    <row r="78" spans="1:13">
      <c r="A78" s="37" t="s">
        <v>1154</v>
      </c>
      <c r="B78" s="41">
        <v>135</v>
      </c>
      <c r="C78" s="140" t="s">
        <v>1155</v>
      </c>
      <c r="D78" s="962" t="s">
        <v>4</v>
      </c>
      <c r="E78" s="289">
        <v>1337.9414620000002</v>
      </c>
      <c r="F78" s="13"/>
      <c r="G78" s="13"/>
      <c r="H78" s="289">
        <v>14946.826355522158</v>
      </c>
      <c r="I78" s="13"/>
      <c r="J78" s="13"/>
      <c r="K78" s="289">
        <v>460.79035856745554</v>
      </c>
      <c r="L78" s="15">
        <f t="shared" si="4"/>
        <v>16745.558176089613</v>
      </c>
      <c r="M78" s="967">
        <v>9</v>
      </c>
    </row>
    <row r="79" spans="1:13">
      <c r="A79" s="37" t="s">
        <v>1156</v>
      </c>
      <c r="B79" s="41">
        <v>136</v>
      </c>
      <c r="C79" s="140" t="s">
        <v>1157</v>
      </c>
      <c r="D79" s="962" t="s">
        <v>4</v>
      </c>
      <c r="E79" s="289">
        <v>2755.4985040000001</v>
      </c>
      <c r="F79" s="13"/>
      <c r="G79" s="13"/>
      <c r="H79" s="289">
        <v>8581.7491290109865</v>
      </c>
      <c r="I79" s="13"/>
      <c r="J79" s="13"/>
      <c r="K79" s="289">
        <v>243.19327207792531</v>
      </c>
      <c r="L79" s="15">
        <f t="shared" si="4"/>
        <v>11580.440905088912</v>
      </c>
      <c r="M79" s="967">
        <v>14.5</v>
      </c>
    </row>
    <row r="80" spans="1:13">
      <c r="A80" s="37" t="s">
        <v>1158</v>
      </c>
      <c r="B80" s="41">
        <v>137</v>
      </c>
      <c r="C80" s="140" t="s">
        <v>1159</v>
      </c>
      <c r="D80" s="962" t="s">
        <v>4</v>
      </c>
      <c r="E80" s="289">
        <v>2880.1572752851243</v>
      </c>
      <c r="F80" s="13"/>
      <c r="G80" s="13"/>
      <c r="H80" s="289">
        <v>4708.8568941769427</v>
      </c>
      <c r="I80" s="13"/>
      <c r="J80" s="13"/>
      <c r="K80" s="289">
        <v>104.55249790152297</v>
      </c>
      <c r="L80" s="15">
        <f t="shared" si="4"/>
        <v>7693.5666673635897</v>
      </c>
      <c r="M80" s="967">
        <v>20</v>
      </c>
    </row>
    <row r="81" spans="1:13">
      <c r="A81" s="37" t="s">
        <v>1160</v>
      </c>
      <c r="B81" s="41">
        <v>138</v>
      </c>
      <c r="C81" s="287" t="s">
        <v>1161</v>
      </c>
      <c r="D81" s="962"/>
      <c r="E81" s="289"/>
      <c r="F81" s="13"/>
      <c r="G81" s="13"/>
      <c r="H81" s="289"/>
      <c r="I81" s="13"/>
      <c r="J81" s="13"/>
      <c r="K81" s="289"/>
      <c r="L81" s="15">
        <f t="shared" si="4"/>
        <v>0</v>
      </c>
      <c r="M81" s="967"/>
    </row>
    <row r="82" spans="1:13">
      <c r="A82" s="37" t="s">
        <v>1162</v>
      </c>
      <c r="B82" s="41">
        <v>139</v>
      </c>
      <c r="C82" s="140" t="s">
        <v>1163</v>
      </c>
      <c r="D82" s="962"/>
      <c r="E82" s="289"/>
      <c r="F82" s="13"/>
      <c r="G82" s="13"/>
      <c r="H82" s="289"/>
      <c r="I82" s="13"/>
      <c r="J82" s="13"/>
      <c r="K82" s="289"/>
      <c r="L82" s="15">
        <f t="shared" si="4"/>
        <v>0</v>
      </c>
      <c r="M82" s="967"/>
    </row>
    <row r="83" spans="1:13">
      <c r="A83" s="37" t="s">
        <v>1164</v>
      </c>
      <c r="B83" s="41">
        <v>140</v>
      </c>
      <c r="C83" s="286" t="s">
        <v>1165</v>
      </c>
      <c r="D83" s="962"/>
      <c r="E83" s="289"/>
      <c r="F83" s="13"/>
      <c r="G83" s="13"/>
      <c r="H83" s="289"/>
      <c r="I83" s="13"/>
      <c r="J83" s="13"/>
      <c r="K83" s="289"/>
      <c r="L83" s="15">
        <f t="shared" si="4"/>
        <v>0</v>
      </c>
      <c r="M83" s="967"/>
    </row>
    <row r="84" spans="1:13">
      <c r="A84" s="37" t="s">
        <v>1166</v>
      </c>
      <c r="B84" s="41">
        <v>141</v>
      </c>
      <c r="C84" s="286" t="s">
        <v>1167</v>
      </c>
      <c r="D84" s="962"/>
      <c r="E84" s="289"/>
      <c r="F84" s="13"/>
      <c r="G84" s="13"/>
      <c r="H84" s="289"/>
      <c r="I84" s="13"/>
      <c r="J84" s="13"/>
      <c r="K84" s="289"/>
      <c r="L84" s="15">
        <f t="shared" si="4"/>
        <v>0</v>
      </c>
      <c r="M84" s="967"/>
    </row>
    <row r="85" spans="1:13">
      <c r="A85" s="37" t="s">
        <v>1168</v>
      </c>
      <c r="B85" s="41">
        <v>142</v>
      </c>
      <c r="C85" s="286" t="s">
        <v>1102</v>
      </c>
      <c r="D85" s="962"/>
      <c r="E85" s="289"/>
      <c r="F85" s="13"/>
      <c r="G85" s="13"/>
      <c r="H85" s="289"/>
      <c r="I85" s="13"/>
      <c r="J85" s="13"/>
      <c r="K85" s="289"/>
      <c r="L85" s="15">
        <f t="shared" si="4"/>
        <v>0</v>
      </c>
      <c r="M85" s="967"/>
    </row>
    <row r="86" spans="1:13">
      <c r="A86" s="37" t="s">
        <v>1169</v>
      </c>
      <c r="B86" s="41">
        <v>143</v>
      </c>
      <c r="C86" s="286" t="s">
        <v>1170</v>
      </c>
      <c r="D86" s="962"/>
      <c r="E86" s="289"/>
      <c r="F86" s="13"/>
      <c r="G86" s="13"/>
      <c r="H86" s="289"/>
      <c r="I86" s="13"/>
      <c r="J86" s="13"/>
      <c r="K86" s="289"/>
      <c r="L86" s="15">
        <f t="shared" si="4"/>
        <v>0</v>
      </c>
      <c r="M86" s="967"/>
    </row>
    <row r="87" spans="1:13">
      <c r="A87" s="37" t="s">
        <v>1171</v>
      </c>
      <c r="B87" s="41">
        <v>144</v>
      </c>
      <c r="C87" s="286" t="s">
        <v>1172</v>
      </c>
      <c r="D87" s="962"/>
      <c r="E87" s="289"/>
      <c r="F87" s="13"/>
      <c r="G87" s="13"/>
      <c r="H87" s="289"/>
      <c r="I87" s="13"/>
      <c r="J87" s="13"/>
      <c r="K87" s="289"/>
      <c r="L87" s="15">
        <f t="shared" si="4"/>
        <v>0</v>
      </c>
      <c r="M87" s="967"/>
    </row>
    <row r="88" spans="1:13">
      <c r="A88" s="37" t="s">
        <v>1173</v>
      </c>
      <c r="B88" s="41">
        <v>145</v>
      </c>
      <c r="C88" s="286" t="s">
        <v>1174</v>
      </c>
      <c r="D88" s="962"/>
      <c r="E88" s="289"/>
      <c r="F88" s="13"/>
      <c r="G88" s="13"/>
      <c r="H88" s="289"/>
      <c r="I88" s="13"/>
      <c r="J88" s="13"/>
      <c r="K88" s="289"/>
      <c r="L88" s="15">
        <f t="shared" si="4"/>
        <v>0</v>
      </c>
      <c r="M88" s="967"/>
    </row>
    <row r="89" spans="1:13">
      <c r="A89" s="37" t="s">
        <v>1175</v>
      </c>
      <c r="B89" s="41">
        <v>146</v>
      </c>
      <c r="C89" s="286" t="s">
        <v>1176</v>
      </c>
      <c r="D89" s="962" t="s">
        <v>4</v>
      </c>
      <c r="E89" s="289">
        <v>2664.568019086777</v>
      </c>
      <c r="F89" s="13"/>
      <c r="G89" s="13"/>
      <c r="H89" s="289">
        <v>3767.0855153415546</v>
      </c>
      <c r="I89" s="13"/>
      <c r="J89" s="13"/>
      <c r="K89" s="289">
        <v>83.641998321218381</v>
      </c>
      <c r="L89" s="15">
        <f t="shared" si="4"/>
        <v>6515.2955327495492</v>
      </c>
      <c r="M89" s="967">
        <v>25</v>
      </c>
    </row>
    <row r="90" spans="1:13">
      <c r="A90" s="289"/>
      <c r="B90" s="922">
        <v>147</v>
      </c>
      <c r="C90" s="289" t="s">
        <v>1650</v>
      </c>
      <c r="D90" s="962" t="s">
        <v>72</v>
      </c>
      <c r="E90" s="289">
        <v>18798.887787420623</v>
      </c>
      <c r="F90" s="289"/>
      <c r="G90" s="289"/>
      <c r="H90" s="289">
        <v>49666.965151940458</v>
      </c>
      <c r="I90" s="289"/>
      <c r="J90" s="289"/>
      <c r="K90" s="289">
        <v>1812.1956821517972</v>
      </c>
      <c r="L90" s="15">
        <f t="shared" si="4"/>
        <v>70278.048621512877</v>
      </c>
      <c r="M90" s="967">
        <v>3.25</v>
      </c>
    </row>
    <row r="91" spans="1:13">
      <c r="A91" s="289"/>
      <c r="B91" s="922">
        <v>148</v>
      </c>
      <c r="C91" s="289" t="s">
        <v>1651</v>
      </c>
      <c r="D91" s="962" t="s">
        <v>72</v>
      </c>
      <c r="E91" s="289">
        <v>34095.002044916851</v>
      </c>
      <c r="F91" s="289"/>
      <c r="G91" s="289"/>
      <c r="H91" s="289">
        <v>49666.965151940458</v>
      </c>
      <c r="I91" s="289"/>
      <c r="J91" s="289"/>
      <c r="K91" s="289">
        <v>1812.1956821517972</v>
      </c>
      <c r="L91" s="15">
        <f>+SUM(E91:K91)</f>
        <v>85574.162879009105</v>
      </c>
      <c r="M91" s="967">
        <v>3.25</v>
      </c>
    </row>
    <row r="92" spans="1:13">
      <c r="A92" s="278"/>
      <c r="B92" s="923">
        <v>149</v>
      </c>
      <c r="C92" s="278" t="s">
        <v>1652</v>
      </c>
      <c r="D92" s="963" t="s">
        <v>72</v>
      </c>
      <c r="E92" s="278">
        <v>10557.999723719837</v>
      </c>
      <c r="F92" s="278"/>
      <c r="G92" s="278"/>
      <c r="H92" s="278">
        <v>32283.527348761294</v>
      </c>
      <c r="I92" s="278"/>
      <c r="J92" s="278"/>
      <c r="K92" s="278">
        <v>1177.9271933986681</v>
      </c>
      <c r="L92" s="432">
        <f>+SUM(E92:K92)</f>
        <v>44019.454265879795</v>
      </c>
      <c r="M92" s="967">
        <v>5</v>
      </c>
    </row>
  </sheetData>
  <autoFilter ref="A10:L89" xr:uid="{00000000-0001-0000-0B00-000000000000}"/>
  <mergeCells count="3">
    <mergeCell ref="C5:E5"/>
    <mergeCell ref="C7:E7"/>
    <mergeCell ref="E8:K8"/>
  </mergeCells>
  <phoneticPr fontId="9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M145"/>
  <sheetViews>
    <sheetView workbookViewId="0">
      <selection activeCell="H27" sqref="H27"/>
    </sheetView>
  </sheetViews>
  <sheetFormatPr defaultColWidth="11.54296875" defaultRowHeight="13"/>
  <cols>
    <col min="1" max="1" width="16.26953125" style="26" bestFit="1" customWidth="1"/>
    <col min="2" max="2" width="12.26953125" style="26" bestFit="1" customWidth="1"/>
    <col min="3" max="3" width="13.7265625" style="26" bestFit="1" customWidth="1"/>
    <col min="4" max="4" width="12.453125" style="26" customWidth="1"/>
    <col min="5" max="6" width="13.7265625" style="26" bestFit="1" customWidth="1"/>
    <col min="7" max="7" width="10.26953125" style="26" customWidth="1"/>
    <col min="8" max="8" width="11.26953125" style="26" bestFit="1" customWidth="1"/>
    <col min="9" max="9" width="12.81640625" style="26" bestFit="1" customWidth="1"/>
    <col min="10" max="10" width="16.54296875" style="26" customWidth="1"/>
    <col min="11" max="11" width="19" style="26" customWidth="1"/>
    <col min="12" max="13" width="11.54296875" style="26"/>
    <col min="14" max="14" width="14.54296875" style="26" bestFit="1" customWidth="1"/>
    <col min="15" max="16384" width="11.54296875" style="26"/>
  </cols>
  <sheetData>
    <row r="1" spans="1:13">
      <c r="A1" s="279" t="s">
        <v>1177</v>
      </c>
      <c r="B1" s="862">
        <v>45809</v>
      </c>
      <c r="C1" s="279"/>
      <c r="D1" s="786"/>
      <c r="E1" s="241"/>
      <c r="F1" s="861" t="s">
        <v>1178</v>
      </c>
      <c r="G1" s="241"/>
      <c r="H1" s="93"/>
      <c r="I1" s="35"/>
      <c r="M1" s="33"/>
    </row>
    <row r="2" spans="1:13">
      <c r="A2" s="241"/>
      <c r="B2" s="241"/>
      <c r="C2" s="241"/>
      <c r="D2" s="241"/>
      <c r="E2" s="241"/>
      <c r="F2" s="241"/>
      <c r="G2" s="241"/>
      <c r="H2" s="93"/>
      <c r="I2" s="35"/>
      <c r="M2" s="33"/>
    </row>
    <row r="3" spans="1:13">
      <c r="A3" s="863" t="s">
        <v>1179</v>
      </c>
      <c r="B3" s="635" t="s">
        <v>1180</v>
      </c>
      <c r="C3" s="635" t="s">
        <v>1181</v>
      </c>
      <c r="D3" s="635" t="s">
        <v>1182</v>
      </c>
      <c r="E3" s="635" t="s">
        <v>1183</v>
      </c>
      <c r="F3" s="635" t="s">
        <v>1184</v>
      </c>
      <c r="G3" s="635" t="s">
        <v>1185</v>
      </c>
      <c r="H3" s="93"/>
      <c r="I3" s="35"/>
      <c r="M3" s="33"/>
    </row>
    <row r="4" spans="1:13">
      <c r="A4" s="864" t="s">
        <v>1186</v>
      </c>
      <c r="B4" s="853">
        <v>94177.13788353886</v>
      </c>
      <c r="C4" s="853">
        <v>2260251.3092049328</v>
      </c>
      <c r="D4" s="853">
        <v>11772.142235442358</v>
      </c>
      <c r="E4" s="854">
        <v>1.1585236410524544</v>
      </c>
      <c r="F4" s="855">
        <v>59355.621176966888</v>
      </c>
      <c r="G4" s="855">
        <v>5121.272727272727</v>
      </c>
      <c r="H4" s="94"/>
      <c r="I4" s="1232">
        <f>+B4/F4</f>
        <v>1.5866591237037639</v>
      </c>
      <c r="M4" s="33"/>
    </row>
    <row r="5" spans="1:13">
      <c r="A5" s="865" t="s">
        <v>1187</v>
      </c>
      <c r="B5" s="816">
        <v>84612.512709566407</v>
      </c>
      <c r="C5" s="816">
        <v>2030700.3050295939</v>
      </c>
      <c r="D5" s="816">
        <v>10576.564088695801</v>
      </c>
      <c r="E5" s="856">
        <v>1.1076362934220156</v>
      </c>
      <c r="F5" s="817">
        <v>51821.351084812624</v>
      </c>
      <c r="G5" s="817">
        <v>4402.909090909091</v>
      </c>
      <c r="H5" s="94"/>
      <c r="I5" s="1232">
        <f t="shared" ref="I5:I7" si="0">+B5/F5</f>
        <v>1.632773189782077</v>
      </c>
      <c r="M5" s="33"/>
    </row>
    <row r="6" spans="1:13">
      <c r="A6" s="865" t="s">
        <v>1188</v>
      </c>
      <c r="B6" s="816">
        <v>72132.138365590115</v>
      </c>
      <c r="C6" s="816">
        <v>1731171.3207741629</v>
      </c>
      <c r="D6" s="816">
        <v>9016.5172956987644</v>
      </c>
      <c r="E6" s="856">
        <v>1.0989981999086458</v>
      </c>
      <c r="F6" s="817">
        <v>43355.923159018144</v>
      </c>
      <c r="G6" s="817">
        <v>4062.181818181818</v>
      </c>
      <c r="H6" s="94"/>
      <c r="I6" s="1232">
        <f t="shared" si="0"/>
        <v>1.6637205048322548</v>
      </c>
      <c r="M6" s="33"/>
    </row>
    <row r="7" spans="1:13">
      <c r="A7" s="866" t="s">
        <v>1189</v>
      </c>
      <c r="B7" s="857">
        <v>67240.498860267617</v>
      </c>
      <c r="C7" s="857">
        <v>1613771.9726464229</v>
      </c>
      <c r="D7" s="857">
        <v>8405.0623575334521</v>
      </c>
      <c r="E7" s="858">
        <v>1.1023504552922965</v>
      </c>
      <c r="F7" s="859">
        <v>40254.782608695648</v>
      </c>
      <c r="G7" s="859">
        <v>3748.5</v>
      </c>
      <c r="H7" s="94"/>
      <c r="I7" s="1232">
        <f t="shared" si="0"/>
        <v>1.6703729222411112</v>
      </c>
      <c r="M7" s="33"/>
    </row>
    <row r="8" spans="1:13">
      <c r="A8" s="867"/>
      <c r="B8" s="860"/>
      <c r="C8" s="860"/>
      <c r="D8" s="860"/>
      <c r="E8" s="516"/>
      <c r="F8" s="516"/>
      <c r="G8" s="516"/>
      <c r="H8" s="93"/>
      <c r="I8" s="35"/>
      <c r="M8" s="33"/>
    </row>
    <row r="9" spans="1:13">
      <c r="A9" s="864" t="s">
        <v>1190</v>
      </c>
      <c r="B9" s="853">
        <v>147568.58728559379</v>
      </c>
      <c r="C9" s="853">
        <v>3246508.9202830633</v>
      </c>
      <c r="D9" s="853">
        <v>18446.073410699224</v>
      </c>
      <c r="E9" s="435"/>
      <c r="F9" s="853">
        <v>2265320.1856148494</v>
      </c>
      <c r="G9" s="435"/>
      <c r="H9" s="93"/>
      <c r="I9" s="35"/>
      <c r="M9" s="33"/>
    </row>
    <row r="10" spans="1:13">
      <c r="A10" s="865" t="s">
        <v>1191</v>
      </c>
      <c r="B10" s="816">
        <v>214394.06177409831</v>
      </c>
      <c r="C10" s="816">
        <v>4716669.3590301629</v>
      </c>
      <c r="D10" s="816">
        <v>26799.257721762289</v>
      </c>
      <c r="E10" s="111"/>
      <c r="F10" s="816">
        <v>3290107.888631091</v>
      </c>
      <c r="G10" s="111"/>
      <c r="H10" s="93"/>
      <c r="I10" s="35"/>
      <c r="M10" s="33"/>
    </row>
    <row r="11" spans="1:13">
      <c r="A11" s="865" t="s">
        <v>1192</v>
      </c>
      <c r="B11" s="816">
        <v>258581.92945581098</v>
      </c>
      <c r="C11" s="816">
        <v>5688802.4480278417</v>
      </c>
      <c r="D11" s="816">
        <v>32322.741181976373</v>
      </c>
      <c r="E11" s="111"/>
      <c r="F11" s="816">
        <v>4314895.5916473316</v>
      </c>
      <c r="G11" s="111"/>
      <c r="H11" s="93"/>
      <c r="I11" s="35"/>
      <c r="M11" s="33"/>
    </row>
    <row r="12" spans="1:13">
      <c r="A12" s="866" t="s">
        <v>1193</v>
      </c>
      <c r="B12" s="857">
        <v>161430.4201009789</v>
      </c>
      <c r="C12" s="857">
        <v>3874330.0824234933</v>
      </c>
      <c r="D12" s="857">
        <v>20178.802512622362</v>
      </c>
      <c r="E12" s="517"/>
      <c r="F12" s="857">
        <v>2804682.1345707658</v>
      </c>
      <c r="G12" s="857">
        <v>5121.272727272727</v>
      </c>
      <c r="H12" s="93"/>
      <c r="I12" s="35"/>
      <c r="M12" s="33"/>
    </row>
    <row r="13" spans="1:13">
      <c r="A13" s="36"/>
      <c r="I13" s="35"/>
      <c r="M13" s="33"/>
    </row>
    <row r="14" spans="1:13">
      <c r="E14" s="30"/>
      <c r="K14" s="29"/>
      <c r="L14" s="29"/>
    </row>
    <row r="15" spans="1:13">
      <c r="K15" s="28"/>
      <c r="L15" s="27"/>
    </row>
    <row r="16" spans="1:13">
      <c r="K16" s="28"/>
      <c r="L16" s="27"/>
    </row>
    <row r="17" spans="11:12">
      <c r="K17" s="29"/>
      <c r="L17" s="29"/>
    </row>
    <row r="18" spans="11:12">
      <c r="K18" s="28"/>
      <c r="L18" s="27"/>
    </row>
    <row r="19" spans="11:12">
      <c r="K19" s="28"/>
      <c r="L19" s="27"/>
    </row>
    <row r="20" spans="11:12">
      <c r="K20" s="28"/>
      <c r="L20" s="27"/>
    </row>
    <row r="21" spans="11:12">
      <c r="K21" s="28"/>
      <c r="L21" s="27"/>
    </row>
    <row r="22" spans="11:12">
      <c r="K22" s="28"/>
      <c r="L22" s="27"/>
    </row>
    <row r="23" spans="11:12">
      <c r="K23" s="28"/>
      <c r="L23" s="27"/>
    </row>
    <row r="24" spans="11:12">
      <c r="K24" s="29"/>
      <c r="L24" s="29"/>
    </row>
    <row r="25" spans="11:12" ht="15" customHeight="1">
      <c r="K25" s="28"/>
      <c r="L25" s="27"/>
    </row>
    <row r="26" spans="11:12" ht="15" customHeight="1">
      <c r="K26" s="28"/>
      <c r="L26" s="27"/>
    </row>
    <row r="27" spans="11:12" ht="15" customHeight="1">
      <c r="K27" s="28"/>
      <c r="L27" s="27"/>
    </row>
    <row r="28" spans="11:12">
      <c r="K28" s="28"/>
      <c r="L28" s="27"/>
    </row>
    <row r="29" spans="11:12">
      <c r="K29" s="28"/>
      <c r="L29" s="27"/>
    </row>
    <row r="30" spans="11:12">
      <c r="K30" s="28"/>
      <c r="L30" s="27"/>
    </row>
    <row r="31" spans="11:12">
      <c r="K31" s="28"/>
      <c r="L31" s="27"/>
    </row>
    <row r="32" spans="11:12">
      <c r="K32" s="28"/>
      <c r="L32" s="27"/>
    </row>
    <row r="33" spans="11:12">
      <c r="K33" s="29"/>
      <c r="L33" s="29"/>
    </row>
    <row r="34" spans="11:12">
      <c r="K34" s="28"/>
      <c r="L34" s="27"/>
    </row>
    <row r="35" spans="11:12">
      <c r="K35" s="28"/>
      <c r="L35" s="27"/>
    </row>
    <row r="36" spans="11:12">
      <c r="K36" s="28"/>
      <c r="L36" s="27"/>
    </row>
    <row r="37" spans="11:12">
      <c r="K37" s="28"/>
      <c r="L37" s="27"/>
    </row>
    <row r="38" spans="11:12">
      <c r="K38" s="29"/>
      <c r="L38" s="29"/>
    </row>
    <row r="39" spans="11:12">
      <c r="K39" s="28"/>
      <c r="L39" s="27"/>
    </row>
    <row r="40" spans="11:12">
      <c r="K40" s="28"/>
      <c r="L40" s="27"/>
    </row>
    <row r="41" spans="11:12">
      <c r="K41" s="28"/>
      <c r="L41" s="27"/>
    </row>
    <row r="42" spans="11:12">
      <c r="K42" s="28"/>
      <c r="L42" s="27"/>
    </row>
    <row r="43" spans="11:12">
      <c r="K43" s="28"/>
      <c r="L43" s="27"/>
    </row>
    <row r="44" spans="11:12">
      <c r="K44" s="28"/>
      <c r="L44" s="27"/>
    </row>
    <row r="45" spans="11:12">
      <c r="K45" s="28"/>
      <c r="L45" s="27"/>
    </row>
    <row r="46" spans="11:12">
      <c r="K46" s="29"/>
      <c r="L46" s="29"/>
    </row>
    <row r="47" spans="11:12" ht="15" customHeight="1">
      <c r="K47" s="28"/>
      <c r="L47" s="27"/>
    </row>
    <row r="48" spans="11:12">
      <c r="K48" s="28"/>
      <c r="L48" s="27"/>
    </row>
    <row r="49" spans="11:12" ht="18.75" customHeight="1">
      <c r="K49" s="28"/>
      <c r="L49" s="27"/>
    </row>
    <row r="50" spans="11:12">
      <c r="K50" s="28"/>
      <c r="L50" s="27"/>
    </row>
    <row r="51" spans="11:12">
      <c r="K51" s="28"/>
      <c r="L51" s="27"/>
    </row>
    <row r="52" spans="11:12">
      <c r="K52" s="28"/>
      <c r="L52" s="27"/>
    </row>
    <row r="53" spans="11:12">
      <c r="K53" s="28"/>
      <c r="L53" s="27"/>
    </row>
    <row r="54" spans="11:12" ht="15" customHeight="1">
      <c r="K54" s="28"/>
      <c r="L54" s="27"/>
    </row>
    <row r="55" spans="11:12">
      <c r="K55" s="29"/>
      <c r="L55" s="29"/>
    </row>
    <row r="56" spans="11:12">
      <c r="K56" s="28"/>
      <c r="L56" s="27"/>
    </row>
    <row r="57" spans="11:12">
      <c r="K57" s="28"/>
      <c r="L57" s="27"/>
    </row>
    <row r="58" spans="11:12">
      <c r="K58" s="28"/>
      <c r="L58" s="27"/>
    </row>
    <row r="59" spans="11:12">
      <c r="K59" s="28"/>
      <c r="L59" s="27"/>
    </row>
    <row r="60" spans="11:12">
      <c r="K60" s="28"/>
      <c r="L60" s="27"/>
    </row>
    <row r="61" spans="11:12">
      <c r="K61" s="28"/>
      <c r="L61" s="27"/>
    </row>
    <row r="62" spans="11:12">
      <c r="K62" s="28"/>
      <c r="L62" s="27"/>
    </row>
    <row r="63" spans="11:12">
      <c r="K63" s="28"/>
      <c r="L63" s="27"/>
    </row>
    <row r="64" spans="11:12">
      <c r="K64" s="28"/>
      <c r="L64" s="27"/>
    </row>
    <row r="65" spans="11:12">
      <c r="K65" s="28"/>
      <c r="L65" s="27"/>
    </row>
    <row r="66" spans="11:12">
      <c r="K66" s="28"/>
      <c r="L66" s="27"/>
    </row>
    <row r="67" spans="11:12">
      <c r="K67" s="29"/>
      <c r="L67" s="29"/>
    </row>
    <row r="68" spans="11:12">
      <c r="K68" s="28"/>
      <c r="L68" s="27"/>
    </row>
    <row r="69" spans="11:12">
      <c r="K69" s="28"/>
      <c r="L69" s="27"/>
    </row>
    <row r="70" spans="11:12">
      <c r="K70" s="28"/>
      <c r="L70" s="27"/>
    </row>
    <row r="71" spans="11:12">
      <c r="K71" s="28"/>
      <c r="L71" s="27"/>
    </row>
    <row r="72" spans="11:12">
      <c r="K72" s="28"/>
      <c r="L72" s="27"/>
    </row>
    <row r="73" spans="11:12">
      <c r="K73" s="28"/>
      <c r="L73" s="27"/>
    </row>
    <row r="74" spans="11:12">
      <c r="K74" s="28"/>
      <c r="L74" s="27"/>
    </row>
    <row r="75" spans="11:12">
      <c r="K75" s="28"/>
      <c r="L75" s="27"/>
    </row>
    <row r="76" spans="11:12">
      <c r="K76" s="28"/>
      <c r="L76" s="27"/>
    </row>
    <row r="77" spans="11:12">
      <c r="K77" s="28"/>
      <c r="L77" s="27"/>
    </row>
    <row r="78" spans="11:12">
      <c r="K78" s="28"/>
      <c r="L78" s="27"/>
    </row>
    <row r="79" spans="11:12">
      <c r="K79" s="28"/>
      <c r="L79" s="27"/>
    </row>
    <row r="80" spans="11:12">
      <c r="K80" s="28"/>
      <c r="L80" s="27"/>
    </row>
    <row r="81" spans="11:12">
      <c r="K81" s="28"/>
      <c r="L81" s="27"/>
    </row>
    <row r="82" spans="11:12">
      <c r="K82" s="28"/>
      <c r="L82" s="27"/>
    </row>
    <row r="83" spans="11:12">
      <c r="K83" s="28"/>
      <c r="L83" s="27"/>
    </row>
    <row r="84" spans="11:12">
      <c r="K84" s="28"/>
      <c r="L84" s="27"/>
    </row>
    <row r="85" spans="11:12">
      <c r="K85" s="28"/>
      <c r="L85" s="27"/>
    </row>
    <row r="86" spans="11:12">
      <c r="K86" s="28"/>
      <c r="L86" s="27"/>
    </row>
    <row r="87" spans="11:12">
      <c r="K87" s="29"/>
      <c r="L87" s="29"/>
    </row>
    <row r="88" spans="11:12">
      <c r="K88" s="28"/>
      <c r="L88" s="27"/>
    </row>
    <row r="89" spans="11:12">
      <c r="K89" s="28"/>
      <c r="L89" s="27"/>
    </row>
    <row r="90" spans="11:12">
      <c r="K90" s="28"/>
      <c r="L90" s="27"/>
    </row>
    <row r="91" spans="11:12">
      <c r="K91" s="28"/>
      <c r="L91" s="27"/>
    </row>
    <row r="92" spans="11:12">
      <c r="K92" s="28"/>
      <c r="L92" s="27"/>
    </row>
    <row r="93" spans="11:12">
      <c r="K93" s="28"/>
      <c r="L93" s="27"/>
    </row>
    <row r="94" spans="11:12">
      <c r="K94" s="28"/>
      <c r="L94" s="27"/>
    </row>
    <row r="95" spans="11:12">
      <c r="K95" s="29"/>
      <c r="L95" s="29"/>
    </row>
    <row r="96" spans="11:12">
      <c r="K96" s="28"/>
      <c r="L96" s="27"/>
    </row>
    <row r="97" spans="11:12">
      <c r="K97" s="28"/>
      <c r="L97" s="27"/>
    </row>
    <row r="98" spans="11:12">
      <c r="K98" s="28"/>
      <c r="L98" s="27"/>
    </row>
    <row r="99" spans="11:12">
      <c r="K99" s="28"/>
      <c r="L99" s="27"/>
    </row>
    <row r="100" spans="11:12">
      <c r="K100" s="29"/>
      <c r="L100" s="29"/>
    </row>
    <row r="101" spans="11:12">
      <c r="K101" s="28"/>
      <c r="L101" s="27"/>
    </row>
    <row r="102" spans="11:12">
      <c r="K102" s="28"/>
      <c r="L102" s="27"/>
    </row>
    <row r="103" spans="11:12">
      <c r="K103" s="29"/>
      <c r="L103" s="29"/>
    </row>
    <row r="104" spans="11:12">
      <c r="K104" s="28"/>
      <c r="L104" s="27"/>
    </row>
    <row r="105" spans="11:12">
      <c r="K105" s="28"/>
      <c r="L105" s="27"/>
    </row>
    <row r="106" spans="11:12">
      <c r="K106" s="28"/>
      <c r="L106" s="27"/>
    </row>
    <row r="107" spans="11:12">
      <c r="K107" s="28"/>
      <c r="L107" s="27"/>
    </row>
    <row r="108" spans="11:12">
      <c r="K108" s="28"/>
      <c r="L108" s="27"/>
    </row>
    <row r="109" spans="11:12">
      <c r="K109" s="29"/>
      <c r="L109" s="29"/>
    </row>
    <row r="110" spans="11:12">
      <c r="K110" s="28"/>
      <c r="L110" s="27"/>
    </row>
    <row r="111" spans="11:12">
      <c r="K111" s="28"/>
      <c r="L111" s="27"/>
    </row>
    <row r="112" spans="11:12">
      <c r="K112" s="28"/>
      <c r="L112" s="27"/>
    </row>
    <row r="113" spans="11:12">
      <c r="K113" s="28"/>
      <c r="L113" s="27"/>
    </row>
    <row r="114" spans="11:12">
      <c r="K114" s="28"/>
      <c r="L114" s="27"/>
    </row>
    <row r="115" spans="11:12">
      <c r="K115" s="28"/>
      <c r="L115" s="27"/>
    </row>
    <row r="116" spans="11:12">
      <c r="K116" s="28"/>
      <c r="L116" s="27"/>
    </row>
    <row r="117" spans="11:12">
      <c r="K117" s="28"/>
      <c r="L117" s="27"/>
    </row>
    <row r="118" spans="11:12">
      <c r="K118" s="28"/>
      <c r="L118" s="27"/>
    </row>
    <row r="119" spans="11:12">
      <c r="K119" s="28"/>
      <c r="L119" s="27"/>
    </row>
    <row r="120" spans="11:12">
      <c r="K120" s="28"/>
      <c r="L120" s="27"/>
    </row>
    <row r="121" spans="11:12">
      <c r="K121" s="29"/>
      <c r="L121" s="29"/>
    </row>
    <row r="122" spans="11:12">
      <c r="K122" s="28"/>
      <c r="L122" s="27"/>
    </row>
    <row r="123" spans="11:12">
      <c r="K123" s="28"/>
      <c r="L123" s="27"/>
    </row>
    <row r="124" spans="11:12">
      <c r="K124" s="28"/>
      <c r="L124" s="27"/>
    </row>
    <row r="125" spans="11:12">
      <c r="K125" s="28"/>
      <c r="L125" s="27"/>
    </row>
    <row r="126" spans="11:12">
      <c r="K126" s="28"/>
      <c r="L126" s="27"/>
    </row>
    <row r="127" spans="11:12">
      <c r="K127" s="28"/>
      <c r="L127" s="27"/>
    </row>
    <row r="128" spans="11:12">
      <c r="K128" s="28"/>
      <c r="L128" s="27"/>
    </row>
    <row r="129" spans="11:12">
      <c r="K129" s="28"/>
      <c r="L129" s="27"/>
    </row>
    <row r="130" spans="11:12">
      <c r="K130" s="28"/>
      <c r="L130" s="27"/>
    </row>
    <row r="131" spans="11:12">
      <c r="K131" s="28"/>
      <c r="L131" s="27"/>
    </row>
    <row r="132" spans="11:12">
      <c r="K132" s="28"/>
      <c r="L132" s="27"/>
    </row>
    <row r="133" spans="11:12">
      <c r="K133" s="28"/>
      <c r="L133" s="27"/>
    </row>
    <row r="134" spans="11:12">
      <c r="K134" s="28"/>
      <c r="L134" s="27"/>
    </row>
    <row r="135" spans="11:12">
      <c r="K135" s="28"/>
      <c r="L135" s="27"/>
    </row>
    <row r="136" spans="11:12">
      <c r="K136" s="28"/>
      <c r="L136" s="27"/>
    </row>
    <row r="137" spans="11:12">
      <c r="K137" s="28"/>
      <c r="L137" s="27"/>
    </row>
    <row r="138" spans="11:12">
      <c r="K138" s="29"/>
      <c r="L138" s="29"/>
    </row>
    <row r="139" spans="11:12">
      <c r="K139" s="28"/>
      <c r="L139" s="27"/>
    </row>
    <row r="140" spans="11:12">
      <c r="K140" s="28"/>
      <c r="L140" s="27"/>
    </row>
    <row r="141" spans="11:12">
      <c r="K141" s="28"/>
      <c r="L141" s="27"/>
    </row>
    <row r="142" spans="11:12">
      <c r="K142" s="29"/>
      <c r="L142" s="29"/>
    </row>
    <row r="143" spans="11:12">
      <c r="K143" s="28"/>
      <c r="L143" s="27"/>
    </row>
    <row r="144" spans="11:12">
      <c r="K144" s="28"/>
      <c r="L144" s="27"/>
    </row>
    <row r="145" spans="11:12">
      <c r="K145" s="28"/>
      <c r="L145" s="27"/>
    </row>
  </sheetData>
  <pageMargins left="0.43307086614173229" right="0.27559055118110237" top="0.74803149606299213" bottom="0.74803149606299213" header="0.31496062992125984" footer="0.31496062992125984"/>
  <pageSetup paperSize="9" scale="95" orientation="portrait" r:id="rId1"/>
  <rowBreaks count="1" manualBreakCount="1">
    <brk id="86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33"/>
  <sheetViews>
    <sheetView topLeftCell="A26" workbookViewId="0">
      <selection activeCell="E48" sqref="E48"/>
    </sheetView>
  </sheetViews>
  <sheetFormatPr defaultColWidth="11.453125" defaultRowHeight="13"/>
  <cols>
    <col min="1" max="1" width="4.26953125" style="82" customWidth="1"/>
    <col min="2" max="2" width="33.1796875" style="82" bestFit="1" customWidth="1"/>
    <col min="3" max="3" width="9.1796875" style="82" bestFit="1" customWidth="1"/>
    <col min="4" max="4" width="13" style="82" customWidth="1"/>
    <col min="5" max="5" width="9.26953125" style="82" bestFit="1" customWidth="1"/>
    <col min="6" max="6" width="21.7265625" style="82" bestFit="1" customWidth="1"/>
    <col min="7" max="7" width="26.54296875" style="82" bestFit="1" customWidth="1"/>
    <col min="8" max="8" width="8.26953125" style="82" bestFit="1" customWidth="1"/>
    <col min="9" max="9" width="9" style="82" customWidth="1"/>
    <col min="10" max="10" width="9" style="356" customWidth="1"/>
    <col min="11" max="14" width="9" style="82" customWidth="1"/>
    <col min="15" max="16384" width="11.453125" style="82"/>
  </cols>
  <sheetData>
    <row r="1" spans="2:7" ht="31.5" customHeight="1"/>
    <row r="2" spans="2:7">
      <c r="C2" s="283" t="s">
        <v>0</v>
      </c>
      <c r="F2" s="282" t="s">
        <v>1</v>
      </c>
    </row>
    <row r="3" spans="2:7">
      <c r="B3" s="179" t="s">
        <v>2</v>
      </c>
      <c r="C3" s="180"/>
      <c r="F3" s="183">
        <f>+GGBB!H4</f>
        <v>1276</v>
      </c>
      <c r="G3" s="82">
        <f>+F6/F3</f>
        <v>1460381.203448276</v>
      </c>
    </row>
    <row r="4" spans="2:7">
      <c r="D4" s="82" t="s">
        <v>3</v>
      </c>
    </row>
    <row r="5" spans="2:7">
      <c r="C5" s="181" t="s">
        <v>4</v>
      </c>
      <c r="D5" s="83">
        <v>1</v>
      </c>
      <c r="E5" s="181" t="s">
        <v>5</v>
      </c>
    </row>
    <row r="6" spans="2:7">
      <c r="B6" s="179" t="s">
        <v>6</v>
      </c>
      <c r="C6" s="179">
        <f>+ROUNDUP(F20,0)</f>
        <v>1452</v>
      </c>
      <c r="D6" s="84">
        <f>+C3*D5</f>
        <v>0</v>
      </c>
      <c r="E6" s="604">
        <f>+F32</f>
        <v>1005.7721786833856</v>
      </c>
      <c r="F6" s="350">
        <f>+E6*F3*C6</f>
        <v>1863446415.6000001</v>
      </c>
      <c r="G6" s="958" t="s">
        <v>7</v>
      </c>
    </row>
    <row r="7" spans="2:7">
      <c r="B7" s="86"/>
      <c r="C7" s="86"/>
      <c r="D7" s="84"/>
      <c r="E7" s="107"/>
      <c r="F7" s="108"/>
    </row>
    <row r="8" spans="2:7">
      <c r="B8" s="100" t="s">
        <v>8</v>
      </c>
      <c r="C8" s="100"/>
      <c r="D8" s="477"/>
      <c r="E8" s="764">
        <v>1</v>
      </c>
      <c r="F8" s="765" t="s">
        <v>9</v>
      </c>
    </row>
    <row r="9" spans="2:7">
      <c r="B9" s="100" t="s">
        <v>10</v>
      </c>
      <c r="C9" s="100"/>
      <c r="D9" s="477"/>
      <c r="E9" s="766">
        <v>0.25</v>
      </c>
      <c r="F9" s="766" t="s">
        <v>11</v>
      </c>
    </row>
    <row r="10" spans="2:7">
      <c r="B10" s="100"/>
      <c r="C10" s="100"/>
      <c r="D10" s="100"/>
      <c r="E10" s="766">
        <v>0.5</v>
      </c>
      <c r="F10" s="766" t="s">
        <v>12</v>
      </c>
    </row>
    <row r="11" spans="2:7">
      <c r="B11" s="182" t="s">
        <v>13</v>
      </c>
      <c r="C11" s="182" t="s">
        <v>14</v>
      </c>
      <c r="D11" s="182" t="s">
        <v>15</v>
      </c>
      <c r="E11" s="183" t="s">
        <v>16</v>
      </c>
      <c r="F11" s="183" t="s">
        <v>17</v>
      </c>
    </row>
    <row r="12" spans="2:7">
      <c r="B12" s="762" t="s">
        <v>9</v>
      </c>
      <c r="C12" s="761">
        <v>24</v>
      </c>
      <c r="D12" s="761"/>
      <c r="E12" s="763">
        <f>+D12*$E$8</f>
        <v>0</v>
      </c>
      <c r="F12" s="13">
        <f t="shared" ref="F12:F19" si="0">+C12+E12</f>
        <v>24</v>
      </c>
    </row>
    <row r="13" spans="2:7">
      <c r="B13" s="355" t="s">
        <v>18</v>
      </c>
      <c r="C13" s="13">
        <v>65</v>
      </c>
      <c r="D13" s="13">
        <v>137</v>
      </c>
      <c r="E13" s="13">
        <f>+D13*$E$10</f>
        <v>68.5</v>
      </c>
      <c r="F13" s="13">
        <f t="shared" si="0"/>
        <v>133.5</v>
      </c>
    </row>
    <row r="14" spans="2:7">
      <c r="B14" s="355" t="s">
        <v>1741</v>
      </c>
      <c r="C14" s="13"/>
      <c r="D14" s="13">
        <v>51.5</v>
      </c>
      <c r="E14" s="13">
        <f>+D14*$E$9</f>
        <v>12.875</v>
      </c>
      <c r="F14" s="13">
        <f t="shared" si="0"/>
        <v>12.875</v>
      </c>
    </row>
    <row r="15" spans="2:7">
      <c r="B15" s="355" t="s">
        <v>1978</v>
      </c>
      <c r="C15" s="394">
        <v>175</v>
      </c>
      <c r="D15" s="394">
        <f>11+10.5</f>
        <v>21.5</v>
      </c>
      <c r="E15" s="394">
        <f t="shared" ref="E15:E18" si="1">+D15*$E$10</f>
        <v>10.75</v>
      </c>
      <c r="F15" s="394">
        <f t="shared" si="0"/>
        <v>185.75</v>
      </c>
      <c r="G15" s="82">
        <v>4</v>
      </c>
    </row>
    <row r="16" spans="2:7">
      <c r="B16" s="355"/>
      <c r="C16" s="394">
        <f>+C15*G15</f>
        <v>700</v>
      </c>
      <c r="D16" s="394">
        <f>+D15*G15</f>
        <v>86</v>
      </c>
      <c r="E16" s="394">
        <f>+E15*G15</f>
        <v>43</v>
      </c>
      <c r="F16" s="394">
        <f t="shared" si="0"/>
        <v>743</v>
      </c>
    </row>
    <row r="17" spans="2:12">
      <c r="B17" s="355" t="s">
        <v>1979</v>
      </c>
      <c r="C17" s="394">
        <v>160</v>
      </c>
      <c r="D17" s="394">
        <f>11+16</f>
        <v>27</v>
      </c>
      <c r="E17" s="394">
        <f t="shared" si="1"/>
        <v>13.5</v>
      </c>
      <c r="F17" s="394">
        <f t="shared" si="0"/>
        <v>173.5</v>
      </c>
    </row>
    <row r="18" spans="2:12">
      <c r="B18" s="355" t="s">
        <v>1980</v>
      </c>
      <c r="C18" s="394">
        <v>111</v>
      </c>
      <c r="D18" s="394">
        <f>32+16</f>
        <v>48</v>
      </c>
      <c r="E18" s="394">
        <f t="shared" si="1"/>
        <v>24</v>
      </c>
      <c r="F18" s="394">
        <f t="shared" si="0"/>
        <v>135</v>
      </c>
    </row>
    <row r="19" spans="2:12">
      <c r="B19" s="355" t="s">
        <v>1981</v>
      </c>
      <c r="C19" s="394">
        <v>22</v>
      </c>
      <c r="D19" s="394">
        <v>89</v>
      </c>
      <c r="E19" s="394">
        <f>+D19*$E$9</f>
        <v>22.25</v>
      </c>
      <c r="F19" s="394">
        <f t="shared" si="0"/>
        <v>44.25</v>
      </c>
    </row>
    <row r="20" spans="2:12">
      <c r="B20" s="185"/>
      <c r="C20" s="351">
        <f>SUM(C12:C19)</f>
        <v>1257</v>
      </c>
      <c r="D20" s="351">
        <f>SUM(D12:D19)</f>
        <v>460</v>
      </c>
      <c r="E20" s="351">
        <f>SUM(E12:E19)</f>
        <v>194.875</v>
      </c>
      <c r="F20" s="352">
        <f>SUM(F12:F19)</f>
        <v>1451.875</v>
      </c>
      <c r="J20" s="1169"/>
    </row>
    <row r="21" spans="2:12">
      <c r="F21" s="87"/>
      <c r="H21" s="88" t="s">
        <v>20</v>
      </c>
    </row>
    <row r="22" spans="2:12">
      <c r="B22" s="343" t="s">
        <v>21</v>
      </c>
      <c r="C22" s="224"/>
      <c r="D22" s="224"/>
      <c r="E22" s="224">
        <v>0.7</v>
      </c>
      <c r="F22" s="225">
        <f>+'01'!W213</f>
        <v>1540618531</v>
      </c>
      <c r="G22" s="89">
        <f>+F22/F3</f>
        <v>1207381.2938871474</v>
      </c>
      <c r="H22" s="89">
        <f>+G22/C6</f>
        <v>831.52981672668557</v>
      </c>
    </row>
    <row r="23" spans="2:12">
      <c r="B23" s="343" t="s">
        <v>22</v>
      </c>
      <c r="C23" s="224"/>
      <c r="D23" s="224"/>
      <c r="E23" s="346">
        <f>1-E22</f>
        <v>0.30000000000000004</v>
      </c>
      <c r="F23" s="344">
        <f>+G23*F22</f>
        <v>660265084.71428585</v>
      </c>
      <c r="G23" s="82">
        <f>+E23/E22</f>
        <v>0.42857142857142866</v>
      </c>
    </row>
    <row r="24" spans="2:12">
      <c r="B24" s="91"/>
      <c r="C24" s="86"/>
      <c r="D24" s="86"/>
      <c r="E24" s="86"/>
      <c r="F24" s="345">
        <f>+F23+F22</f>
        <v>2200883615.7142859</v>
      </c>
    </row>
    <row r="25" spans="2:12">
      <c r="B25" s="85" t="s">
        <v>23</v>
      </c>
    </row>
    <row r="26" spans="2:12">
      <c r="B26" s="354">
        <v>45800</v>
      </c>
      <c r="C26" s="353" t="s">
        <v>24</v>
      </c>
    </row>
    <row r="28" spans="2:12">
      <c r="B28" s="82" t="s">
        <v>25</v>
      </c>
      <c r="C28" s="181" t="s">
        <v>4</v>
      </c>
      <c r="D28" s="183" t="s">
        <v>26</v>
      </c>
      <c r="H28" s="86"/>
    </row>
    <row r="29" spans="2:12">
      <c r="B29" s="179" t="s">
        <v>2</v>
      </c>
      <c r="C29" s="179">
        <f>+C6</f>
        <v>1452</v>
      </c>
      <c r="D29" s="183">
        <v>1833379</v>
      </c>
      <c r="F29" s="347">
        <f>+D29*C29</f>
        <v>2662066308</v>
      </c>
      <c r="G29" s="958" t="s">
        <v>7</v>
      </c>
    </row>
    <row r="30" spans="2:12">
      <c r="B30" s="86"/>
      <c r="C30" s="86"/>
      <c r="D30" s="353" t="s">
        <v>20</v>
      </c>
      <c r="E30" s="86"/>
      <c r="F30" s="348">
        <f>+F29/F3</f>
        <v>2086258.8620689656</v>
      </c>
      <c r="G30" s="959" t="s">
        <v>0</v>
      </c>
      <c r="L30" s="356"/>
    </row>
    <row r="31" spans="2:12">
      <c r="B31" s="90"/>
      <c r="D31" s="353">
        <f>+D29/F3</f>
        <v>1436.8173981191223</v>
      </c>
      <c r="F31" s="349">
        <f>+F30/C29</f>
        <v>1436.8173981191223</v>
      </c>
      <c r="G31" s="958" t="s">
        <v>20</v>
      </c>
    </row>
    <row r="32" spans="2:12">
      <c r="E32" s="106"/>
      <c r="F32" s="91">
        <f>+F31*E22</f>
        <v>1005.7721786833856</v>
      </c>
      <c r="G32" s="958" t="s">
        <v>27</v>
      </c>
    </row>
    <row r="33" spans="5:6">
      <c r="E33" s="106"/>
      <c r="F33" s="106"/>
    </row>
  </sheetData>
  <phoneticPr fontId="7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77"/>
  <sheetViews>
    <sheetView topLeftCell="A65" zoomScale="85" zoomScaleNormal="85" workbookViewId="0">
      <selection activeCell="G79" sqref="G79"/>
    </sheetView>
  </sheetViews>
  <sheetFormatPr defaultColWidth="11.54296875" defaultRowHeight="12.75" customHeight="1" outlineLevelRow="2" outlineLevelCol="2"/>
  <cols>
    <col min="1" max="1" width="6.54296875" style="534" bestFit="1" customWidth="1"/>
    <col min="2" max="2" width="4.26953125" style="534" customWidth="1" outlineLevel="1"/>
    <col min="3" max="3" width="37.81640625" style="609" customWidth="1"/>
    <col min="4" max="4" width="5.26953125" style="547" bestFit="1" customWidth="1"/>
    <col min="5" max="5" width="6.7265625" style="520" bestFit="1" customWidth="1"/>
    <col min="6" max="6" width="10.7265625" style="120" customWidth="1" outlineLevel="2"/>
    <col min="7" max="7" width="17.7265625" style="120" customWidth="1" outlineLevel="2"/>
    <col min="8" max="8" width="10.7265625" style="120" customWidth="1" outlineLevel="2"/>
    <col min="9" max="9" width="10.7265625" style="245" customWidth="1" outlineLevel="2"/>
    <col min="10" max="10" width="10" style="245" customWidth="1" outlineLevel="2"/>
    <col min="11" max="11" width="10.7265625" style="120" customWidth="1" outlineLevel="2"/>
    <col min="12" max="12" width="11" style="305" customWidth="1" outlineLevel="2"/>
    <col min="13" max="13" width="10.7265625" style="120" customWidth="1" outlineLevel="1"/>
    <col min="14" max="14" width="12" style="120" customWidth="1" outlineLevel="1"/>
    <col min="15" max="15" width="11" style="120" customWidth="1" outlineLevel="1"/>
    <col min="16" max="17" width="12" style="120" customWidth="1" outlineLevel="1"/>
    <col min="18" max="18" width="11" style="120" customWidth="1" outlineLevel="1"/>
    <col min="19" max="19" width="13.54296875" style="120" customWidth="1" outlineLevel="1"/>
    <col min="20" max="20" width="13.54296875" style="237" customWidth="1" outlineLevel="1"/>
    <col min="21" max="21" width="11" style="513" bestFit="1" customWidth="1"/>
    <col min="22" max="22" width="13.54296875" style="513" customWidth="1"/>
    <col min="23" max="23" width="13.7265625" style="514" bestFit="1" customWidth="1"/>
    <col min="24" max="24" width="6" style="11" bestFit="1" customWidth="1"/>
    <col min="25" max="25" width="10.7265625" style="11" bestFit="1" customWidth="1"/>
    <col min="26" max="26" width="14.453125" style="11" bestFit="1" customWidth="1"/>
    <col min="27" max="27" width="12.7265625" style="11" bestFit="1" customWidth="1"/>
    <col min="28" max="28" width="6.81640625" style="11" bestFit="1" customWidth="1"/>
    <col min="29" max="29" width="15.26953125" style="11" bestFit="1" customWidth="1"/>
    <col min="30" max="30" width="12.453125" style="11" customWidth="1"/>
    <col min="31" max="31" width="6.54296875" style="11" bestFit="1" customWidth="1"/>
    <col min="32" max="32" width="4" style="11" bestFit="1" customWidth="1"/>
    <col min="33" max="33" width="15.7265625" style="11" bestFit="1" customWidth="1"/>
    <col min="34" max="34" width="12.453125" style="11" customWidth="1"/>
    <col min="35" max="35" width="6.54296875" style="11" bestFit="1" customWidth="1"/>
    <col min="36" max="16384" width="11.54296875" style="11"/>
  </cols>
  <sheetData>
    <row r="1" spans="1:28" ht="12.75" customHeight="1">
      <c r="F1" s="303" t="s">
        <v>28</v>
      </c>
      <c r="G1" s="304" t="s">
        <v>29</v>
      </c>
      <c r="I1" s="299"/>
      <c r="J1" s="299"/>
      <c r="N1" s="306"/>
      <c r="O1" s="306"/>
      <c r="P1" s="307"/>
      <c r="Q1" s="306"/>
      <c r="R1" s="306"/>
      <c r="V1" s="333" t="s">
        <v>30</v>
      </c>
      <c r="W1" s="333" t="s">
        <v>1</v>
      </c>
    </row>
    <row r="2" spans="1:28" ht="13">
      <c r="F2" s="308" t="s">
        <v>31</v>
      </c>
      <c r="G2" s="304" t="s">
        <v>32</v>
      </c>
      <c r="I2" s="299"/>
      <c r="J2" s="299"/>
      <c r="N2" s="306"/>
      <c r="O2" s="306"/>
      <c r="P2" s="307"/>
      <c r="Q2" s="306"/>
      <c r="R2" s="306"/>
      <c r="V2" s="929">
        <f>+GGBB!G4</f>
        <v>1280</v>
      </c>
      <c r="W2" s="929">
        <f>+GGBB!H4</f>
        <v>1276</v>
      </c>
      <c r="Y2" s="16"/>
    </row>
    <row r="3" spans="1:28" s="5" customFormat="1" ht="13">
      <c r="A3" s="174"/>
      <c r="B3" s="174"/>
      <c r="C3" s="688"/>
      <c r="D3" s="6"/>
      <c r="E3" s="276"/>
      <c r="F3" s="246" t="s">
        <v>33</v>
      </c>
      <c r="G3" s="304" t="s">
        <v>34</v>
      </c>
      <c r="H3" s="247"/>
      <c r="I3" s="247"/>
      <c r="J3" s="247"/>
      <c r="K3" s="247"/>
      <c r="L3" s="277"/>
      <c r="M3" s="247"/>
      <c r="N3" s="276"/>
      <c r="O3" s="276"/>
      <c r="P3" s="276"/>
      <c r="Q3" s="309"/>
      <c r="R3" s="309"/>
      <c r="S3" s="247"/>
      <c r="T3" s="334"/>
      <c r="U3" s="276"/>
      <c r="V3" s="276"/>
      <c r="W3" s="930"/>
      <c r="Y3" s="10"/>
    </row>
    <row r="4" spans="1:28" s="5" customFormat="1" ht="13">
      <c r="A4" s="174"/>
      <c r="B4" s="174"/>
      <c r="C4" s="688"/>
      <c r="D4" s="6"/>
      <c r="E4" s="276"/>
      <c r="F4" s="248" t="s">
        <v>35</v>
      </c>
      <c r="G4" s="310" t="s">
        <v>36</v>
      </c>
      <c r="H4" s="247"/>
      <c r="I4" s="247"/>
      <c r="J4" s="247"/>
      <c r="K4" s="247"/>
      <c r="L4" s="277"/>
      <c r="M4" s="247"/>
      <c r="N4" s="247"/>
      <c r="O4" s="247"/>
      <c r="P4" s="276"/>
      <c r="Q4" s="311"/>
      <c r="R4" s="311"/>
      <c r="S4" s="247"/>
      <c r="T4" s="615"/>
      <c r="U4" s="276"/>
      <c r="V4" s="881">
        <v>45817</v>
      </c>
      <c r="W4" s="930"/>
      <c r="Y4" s="10"/>
    </row>
    <row r="5" spans="1:28" s="5" customFormat="1" ht="13">
      <c r="A5" s="174"/>
      <c r="B5" s="174"/>
      <c r="C5" s="689" t="s">
        <v>1977</v>
      </c>
      <c r="D5" s="6"/>
      <c r="E5" s="276"/>
      <c r="F5" s="2050" t="s">
        <v>37</v>
      </c>
      <c r="G5" s="2051"/>
      <c r="H5" s="2052"/>
      <c r="I5" s="2050" t="s">
        <v>38</v>
      </c>
      <c r="J5" s="2051"/>
      <c r="K5" s="2052"/>
      <c r="L5" s="313"/>
      <c r="M5" s="247"/>
      <c r="N5" s="2050" t="s">
        <v>37</v>
      </c>
      <c r="O5" s="2052"/>
      <c r="P5" s="2050" t="s">
        <v>38</v>
      </c>
      <c r="Q5" s="2052"/>
      <c r="R5" s="314"/>
      <c r="S5" s="247"/>
      <c r="T5" s="17">
        <f>+GGBB!F61</f>
        <v>1.3564677472747704</v>
      </c>
      <c r="U5" s="247"/>
      <c r="V5" s="247"/>
      <c r="W5" s="930"/>
      <c r="Y5" s="10"/>
    </row>
    <row r="6" spans="1:28" s="5" customFormat="1" ht="13">
      <c r="A6" s="174"/>
      <c r="B6" s="174"/>
      <c r="C6" s="689" t="s">
        <v>39</v>
      </c>
      <c r="D6" s="749"/>
      <c r="E6" s="750"/>
      <c r="F6" s="249"/>
      <c r="G6" s="250"/>
      <c r="H6" s="312"/>
      <c r="I6" s="249"/>
      <c r="J6" s="250"/>
      <c r="K6" s="312"/>
      <c r="L6" s="313"/>
      <c r="M6" s="247"/>
      <c r="N6" s="249"/>
      <c r="O6" s="250"/>
      <c r="P6" s="249"/>
      <c r="Q6" s="312"/>
      <c r="R6" s="314"/>
      <c r="S6" s="314"/>
      <c r="T6" s="10">
        <v>1.1000000000000001</v>
      </c>
      <c r="U6" s="931"/>
      <c r="V6" s="931"/>
      <c r="W6" s="930"/>
    </row>
    <row r="7" spans="1:28" ht="13">
      <c r="A7" s="187" t="s">
        <v>40</v>
      </c>
      <c r="B7" s="230" t="s">
        <v>51</v>
      </c>
      <c r="C7" s="690" t="s">
        <v>41</v>
      </c>
      <c r="D7" s="226" t="s">
        <v>42</v>
      </c>
      <c r="E7" s="252" t="s">
        <v>43</v>
      </c>
      <c r="F7" s="251" t="s">
        <v>44</v>
      </c>
      <c r="G7" s="252" t="s">
        <v>45</v>
      </c>
      <c r="H7" s="315" t="s">
        <v>46</v>
      </c>
      <c r="I7" s="252" t="s">
        <v>44</v>
      </c>
      <c r="J7" s="252" t="s">
        <v>47</v>
      </c>
      <c r="K7" s="315" t="s">
        <v>46</v>
      </c>
      <c r="L7" s="252" t="s">
        <v>48</v>
      </c>
      <c r="M7" s="316" t="s">
        <v>49</v>
      </c>
      <c r="N7" s="252" t="s">
        <v>44</v>
      </c>
      <c r="O7" s="252" t="s">
        <v>45</v>
      </c>
      <c r="P7" s="252" t="s">
        <v>44</v>
      </c>
      <c r="Q7" s="252" t="s">
        <v>47</v>
      </c>
      <c r="R7" s="252" t="s">
        <v>48</v>
      </c>
      <c r="S7" s="317" t="s">
        <v>46</v>
      </c>
      <c r="T7" s="675" t="s">
        <v>17</v>
      </c>
      <c r="U7" s="675" t="s">
        <v>50</v>
      </c>
      <c r="V7" s="675" t="s">
        <v>17</v>
      </c>
    </row>
    <row r="8" spans="1:28" ht="13">
      <c r="A8" s="535">
        <v>1</v>
      </c>
      <c r="B8" s="575"/>
      <c r="C8" s="691" t="s">
        <v>52</v>
      </c>
      <c r="D8" s="227"/>
      <c r="E8" s="228"/>
      <c r="F8" s="228"/>
      <c r="G8" s="228"/>
      <c r="H8" s="228"/>
      <c r="I8" s="228"/>
      <c r="J8" s="228"/>
      <c r="K8" s="228"/>
      <c r="L8" s="228"/>
      <c r="M8" s="256"/>
      <c r="N8" s="228"/>
      <c r="O8" s="228"/>
      <c r="P8" s="228"/>
      <c r="Q8" s="228"/>
      <c r="R8" s="228"/>
      <c r="S8" s="228"/>
      <c r="T8" s="335">
        <f>SUM(S9:S17)</f>
        <v>17207623.31651061</v>
      </c>
      <c r="U8" s="228"/>
      <c r="V8" s="228"/>
      <c r="W8" s="932">
        <f>SUM(V9:V17)</f>
        <v>23341592</v>
      </c>
      <c r="X8" s="80">
        <f>+W8/$W$213</f>
        <v>1.5150792704569902E-2</v>
      </c>
    </row>
    <row r="9" spans="1:28" ht="13" outlineLevel="1">
      <c r="A9" s="193">
        <v>1.01</v>
      </c>
      <c r="B9" s="193" t="s">
        <v>28</v>
      </c>
      <c r="C9" s="692" t="s">
        <v>53</v>
      </c>
      <c r="D9" s="188" t="s">
        <v>54</v>
      </c>
      <c r="E9" s="479">
        <v>0</v>
      </c>
      <c r="F9" s="190"/>
      <c r="G9" s="190"/>
      <c r="H9" s="257">
        <f>F9+G9</f>
        <v>0</v>
      </c>
      <c r="I9" s="190"/>
      <c r="J9" s="190"/>
      <c r="K9" s="257">
        <f t="shared" ref="K9:K17" si="0">I9+J9</f>
        <v>0</v>
      </c>
      <c r="L9" s="190"/>
      <c r="M9" s="257">
        <f t="shared" ref="M9:M17" si="1">H9+K9+L9</f>
        <v>0</v>
      </c>
      <c r="N9" s="318">
        <f t="shared" ref="N9:N17" si="2">F9*E9</f>
        <v>0</v>
      </c>
      <c r="O9" s="318">
        <f t="shared" ref="O9:O17" si="3">G9*E9</f>
        <v>0</v>
      </c>
      <c r="P9" s="318">
        <f t="shared" ref="P9:P17" si="4">I9*E9</f>
        <v>0</v>
      </c>
      <c r="Q9" s="318">
        <f t="shared" ref="Q9:Q17" si="5">J9*E9</f>
        <v>0</v>
      </c>
      <c r="R9" s="318">
        <f t="shared" ref="R9:R17" si="6">+L9*E9</f>
        <v>0</v>
      </c>
      <c r="S9" s="319">
        <f t="shared" ref="S9:S17" si="7">SUM(N9:R9)</f>
        <v>0</v>
      </c>
      <c r="T9" s="336"/>
      <c r="U9" s="933">
        <f t="shared" ref="U9:U17" si="8">+ROUNDUP(M9*$T$5,0)</f>
        <v>0</v>
      </c>
      <c r="V9" s="933">
        <f t="shared" ref="V9:V17" si="9">+U9*E9</f>
        <v>0</v>
      </c>
      <c r="X9" s="80"/>
    </row>
    <row r="10" spans="1:28" ht="13" outlineLevel="1">
      <c r="A10" s="12">
        <v>1.02</v>
      </c>
      <c r="B10" s="8" t="s">
        <v>28</v>
      </c>
      <c r="C10" s="693" t="s">
        <v>55</v>
      </c>
      <c r="D10" s="7" t="s">
        <v>56</v>
      </c>
      <c r="E10" s="480">
        <v>4</v>
      </c>
      <c r="F10" s="263">
        <f>+Tareas!H8</f>
        <v>0</v>
      </c>
      <c r="G10" s="263">
        <f>+Tareas!I8</f>
        <v>25000</v>
      </c>
      <c r="H10" s="258">
        <f>F10+G10</f>
        <v>25000</v>
      </c>
      <c r="I10" s="263">
        <f>+Tareas!Q8</f>
        <v>214394.06177409831</v>
      </c>
      <c r="J10" s="263">
        <f>+Tareas!R8</f>
        <v>67240.498860267617</v>
      </c>
      <c r="K10" s="258">
        <f t="shared" si="0"/>
        <v>281634.56063436595</v>
      </c>
      <c r="L10" s="263">
        <f>+(H10+K10)*0.015</f>
        <v>4599.5184095154891</v>
      </c>
      <c r="M10" s="258">
        <f t="shared" si="1"/>
        <v>311234.07904388144</v>
      </c>
      <c r="N10" s="320">
        <f t="shared" si="2"/>
        <v>0</v>
      </c>
      <c r="O10" s="320">
        <f t="shared" si="3"/>
        <v>100000</v>
      </c>
      <c r="P10" s="320">
        <f t="shared" si="4"/>
        <v>857576.24709639326</v>
      </c>
      <c r="Q10" s="320">
        <f t="shared" si="5"/>
        <v>268961.99544107047</v>
      </c>
      <c r="R10" s="320">
        <f t="shared" si="6"/>
        <v>18398.073638061956</v>
      </c>
      <c r="S10" s="321">
        <f t="shared" si="7"/>
        <v>1244936.3161755258</v>
      </c>
      <c r="T10" s="337"/>
      <c r="U10" s="934">
        <f t="shared" si="8"/>
        <v>422179</v>
      </c>
      <c r="V10" s="934">
        <f t="shared" si="9"/>
        <v>1688716</v>
      </c>
      <c r="X10" s="80"/>
    </row>
    <row r="11" spans="1:28" ht="13" outlineLevel="1">
      <c r="A11" s="12">
        <v>1.03</v>
      </c>
      <c r="B11" s="12" t="s">
        <v>28</v>
      </c>
      <c r="C11" s="693" t="s">
        <v>57</v>
      </c>
      <c r="D11" s="114" t="s">
        <v>54</v>
      </c>
      <c r="E11" s="115">
        <v>1</v>
      </c>
      <c r="F11" s="115"/>
      <c r="G11" s="115"/>
      <c r="H11" s="258">
        <f t="shared" ref="H11:H17" si="10">F11+G11</f>
        <v>0</v>
      </c>
      <c r="I11" s="115"/>
      <c r="J11" s="115"/>
      <c r="K11" s="258">
        <f t="shared" si="0"/>
        <v>0</v>
      </c>
      <c r="L11" s="115"/>
      <c r="M11" s="258">
        <f t="shared" si="1"/>
        <v>0</v>
      </c>
      <c r="N11" s="320">
        <f t="shared" si="2"/>
        <v>0</v>
      </c>
      <c r="O11" s="320">
        <f t="shared" si="3"/>
        <v>0</v>
      </c>
      <c r="P11" s="320">
        <f t="shared" si="4"/>
        <v>0</v>
      </c>
      <c r="Q11" s="320">
        <f t="shared" si="5"/>
        <v>0</v>
      </c>
      <c r="R11" s="320">
        <f t="shared" si="6"/>
        <v>0</v>
      </c>
      <c r="S11" s="321">
        <f t="shared" si="7"/>
        <v>0</v>
      </c>
      <c r="T11" s="337"/>
      <c r="U11" s="934">
        <f t="shared" si="8"/>
        <v>0</v>
      </c>
      <c r="V11" s="934">
        <f t="shared" si="9"/>
        <v>0</v>
      </c>
      <c r="X11" s="80"/>
    </row>
    <row r="12" spans="1:28" ht="26" outlineLevel="1">
      <c r="A12" s="12">
        <v>1.04</v>
      </c>
      <c r="B12" s="12" t="s">
        <v>28</v>
      </c>
      <c r="C12" s="693" t="s">
        <v>58</v>
      </c>
      <c r="D12" s="7" t="s">
        <v>59</v>
      </c>
      <c r="E12" s="480">
        <v>10</v>
      </c>
      <c r="F12" s="263">
        <f>+Tareas!H12</f>
        <v>98815.568159228656</v>
      </c>
      <c r="G12" s="263">
        <f>+Tareas!I12</f>
        <v>0</v>
      </c>
      <c r="H12" s="258">
        <f t="shared" si="10"/>
        <v>98815.568159228656</v>
      </c>
      <c r="I12" s="263">
        <f>+Tareas!Q12</f>
        <v>0</v>
      </c>
      <c r="J12" s="263">
        <f>+Tareas!R12</f>
        <v>111992.57496771208</v>
      </c>
      <c r="K12" s="258">
        <f t="shared" si="0"/>
        <v>111992.57496771208</v>
      </c>
      <c r="L12" s="263">
        <f>+(H12+K12)*0.015</f>
        <v>3162.1221469041111</v>
      </c>
      <c r="M12" s="258">
        <f t="shared" si="1"/>
        <v>213970.26527384485</v>
      </c>
      <c r="N12" s="320">
        <f t="shared" si="2"/>
        <v>988155.68159228656</v>
      </c>
      <c r="O12" s="320">
        <f t="shared" si="3"/>
        <v>0</v>
      </c>
      <c r="P12" s="320">
        <f t="shared" si="4"/>
        <v>0</v>
      </c>
      <c r="Q12" s="320">
        <f t="shared" si="5"/>
        <v>1119925.7496771207</v>
      </c>
      <c r="R12" s="320">
        <f t="shared" si="6"/>
        <v>31621.221469041113</v>
      </c>
      <c r="S12" s="321">
        <f t="shared" si="7"/>
        <v>2139702.6527384482</v>
      </c>
      <c r="T12" s="337"/>
      <c r="U12" s="934">
        <f t="shared" si="8"/>
        <v>290244</v>
      </c>
      <c r="V12" s="934">
        <f t="shared" si="9"/>
        <v>2902440</v>
      </c>
      <c r="X12" s="80"/>
      <c r="Y12" s="547"/>
      <c r="Z12" s="547"/>
      <c r="AA12" s="547"/>
    </row>
    <row r="13" spans="1:28" ht="13" outlineLevel="1">
      <c r="A13" s="12">
        <v>1.05</v>
      </c>
      <c r="B13" s="576" t="s">
        <v>28</v>
      </c>
      <c r="C13" s="693" t="s">
        <v>1756</v>
      </c>
      <c r="D13" s="7" t="s">
        <v>54</v>
      </c>
      <c r="E13" s="480">
        <v>1</v>
      </c>
      <c r="F13" s="322">
        <f>+Tareas!H23</f>
        <v>2270625.1745922863</v>
      </c>
      <c r="G13" s="322">
        <f>+Tareas!I23</f>
        <v>300000</v>
      </c>
      <c r="H13" s="258">
        <f t="shared" si="10"/>
        <v>2570625.1745922863</v>
      </c>
      <c r="I13" s="263">
        <f>+Tareas!Q23</f>
        <v>1000000</v>
      </c>
      <c r="J13" s="263">
        <f>+Tareas!R23</f>
        <v>5023936.3544306941</v>
      </c>
      <c r="K13" s="258">
        <f t="shared" si="0"/>
        <v>6023936.3544306941</v>
      </c>
      <c r="L13" s="263">
        <f>+(H13+K13)*0.015</f>
        <v>128918.4229353447</v>
      </c>
      <c r="M13" s="258">
        <f t="shared" si="1"/>
        <v>8723479.9519583248</v>
      </c>
      <c r="N13" s="320">
        <f t="shared" si="2"/>
        <v>2270625.1745922863</v>
      </c>
      <c r="O13" s="320">
        <f t="shared" si="3"/>
        <v>300000</v>
      </c>
      <c r="P13" s="320">
        <f t="shared" si="4"/>
        <v>1000000</v>
      </c>
      <c r="Q13" s="320">
        <f t="shared" si="5"/>
        <v>5023936.3544306941</v>
      </c>
      <c r="R13" s="320">
        <f t="shared" si="6"/>
        <v>128918.4229353447</v>
      </c>
      <c r="S13" s="321">
        <f t="shared" si="7"/>
        <v>8723479.9519583248</v>
      </c>
      <c r="T13" s="337"/>
      <c r="U13" s="934">
        <f t="shared" si="8"/>
        <v>11833120</v>
      </c>
      <c r="V13" s="934">
        <f t="shared" si="9"/>
        <v>11833120</v>
      </c>
      <c r="X13" s="80"/>
      <c r="Y13" s="118"/>
      <c r="Z13" s="118"/>
      <c r="AA13" s="1227"/>
      <c r="AB13" s="356"/>
    </row>
    <row r="14" spans="1:28" ht="13" outlineLevel="1">
      <c r="A14" s="12">
        <v>1.06</v>
      </c>
      <c r="B14" s="576" t="s">
        <v>28</v>
      </c>
      <c r="C14" s="693" t="s">
        <v>60</v>
      </c>
      <c r="D14" s="7" t="s">
        <v>61</v>
      </c>
      <c r="E14" s="480">
        <v>4</v>
      </c>
      <c r="F14" s="322">
        <f>+Tareas!H47</f>
        <v>0</v>
      </c>
      <c r="G14" s="322">
        <f>+Tareas!I47</f>
        <v>0</v>
      </c>
      <c r="H14" s="258">
        <f t="shared" si="10"/>
        <v>0</v>
      </c>
      <c r="I14" s="263">
        <f>+Tareas!Q47</f>
        <v>260000</v>
      </c>
      <c r="J14" s="263">
        <f>+Tareas!R47</f>
        <v>0</v>
      </c>
      <c r="K14" s="258">
        <f t="shared" si="0"/>
        <v>260000</v>
      </c>
      <c r="L14" s="115"/>
      <c r="M14" s="258">
        <f t="shared" si="1"/>
        <v>260000</v>
      </c>
      <c r="N14" s="320">
        <f t="shared" si="2"/>
        <v>0</v>
      </c>
      <c r="O14" s="320">
        <f t="shared" si="3"/>
        <v>0</v>
      </c>
      <c r="P14" s="320">
        <f t="shared" si="4"/>
        <v>1040000</v>
      </c>
      <c r="Q14" s="320">
        <f t="shared" si="5"/>
        <v>0</v>
      </c>
      <c r="R14" s="320">
        <f t="shared" si="6"/>
        <v>0</v>
      </c>
      <c r="S14" s="321">
        <f t="shared" si="7"/>
        <v>1040000</v>
      </c>
      <c r="T14" s="337"/>
      <c r="U14" s="934">
        <f t="shared" si="8"/>
        <v>352682</v>
      </c>
      <c r="V14" s="934">
        <f t="shared" si="9"/>
        <v>1410728</v>
      </c>
      <c r="X14" s="80"/>
      <c r="Y14" s="118"/>
    </row>
    <row r="15" spans="1:28" ht="13" outlineLevel="1">
      <c r="A15" s="12">
        <v>1.07</v>
      </c>
      <c r="B15" s="123" t="s">
        <v>28</v>
      </c>
      <c r="C15" s="693" t="s">
        <v>62</v>
      </c>
      <c r="D15" s="7" t="s">
        <v>54</v>
      </c>
      <c r="E15" s="480">
        <v>1</v>
      </c>
      <c r="F15" s="322">
        <f>+Tareas!H52</f>
        <v>1290000</v>
      </c>
      <c r="G15" s="322">
        <f>+Tareas!I52</f>
        <v>100000</v>
      </c>
      <c r="H15" s="258">
        <f t="shared" si="10"/>
        <v>1390000</v>
      </c>
      <c r="I15" s="263">
        <f>+Tareas!Q52</f>
        <v>0</v>
      </c>
      <c r="J15" s="263">
        <f>+Tareas!R52</f>
        <v>661285.32432587864</v>
      </c>
      <c r="K15" s="258">
        <f t="shared" si="0"/>
        <v>661285.32432587864</v>
      </c>
      <c r="L15" s="263">
        <f>+(H15+K15)*0.015</f>
        <v>30769.27986488818</v>
      </c>
      <c r="M15" s="258">
        <f t="shared" si="1"/>
        <v>2082054.6041907668</v>
      </c>
      <c r="N15" s="320">
        <f t="shared" si="2"/>
        <v>1290000</v>
      </c>
      <c r="O15" s="320">
        <f t="shared" si="3"/>
        <v>100000</v>
      </c>
      <c r="P15" s="320">
        <f t="shared" si="4"/>
        <v>0</v>
      </c>
      <c r="Q15" s="320">
        <f t="shared" si="5"/>
        <v>661285.32432587864</v>
      </c>
      <c r="R15" s="320">
        <f t="shared" si="6"/>
        <v>30769.27986488818</v>
      </c>
      <c r="S15" s="321">
        <f t="shared" si="7"/>
        <v>2082054.6041907668</v>
      </c>
      <c r="T15" s="337"/>
      <c r="U15" s="934">
        <f t="shared" si="8"/>
        <v>2824240</v>
      </c>
      <c r="V15" s="934">
        <f t="shared" si="9"/>
        <v>2824240</v>
      </c>
      <c r="X15" s="80"/>
    </row>
    <row r="16" spans="1:28" ht="13" outlineLevel="1">
      <c r="A16" s="12">
        <v>1.08</v>
      </c>
      <c r="B16" s="123" t="s">
        <v>28</v>
      </c>
      <c r="C16" s="693" t="s">
        <v>63</v>
      </c>
      <c r="D16" s="7" t="s">
        <v>54</v>
      </c>
      <c r="E16" s="480">
        <v>1</v>
      </c>
      <c r="F16" s="322">
        <f>+Tareas!H59</f>
        <v>936000</v>
      </c>
      <c r="G16" s="322">
        <f>+Tareas!I59</f>
        <v>0</v>
      </c>
      <c r="H16" s="258">
        <f t="shared" si="10"/>
        <v>936000</v>
      </c>
      <c r="I16" s="263">
        <f>+Tareas!Q59</f>
        <v>0</v>
      </c>
      <c r="J16" s="263">
        <f>+Tareas!R59</f>
        <v>536368.95177931583</v>
      </c>
      <c r="K16" s="258">
        <f t="shared" si="0"/>
        <v>536368.95177931583</v>
      </c>
      <c r="L16" s="263">
        <f>+(H16+K16)*0.015</f>
        <v>22085.534276689734</v>
      </c>
      <c r="M16" s="258">
        <f t="shared" si="1"/>
        <v>1494454.4860560053</v>
      </c>
      <c r="N16" s="320">
        <f t="shared" si="2"/>
        <v>936000</v>
      </c>
      <c r="O16" s="320">
        <f t="shared" si="3"/>
        <v>0</v>
      </c>
      <c r="P16" s="320">
        <f t="shared" si="4"/>
        <v>0</v>
      </c>
      <c r="Q16" s="320">
        <f t="shared" si="5"/>
        <v>536368.95177931583</v>
      </c>
      <c r="R16" s="320">
        <f t="shared" si="6"/>
        <v>22085.534276689734</v>
      </c>
      <c r="S16" s="321">
        <f t="shared" si="7"/>
        <v>1494454.4860560053</v>
      </c>
      <c r="T16" s="337"/>
      <c r="U16" s="934">
        <f t="shared" si="8"/>
        <v>2027180</v>
      </c>
      <c r="V16" s="934">
        <f t="shared" si="9"/>
        <v>2027180</v>
      </c>
      <c r="X16" s="80"/>
    </row>
    <row r="17" spans="1:29" ht="26" outlineLevel="1">
      <c r="A17" s="12">
        <v>1.0900000000000001</v>
      </c>
      <c r="B17" s="123" t="s">
        <v>28</v>
      </c>
      <c r="C17" s="693" t="s">
        <v>64</v>
      </c>
      <c r="D17" s="7" t="s">
        <v>54</v>
      </c>
      <c r="E17" s="480">
        <v>1</v>
      </c>
      <c r="F17" s="322">
        <f>+Tareas!H69</f>
        <v>0</v>
      </c>
      <c r="G17" s="322">
        <f>+Tareas!I69</f>
        <v>0</v>
      </c>
      <c r="H17" s="258">
        <f t="shared" si="10"/>
        <v>0</v>
      </c>
      <c r="I17" s="263">
        <f>+Tareas!Q69</f>
        <v>482995.30539154005</v>
      </c>
      <c r="J17" s="263">
        <f>+Tareas!R69</f>
        <v>0</v>
      </c>
      <c r="K17" s="258">
        <f t="shared" si="0"/>
        <v>482995.30539154005</v>
      </c>
      <c r="L17" s="263"/>
      <c r="M17" s="258">
        <f t="shared" si="1"/>
        <v>482995.30539154005</v>
      </c>
      <c r="N17" s="320">
        <f t="shared" si="2"/>
        <v>0</v>
      </c>
      <c r="O17" s="320">
        <f t="shared" si="3"/>
        <v>0</v>
      </c>
      <c r="P17" s="320">
        <f t="shared" si="4"/>
        <v>482995.30539154005</v>
      </c>
      <c r="Q17" s="320">
        <f t="shared" si="5"/>
        <v>0</v>
      </c>
      <c r="R17" s="320">
        <f t="shared" si="6"/>
        <v>0</v>
      </c>
      <c r="S17" s="321">
        <f t="shared" si="7"/>
        <v>482995.30539154005</v>
      </c>
      <c r="T17" s="337"/>
      <c r="U17" s="934">
        <f t="shared" si="8"/>
        <v>655168</v>
      </c>
      <c r="V17" s="934">
        <f t="shared" si="9"/>
        <v>655168</v>
      </c>
      <c r="X17" s="80"/>
    </row>
    <row r="18" spans="1:29" ht="26">
      <c r="A18" s="535">
        <v>2</v>
      </c>
      <c r="B18" s="575"/>
      <c r="C18" s="691" t="s">
        <v>65</v>
      </c>
      <c r="D18" s="227"/>
      <c r="E18" s="228"/>
      <c r="F18" s="228"/>
      <c r="G18" s="228"/>
      <c r="H18" s="228"/>
      <c r="I18" s="228"/>
      <c r="J18" s="228"/>
      <c r="K18" s="228"/>
      <c r="L18" s="228"/>
      <c r="M18" s="256"/>
      <c r="N18" s="228"/>
      <c r="O18" s="228"/>
      <c r="P18" s="228"/>
      <c r="Q18" s="228"/>
      <c r="R18" s="228"/>
      <c r="S18" s="228"/>
      <c r="T18" s="335">
        <f>SUM(S19:S22)</f>
        <v>12400627.836359235</v>
      </c>
      <c r="U18" s="228"/>
      <c r="V18" s="228"/>
      <c r="W18" s="932">
        <f>SUM(V19:V22)</f>
        <v>16821282</v>
      </c>
      <c r="X18" s="80">
        <f>+W18/$W$213</f>
        <v>1.0918525034929624E-2</v>
      </c>
      <c r="Z18" s="25"/>
      <c r="AA18" s="25"/>
      <c r="AB18" s="25"/>
      <c r="AC18" s="25"/>
    </row>
    <row r="19" spans="1:29" ht="39" outlineLevel="1">
      <c r="A19" s="12">
        <v>2.0099999999999998</v>
      </c>
      <c r="B19" s="576" t="s">
        <v>28</v>
      </c>
      <c r="C19" s="1234" t="s">
        <v>1988</v>
      </c>
      <c r="D19" s="546" t="s">
        <v>4</v>
      </c>
      <c r="E19" s="523">
        <f>+Exc.!G53</f>
        <v>219</v>
      </c>
      <c r="F19" s="263">
        <f>+Tareas!H74</f>
        <v>0</v>
      </c>
      <c r="G19" s="263">
        <f>+Tareas!I74</f>
        <v>0</v>
      </c>
      <c r="H19" s="258">
        <f>F19+G19</f>
        <v>0</v>
      </c>
      <c r="I19" s="263">
        <f>+Tareas!Q74</f>
        <v>25907.444444444449</v>
      </c>
      <c r="J19" s="263">
        <f>+Tareas!R74</f>
        <v>3070.34241371085</v>
      </c>
      <c r="K19" s="258">
        <f>I19+J19</f>
        <v>28977.786858155298</v>
      </c>
      <c r="L19" s="263"/>
      <c r="M19" s="258">
        <f>H19+K19+L19</f>
        <v>28977.786858155298</v>
      </c>
      <c r="N19" s="320">
        <f>F19*E19</f>
        <v>0</v>
      </c>
      <c r="O19" s="320">
        <f>G19*E19</f>
        <v>0</v>
      </c>
      <c r="P19" s="320">
        <f>I19*E19</f>
        <v>5673730.333333334</v>
      </c>
      <c r="Q19" s="320">
        <f>J19*E19</f>
        <v>672404.9886026762</v>
      </c>
      <c r="R19" s="320">
        <f>+L19*E19</f>
        <v>0</v>
      </c>
      <c r="S19" s="321">
        <f>SUM(N19:R19)</f>
        <v>6346135.3219360104</v>
      </c>
      <c r="T19" s="337"/>
      <c r="U19" s="934">
        <f>+ROUNDUP(M19*$T$5,0)</f>
        <v>39308</v>
      </c>
      <c r="V19" s="934">
        <f>+U19*E19</f>
        <v>8608452</v>
      </c>
      <c r="X19" s="80"/>
    </row>
    <row r="20" spans="1:29" ht="13" outlineLevel="1">
      <c r="A20" s="12">
        <v>2.02</v>
      </c>
      <c r="B20" s="576" t="s">
        <v>28</v>
      </c>
      <c r="C20" s="695" t="s">
        <v>1989</v>
      </c>
      <c r="D20" s="546" t="s">
        <v>66</v>
      </c>
      <c r="E20" s="523">
        <f>+Exc.!I6</f>
        <v>100</v>
      </c>
      <c r="F20" s="263">
        <f>+Tareas!H77</f>
        <v>0</v>
      </c>
      <c r="G20" s="263">
        <f>+Tareas!I77</f>
        <v>0</v>
      </c>
      <c r="H20" s="258">
        <f>F20+G20</f>
        <v>0</v>
      </c>
      <c r="I20" s="1270">
        <f>+Tareas!Q77</f>
        <v>24440</v>
      </c>
      <c r="J20" s="1270">
        <f>+Tareas!R77</f>
        <v>6724.0498860267617</v>
      </c>
      <c r="K20" s="258">
        <f>I20+J20</f>
        <v>31164.049886026762</v>
      </c>
      <c r="L20" s="263">
        <f>+(H20+K20)*0.015</f>
        <v>467.4607482904014</v>
      </c>
      <c r="M20" s="258">
        <f>H20+K20+L20</f>
        <v>31631.510634317165</v>
      </c>
      <c r="N20" s="320">
        <f>F20*E20</f>
        <v>0</v>
      </c>
      <c r="O20" s="320">
        <f>G20*E20</f>
        <v>0</v>
      </c>
      <c r="P20" s="320">
        <f>I20*E20</f>
        <v>2444000</v>
      </c>
      <c r="Q20" s="320">
        <f>J20*E20</f>
        <v>672404.9886026762</v>
      </c>
      <c r="R20" s="320">
        <f>+L20*E20</f>
        <v>46746.074829040139</v>
      </c>
      <c r="S20" s="321">
        <f>SUM(N20:R20)</f>
        <v>3163151.0634317165</v>
      </c>
      <c r="T20" s="337"/>
      <c r="U20" s="934">
        <f>+ROUNDUP(M20*$T$5,0)</f>
        <v>42908</v>
      </c>
      <c r="V20" s="934">
        <f>+U20*E20</f>
        <v>4290800</v>
      </c>
      <c r="X20" s="80"/>
    </row>
    <row r="21" spans="1:29" ht="13" outlineLevel="1">
      <c r="A21" s="12">
        <v>2.0299999999999998</v>
      </c>
      <c r="B21" s="576" t="s">
        <v>28</v>
      </c>
      <c r="C21" s="695" t="s">
        <v>1990</v>
      </c>
      <c r="D21" s="546" t="s">
        <v>66</v>
      </c>
      <c r="E21" s="523">
        <f>+Exc.!I8</f>
        <v>43</v>
      </c>
      <c r="F21" s="263"/>
      <c r="G21" s="263"/>
      <c r="H21" s="258">
        <f>F21+G21</f>
        <v>0</v>
      </c>
      <c r="I21" s="263"/>
      <c r="J21" s="365">
        <f>+'P.MO 06.25'!B7</f>
        <v>67240.498860267617</v>
      </c>
      <c r="K21" s="258">
        <f>I21+J21</f>
        <v>67240.498860267617</v>
      </c>
      <c r="L21" s="263"/>
      <c r="M21" s="258">
        <f>H21+K21+L21</f>
        <v>67240.498860267617</v>
      </c>
      <c r="N21" s="320">
        <f>F21*E21</f>
        <v>0</v>
      </c>
      <c r="O21" s="320">
        <f>G21*E21</f>
        <v>0</v>
      </c>
      <c r="P21" s="320">
        <f>I21*E21</f>
        <v>0</v>
      </c>
      <c r="Q21" s="320">
        <f>J21*E21</f>
        <v>2891341.4509915076</v>
      </c>
      <c r="R21" s="320">
        <f>+L21*E21</f>
        <v>0</v>
      </c>
      <c r="S21" s="321">
        <f>SUM(N21:R21)</f>
        <v>2891341.4509915076</v>
      </c>
      <c r="T21" s="337"/>
      <c r="U21" s="934">
        <f>+ROUNDUP(M21*$T$5,0)</f>
        <v>91210</v>
      </c>
      <c r="V21" s="934">
        <f>+U21*E21</f>
        <v>3922030</v>
      </c>
      <c r="X21" s="80"/>
    </row>
    <row r="22" spans="1:29" ht="26" outlineLevel="1">
      <c r="A22" s="12">
        <v>2.04</v>
      </c>
      <c r="B22" s="123" t="s">
        <v>28</v>
      </c>
      <c r="C22" s="696" t="s">
        <v>67</v>
      </c>
      <c r="D22" s="7" t="s">
        <v>54</v>
      </c>
      <c r="E22" s="123">
        <v>0</v>
      </c>
      <c r="F22" s="115"/>
      <c r="G22" s="115"/>
      <c r="H22" s="258">
        <f>F22+G22</f>
        <v>0</v>
      </c>
      <c r="I22" s="115"/>
      <c r="J22" s="115"/>
      <c r="K22" s="258">
        <f>I22+J22</f>
        <v>0</v>
      </c>
      <c r="L22" s="259"/>
      <c r="M22" s="258">
        <f>H22+K22+L22</f>
        <v>0</v>
      </c>
      <c r="N22" s="320">
        <f>F22*E22</f>
        <v>0</v>
      </c>
      <c r="O22" s="320">
        <f>G22*E22</f>
        <v>0</v>
      </c>
      <c r="P22" s="320">
        <f>I22*E22</f>
        <v>0</v>
      </c>
      <c r="Q22" s="320">
        <f>J22*E22</f>
        <v>0</v>
      </c>
      <c r="R22" s="320">
        <f>+L22*E22</f>
        <v>0</v>
      </c>
      <c r="S22" s="321">
        <f>SUM(N22:R22)</f>
        <v>0</v>
      </c>
      <c r="T22" s="337"/>
      <c r="U22" s="934">
        <f>+ROUNDUP(M22*$T$5,0)</f>
        <v>0</v>
      </c>
      <c r="V22" s="934">
        <f>+U22*E22</f>
        <v>0</v>
      </c>
      <c r="X22" s="80"/>
    </row>
    <row r="23" spans="1:29" ht="13">
      <c r="A23" s="535">
        <v>3</v>
      </c>
      <c r="B23" s="575"/>
      <c r="C23" s="691" t="s">
        <v>68</v>
      </c>
      <c r="D23" s="227"/>
      <c r="E23" s="228"/>
      <c r="F23" s="228"/>
      <c r="G23" s="228"/>
      <c r="H23" s="228"/>
      <c r="I23" s="228"/>
      <c r="J23" s="228"/>
      <c r="K23" s="228"/>
      <c r="L23" s="228"/>
      <c r="M23" s="256"/>
      <c r="N23" s="798"/>
      <c r="O23" s="228"/>
      <c r="P23" s="228"/>
      <c r="Q23" s="228"/>
      <c r="R23" s="228"/>
      <c r="S23" s="228"/>
      <c r="T23" s="335">
        <f>SUM(S24:S45)</f>
        <v>333685768.71459728</v>
      </c>
      <c r="U23" s="228"/>
      <c r="V23" s="228"/>
      <c r="W23" s="932">
        <f>SUM(V24:V45)</f>
        <v>452634152</v>
      </c>
      <c r="X23" s="80">
        <f>+W23/$W$213</f>
        <v>0.29380027754579824</v>
      </c>
      <c r="Y23" s="1650" t="s">
        <v>1918</v>
      </c>
      <c r="Z23" s="16">
        <f>+SUM(P24:R41,Q19:R21)-P25</f>
        <v>133718465.13627595</v>
      </c>
      <c r="AA23" s="454"/>
      <c r="AB23" s="547"/>
    </row>
    <row r="24" spans="1:29" ht="13" outlineLevel="1">
      <c r="A24" s="193">
        <v>3.01</v>
      </c>
      <c r="B24" s="1258" t="s">
        <v>28</v>
      </c>
      <c r="C24" s="697" t="s">
        <v>69</v>
      </c>
      <c r="D24" s="189" t="s">
        <v>66</v>
      </c>
      <c r="E24" s="190">
        <v>3</v>
      </c>
      <c r="F24" s="270">
        <f>+Tareas!H83</f>
        <v>120430</v>
      </c>
      <c r="G24" s="270">
        <f>+Tareas!I83</f>
        <v>0</v>
      </c>
      <c r="H24" s="257">
        <f t="shared" ref="H24:H45" si="11">F24+G24</f>
        <v>120430</v>
      </c>
      <c r="I24" s="270">
        <f>+Tareas!Q83</f>
        <v>0</v>
      </c>
      <c r="J24" s="270">
        <f>+Tareas!R83</f>
        <v>155041.21996115817</v>
      </c>
      <c r="K24" s="257">
        <f t="shared" ref="K24:K45" si="12">I24+J24</f>
        <v>155041.21996115817</v>
      </c>
      <c r="L24" s="270">
        <f t="shared" ref="L24:L41" si="13">+(H24+K24)*0.015</f>
        <v>4132.0682994173721</v>
      </c>
      <c r="M24" s="257">
        <f t="shared" ref="M24" si="14">H24+K24+L24</f>
        <v>279603.28826057556</v>
      </c>
      <c r="N24" s="318">
        <f t="shared" ref="N24" si="15">F24*E24</f>
        <v>361290</v>
      </c>
      <c r="O24" s="318">
        <f t="shared" ref="O24" si="16">G24*E24</f>
        <v>0</v>
      </c>
      <c r="P24" s="318">
        <f t="shared" ref="P24" si="17">I24*E24</f>
        <v>0</v>
      </c>
      <c r="Q24" s="318">
        <f t="shared" ref="Q24" si="18">J24*E24</f>
        <v>465123.65988347452</v>
      </c>
      <c r="R24" s="318">
        <f t="shared" ref="R24" si="19">+L24*E24</f>
        <v>12396.204898252116</v>
      </c>
      <c r="S24" s="319">
        <f t="shared" ref="S24:S45" si="20">SUM(N24:R24)</f>
        <v>838809.86478172662</v>
      </c>
      <c r="T24" s="337"/>
      <c r="U24" s="934">
        <f t="shared" ref="U24:U32" si="21">+ROUNDUP(M24*$T$5,0)</f>
        <v>379273</v>
      </c>
      <c r="V24" s="934">
        <f t="shared" ref="V24:V45" si="22">+U24*E24</f>
        <v>1137819</v>
      </c>
      <c r="X24" s="80"/>
      <c r="Y24" s="1651" t="s">
        <v>1436</v>
      </c>
      <c r="Z24" s="16">
        <f>+Z23/AA24</f>
        <v>83574040.710172459</v>
      </c>
      <c r="AA24" s="454">
        <v>1.6</v>
      </c>
      <c r="AB24" s="547"/>
      <c r="AC24" s="356"/>
    </row>
    <row r="25" spans="1:29" ht="13" outlineLevel="1">
      <c r="A25" s="12">
        <v>3.02</v>
      </c>
      <c r="B25" s="576" t="s">
        <v>28</v>
      </c>
      <c r="C25" s="698" t="s">
        <v>1991</v>
      </c>
      <c r="D25" s="114" t="s">
        <v>54</v>
      </c>
      <c r="E25" s="115">
        <v>1</v>
      </c>
      <c r="F25" s="263">
        <f>+Tareas!H88</f>
        <v>11090041.199999999</v>
      </c>
      <c r="G25" s="263">
        <f>+Tareas!I88</f>
        <v>0</v>
      </c>
      <c r="H25" s="258">
        <f t="shared" si="11"/>
        <v>11090041.199999999</v>
      </c>
      <c r="I25" s="263">
        <f>+Tareas!Q88</f>
        <v>34350000</v>
      </c>
      <c r="J25" s="263">
        <f>+Tareas!R88</f>
        <v>2460301.4945337288</v>
      </c>
      <c r="K25" s="258">
        <f t="shared" si="12"/>
        <v>36810301.494533733</v>
      </c>
      <c r="L25" s="263">
        <f t="shared" si="13"/>
        <v>718505.14041800599</v>
      </c>
      <c r="M25" s="258">
        <f t="shared" ref="M25" si="23">H25+K25+L25</f>
        <v>48618847.834951743</v>
      </c>
      <c r="N25" s="320">
        <f t="shared" ref="N25" si="24">F25*E25</f>
        <v>11090041.199999999</v>
      </c>
      <c r="O25" s="320">
        <f t="shared" ref="O25" si="25">G25*E25</f>
        <v>0</v>
      </c>
      <c r="P25" s="320">
        <f t="shared" ref="P25" si="26">I25*E25</f>
        <v>34350000</v>
      </c>
      <c r="Q25" s="320">
        <f t="shared" ref="Q25" si="27">J25*E25</f>
        <v>2460301.4945337288</v>
      </c>
      <c r="R25" s="320">
        <f t="shared" ref="R25" si="28">+L25*E25</f>
        <v>718505.14041800599</v>
      </c>
      <c r="S25" s="321">
        <f t="shared" ref="S25" si="29">SUM(N25:R25)</f>
        <v>48618847.834951743</v>
      </c>
      <c r="T25" s="337"/>
      <c r="U25" s="934">
        <f t="shared" ref="U25" si="30">+ROUNDUP(M25*$T$5,0)</f>
        <v>65949899</v>
      </c>
      <c r="V25" s="934">
        <f t="shared" ref="V25" si="31">+U25*E25</f>
        <v>65949899</v>
      </c>
      <c r="X25" s="80"/>
      <c r="Y25" s="981" t="s">
        <v>1953</v>
      </c>
      <c r="Z25" s="118">
        <f>+Z24/Z26</f>
        <v>8.145119836938095</v>
      </c>
      <c r="AB25" s="547"/>
      <c r="AC25" s="356"/>
    </row>
    <row r="26" spans="1:29" ht="13" outlineLevel="1">
      <c r="A26" s="12">
        <v>3.03</v>
      </c>
      <c r="B26" s="576" t="s">
        <v>28</v>
      </c>
      <c r="C26" s="698" t="s">
        <v>1992</v>
      </c>
      <c r="D26" s="114" t="s">
        <v>66</v>
      </c>
      <c r="E26" s="115">
        <f>+'H°A° '!O4</f>
        <v>7</v>
      </c>
      <c r="F26" s="365">
        <f>+'H°A° '!F47</f>
        <v>357146.16970278043</v>
      </c>
      <c r="G26" s="484"/>
      <c r="H26" s="258">
        <f>F26+G26</f>
        <v>357146.16970278043</v>
      </c>
      <c r="I26" s="515">
        <f>+'MO HA AING'!C5</f>
        <v>222927.9598701543</v>
      </c>
      <c r="J26" s="365"/>
      <c r="K26" s="258">
        <f>I26+J26</f>
        <v>222927.9598701543</v>
      </c>
      <c r="L26" s="263">
        <f t="shared" si="13"/>
        <v>8701.11194359402</v>
      </c>
      <c r="M26" s="258">
        <f>H26+K26+L26</f>
        <v>588775.24151652877</v>
      </c>
      <c r="N26" s="320">
        <f>F26*E26</f>
        <v>2500023.187919463</v>
      </c>
      <c r="O26" s="320">
        <f>G26*E26</f>
        <v>0</v>
      </c>
      <c r="P26" s="320">
        <f>I26*E26</f>
        <v>1560495.7190910801</v>
      </c>
      <c r="Q26" s="320">
        <f>J26*E26</f>
        <v>0</v>
      </c>
      <c r="R26" s="320">
        <f>+L26*E26</f>
        <v>60907.78360515814</v>
      </c>
      <c r="S26" s="321">
        <f>SUM(N26:R26)</f>
        <v>4121426.6906157015</v>
      </c>
      <c r="T26" s="337"/>
      <c r="U26" s="934">
        <f>+ROUNDUP(M26*$T$5,0)</f>
        <v>798655</v>
      </c>
      <c r="V26" s="934">
        <f>+U26*E26</f>
        <v>5590585</v>
      </c>
      <c r="X26" s="80"/>
      <c r="Y26" s="1231" t="s">
        <v>1976</v>
      </c>
      <c r="Z26" s="16">
        <f>9*'P.MO 06.25'!F5*22</f>
        <v>10260627.514792899</v>
      </c>
    </row>
    <row r="27" spans="1:29" ht="26" outlineLevel="1">
      <c r="A27" s="12">
        <v>3.04</v>
      </c>
      <c r="B27" s="576" t="s">
        <v>28</v>
      </c>
      <c r="C27" s="698" t="s">
        <v>2022</v>
      </c>
      <c r="D27" s="114" t="s">
        <v>66</v>
      </c>
      <c r="E27" s="115">
        <f>+'H°A° '!O5</f>
        <v>4</v>
      </c>
      <c r="F27" s="365">
        <f>+'H°A° '!F48</f>
        <v>537813.28786424536</v>
      </c>
      <c r="G27" s="484"/>
      <c r="H27" s="258">
        <f>F27+G27</f>
        <v>537813.28786424536</v>
      </c>
      <c r="I27" s="515">
        <f>+'MO HA AING'!C6</f>
        <v>323083.99981181783</v>
      </c>
      <c r="J27" s="365"/>
      <c r="K27" s="258">
        <f>I27+J27</f>
        <v>323083.99981181783</v>
      </c>
      <c r="L27" s="263">
        <f t="shared" si="13"/>
        <v>12913.459315140946</v>
      </c>
      <c r="M27" s="258">
        <f>H27+K27+L27</f>
        <v>873810.7469912041</v>
      </c>
      <c r="N27" s="320">
        <f>F27*E27</f>
        <v>2151253.1514569814</v>
      </c>
      <c r="O27" s="320">
        <f>G27*E27</f>
        <v>0</v>
      </c>
      <c r="P27" s="320">
        <f>I27*E27</f>
        <v>1292335.9992472713</v>
      </c>
      <c r="Q27" s="320">
        <f>J27*E27</f>
        <v>0</v>
      </c>
      <c r="R27" s="320">
        <f>+L27*E27</f>
        <v>51653.837260563785</v>
      </c>
      <c r="S27" s="321">
        <f>SUM(N27:R27)</f>
        <v>3495242.9879648164</v>
      </c>
      <c r="T27" s="337"/>
      <c r="U27" s="934">
        <f>+ROUNDUP(M27*$T$5,0)</f>
        <v>1185297</v>
      </c>
      <c r="V27" s="934">
        <f>+U27*E27</f>
        <v>4741188</v>
      </c>
      <c r="X27" s="80"/>
      <c r="Y27" s="547"/>
      <c r="Z27" s="16"/>
    </row>
    <row r="28" spans="1:29" ht="13" outlineLevel="1">
      <c r="A28" s="12">
        <v>3.05</v>
      </c>
      <c r="B28" s="576" t="s">
        <v>28</v>
      </c>
      <c r="C28" s="698" t="s">
        <v>2021</v>
      </c>
      <c r="D28" s="114" t="s">
        <v>66</v>
      </c>
      <c r="E28" s="115">
        <f>+'H°A° '!O6</f>
        <v>2</v>
      </c>
      <c r="F28" s="365">
        <f>+'H°A° '!F49</f>
        <v>357146.16970278043</v>
      </c>
      <c r="G28" s="484"/>
      <c r="H28" s="258">
        <f t="shared" ref="H28:H33" si="32">F28+G28</f>
        <v>357146.16970278043</v>
      </c>
      <c r="I28" s="515">
        <f>+'MO HA AING'!C5</f>
        <v>222927.9598701543</v>
      </c>
      <c r="J28" s="365"/>
      <c r="K28" s="258">
        <f t="shared" ref="K28:K33" si="33">I28+J28</f>
        <v>222927.9598701543</v>
      </c>
      <c r="L28" s="263">
        <f t="shared" si="13"/>
        <v>8701.11194359402</v>
      </c>
      <c r="M28" s="258">
        <f t="shared" ref="M28:M34" si="34">H28+K28+L28</f>
        <v>588775.24151652877</v>
      </c>
      <c r="N28" s="320">
        <f t="shared" ref="N28:N34" si="35">F28*E28</f>
        <v>714292.33940556087</v>
      </c>
      <c r="O28" s="320">
        <f t="shared" ref="O28:O34" si="36">G28*E28</f>
        <v>0</v>
      </c>
      <c r="P28" s="320">
        <f t="shared" ref="P28:P34" si="37">I28*E28</f>
        <v>445855.9197403086</v>
      </c>
      <c r="Q28" s="320">
        <f t="shared" ref="Q28:Q34" si="38">J28*E28</f>
        <v>0</v>
      </c>
      <c r="R28" s="320">
        <f t="shared" ref="R28:R34" si="39">+L28*E28</f>
        <v>17402.22388718804</v>
      </c>
      <c r="S28" s="321">
        <f t="shared" ref="S28:S34" si="40">SUM(N28:R28)</f>
        <v>1177550.4830330575</v>
      </c>
      <c r="T28" s="337"/>
      <c r="U28" s="934">
        <f t="shared" ref="U28:U30" si="41">+ROUNDUP(M28*$T$5,0)</f>
        <v>798655</v>
      </c>
      <c r="V28" s="934">
        <f t="shared" ref="V28:V30" si="42">+U28*E28</f>
        <v>1597310</v>
      </c>
      <c r="X28" s="80"/>
    </row>
    <row r="29" spans="1:29" ht="12.75" customHeight="1" outlineLevel="1">
      <c r="A29" s="12">
        <v>3.06</v>
      </c>
      <c r="B29" s="576" t="s">
        <v>28</v>
      </c>
      <c r="C29" s="715" t="s">
        <v>1993</v>
      </c>
      <c r="D29" s="443" t="s">
        <v>66</v>
      </c>
      <c r="E29" s="115">
        <f>+'H°A° '!O7</f>
        <v>11</v>
      </c>
      <c r="F29" s="365">
        <f>+'H°A° '!F50</f>
        <v>392586.16970278043</v>
      </c>
      <c r="G29" s="338"/>
      <c r="H29" s="258">
        <f t="shared" si="32"/>
        <v>392586.16970278043</v>
      </c>
      <c r="I29" s="515">
        <f>+'MO HA AING'!C5</f>
        <v>222927.9598701543</v>
      </c>
      <c r="J29" s="253"/>
      <c r="K29" s="258">
        <f t="shared" si="33"/>
        <v>222927.9598701543</v>
      </c>
      <c r="L29" s="263">
        <f t="shared" si="13"/>
        <v>9232.7119435940203</v>
      </c>
      <c r="M29" s="258">
        <f t="shared" si="34"/>
        <v>624746.84151652874</v>
      </c>
      <c r="N29" s="320">
        <f t="shared" si="35"/>
        <v>4318447.8667305848</v>
      </c>
      <c r="O29" s="320">
        <f t="shared" si="36"/>
        <v>0</v>
      </c>
      <c r="P29" s="320">
        <f t="shared" si="37"/>
        <v>2452207.5585716972</v>
      </c>
      <c r="Q29" s="320">
        <f t="shared" si="38"/>
        <v>0</v>
      </c>
      <c r="R29" s="320">
        <f t="shared" si="39"/>
        <v>101559.83137953423</v>
      </c>
      <c r="S29" s="321">
        <f t="shared" si="40"/>
        <v>6872215.2566818167</v>
      </c>
      <c r="T29" s="337"/>
      <c r="U29" s="934">
        <f t="shared" si="41"/>
        <v>847449</v>
      </c>
      <c r="V29" s="934">
        <f t="shared" si="42"/>
        <v>9321939</v>
      </c>
    </row>
    <row r="30" spans="1:29" ht="13" outlineLevel="1">
      <c r="A30" s="12">
        <v>3.07</v>
      </c>
      <c r="B30" s="576" t="s">
        <v>28</v>
      </c>
      <c r="C30" s="698" t="s">
        <v>1994</v>
      </c>
      <c r="D30" s="114" t="s">
        <v>66</v>
      </c>
      <c r="E30" s="115">
        <f>+'H°A° '!O8</f>
        <v>9</v>
      </c>
      <c r="F30" s="365">
        <f>+'H°A° '!F51</f>
        <v>537813.28786424536</v>
      </c>
      <c r="G30" s="484"/>
      <c r="H30" s="258">
        <f t="shared" si="32"/>
        <v>537813.28786424536</v>
      </c>
      <c r="I30" s="515">
        <f>+'MO HA AING'!C6</f>
        <v>323083.99981181783</v>
      </c>
      <c r="J30" s="365"/>
      <c r="K30" s="258">
        <f t="shared" si="33"/>
        <v>323083.99981181783</v>
      </c>
      <c r="L30" s="263">
        <f t="shared" si="13"/>
        <v>12913.459315140946</v>
      </c>
      <c r="M30" s="258">
        <f t="shared" si="34"/>
        <v>873810.7469912041</v>
      </c>
      <c r="N30" s="320">
        <f t="shared" si="35"/>
        <v>4840319.5907782083</v>
      </c>
      <c r="O30" s="320">
        <f t="shared" si="36"/>
        <v>0</v>
      </c>
      <c r="P30" s="320">
        <f t="shared" si="37"/>
        <v>2907755.9983063606</v>
      </c>
      <c r="Q30" s="320">
        <f t="shared" si="38"/>
        <v>0</v>
      </c>
      <c r="R30" s="320">
        <f t="shared" si="39"/>
        <v>116221.13383626852</v>
      </c>
      <c r="S30" s="321">
        <f t="shared" si="40"/>
        <v>7864296.7229208378</v>
      </c>
      <c r="T30" s="337"/>
      <c r="U30" s="934">
        <f t="shared" si="41"/>
        <v>1185297</v>
      </c>
      <c r="V30" s="934">
        <f t="shared" si="42"/>
        <v>10667673</v>
      </c>
      <c r="X30" s="80"/>
      <c r="Y30" s="1168"/>
      <c r="Z30" s="16"/>
      <c r="AA30" s="454"/>
    </row>
    <row r="31" spans="1:29" ht="26" outlineLevel="1">
      <c r="A31" s="12">
        <v>3.08</v>
      </c>
      <c r="B31" s="576" t="s">
        <v>28</v>
      </c>
      <c r="C31" s="698" t="s">
        <v>2023</v>
      </c>
      <c r="D31" s="114" t="s">
        <v>66</v>
      </c>
      <c r="E31" s="115">
        <f>+'H°A° '!O9</f>
        <v>9</v>
      </c>
      <c r="F31" s="365">
        <f>+'H°A° '!F52</f>
        <v>394401.88571428572</v>
      </c>
      <c r="G31" s="263"/>
      <c r="H31" s="258">
        <f t="shared" si="32"/>
        <v>394401.88571428572</v>
      </c>
      <c r="I31" s="365">
        <f>+'MO HA AING'!D72</f>
        <v>392678.73410221271</v>
      </c>
      <c r="J31" s="263"/>
      <c r="K31" s="258">
        <f t="shared" si="33"/>
        <v>392678.73410221271</v>
      </c>
      <c r="L31" s="263">
        <f t="shared" si="13"/>
        <v>11806.209297247475</v>
      </c>
      <c r="M31" s="258">
        <f t="shared" si="34"/>
        <v>798886.82911374583</v>
      </c>
      <c r="N31" s="320">
        <f t="shared" si="35"/>
        <v>3549616.9714285713</v>
      </c>
      <c r="O31" s="320">
        <f t="shared" si="36"/>
        <v>0</v>
      </c>
      <c r="P31" s="320">
        <f t="shared" si="37"/>
        <v>3534108.6069199145</v>
      </c>
      <c r="Q31" s="320">
        <f t="shared" si="38"/>
        <v>0</v>
      </c>
      <c r="R31" s="320">
        <f t="shared" si="39"/>
        <v>106255.88367522728</v>
      </c>
      <c r="S31" s="321">
        <f t="shared" si="40"/>
        <v>7189981.4620237127</v>
      </c>
      <c r="T31" s="337"/>
      <c r="U31" s="934">
        <f>+ROUNDUP(M31*$T$5,0)</f>
        <v>1083665</v>
      </c>
      <c r="V31" s="934">
        <f>+U31*E31</f>
        <v>9752985</v>
      </c>
      <c r="X31" s="80"/>
      <c r="Y31" s="1231" t="s">
        <v>1277</v>
      </c>
      <c r="Z31" s="16">
        <f>+Z24/AA31</f>
        <v>284265.44459242333</v>
      </c>
      <c r="AA31" s="454">
        <f>+SUM(E31:E40)</f>
        <v>294</v>
      </c>
      <c r="AB31" s="547"/>
      <c r="AC31" s="356"/>
    </row>
    <row r="32" spans="1:29" ht="26" outlineLevel="1">
      <c r="A32" s="12">
        <v>3.09</v>
      </c>
      <c r="B32" s="576" t="s">
        <v>28</v>
      </c>
      <c r="C32" s="698" t="s">
        <v>2032</v>
      </c>
      <c r="D32" s="114" t="s">
        <v>66</v>
      </c>
      <c r="E32" s="115">
        <v>1</v>
      </c>
      <c r="F32" s="365">
        <f>+'H°A° '!F53</f>
        <v>542036.05081495689</v>
      </c>
      <c r="G32" s="263"/>
      <c r="H32" s="258">
        <f t="shared" si="32"/>
        <v>542036.05081495689</v>
      </c>
      <c r="I32" s="365">
        <f>+'MO HA AING'!D47</f>
        <v>362209.60749629384</v>
      </c>
      <c r="J32" s="263"/>
      <c r="K32" s="258">
        <f t="shared" si="33"/>
        <v>362209.60749629384</v>
      </c>
      <c r="L32" s="263">
        <f t="shared" si="13"/>
        <v>13563.684874668761</v>
      </c>
      <c r="M32" s="258">
        <f t="shared" si="34"/>
        <v>917809.34318591945</v>
      </c>
      <c r="N32" s="320">
        <f t="shared" si="35"/>
        <v>542036.05081495689</v>
      </c>
      <c r="O32" s="320">
        <f t="shared" si="36"/>
        <v>0</v>
      </c>
      <c r="P32" s="320">
        <f t="shared" si="37"/>
        <v>362209.60749629384</v>
      </c>
      <c r="Q32" s="320">
        <f t="shared" si="38"/>
        <v>0</v>
      </c>
      <c r="R32" s="320">
        <f t="shared" si="39"/>
        <v>13563.684874668761</v>
      </c>
      <c r="S32" s="321">
        <f t="shared" si="40"/>
        <v>917809.34318591945</v>
      </c>
      <c r="T32" s="337"/>
      <c r="U32" s="934">
        <f t="shared" si="21"/>
        <v>1244979</v>
      </c>
      <c r="V32" s="934">
        <f t="shared" si="22"/>
        <v>1244979</v>
      </c>
      <c r="X32" s="80"/>
      <c r="AC32" s="356"/>
    </row>
    <row r="33" spans="1:24" ht="13" outlineLevel="1">
      <c r="A33" s="12">
        <v>3.1</v>
      </c>
      <c r="B33" s="123" t="s">
        <v>28</v>
      </c>
      <c r="C33" s="693" t="s">
        <v>2024</v>
      </c>
      <c r="D33" s="546" t="s">
        <v>66</v>
      </c>
      <c r="E33" s="115">
        <f>+'H°A° '!O12</f>
        <v>32</v>
      </c>
      <c r="F33" s="365">
        <f>+'H°A° '!F55</f>
        <v>648356.05081495689</v>
      </c>
      <c r="G33" s="365"/>
      <c r="H33" s="258">
        <f t="shared" si="32"/>
        <v>648356.05081495689</v>
      </c>
      <c r="I33" s="365">
        <f>+'MO HA AING'!D47</f>
        <v>362209.60749629384</v>
      </c>
      <c r="J33" s="365"/>
      <c r="K33" s="258">
        <f t="shared" si="33"/>
        <v>362209.60749629384</v>
      </c>
      <c r="L33" s="263">
        <f t="shared" si="13"/>
        <v>15158.48487466876</v>
      </c>
      <c r="M33" s="258">
        <f t="shared" si="34"/>
        <v>1025724.1431859195</v>
      </c>
      <c r="N33" s="320">
        <f t="shared" si="35"/>
        <v>20747393.626078621</v>
      </c>
      <c r="O33" s="320">
        <f t="shared" si="36"/>
        <v>0</v>
      </c>
      <c r="P33" s="320">
        <f t="shared" si="37"/>
        <v>11590707.439881403</v>
      </c>
      <c r="Q33" s="320">
        <f t="shared" si="38"/>
        <v>0</v>
      </c>
      <c r="R33" s="320">
        <f t="shared" si="39"/>
        <v>485071.51598940033</v>
      </c>
      <c r="S33" s="321">
        <f t="shared" si="40"/>
        <v>32823172.581949424</v>
      </c>
      <c r="T33" s="337"/>
      <c r="U33" s="934">
        <f t="shared" ref="U33:U34" si="43">+ROUNDUP(M33*$T$5,0)</f>
        <v>1391362</v>
      </c>
      <c r="V33" s="934">
        <f t="shared" ref="V33:V34" si="44">+U33*E33</f>
        <v>44523584</v>
      </c>
      <c r="X33" s="80"/>
    </row>
    <row r="34" spans="1:24" ht="13" outlineLevel="1">
      <c r="A34" s="12">
        <v>3.11</v>
      </c>
      <c r="B34" s="123" t="s">
        <v>28</v>
      </c>
      <c r="C34" s="693" t="s">
        <v>2025</v>
      </c>
      <c r="D34" s="546" t="s">
        <v>66</v>
      </c>
      <c r="E34" s="115">
        <f>+'H°A° '!O13</f>
        <v>30</v>
      </c>
      <c r="F34" s="365">
        <f>+'H°A° '!F56</f>
        <v>447561.88571428572</v>
      </c>
      <c r="G34" s="365"/>
      <c r="H34" s="258">
        <f t="shared" si="11"/>
        <v>447561.88571428572</v>
      </c>
      <c r="I34" s="365">
        <f>+'MO HA AING'!D72</f>
        <v>392678.73410221271</v>
      </c>
      <c r="J34" s="365"/>
      <c r="K34" s="258">
        <f t="shared" ref="K34:K36" si="45">I34+J34</f>
        <v>392678.73410221271</v>
      </c>
      <c r="L34" s="263">
        <f t="shared" si="13"/>
        <v>12603.609297247474</v>
      </c>
      <c r="M34" s="258">
        <f t="shared" si="34"/>
        <v>852844.22911374585</v>
      </c>
      <c r="N34" s="320">
        <f t="shared" si="35"/>
        <v>13426856.571428571</v>
      </c>
      <c r="O34" s="320">
        <f t="shared" si="36"/>
        <v>0</v>
      </c>
      <c r="P34" s="320">
        <f t="shared" si="37"/>
        <v>11780362.023066381</v>
      </c>
      <c r="Q34" s="320">
        <f t="shared" si="38"/>
        <v>0</v>
      </c>
      <c r="R34" s="320">
        <f t="shared" si="39"/>
        <v>378108.27891742421</v>
      </c>
      <c r="S34" s="321">
        <f t="shared" si="40"/>
        <v>25585326.873412378</v>
      </c>
      <c r="T34" s="337"/>
      <c r="U34" s="934">
        <f t="shared" si="43"/>
        <v>1156856</v>
      </c>
      <c r="V34" s="934">
        <f t="shared" si="44"/>
        <v>34705680</v>
      </c>
      <c r="X34" s="80"/>
    </row>
    <row r="35" spans="1:24" ht="13" outlineLevel="1">
      <c r="A35" s="12">
        <v>3.12</v>
      </c>
      <c r="B35" s="123" t="s">
        <v>28</v>
      </c>
      <c r="C35" s="693" t="s">
        <v>2026</v>
      </c>
      <c r="D35" s="546" t="s">
        <v>66</v>
      </c>
      <c r="E35" s="115">
        <f>+'H°A° '!O14</f>
        <v>7</v>
      </c>
      <c r="F35" s="365">
        <f>+'H°A° '!F57</f>
        <v>466389.29851905268</v>
      </c>
      <c r="G35" s="365"/>
      <c r="H35" s="258">
        <f t="shared" si="11"/>
        <v>466389.29851905268</v>
      </c>
      <c r="I35" s="365">
        <f>+'MO HA AING'!D99</f>
        <v>629584.35516404966</v>
      </c>
      <c r="J35" s="515">
        <f>+I35*0.25</f>
        <v>157396.08879101241</v>
      </c>
      <c r="K35" s="258">
        <f t="shared" si="45"/>
        <v>786980.44395506207</v>
      </c>
      <c r="L35" s="263">
        <f t="shared" si="13"/>
        <v>18800.54613711172</v>
      </c>
      <c r="M35" s="258">
        <f t="shared" ref="M35:M37" si="46">H35+K35+L35</f>
        <v>1272170.2886112265</v>
      </c>
      <c r="N35" s="320">
        <f t="shared" ref="N35:N37" si="47">F35*E35</f>
        <v>3264725.0896333689</v>
      </c>
      <c r="O35" s="320">
        <f t="shared" ref="O35:O37" si="48">G35*E35</f>
        <v>0</v>
      </c>
      <c r="P35" s="320">
        <f t="shared" ref="P35:P37" si="49">I35*E35</f>
        <v>4407090.4861483481</v>
      </c>
      <c r="Q35" s="320">
        <f t="shared" ref="Q35:Q37" si="50">J35*E35</f>
        <v>1101772.621537087</v>
      </c>
      <c r="R35" s="320">
        <f t="shared" ref="R35:R37" si="51">+L35*E35</f>
        <v>131603.82295978203</v>
      </c>
      <c r="S35" s="321">
        <f t="shared" si="20"/>
        <v>8905192.0202785861</v>
      </c>
      <c r="T35" s="337"/>
      <c r="U35" s="934">
        <f t="shared" ref="U35:U37" si="52">+ROUNDUP(M35*$T$5,0)</f>
        <v>1725658</v>
      </c>
      <c r="V35" s="934">
        <f t="shared" si="22"/>
        <v>12079606</v>
      </c>
      <c r="X35" s="80"/>
    </row>
    <row r="36" spans="1:24" ht="13" outlineLevel="1">
      <c r="A36" s="12">
        <v>3.13</v>
      </c>
      <c r="B36" s="123" t="s">
        <v>28</v>
      </c>
      <c r="C36" s="693" t="s">
        <v>2247</v>
      </c>
      <c r="D36" s="546" t="s">
        <v>66</v>
      </c>
      <c r="E36" s="115">
        <f>+'H°A° '!O15</f>
        <v>12</v>
      </c>
      <c r="F36" s="365">
        <f>+'H°A° '!F58</f>
        <v>578369.50878875039</v>
      </c>
      <c r="G36" s="365"/>
      <c r="H36" s="258">
        <f t="shared" si="11"/>
        <v>578369.50878875039</v>
      </c>
      <c r="I36" s="365">
        <f>+'MO HA AING'!D99</f>
        <v>629584.35516404966</v>
      </c>
      <c r="J36" s="515">
        <f>+I36*0.25</f>
        <v>157396.08879101241</v>
      </c>
      <c r="K36" s="258">
        <f t="shared" si="45"/>
        <v>786980.44395506207</v>
      </c>
      <c r="L36" s="263">
        <f t="shared" si="13"/>
        <v>20480.249291157186</v>
      </c>
      <c r="M36" s="258">
        <f t="shared" si="46"/>
        <v>1385830.2020349696</v>
      </c>
      <c r="N36" s="320">
        <f t="shared" si="47"/>
        <v>6940434.1054650042</v>
      </c>
      <c r="O36" s="320">
        <f t="shared" si="48"/>
        <v>0</v>
      </c>
      <c r="P36" s="320">
        <f t="shared" si="49"/>
        <v>7555012.2619685959</v>
      </c>
      <c r="Q36" s="320">
        <f t="shared" si="50"/>
        <v>1888753.065492149</v>
      </c>
      <c r="R36" s="320">
        <f t="shared" si="51"/>
        <v>245762.99149388622</v>
      </c>
      <c r="S36" s="321">
        <f t="shared" si="20"/>
        <v>16629962.424419636</v>
      </c>
      <c r="T36" s="337"/>
      <c r="U36" s="934">
        <f t="shared" si="52"/>
        <v>1879834</v>
      </c>
      <c r="V36" s="934">
        <f t="shared" si="22"/>
        <v>22558008</v>
      </c>
      <c r="X36" s="80"/>
    </row>
    <row r="37" spans="1:24" ht="13" outlineLevel="1">
      <c r="A37" s="12">
        <v>3.14</v>
      </c>
      <c r="B37" s="123" t="s">
        <v>28</v>
      </c>
      <c r="C37" s="693" t="s">
        <v>2027</v>
      </c>
      <c r="D37" s="546" t="s">
        <v>66</v>
      </c>
      <c r="E37" s="115">
        <f>+'H°A° '!O16</f>
        <v>41</v>
      </c>
      <c r="F37" s="365">
        <f>+'H°A° '!F59</f>
        <v>472049.50878875039</v>
      </c>
      <c r="G37" s="365"/>
      <c r="H37" s="258">
        <f t="shared" si="11"/>
        <v>472049.50878875039</v>
      </c>
      <c r="I37" s="365">
        <f>+'MO HA AING'!D99</f>
        <v>629584.35516404966</v>
      </c>
      <c r="J37" s="365"/>
      <c r="K37" s="258">
        <f t="shared" si="12"/>
        <v>629584.35516404966</v>
      </c>
      <c r="L37" s="263">
        <f t="shared" si="13"/>
        <v>16524.507959292001</v>
      </c>
      <c r="M37" s="258">
        <f t="shared" si="46"/>
        <v>1118158.3719120922</v>
      </c>
      <c r="N37" s="320">
        <f t="shared" si="47"/>
        <v>19354029.860338766</v>
      </c>
      <c r="O37" s="320">
        <f t="shared" si="48"/>
        <v>0</v>
      </c>
      <c r="P37" s="320">
        <f t="shared" si="49"/>
        <v>25812958.561726037</v>
      </c>
      <c r="Q37" s="320">
        <f t="shared" si="50"/>
        <v>0</v>
      </c>
      <c r="R37" s="320">
        <f t="shared" si="51"/>
        <v>677504.82633097202</v>
      </c>
      <c r="S37" s="321">
        <f t="shared" si="20"/>
        <v>45844493.248395778</v>
      </c>
      <c r="T37" s="337"/>
      <c r="U37" s="934">
        <f t="shared" si="52"/>
        <v>1516746</v>
      </c>
      <c r="V37" s="934">
        <f t="shared" si="22"/>
        <v>62186586</v>
      </c>
      <c r="X37" s="80"/>
    </row>
    <row r="38" spans="1:24" ht="13" outlineLevel="1">
      <c r="A38" s="12">
        <v>3.15</v>
      </c>
      <c r="B38" s="123" t="s">
        <v>28</v>
      </c>
      <c r="C38" s="693" t="s">
        <v>2028</v>
      </c>
      <c r="D38" s="546" t="s">
        <v>66</v>
      </c>
      <c r="E38" s="115">
        <f>+'H°A° '!O17</f>
        <v>135</v>
      </c>
      <c r="F38" s="365">
        <f>+'H°A° '!F60</f>
        <v>361563.22243528283</v>
      </c>
      <c r="G38" s="365"/>
      <c r="H38" s="258">
        <f t="shared" si="11"/>
        <v>361563.22243528283</v>
      </c>
      <c r="I38" s="365">
        <f>+'MO HA AING'!D123</f>
        <v>253632.45059711847</v>
      </c>
      <c r="J38" s="365"/>
      <c r="K38" s="258">
        <f t="shared" si="12"/>
        <v>253632.45059711847</v>
      </c>
      <c r="L38" s="263">
        <f t="shared" si="13"/>
        <v>9227.9350954860201</v>
      </c>
      <c r="M38" s="258">
        <f t="shared" ref="M38:M45" si="53">H38+K38+L38</f>
        <v>624423.60812788736</v>
      </c>
      <c r="N38" s="320">
        <f t="shared" ref="N38:N45" si="54">F38*E38</f>
        <v>48811035.028763182</v>
      </c>
      <c r="O38" s="320">
        <f t="shared" ref="O38:O45" si="55">G38*E38</f>
        <v>0</v>
      </c>
      <c r="P38" s="320">
        <f t="shared" ref="P38:P45" si="56">I38*E38</f>
        <v>34240380.830610991</v>
      </c>
      <c r="Q38" s="320">
        <f t="shared" ref="Q38:Q45" si="57">J38*E38</f>
        <v>0</v>
      </c>
      <c r="R38" s="320">
        <f t="shared" ref="R38:R45" si="58">+L38*E38</f>
        <v>1245771.2378906128</v>
      </c>
      <c r="S38" s="321">
        <f t="shared" si="20"/>
        <v>84297187.097264782</v>
      </c>
      <c r="T38" s="337"/>
      <c r="U38" s="934">
        <f t="shared" ref="U38:U45" si="59">+ROUNDUP(M38*$T$5,0)</f>
        <v>847011</v>
      </c>
      <c r="V38" s="934">
        <f t="shared" si="22"/>
        <v>114346485</v>
      </c>
      <c r="X38" s="80"/>
    </row>
    <row r="39" spans="1:24" ht="13" outlineLevel="1">
      <c r="A39" s="12">
        <v>3.16</v>
      </c>
      <c r="B39" s="123" t="s">
        <v>28</v>
      </c>
      <c r="C39" s="693" t="s">
        <v>2029</v>
      </c>
      <c r="D39" s="546" t="s">
        <v>66</v>
      </c>
      <c r="E39" s="115">
        <f>+'H°A° '!O18</f>
        <v>13</v>
      </c>
      <c r="F39" s="365">
        <f>+'H°A° '!F61</f>
        <v>367994.55172222533</v>
      </c>
      <c r="G39" s="365"/>
      <c r="H39" s="258">
        <f t="shared" si="11"/>
        <v>367994.55172222533</v>
      </c>
      <c r="I39" s="365">
        <f>+'MO HA AING'!D123</f>
        <v>253632.45059711847</v>
      </c>
      <c r="J39" s="515">
        <f>+I39*0.25</f>
        <v>63408.112649279617</v>
      </c>
      <c r="K39" s="258">
        <f t="shared" si="12"/>
        <v>317040.56324639812</v>
      </c>
      <c r="L39" s="263">
        <f t="shared" si="13"/>
        <v>10275.526724529353</v>
      </c>
      <c r="M39" s="258">
        <f t="shared" ref="M39" si="60">H39+K39+L39</f>
        <v>695310.64169315284</v>
      </c>
      <c r="N39" s="320">
        <f t="shared" ref="N39" si="61">F39*E39</f>
        <v>4783929.1723889289</v>
      </c>
      <c r="O39" s="320">
        <f t="shared" ref="O39" si="62">G39*E39</f>
        <v>0</v>
      </c>
      <c r="P39" s="320">
        <f t="shared" ref="P39" si="63">I39*E39</f>
        <v>3297221.8577625402</v>
      </c>
      <c r="Q39" s="320">
        <f t="shared" ref="Q39" si="64">J39*E39</f>
        <v>824305.46444063506</v>
      </c>
      <c r="R39" s="320">
        <f t="shared" ref="R39" si="65">+L39*E39</f>
        <v>133581.84741888157</v>
      </c>
      <c r="S39" s="321">
        <f t="shared" si="20"/>
        <v>9039038.3420109861</v>
      </c>
      <c r="T39" s="337"/>
      <c r="U39" s="934">
        <f t="shared" ref="U39" si="66">+ROUNDUP(M39*$T$5,0)</f>
        <v>943167</v>
      </c>
      <c r="V39" s="934">
        <f t="shared" si="22"/>
        <v>12261171</v>
      </c>
      <c r="X39" s="80"/>
    </row>
    <row r="40" spans="1:24" ht="13" outlineLevel="1">
      <c r="A40" s="12">
        <v>3.17</v>
      </c>
      <c r="B40" s="123" t="s">
        <v>28</v>
      </c>
      <c r="C40" s="693" t="s">
        <v>2030</v>
      </c>
      <c r="D40" s="546" t="s">
        <v>66</v>
      </c>
      <c r="E40" s="115">
        <f>+'H°A° '!O19</f>
        <v>14</v>
      </c>
      <c r="F40" s="365">
        <f>+'H°A° '!F62</f>
        <v>404870.23328859062</v>
      </c>
      <c r="G40" s="365"/>
      <c r="H40" s="258">
        <f t="shared" si="11"/>
        <v>404870.23328859062</v>
      </c>
      <c r="I40" s="365">
        <f>+'MO HA AING'!D148</f>
        <v>370454.15079626895</v>
      </c>
      <c r="J40" s="365"/>
      <c r="K40" s="258">
        <f t="shared" si="12"/>
        <v>370454.15079626895</v>
      </c>
      <c r="L40" s="263">
        <f t="shared" si="13"/>
        <v>11629.865761272895</v>
      </c>
      <c r="M40" s="258">
        <f t="shared" si="53"/>
        <v>786954.24984613247</v>
      </c>
      <c r="N40" s="320">
        <f t="shared" si="54"/>
        <v>5668183.2660402684</v>
      </c>
      <c r="O40" s="320">
        <f t="shared" si="55"/>
        <v>0</v>
      </c>
      <c r="P40" s="320">
        <f t="shared" si="56"/>
        <v>5186358.1111477651</v>
      </c>
      <c r="Q40" s="320">
        <f t="shared" si="57"/>
        <v>0</v>
      </c>
      <c r="R40" s="320">
        <f t="shared" si="58"/>
        <v>162818.12065782052</v>
      </c>
      <c r="S40" s="321">
        <f t="shared" si="20"/>
        <v>11017359.497845855</v>
      </c>
      <c r="T40" s="337"/>
      <c r="U40" s="934">
        <f t="shared" si="59"/>
        <v>1067479</v>
      </c>
      <c r="V40" s="934">
        <f t="shared" si="22"/>
        <v>14944706</v>
      </c>
      <c r="X40" s="80"/>
    </row>
    <row r="41" spans="1:24" ht="13" outlineLevel="1">
      <c r="A41" s="12">
        <v>3.18</v>
      </c>
      <c r="B41" s="123" t="s">
        <v>28</v>
      </c>
      <c r="C41" s="693" t="s">
        <v>2031</v>
      </c>
      <c r="D41" s="546" t="s">
        <v>66</v>
      </c>
      <c r="E41" s="115">
        <f>+'H°A° '!O20</f>
        <v>2</v>
      </c>
      <c r="F41" s="365">
        <f>+'H°A° '!F63</f>
        <v>466389.29851905268</v>
      </c>
      <c r="G41" s="365"/>
      <c r="H41" s="258">
        <f t="shared" si="11"/>
        <v>466389.29851905268</v>
      </c>
      <c r="I41" s="365">
        <f>+'MO HA AING'!D99</f>
        <v>629584.35516404966</v>
      </c>
      <c r="J41" s="515">
        <f>+I41*0.25</f>
        <v>157396.08879101241</v>
      </c>
      <c r="K41" s="258">
        <f t="shared" si="12"/>
        <v>786980.44395506207</v>
      </c>
      <c r="L41" s="263">
        <f t="shared" si="13"/>
        <v>18800.54613711172</v>
      </c>
      <c r="M41" s="258">
        <f t="shared" ref="M41:M42" si="67">H41+K41+L41</f>
        <v>1272170.2886112265</v>
      </c>
      <c r="N41" s="320">
        <f t="shared" ref="N41:N42" si="68">F41*E41</f>
        <v>932778.59703810536</v>
      </c>
      <c r="O41" s="320">
        <f t="shared" ref="O41:O42" si="69">G41*E41</f>
        <v>0</v>
      </c>
      <c r="P41" s="320">
        <f t="shared" ref="P41:P42" si="70">I41*E41</f>
        <v>1259168.7103280993</v>
      </c>
      <c r="Q41" s="320">
        <f t="shared" ref="Q41:Q42" si="71">J41*E41</f>
        <v>314792.17758202483</v>
      </c>
      <c r="R41" s="320">
        <f t="shared" ref="R41:R42" si="72">+L41*E41</f>
        <v>37601.09227422344</v>
      </c>
      <c r="S41" s="321">
        <f t="shared" ref="S41:S42" si="73">SUM(N41:R41)</f>
        <v>2544340.5772224525</v>
      </c>
      <c r="T41" s="337"/>
      <c r="U41" s="934">
        <f t="shared" ref="U41:U42" si="74">+ROUNDUP(M41*$T$5,0)</f>
        <v>1725658</v>
      </c>
      <c r="V41" s="934">
        <f t="shared" ref="V41:V42" si="75">+U41*E41</f>
        <v>3451316</v>
      </c>
      <c r="X41" s="80"/>
    </row>
    <row r="42" spans="1:24" ht="13" outlineLevel="1">
      <c r="A42" s="12">
        <v>3.19</v>
      </c>
      <c r="B42" s="123" t="s">
        <v>28</v>
      </c>
      <c r="C42" s="699" t="s">
        <v>70</v>
      </c>
      <c r="D42" s="546" t="s">
        <v>54</v>
      </c>
      <c r="E42" s="523">
        <v>1</v>
      </c>
      <c r="F42" s="338"/>
      <c r="G42" s="365"/>
      <c r="H42" s="258">
        <f t="shared" si="11"/>
        <v>0</v>
      </c>
      <c r="I42" s="253"/>
      <c r="J42" s="365"/>
      <c r="K42" s="258">
        <f t="shared" si="12"/>
        <v>0</v>
      </c>
      <c r="L42" s="365">
        <f>+'ENCOFRADO '!G151</f>
        <v>10584987.993234448</v>
      </c>
      <c r="M42" s="258">
        <f t="shared" si="67"/>
        <v>10584987.993234448</v>
      </c>
      <c r="N42" s="320">
        <f t="shared" si="68"/>
        <v>0</v>
      </c>
      <c r="O42" s="320">
        <f t="shared" si="69"/>
        <v>0</v>
      </c>
      <c r="P42" s="320">
        <f t="shared" si="70"/>
        <v>0</v>
      </c>
      <c r="Q42" s="320">
        <f t="shared" si="71"/>
        <v>0</v>
      </c>
      <c r="R42" s="320">
        <f t="shared" si="72"/>
        <v>10584987.993234448</v>
      </c>
      <c r="S42" s="321">
        <f t="shared" si="73"/>
        <v>10584987.993234448</v>
      </c>
      <c r="T42" s="337"/>
      <c r="U42" s="934">
        <f t="shared" si="74"/>
        <v>14358195</v>
      </c>
      <c r="V42" s="934">
        <f t="shared" si="75"/>
        <v>14358195</v>
      </c>
      <c r="X42" s="80"/>
    </row>
    <row r="43" spans="1:24" ht="13" outlineLevel="1">
      <c r="A43" s="12">
        <v>3.2</v>
      </c>
      <c r="B43" s="123" t="s">
        <v>28</v>
      </c>
      <c r="C43" s="699" t="s">
        <v>71</v>
      </c>
      <c r="D43" s="546" t="s">
        <v>72</v>
      </c>
      <c r="E43" s="523">
        <f>+'H°A° '!S43</f>
        <v>13</v>
      </c>
      <c r="F43" s="1259"/>
      <c r="G43" s="115"/>
      <c r="H43" s="258">
        <f t="shared" si="11"/>
        <v>0</v>
      </c>
      <c r="I43" s="365">
        <f>+'H°A° '!S44</f>
        <v>246942.14876033057</v>
      </c>
      <c r="J43" s="115"/>
      <c r="K43" s="258">
        <f t="shared" si="12"/>
        <v>246942.14876033057</v>
      </c>
      <c r="L43" s="263"/>
      <c r="M43" s="258">
        <f t="shared" si="53"/>
        <v>246942.14876033057</v>
      </c>
      <c r="N43" s="320">
        <f t="shared" si="54"/>
        <v>0</v>
      </c>
      <c r="O43" s="320">
        <f t="shared" si="55"/>
        <v>0</v>
      </c>
      <c r="P43" s="320">
        <f t="shared" si="56"/>
        <v>3210247.9338842975</v>
      </c>
      <c r="Q43" s="320">
        <f t="shared" si="57"/>
        <v>0</v>
      </c>
      <c r="R43" s="320">
        <f t="shared" si="58"/>
        <v>0</v>
      </c>
      <c r="S43" s="321">
        <f t="shared" si="20"/>
        <v>3210247.9338842975</v>
      </c>
      <c r="T43" s="337"/>
      <c r="U43" s="934">
        <f t="shared" si="59"/>
        <v>334970</v>
      </c>
      <c r="V43" s="934">
        <f t="shared" si="22"/>
        <v>4354610</v>
      </c>
      <c r="X43" s="80"/>
    </row>
    <row r="44" spans="1:24" ht="13" outlineLevel="1">
      <c r="A44" s="12">
        <v>3.21</v>
      </c>
      <c r="B44" s="123" t="s">
        <v>28</v>
      </c>
      <c r="C44" s="699" t="s">
        <v>73</v>
      </c>
      <c r="D44" s="546" t="s">
        <v>54</v>
      </c>
      <c r="E44" s="523">
        <f>+GGBB!R12</f>
        <v>3</v>
      </c>
      <c r="F44" s="365">
        <v>55000</v>
      </c>
      <c r="G44" s="115"/>
      <c r="H44" s="258">
        <f t="shared" si="11"/>
        <v>55000</v>
      </c>
      <c r="I44" s="253"/>
      <c r="J44" s="115"/>
      <c r="K44" s="258">
        <f t="shared" si="12"/>
        <v>0</v>
      </c>
      <c r="L44" s="263"/>
      <c r="M44" s="258">
        <f t="shared" si="53"/>
        <v>55000</v>
      </c>
      <c r="N44" s="320">
        <f t="shared" si="54"/>
        <v>165000</v>
      </c>
      <c r="O44" s="320">
        <f t="shared" si="55"/>
        <v>0</v>
      </c>
      <c r="P44" s="320">
        <f t="shared" si="56"/>
        <v>0</v>
      </c>
      <c r="Q44" s="320">
        <f t="shared" si="57"/>
        <v>0</v>
      </c>
      <c r="R44" s="320">
        <f t="shared" si="58"/>
        <v>0</v>
      </c>
      <c r="S44" s="321">
        <f t="shared" si="20"/>
        <v>165000</v>
      </c>
      <c r="T44" s="337"/>
      <c r="U44" s="934">
        <f t="shared" si="59"/>
        <v>74606</v>
      </c>
      <c r="V44" s="934">
        <f t="shared" si="22"/>
        <v>223818</v>
      </c>
      <c r="X44" s="80"/>
    </row>
    <row r="45" spans="1:24" ht="39" outlineLevel="1">
      <c r="A45" s="12">
        <v>3.22</v>
      </c>
      <c r="B45" s="178" t="s">
        <v>28</v>
      </c>
      <c r="C45" s="694" t="s">
        <v>2266</v>
      </c>
      <c r="D45" s="112" t="s">
        <v>4</v>
      </c>
      <c r="E45" s="524">
        <f>+Computo!H49</f>
        <v>65</v>
      </c>
      <c r="F45" s="260">
        <f>+Tareas!H96</f>
        <v>4615.3846153846152</v>
      </c>
      <c r="G45" s="260">
        <f>+Tareas!I96</f>
        <v>4615.3846153846152</v>
      </c>
      <c r="H45" s="266">
        <f t="shared" si="11"/>
        <v>9230.7692307692305</v>
      </c>
      <c r="I45" s="260">
        <f>+Tareas!Q96</f>
        <v>0</v>
      </c>
      <c r="J45" s="260">
        <f>+Tareas!R96</f>
        <v>20224.016347393997</v>
      </c>
      <c r="K45" s="266">
        <f t="shared" si="12"/>
        <v>20224.016347393997</v>
      </c>
      <c r="L45" s="260">
        <f>+(H45+K45)*0.015</f>
        <v>441.82178367244842</v>
      </c>
      <c r="M45" s="266">
        <f t="shared" si="53"/>
        <v>29896.607361835675</v>
      </c>
      <c r="N45" s="324">
        <f t="shared" si="54"/>
        <v>300000</v>
      </c>
      <c r="O45" s="324">
        <f t="shared" si="55"/>
        <v>300000</v>
      </c>
      <c r="P45" s="324">
        <f t="shared" si="56"/>
        <v>0</v>
      </c>
      <c r="Q45" s="324">
        <f t="shared" si="57"/>
        <v>1314561.0625806099</v>
      </c>
      <c r="R45" s="324">
        <f t="shared" si="58"/>
        <v>28718.415938709146</v>
      </c>
      <c r="S45" s="325">
        <f t="shared" si="20"/>
        <v>1943279.4785193191</v>
      </c>
      <c r="T45" s="337"/>
      <c r="U45" s="934">
        <f t="shared" si="59"/>
        <v>40554</v>
      </c>
      <c r="V45" s="934">
        <f t="shared" si="22"/>
        <v>2636010</v>
      </c>
      <c r="X45" s="80"/>
    </row>
    <row r="46" spans="1:24" ht="13">
      <c r="A46" s="535">
        <v>4</v>
      </c>
      <c r="B46" s="575"/>
      <c r="C46" s="691" t="s">
        <v>2267</v>
      </c>
      <c r="D46" s="227"/>
      <c r="E46" s="228"/>
      <c r="F46" s="228"/>
      <c r="G46" s="228"/>
      <c r="H46" s="228"/>
      <c r="I46" s="228"/>
      <c r="J46" s="228"/>
      <c r="K46" s="228"/>
      <c r="L46" s="228"/>
      <c r="M46" s="256"/>
      <c r="N46" s="228"/>
      <c r="O46" s="228"/>
      <c r="P46" s="228"/>
      <c r="Q46" s="228"/>
      <c r="R46" s="228"/>
      <c r="S46" s="228"/>
      <c r="T46" s="335">
        <f>SUM(S47:S52)</f>
        <v>59733583.745566234</v>
      </c>
      <c r="U46" s="228"/>
      <c r="V46" s="228"/>
      <c r="W46" s="932">
        <f>SUM(V47:V52)</f>
        <v>81027653</v>
      </c>
      <c r="X46" s="80">
        <f>+W46/$W$213</f>
        <v>5.2594234957959229E-2</v>
      </c>
    </row>
    <row r="47" spans="1:24" s="25" customFormat="1" ht="26" outlineLevel="1">
      <c r="A47" s="193">
        <v>4.01</v>
      </c>
      <c r="B47" s="196" t="s">
        <v>28</v>
      </c>
      <c r="C47" s="692" t="s">
        <v>75</v>
      </c>
      <c r="D47" s="548" t="s">
        <v>4</v>
      </c>
      <c r="E47" s="525">
        <f>+MAMP.!L218</f>
        <v>437</v>
      </c>
      <c r="F47" s="268"/>
      <c r="G47" s="268">
        <f>+'APU 06.25'!E13</f>
        <v>10053.788111207799</v>
      </c>
      <c r="H47" s="257">
        <f t="shared" ref="H47:H52" si="76">F47+G47</f>
        <v>10053.788111207799</v>
      </c>
      <c r="I47" s="261"/>
      <c r="J47" s="268">
        <f>+'APU 06.25'!H13</f>
        <v>10761.175782920433</v>
      </c>
      <c r="K47" s="257">
        <f>I47+J47</f>
        <v>10761.175782920433</v>
      </c>
      <c r="L47" s="268">
        <f>+'APU 06.25'!K13</f>
        <v>255.78052240790058</v>
      </c>
      <c r="M47" s="257">
        <f>H47+K47+L47</f>
        <v>21070.744416536134</v>
      </c>
      <c r="N47" s="318">
        <f>F47*E47</f>
        <v>0</v>
      </c>
      <c r="O47" s="318">
        <f>G47*E47</f>
        <v>4393505.4045978086</v>
      </c>
      <c r="P47" s="318">
        <f>I47*E47</f>
        <v>0</v>
      </c>
      <c r="Q47" s="318">
        <f>J47*E47</f>
        <v>4702633.817136229</v>
      </c>
      <c r="R47" s="318">
        <f>+L47*E47</f>
        <v>111776.08829225255</v>
      </c>
      <c r="S47" s="319">
        <f t="shared" ref="S47:S70" si="77">SUM(N47:R47)</f>
        <v>9207915.3100262899</v>
      </c>
      <c r="T47" s="307"/>
      <c r="U47" s="933">
        <f>+ROUNDUP(M47*$T$5,0)</f>
        <v>28582</v>
      </c>
      <c r="V47" s="933">
        <f>+U47*E47</f>
        <v>12490334</v>
      </c>
      <c r="W47" s="935"/>
      <c r="X47" s="80"/>
    </row>
    <row r="48" spans="1:24" s="25" customFormat="1" ht="39" outlineLevel="1">
      <c r="A48" s="12">
        <v>4.0199999999999996</v>
      </c>
      <c r="B48" s="123" t="s">
        <v>28</v>
      </c>
      <c r="C48" s="700" t="s">
        <v>76</v>
      </c>
      <c r="D48" s="546" t="s">
        <v>4</v>
      </c>
      <c r="E48" s="523">
        <f>+MAMP.!N218</f>
        <v>723</v>
      </c>
      <c r="F48" s="264"/>
      <c r="G48" s="264">
        <f>+'APU 06.25'!E17</f>
        <v>18207.260451115199</v>
      </c>
      <c r="H48" s="258">
        <f t="shared" si="76"/>
        <v>18207.260451115199</v>
      </c>
      <c r="I48" s="262"/>
      <c r="J48" s="264">
        <f>+'APU 06.25'!H17</f>
        <v>10761.175782920433</v>
      </c>
      <c r="K48" s="258">
        <f>I48+J48</f>
        <v>10761.175782920433</v>
      </c>
      <c r="L48" s="264">
        <f>+'APU 06.25'!K17</f>
        <v>255.78052240790058</v>
      </c>
      <c r="M48" s="258">
        <f>H48+K48+L48</f>
        <v>29224.216756443533</v>
      </c>
      <c r="N48" s="320">
        <f>F48*E48</f>
        <v>0</v>
      </c>
      <c r="O48" s="320">
        <f>G48*E48</f>
        <v>13163849.306156289</v>
      </c>
      <c r="P48" s="320">
        <f>I48*E48</f>
        <v>0</v>
      </c>
      <c r="Q48" s="320">
        <f>J48*E48</f>
        <v>7780330.0910514724</v>
      </c>
      <c r="R48" s="320">
        <f>+L48*E48</f>
        <v>184929.31770091213</v>
      </c>
      <c r="S48" s="321">
        <f>SUM(N48:R48)</f>
        <v>21129108.714908671</v>
      </c>
      <c r="T48" s="307"/>
      <c r="U48" s="936">
        <f>+ROUNDUP(M48*$T$5,0)</f>
        <v>39642</v>
      </c>
      <c r="V48" s="934">
        <f>+U48*E48</f>
        <v>28661166</v>
      </c>
      <c r="W48" s="935"/>
      <c r="X48" s="80"/>
    </row>
    <row r="49" spans="1:24" s="25" customFormat="1" ht="26" outlineLevel="1">
      <c r="A49" s="12">
        <v>4.03</v>
      </c>
      <c r="B49" s="123" t="s">
        <v>28</v>
      </c>
      <c r="C49" s="693" t="s">
        <v>1701</v>
      </c>
      <c r="D49" s="546" t="s">
        <v>4</v>
      </c>
      <c r="E49" s="523">
        <f>+MAMP.!M218</f>
        <v>1008</v>
      </c>
      <c r="F49" s="264"/>
      <c r="G49" s="264">
        <f>+'APU 06.25'!E14</f>
        <v>12465.037584000003</v>
      </c>
      <c r="H49" s="258">
        <f t="shared" si="76"/>
        <v>12465.037584000003</v>
      </c>
      <c r="I49" s="262"/>
      <c r="J49" s="264">
        <f>+'APU 06.25'!H14</f>
        <v>10761.175782920433</v>
      </c>
      <c r="K49" s="258">
        <f>I49+J49</f>
        <v>10761.175782920433</v>
      </c>
      <c r="L49" s="264">
        <f>+'APU 06.25'!K14</f>
        <v>255.78052240790058</v>
      </c>
      <c r="M49" s="258">
        <f>H49+K49+L49</f>
        <v>23481.993889328336</v>
      </c>
      <c r="N49" s="320">
        <f>F49*E49</f>
        <v>0</v>
      </c>
      <c r="O49" s="320">
        <f>G49*E49</f>
        <v>12564757.884672003</v>
      </c>
      <c r="P49" s="320">
        <f>I49*E49</f>
        <v>0</v>
      </c>
      <c r="Q49" s="320">
        <f>J49*E49</f>
        <v>10847265.189183796</v>
      </c>
      <c r="R49" s="320">
        <f>+L49*E49</f>
        <v>257826.76658716379</v>
      </c>
      <c r="S49" s="321">
        <f>SUM(N49:R49)</f>
        <v>23669849.840442963</v>
      </c>
      <c r="T49" s="307"/>
      <c r="U49" s="936">
        <f>+ROUNDUP(M49*$T$5,0)</f>
        <v>31853</v>
      </c>
      <c r="V49" s="934">
        <f>+U49*E49</f>
        <v>32107824</v>
      </c>
      <c r="W49" s="935"/>
      <c r="X49" s="80"/>
    </row>
    <row r="50" spans="1:24" s="25" customFormat="1" ht="39" outlineLevel="1">
      <c r="A50" s="12">
        <v>4.04</v>
      </c>
      <c r="B50" s="123" t="s">
        <v>28</v>
      </c>
      <c r="C50" s="693" t="s">
        <v>1675</v>
      </c>
      <c r="D50" s="546" t="s">
        <v>4</v>
      </c>
      <c r="E50" s="523">
        <f>+MAMP.!O218</f>
        <v>199</v>
      </c>
      <c r="F50" s="262"/>
      <c r="G50" s="433">
        <f>+'APU 06.25'!E17/3</f>
        <v>6069.0868170383992</v>
      </c>
      <c r="H50" s="258">
        <f t="shared" si="76"/>
        <v>6069.0868170383992</v>
      </c>
      <c r="I50" s="264"/>
      <c r="J50" s="264">
        <f>+'APU 06.25'!H17/2</f>
        <v>5380.5878914602163</v>
      </c>
      <c r="K50" s="258">
        <f t="shared" ref="K50:K52" si="78">I50+J50</f>
        <v>5380.5878914602163</v>
      </c>
      <c r="L50" s="264">
        <f>+'APU 06.25'!K13</f>
        <v>255.78052240790058</v>
      </c>
      <c r="M50" s="258">
        <f t="shared" ref="M50" si="79">H50+K50+L50</f>
        <v>11705.455230906517</v>
      </c>
      <c r="N50" s="320">
        <f t="shared" ref="N50" si="80">F50*E50</f>
        <v>0</v>
      </c>
      <c r="O50" s="320">
        <f t="shared" ref="O50" si="81">G50*E50</f>
        <v>1207748.2765906414</v>
      </c>
      <c r="P50" s="320">
        <f t="shared" ref="P50" si="82">I50*E50</f>
        <v>0</v>
      </c>
      <c r="Q50" s="320">
        <f t="shared" ref="Q50" si="83">J50*E50</f>
        <v>1070736.990400583</v>
      </c>
      <c r="R50" s="320">
        <f t="shared" ref="R50" si="84">+L50*E50</f>
        <v>50900.323959172216</v>
      </c>
      <c r="S50" s="321">
        <f t="shared" ref="S50" si="85">SUM(N50:R50)</f>
        <v>2329385.5909503964</v>
      </c>
      <c r="T50" s="307"/>
      <c r="U50" s="936">
        <f t="shared" ref="U50" si="86">+ROUNDUP(M50*$T$5,0)</f>
        <v>15879</v>
      </c>
      <c r="V50" s="934">
        <f t="shared" ref="V50" si="87">+U50*E50</f>
        <v>3159921</v>
      </c>
      <c r="W50" s="935"/>
      <c r="X50" s="80"/>
    </row>
    <row r="51" spans="1:24" s="25" customFormat="1" ht="13" outlineLevel="1">
      <c r="A51" s="12">
        <v>4.05</v>
      </c>
      <c r="B51" s="123" t="s">
        <v>31</v>
      </c>
      <c r="C51" s="693" t="s">
        <v>2248</v>
      </c>
      <c r="D51" s="546" t="s">
        <v>4</v>
      </c>
      <c r="E51" s="523">
        <f>+MAMP.!Q218</f>
        <v>34</v>
      </c>
      <c r="F51" s="264">
        <f>+'APU 06.25'!E46</f>
        <v>28944.105044419659</v>
      </c>
      <c r="G51" s="264"/>
      <c r="H51" s="258">
        <f t="shared" si="76"/>
        <v>28944.105044419659</v>
      </c>
      <c r="I51" s="264">
        <f>+'APU 06.25'!H46</f>
        <v>27718.212708188163</v>
      </c>
      <c r="J51" s="264"/>
      <c r="K51" s="258">
        <f t="shared" si="78"/>
        <v>27718.212708188163</v>
      </c>
      <c r="L51" s="264">
        <f>+'APU 06.25'!K46</f>
        <v>441.15834345223334</v>
      </c>
      <c r="M51" s="258">
        <f t="shared" ref="M51" si="88">H51+K51+L51</f>
        <v>57103.476096060054</v>
      </c>
      <c r="N51" s="320">
        <f t="shared" ref="N51" si="89">F51*E51</f>
        <v>984099.57151026838</v>
      </c>
      <c r="O51" s="320">
        <f t="shared" ref="O51" si="90">G51*E51</f>
        <v>0</v>
      </c>
      <c r="P51" s="320">
        <f t="shared" ref="P51" si="91">I51*E51</f>
        <v>942419.23207839753</v>
      </c>
      <c r="Q51" s="320">
        <f t="shared" ref="Q51" si="92">J51*E51</f>
        <v>0</v>
      </c>
      <c r="R51" s="320">
        <f t="shared" ref="R51" si="93">+L51*E51</f>
        <v>14999.383677375934</v>
      </c>
      <c r="S51" s="321">
        <f t="shared" ref="S51" si="94">SUM(N51:R51)</f>
        <v>1941518.187266042</v>
      </c>
      <c r="T51" s="307"/>
      <c r="U51" s="936">
        <f t="shared" ref="U51" si="95">+ROUNDUP(M51*$T$5,0)</f>
        <v>77460</v>
      </c>
      <c r="V51" s="934">
        <f t="shared" ref="V51" si="96">+U51*E51</f>
        <v>2633640</v>
      </c>
      <c r="W51" s="935"/>
      <c r="X51" s="80"/>
    </row>
    <row r="52" spans="1:24" s="25" customFormat="1" ht="26" outlineLevel="1">
      <c r="A52" s="12">
        <v>4.0599999999999996</v>
      </c>
      <c r="B52" s="123" t="s">
        <v>28</v>
      </c>
      <c r="C52" s="693" t="s">
        <v>2246</v>
      </c>
      <c r="D52" s="546" t="s">
        <v>59</v>
      </c>
      <c r="E52" s="523">
        <f>+Computo!C13</f>
        <v>24</v>
      </c>
      <c r="F52" s="263">
        <f>+Tareas!H101</f>
        <v>23405.011666666669</v>
      </c>
      <c r="G52" s="263">
        <f>+Tareas!I101</f>
        <v>0</v>
      </c>
      <c r="H52" s="258">
        <f t="shared" si="76"/>
        <v>23405.011666666669</v>
      </c>
      <c r="I52" s="263">
        <f>+Tareas!Q101</f>
        <v>0</v>
      </c>
      <c r="J52" s="263">
        <f>+Tareas!R101</f>
        <v>36357.143586693906</v>
      </c>
      <c r="K52" s="258">
        <f t="shared" si="78"/>
        <v>36357.143586693906</v>
      </c>
      <c r="L52" s="263">
        <f t="shared" ref="L52" si="97">(H52+K52)*0.015</f>
        <v>896.43232880040853</v>
      </c>
      <c r="M52" s="258">
        <f>H52+K52+L52</f>
        <v>60658.587582160981</v>
      </c>
      <c r="N52" s="320">
        <f>F52*E52</f>
        <v>561720.28</v>
      </c>
      <c r="O52" s="320">
        <f>G52*E52</f>
        <v>0</v>
      </c>
      <c r="P52" s="320">
        <f>I52*E52</f>
        <v>0</v>
      </c>
      <c r="Q52" s="320">
        <f>J52*E52</f>
        <v>872571.4460806537</v>
      </c>
      <c r="R52" s="320">
        <f>+L52*E52</f>
        <v>21514.375891209806</v>
      </c>
      <c r="S52" s="321">
        <f>SUM(N52:R52)</f>
        <v>1455806.1019718635</v>
      </c>
      <c r="T52" s="307"/>
      <c r="U52" s="936">
        <f>+ROUNDUP(M52*$T$5,0)</f>
        <v>82282</v>
      </c>
      <c r="V52" s="934">
        <f>+U52*E52</f>
        <v>1974768</v>
      </c>
      <c r="W52" s="935"/>
      <c r="X52" s="80"/>
    </row>
    <row r="53" spans="1:24" ht="13">
      <c r="A53" s="535">
        <v>5</v>
      </c>
      <c r="B53" s="575"/>
      <c r="C53" s="691" t="s">
        <v>77</v>
      </c>
      <c r="D53" s="227"/>
      <c r="E53" s="228"/>
      <c r="F53" s="228"/>
      <c r="G53" s="228"/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335">
        <f>SUM(S54:S59)</f>
        <v>12211792.518648423</v>
      </c>
      <c r="U53" s="228"/>
      <c r="V53" s="228"/>
      <c r="W53" s="932">
        <f>SUM(V54:V59)</f>
        <v>16565561</v>
      </c>
      <c r="X53" s="80">
        <f>+W53/$W$213</f>
        <v>1.0752539104698073E-2</v>
      </c>
    </row>
    <row r="54" spans="1:24" s="25" customFormat="1" ht="39" outlineLevel="1">
      <c r="A54" s="193">
        <v>5.01</v>
      </c>
      <c r="B54" s="196" t="s">
        <v>28</v>
      </c>
      <c r="C54" s="692" t="s">
        <v>78</v>
      </c>
      <c r="D54" s="548" t="s">
        <v>4</v>
      </c>
      <c r="E54" s="525">
        <f>+Locales!AD100</f>
        <v>79</v>
      </c>
      <c r="F54" s="684">
        <f>+G54*0.35</f>
        <v>3050.8865484871444</v>
      </c>
      <c r="G54" s="268">
        <f>+'APU 06.25'!E50</f>
        <v>8716.8187099632705</v>
      </c>
      <c r="H54" s="257">
        <f t="shared" ref="H54:H59" si="98">F54+G54</f>
        <v>11767.705258450414</v>
      </c>
      <c r="I54" s="807">
        <f>+J54*0.35</f>
        <v>4471.4667614205455</v>
      </c>
      <c r="J54" s="402">
        <f>+SUBCONTRATOS!D75</f>
        <v>12775.619318344416</v>
      </c>
      <c r="K54" s="257">
        <f t="shared" ref="K54:K59" si="99">I54+J54</f>
        <v>17247.086079764962</v>
      </c>
      <c r="L54" s="268">
        <f>+'APU 06.25'!K50</f>
        <v>34.976452245793809</v>
      </c>
      <c r="M54" s="257">
        <f t="shared" ref="M54:M59" si="100">H54+K54+L54</f>
        <v>29049.767790461174</v>
      </c>
      <c r="N54" s="318">
        <f t="shared" ref="N54:N59" si="101">F54*E54</f>
        <v>241020.0373304844</v>
      </c>
      <c r="O54" s="318">
        <f t="shared" ref="O54:O59" si="102">G54*E54</f>
        <v>688628.67808709841</v>
      </c>
      <c r="P54" s="318">
        <f t="shared" ref="P54:P59" si="103">I54*E54</f>
        <v>353245.87415222311</v>
      </c>
      <c r="Q54" s="318">
        <f t="shared" ref="Q54:Q59" si="104">J54*E54</f>
        <v>1009273.9261492088</v>
      </c>
      <c r="R54" s="318">
        <f t="shared" ref="R54:R59" si="105">+L54*E54</f>
        <v>2763.1397274177107</v>
      </c>
      <c r="S54" s="319">
        <f t="shared" si="77"/>
        <v>2294931.6554464325</v>
      </c>
      <c r="T54" s="337"/>
      <c r="U54" s="937">
        <f t="shared" ref="U54:U59" si="106">+ROUNDUP(M54*$T$5,0)</f>
        <v>39406</v>
      </c>
      <c r="V54" s="936">
        <f t="shared" ref="V54:V59" si="107">+U54*E54</f>
        <v>3113074</v>
      </c>
      <c r="W54" s="935"/>
      <c r="X54" s="80"/>
    </row>
    <row r="55" spans="1:24" s="25" customFormat="1" ht="13" outlineLevel="1">
      <c r="A55" s="530">
        <v>5.0199999999999996</v>
      </c>
      <c r="B55" s="363" t="s">
        <v>28</v>
      </c>
      <c r="C55" s="706" t="s">
        <v>2268</v>
      </c>
      <c r="D55" s="926" t="s">
        <v>59</v>
      </c>
      <c r="E55" s="526">
        <f>+MAMP.!U41</f>
        <v>113</v>
      </c>
      <c r="F55" s="269"/>
      <c r="G55" s="264">
        <f>+'APU 06.25'!E21</f>
        <v>827.27861400000006</v>
      </c>
      <c r="H55" s="258">
        <f t="shared" si="98"/>
        <v>827.27861400000006</v>
      </c>
      <c r="I55" s="418"/>
      <c r="J55" s="264">
        <f>+'APU 06.25'!H21</f>
        <v>4324.0477652730679</v>
      </c>
      <c r="K55" s="258">
        <f t="shared" si="99"/>
        <v>4324.0477652730679</v>
      </c>
      <c r="L55" s="264">
        <f>+'APU 06.25'!K21</f>
        <v>137.02527986137531</v>
      </c>
      <c r="M55" s="258">
        <f t="shared" si="100"/>
        <v>5288.3516591344433</v>
      </c>
      <c r="N55" s="320">
        <f t="shared" si="101"/>
        <v>0</v>
      </c>
      <c r="O55" s="320">
        <f t="shared" si="102"/>
        <v>93482.483382000006</v>
      </c>
      <c r="P55" s="320">
        <f t="shared" si="103"/>
        <v>0</v>
      </c>
      <c r="Q55" s="320">
        <f t="shared" si="104"/>
        <v>488617.39747585665</v>
      </c>
      <c r="R55" s="320">
        <f t="shared" si="105"/>
        <v>15483.856624335411</v>
      </c>
      <c r="S55" s="321">
        <f>SUM(N55:R55)</f>
        <v>597583.73748219211</v>
      </c>
      <c r="T55" s="337"/>
      <c r="U55" s="937">
        <f>+ROUNDUP(M55*$T$5,0)</f>
        <v>7174</v>
      </c>
      <c r="V55" s="934">
        <f>+U55*E55</f>
        <v>810662</v>
      </c>
      <c r="W55" s="935"/>
      <c r="X55" s="80"/>
    </row>
    <row r="56" spans="1:24" s="25" customFormat="1" ht="26" outlineLevel="1">
      <c r="A56" s="530">
        <v>5.03</v>
      </c>
      <c r="B56" s="123" t="s">
        <v>28</v>
      </c>
      <c r="C56" s="693" t="s">
        <v>1841</v>
      </c>
      <c r="D56" s="546" t="s">
        <v>4</v>
      </c>
      <c r="E56" s="523">
        <f>+Locales!AF100</f>
        <v>207</v>
      </c>
      <c r="F56" s="262"/>
      <c r="G56" s="264">
        <f>+'APU 06.25'!E21</f>
        <v>827.27861400000006</v>
      </c>
      <c r="H56" s="258">
        <f t="shared" si="98"/>
        <v>827.27861400000006</v>
      </c>
      <c r="I56" s="262"/>
      <c r="J56" s="264">
        <f>+'APU 06.25'!H21</f>
        <v>4324.0477652730679</v>
      </c>
      <c r="K56" s="258">
        <f t="shared" si="99"/>
        <v>4324.0477652730679</v>
      </c>
      <c r="L56" s="264">
        <f>+'APU 06.25'!K21</f>
        <v>137.02527986137531</v>
      </c>
      <c r="M56" s="258">
        <f t="shared" si="100"/>
        <v>5288.3516591344433</v>
      </c>
      <c r="N56" s="320">
        <f t="shared" si="101"/>
        <v>0</v>
      </c>
      <c r="O56" s="320">
        <f t="shared" si="102"/>
        <v>171246.673098</v>
      </c>
      <c r="P56" s="320">
        <f t="shared" si="103"/>
        <v>0</v>
      </c>
      <c r="Q56" s="320">
        <f t="shared" si="104"/>
        <v>895077.88741152501</v>
      </c>
      <c r="R56" s="320">
        <f t="shared" si="105"/>
        <v>28364.23293130469</v>
      </c>
      <c r="S56" s="321">
        <f t="shared" si="77"/>
        <v>1094688.7934408297</v>
      </c>
      <c r="T56" s="337"/>
      <c r="U56" s="937">
        <f>+ROUNDUP(M56*$T$5,0)</f>
        <v>7174</v>
      </c>
      <c r="V56" s="934">
        <f>+U56*E56</f>
        <v>1485018</v>
      </c>
      <c r="W56" s="935"/>
      <c r="X56" s="80"/>
    </row>
    <row r="57" spans="1:24" s="25" customFormat="1" ht="13" outlineLevel="1">
      <c r="A57" s="12">
        <v>5.04</v>
      </c>
      <c r="B57" s="123" t="s">
        <v>28</v>
      </c>
      <c r="C57" s="693" t="s">
        <v>79</v>
      </c>
      <c r="D57" s="546" t="s">
        <v>4</v>
      </c>
      <c r="E57" s="523">
        <f>+Locales!AH100</f>
        <v>165</v>
      </c>
      <c r="F57" s="262"/>
      <c r="G57" s="365">
        <f>+Cotizaciones!D52</f>
        <v>3538.08</v>
      </c>
      <c r="H57" s="258">
        <f t="shared" si="98"/>
        <v>3538.08</v>
      </c>
      <c r="I57" s="262"/>
      <c r="J57" s="262"/>
      <c r="K57" s="258">
        <f t="shared" si="99"/>
        <v>0</v>
      </c>
      <c r="L57" s="262"/>
      <c r="M57" s="258">
        <f t="shared" si="100"/>
        <v>3538.08</v>
      </c>
      <c r="N57" s="320">
        <f t="shared" si="101"/>
        <v>0</v>
      </c>
      <c r="O57" s="320">
        <f t="shared" si="102"/>
        <v>583783.19999999995</v>
      </c>
      <c r="P57" s="320">
        <f t="shared" si="103"/>
        <v>0</v>
      </c>
      <c r="Q57" s="320">
        <f t="shared" si="104"/>
        <v>0</v>
      </c>
      <c r="R57" s="320">
        <f t="shared" si="105"/>
        <v>0</v>
      </c>
      <c r="S57" s="321">
        <f t="shared" si="77"/>
        <v>583783.19999999995</v>
      </c>
      <c r="T57" s="337"/>
      <c r="U57" s="937">
        <f t="shared" si="106"/>
        <v>4800</v>
      </c>
      <c r="V57" s="934">
        <f t="shared" si="107"/>
        <v>792000</v>
      </c>
      <c r="W57" s="935"/>
      <c r="X57" s="80"/>
    </row>
    <row r="58" spans="1:24" s="25" customFormat="1" ht="13" outlineLevel="1">
      <c r="A58" s="530">
        <v>5.05</v>
      </c>
      <c r="B58" s="123" t="s">
        <v>28</v>
      </c>
      <c r="C58" s="693" t="s">
        <v>80</v>
      </c>
      <c r="D58" s="546" t="s">
        <v>4</v>
      </c>
      <c r="E58" s="523">
        <f>+Locales!AG100</f>
        <v>165</v>
      </c>
      <c r="F58" s="262"/>
      <c r="G58" s="264">
        <f>+'APU 06.25'!E56</f>
        <v>1392.6097669880623</v>
      </c>
      <c r="H58" s="258">
        <f t="shared" si="98"/>
        <v>1392.6097669880623</v>
      </c>
      <c r="I58" s="262"/>
      <c r="J58" s="264">
        <f>+'APU 06.25'!H56</f>
        <v>2017.7204592975809</v>
      </c>
      <c r="K58" s="258">
        <f t="shared" si="99"/>
        <v>2017.7204592975809</v>
      </c>
      <c r="L58" s="264">
        <f>+'APU 06.25'!K56</f>
        <v>10.930141326810567</v>
      </c>
      <c r="M58" s="258">
        <f t="shared" si="100"/>
        <v>3421.2603676124536</v>
      </c>
      <c r="N58" s="320">
        <f t="shared" si="101"/>
        <v>0</v>
      </c>
      <c r="O58" s="320">
        <f t="shared" si="102"/>
        <v>229780.61155303029</v>
      </c>
      <c r="P58" s="320">
        <f t="shared" si="103"/>
        <v>0</v>
      </c>
      <c r="Q58" s="320">
        <f t="shared" si="104"/>
        <v>332923.87578410085</v>
      </c>
      <c r="R58" s="320">
        <f t="shared" si="105"/>
        <v>1803.4733189237436</v>
      </c>
      <c r="S58" s="321">
        <f t="shared" si="77"/>
        <v>564507.9606560549</v>
      </c>
      <c r="T58" s="337"/>
      <c r="U58" s="937">
        <f t="shared" si="106"/>
        <v>4641</v>
      </c>
      <c r="V58" s="934">
        <f t="shared" si="107"/>
        <v>765765</v>
      </c>
      <c r="W58" s="935"/>
      <c r="X58" s="80"/>
    </row>
    <row r="59" spans="1:24" s="42" customFormat="1" ht="26" outlineLevel="1">
      <c r="A59" s="12">
        <v>5.0599999999999996</v>
      </c>
      <c r="B59" s="123" t="s">
        <v>28</v>
      </c>
      <c r="C59" s="693" t="s">
        <v>81</v>
      </c>
      <c r="D59" s="361" t="s">
        <v>4</v>
      </c>
      <c r="E59" s="523">
        <f>+Locales!AI100</f>
        <v>274</v>
      </c>
      <c r="F59" s="684">
        <f>+G59*0.2</f>
        <v>1743.3637419926542</v>
      </c>
      <c r="G59" s="264">
        <f>+'APU 06.25'!E50</f>
        <v>8716.8187099632705</v>
      </c>
      <c r="H59" s="258">
        <f t="shared" si="98"/>
        <v>10460.182451955925</v>
      </c>
      <c r="I59" s="515">
        <f>+J59*0.2</f>
        <v>2555.1238636688831</v>
      </c>
      <c r="J59" s="365">
        <f>+SUBCONTRATOS!D75</f>
        <v>12775.619318344416</v>
      </c>
      <c r="K59" s="258">
        <f t="shared" si="99"/>
        <v>15330.743182013299</v>
      </c>
      <c r="L59" s="264">
        <f>+'APU 06.25'!K50</f>
        <v>34.976452245793809</v>
      </c>
      <c r="M59" s="258">
        <f t="shared" si="100"/>
        <v>25825.902086215017</v>
      </c>
      <c r="N59" s="320">
        <f t="shared" si="101"/>
        <v>477681.66530598723</v>
      </c>
      <c r="O59" s="320">
        <f t="shared" si="102"/>
        <v>2388408.3265299359</v>
      </c>
      <c r="P59" s="320">
        <f t="shared" si="103"/>
        <v>700103.93864527403</v>
      </c>
      <c r="Q59" s="320">
        <f t="shared" si="104"/>
        <v>3500519.69322637</v>
      </c>
      <c r="R59" s="320">
        <f t="shared" si="105"/>
        <v>9583.5479153475044</v>
      </c>
      <c r="S59" s="321">
        <f t="shared" si="77"/>
        <v>7076297.1716229143</v>
      </c>
      <c r="T59" s="337"/>
      <c r="U59" s="937">
        <f t="shared" si="106"/>
        <v>35033</v>
      </c>
      <c r="V59" s="934">
        <f t="shared" si="107"/>
        <v>9599042</v>
      </c>
      <c r="W59" s="341"/>
      <c r="X59" s="80"/>
    </row>
    <row r="60" spans="1:24" ht="13">
      <c r="A60" s="535">
        <v>6</v>
      </c>
      <c r="B60" s="575"/>
      <c r="C60" s="691" t="s">
        <v>82</v>
      </c>
      <c r="D60" s="227"/>
      <c r="E60" s="228"/>
      <c r="F60" s="228"/>
      <c r="G60" s="228"/>
      <c r="H60" s="228"/>
      <c r="I60" s="228"/>
      <c r="J60" s="228"/>
      <c r="K60" s="228"/>
      <c r="L60" s="228"/>
      <c r="M60" s="256"/>
      <c r="N60" s="228"/>
      <c r="O60" s="228"/>
      <c r="P60" s="228"/>
      <c r="Q60" s="228"/>
      <c r="R60" s="228"/>
      <c r="S60" s="228"/>
      <c r="T60" s="335">
        <f>SUM(S61:S61)</f>
        <v>1090677.587358549</v>
      </c>
      <c r="U60" s="228"/>
      <c r="V60" s="228"/>
      <c r="W60" s="932">
        <f>SUM(V61:V61)</f>
        <v>1479500</v>
      </c>
      <c r="X60" s="80">
        <f>+W60/$W$213</f>
        <v>9.6032857597764414E-4</v>
      </c>
    </row>
    <row r="61" spans="1:24" s="42" customFormat="1" ht="13" outlineLevel="1">
      <c r="A61" s="123">
        <v>6.01</v>
      </c>
      <c r="B61" s="123" t="s">
        <v>28</v>
      </c>
      <c r="C61" s="694" t="s">
        <v>83</v>
      </c>
      <c r="D61" s="362" t="s">
        <v>59</v>
      </c>
      <c r="E61" s="481">
        <f>25+9.5+9.5</f>
        <v>44</v>
      </c>
      <c r="F61" s="364">
        <f>+Tareas!H117</f>
        <v>16294.997685950413</v>
      </c>
      <c r="G61" s="364">
        <f>+Tareas!I117</f>
        <v>0</v>
      </c>
      <c r="H61" s="266">
        <f>F61+G61</f>
        <v>16294.997685950413</v>
      </c>
      <c r="I61" s="364">
        <f>+Tareas!Q117</f>
        <v>0</v>
      </c>
      <c r="J61" s="364">
        <f>+Tareas!R117</f>
        <v>8126.802299686603</v>
      </c>
      <c r="K61" s="266">
        <f>I61+J61</f>
        <v>8126.802299686603</v>
      </c>
      <c r="L61" s="263">
        <f>+(H61+K61)*0.015</f>
        <v>366.3269997845552</v>
      </c>
      <c r="M61" s="266">
        <f>H61+K61+L61</f>
        <v>24788.126985421572</v>
      </c>
      <c r="N61" s="324">
        <f>F61*E61</f>
        <v>716979.89818181819</v>
      </c>
      <c r="O61" s="324">
        <f>G61*E61</f>
        <v>0</v>
      </c>
      <c r="P61" s="324">
        <f>I61*E61</f>
        <v>0</v>
      </c>
      <c r="Q61" s="324">
        <f>J61*E61</f>
        <v>357579.30118621053</v>
      </c>
      <c r="R61" s="324">
        <f>+L61*E61</f>
        <v>16118.387990520429</v>
      </c>
      <c r="S61" s="325">
        <f>SUM(N61:R61)</f>
        <v>1090677.587358549</v>
      </c>
      <c r="T61" s="337"/>
      <c r="U61" s="934">
        <f>+ROUNDUP(M61*$T$5,0)</f>
        <v>33625</v>
      </c>
      <c r="V61" s="934">
        <f>+U61*E61</f>
        <v>1479500</v>
      </c>
      <c r="W61" s="341"/>
      <c r="X61" s="80"/>
    </row>
    <row r="62" spans="1:24" ht="13">
      <c r="A62" s="535">
        <v>7</v>
      </c>
      <c r="B62" s="575"/>
      <c r="C62" s="691" t="s">
        <v>84</v>
      </c>
      <c r="D62" s="227"/>
      <c r="E62" s="228"/>
      <c r="F62" s="228"/>
      <c r="G62" s="228"/>
      <c r="H62" s="228"/>
      <c r="I62" s="228"/>
      <c r="J62" s="228"/>
      <c r="K62" s="228"/>
      <c r="L62" s="228"/>
      <c r="M62" s="256"/>
      <c r="N62" s="228"/>
      <c r="O62" s="228"/>
      <c r="P62" s="228"/>
      <c r="Q62" s="228"/>
      <c r="R62" s="228"/>
      <c r="S62" s="228"/>
      <c r="T62" s="335">
        <f>SUM(S63:S70)</f>
        <v>111771007.97148216</v>
      </c>
      <c r="U62" s="228"/>
      <c r="V62" s="228"/>
      <c r="W62" s="932">
        <f>SUM(V63:V70)</f>
        <v>151616626</v>
      </c>
      <c r="X62" s="80">
        <f>+W62/$W$213</f>
        <v>9.8412827672264322E-2</v>
      </c>
    </row>
    <row r="63" spans="1:24" s="25" customFormat="1" ht="13" outlineLevel="1">
      <c r="A63" s="193">
        <v>7.01</v>
      </c>
      <c r="B63" s="196" t="s">
        <v>28</v>
      </c>
      <c r="C63" s="703" t="s">
        <v>85</v>
      </c>
      <c r="D63" s="548" t="s">
        <v>4</v>
      </c>
      <c r="E63" s="525">
        <f>+'Rev.'!J54</f>
        <v>663</v>
      </c>
      <c r="F63" s="268"/>
      <c r="G63" s="268">
        <f>+'APU 06.25'!E23</f>
        <v>4061.1650940000004</v>
      </c>
      <c r="H63" s="257">
        <f t="shared" ref="H63:H70" si="108">F63+G63</f>
        <v>4061.1650940000004</v>
      </c>
      <c r="I63" s="190"/>
      <c r="J63" s="268">
        <f>+'APU 06.25'!H23</f>
        <v>11697.516278234732</v>
      </c>
      <c r="K63" s="257">
        <f>I63+J63</f>
        <v>11697.516278234732</v>
      </c>
      <c r="L63" s="268">
        <f>+'APU 06.25'!K23</f>
        <v>333.62676835813119</v>
      </c>
      <c r="M63" s="257">
        <f>H63+K63+L63</f>
        <v>16092.308140592864</v>
      </c>
      <c r="N63" s="318">
        <f>F63*E63</f>
        <v>0</v>
      </c>
      <c r="O63" s="318">
        <f>G63*E63</f>
        <v>2692552.4573220001</v>
      </c>
      <c r="P63" s="318">
        <f>I63*E63</f>
        <v>0</v>
      </c>
      <c r="Q63" s="318">
        <f>J63*E63</f>
        <v>7755453.2924696272</v>
      </c>
      <c r="R63" s="318">
        <f>+L63*E63</f>
        <v>221194.54742144098</v>
      </c>
      <c r="S63" s="319">
        <f t="shared" si="77"/>
        <v>10669200.297213068</v>
      </c>
      <c r="T63" s="337"/>
      <c r="U63" s="933">
        <f t="shared" ref="U63:U70" si="109">+ROUNDUP(M63*$T$5,0)</f>
        <v>21829</v>
      </c>
      <c r="V63" s="933">
        <f t="shared" ref="V63:V70" si="110">+U63*E63</f>
        <v>14472627</v>
      </c>
      <c r="W63" s="938"/>
      <c r="X63" s="80"/>
    </row>
    <row r="64" spans="1:24" s="25" customFormat="1" ht="13" outlineLevel="1">
      <c r="A64" s="12">
        <v>7.02</v>
      </c>
      <c r="B64" s="123" t="s">
        <v>28</v>
      </c>
      <c r="C64" s="704" t="s">
        <v>86</v>
      </c>
      <c r="D64" s="546" t="s">
        <v>4</v>
      </c>
      <c r="E64" s="523">
        <f>+'Rev.'!J67</f>
        <v>1164</v>
      </c>
      <c r="F64" s="264"/>
      <c r="G64" s="264">
        <f>+'APU 06.25'!E24</f>
        <v>4061.1650940000004</v>
      </c>
      <c r="H64" s="258">
        <f t="shared" si="108"/>
        <v>4061.1650940000004</v>
      </c>
      <c r="I64" s="263"/>
      <c r="J64" s="264">
        <f>+'APU 06.25'!H24</f>
        <v>16815.179649962429</v>
      </c>
      <c r="K64" s="258">
        <f>I64+J64</f>
        <v>16815.179649962429</v>
      </c>
      <c r="L64" s="264">
        <f>+'APU 06.25'!K24</f>
        <v>863.36280564123967</v>
      </c>
      <c r="M64" s="258">
        <f>H64+K64+L64</f>
        <v>21739.707549603667</v>
      </c>
      <c r="N64" s="320">
        <f t="shared" ref="N64:N70" si="111">F64*E64</f>
        <v>0</v>
      </c>
      <c r="O64" s="320">
        <f t="shared" ref="O64:O70" si="112">G64*E64</f>
        <v>4727196.1694160001</v>
      </c>
      <c r="P64" s="320">
        <f t="shared" ref="P64:P70" si="113">I64*E64</f>
        <v>0</v>
      </c>
      <c r="Q64" s="320">
        <f t="shared" ref="Q64:Q70" si="114">J64*E64</f>
        <v>19572869.112556268</v>
      </c>
      <c r="R64" s="320">
        <f t="shared" ref="R64:R70" si="115">+L64*E64</f>
        <v>1004954.305766403</v>
      </c>
      <c r="S64" s="321">
        <f t="shared" si="77"/>
        <v>25305019.58773867</v>
      </c>
      <c r="T64" s="337"/>
      <c r="U64" s="934">
        <f t="shared" si="109"/>
        <v>29490</v>
      </c>
      <c r="V64" s="934">
        <f t="shared" si="110"/>
        <v>34326360</v>
      </c>
      <c r="W64" s="341"/>
      <c r="X64" s="80"/>
    </row>
    <row r="65" spans="1:24" s="25" customFormat="1" ht="13" outlineLevel="1">
      <c r="A65" s="12">
        <v>7.03</v>
      </c>
      <c r="B65" s="123" t="s">
        <v>28</v>
      </c>
      <c r="C65" s="704" t="s">
        <v>1919</v>
      </c>
      <c r="D65" s="546" t="s">
        <v>59</v>
      </c>
      <c r="E65" s="523">
        <f>+'Rev.'!J71</f>
        <v>500</v>
      </c>
      <c r="F65" s="264"/>
      <c r="G65" s="264"/>
      <c r="H65" s="258">
        <f t="shared" si="108"/>
        <v>0</v>
      </c>
      <c r="I65" s="365">
        <f>+SUBCONTRATOS!D36</f>
        <v>11122.339160079795</v>
      </c>
      <c r="J65" s="264"/>
      <c r="K65" s="258">
        <f t="shared" ref="K65:K70" si="116">I65+J65</f>
        <v>11122.339160079795</v>
      </c>
      <c r="L65" s="264"/>
      <c r="M65" s="258">
        <f>H65+K65+L65</f>
        <v>11122.339160079795</v>
      </c>
      <c r="N65" s="320">
        <f>F65*E65</f>
        <v>0</v>
      </c>
      <c r="O65" s="320">
        <f>G65*E65</f>
        <v>0</v>
      </c>
      <c r="P65" s="320">
        <f>I65*E65</f>
        <v>5561169.5800398979</v>
      </c>
      <c r="Q65" s="320">
        <f>J65*E65</f>
        <v>0</v>
      </c>
      <c r="R65" s="320">
        <f>+L65*E65</f>
        <v>0</v>
      </c>
      <c r="S65" s="321">
        <f>SUM(N65:R65)</f>
        <v>5561169.5800398979</v>
      </c>
      <c r="T65" s="337"/>
      <c r="U65" s="934">
        <f>+ROUNDUP(M65*$T$5,0)</f>
        <v>15088</v>
      </c>
      <c r="V65" s="934">
        <f>+U65*E65</f>
        <v>7544000</v>
      </c>
      <c r="W65" s="341"/>
      <c r="X65" s="80"/>
    </row>
    <row r="66" spans="1:24" s="25" customFormat="1" ht="13" outlineLevel="1">
      <c r="A66" s="12">
        <v>7.04</v>
      </c>
      <c r="B66" s="123" t="s">
        <v>28</v>
      </c>
      <c r="C66" s="693" t="s">
        <v>87</v>
      </c>
      <c r="D66" s="546" t="s">
        <v>4</v>
      </c>
      <c r="E66" s="523">
        <f>+Locales!U100</f>
        <v>521</v>
      </c>
      <c r="F66" s="264"/>
      <c r="G66" s="264">
        <f>+'APU 06.25'!E22</f>
        <v>2891.2175380000008</v>
      </c>
      <c r="H66" s="258">
        <f t="shared" si="108"/>
        <v>2891.2175380000008</v>
      </c>
      <c r="I66" s="115"/>
      <c r="J66" s="264">
        <f>+'APU 06.25'!H22</f>
        <v>22980.57702378547</v>
      </c>
      <c r="K66" s="258">
        <f t="shared" si="116"/>
        <v>22980.57702378547</v>
      </c>
      <c r="L66" s="264">
        <f>+'APU 06.25'!K22</f>
        <v>639.45130601975143</v>
      </c>
      <c r="M66" s="258">
        <f t="shared" ref="M66:M70" si="117">H66+K66+L66</f>
        <v>26511.245867805221</v>
      </c>
      <c r="N66" s="320">
        <f t="shared" si="111"/>
        <v>0</v>
      </c>
      <c r="O66" s="320">
        <f t="shared" si="112"/>
        <v>1506324.3372980005</v>
      </c>
      <c r="P66" s="320">
        <f t="shared" si="113"/>
        <v>0</v>
      </c>
      <c r="Q66" s="320">
        <f t="shared" si="114"/>
        <v>11972880.629392231</v>
      </c>
      <c r="R66" s="320">
        <f t="shared" si="115"/>
        <v>333154.13043629052</v>
      </c>
      <c r="S66" s="321">
        <f t="shared" si="77"/>
        <v>13812359.097126521</v>
      </c>
      <c r="T66" s="337"/>
      <c r="U66" s="934">
        <f t="shared" si="109"/>
        <v>35962</v>
      </c>
      <c r="V66" s="934">
        <f t="shared" si="110"/>
        <v>18736202</v>
      </c>
      <c r="W66" s="341"/>
      <c r="X66" s="80"/>
    </row>
    <row r="67" spans="1:24" s="25" customFormat="1" ht="13" outlineLevel="1">
      <c r="A67" s="12">
        <v>7.05</v>
      </c>
      <c r="B67" s="123" t="s">
        <v>28</v>
      </c>
      <c r="C67" s="693" t="s">
        <v>88</v>
      </c>
      <c r="D67" s="546" t="s">
        <v>4</v>
      </c>
      <c r="E67" s="523">
        <f>+Locales!Z100</f>
        <v>2180</v>
      </c>
      <c r="F67" s="263">
        <f>+Tareas!H123</f>
        <v>0</v>
      </c>
      <c r="G67" s="263">
        <f>+Tareas!I123</f>
        <v>5780.8668990825699</v>
      </c>
      <c r="H67" s="258">
        <f t="shared" si="108"/>
        <v>5780.8668990825699</v>
      </c>
      <c r="I67" s="263">
        <f>+Tareas!Q123</f>
        <v>12252.548573720227</v>
      </c>
      <c r="J67" s="263">
        <f>+Tareas!R123</f>
        <v>0</v>
      </c>
      <c r="K67" s="258">
        <f t="shared" si="116"/>
        <v>12252.548573720227</v>
      </c>
      <c r="L67" s="263">
        <f t="shared" ref="L67:L69" si="118">+(H67+K67)*0.015</f>
        <v>270.50123209204196</v>
      </c>
      <c r="M67" s="258">
        <f t="shared" si="117"/>
        <v>18303.91670489484</v>
      </c>
      <c r="N67" s="320">
        <f t="shared" si="111"/>
        <v>0</v>
      </c>
      <c r="O67" s="320">
        <f t="shared" si="112"/>
        <v>12602289.840000002</v>
      </c>
      <c r="P67" s="320">
        <f t="shared" si="113"/>
        <v>26710555.890710097</v>
      </c>
      <c r="Q67" s="320">
        <f t="shared" si="114"/>
        <v>0</v>
      </c>
      <c r="R67" s="320">
        <f t="shared" si="115"/>
        <v>589692.68596065149</v>
      </c>
      <c r="S67" s="321">
        <f t="shared" si="77"/>
        <v>39902538.416670747</v>
      </c>
      <c r="T67" s="337"/>
      <c r="U67" s="934">
        <f t="shared" si="109"/>
        <v>24829</v>
      </c>
      <c r="V67" s="934">
        <f t="shared" si="110"/>
        <v>54127220</v>
      </c>
      <c r="W67" s="341"/>
      <c r="X67" s="80"/>
    </row>
    <row r="68" spans="1:24" s="25" customFormat="1" ht="13" outlineLevel="1">
      <c r="A68" s="12">
        <v>7.06</v>
      </c>
      <c r="B68" s="123" t="s">
        <v>28</v>
      </c>
      <c r="C68" s="705" t="s">
        <v>89</v>
      </c>
      <c r="D68" s="546" t="s">
        <v>59</v>
      </c>
      <c r="E68" s="523">
        <f>+Locales!AA100</f>
        <v>255</v>
      </c>
      <c r="F68" s="263">
        <f>+Tareas!H128</f>
        <v>0</v>
      </c>
      <c r="G68" s="263">
        <f>+Tareas!I128</f>
        <v>0</v>
      </c>
      <c r="H68" s="258">
        <f t="shared" si="108"/>
        <v>0</v>
      </c>
      <c r="I68" s="263">
        <f>+Tareas!Q128</f>
        <v>13144.582643730666</v>
      </c>
      <c r="J68" s="263">
        <f>+Tareas!R128</f>
        <v>0</v>
      </c>
      <c r="K68" s="258">
        <f t="shared" si="116"/>
        <v>13144.582643730666</v>
      </c>
      <c r="L68" s="263">
        <f t="shared" si="118"/>
        <v>197.16873965596</v>
      </c>
      <c r="M68" s="258">
        <f>H68+K68+L68</f>
        <v>13341.751383386625</v>
      </c>
      <c r="N68" s="320">
        <f t="shared" si="111"/>
        <v>0</v>
      </c>
      <c r="O68" s="320">
        <f t="shared" si="112"/>
        <v>0</v>
      </c>
      <c r="P68" s="320">
        <f t="shared" si="113"/>
        <v>3351868.5741513199</v>
      </c>
      <c r="Q68" s="320">
        <f t="shared" si="114"/>
        <v>0</v>
      </c>
      <c r="R68" s="320">
        <f t="shared" si="115"/>
        <v>50278.028612269802</v>
      </c>
      <c r="S68" s="321">
        <f t="shared" si="77"/>
        <v>3402146.6027635899</v>
      </c>
      <c r="T68" s="337"/>
      <c r="U68" s="934">
        <f t="shared" si="109"/>
        <v>18098</v>
      </c>
      <c r="V68" s="934">
        <f t="shared" si="110"/>
        <v>4614990</v>
      </c>
      <c r="W68" s="341"/>
      <c r="X68" s="80"/>
    </row>
    <row r="69" spans="1:24" s="25" customFormat="1" ht="13" outlineLevel="1">
      <c r="A69" s="12">
        <v>7.07</v>
      </c>
      <c r="B69" s="123" t="s">
        <v>28</v>
      </c>
      <c r="C69" s="705" t="s">
        <v>90</v>
      </c>
      <c r="D69" s="546" t="s">
        <v>72</v>
      </c>
      <c r="E69" s="523">
        <f>+Locales!AB100</f>
        <v>102</v>
      </c>
      <c r="F69" s="263">
        <f>+Tareas!H130</f>
        <v>0</v>
      </c>
      <c r="G69" s="263">
        <f>+Tareas!I130</f>
        <v>1658.1176470588234</v>
      </c>
      <c r="H69" s="258">
        <f t="shared" si="108"/>
        <v>1658.1176470588234</v>
      </c>
      <c r="I69" s="263">
        <f>+Tareas!Q130</f>
        <v>13917.793387479527</v>
      </c>
      <c r="J69" s="263">
        <f>+Tareas!R130</f>
        <v>0</v>
      </c>
      <c r="K69" s="258">
        <f t="shared" si="116"/>
        <v>13917.793387479527</v>
      </c>
      <c r="L69" s="263">
        <f t="shared" si="118"/>
        <v>233.63866551807524</v>
      </c>
      <c r="M69" s="258">
        <f>H69+K69+L69</f>
        <v>15809.549700056426</v>
      </c>
      <c r="N69" s="320">
        <f t="shared" si="111"/>
        <v>0</v>
      </c>
      <c r="O69" s="320">
        <f t="shared" si="112"/>
        <v>169128</v>
      </c>
      <c r="P69" s="320">
        <f t="shared" si="113"/>
        <v>1419614.9255229118</v>
      </c>
      <c r="Q69" s="320">
        <f t="shared" si="114"/>
        <v>0</v>
      </c>
      <c r="R69" s="320">
        <f t="shared" si="115"/>
        <v>23831.143882843673</v>
      </c>
      <c r="S69" s="321">
        <f t="shared" si="77"/>
        <v>1612574.0694057555</v>
      </c>
      <c r="T69" s="337"/>
      <c r="U69" s="934">
        <f t="shared" si="109"/>
        <v>21446</v>
      </c>
      <c r="V69" s="934">
        <f t="shared" si="110"/>
        <v>2187492</v>
      </c>
      <c r="W69" s="341"/>
      <c r="X69" s="80"/>
    </row>
    <row r="70" spans="1:24" s="25" customFormat="1" ht="26" outlineLevel="1">
      <c r="A70" s="12">
        <v>7.08</v>
      </c>
      <c r="B70" s="123" t="s">
        <v>28</v>
      </c>
      <c r="C70" s="693" t="s">
        <v>91</v>
      </c>
      <c r="D70" s="546" t="s">
        <v>4</v>
      </c>
      <c r="E70" s="523">
        <f>+Locales!X100</f>
        <v>715</v>
      </c>
      <c r="F70" s="262"/>
      <c r="G70" s="264">
        <f>+'APU 06.25'!E23</f>
        <v>4061.1650940000004</v>
      </c>
      <c r="H70" s="258">
        <f t="shared" si="108"/>
        <v>4061.1650940000004</v>
      </c>
      <c r="I70" s="115"/>
      <c r="J70" s="264">
        <f>+'APU 06.25'!H23</f>
        <v>11697.516278234732</v>
      </c>
      <c r="K70" s="258">
        <f t="shared" si="116"/>
        <v>11697.516278234732</v>
      </c>
      <c r="L70" s="264">
        <f>+'APU 06.25'!K23</f>
        <v>333.62676835813119</v>
      </c>
      <c r="M70" s="258">
        <f t="shared" si="117"/>
        <v>16092.308140592864</v>
      </c>
      <c r="N70" s="320">
        <f t="shared" si="111"/>
        <v>0</v>
      </c>
      <c r="O70" s="320">
        <f t="shared" si="112"/>
        <v>2903733.0422100001</v>
      </c>
      <c r="P70" s="320">
        <f t="shared" si="113"/>
        <v>0</v>
      </c>
      <c r="Q70" s="320">
        <f t="shared" si="114"/>
        <v>8363724.1389378337</v>
      </c>
      <c r="R70" s="320">
        <f t="shared" si="115"/>
        <v>238543.1393760638</v>
      </c>
      <c r="S70" s="321">
        <f t="shared" si="77"/>
        <v>11506000.320523897</v>
      </c>
      <c r="T70" s="337"/>
      <c r="U70" s="934">
        <f t="shared" si="109"/>
        <v>21829</v>
      </c>
      <c r="V70" s="934">
        <f t="shared" si="110"/>
        <v>15607735</v>
      </c>
      <c r="W70" s="341"/>
      <c r="X70" s="80"/>
    </row>
    <row r="71" spans="1:24" ht="13">
      <c r="A71" s="535">
        <v>8</v>
      </c>
      <c r="B71" s="575"/>
      <c r="C71" s="691" t="s">
        <v>92</v>
      </c>
      <c r="D71" s="227"/>
      <c r="E71" s="228"/>
      <c r="F71" s="228"/>
      <c r="G71" s="228"/>
      <c r="H71" s="228"/>
      <c r="I71" s="228"/>
      <c r="J71" s="228"/>
      <c r="K71" s="228"/>
      <c r="L71" s="228"/>
      <c r="M71" s="256"/>
      <c r="N71" s="228"/>
      <c r="O71" s="228"/>
      <c r="P71" s="228"/>
      <c r="Q71" s="228"/>
      <c r="R71" s="228"/>
      <c r="S71" s="228"/>
      <c r="T71" s="335">
        <f>SUM(S72:S79)</f>
        <v>36751130.709939495</v>
      </c>
      <c r="U71" s="228"/>
      <c r="V71" s="228"/>
      <c r="W71" s="932">
        <f>SUM(V72:V79)</f>
        <v>49852854</v>
      </c>
      <c r="X71" s="80">
        <f>+W71/$W$213</f>
        <v>3.2358986340142885E-2</v>
      </c>
    </row>
    <row r="72" spans="1:24" s="25" customFormat="1" ht="13" outlineLevel="1">
      <c r="A72" s="193">
        <v>8.01</v>
      </c>
      <c r="B72" s="196" t="s">
        <v>28</v>
      </c>
      <c r="C72" s="692" t="s">
        <v>1808</v>
      </c>
      <c r="D72" s="548" t="s">
        <v>4</v>
      </c>
      <c r="E72" s="525">
        <f>+Locales!O100</f>
        <v>21</v>
      </c>
      <c r="F72" s="270"/>
      <c r="G72" s="268">
        <f>+'APU 06.25'!E25*0.2</f>
        <v>13595.3268924</v>
      </c>
      <c r="H72" s="257">
        <f>F72+G72</f>
        <v>13595.3268924</v>
      </c>
      <c r="I72" s="270"/>
      <c r="J72" s="268">
        <f>+'APU 06.25'!H25*0.2</f>
        <v>19696.193181845971</v>
      </c>
      <c r="K72" s="257">
        <f t="shared" ref="K72:K78" si="119">I72+J72</f>
        <v>19696.193181845971</v>
      </c>
      <c r="L72" s="268">
        <f>+'APU 06.25'!K25*0.2</f>
        <v>503.75749216141679</v>
      </c>
      <c r="M72" s="257">
        <f t="shared" ref="M72:M79" si="120">H72+K72+L72</f>
        <v>33795.277566407385</v>
      </c>
      <c r="N72" s="318">
        <f t="shared" ref="N72:N79" si="121">F72*E72</f>
        <v>0</v>
      </c>
      <c r="O72" s="318">
        <f t="shared" ref="O72:O79" si="122">G72*E72</f>
        <v>285501.86474039999</v>
      </c>
      <c r="P72" s="318">
        <f t="shared" ref="P72:P79" si="123">I72*E72</f>
        <v>0</v>
      </c>
      <c r="Q72" s="318">
        <f t="shared" ref="Q72:Q79" si="124">J72*E72</f>
        <v>413620.05681876536</v>
      </c>
      <c r="R72" s="318">
        <f t="shared" ref="R72:R79" si="125">+L72*E72</f>
        <v>10578.907335389753</v>
      </c>
      <c r="S72" s="319">
        <f t="shared" ref="S72:S79" si="126">SUM(N72:R72)</f>
        <v>709700.8288945551</v>
      </c>
      <c r="T72" s="342"/>
      <c r="U72" s="936">
        <f t="shared" ref="U72:U79" si="127">+ROUNDUP(M72*$T$5,0)</f>
        <v>45843</v>
      </c>
      <c r="V72" s="936">
        <f t="shared" ref="V72:V79" si="128">+U72*E72</f>
        <v>962703</v>
      </c>
      <c r="W72" s="935"/>
      <c r="X72" s="80"/>
    </row>
    <row r="73" spans="1:24" s="25" customFormat="1" ht="26" outlineLevel="1">
      <c r="A73" s="12">
        <v>8.02</v>
      </c>
      <c r="B73" s="123" t="s">
        <v>28</v>
      </c>
      <c r="C73" s="693" t="s">
        <v>1807</v>
      </c>
      <c r="D73" s="546" t="s">
        <v>4</v>
      </c>
      <c r="E73" s="523">
        <f>+Locales!P100</f>
        <v>201</v>
      </c>
      <c r="F73" s="322">
        <f>+Tareas!H133</f>
        <v>28415.373134328358</v>
      </c>
      <c r="G73" s="322">
        <f>+Tareas!I133</f>
        <v>2539.3791691542287</v>
      </c>
      <c r="H73" s="258">
        <f t="shared" ref="H73:H79" si="129">F73+G73</f>
        <v>30954.752303482586</v>
      </c>
      <c r="I73" s="263">
        <f>+Tareas!Q133</f>
        <v>0</v>
      </c>
      <c r="J73" s="263">
        <f>+Tareas!R133</f>
        <v>8768.7308756746588</v>
      </c>
      <c r="K73" s="258">
        <f t="shared" si="119"/>
        <v>8768.7308756746588</v>
      </c>
      <c r="L73" s="263">
        <f>+(H73+K73)*0.015</f>
        <v>595.85224768735861</v>
      </c>
      <c r="M73" s="258">
        <f t="shared" si="120"/>
        <v>40319.335426844598</v>
      </c>
      <c r="N73" s="320">
        <f t="shared" si="121"/>
        <v>5711490</v>
      </c>
      <c r="O73" s="320">
        <f t="shared" si="122"/>
        <v>510415.21299999999</v>
      </c>
      <c r="P73" s="320">
        <f t="shared" si="123"/>
        <v>0</v>
      </c>
      <c r="Q73" s="320">
        <f t="shared" si="124"/>
        <v>1762514.9060106063</v>
      </c>
      <c r="R73" s="320">
        <f t="shared" si="125"/>
        <v>119766.30178515908</v>
      </c>
      <c r="S73" s="321">
        <f t="shared" si="126"/>
        <v>8104186.4207957648</v>
      </c>
      <c r="T73" s="342"/>
      <c r="U73" s="936">
        <f t="shared" si="127"/>
        <v>54692</v>
      </c>
      <c r="V73" s="936">
        <f t="shared" si="128"/>
        <v>10993092</v>
      </c>
      <c r="W73" s="935"/>
      <c r="X73" s="80"/>
    </row>
    <row r="74" spans="1:24" s="25" customFormat="1" ht="26" outlineLevel="1">
      <c r="A74" s="12">
        <v>8.0299999999999994</v>
      </c>
      <c r="B74" s="123" t="s">
        <v>28</v>
      </c>
      <c r="C74" s="693" t="s">
        <v>93</v>
      </c>
      <c r="D74" s="546" t="s">
        <v>4</v>
      </c>
      <c r="E74" s="523">
        <f>+Locales!N100</f>
        <v>107</v>
      </c>
      <c r="F74" s="263"/>
      <c r="G74" s="264">
        <f>+'APU 06.25'!E25*0.2</f>
        <v>13595.3268924</v>
      </c>
      <c r="H74" s="258">
        <f t="shared" si="129"/>
        <v>13595.3268924</v>
      </c>
      <c r="I74" s="263"/>
      <c r="J74" s="264">
        <f>+'APU 06.25'!H25*0.2</f>
        <v>19696.193181845971</v>
      </c>
      <c r="K74" s="258">
        <f>I74+J74</f>
        <v>19696.193181845971</v>
      </c>
      <c r="L74" s="264">
        <f>+'APU 06.25'!K25*0.2</f>
        <v>503.75749216141679</v>
      </c>
      <c r="M74" s="258">
        <f t="shared" si="120"/>
        <v>33795.277566407385</v>
      </c>
      <c r="N74" s="320">
        <f t="shared" si="121"/>
        <v>0</v>
      </c>
      <c r="O74" s="320">
        <f t="shared" si="122"/>
        <v>1454699.9774867999</v>
      </c>
      <c r="P74" s="320">
        <f t="shared" si="123"/>
        <v>0</v>
      </c>
      <c r="Q74" s="320">
        <f t="shared" si="124"/>
        <v>2107492.6704575187</v>
      </c>
      <c r="R74" s="320">
        <f t="shared" si="125"/>
        <v>53902.051661271595</v>
      </c>
      <c r="S74" s="321">
        <f t="shared" si="126"/>
        <v>3616094.6996055902</v>
      </c>
      <c r="T74" s="342"/>
      <c r="U74" s="934">
        <f t="shared" si="127"/>
        <v>45843</v>
      </c>
      <c r="V74" s="934">
        <f t="shared" si="128"/>
        <v>4905201</v>
      </c>
      <c r="W74" s="935"/>
      <c r="X74" s="80"/>
    </row>
    <row r="75" spans="1:24" s="25" customFormat="1" ht="13" outlineLevel="1">
      <c r="A75" s="12">
        <v>8.0399999999999991</v>
      </c>
      <c r="B75" s="123" t="s">
        <v>28</v>
      </c>
      <c r="C75" s="693" t="s">
        <v>1865</v>
      </c>
      <c r="D75" s="546" t="s">
        <v>4</v>
      </c>
      <c r="E75" s="523">
        <f>+Locales!Q100</f>
        <v>850</v>
      </c>
      <c r="F75" s="263"/>
      <c r="G75" s="264">
        <f>+'APU 06.25'!E27</f>
        <v>6717.8752369750009</v>
      </c>
      <c r="H75" s="258">
        <f t="shared" si="129"/>
        <v>6717.8752369750009</v>
      </c>
      <c r="I75" s="263"/>
      <c r="J75" s="264">
        <f>+'APU 06.25'!H27</f>
        <v>11145.0220670823</v>
      </c>
      <c r="K75" s="258">
        <f t="shared" si="119"/>
        <v>11145.0220670823</v>
      </c>
      <c r="L75" s="264">
        <f>+'APU 06.25'!K27</f>
        <v>130.47811125144119</v>
      </c>
      <c r="M75" s="258">
        <f t="shared" si="120"/>
        <v>17993.375415308743</v>
      </c>
      <c r="N75" s="320">
        <f t="shared" si="121"/>
        <v>0</v>
      </c>
      <c r="O75" s="320">
        <f t="shared" si="122"/>
        <v>5710193.9514287505</v>
      </c>
      <c r="P75" s="320">
        <f t="shared" si="123"/>
        <v>0</v>
      </c>
      <c r="Q75" s="320">
        <f t="shared" si="124"/>
        <v>9473268.7570199557</v>
      </c>
      <c r="R75" s="320">
        <f t="shared" si="125"/>
        <v>110906.39456372501</v>
      </c>
      <c r="S75" s="321">
        <f t="shared" si="126"/>
        <v>15294369.103012431</v>
      </c>
      <c r="T75" s="342"/>
      <c r="U75" s="934">
        <f t="shared" si="127"/>
        <v>24408</v>
      </c>
      <c r="V75" s="934">
        <f t="shared" si="128"/>
        <v>20746800</v>
      </c>
      <c r="W75" s="935"/>
      <c r="X75" s="80"/>
    </row>
    <row r="76" spans="1:24" s="25" customFormat="1" ht="26" outlineLevel="1">
      <c r="A76" s="12">
        <v>8.0500000000000007</v>
      </c>
      <c r="B76" s="123" t="s">
        <v>28</v>
      </c>
      <c r="C76" s="693" t="s">
        <v>1866</v>
      </c>
      <c r="D76" s="546" t="s">
        <v>4</v>
      </c>
      <c r="E76" s="523">
        <f>+Locales!R100</f>
        <v>365</v>
      </c>
      <c r="F76" s="263"/>
      <c r="G76" s="264">
        <f>+'APU 06.25'!E26</f>
        <v>3420.3193200000005</v>
      </c>
      <c r="H76" s="258">
        <f t="shared" si="129"/>
        <v>3420.3193200000005</v>
      </c>
      <c r="I76" s="264"/>
      <c r="J76" s="264">
        <f>+'APU 06.25'!H26</f>
        <v>8295.6908247106203</v>
      </c>
      <c r="K76" s="258">
        <f t="shared" si="119"/>
        <v>8295.6908247106203</v>
      </c>
      <c r="L76" s="264">
        <f>+'APU 06.25'!K26</f>
        <v>235.08682967532781</v>
      </c>
      <c r="M76" s="258">
        <f t="shared" si="120"/>
        <v>11951.096974385948</v>
      </c>
      <c r="N76" s="320">
        <f t="shared" si="121"/>
        <v>0</v>
      </c>
      <c r="O76" s="320">
        <f t="shared" si="122"/>
        <v>1248416.5518000002</v>
      </c>
      <c r="P76" s="320">
        <f t="shared" si="123"/>
        <v>0</v>
      </c>
      <c r="Q76" s="320">
        <f t="shared" si="124"/>
        <v>3027927.1510193762</v>
      </c>
      <c r="R76" s="320">
        <f t="shared" si="125"/>
        <v>85806.692831494656</v>
      </c>
      <c r="S76" s="321">
        <f t="shared" si="126"/>
        <v>4362150.3956508711</v>
      </c>
      <c r="T76" s="342"/>
      <c r="U76" s="934">
        <f t="shared" si="127"/>
        <v>16212</v>
      </c>
      <c r="V76" s="934">
        <f t="shared" si="128"/>
        <v>5917380</v>
      </c>
      <c r="W76" s="935"/>
      <c r="X76" s="80"/>
    </row>
    <row r="77" spans="1:24" s="25" customFormat="1" ht="13" outlineLevel="1">
      <c r="A77" s="12">
        <v>8.06</v>
      </c>
      <c r="B77" s="123" t="s">
        <v>28</v>
      </c>
      <c r="C77" s="693" t="s">
        <v>1867</v>
      </c>
      <c r="D77" s="546" t="s">
        <v>4</v>
      </c>
      <c r="E77" s="523">
        <f>+Locales!S100</f>
        <v>357</v>
      </c>
      <c r="F77" s="263"/>
      <c r="G77" s="264">
        <f>+'APU 06.25'!E26</f>
        <v>3420.3193200000005</v>
      </c>
      <c r="H77" s="258">
        <f t="shared" si="129"/>
        <v>3420.3193200000005</v>
      </c>
      <c r="I77" s="264"/>
      <c r="J77" s="264">
        <f>+'APU 06.25'!H26</f>
        <v>8295.6908247106203</v>
      </c>
      <c r="K77" s="258">
        <f t="shared" si="119"/>
        <v>8295.6908247106203</v>
      </c>
      <c r="L77" s="264">
        <f>+'APU 06.25'!K26</f>
        <v>235.08682967532781</v>
      </c>
      <c r="M77" s="258">
        <f t="shared" si="120"/>
        <v>11951.096974385948</v>
      </c>
      <c r="N77" s="320">
        <f t="shared" si="121"/>
        <v>0</v>
      </c>
      <c r="O77" s="320">
        <f t="shared" si="122"/>
        <v>1221053.9972400002</v>
      </c>
      <c r="P77" s="320">
        <f t="shared" si="123"/>
        <v>0</v>
      </c>
      <c r="Q77" s="320">
        <f t="shared" si="124"/>
        <v>2961561.6244216915</v>
      </c>
      <c r="R77" s="320">
        <f t="shared" si="125"/>
        <v>83925.998194092026</v>
      </c>
      <c r="S77" s="321">
        <f t="shared" si="126"/>
        <v>4266541.6198557839</v>
      </c>
      <c r="T77" s="342"/>
      <c r="U77" s="934">
        <f t="shared" si="127"/>
        <v>16212</v>
      </c>
      <c r="V77" s="934">
        <f t="shared" si="128"/>
        <v>5787684</v>
      </c>
      <c r="W77" s="935"/>
      <c r="X77" s="80"/>
    </row>
    <row r="78" spans="1:24" s="25" customFormat="1" ht="13" outlineLevel="1">
      <c r="A78" s="12">
        <v>8.07</v>
      </c>
      <c r="B78" s="123" t="s">
        <v>35</v>
      </c>
      <c r="C78" s="693" t="s">
        <v>1809</v>
      </c>
      <c r="D78" s="546" t="s">
        <v>54</v>
      </c>
      <c r="E78" s="523">
        <v>0</v>
      </c>
      <c r="F78" s="263"/>
      <c r="G78" s="263"/>
      <c r="H78" s="258">
        <f t="shared" si="129"/>
        <v>0</v>
      </c>
      <c r="I78" s="263"/>
      <c r="J78" s="263"/>
      <c r="K78" s="258">
        <f t="shared" si="119"/>
        <v>0</v>
      </c>
      <c r="L78" s="263"/>
      <c r="M78" s="258">
        <f t="shared" si="120"/>
        <v>0</v>
      </c>
      <c r="N78" s="320">
        <f t="shared" si="121"/>
        <v>0</v>
      </c>
      <c r="O78" s="320">
        <f t="shared" si="122"/>
        <v>0</v>
      </c>
      <c r="P78" s="320">
        <f t="shared" si="123"/>
        <v>0</v>
      </c>
      <c r="Q78" s="320">
        <f t="shared" si="124"/>
        <v>0</v>
      </c>
      <c r="R78" s="320">
        <f t="shared" si="125"/>
        <v>0</v>
      </c>
      <c r="S78" s="321">
        <f>SUM(N78:R78)</f>
        <v>0</v>
      </c>
      <c r="T78" s="342"/>
      <c r="U78" s="934">
        <f t="shared" si="127"/>
        <v>0</v>
      </c>
      <c r="V78" s="934">
        <f t="shared" si="128"/>
        <v>0</v>
      </c>
      <c r="W78" s="935"/>
      <c r="X78" s="80"/>
    </row>
    <row r="79" spans="1:24" s="25" customFormat="1" ht="13" outlineLevel="1">
      <c r="A79" s="12">
        <v>8.08</v>
      </c>
      <c r="B79" s="123" t="s">
        <v>28</v>
      </c>
      <c r="C79" s="694" t="s">
        <v>1810</v>
      </c>
      <c r="D79" s="550" t="s">
        <v>54</v>
      </c>
      <c r="E79" s="524">
        <v>1</v>
      </c>
      <c r="F79" s="260">
        <f>+Tareas!H142</f>
        <v>0</v>
      </c>
      <c r="G79" s="260">
        <f>+Tareas!I142</f>
        <v>88498.550382000001</v>
      </c>
      <c r="H79" s="266">
        <f t="shared" si="129"/>
        <v>88498.550382000001</v>
      </c>
      <c r="I79" s="260">
        <f>+Tareas!Q142</f>
        <v>0</v>
      </c>
      <c r="J79" s="260">
        <f>+Tareas!R142</f>
        <v>303706.02313966805</v>
      </c>
      <c r="K79" s="266">
        <f>I79+J79</f>
        <v>303706.02313966805</v>
      </c>
      <c r="L79" s="263">
        <f>+(H79+K79)*0.015</f>
        <v>5883.0686028250202</v>
      </c>
      <c r="M79" s="266">
        <f t="shared" si="120"/>
        <v>398087.64212449302</v>
      </c>
      <c r="N79" s="324">
        <f t="shared" si="121"/>
        <v>0</v>
      </c>
      <c r="O79" s="324">
        <f t="shared" si="122"/>
        <v>88498.550382000001</v>
      </c>
      <c r="P79" s="324">
        <f t="shared" si="123"/>
        <v>0</v>
      </c>
      <c r="Q79" s="324">
        <f t="shared" si="124"/>
        <v>303706.02313966805</v>
      </c>
      <c r="R79" s="324">
        <f t="shared" si="125"/>
        <v>5883.0686028250202</v>
      </c>
      <c r="S79" s="325">
        <f t="shared" si="126"/>
        <v>398087.64212449302</v>
      </c>
      <c r="T79" s="307"/>
      <c r="U79" s="934">
        <f t="shared" si="127"/>
        <v>539994</v>
      </c>
      <c r="V79" s="934">
        <f t="shared" si="128"/>
        <v>539994</v>
      </c>
      <c r="W79" s="935"/>
      <c r="X79" s="80"/>
    </row>
    <row r="80" spans="1:24" ht="13">
      <c r="A80" s="535">
        <v>9</v>
      </c>
      <c r="B80" s="575"/>
      <c r="C80" s="691" t="s">
        <v>94</v>
      </c>
      <c r="D80" s="227"/>
      <c r="E80" s="228"/>
      <c r="F80" s="228"/>
      <c r="G80" s="228"/>
      <c r="H80" s="228"/>
      <c r="I80" s="228"/>
      <c r="J80" s="228"/>
      <c r="K80" s="228"/>
      <c r="L80" s="228"/>
      <c r="M80" s="256"/>
      <c r="N80" s="228"/>
      <c r="O80" s="228"/>
      <c r="P80" s="228"/>
      <c r="Q80" s="228"/>
      <c r="R80" s="228"/>
      <c r="S80" s="228"/>
      <c r="T80" s="335">
        <f>SUM(S81:S83)</f>
        <v>5878458.4255675683</v>
      </c>
      <c r="U80" s="228"/>
      <c r="V80" s="228"/>
      <c r="W80" s="932">
        <f>SUM(V81:V83)</f>
        <v>7973950</v>
      </c>
      <c r="X80" s="80">
        <f>+W80/$W$213</f>
        <v>5.1758107795991451E-3</v>
      </c>
    </row>
    <row r="81" spans="1:28" ht="26" outlineLevel="1">
      <c r="A81" s="530">
        <v>9.01</v>
      </c>
      <c r="B81" s="363" t="s">
        <v>28</v>
      </c>
      <c r="C81" s="706" t="s">
        <v>2368</v>
      </c>
      <c r="D81" s="673" t="s">
        <v>54</v>
      </c>
      <c r="E81" s="526">
        <v>1</v>
      </c>
      <c r="F81" s="674">
        <f>+Tareas!H147</f>
        <v>427508.24284309684</v>
      </c>
      <c r="G81" s="674">
        <f>+Tareas!I147</f>
        <v>0</v>
      </c>
      <c r="H81" s="258">
        <f>F81+G81</f>
        <v>427508.24284309684</v>
      </c>
      <c r="I81" s="674">
        <f>+Tareas!Q147</f>
        <v>0</v>
      </c>
      <c r="J81" s="674">
        <f>+Tareas!R147</f>
        <v>2044758.1970187626</v>
      </c>
      <c r="K81" s="258">
        <f>I81+J81</f>
        <v>2044758.1970187626</v>
      </c>
      <c r="L81" s="263">
        <f>+(H81+K81)*0.015</f>
        <v>37083.996597927886</v>
      </c>
      <c r="M81" s="258">
        <f>H81+K81+L81</f>
        <v>2509350.4364597872</v>
      </c>
      <c r="N81" s="320">
        <f>F81*E81</f>
        <v>427508.24284309684</v>
      </c>
      <c r="O81" s="320">
        <f>G81*E81</f>
        <v>0</v>
      </c>
      <c r="P81" s="320">
        <f>I81*E81</f>
        <v>0</v>
      </c>
      <c r="Q81" s="320">
        <f>J81*E81</f>
        <v>2044758.1970187626</v>
      </c>
      <c r="R81" s="320">
        <f>+L81*E81</f>
        <v>37083.996597927886</v>
      </c>
      <c r="S81" s="321">
        <f>SUM(N81:R81)</f>
        <v>2509350.4364597872</v>
      </c>
      <c r="T81" s="307"/>
      <c r="U81" s="934">
        <f>+ROUNDUP(M81*$T$5,0)</f>
        <v>3403853</v>
      </c>
      <c r="V81" s="934">
        <f>+U81*E81</f>
        <v>3403853</v>
      </c>
      <c r="W81" s="307"/>
      <c r="X81" s="81"/>
      <c r="Y81" s="542"/>
      <c r="Z81" s="542"/>
      <c r="AA81" s="542"/>
      <c r="AB81" s="356"/>
    </row>
    <row r="82" spans="1:28" ht="26" outlineLevel="1">
      <c r="A82" s="530">
        <v>9.02</v>
      </c>
      <c r="B82" s="363" t="s">
        <v>28</v>
      </c>
      <c r="C82" s="706" t="s">
        <v>2374</v>
      </c>
      <c r="D82" s="673" t="s">
        <v>54</v>
      </c>
      <c r="E82" s="526">
        <v>1</v>
      </c>
      <c r="F82" s="674">
        <f>+Tareas!H151</f>
        <v>463902.76859504136</v>
      </c>
      <c r="G82" s="674">
        <f>+Tareas!I151</f>
        <v>0</v>
      </c>
      <c r="H82" s="258">
        <f>F82+G82</f>
        <v>463902.76859504136</v>
      </c>
      <c r="I82" s="674">
        <f>+Tareas!Q151</f>
        <v>0</v>
      </c>
      <c r="J82" s="674">
        <f>+Tareas!R151</f>
        <v>1775796.2015776923</v>
      </c>
      <c r="K82" s="258">
        <f>I82+J82</f>
        <v>1775796.2015776923</v>
      </c>
      <c r="L82" s="263">
        <f>+(H82+K82)*0.015</f>
        <v>33595.484552590999</v>
      </c>
      <c r="M82" s="258">
        <f>H82+K82+L82</f>
        <v>2273294.4547253246</v>
      </c>
      <c r="N82" s="320">
        <f>F82*E82</f>
        <v>463902.76859504136</v>
      </c>
      <c r="O82" s="320">
        <f>G82*E82</f>
        <v>0</v>
      </c>
      <c r="P82" s="320">
        <f>I82*E82</f>
        <v>0</v>
      </c>
      <c r="Q82" s="320">
        <f>J82*E82</f>
        <v>1775796.2015776923</v>
      </c>
      <c r="R82" s="320">
        <f>+L82*E82</f>
        <v>33595.484552590999</v>
      </c>
      <c r="S82" s="321">
        <f>SUM(N82:R82)</f>
        <v>2273294.4547253246</v>
      </c>
      <c r="T82" s="307"/>
      <c r="U82" s="934">
        <f>+ROUNDUP(M82*$T$5,0)</f>
        <v>3083651</v>
      </c>
      <c r="V82" s="934">
        <f>+U82*E82</f>
        <v>3083651</v>
      </c>
      <c r="W82" s="307"/>
      <c r="X82" s="81"/>
      <c r="Y82" s="542"/>
      <c r="Z82" s="542"/>
      <c r="AA82" s="542"/>
      <c r="AB82" s="356"/>
    </row>
    <row r="83" spans="1:28" ht="26" outlineLevel="1">
      <c r="A83" s="12">
        <v>9.0299999999999994</v>
      </c>
      <c r="B83" s="123" t="s">
        <v>28</v>
      </c>
      <c r="C83" s="693" t="s">
        <v>2373</v>
      </c>
      <c r="D83" s="549" t="s">
        <v>59</v>
      </c>
      <c r="E83" s="523">
        <f>+Computo!G201</f>
        <v>114</v>
      </c>
      <c r="F83" s="263"/>
      <c r="G83" s="264">
        <f>+'APU 06.25'!E21</f>
        <v>827.27861400000006</v>
      </c>
      <c r="H83" s="258">
        <f>F83+G83</f>
        <v>827.27861400000006</v>
      </c>
      <c r="I83" s="684">
        <f>+J83</f>
        <v>4324.0477652730679</v>
      </c>
      <c r="J83" s="264">
        <f>+'APU 06.25'!H21</f>
        <v>4324.0477652730679</v>
      </c>
      <c r="K83" s="258">
        <f>I83+J83</f>
        <v>8648.0955305461357</v>
      </c>
      <c r="L83" s="264">
        <f>+'APU 06.25'!K21</f>
        <v>137.02527986137531</v>
      </c>
      <c r="M83" s="258">
        <f>H83+K83+L83</f>
        <v>9612.3994244075111</v>
      </c>
      <c r="N83" s="320">
        <f>F83*E83</f>
        <v>0</v>
      </c>
      <c r="O83" s="320">
        <f>G83*E83</f>
        <v>94309.761996000001</v>
      </c>
      <c r="P83" s="320">
        <f>I83*E83</f>
        <v>492941.44524112972</v>
      </c>
      <c r="Q83" s="320">
        <f>J83*E83</f>
        <v>492941.44524112972</v>
      </c>
      <c r="R83" s="320">
        <f>+L83*E83</f>
        <v>15620.881904196785</v>
      </c>
      <c r="S83" s="321">
        <f>SUM(N83:R83)</f>
        <v>1095813.5343824562</v>
      </c>
      <c r="T83" s="307"/>
      <c r="U83" s="934">
        <f>+ROUNDUP(M83*$T$5,0)</f>
        <v>13039</v>
      </c>
      <c r="V83" s="934">
        <f>+U83*E83</f>
        <v>1486446</v>
      </c>
      <c r="W83" s="307"/>
      <c r="X83" s="81"/>
    </row>
    <row r="84" spans="1:28" ht="26">
      <c r="A84" s="535">
        <v>10</v>
      </c>
      <c r="B84" s="575"/>
      <c r="C84" s="691" t="s">
        <v>1721</v>
      </c>
      <c r="D84" s="227"/>
      <c r="E84" s="228"/>
      <c r="F84" s="228"/>
      <c r="G84" s="228"/>
      <c r="H84" s="228"/>
      <c r="I84" s="228"/>
      <c r="J84" s="228"/>
      <c r="K84" s="228"/>
      <c r="L84" s="228"/>
      <c r="M84" s="256"/>
      <c r="N84" s="228"/>
      <c r="O84" s="228"/>
      <c r="P84" s="228"/>
      <c r="Q84" s="228"/>
      <c r="R84" s="228"/>
      <c r="S84" s="228"/>
      <c r="T84" s="335">
        <f>SUM(S85:S87)</f>
        <v>4784536.0258750627</v>
      </c>
      <c r="U84" s="228"/>
      <c r="V84" s="228"/>
      <c r="W84" s="932">
        <f>SUM(V85:V87)</f>
        <v>6490073</v>
      </c>
      <c r="X84" s="80">
        <f>+W84/$W$213</f>
        <v>4.2126411369252832E-3</v>
      </c>
    </row>
    <row r="85" spans="1:28" ht="26" outlineLevel="1">
      <c r="A85" s="193">
        <v>10.01</v>
      </c>
      <c r="B85" s="195" t="s">
        <v>28</v>
      </c>
      <c r="C85" s="692" t="s">
        <v>2352</v>
      </c>
      <c r="D85" s="553" t="s">
        <v>54</v>
      </c>
      <c r="E85" s="479">
        <v>1</v>
      </c>
      <c r="F85" s="263">
        <f>+Tareas!H157</f>
        <v>250000</v>
      </c>
      <c r="G85" s="263">
        <f>+Tareas!I157</f>
        <v>0</v>
      </c>
      <c r="H85" s="257">
        <f>F85+G85</f>
        <v>250000</v>
      </c>
      <c r="I85" s="263">
        <f>+Tareas!Q157</f>
        <v>0</v>
      </c>
      <c r="J85" s="263">
        <f>+Tareas!R157</f>
        <v>1663092.7624912898</v>
      </c>
      <c r="K85" s="257">
        <f>I85+J85</f>
        <v>1663092.7624912898</v>
      </c>
      <c r="L85" s="263">
        <f>(H85+K85)*0.015</f>
        <v>28696.391437369344</v>
      </c>
      <c r="M85" s="257">
        <f>H85+K85+L85</f>
        <v>1941789.1539286592</v>
      </c>
      <c r="N85" s="318">
        <f>F85*E85</f>
        <v>250000</v>
      </c>
      <c r="O85" s="318">
        <f>G85*E85</f>
        <v>0</v>
      </c>
      <c r="P85" s="318">
        <f>I85*E85</f>
        <v>0</v>
      </c>
      <c r="Q85" s="318">
        <f>J85*E85</f>
        <v>1663092.7624912898</v>
      </c>
      <c r="R85" s="318">
        <f>+L85*E85</f>
        <v>28696.391437369344</v>
      </c>
      <c r="S85" s="319">
        <f>SUM(N85:R85)</f>
        <v>1941789.1539286592</v>
      </c>
      <c r="T85" s="337"/>
      <c r="U85" s="934">
        <f>+ROUNDUP(M85*$T$5,0)</f>
        <v>2633975</v>
      </c>
      <c r="V85" s="934">
        <f>+U85*E85</f>
        <v>2633975</v>
      </c>
      <c r="X85" s="80"/>
    </row>
    <row r="86" spans="1:28" ht="26" outlineLevel="1">
      <c r="A86" s="12">
        <v>10.02</v>
      </c>
      <c r="B86" s="8" t="s">
        <v>28</v>
      </c>
      <c r="C86" s="693" t="s">
        <v>2353</v>
      </c>
      <c r="D86" s="443" t="s">
        <v>54</v>
      </c>
      <c r="E86" s="480">
        <v>1</v>
      </c>
      <c r="F86" s="263">
        <f>+Tareas!H160</f>
        <v>250000</v>
      </c>
      <c r="G86" s="263">
        <f>+Tareas!I160</f>
        <v>0</v>
      </c>
      <c r="H86" s="258">
        <f>F86+G86</f>
        <v>250000</v>
      </c>
      <c r="I86" s="263">
        <f>+Tareas!Q160</f>
        <v>0</v>
      </c>
      <c r="J86" s="263">
        <f>+Tareas!R160</f>
        <v>1663092.7624912898</v>
      </c>
      <c r="K86" s="258">
        <f>I86+J86</f>
        <v>1663092.7624912898</v>
      </c>
      <c r="L86" s="263">
        <f>(H86+K86)*0.015</f>
        <v>28696.391437369344</v>
      </c>
      <c r="M86" s="258">
        <f>H86+K86+L86</f>
        <v>1941789.1539286592</v>
      </c>
      <c r="N86" s="320">
        <f>F86*E86</f>
        <v>250000</v>
      </c>
      <c r="O86" s="320">
        <f>G86*E86</f>
        <v>0</v>
      </c>
      <c r="P86" s="320">
        <f>I86*E86</f>
        <v>0</v>
      </c>
      <c r="Q86" s="320">
        <f>J86*E86</f>
        <v>1663092.7624912898</v>
      </c>
      <c r="R86" s="320">
        <f>+L86*E86</f>
        <v>28696.391437369344</v>
      </c>
      <c r="S86" s="321">
        <f>SUM(N86:R86)</f>
        <v>1941789.1539286592</v>
      </c>
      <c r="T86" s="337"/>
      <c r="U86" s="934">
        <f>+ROUNDUP(M86*$T$5,0)</f>
        <v>2633975</v>
      </c>
      <c r="V86" s="934">
        <f>+U86*E86</f>
        <v>2633975</v>
      </c>
      <c r="W86" s="939"/>
      <c r="X86" s="80"/>
    </row>
    <row r="87" spans="1:28" s="25" customFormat="1" ht="26" outlineLevel="1">
      <c r="A87" s="403">
        <v>10.029999999999999</v>
      </c>
      <c r="B87" s="178" t="s">
        <v>28</v>
      </c>
      <c r="C87" s="694" t="s">
        <v>1889</v>
      </c>
      <c r="D87" s="550" t="s">
        <v>72</v>
      </c>
      <c r="E87" s="524">
        <v>7</v>
      </c>
      <c r="F87" s="263">
        <f>+Tareas!H163</f>
        <v>31772.280991735541</v>
      </c>
      <c r="G87" s="263">
        <f>+Tareas!I163</f>
        <v>0</v>
      </c>
      <c r="H87" s="266">
        <f>F87+G87</f>
        <v>31772.280991735541</v>
      </c>
      <c r="I87" s="263">
        <f>+Tareas!Q163</f>
        <v>0</v>
      </c>
      <c r="J87" s="263">
        <f>+Tareas!R163</f>
        <v>95033.872142359411</v>
      </c>
      <c r="K87" s="266">
        <f>I87+J87</f>
        <v>95033.872142359411</v>
      </c>
      <c r="L87" s="263">
        <f>(H87+K87)*0.015</f>
        <v>1902.0922970114243</v>
      </c>
      <c r="M87" s="266">
        <f>H87+K87+L87</f>
        <v>128708.24543110638</v>
      </c>
      <c r="N87" s="324">
        <f>F87*E87</f>
        <v>222405.96694214878</v>
      </c>
      <c r="O87" s="324">
        <f>G87*E87</f>
        <v>0</v>
      </c>
      <c r="P87" s="324">
        <f>I87*E87</f>
        <v>0</v>
      </c>
      <c r="Q87" s="324">
        <f>J87*E87</f>
        <v>665237.1049965159</v>
      </c>
      <c r="R87" s="324">
        <f>+L87*E87</f>
        <v>13314.64607907997</v>
      </c>
      <c r="S87" s="325">
        <f>SUM(N87:R87)</f>
        <v>900957.7180177446</v>
      </c>
      <c r="T87" s="337"/>
      <c r="U87" s="934">
        <f>+ROUNDUP(M87*$T$5,0)</f>
        <v>174589</v>
      </c>
      <c r="V87" s="934">
        <f>+U87*E87</f>
        <v>1222123</v>
      </c>
      <c r="W87" s="935"/>
      <c r="X87" s="80"/>
    </row>
    <row r="88" spans="1:28" ht="13">
      <c r="A88" s="535">
        <v>11</v>
      </c>
      <c r="B88" s="575"/>
      <c r="C88" s="691" t="s">
        <v>1905</v>
      </c>
      <c r="D88" s="227"/>
      <c r="E88" s="228"/>
      <c r="F88" s="228"/>
      <c r="G88" s="228"/>
      <c r="H88" s="228"/>
      <c r="I88" s="228"/>
      <c r="J88" s="228"/>
      <c r="K88" s="228"/>
      <c r="L88" s="228"/>
      <c r="M88" s="256"/>
      <c r="N88" s="228"/>
      <c r="O88" s="228"/>
      <c r="P88" s="228"/>
      <c r="Q88" s="228"/>
      <c r="R88" s="228"/>
      <c r="S88" s="228"/>
      <c r="T88" s="335">
        <f>SUM(S89:S95)</f>
        <v>27324424.68684407</v>
      </c>
      <c r="U88" s="228"/>
      <c r="V88" s="228"/>
      <c r="W88" s="932">
        <f>SUM(V89:V95)</f>
        <v>37065194</v>
      </c>
      <c r="X88" s="80">
        <f>+W88/$W$213</f>
        <v>2.4058644793751346E-2</v>
      </c>
    </row>
    <row r="89" spans="1:28" ht="26" outlineLevel="1">
      <c r="A89" s="193">
        <v>11.01</v>
      </c>
      <c r="B89" s="196" t="s">
        <v>28</v>
      </c>
      <c r="C89" s="692" t="s">
        <v>2188</v>
      </c>
      <c r="D89" s="551" t="s">
        <v>4</v>
      </c>
      <c r="E89" s="525">
        <f>+Locales!BE100</f>
        <v>101</v>
      </c>
      <c r="F89" s="270"/>
      <c r="G89" s="268">
        <f>+'APU 06.25'!E36</f>
        <v>6932.2708051239661</v>
      </c>
      <c r="H89" s="257">
        <f>F89+G89</f>
        <v>6932.2708051239661</v>
      </c>
      <c r="I89" s="270"/>
      <c r="J89" s="268">
        <f>+'APU 06.25'!H36</f>
        <v>12793.021249932997</v>
      </c>
      <c r="K89" s="257">
        <f>I89+J89</f>
        <v>12793.021249932997</v>
      </c>
      <c r="L89" s="268">
        <f>+'APU 06.25'!K36</f>
        <v>245.43420967337988</v>
      </c>
      <c r="M89" s="257">
        <f t="shared" ref="M89:M91" si="130">H89+K89+L89</f>
        <v>19970.726264730343</v>
      </c>
      <c r="N89" s="318">
        <f t="shared" ref="N89:N91" si="131">F89*E89</f>
        <v>0</v>
      </c>
      <c r="O89" s="318">
        <f t="shared" ref="O89:O91" si="132">G89*E89</f>
        <v>700159.3513175206</v>
      </c>
      <c r="P89" s="318">
        <f t="shared" ref="P89:P91" si="133">I89*E89</f>
        <v>0</v>
      </c>
      <c r="Q89" s="318">
        <f t="shared" ref="Q89:Q91" si="134">J89*E89</f>
        <v>1292095.1462432328</v>
      </c>
      <c r="R89" s="318">
        <f t="shared" ref="R89:R91" si="135">+L89*E89</f>
        <v>24788.85517701137</v>
      </c>
      <c r="S89" s="319">
        <f t="shared" ref="S89:S91" si="136">SUM(N89:R89)</f>
        <v>2017043.3527377648</v>
      </c>
      <c r="T89" s="342"/>
      <c r="U89" s="934">
        <f t="shared" ref="U89:U91" si="137">+ROUNDUP(M89*$T$5,0)</f>
        <v>27090</v>
      </c>
      <c r="V89" s="934">
        <f t="shared" ref="V89:V91" si="138">+U89*E89</f>
        <v>2736090</v>
      </c>
      <c r="W89" s="341"/>
      <c r="X89" s="81"/>
    </row>
    <row r="90" spans="1:28" ht="26" outlineLevel="1">
      <c r="A90" s="12">
        <v>11.02</v>
      </c>
      <c r="B90" s="123" t="s">
        <v>28</v>
      </c>
      <c r="C90" s="693" t="s">
        <v>95</v>
      </c>
      <c r="D90" s="549" t="s">
        <v>4</v>
      </c>
      <c r="E90" s="523">
        <f>+Locales!BF100</f>
        <v>898</v>
      </c>
      <c r="F90" s="263"/>
      <c r="G90" s="264">
        <f>+'APU 06.25'!E36</f>
        <v>6932.2708051239661</v>
      </c>
      <c r="H90" s="258">
        <f t="shared" ref="H90:H95" si="139">F90+G90</f>
        <v>6932.2708051239661</v>
      </c>
      <c r="I90" s="263"/>
      <c r="J90" s="264">
        <f>+'APU 06.25'!H36</f>
        <v>12793.021249932997</v>
      </c>
      <c r="K90" s="258">
        <f t="shared" ref="K90:K95" si="140">I90+J90</f>
        <v>12793.021249932997</v>
      </c>
      <c r="L90" s="264">
        <f>+'APU 06.25'!K36</f>
        <v>245.43420967337988</v>
      </c>
      <c r="M90" s="258">
        <f t="shared" si="130"/>
        <v>19970.726264730343</v>
      </c>
      <c r="N90" s="320">
        <f t="shared" si="131"/>
        <v>0</v>
      </c>
      <c r="O90" s="320">
        <f t="shared" si="132"/>
        <v>6225179.1830013217</v>
      </c>
      <c r="P90" s="320">
        <f t="shared" si="133"/>
        <v>0</v>
      </c>
      <c r="Q90" s="320">
        <f t="shared" si="134"/>
        <v>11488133.082439832</v>
      </c>
      <c r="R90" s="320">
        <f t="shared" si="135"/>
        <v>220399.92028669512</v>
      </c>
      <c r="S90" s="321">
        <f t="shared" si="136"/>
        <v>17933712.18572785</v>
      </c>
      <c r="T90" s="307"/>
      <c r="U90" s="934">
        <f t="shared" si="137"/>
        <v>27090</v>
      </c>
      <c r="V90" s="934">
        <f t="shared" si="138"/>
        <v>24326820</v>
      </c>
      <c r="W90" s="307"/>
      <c r="X90" s="81"/>
    </row>
    <row r="91" spans="1:28" ht="26" outlineLevel="1">
      <c r="A91" s="12">
        <v>11.03</v>
      </c>
      <c r="B91" s="123" t="s">
        <v>28</v>
      </c>
      <c r="C91" s="693" t="s">
        <v>96</v>
      </c>
      <c r="D91" s="549" t="s">
        <v>4</v>
      </c>
      <c r="E91" s="523">
        <f>+Locales!BG100</f>
        <v>88</v>
      </c>
      <c r="F91" s="263"/>
      <c r="G91" s="264">
        <f>+'APU 06.25'!E37</f>
        <v>6932.2708051239661</v>
      </c>
      <c r="H91" s="258">
        <f t="shared" si="139"/>
        <v>6932.2708051239661</v>
      </c>
      <c r="I91" s="263"/>
      <c r="J91" s="264">
        <f>+'APU 06.25'!H37</f>
        <v>16630.927624912896</v>
      </c>
      <c r="K91" s="258">
        <f t="shared" si="140"/>
        <v>16630.927624912896</v>
      </c>
      <c r="L91" s="264">
        <f>+'APU 06.25'!K37</f>
        <v>319.06447257539384</v>
      </c>
      <c r="M91" s="258">
        <f t="shared" si="130"/>
        <v>23882.262902612259</v>
      </c>
      <c r="N91" s="320">
        <f t="shared" si="131"/>
        <v>0</v>
      </c>
      <c r="O91" s="320">
        <f t="shared" si="132"/>
        <v>610039.830850909</v>
      </c>
      <c r="P91" s="320">
        <f t="shared" si="133"/>
        <v>0</v>
      </c>
      <c r="Q91" s="320">
        <f t="shared" si="134"/>
        <v>1463521.6309923348</v>
      </c>
      <c r="R91" s="320">
        <f t="shared" si="135"/>
        <v>28077.673586634657</v>
      </c>
      <c r="S91" s="321">
        <f t="shared" si="136"/>
        <v>2101639.1354298783</v>
      </c>
      <c r="T91" s="307"/>
      <c r="U91" s="934">
        <f t="shared" si="137"/>
        <v>32396</v>
      </c>
      <c r="V91" s="934">
        <f t="shared" si="138"/>
        <v>2850848</v>
      </c>
      <c r="W91" s="307"/>
      <c r="X91" s="81"/>
    </row>
    <row r="92" spans="1:28" ht="13" outlineLevel="1">
      <c r="A92" s="12">
        <v>11.04</v>
      </c>
      <c r="B92" s="123" t="s">
        <v>28</v>
      </c>
      <c r="C92" s="701" t="s">
        <v>1814</v>
      </c>
      <c r="D92" s="549" t="s">
        <v>4</v>
      </c>
      <c r="E92" s="523">
        <f>+Locales!BD100</f>
        <v>63</v>
      </c>
      <c r="F92" s="263"/>
      <c r="G92" s="264">
        <f>+'APU 06.25'!E36</f>
        <v>6932.2708051239661</v>
      </c>
      <c r="H92" s="258">
        <f t="shared" si="139"/>
        <v>6932.2708051239661</v>
      </c>
      <c r="I92" s="263"/>
      <c r="J92" s="264">
        <f>+'APU 06.25'!H36</f>
        <v>12793.021249932997</v>
      </c>
      <c r="K92" s="258">
        <f t="shared" si="140"/>
        <v>12793.021249932997</v>
      </c>
      <c r="L92" s="264">
        <f>+'APU 06.25'!K36</f>
        <v>245.43420967337988</v>
      </c>
      <c r="M92" s="258">
        <f t="shared" ref="M92" si="141">H92+K92+L92</f>
        <v>19970.726264730343</v>
      </c>
      <c r="N92" s="320">
        <f t="shared" ref="N92" si="142">F92*E92</f>
        <v>0</v>
      </c>
      <c r="O92" s="320">
        <f t="shared" ref="O92" si="143">G92*E92</f>
        <v>436733.06072280987</v>
      </c>
      <c r="P92" s="320">
        <f t="shared" ref="P92" si="144">I92*E92</f>
        <v>0</v>
      </c>
      <c r="Q92" s="320">
        <f t="shared" ref="Q92" si="145">J92*E92</f>
        <v>805960.33874577878</v>
      </c>
      <c r="R92" s="320">
        <f t="shared" ref="R92" si="146">+L92*E92</f>
        <v>15462.355209422933</v>
      </c>
      <c r="S92" s="321">
        <f t="shared" ref="S92" si="147">SUM(N92:R92)</f>
        <v>1258155.7546780116</v>
      </c>
      <c r="T92" s="307"/>
      <c r="U92" s="934">
        <f t="shared" ref="U92" si="148">+ROUNDUP(M92*$T$5,0)</f>
        <v>27090</v>
      </c>
      <c r="V92" s="934">
        <f t="shared" ref="V92" si="149">+U92*E92</f>
        <v>1706670</v>
      </c>
      <c r="W92" s="307"/>
      <c r="X92" s="81"/>
    </row>
    <row r="93" spans="1:28" ht="13" outlineLevel="1">
      <c r="A93" s="12">
        <v>11.05</v>
      </c>
      <c r="B93" s="123" t="s">
        <v>28</v>
      </c>
      <c r="C93" s="693" t="s">
        <v>1815</v>
      </c>
      <c r="D93" s="549" t="s">
        <v>4</v>
      </c>
      <c r="E93" s="523">
        <f>+Locales!BI100</f>
        <v>25</v>
      </c>
      <c r="F93" s="263"/>
      <c r="G93" s="264"/>
      <c r="H93" s="258">
        <f t="shared" si="139"/>
        <v>0</v>
      </c>
      <c r="I93" s="263"/>
      <c r="J93" s="264"/>
      <c r="K93" s="258">
        <f t="shared" si="140"/>
        <v>0</v>
      </c>
      <c r="L93" s="264"/>
      <c r="M93" s="258">
        <f t="shared" ref="M93:M95" si="150">H93+K93+L93</f>
        <v>0</v>
      </c>
      <c r="N93" s="320">
        <f t="shared" ref="N93:N95" si="151">F93*E93</f>
        <v>0</v>
      </c>
      <c r="O93" s="320">
        <f t="shared" ref="O93:O95" si="152">G93*E93</f>
        <v>0</v>
      </c>
      <c r="P93" s="320">
        <f t="shared" ref="P93:P95" si="153">I93*E93</f>
        <v>0</v>
      </c>
      <c r="Q93" s="320">
        <f t="shared" ref="Q93:Q95" si="154">J93*E93</f>
        <v>0</v>
      </c>
      <c r="R93" s="320">
        <f t="shared" ref="R93:R95" si="155">+L93*E93</f>
        <v>0</v>
      </c>
      <c r="S93" s="321">
        <f t="shared" ref="S93:S95" si="156">SUM(N93:R93)</f>
        <v>0</v>
      </c>
      <c r="T93" s="307"/>
      <c r="U93" s="934">
        <f t="shared" ref="U93:U95" si="157">+ROUNDUP(M93*$T$5,0)</f>
        <v>0</v>
      </c>
      <c r="V93" s="934">
        <f t="shared" ref="V93:V95" si="158">+U93*E93</f>
        <v>0</v>
      </c>
      <c r="W93" s="307"/>
      <c r="X93" s="81"/>
    </row>
    <row r="94" spans="1:28" s="25" customFormat="1" ht="26" outlineLevel="1">
      <c r="A94" s="12">
        <v>11.06</v>
      </c>
      <c r="B94" s="123" t="s">
        <v>28</v>
      </c>
      <c r="C94" s="693" t="s">
        <v>97</v>
      </c>
      <c r="D94" s="546" t="s">
        <v>4</v>
      </c>
      <c r="E94" s="523">
        <f>+Locales!BH100</f>
        <v>27</v>
      </c>
      <c r="F94" s="263"/>
      <c r="G94" s="264">
        <f>+'APU 06.25'!E29</f>
        <v>4104.3831840000012</v>
      </c>
      <c r="H94" s="258">
        <f t="shared" si="139"/>
        <v>4104.3831840000012</v>
      </c>
      <c r="I94" s="263"/>
      <c r="J94" s="264">
        <f>+'APU 06.25'!H29</f>
        <v>11112.816288145448</v>
      </c>
      <c r="K94" s="258">
        <f t="shared" si="140"/>
        <v>11112.816288145448</v>
      </c>
      <c r="L94" s="264">
        <f>+'APU 06.25'!K29</f>
        <v>306.63499522868841</v>
      </c>
      <c r="M94" s="258">
        <f t="shared" si="150"/>
        <v>15523.834467374139</v>
      </c>
      <c r="N94" s="320">
        <f t="shared" si="151"/>
        <v>0</v>
      </c>
      <c r="O94" s="320">
        <f t="shared" si="152"/>
        <v>110818.34596800004</v>
      </c>
      <c r="P94" s="320">
        <f t="shared" si="153"/>
        <v>0</v>
      </c>
      <c r="Q94" s="320">
        <f t="shared" si="154"/>
        <v>300046.03977992712</v>
      </c>
      <c r="R94" s="320">
        <f t="shared" si="155"/>
        <v>8279.144871174587</v>
      </c>
      <c r="S94" s="321">
        <f t="shared" si="156"/>
        <v>419143.53061910172</v>
      </c>
      <c r="T94" s="307"/>
      <c r="U94" s="934">
        <f t="shared" si="157"/>
        <v>21058</v>
      </c>
      <c r="V94" s="934">
        <f t="shared" si="158"/>
        <v>568566</v>
      </c>
      <c r="W94" s="935"/>
      <c r="X94" s="80"/>
    </row>
    <row r="95" spans="1:28" ht="26" outlineLevel="1">
      <c r="A95" s="12">
        <v>11.07</v>
      </c>
      <c r="B95" s="123" t="s">
        <v>28</v>
      </c>
      <c r="C95" s="693" t="s">
        <v>98</v>
      </c>
      <c r="D95" s="549" t="s">
        <v>4</v>
      </c>
      <c r="E95" s="523">
        <f>+Locales!BJ100</f>
        <v>180</v>
      </c>
      <c r="F95" s="263"/>
      <c r="G95" s="264">
        <f>+'APU 06.25'!E36</f>
        <v>6932.2708051239661</v>
      </c>
      <c r="H95" s="258">
        <f t="shared" si="139"/>
        <v>6932.2708051239661</v>
      </c>
      <c r="I95" s="263"/>
      <c r="J95" s="264">
        <f>+'APU 06.25'!H36</f>
        <v>12793.021249932997</v>
      </c>
      <c r="K95" s="258">
        <f t="shared" si="140"/>
        <v>12793.021249932997</v>
      </c>
      <c r="L95" s="264">
        <f>+'APU 06.25'!K36</f>
        <v>245.43420967337988</v>
      </c>
      <c r="M95" s="258">
        <f t="shared" si="150"/>
        <v>19970.726264730343</v>
      </c>
      <c r="N95" s="320">
        <f t="shared" si="151"/>
        <v>0</v>
      </c>
      <c r="O95" s="320">
        <f t="shared" si="152"/>
        <v>1247808.7449223138</v>
      </c>
      <c r="P95" s="320">
        <f t="shared" si="153"/>
        <v>0</v>
      </c>
      <c r="Q95" s="320">
        <f t="shared" si="154"/>
        <v>2302743.8249879396</v>
      </c>
      <c r="R95" s="320">
        <f t="shared" si="155"/>
        <v>44178.157741208379</v>
      </c>
      <c r="S95" s="321">
        <f t="shared" si="156"/>
        <v>3594730.727651462</v>
      </c>
      <c r="T95" s="307"/>
      <c r="U95" s="934">
        <f t="shared" si="157"/>
        <v>27090</v>
      </c>
      <c r="V95" s="934">
        <f t="shared" si="158"/>
        <v>4876200</v>
      </c>
      <c r="W95" s="341"/>
      <c r="X95" s="81"/>
    </row>
    <row r="96" spans="1:28" ht="26">
      <c r="A96" s="535">
        <v>12</v>
      </c>
      <c r="B96" s="575"/>
      <c r="C96" s="691" t="s">
        <v>1906</v>
      </c>
      <c r="D96" s="227"/>
      <c r="E96" s="228"/>
      <c r="F96" s="228"/>
      <c r="G96" s="228"/>
      <c r="H96" s="228"/>
      <c r="I96" s="228"/>
      <c r="J96" s="228"/>
      <c r="K96" s="228"/>
      <c r="L96" s="228"/>
      <c r="M96" s="256"/>
      <c r="N96" s="228"/>
      <c r="O96" s="228"/>
      <c r="P96" s="228"/>
      <c r="Q96" s="228"/>
      <c r="R96" s="228"/>
      <c r="S96" s="228"/>
      <c r="T96" s="335">
        <f>SUM(S97:S100)</f>
        <v>11405978.079095781</v>
      </c>
      <c r="U96" s="228"/>
      <c r="V96" s="228"/>
      <c r="W96" s="932">
        <f>SUM(V97:V100)</f>
        <v>15472374</v>
      </c>
      <c r="X96" s="80">
        <f>+W96/$W$213</f>
        <v>1.0042962413256862E-2</v>
      </c>
    </row>
    <row r="97" spans="1:24" ht="26" outlineLevel="1">
      <c r="A97" s="193">
        <v>12.01</v>
      </c>
      <c r="B97" s="196" t="s">
        <v>28</v>
      </c>
      <c r="C97" s="692" t="s">
        <v>1888</v>
      </c>
      <c r="D97" s="551" t="s">
        <v>59</v>
      </c>
      <c r="E97" s="525">
        <f>+Locales!BL100</f>
        <v>792</v>
      </c>
      <c r="F97" s="270">
        <f>+Tareas!H169</f>
        <v>4349.9864345938731</v>
      </c>
      <c r="G97" s="270">
        <f>+Tareas!I169</f>
        <v>0</v>
      </c>
      <c r="H97" s="257">
        <f>F97+G97</f>
        <v>4349.9864345938731</v>
      </c>
      <c r="I97" s="270">
        <f>+Tareas!Q169</f>
        <v>0</v>
      </c>
      <c r="J97" s="270">
        <f>+Tareas!R169</f>
        <v>5122.3554254865312</v>
      </c>
      <c r="K97" s="257">
        <f>I97+J97</f>
        <v>5122.3554254865312</v>
      </c>
      <c r="L97" s="270">
        <f>(H97+K97)*0.015</f>
        <v>142.08512790120605</v>
      </c>
      <c r="M97" s="257">
        <f>H97+K97+L97</f>
        <v>9614.4269879816093</v>
      </c>
      <c r="N97" s="318">
        <f>F97*E97</f>
        <v>3445189.2561983475</v>
      </c>
      <c r="O97" s="318">
        <f>G97*E97</f>
        <v>0</v>
      </c>
      <c r="P97" s="318">
        <f>I97*E97</f>
        <v>0</v>
      </c>
      <c r="Q97" s="318">
        <f>J97*E97</f>
        <v>4056905.4969853326</v>
      </c>
      <c r="R97" s="318">
        <f>+L97*E97</f>
        <v>112531.42129775519</v>
      </c>
      <c r="S97" s="319">
        <f>SUM(N97:R97)</f>
        <v>7614626.1744814347</v>
      </c>
      <c r="T97" s="337"/>
      <c r="U97" s="934">
        <f>+ROUNDUP(M97*$T$5,0)</f>
        <v>13042</v>
      </c>
      <c r="V97" s="934">
        <f>+U97*E97</f>
        <v>10329264</v>
      </c>
      <c r="X97" s="80"/>
    </row>
    <row r="98" spans="1:24" ht="26" outlineLevel="1">
      <c r="A98" s="530">
        <v>12.02</v>
      </c>
      <c r="B98" s="363" t="s">
        <v>28</v>
      </c>
      <c r="C98" s="706" t="s">
        <v>2350</v>
      </c>
      <c r="D98" s="673" t="s">
        <v>59</v>
      </c>
      <c r="E98" s="526">
        <f>+Locales!BN100</f>
        <v>282</v>
      </c>
      <c r="F98" s="674"/>
      <c r="G98" s="264">
        <f>+'APU 06.25'!E38</f>
        <v>1001.4972036694213</v>
      </c>
      <c r="H98" s="258">
        <f>F98+G98</f>
        <v>1001.4972036694213</v>
      </c>
      <c r="I98" s="674"/>
      <c r="J98" s="264">
        <f>+'APU 06.25'!H38</f>
        <v>5543.6425416376323</v>
      </c>
      <c r="K98" s="258">
        <f>I98+J98</f>
        <v>5543.6425416376323</v>
      </c>
      <c r="L98" s="264">
        <f>+'APU 06.25'!K38</f>
        <v>106.35482419179795</v>
      </c>
      <c r="M98" s="258">
        <f>H98+K98+L98</f>
        <v>6651.4945694988519</v>
      </c>
      <c r="N98" s="320">
        <f t="shared" ref="N98:N99" si="159">F98*E98</f>
        <v>0</v>
      </c>
      <c r="O98" s="320">
        <f t="shared" ref="O98:O99" si="160">G98*E98</f>
        <v>282422.21143477684</v>
      </c>
      <c r="P98" s="320">
        <f t="shared" ref="P98:P99" si="161">I98*E98</f>
        <v>0</v>
      </c>
      <c r="Q98" s="320">
        <f t="shared" ref="Q98:Q99" si="162">J98*E98</f>
        <v>1563307.1967418124</v>
      </c>
      <c r="R98" s="320">
        <f t="shared" ref="R98:R99" si="163">+L98*E98</f>
        <v>29992.060422087019</v>
      </c>
      <c r="S98" s="321">
        <f t="shared" ref="S98:S99" si="164">SUM(N98:R98)</f>
        <v>1875721.4685986764</v>
      </c>
      <c r="T98" s="337"/>
      <c r="U98" s="934">
        <f t="shared" ref="U98:U99" si="165">+ROUNDUP(M98*$T$5,0)</f>
        <v>9023</v>
      </c>
      <c r="V98" s="934">
        <f t="shared" ref="V98:V99" si="166">+U98*E98</f>
        <v>2544486</v>
      </c>
      <c r="X98" s="80"/>
    </row>
    <row r="99" spans="1:24" ht="13" outlineLevel="1">
      <c r="A99" s="530">
        <v>12.03</v>
      </c>
      <c r="B99" s="363" t="s">
        <v>28</v>
      </c>
      <c r="C99" s="1652" t="s">
        <v>2351</v>
      </c>
      <c r="D99" s="673" t="s">
        <v>59</v>
      </c>
      <c r="E99" s="526">
        <f>+Locales!BO100</f>
        <v>263</v>
      </c>
      <c r="F99" s="674"/>
      <c r="G99" s="264">
        <f>+'APU 06.25'!E38</f>
        <v>1001.4972036694213</v>
      </c>
      <c r="H99" s="258">
        <f>F99+G99</f>
        <v>1001.4972036694213</v>
      </c>
      <c r="I99" s="674"/>
      <c r="J99" s="264">
        <f>+'APU 06.25'!H38</f>
        <v>5543.6425416376323</v>
      </c>
      <c r="K99" s="258">
        <f>I99+J99</f>
        <v>5543.6425416376323</v>
      </c>
      <c r="L99" s="264">
        <f>+'APU 06.25'!K38</f>
        <v>106.35482419179795</v>
      </c>
      <c r="M99" s="258">
        <f>H99+K99+L99</f>
        <v>6651.4945694988519</v>
      </c>
      <c r="N99" s="320">
        <f t="shared" si="159"/>
        <v>0</v>
      </c>
      <c r="O99" s="320">
        <f t="shared" si="160"/>
        <v>263393.76456505782</v>
      </c>
      <c r="P99" s="320">
        <f t="shared" si="161"/>
        <v>0</v>
      </c>
      <c r="Q99" s="320">
        <f t="shared" si="162"/>
        <v>1457977.9884506974</v>
      </c>
      <c r="R99" s="320">
        <f t="shared" si="163"/>
        <v>27971.318762442861</v>
      </c>
      <c r="S99" s="321">
        <f t="shared" si="164"/>
        <v>1749343.071778198</v>
      </c>
      <c r="T99" s="337"/>
      <c r="U99" s="934">
        <f t="shared" si="165"/>
        <v>9023</v>
      </c>
      <c r="V99" s="934">
        <f t="shared" si="166"/>
        <v>2373049</v>
      </c>
      <c r="X99" s="80"/>
    </row>
    <row r="100" spans="1:24" ht="26" outlineLevel="1">
      <c r="A100" s="403">
        <v>12.04</v>
      </c>
      <c r="B100" s="178" t="s">
        <v>28</v>
      </c>
      <c r="C100" s="694" t="s">
        <v>1816</v>
      </c>
      <c r="D100" s="552" t="s">
        <v>59</v>
      </c>
      <c r="E100" s="524">
        <f>+Locales!BK100</f>
        <v>25</v>
      </c>
      <c r="F100" s="260"/>
      <c r="G100" s="264">
        <f>+'APU 06.25'!E38</f>
        <v>1001.4972036694213</v>
      </c>
      <c r="H100" s="266">
        <f>F100+G100</f>
        <v>1001.4972036694213</v>
      </c>
      <c r="I100" s="260"/>
      <c r="J100" s="264">
        <f>+'APU 06.25'!H38</f>
        <v>5543.6425416376323</v>
      </c>
      <c r="K100" s="266">
        <f>I100+J100</f>
        <v>5543.6425416376323</v>
      </c>
      <c r="L100" s="264">
        <f>+'APU 06.25'!K38</f>
        <v>106.35482419179795</v>
      </c>
      <c r="M100" s="266">
        <f>H100+K100+L100</f>
        <v>6651.4945694988519</v>
      </c>
      <c r="N100" s="324">
        <f>F100*E100</f>
        <v>0</v>
      </c>
      <c r="O100" s="324">
        <f>G100*E100</f>
        <v>25037.430091735532</v>
      </c>
      <c r="P100" s="324">
        <f>I100*E100</f>
        <v>0</v>
      </c>
      <c r="Q100" s="324">
        <f>J100*E100</f>
        <v>138591.06354094081</v>
      </c>
      <c r="R100" s="324">
        <f>+L100*E100</f>
        <v>2658.8706047949486</v>
      </c>
      <c r="S100" s="325">
        <f>SUM(N100:R100)</f>
        <v>166287.36423747128</v>
      </c>
      <c r="T100" s="337"/>
      <c r="U100" s="934">
        <f>+ROUNDUP(M100*$T$5,0)</f>
        <v>9023</v>
      </c>
      <c r="V100" s="934">
        <f>+U100*E100</f>
        <v>225575</v>
      </c>
      <c r="X100" s="80"/>
    </row>
    <row r="101" spans="1:24" ht="26">
      <c r="A101" s="535">
        <v>13</v>
      </c>
      <c r="B101" s="575"/>
      <c r="C101" s="691" t="s">
        <v>1907</v>
      </c>
      <c r="D101" s="227"/>
      <c r="E101" s="228"/>
      <c r="F101" s="228"/>
      <c r="G101" s="228"/>
      <c r="H101" s="228"/>
      <c r="I101" s="228"/>
      <c r="J101" s="228"/>
      <c r="K101" s="228"/>
      <c r="L101" s="228"/>
      <c r="M101" s="256"/>
      <c r="N101" s="228"/>
      <c r="O101" s="228"/>
      <c r="P101" s="228"/>
      <c r="Q101" s="228"/>
      <c r="R101" s="228"/>
      <c r="S101" s="228"/>
      <c r="T101" s="335">
        <f>SUM(S102:S104)</f>
        <v>14743328.343565872</v>
      </c>
      <c r="U101" s="228"/>
      <c r="V101" s="228"/>
      <c r="W101" s="932">
        <f>SUM(V102:V104)</f>
        <v>19999196</v>
      </c>
      <c r="X101" s="80">
        <f>+W101/$W$213</f>
        <v>1.298127706345238E-2</v>
      </c>
    </row>
    <row r="102" spans="1:24" ht="13" outlineLevel="1">
      <c r="A102" s="123">
        <v>13.01</v>
      </c>
      <c r="B102" s="123" t="s">
        <v>28</v>
      </c>
      <c r="C102" s="701" t="s">
        <v>99</v>
      </c>
      <c r="D102" s="443" t="s">
        <v>4</v>
      </c>
      <c r="E102" s="480">
        <f>+Locales!BR100</f>
        <v>493</v>
      </c>
      <c r="F102" s="264"/>
      <c r="G102" s="264">
        <f>+'APU 06.25'!E37</f>
        <v>6932.2708051239661</v>
      </c>
      <c r="H102" s="258">
        <f t="shared" ref="H102:H104" si="167">F102+G102</f>
        <v>6932.2708051239661</v>
      </c>
      <c r="I102" s="264"/>
      <c r="J102" s="264">
        <f>+'APU 06.25'!H37</f>
        <v>16630.927624912896</v>
      </c>
      <c r="K102" s="258">
        <f t="shared" ref="K102:K104" si="168">I102+J102</f>
        <v>16630.927624912896</v>
      </c>
      <c r="L102" s="264">
        <f>+'APU 06.25'!K37</f>
        <v>319.06447257539384</v>
      </c>
      <c r="M102" s="258">
        <f t="shared" ref="M102:M104" si="169">H102+K102+L102</f>
        <v>23882.262902612259</v>
      </c>
      <c r="N102" s="320">
        <f t="shared" ref="N102:N104" si="170">F102*E102</f>
        <v>0</v>
      </c>
      <c r="O102" s="320">
        <f t="shared" ref="O102:O104" si="171">G102*E102</f>
        <v>3417609.5069261151</v>
      </c>
      <c r="P102" s="320">
        <f t="shared" ref="P102:P104" si="172">I102*E102</f>
        <v>0</v>
      </c>
      <c r="Q102" s="320">
        <f t="shared" ref="Q102:Q104" si="173">J102*E102</f>
        <v>8199047.319082058</v>
      </c>
      <c r="R102" s="320">
        <f t="shared" ref="R102:R104" si="174">+L102*E102</f>
        <v>157298.78497966917</v>
      </c>
      <c r="S102" s="321">
        <f t="shared" ref="S102:S104" si="175">SUM(N102:R102)</f>
        <v>11773955.610987842</v>
      </c>
      <c r="T102" s="307"/>
      <c r="U102" s="934">
        <f t="shared" ref="U102:U104" si="176">+ROUNDUP(M102*$T$5,0)</f>
        <v>32396</v>
      </c>
      <c r="V102" s="934">
        <f t="shared" ref="V102:V104" si="177">+U102*E102</f>
        <v>15971228</v>
      </c>
      <c r="X102" s="80"/>
    </row>
    <row r="103" spans="1:24" ht="13" outlineLevel="1">
      <c r="A103" s="123">
        <v>13.02</v>
      </c>
      <c r="B103" s="123" t="s">
        <v>28</v>
      </c>
      <c r="C103" s="701" t="s">
        <v>1486</v>
      </c>
      <c r="D103" s="443" t="s">
        <v>4</v>
      </c>
      <c r="E103" s="480">
        <f>+Locales!BQ100</f>
        <v>82</v>
      </c>
      <c r="F103" s="264"/>
      <c r="G103" s="264">
        <f>+'APU 06.25'!E37</f>
        <v>6932.2708051239661</v>
      </c>
      <c r="H103" s="258">
        <f t="shared" si="167"/>
        <v>6932.2708051239661</v>
      </c>
      <c r="I103" s="264"/>
      <c r="J103" s="264">
        <f>+'APU 06.25'!H37</f>
        <v>16630.927624912896</v>
      </c>
      <c r="K103" s="258">
        <f t="shared" si="168"/>
        <v>16630.927624912896</v>
      </c>
      <c r="L103" s="264">
        <f>+'APU 06.25'!K37</f>
        <v>319.06447257539384</v>
      </c>
      <c r="M103" s="258">
        <f t="shared" si="169"/>
        <v>23882.262902612259</v>
      </c>
      <c r="N103" s="320">
        <f t="shared" si="170"/>
        <v>0</v>
      </c>
      <c r="O103" s="320">
        <f t="shared" si="171"/>
        <v>568446.20602016523</v>
      </c>
      <c r="P103" s="320">
        <f t="shared" si="172"/>
        <v>0</v>
      </c>
      <c r="Q103" s="320">
        <f t="shared" si="173"/>
        <v>1363736.0652428574</v>
      </c>
      <c r="R103" s="320">
        <f t="shared" si="174"/>
        <v>26163.286751182295</v>
      </c>
      <c r="S103" s="321">
        <f t="shared" si="175"/>
        <v>1958345.558014205</v>
      </c>
      <c r="T103" s="307"/>
      <c r="U103" s="934">
        <f t="shared" si="176"/>
        <v>32396</v>
      </c>
      <c r="V103" s="934">
        <f t="shared" si="177"/>
        <v>2656472</v>
      </c>
      <c r="X103" s="80"/>
    </row>
    <row r="104" spans="1:24" ht="39" outlineLevel="1">
      <c r="A104" s="123">
        <v>13.03</v>
      </c>
      <c r="B104" s="178" t="s">
        <v>28</v>
      </c>
      <c r="C104" s="694" t="s">
        <v>2344</v>
      </c>
      <c r="D104" s="554" t="s">
        <v>59</v>
      </c>
      <c r="E104" s="481">
        <f>+Computo!F132</f>
        <v>152</v>
      </c>
      <c r="F104" s="122"/>
      <c r="G104" s="264">
        <f>+'APU 06.25'!E38</f>
        <v>1001.4972036694213</v>
      </c>
      <c r="H104" s="266">
        <f t="shared" si="167"/>
        <v>1001.4972036694213</v>
      </c>
      <c r="I104" s="122"/>
      <c r="J104" s="264">
        <f>+'APU 06.25'!H38</f>
        <v>5543.6425416376323</v>
      </c>
      <c r="K104" s="266">
        <f t="shared" si="168"/>
        <v>5543.6425416376323</v>
      </c>
      <c r="L104" s="264">
        <f>+'APU 06.25'!K38</f>
        <v>106.35482419179795</v>
      </c>
      <c r="M104" s="266">
        <f t="shared" si="169"/>
        <v>6651.4945694988519</v>
      </c>
      <c r="N104" s="324">
        <f t="shared" si="170"/>
        <v>0</v>
      </c>
      <c r="O104" s="324">
        <f t="shared" si="171"/>
        <v>152227.57495775205</v>
      </c>
      <c r="P104" s="324">
        <f t="shared" si="172"/>
        <v>0</v>
      </c>
      <c r="Q104" s="324">
        <f t="shared" si="173"/>
        <v>842633.66632892017</v>
      </c>
      <c r="R104" s="324">
        <f t="shared" si="174"/>
        <v>16165.933277153288</v>
      </c>
      <c r="S104" s="325">
        <f t="shared" si="175"/>
        <v>1011027.1745638255</v>
      </c>
      <c r="T104" s="307"/>
      <c r="U104" s="940">
        <f t="shared" si="176"/>
        <v>9023</v>
      </c>
      <c r="V104" s="940">
        <f t="shared" si="177"/>
        <v>1371496</v>
      </c>
      <c r="X104" s="80"/>
    </row>
    <row r="105" spans="1:24" s="25" customFormat="1" ht="13">
      <c r="A105" s="535">
        <v>14</v>
      </c>
      <c r="B105" s="575"/>
      <c r="C105" s="691" t="s">
        <v>100</v>
      </c>
      <c r="D105" s="227"/>
      <c r="E105" s="228"/>
      <c r="F105" s="228"/>
      <c r="G105" s="228"/>
      <c r="H105" s="228"/>
      <c r="I105" s="228"/>
      <c r="J105" s="228"/>
      <c r="K105" s="228"/>
      <c r="L105" s="228"/>
      <c r="M105" s="256"/>
      <c r="N105" s="228"/>
      <c r="O105" s="228"/>
      <c r="P105" s="228"/>
      <c r="Q105" s="228"/>
      <c r="R105" s="228"/>
      <c r="S105" s="228"/>
      <c r="T105" s="335">
        <f>SUM(S106:S113)</f>
        <v>35257728.48419439</v>
      </c>
      <c r="U105" s="228"/>
      <c r="V105" s="228"/>
      <c r="W105" s="932">
        <f>SUM(V106:V113)</f>
        <v>47826580</v>
      </c>
      <c r="X105" s="80">
        <f>+W105/$W$213</f>
        <v>3.1043752257709278E-2</v>
      </c>
    </row>
    <row r="106" spans="1:24" ht="13" outlineLevel="1">
      <c r="A106" s="193">
        <f>+A105+0.01</f>
        <v>14.01</v>
      </c>
      <c r="B106" s="196" t="s">
        <v>28</v>
      </c>
      <c r="C106" s="692" t="s">
        <v>1811</v>
      </c>
      <c r="D106" s="553" t="s">
        <v>4</v>
      </c>
      <c r="E106" s="479">
        <f>+Locales!AL100</f>
        <v>146</v>
      </c>
      <c r="F106" s="268">
        <f>+'APU 06.25'!E40</f>
        <v>10667.044969530953</v>
      </c>
      <c r="G106" s="268"/>
      <c r="H106" s="257">
        <f>F106+G106</f>
        <v>10667.044969530953</v>
      </c>
      <c r="I106" s="268">
        <f>+'APU 06.25'!H40</f>
        <v>17506.239605171471</v>
      </c>
      <c r="J106" s="268"/>
      <c r="K106" s="257">
        <f>I106+J106</f>
        <v>17506.239605171471</v>
      </c>
      <c r="L106" s="268">
        <f>+'APU 06.25'!K40</f>
        <v>286.6463366158178</v>
      </c>
      <c r="M106" s="257">
        <f>H106+K106+L106</f>
        <v>28459.930911318243</v>
      </c>
      <c r="N106" s="318">
        <f>F106*E106</f>
        <v>1557388.5655515192</v>
      </c>
      <c r="O106" s="318">
        <f>G106*E106</f>
        <v>0</v>
      </c>
      <c r="P106" s="318">
        <f>I106*E106</f>
        <v>2555910.9823550349</v>
      </c>
      <c r="Q106" s="318">
        <f>J106*E106</f>
        <v>0</v>
      </c>
      <c r="R106" s="318">
        <f>+L106*E106</f>
        <v>41850.365145909396</v>
      </c>
      <c r="S106" s="319">
        <f>SUM(N106:R106)</f>
        <v>4155149.9130524639</v>
      </c>
      <c r="T106" s="337"/>
      <c r="U106" s="934">
        <f>+ROUNDUP(M106*$T$5,0)</f>
        <v>38605</v>
      </c>
      <c r="V106" s="934">
        <f>+U106*E106</f>
        <v>5636330</v>
      </c>
      <c r="X106" s="80"/>
    </row>
    <row r="107" spans="1:24" ht="13" outlineLevel="1">
      <c r="A107" s="12">
        <v>14.02</v>
      </c>
      <c r="B107" s="123" t="s">
        <v>28</v>
      </c>
      <c r="C107" s="693" t="s">
        <v>1812</v>
      </c>
      <c r="D107" s="443" t="s">
        <v>4</v>
      </c>
      <c r="E107" s="480">
        <f>+Locales!AM100</f>
        <v>89</v>
      </c>
      <c r="F107" s="264">
        <f>+'APU 06.25'!E41</f>
        <v>14748.700231069415</v>
      </c>
      <c r="G107" s="264"/>
      <c r="H107" s="258">
        <f t="shared" ref="H107:H113" si="178">F107+G107</f>
        <v>14748.700231069415</v>
      </c>
      <c r="I107" s="264">
        <f>+'APU 06.25'!H41</f>
        <v>17506.239605171471</v>
      </c>
      <c r="J107" s="264"/>
      <c r="K107" s="258">
        <f t="shared" ref="K107:K113" si="179">I107+J107</f>
        <v>17506.239605171471</v>
      </c>
      <c r="L107" s="264">
        <f>+'APU 06.25'!K41</f>
        <v>286.6463366158178</v>
      </c>
      <c r="M107" s="258">
        <f>H107+K107+L107</f>
        <v>32541.586172856703</v>
      </c>
      <c r="N107" s="320">
        <f>F107*E107</f>
        <v>1312634.3205651781</v>
      </c>
      <c r="O107" s="320">
        <f>G107*E107</f>
        <v>0</v>
      </c>
      <c r="P107" s="320">
        <f>I107*E107</f>
        <v>1558055.3248602611</v>
      </c>
      <c r="Q107" s="320">
        <f>J107*E107</f>
        <v>0</v>
      </c>
      <c r="R107" s="320">
        <f>+L107*E107</f>
        <v>25511.523958807786</v>
      </c>
      <c r="S107" s="321">
        <f>SUM(N107:R107)</f>
        <v>2896201.1693842467</v>
      </c>
      <c r="T107" s="337"/>
      <c r="U107" s="934">
        <f>+ROUNDUP(M107*$T$5,0)</f>
        <v>44142</v>
      </c>
      <c r="V107" s="934">
        <f>+U107*E107</f>
        <v>3928638</v>
      </c>
      <c r="X107" s="80"/>
    </row>
    <row r="108" spans="1:24" ht="13" outlineLevel="1">
      <c r="A108" s="12">
        <v>14.03</v>
      </c>
      <c r="B108" s="123" t="s">
        <v>28</v>
      </c>
      <c r="C108" s="693" t="s">
        <v>101</v>
      </c>
      <c r="D108" s="443" t="s">
        <v>59</v>
      </c>
      <c r="E108" s="480">
        <f>+Locales!AP100</f>
        <v>62</v>
      </c>
      <c r="F108" s="264">
        <f>+'APU 06.25'!E40</f>
        <v>10667.044969530953</v>
      </c>
      <c r="G108" s="264">
        <f>+'APU 06.25'!E60</f>
        <v>987.17450099173561</v>
      </c>
      <c r="H108" s="258">
        <f t="shared" si="178"/>
        <v>11654.219470522688</v>
      </c>
      <c r="I108" s="264">
        <f>+'APU 06.25'!H40</f>
        <v>17506.239605171471</v>
      </c>
      <c r="J108" s="264">
        <f>+'APU 06.25'!H60</f>
        <v>6278.4758589025905</v>
      </c>
      <c r="K108" s="258">
        <f t="shared" si="179"/>
        <v>23784.715464074063</v>
      </c>
      <c r="L108" s="264">
        <f>+'APU 06.25'!K40+'APU 06.25'!K60</f>
        <v>468.18901647250243</v>
      </c>
      <c r="M108" s="258">
        <f t="shared" ref="M108:M113" si="180">H108+K108+L108</f>
        <v>35907.123951069254</v>
      </c>
      <c r="N108" s="320">
        <f t="shared" ref="N108:N113" si="181">F108*E108</f>
        <v>661356.78811091906</v>
      </c>
      <c r="O108" s="320">
        <f t="shared" ref="O108:O113" si="182">G108*E108</f>
        <v>61204.819061487608</v>
      </c>
      <c r="P108" s="320">
        <f t="shared" ref="P108:P113" si="183">I108*E108</f>
        <v>1085386.8555206312</v>
      </c>
      <c r="Q108" s="320">
        <f t="shared" ref="Q108:Q113" si="184">J108*E108</f>
        <v>389265.50325196062</v>
      </c>
      <c r="R108" s="320">
        <f t="shared" ref="R108:R113" si="185">+L108*E108</f>
        <v>29027.71902129515</v>
      </c>
      <c r="S108" s="321">
        <f t="shared" ref="S108:S113" si="186">SUM(N108:R108)</f>
        <v>2226241.6849662936</v>
      </c>
      <c r="T108" s="337"/>
      <c r="U108" s="934">
        <f>+ROUNDUP(M108*$T$5,0)</f>
        <v>48707</v>
      </c>
      <c r="V108" s="934">
        <f>+U108*E108</f>
        <v>3019834</v>
      </c>
      <c r="X108" s="80"/>
    </row>
    <row r="109" spans="1:24" ht="13" outlineLevel="1">
      <c r="A109" s="12">
        <v>14.04</v>
      </c>
      <c r="B109" s="123" t="s">
        <v>28</v>
      </c>
      <c r="C109" s="693" t="s">
        <v>102</v>
      </c>
      <c r="D109" s="443" t="s">
        <v>59</v>
      </c>
      <c r="E109" s="480">
        <f>+Locales!AO102</f>
        <v>689</v>
      </c>
      <c r="F109" s="264">
        <f>+'APU 06.25'!E60</f>
        <v>987.17450099173561</v>
      </c>
      <c r="G109" s="263"/>
      <c r="H109" s="258">
        <f t="shared" si="178"/>
        <v>987.17450099173561</v>
      </c>
      <c r="I109" s="264">
        <f>+'APU 06.25'!H60</f>
        <v>6278.4758589025905</v>
      </c>
      <c r="J109" s="263"/>
      <c r="K109" s="258">
        <f t="shared" si="179"/>
        <v>6278.4758589025905</v>
      </c>
      <c r="L109" s="264">
        <f>+'APU 06.25'!K60</f>
        <v>181.5426798566846</v>
      </c>
      <c r="M109" s="258">
        <f t="shared" si="180"/>
        <v>7447.1930397510114</v>
      </c>
      <c r="N109" s="320">
        <f t="shared" si="181"/>
        <v>680163.23118330585</v>
      </c>
      <c r="O109" s="320">
        <f t="shared" si="182"/>
        <v>0</v>
      </c>
      <c r="P109" s="320">
        <f t="shared" si="183"/>
        <v>4325869.8667838853</v>
      </c>
      <c r="Q109" s="320">
        <f t="shared" si="184"/>
        <v>0</v>
      </c>
      <c r="R109" s="320">
        <f t="shared" si="185"/>
        <v>125082.90642125568</v>
      </c>
      <c r="S109" s="321">
        <f t="shared" si="186"/>
        <v>5131116.004388446</v>
      </c>
      <c r="T109" s="337"/>
      <c r="U109" s="934">
        <f t="shared" ref="U109:U113" si="187">+ROUNDUP(M109*$T$5,0)</f>
        <v>10102</v>
      </c>
      <c r="V109" s="934">
        <f t="shared" ref="V109:V113" si="188">+U109*E109</f>
        <v>6960278</v>
      </c>
      <c r="X109" s="80"/>
    </row>
    <row r="110" spans="1:24" s="25" customFormat="1" ht="13" outlineLevel="1">
      <c r="A110" s="12">
        <v>14.05</v>
      </c>
      <c r="B110" s="123" t="s">
        <v>28</v>
      </c>
      <c r="C110" s="693" t="s">
        <v>103</v>
      </c>
      <c r="D110" s="443" t="s">
        <v>4</v>
      </c>
      <c r="E110" s="480">
        <f>+Locales!AR100</f>
        <v>668</v>
      </c>
      <c r="F110" s="263">
        <f>+Tareas!H174</f>
        <v>0</v>
      </c>
      <c r="G110" s="263">
        <f>+Tareas!I174</f>
        <v>6515.4063473053884</v>
      </c>
      <c r="H110" s="258">
        <f t="shared" si="178"/>
        <v>6515.4063473053884</v>
      </c>
      <c r="I110" s="263">
        <f>+Tareas!Q174</f>
        <v>12252.548573720227</v>
      </c>
      <c r="J110" s="263">
        <f>+Tareas!R174</f>
        <v>0</v>
      </c>
      <c r="K110" s="258">
        <f t="shared" si="179"/>
        <v>12252.548573720227</v>
      </c>
      <c r="L110" s="263">
        <f>+(H110+K110)*0.015</f>
        <v>281.51932381538421</v>
      </c>
      <c r="M110" s="258">
        <f t="shared" si="180"/>
        <v>19049.474244841</v>
      </c>
      <c r="N110" s="320">
        <f t="shared" si="181"/>
        <v>0</v>
      </c>
      <c r="O110" s="320">
        <f t="shared" si="182"/>
        <v>4352291.4399999995</v>
      </c>
      <c r="P110" s="320">
        <f t="shared" si="183"/>
        <v>8184702.4472451117</v>
      </c>
      <c r="Q110" s="320">
        <f t="shared" si="184"/>
        <v>0</v>
      </c>
      <c r="R110" s="320">
        <f t="shared" si="185"/>
        <v>188054.90830867665</v>
      </c>
      <c r="S110" s="321">
        <f t="shared" si="186"/>
        <v>12725048.795553789</v>
      </c>
      <c r="T110" s="337"/>
      <c r="U110" s="934">
        <f t="shared" si="187"/>
        <v>25840</v>
      </c>
      <c r="V110" s="934">
        <f t="shared" si="188"/>
        <v>17261120</v>
      </c>
      <c r="W110" s="935"/>
      <c r="X110" s="80"/>
    </row>
    <row r="111" spans="1:24" s="25" customFormat="1" ht="13" outlineLevel="1">
      <c r="A111" s="12">
        <v>14.06</v>
      </c>
      <c r="B111" s="123" t="s">
        <v>28</v>
      </c>
      <c r="C111" s="693" t="s">
        <v>104</v>
      </c>
      <c r="D111" s="443" t="s">
        <v>59</v>
      </c>
      <c r="E111" s="480">
        <f>+Locales!AS100</f>
        <v>446</v>
      </c>
      <c r="F111" s="263"/>
      <c r="G111" s="115"/>
      <c r="H111" s="258">
        <f t="shared" si="178"/>
        <v>0</v>
      </c>
      <c r="I111" s="365">
        <f>+SUBCONTRATOS!D33</f>
        <v>13144.582643730666</v>
      </c>
      <c r="J111" s="115"/>
      <c r="K111" s="258">
        <f t="shared" si="179"/>
        <v>13144.582643730666</v>
      </c>
      <c r="L111" s="263">
        <f>+(H111+K111)*0.015</f>
        <v>197.16873965596</v>
      </c>
      <c r="M111" s="258">
        <f t="shared" si="180"/>
        <v>13341.751383386625</v>
      </c>
      <c r="N111" s="320">
        <f t="shared" si="181"/>
        <v>0</v>
      </c>
      <c r="O111" s="320">
        <f t="shared" si="182"/>
        <v>0</v>
      </c>
      <c r="P111" s="320">
        <f t="shared" si="183"/>
        <v>5862483.8591038771</v>
      </c>
      <c r="Q111" s="320">
        <f t="shared" si="184"/>
        <v>0</v>
      </c>
      <c r="R111" s="320">
        <f t="shared" si="185"/>
        <v>87937.25788655816</v>
      </c>
      <c r="S111" s="321">
        <f t="shared" si="186"/>
        <v>5950421.1169904349</v>
      </c>
      <c r="T111" s="337"/>
      <c r="U111" s="934">
        <f t="shared" si="187"/>
        <v>18098</v>
      </c>
      <c r="V111" s="934">
        <f t="shared" si="188"/>
        <v>8071708</v>
      </c>
      <c r="W111" s="935"/>
      <c r="X111" s="80"/>
    </row>
    <row r="112" spans="1:24" s="25" customFormat="1" ht="13" outlineLevel="1">
      <c r="A112" s="12">
        <v>14.07</v>
      </c>
      <c r="B112" s="123" t="s">
        <v>28</v>
      </c>
      <c r="C112" s="693" t="s">
        <v>89</v>
      </c>
      <c r="D112" s="875" t="s">
        <v>59</v>
      </c>
      <c r="E112" s="876">
        <f>+Locales!AT100</f>
        <v>2</v>
      </c>
      <c r="F112" s="263"/>
      <c r="G112" s="115"/>
      <c r="H112" s="258">
        <f t="shared" si="178"/>
        <v>0</v>
      </c>
      <c r="I112" s="365">
        <f>+SUBCONTRATOS!D34</f>
        <v>13144.582643730666</v>
      </c>
      <c r="J112" s="115"/>
      <c r="K112" s="258">
        <f t="shared" si="179"/>
        <v>13144.582643730666</v>
      </c>
      <c r="L112" s="263"/>
      <c r="M112" s="258">
        <f t="shared" si="180"/>
        <v>13144.582643730666</v>
      </c>
      <c r="N112" s="320">
        <f t="shared" si="181"/>
        <v>0</v>
      </c>
      <c r="O112" s="320">
        <f t="shared" si="182"/>
        <v>0</v>
      </c>
      <c r="P112" s="320">
        <f t="shared" si="183"/>
        <v>26289.165287461332</v>
      </c>
      <c r="Q112" s="320">
        <f t="shared" si="184"/>
        <v>0</v>
      </c>
      <c r="R112" s="320">
        <f t="shared" si="185"/>
        <v>0</v>
      </c>
      <c r="S112" s="321">
        <f t="shared" si="186"/>
        <v>26289.165287461332</v>
      </c>
      <c r="T112" s="337"/>
      <c r="U112" s="934">
        <f t="shared" si="187"/>
        <v>17831</v>
      </c>
      <c r="V112" s="934">
        <f t="shared" si="188"/>
        <v>35662</v>
      </c>
      <c r="W112" s="935"/>
      <c r="X112" s="80"/>
    </row>
    <row r="113" spans="1:24" ht="13" outlineLevel="1">
      <c r="A113" s="12">
        <v>14.08</v>
      </c>
      <c r="B113" s="123" t="s">
        <v>28</v>
      </c>
      <c r="C113" s="694" t="s">
        <v>105</v>
      </c>
      <c r="D113" s="554" t="s">
        <v>4</v>
      </c>
      <c r="E113" s="481">
        <f>+Locales!AU100</f>
        <v>370</v>
      </c>
      <c r="F113" s="263">
        <f>+Tareas!H178</f>
        <v>0</v>
      </c>
      <c r="G113" s="263">
        <f>+Tareas!I178</f>
        <v>1351.3513513513512</v>
      </c>
      <c r="H113" s="258">
        <f t="shared" si="178"/>
        <v>1351.3513513513512</v>
      </c>
      <c r="I113" s="263">
        <f>+Tareas!Q178</f>
        <v>3.6523009495982466</v>
      </c>
      <c r="J113" s="263">
        <f>+Tareas!R178</f>
        <v>4362.6388309136892</v>
      </c>
      <c r="K113" s="258">
        <f t="shared" si="179"/>
        <v>4366.2911318632878</v>
      </c>
      <c r="L113" s="263">
        <f>+(H113+K113)*0.015</f>
        <v>85.764637248219572</v>
      </c>
      <c r="M113" s="258">
        <f t="shared" si="180"/>
        <v>5803.4071204628581</v>
      </c>
      <c r="N113" s="320">
        <f t="shared" si="181"/>
        <v>0</v>
      </c>
      <c r="O113" s="320">
        <f t="shared" si="182"/>
        <v>499999.99999999994</v>
      </c>
      <c r="P113" s="320">
        <f t="shared" si="183"/>
        <v>1351.3513513513512</v>
      </c>
      <c r="Q113" s="320">
        <f t="shared" si="184"/>
        <v>1614176.3674380649</v>
      </c>
      <c r="R113" s="320">
        <f t="shared" si="185"/>
        <v>31732.915781841242</v>
      </c>
      <c r="S113" s="321">
        <f t="shared" si="186"/>
        <v>2147260.6345712575</v>
      </c>
      <c r="T113" s="337"/>
      <c r="U113" s="934">
        <f t="shared" si="187"/>
        <v>7873</v>
      </c>
      <c r="V113" s="934">
        <f t="shared" si="188"/>
        <v>2913010</v>
      </c>
      <c r="X113" s="80"/>
    </row>
    <row r="114" spans="1:24" ht="13">
      <c r="A114" s="535">
        <v>15</v>
      </c>
      <c r="B114" s="575"/>
      <c r="C114" s="691" t="s">
        <v>106</v>
      </c>
      <c r="D114" s="227"/>
      <c r="E114" s="228"/>
      <c r="F114" s="228"/>
      <c r="G114" s="228"/>
      <c r="H114" s="228"/>
      <c r="I114" s="228"/>
      <c r="J114" s="228"/>
      <c r="K114" s="228"/>
      <c r="L114" s="228"/>
      <c r="M114" s="256"/>
      <c r="N114" s="228"/>
      <c r="O114" s="228"/>
      <c r="P114" s="228"/>
      <c r="Q114" s="228"/>
      <c r="R114" s="228"/>
      <c r="S114" s="228"/>
      <c r="T114" s="335">
        <f>SUM(S115:S126)</f>
        <v>90860672.0287112</v>
      </c>
      <c r="U114" s="228"/>
      <c r="V114" s="228"/>
      <c r="W114" s="932">
        <f>SUM(V115:V126)</f>
        <v>123253575</v>
      </c>
      <c r="X114" s="80">
        <f>+W114/$W$213</f>
        <v>8.0002656413588211E-2</v>
      </c>
    </row>
    <row r="115" spans="1:24" ht="26" outlineLevel="1">
      <c r="A115" s="12">
        <v>15.01</v>
      </c>
      <c r="B115" s="123" t="s">
        <v>28</v>
      </c>
      <c r="C115" s="693" t="s">
        <v>1892</v>
      </c>
      <c r="D115" s="549" t="s">
        <v>4</v>
      </c>
      <c r="E115" s="523">
        <f>+Locales!BU100</f>
        <v>2180</v>
      </c>
      <c r="F115" s="264">
        <f>+'APU 06.25'!E80</f>
        <v>2880.1572752851243</v>
      </c>
      <c r="G115" s="269"/>
      <c r="H115" s="258">
        <f t="shared" ref="H115:H124" si="189">F115+G115</f>
        <v>2880.1572752851243</v>
      </c>
      <c r="I115" s="264">
        <f>+'APU 06.25'!H80</f>
        <v>4708.8568941769427</v>
      </c>
      <c r="J115" s="269"/>
      <c r="K115" s="258">
        <f t="shared" ref="K115:K126" si="190">I115+J115</f>
        <v>4708.8568941769427</v>
      </c>
      <c r="L115" s="264">
        <f>+'APU 06.25'!K80</f>
        <v>104.55249790152297</v>
      </c>
      <c r="M115" s="258">
        <f t="shared" ref="M115:M116" si="191">H115+K115+L115</f>
        <v>7693.5666673635897</v>
      </c>
      <c r="N115" s="320">
        <f t="shared" ref="N115:N116" si="192">F115*E115</f>
        <v>6278742.8601215715</v>
      </c>
      <c r="O115" s="320">
        <f t="shared" ref="O115:O116" si="193">G115*E115</f>
        <v>0</v>
      </c>
      <c r="P115" s="320">
        <f t="shared" ref="P115:P116" si="194">I115*E115</f>
        <v>10265308.029305736</v>
      </c>
      <c r="Q115" s="320">
        <f t="shared" ref="Q115:Q116" si="195">J115*E115</f>
        <v>0</v>
      </c>
      <c r="R115" s="320">
        <f t="shared" ref="R115:R116" si="196">+L115*E115</f>
        <v>227924.44542532007</v>
      </c>
      <c r="S115" s="321">
        <f t="shared" ref="S115:S116" si="197">SUM(N115:R115)</f>
        <v>16771975.334852628</v>
      </c>
      <c r="T115" s="337"/>
      <c r="U115" s="934">
        <f t="shared" ref="U115:U116" si="198">+ROUNDUP(M115*$T$5,0)</f>
        <v>10437</v>
      </c>
      <c r="V115" s="934">
        <f t="shared" ref="V115:V116" si="199">+U115*E115</f>
        <v>22752660</v>
      </c>
      <c r="X115" s="80"/>
    </row>
    <row r="116" spans="1:24" ht="26" outlineLevel="1">
      <c r="A116" s="12">
        <v>15.02</v>
      </c>
      <c r="B116" s="123" t="s">
        <v>28</v>
      </c>
      <c r="C116" s="693" t="s">
        <v>1710</v>
      </c>
      <c r="D116" s="549" t="s">
        <v>4</v>
      </c>
      <c r="E116" s="523">
        <f>+Locales!BV100</f>
        <v>525</v>
      </c>
      <c r="F116" s="264">
        <f>+'APU 06.25'!E89</f>
        <v>2664.568019086777</v>
      </c>
      <c r="G116" s="269"/>
      <c r="H116" s="258">
        <f t="shared" si="189"/>
        <v>2664.568019086777</v>
      </c>
      <c r="I116" s="264">
        <f>+'APU 06.25'!H89</f>
        <v>3767.0855153415546</v>
      </c>
      <c r="J116" s="269"/>
      <c r="K116" s="258">
        <f t="shared" si="190"/>
        <v>3767.0855153415546</v>
      </c>
      <c r="L116" s="264">
        <f>+'APU 06.25'!K89</f>
        <v>83.641998321218381</v>
      </c>
      <c r="M116" s="258">
        <f t="shared" si="191"/>
        <v>6515.2955327495492</v>
      </c>
      <c r="N116" s="320">
        <f t="shared" si="192"/>
        <v>1398898.210020558</v>
      </c>
      <c r="O116" s="320">
        <f t="shared" si="193"/>
        <v>0</v>
      </c>
      <c r="P116" s="320">
        <f t="shared" si="194"/>
        <v>1977719.8955543162</v>
      </c>
      <c r="Q116" s="320">
        <f t="shared" si="195"/>
        <v>0</v>
      </c>
      <c r="R116" s="320">
        <f t="shared" si="196"/>
        <v>43912.049118639647</v>
      </c>
      <c r="S116" s="321">
        <f t="shared" si="197"/>
        <v>3420530.1546935136</v>
      </c>
      <c r="T116" s="337"/>
      <c r="U116" s="934">
        <f t="shared" si="198"/>
        <v>8838</v>
      </c>
      <c r="V116" s="934">
        <f t="shared" si="199"/>
        <v>4639950</v>
      </c>
      <c r="X116" s="80"/>
    </row>
    <row r="117" spans="1:24" ht="13" outlineLevel="1">
      <c r="A117" s="12">
        <v>15.03</v>
      </c>
      <c r="B117" s="123" t="s">
        <v>28</v>
      </c>
      <c r="C117" s="701" t="s">
        <v>2315</v>
      </c>
      <c r="D117" s="549" t="s">
        <v>4</v>
      </c>
      <c r="E117" s="523">
        <f>+Locales!BT100</f>
        <v>136</v>
      </c>
      <c r="F117" s="264">
        <f>+'APU 06.25'!E31</f>
        <v>4251.3981882128101</v>
      </c>
      <c r="G117" s="269"/>
      <c r="H117" s="258">
        <f t="shared" si="189"/>
        <v>4251.3981882128101</v>
      </c>
      <c r="I117" s="264">
        <f>+'APU 06.25'!H31</f>
        <v>9503.3872142359414</v>
      </c>
      <c r="J117" s="269"/>
      <c r="K117" s="258">
        <f t="shared" si="190"/>
        <v>9503.3872142359414</v>
      </c>
      <c r="L117" s="264">
        <f>+'APU 06.25'!K31</f>
        <v>262.01469147676113</v>
      </c>
      <c r="M117" s="258">
        <f t="shared" ref="M117:M126" si="200">H117+K117+L117</f>
        <v>14016.800093925513</v>
      </c>
      <c r="N117" s="320">
        <f t="shared" ref="N117:N126" si="201">F117*E117</f>
        <v>578190.1535969422</v>
      </c>
      <c r="O117" s="320">
        <f t="shared" ref="O117:O126" si="202">G117*E117</f>
        <v>0</v>
      </c>
      <c r="P117" s="320">
        <f t="shared" ref="P117:P126" si="203">I117*E117</f>
        <v>1292460.661136088</v>
      </c>
      <c r="Q117" s="320">
        <f t="shared" ref="Q117:Q126" si="204">J117*E117</f>
        <v>0</v>
      </c>
      <c r="R117" s="320">
        <f t="shared" ref="R117:R126" si="205">+L117*E117</f>
        <v>35633.998040839513</v>
      </c>
      <c r="S117" s="321">
        <f t="shared" ref="S117:S126" si="206">SUM(N117:R117)</f>
        <v>1906284.8127738698</v>
      </c>
      <c r="T117" s="337"/>
      <c r="U117" s="934">
        <f t="shared" ref="U117:U126" si="207">+ROUNDUP(M117*$T$5,0)</f>
        <v>19014</v>
      </c>
      <c r="V117" s="934">
        <f t="shared" ref="V117:V126" si="208">+U117*E117</f>
        <v>2585904</v>
      </c>
      <c r="X117" s="80"/>
    </row>
    <row r="118" spans="1:24" ht="26" outlineLevel="1">
      <c r="A118" s="12">
        <v>15.04</v>
      </c>
      <c r="B118" s="123" t="s">
        <v>28</v>
      </c>
      <c r="C118" s="693" t="s">
        <v>1891</v>
      </c>
      <c r="D118" s="549" t="s">
        <v>4</v>
      </c>
      <c r="E118" s="523">
        <f>+Locales!BW100</f>
        <v>296</v>
      </c>
      <c r="F118" s="264">
        <f>+'APU 06.25'!E31</f>
        <v>4251.3981882128101</v>
      </c>
      <c r="G118" s="269"/>
      <c r="H118" s="258">
        <f>F118+G118</f>
        <v>4251.3981882128101</v>
      </c>
      <c r="I118" s="264">
        <f>+'APU 06.25'!H31</f>
        <v>9503.3872142359414</v>
      </c>
      <c r="J118" s="269"/>
      <c r="K118" s="258">
        <f>I118+J118</f>
        <v>9503.3872142359414</v>
      </c>
      <c r="L118" s="264">
        <f>+'APU 06.25'!K31</f>
        <v>262.01469147676113</v>
      </c>
      <c r="M118" s="258">
        <f>H118+K118+L118</f>
        <v>14016.800093925513</v>
      </c>
      <c r="N118" s="320">
        <f>F118*E118</f>
        <v>1258413.8637109918</v>
      </c>
      <c r="O118" s="320">
        <f>G118*E118</f>
        <v>0</v>
      </c>
      <c r="P118" s="320">
        <f>I118*E118</f>
        <v>2813002.6154138385</v>
      </c>
      <c r="Q118" s="320">
        <f>J118*E118</f>
        <v>0</v>
      </c>
      <c r="R118" s="320">
        <f>+L118*E118</f>
        <v>77556.348677121292</v>
      </c>
      <c r="S118" s="321">
        <f>SUM(N118:R118)</f>
        <v>4148972.8278019512</v>
      </c>
      <c r="T118" s="337"/>
      <c r="U118" s="934">
        <f>+ROUNDUP(M118*$T$5,0)</f>
        <v>19014</v>
      </c>
      <c r="V118" s="934">
        <f>+U118*E118</f>
        <v>5628144</v>
      </c>
      <c r="X118" s="80"/>
    </row>
    <row r="119" spans="1:24" ht="13" outlineLevel="1">
      <c r="A119" s="12">
        <v>15.05</v>
      </c>
      <c r="B119" s="123" t="s">
        <v>28</v>
      </c>
      <c r="C119" s="701" t="s">
        <v>1893</v>
      </c>
      <c r="D119" s="549" t="s">
        <v>4</v>
      </c>
      <c r="E119" s="523">
        <f>+Locales!BX100</f>
        <v>668</v>
      </c>
      <c r="F119" s="264">
        <f>+'APU 06.25'!E80</f>
        <v>2880.1572752851243</v>
      </c>
      <c r="G119" s="269"/>
      <c r="H119" s="258">
        <f t="shared" si="189"/>
        <v>2880.1572752851243</v>
      </c>
      <c r="I119" s="264">
        <f>+'APU 06.25'!H80</f>
        <v>4708.8568941769427</v>
      </c>
      <c r="J119" s="269"/>
      <c r="K119" s="258">
        <f t="shared" si="190"/>
        <v>4708.8568941769427</v>
      </c>
      <c r="L119" s="264">
        <f>+'APU 06.25'!K80</f>
        <v>104.55249790152297</v>
      </c>
      <c r="M119" s="258">
        <f t="shared" si="200"/>
        <v>7693.5666673635897</v>
      </c>
      <c r="N119" s="320">
        <f t="shared" si="201"/>
        <v>1923945.059890463</v>
      </c>
      <c r="O119" s="320">
        <f t="shared" si="202"/>
        <v>0</v>
      </c>
      <c r="P119" s="320">
        <f t="shared" si="203"/>
        <v>3145516.4053101977</v>
      </c>
      <c r="Q119" s="320">
        <f t="shared" si="204"/>
        <v>0</v>
      </c>
      <c r="R119" s="320">
        <f t="shared" si="205"/>
        <v>69841.068598217345</v>
      </c>
      <c r="S119" s="321">
        <f t="shared" si="206"/>
        <v>5139302.5337988781</v>
      </c>
      <c r="T119" s="337"/>
      <c r="U119" s="934">
        <f t="shared" si="207"/>
        <v>10437</v>
      </c>
      <c r="V119" s="934">
        <f t="shared" si="208"/>
        <v>6971916</v>
      </c>
      <c r="X119" s="80"/>
    </row>
    <row r="120" spans="1:24" ht="39" outlineLevel="1">
      <c r="A120" s="12">
        <v>15.06</v>
      </c>
      <c r="B120" s="123" t="s">
        <v>28</v>
      </c>
      <c r="C120" s="693" t="s">
        <v>2316</v>
      </c>
      <c r="D120" s="549" t="s">
        <v>4</v>
      </c>
      <c r="E120" s="523">
        <f>+Locales!BZ100</f>
        <v>281</v>
      </c>
      <c r="F120" s="264">
        <f>+'APU 06.25'!E89</f>
        <v>2664.568019086777</v>
      </c>
      <c r="G120" s="269"/>
      <c r="H120" s="258">
        <f>F120+G120</f>
        <v>2664.568019086777</v>
      </c>
      <c r="I120" s="264">
        <f>+'APU 06.25'!H89</f>
        <v>3767.0855153415546</v>
      </c>
      <c r="J120" s="269"/>
      <c r="K120" s="258">
        <f>I120+J120</f>
        <v>3767.0855153415546</v>
      </c>
      <c r="L120" s="264">
        <f>+'APU 06.25'!K89</f>
        <v>83.641998321218381</v>
      </c>
      <c r="M120" s="258">
        <f>H120+K120+L120</f>
        <v>6515.2955327495492</v>
      </c>
      <c r="N120" s="320">
        <f>F120*E120</f>
        <v>748743.61336338439</v>
      </c>
      <c r="O120" s="320">
        <f>G120*E120</f>
        <v>0</v>
      </c>
      <c r="P120" s="320">
        <f>I120*E120</f>
        <v>1058551.0298109769</v>
      </c>
      <c r="Q120" s="320">
        <f>J120*E120</f>
        <v>0</v>
      </c>
      <c r="R120" s="320">
        <f>+L120*E120</f>
        <v>23503.401528262366</v>
      </c>
      <c r="S120" s="321">
        <f>SUM(N120:R120)</f>
        <v>1830798.0447026237</v>
      </c>
      <c r="T120" s="337"/>
      <c r="U120" s="934">
        <f>+ROUNDUP(M120*$T$5,0)</f>
        <v>8838</v>
      </c>
      <c r="V120" s="934">
        <f>+U120*E120</f>
        <v>2483478</v>
      </c>
      <c r="X120" s="80"/>
    </row>
    <row r="121" spans="1:24" ht="26" outlineLevel="1">
      <c r="A121" s="12">
        <v>15.07</v>
      </c>
      <c r="B121" s="123" t="s">
        <v>28</v>
      </c>
      <c r="C121" s="693" t="s">
        <v>2326</v>
      </c>
      <c r="D121" s="549" t="s">
        <v>4</v>
      </c>
      <c r="E121" s="523">
        <f>+'Rev.'!N69</f>
        <v>752</v>
      </c>
      <c r="F121" s="264">
        <f>+'APU 06.25'!E35</f>
        <v>6929.1780082644646</v>
      </c>
      <c r="G121" s="269"/>
      <c r="H121" s="258">
        <f t="shared" si="189"/>
        <v>6929.1780082644646</v>
      </c>
      <c r="I121" s="264">
        <f>+'APU 06.25'!H35</f>
        <v>12350.904731051611</v>
      </c>
      <c r="J121" s="264"/>
      <c r="K121" s="258">
        <f t="shared" si="190"/>
        <v>12350.904731051611</v>
      </c>
      <c r="L121" s="264">
        <f>+'APU 06.25'!K35</f>
        <v>197.48055343380668</v>
      </c>
      <c r="M121" s="258">
        <f t="shared" si="200"/>
        <v>19477.563292749885</v>
      </c>
      <c r="N121" s="320">
        <f t="shared" si="201"/>
        <v>5210741.8622148773</v>
      </c>
      <c r="O121" s="320">
        <f t="shared" si="202"/>
        <v>0</v>
      </c>
      <c r="P121" s="320">
        <f t="shared" si="203"/>
        <v>9287880.3577508107</v>
      </c>
      <c r="Q121" s="320">
        <f t="shared" si="204"/>
        <v>0</v>
      </c>
      <c r="R121" s="320">
        <f t="shared" si="205"/>
        <v>148505.37618222262</v>
      </c>
      <c r="S121" s="321">
        <f t="shared" si="206"/>
        <v>14647127.596147912</v>
      </c>
      <c r="T121" s="337"/>
      <c r="U121" s="934">
        <f t="shared" si="207"/>
        <v>26421</v>
      </c>
      <c r="V121" s="934">
        <f t="shared" si="208"/>
        <v>19868592</v>
      </c>
      <c r="X121" s="80"/>
    </row>
    <row r="122" spans="1:24" ht="13" outlineLevel="1">
      <c r="A122" s="12">
        <v>15.08</v>
      </c>
      <c r="B122" s="123" t="s">
        <v>28</v>
      </c>
      <c r="C122" s="701" t="s">
        <v>2313</v>
      </c>
      <c r="D122" s="549" t="s">
        <v>4</v>
      </c>
      <c r="E122" s="523">
        <f>+'Rev.'!O69</f>
        <v>433</v>
      </c>
      <c r="F122" s="264">
        <f>+'APU 06.25'!E35</f>
        <v>6929.1780082644646</v>
      </c>
      <c r="G122" s="269"/>
      <c r="H122" s="258">
        <f t="shared" si="189"/>
        <v>6929.1780082644646</v>
      </c>
      <c r="I122" s="264">
        <f>+'APU 06.25'!H35</f>
        <v>12350.904731051611</v>
      </c>
      <c r="J122" s="684">
        <f>+I122*0.4</f>
        <v>4940.3618924206448</v>
      </c>
      <c r="K122" s="258">
        <f t="shared" si="190"/>
        <v>17291.266623472256</v>
      </c>
      <c r="L122" s="264">
        <f>+'APU 06.25'!K35</f>
        <v>197.48055343380668</v>
      </c>
      <c r="M122" s="258">
        <f t="shared" si="200"/>
        <v>24417.92518517053</v>
      </c>
      <c r="N122" s="320">
        <f t="shared" si="201"/>
        <v>3000334.077578513</v>
      </c>
      <c r="O122" s="320">
        <f t="shared" si="202"/>
        <v>0</v>
      </c>
      <c r="P122" s="320">
        <f t="shared" si="203"/>
        <v>5347941.7485453477</v>
      </c>
      <c r="Q122" s="320">
        <f t="shared" si="204"/>
        <v>2139176.6994181392</v>
      </c>
      <c r="R122" s="320">
        <f t="shared" si="205"/>
        <v>85509.079636838287</v>
      </c>
      <c r="S122" s="321">
        <f t="shared" si="206"/>
        <v>10572961.605178839</v>
      </c>
      <c r="T122" s="337"/>
      <c r="U122" s="934">
        <f t="shared" si="207"/>
        <v>33123</v>
      </c>
      <c r="V122" s="934">
        <f t="shared" si="208"/>
        <v>14342259</v>
      </c>
      <c r="X122" s="80"/>
    </row>
    <row r="123" spans="1:24" ht="39" outlineLevel="1">
      <c r="A123" s="12">
        <v>15.09</v>
      </c>
      <c r="B123" s="123" t="s">
        <v>28</v>
      </c>
      <c r="C123" s="693" t="s">
        <v>2319</v>
      </c>
      <c r="D123" s="549" t="s">
        <v>4</v>
      </c>
      <c r="E123" s="523">
        <f>+'Rev.'!G88</f>
        <v>219</v>
      </c>
      <c r="F123" s="263">
        <f>+Tareas!H182</f>
        <v>11872.146118721461</v>
      </c>
      <c r="G123" s="263">
        <f>+Tareas!I182</f>
        <v>0</v>
      </c>
      <c r="H123" s="258">
        <f t="shared" si="189"/>
        <v>11872.146118721461</v>
      </c>
      <c r="I123" s="263">
        <f>+Tareas!Q182</f>
        <v>0</v>
      </c>
      <c r="J123" s="263">
        <f>+Tareas!R182</f>
        <v>9112.837054746793</v>
      </c>
      <c r="K123" s="258">
        <f t="shared" si="190"/>
        <v>9112.837054746793</v>
      </c>
      <c r="L123" s="263">
        <f t="shared" ref="L123:L126" si="209">(H123+K123)*0.015</f>
        <v>314.77474760202375</v>
      </c>
      <c r="M123" s="258">
        <f t="shared" ref="M123:M124" si="210">H123+K123+L123</f>
        <v>21299.757921070275</v>
      </c>
      <c r="N123" s="320">
        <f t="shared" ref="N123:N124" si="211">F123*E123</f>
        <v>2600000</v>
      </c>
      <c r="O123" s="320">
        <f t="shared" ref="O123:O124" si="212">G123*E123</f>
        <v>0</v>
      </c>
      <c r="P123" s="320">
        <f t="shared" ref="P123:P124" si="213">I123*E123</f>
        <v>0</v>
      </c>
      <c r="Q123" s="320">
        <f t="shared" ref="Q123:Q124" si="214">J123*E123</f>
        <v>1995711.3149895477</v>
      </c>
      <c r="R123" s="320">
        <f t="shared" ref="R123:R124" si="215">+L123*E123</f>
        <v>68935.669724843203</v>
      </c>
      <c r="S123" s="321">
        <f t="shared" ref="S123:S124" si="216">SUM(N123:R123)</f>
        <v>4664646.9847143916</v>
      </c>
      <c r="T123" s="337"/>
      <c r="U123" s="934">
        <f t="shared" si="207"/>
        <v>28893</v>
      </c>
      <c r="V123" s="934">
        <f t="shared" si="208"/>
        <v>6327567</v>
      </c>
      <c r="X123" s="80"/>
    </row>
    <row r="124" spans="1:24" ht="13" outlineLevel="1">
      <c r="A124" s="12">
        <v>15.1</v>
      </c>
      <c r="B124" s="123" t="s">
        <v>28</v>
      </c>
      <c r="C124" s="701" t="s">
        <v>1898</v>
      </c>
      <c r="D124" s="549" t="s">
        <v>4</v>
      </c>
      <c r="E124" s="523">
        <f>+'Rev.'!Q67</f>
        <v>861</v>
      </c>
      <c r="F124" s="263">
        <f>+Tareas!H187</f>
        <v>3455.5245198260718</v>
      </c>
      <c r="G124" s="263">
        <f>+Tareas!I187</f>
        <v>0</v>
      </c>
      <c r="H124" s="258">
        <f t="shared" si="189"/>
        <v>3455.5245198260718</v>
      </c>
      <c r="I124" s="263">
        <f>+Tareas!Q187</f>
        <v>9286.8099362944613</v>
      </c>
      <c r="J124" s="263">
        <f>+Tareas!R187</f>
        <v>0</v>
      </c>
      <c r="K124" s="258">
        <f t="shared" si="190"/>
        <v>9286.8099362944613</v>
      </c>
      <c r="L124" s="263">
        <f t="shared" si="209"/>
        <v>191.13501684180801</v>
      </c>
      <c r="M124" s="258">
        <f t="shared" si="210"/>
        <v>12933.469472962342</v>
      </c>
      <c r="N124" s="320">
        <f t="shared" si="211"/>
        <v>2975206.6115702479</v>
      </c>
      <c r="O124" s="320">
        <f t="shared" si="212"/>
        <v>0</v>
      </c>
      <c r="P124" s="320">
        <f t="shared" si="213"/>
        <v>7995943.3551495308</v>
      </c>
      <c r="Q124" s="320">
        <f t="shared" si="214"/>
        <v>0</v>
      </c>
      <c r="R124" s="320">
        <f t="shared" si="215"/>
        <v>164567.24950079669</v>
      </c>
      <c r="S124" s="321">
        <f t="shared" si="216"/>
        <v>11135717.216220574</v>
      </c>
      <c r="T124" s="337"/>
      <c r="U124" s="934">
        <f t="shared" si="207"/>
        <v>17544</v>
      </c>
      <c r="V124" s="934">
        <f t="shared" si="208"/>
        <v>15105384</v>
      </c>
      <c r="X124" s="80"/>
    </row>
    <row r="125" spans="1:24" ht="26" outlineLevel="1">
      <c r="A125" s="12">
        <v>15.11</v>
      </c>
      <c r="B125" s="123" t="s">
        <v>28</v>
      </c>
      <c r="C125" s="693" t="s">
        <v>107</v>
      </c>
      <c r="D125" s="549" t="s">
        <v>56</v>
      </c>
      <c r="E125" s="523">
        <f>+Computo!C60</f>
        <v>88</v>
      </c>
      <c r="F125" s="263">
        <f>+Tareas!H193</f>
        <v>25797.295320790283</v>
      </c>
      <c r="G125" s="263">
        <f>+Tareas!I193</f>
        <v>0</v>
      </c>
      <c r="H125" s="258">
        <f>F125+G125</f>
        <v>25797.295320790283</v>
      </c>
      <c r="I125" s="263">
        <f>+Tareas!Q193</f>
        <v>67446.39491606447</v>
      </c>
      <c r="J125" s="263">
        <f>+Tareas!R193</f>
        <v>13753.738403236557</v>
      </c>
      <c r="K125" s="258">
        <f t="shared" si="190"/>
        <v>81200.133319301021</v>
      </c>
      <c r="L125" s="263">
        <f t="shared" si="209"/>
        <v>1604.9614296013694</v>
      </c>
      <c r="M125" s="258">
        <f t="shared" si="200"/>
        <v>108602.39006969267</v>
      </c>
      <c r="N125" s="320">
        <f t="shared" si="201"/>
        <v>2270161.9882295448</v>
      </c>
      <c r="O125" s="320">
        <f t="shared" si="202"/>
        <v>0</v>
      </c>
      <c r="P125" s="320">
        <f t="shared" si="203"/>
        <v>5935282.752613673</v>
      </c>
      <c r="Q125" s="320">
        <f t="shared" si="204"/>
        <v>1210328.979484817</v>
      </c>
      <c r="R125" s="320">
        <f t="shared" si="205"/>
        <v>141236.60580492052</v>
      </c>
      <c r="S125" s="321">
        <f t="shared" si="206"/>
        <v>9557010.326132955</v>
      </c>
      <c r="T125" s="337"/>
      <c r="U125" s="934">
        <f t="shared" si="207"/>
        <v>147316</v>
      </c>
      <c r="V125" s="934">
        <f t="shared" si="208"/>
        <v>12963808</v>
      </c>
      <c r="X125" s="80"/>
    </row>
    <row r="126" spans="1:24" ht="39" outlineLevel="1">
      <c r="A126" s="12">
        <v>15.12</v>
      </c>
      <c r="B126" s="178" t="s">
        <v>28</v>
      </c>
      <c r="C126" s="747" t="s">
        <v>2314</v>
      </c>
      <c r="D126" s="552" t="s">
        <v>54</v>
      </c>
      <c r="E126" s="524">
        <v>1</v>
      </c>
      <c r="F126" s="260">
        <f>+Tareas!H197</f>
        <v>1266522.9190993388</v>
      </c>
      <c r="G126" s="260">
        <f>+Tareas!I197</f>
        <v>0</v>
      </c>
      <c r="H126" s="266">
        <f>F126+G126</f>
        <v>1266522.9190993388</v>
      </c>
      <c r="I126" s="260">
        <f>+Tareas!Q197</f>
        <v>5694407.7131105876</v>
      </c>
      <c r="J126" s="260">
        <f>+Tareas!R197</f>
        <v>0</v>
      </c>
      <c r="K126" s="258">
        <f t="shared" si="190"/>
        <v>5694407.7131105876</v>
      </c>
      <c r="L126" s="263">
        <f t="shared" si="209"/>
        <v>104413.95948314889</v>
      </c>
      <c r="M126" s="258">
        <f t="shared" si="200"/>
        <v>7065344.5916930754</v>
      </c>
      <c r="N126" s="320">
        <f t="shared" si="201"/>
        <v>1266522.9190993388</v>
      </c>
      <c r="O126" s="320">
        <f t="shared" si="202"/>
        <v>0</v>
      </c>
      <c r="P126" s="320">
        <f t="shared" si="203"/>
        <v>5694407.7131105876</v>
      </c>
      <c r="Q126" s="320">
        <f t="shared" si="204"/>
        <v>0</v>
      </c>
      <c r="R126" s="320">
        <f t="shared" si="205"/>
        <v>104413.95948314889</v>
      </c>
      <c r="S126" s="321">
        <f t="shared" si="206"/>
        <v>7065344.5916930754</v>
      </c>
      <c r="T126" s="337"/>
      <c r="U126" s="934">
        <f t="shared" si="207"/>
        <v>9583913</v>
      </c>
      <c r="V126" s="934">
        <f t="shared" si="208"/>
        <v>9583913</v>
      </c>
      <c r="X126" s="80"/>
    </row>
    <row r="127" spans="1:24" ht="13">
      <c r="A127" s="535">
        <v>16</v>
      </c>
      <c r="B127" s="575"/>
      <c r="C127" s="708" t="s">
        <v>1908</v>
      </c>
      <c r="D127" s="227"/>
      <c r="E127" s="228"/>
      <c r="F127" s="228"/>
      <c r="G127" s="228"/>
      <c r="H127" s="228"/>
      <c r="I127" s="228"/>
      <c r="J127" s="228"/>
      <c r="K127" s="228"/>
      <c r="L127" s="228"/>
      <c r="M127" s="256"/>
      <c r="N127" s="228"/>
      <c r="O127" s="228"/>
      <c r="P127" s="228"/>
      <c r="Q127" s="228"/>
      <c r="R127" s="228"/>
      <c r="S127" s="228"/>
      <c r="T127" s="335">
        <f>SUM(S128:S128)</f>
        <v>0</v>
      </c>
      <c r="U127" s="228"/>
      <c r="V127" s="228"/>
      <c r="W127" s="932">
        <f>SUM(V128:V128)</f>
        <v>0</v>
      </c>
      <c r="X127" s="80">
        <f>+W127/$W$213</f>
        <v>0</v>
      </c>
    </row>
    <row r="128" spans="1:24" s="25" customFormat="1" ht="13" outlineLevel="1">
      <c r="A128" s="193"/>
      <c r="B128" s="196"/>
      <c r="C128" s="692"/>
      <c r="D128" s="548"/>
      <c r="E128" s="525"/>
      <c r="F128" s="270"/>
      <c r="G128" s="270"/>
      <c r="H128" s="257">
        <f>F128+G128</f>
        <v>0</v>
      </c>
      <c r="I128" s="270"/>
      <c r="J128" s="270"/>
      <c r="K128" s="257">
        <f>I128+J128</f>
        <v>0</v>
      </c>
      <c r="L128" s="268"/>
      <c r="M128" s="257">
        <f>H128+K128+L128</f>
        <v>0</v>
      </c>
      <c r="N128" s="318">
        <f>F128*E128</f>
        <v>0</v>
      </c>
      <c r="O128" s="318">
        <f>G128*E128</f>
        <v>0</v>
      </c>
      <c r="P128" s="318">
        <f>I128*E128</f>
        <v>0</v>
      </c>
      <c r="Q128" s="318">
        <f>J128*E128</f>
        <v>0</v>
      </c>
      <c r="R128" s="318">
        <f>+L128*E128</f>
        <v>0</v>
      </c>
      <c r="S128" s="319">
        <f>SUM(N128:R128)</f>
        <v>0</v>
      </c>
      <c r="T128" s="337"/>
      <c r="U128" s="937">
        <f>+ROUNDUP(M128*$T$5,0)</f>
        <v>0</v>
      </c>
      <c r="V128" s="936">
        <f>+U128*E128</f>
        <v>0</v>
      </c>
      <c r="W128" s="341"/>
      <c r="X128" s="81"/>
    </row>
    <row r="129" spans="1:31" s="25" customFormat="1" ht="26">
      <c r="A129" s="535">
        <v>17</v>
      </c>
      <c r="B129" s="575"/>
      <c r="C129" s="691" t="s">
        <v>1909</v>
      </c>
      <c r="D129" s="227"/>
      <c r="E129" s="228"/>
      <c r="F129" s="228"/>
      <c r="G129" s="228"/>
      <c r="H129" s="228"/>
      <c r="I129" s="228"/>
      <c r="J129" s="228"/>
      <c r="K129" s="228"/>
      <c r="L129" s="228"/>
      <c r="M129" s="256"/>
      <c r="N129" s="228"/>
      <c r="O129" s="228"/>
      <c r="P129" s="228"/>
      <c r="Q129" s="228"/>
      <c r="R129" s="228"/>
      <c r="S129" s="228"/>
      <c r="T129" s="335">
        <f>SUM(S130:S133)</f>
        <v>9063477.9625211228</v>
      </c>
      <c r="U129" s="228"/>
      <c r="V129" s="228"/>
      <c r="W129" s="932">
        <f>SUM(V130:V133)</f>
        <v>12294387</v>
      </c>
      <c r="X129" s="80">
        <f>+W129/$W$213</f>
        <v>7.9801630011680034E-3</v>
      </c>
    </row>
    <row r="130" spans="1:31" s="25" customFormat="1" ht="13" outlineLevel="1">
      <c r="A130" s="193">
        <f>+A129+0.01</f>
        <v>17.010000000000002</v>
      </c>
      <c r="B130" s="196" t="s">
        <v>28</v>
      </c>
      <c r="C130" s="709" t="s">
        <v>108</v>
      </c>
      <c r="D130" s="436" t="s">
        <v>72</v>
      </c>
      <c r="E130" s="523">
        <f>+Locales!AY100</f>
        <v>43</v>
      </c>
      <c r="F130" s="268"/>
      <c r="G130" s="268">
        <f>+'APU 06.25'!E18</f>
        <v>4104.3831840000003</v>
      </c>
      <c r="H130" s="257">
        <f>F130+G130</f>
        <v>4104.3831840000003</v>
      </c>
      <c r="I130" s="437"/>
      <c r="J130" s="268">
        <f>+'APU 06.25'!H18</f>
        <v>60531.613778927429</v>
      </c>
      <c r="K130" s="257">
        <f>I130+J130</f>
        <v>60531.613778927429</v>
      </c>
      <c r="L130" s="268">
        <f>+'APU 06.25'!K18</f>
        <v>440.78780564123963</v>
      </c>
      <c r="M130" s="257">
        <f>H130+K130+L130</f>
        <v>65076.784768568665</v>
      </c>
      <c r="N130" s="318">
        <f>F130*E130</f>
        <v>0</v>
      </c>
      <c r="O130" s="318">
        <f>G130*E130</f>
        <v>176488.47691200001</v>
      </c>
      <c r="P130" s="318">
        <f>I130*E130</f>
        <v>0</v>
      </c>
      <c r="Q130" s="318">
        <f>J130*E130</f>
        <v>2602859.3924938794</v>
      </c>
      <c r="R130" s="318">
        <f>+L130*E130</f>
        <v>18953.875642573305</v>
      </c>
      <c r="S130" s="319">
        <f>SUM(N130:R130)</f>
        <v>2798301.7450484531</v>
      </c>
      <c r="T130" s="341"/>
      <c r="U130" s="933">
        <f>+ROUNDUP(M130*$T$5,0)</f>
        <v>88275</v>
      </c>
      <c r="V130" s="933">
        <f>+U130*E130</f>
        <v>3795825</v>
      </c>
      <c r="W130" s="935"/>
      <c r="X130" s="80"/>
    </row>
    <row r="131" spans="1:31" s="25" customFormat="1" ht="13" outlineLevel="1">
      <c r="A131" s="12">
        <v>17.02</v>
      </c>
      <c r="B131" s="123" t="s">
        <v>28</v>
      </c>
      <c r="C131" s="710" t="s">
        <v>109</v>
      </c>
      <c r="D131" s="113" t="s">
        <v>72</v>
      </c>
      <c r="E131" s="523">
        <f>+Locales!AZ102</f>
        <v>38</v>
      </c>
      <c r="F131" s="264"/>
      <c r="G131" s="264">
        <f>+'APU 06.25'!E18</f>
        <v>4104.3831840000003</v>
      </c>
      <c r="H131" s="258">
        <f>F131+G131</f>
        <v>4104.3831840000003</v>
      </c>
      <c r="I131" s="616"/>
      <c r="J131" s="264">
        <f>+'APU 06.25'!H18</f>
        <v>60531.613778927429</v>
      </c>
      <c r="K131" s="258">
        <f>I131+J131</f>
        <v>60531.613778927429</v>
      </c>
      <c r="L131" s="264">
        <f>+'APU 06.25'!K18</f>
        <v>440.78780564123963</v>
      </c>
      <c r="M131" s="258">
        <f>H131+K131+L131</f>
        <v>65076.784768568665</v>
      </c>
      <c r="N131" s="320">
        <f>F131*E131</f>
        <v>0</v>
      </c>
      <c r="O131" s="320">
        <f>G131*E131</f>
        <v>155966.56099200001</v>
      </c>
      <c r="P131" s="320">
        <f>I131*E131</f>
        <v>0</v>
      </c>
      <c r="Q131" s="320">
        <f>J131*E131</f>
        <v>2300201.3235992421</v>
      </c>
      <c r="R131" s="320">
        <f>+L131*E131</f>
        <v>16749.936614367107</v>
      </c>
      <c r="S131" s="321">
        <f>SUM(N131:R131)</f>
        <v>2472917.8212056095</v>
      </c>
      <c r="T131" s="341"/>
      <c r="U131" s="934">
        <f>+ROUNDUP(M131*$T$5,0)</f>
        <v>88275</v>
      </c>
      <c r="V131" s="934">
        <f>+U131*E131</f>
        <v>3354450</v>
      </c>
      <c r="W131" s="935"/>
      <c r="X131" s="80"/>
    </row>
    <row r="132" spans="1:31" s="25" customFormat="1" ht="13" outlineLevel="1">
      <c r="A132" s="12">
        <v>17.03</v>
      </c>
      <c r="B132" s="123" t="s">
        <v>28</v>
      </c>
      <c r="C132" s="710" t="s">
        <v>110</v>
      </c>
      <c r="D132" s="113" t="s">
        <v>72</v>
      </c>
      <c r="E132" s="523">
        <f>+Locales!BB100</f>
        <v>72</v>
      </c>
      <c r="F132" s="264"/>
      <c r="G132" s="264">
        <f>+'APU 06.25'!E19</f>
        <v>1501.8311196</v>
      </c>
      <c r="H132" s="258">
        <f>F132+G132</f>
        <v>1501.8311196</v>
      </c>
      <c r="I132" s="264"/>
      <c r="J132" s="264">
        <f>+'APU 06.25'!H19</f>
        <v>40354.409185951619</v>
      </c>
      <c r="K132" s="258">
        <f>I132+J132</f>
        <v>40354.409185951619</v>
      </c>
      <c r="L132" s="264">
        <f>+'APU 06.25'!K19</f>
        <v>220.39390282061981</v>
      </c>
      <c r="M132" s="258">
        <f t="shared" ref="M132:M133" si="217">H132+K132+L132</f>
        <v>42076.634208372241</v>
      </c>
      <c r="N132" s="320">
        <f t="shared" ref="N132:N133" si="218">F132*E132</f>
        <v>0</v>
      </c>
      <c r="O132" s="320">
        <f t="shared" ref="O132:O133" si="219">G132*E132</f>
        <v>108131.84061119999</v>
      </c>
      <c r="P132" s="320">
        <f t="shared" ref="P132:P133" si="220">I132*E132</f>
        <v>0</v>
      </c>
      <c r="Q132" s="320">
        <f t="shared" ref="Q132:Q133" si="221">J132*E132</f>
        <v>2905517.4613885167</v>
      </c>
      <c r="R132" s="320">
        <f t="shared" ref="R132:R133" si="222">+L132*E132</f>
        <v>15868.361003084627</v>
      </c>
      <c r="S132" s="321">
        <f t="shared" ref="S132:S133" si="223">SUM(N132:R132)</f>
        <v>3029517.6630028011</v>
      </c>
      <c r="T132" s="341"/>
      <c r="U132" s="934">
        <f t="shared" ref="U132:U133" si="224">+ROUNDUP(M132*$T$5,0)</f>
        <v>57076</v>
      </c>
      <c r="V132" s="934">
        <f t="shared" ref="V132:V133" si="225">+U132*E132</f>
        <v>4109472</v>
      </c>
      <c r="W132" s="935"/>
      <c r="X132" s="80"/>
    </row>
    <row r="133" spans="1:31" s="25" customFormat="1" ht="26" outlineLevel="1">
      <c r="A133" s="12">
        <v>17.04</v>
      </c>
      <c r="B133" s="178" t="s">
        <v>28</v>
      </c>
      <c r="C133" s="694" t="s">
        <v>111</v>
      </c>
      <c r="D133" s="550" t="s">
        <v>72</v>
      </c>
      <c r="E133" s="524">
        <f>+Locales!BA100</f>
        <v>8</v>
      </c>
      <c r="F133" s="267"/>
      <c r="G133" s="267">
        <f>+G130</f>
        <v>4104.3831840000003</v>
      </c>
      <c r="H133" s="266">
        <f>F133+G133</f>
        <v>4104.3831840000003</v>
      </c>
      <c r="I133" s="617">
        <f>+J133*0.5</f>
        <v>30265.806889463714</v>
      </c>
      <c r="J133" s="267">
        <f>+J130</f>
        <v>60531.613778927429</v>
      </c>
      <c r="K133" s="258">
        <f>I133+J133</f>
        <v>90797.420668391147</v>
      </c>
      <c r="L133" s="267">
        <f>+L130</f>
        <v>440.78780564123963</v>
      </c>
      <c r="M133" s="258">
        <f t="shared" si="217"/>
        <v>95342.591658032397</v>
      </c>
      <c r="N133" s="320">
        <f t="shared" si="218"/>
        <v>0</v>
      </c>
      <c r="O133" s="320">
        <f t="shared" si="219"/>
        <v>32835.065472000002</v>
      </c>
      <c r="P133" s="320">
        <f t="shared" si="220"/>
        <v>242126.45511570972</v>
      </c>
      <c r="Q133" s="320">
        <f t="shared" si="221"/>
        <v>484252.91023141943</v>
      </c>
      <c r="R133" s="320">
        <f t="shared" si="222"/>
        <v>3526.302445129917</v>
      </c>
      <c r="S133" s="321">
        <f t="shared" si="223"/>
        <v>762740.73326425906</v>
      </c>
      <c r="T133" s="341"/>
      <c r="U133" s="934">
        <f t="shared" si="224"/>
        <v>129330</v>
      </c>
      <c r="V133" s="934">
        <f t="shared" si="225"/>
        <v>1034640</v>
      </c>
      <c r="W133" s="935"/>
      <c r="X133" s="80"/>
    </row>
    <row r="134" spans="1:31" ht="13">
      <c r="A134" s="535">
        <v>18</v>
      </c>
      <c r="B134" s="575"/>
      <c r="C134" s="691" t="s">
        <v>112</v>
      </c>
      <c r="D134" s="227"/>
      <c r="E134" s="228"/>
      <c r="F134" s="228"/>
      <c r="G134" s="228"/>
      <c r="H134" s="228"/>
      <c r="I134" s="228"/>
      <c r="J134" s="228"/>
      <c r="K134" s="228"/>
      <c r="L134" s="228"/>
      <c r="M134" s="256"/>
      <c r="N134" s="228"/>
      <c r="O134" s="228"/>
      <c r="P134" s="228"/>
      <c r="Q134" s="228"/>
      <c r="R134" s="228"/>
      <c r="S134" s="228"/>
      <c r="T134" s="335">
        <f>SUM(S135:S161)</f>
        <v>101081826.28201465</v>
      </c>
      <c r="U134" s="228"/>
      <c r="V134" s="228"/>
      <c r="W134" s="932">
        <f>SUM(V135:V161)</f>
        <v>137114781</v>
      </c>
      <c r="X134" s="80">
        <f>+W134/$W$213</f>
        <v>8.8999825875780023E-2</v>
      </c>
      <c r="Z134" s="1167" t="s">
        <v>1916</v>
      </c>
      <c r="AA134" s="1167" t="s">
        <v>1915</v>
      </c>
      <c r="AB134" s="1167"/>
      <c r="AC134" s="1167" t="s">
        <v>1917</v>
      </c>
      <c r="AD134" s="547" t="s">
        <v>1972</v>
      </c>
      <c r="AE134" s="547" t="s">
        <v>1971</v>
      </c>
    </row>
    <row r="135" spans="1:31" ht="13" outlineLevel="1">
      <c r="A135" s="440">
        <v>18.010000000000002</v>
      </c>
      <c r="B135" s="196" t="s">
        <v>28</v>
      </c>
      <c r="C135" s="711" t="s">
        <v>1655</v>
      </c>
      <c r="D135" s="192" t="s">
        <v>72</v>
      </c>
      <c r="E135" s="482">
        <f>+Locales!CE100</f>
        <v>222</v>
      </c>
      <c r="F135" s="268">
        <f>+'APU 06.25'!E90</f>
        <v>18798.887787420623</v>
      </c>
      <c r="G135" s="366"/>
      <c r="H135" s="257">
        <f t="shared" ref="H135:H140" si="226">F135+G135</f>
        <v>18798.887787420623</v>
      </c>
      <c r="I135" s="268">
        <f>+'APU 06.25'!H90</f>
        <v>49666.965151940458</v>
      </c>
      <c r="J135" s="366"/>
      <c r="K135" s="257">
        <f>I135+J135</f>
        <v>49666.965151940458</v>
      </c>
      <c r="L135" s="268">
        <f>+'APU 06.25'!K90</f>
        <v>1812.1956821517972</v>
      </c>
      <c r="M135" s="257">
        <f t="shared" ref="M135:M150" si="227">H135+K135+L135</f>
        <v>70278.048621512877</v>
      </c>
      <c r="N135" s="318">
        <f t="shared" ref="N135:N161" si="228">F135*E135</f>
        <v>4173353.0888073784</v>
      </c>
      <c r="O135" s="318">
        <f t="shared" ref="O135:O161" si="229">G135*E135</f>
        <v>0</v>
      </c>
      <c r="P135" s="318">
        <f t="shared" ref="P135:P161" si="230">I135*E135</f>
        <v>11026066.263730781</v>
      </c>
      <c r="Q135" s="318">
        <f t="shared" ref="Q135:Q161" si="231">J135*E135</f>
        <v>0</v>
      </c>
      <c r="R135" s="318">
        <f t="shared" ref="R135:R161" si="232">+L135*E135</f>
        <v>402307.44143769896</v>
      </c>
      <c r="S135" s="319">
        <f t="shared" ref="S135:S161" si="233">SUM(N135:R135)</f>
        <v>15601726.793975858</v>
      </c>
      <c r="T135" s="336"/>
      <c r="U135" s="933">
        <f t="shared" ref="U135:U161" si="234">+ROUNDUP(M135*$T$5,0)</f>
        <v>95330</v>
      </c>
      <c r="V135" s="933">
        <f t="shared" ref="V135:V161" si="235">+U135*E135</f>
        <v>21163260</v>
      </c>
      <c r="X135" s="80"/>
      <c r="Z135" s="16">
        <f>+SUM(P135:R161)</f>
        <v>63506648.133335046</v>
      </c>
      <c r="AA135" s="356">
        <f>+Z135/T134</f>
        <v>0.62826969465464333</v>
      </c>
      <c r="AB135" s="11">
        <v>1.6</v>
      </c>
      <c r="AC135" s="16">
        <f>+Z135/AB135</f>
        <v>39691655.083334401</v>
      </c>
      <c r="AD135" s="16">
        <v>3000000</v>
      </c>
      <c r="AE135" s="118">
        <f>+AC135/AD135</f>
        <v>13.230551694444801</v>
      </c>
    </row>
    <row r="136" spans="1:31" ht="13" outlineLevel="1">
      <c r="A136" s="441">
        <v>18.02</v>
      </c>
      <c r="B136" s="123" t="s">
        <v>28</v>
      </c>
      <c r="C136" s="712" t="s">
        <v>1656</v>
      </c>
      <c r="D136" s="175" t="s">
        <v>72</v>
      </c>
      <c r="E136" s="483">
        <f>+Locales!CF100</f>
        <v>67</v>
      </c>
      <c r="F136" s="264">
        <f>+'APU 06.25'!E63</f>
        <v>17610.205138368772</v>
      </c>
      <c r="G136" s="367"/>
      <c r="H136" s="258">
        <f t="shared" si="226"/>
        <v>17610.205138368772</v>
      </c>
      <c r="I136" s="264">
        <f>+'APU 06.25'!H63</f>
        <v>49666.965151940458</v>
      </c>
      <c r="J136" s="367"/>
      <c r="K136" s="258">
        <f t="shared" ref="K136:K161" si="236">I136+J136</f>
        <v>49666.965151940458</v>
      </c>
      <c r="L136" s="264">
        <f>+'APU 06.25'!K63</f>
        <v>1812.1956821517972</v>
      </c>
      <c r="M136" s="258">
        <f t="shared" si="227"/>
        <v>69089.365972461033</v>
      </c>
      <c r="N136" s="320">
        <f t="shared" si="228"/>
        <v>1179883.7442707077</v>
      </c>
      <c r="O136" s="320">
        <f t="shared" si="229"/>
        <v>0</v>
      </c>
      <c r="P136" s="320">
        <f t="shared" si="230"/>
        <v>3327686.6651800107</v>
      </c>
      <c r="Q136" s="320">
        <f t="shared" si="231"/>
        <v>0</v>
      </c>
      <c r="R136" s="320">
        <f t="shared" si="232"/>
        <v>121417.11070417041</v>
      </c>
      <c r="S136" s="321">
        <f t="shared" si="233"/>
        <v>4628987.5201548887</v>
      </c>
      <c r="T136" s="337"/>
      <c r="U136" s="934">
        <f t="shared" si="234"/>
        <v>93718</v>
      </c>
      <c r="V136" s="934">
        <f t="shared" si="235"/>
        <v>6279106</v>
      </c>
      <c r="X136" s="80"/>
      <c r="Z136" s="16"/>
    </row>
    <row r="137" spans="1:31" ht="13" outlineLevel="1">
      <c r="A137" s="441">
        <v>18.03</v>
      </c>
      <c r="B137" s="123" t="s">
        <v>28</v>
      </c>
      <c r="C137" s="712" t="s">
        <v>1639</v>
      </c>
      <c r="D137" s="175" t="s">
        <v>72</v>
      </c>
      <c r="E137" s="483">
        <f>+Locales!CG100</f>
        <v>23</v>
      </c>
      <c r="F137" s="264">
        <f>+'APU 06.25'!E63</f>
        <v>17610.205138368772</v>
      </c>
      <c r="G137" s="367"/>
      <c r="H137" s="258">
        <f t="shared" si="226"/>
        <v>17610.205138368772</v>
      </c>
      <c r="I137" s="264">
        <f>+'APU 06.25'!H63</f>
        <v>49666.965151940458</v>
      </c>
      <c r="J137" s="367"/>
      <c r="K137" s="258">
        <f t="shared" si="236"/>
        <v>49666.965151940458</v>
      </c>
      <c r="L137" s="264">
        <f>+'APU 06.25'!K63</f>
        <v>1812.1956821517972</v>
      </c>
      <c r="M137" s="258">
        <f t="shared" si="227"/>
        <v>69089.365972461033</v>
      </c>
      <c r="N137" s="320">
        <f t="shared" si="228"/>
        <v>405034.71818248177</v>
      </c>
      <c r="O137" s="320">
        <f t="shared" si="229"/>
        <v>0</v>
      </c>
      <c r="P137" s="320">
        <f t="shared" si="230"/>
        <v>1142340.1984946306</v>
      </c>
      <c r="Q137" s="320">
        <f t="shared" si="231"/>
        <v>0</v>
      </c>
      <c r="R137" s="320">
        <f t="shared" si="232"/>
        <v>41680.500689491339</v>
      </c>
      <c r="S137" s="321">
        <f t="shared" si="233"/>
        <v>1589055.4173666039</v>
      </c>
      <c r="T137" s="337"/>
      <c r="U137" s="934">
        <f t="shared" si="234"/>
        <v>93718</v>
      </c>
      <c r="V137" s="934">
        <f t="shared" si="235"/>
        <v>2155514</v>
      </c>
      <c r="X137" s="80"/>
    </row>
    <row r="138" spans="1:31" ht="13" outlineLevel="1">
      <c r="A138" s="441">
        <v>18.04</v>
      </c>
      <c r="B138" s="123" t="s">
        <v>28</v>
      </c>
      <c r="C138" s="712" t="s">
        <v>1638</v>
      </c>
      <c r="D138" s="175" t="s">
        <v>72</v>
      </c>
      <c r="E138" s="483">
        <f>+Locales!CB100</f>
        <v>11</v>
      </c>
      <c r="F138" s="264">
        <f>+'APU 06.25'!E63</f>
        <v>17610.205138368772</v>
      </c>
      <c r="G138" s="367"/>
      <c r="H138" s="258">
        <f t="shared" si="226"/>
        <v>17610.205138368772</v>
      </c>
      <c r="I138" s="264">
        <f>+'APU 06.25'!H63</f>
        <v>49666.965151940458</v>
      </c>
      <c r="J138" s="367"/>
      <c r="K138" s="258">
        <f t="shared" si="236"/>
        <v>49666.965151940458</v>
      </c>
      <c r="L138" s="264">
        <f>+'APU 06.25'!K63</f>
        <v>1812.1956821517972</v>
      </c>
      <c r="M138" s="258">
        <f t="shared" si="227"/>
        <v>69089.365972461033</v>
      </c>
      <c r="N138" s="320">
        <f t="shared" si="228"/>
        <v>193712.2565220565</v>
      </c>
      <c r="O138" s="320">
        <f t="shared" si="229"/>
        <v>0</v>
      </c>
      <c r="P138" s="320">
        <f t="shared" si="230"/>
        <v>546336.61667134508</v>
      </c>
      <c r="Q138" s="320">
        <f t="shared" si="231"/>
        <v>0</v>
      </c>
      <c r="R138" s="320">
        <f t="shared" si="232"/>
        <v>19934.152503669768</v>
      </c>
      <c r="S138" s="321">
        <f t="shared" si="233"/>
        <v>759983.02569707134</v>
      </c>
      <c r="T138" s="337"/>
      <c r="U138" s="934">
        <f t="shared" si="234"/>
        <v>93718</v>
      </c>
      <c r="V138" s="934">
        <f t="shared" si="235"/>
        <v>1030898</v>
      </c>
      <c r="X138" s="80"/>
    </row>
    <row r="139" spans="1:31" ht="13" outlineLevel="1">
      <c r="A139" s="441">
        <v>18.05</v>
      </c>
      <c r="B139" s="123" t="s">
        <v>28</v>
      </c>
      <c r="C139" s="712" t="s">
        <v>113</v>
      </c>
      <c r="D139" s="175" t="s">
        <v>72</v>
      </c>
      <c r="E139" s="483">
        <f>+Locales!CM102</f>
        <v>313</v>
      </c>
      <c r="F139" s="264">
        <f>+'APU 06.25'!E64</f>
        <v>15896.430633907985</v>
      </c>
      <c r="G139" s="367"/>
      <c r="H139" s="258">
        <f t="shared" si="226"/>
        <v>15896.430633907985</v>
      </c>
      <c r="I139" s="264">
        <f>+'APU 06.25'!H64</f>
        <v>49666.965151940458</v>
      </c>
      <c r="J139" s="367"/>
      <c r="K139" s="258">
        <f t="shared" si="236"/>
        <v>49666.965151940458</v>
      </c>
      <c r="L139" s="264">
        <f>+'APU 06.25'!K64</f>
        <v>1812.1956821517972</v>
      </c>
      <c r="M139" s="258">
        <f t="shared" si="227"/>
        <v>67375.591468000232</v>
      </c>
      <c r="N139" s="320">
        <f t="shared" si="228"/>
        <v>4975582.7884131996</v>
      </c>
      <c r="O139" s="320">
        <f t="shared" si="229"/>
        <v>0</v>
      </c>
      <c r="P139" s="320">
        <f t="shared" si="230"/>
        <v>15545760.092557363</v>
      </c>
      <c r="Q139" s="320">
        <f t="shared" si="231"/>
        <v>0</v>
      </c>
      <c r="R139" s="320">
        <f t="shared" si="232"/>
        <v>567217.24851351255</v>
      </c>
      <c r="S139" s="321">
        <f t="shared" si="233"/>
        <v>21088560.129484076</v>
      </c>
      <c r="T139" s="337"/>
      <c r="U139" s="934">
        <f t="shared" si="234"/>
        <v>91393</v>
      </c>
      <c r="V139" s="934">
        <f t="shared" si="235"/>
        <v>28606009</v>
      </c>
      <c r="X139" s="80"/>
      <c r="AD139" s="16"/>
    </row>
    <row r="140" spans="1:31" ht="26" outlineLevel="1">
      <c r="A140" s="441">
        <v>18.059999999999999</v>
      </c>
      <c r="B140" s="123" t="s">
        <v>28</v>
      </c>
      <c r="C140" s="712" t="s">
        <v>1628</v>
      </c>
      <c r="D140" s="175" t="s">
        <v>72</v>
      </c>
      <c r="E140" s="483">
        <f>+Locales!CP100</f>
        <v>40</v>
      </c>
      <c r="F140" s="264">
        <f>+'APU 06.25'!E91</f>
        <v>34095.002044916851</v>
      </c>
      <c r="G140" s="264"/>
      <c r="H140" s="258">
        <f t="shared" si="226"/>
        <v>34095.002044916851</v>
      </c>
      <c r="I140" s="264">
        <f>+'APU 06.25'!H91</f>
        <v>49666.965151940458</v>
      </c>
      <c r="J140" s="367"/>
      <c r="K140" s="258">
        <f t="shared" si="236"/>
        <v>49666.965151940458</v>
      </c>
      <c r="L140" s="264">
        <f>+'APU 06.25'!K91</f>
        <v>1812.1956821517972</v>
      </c>
      <c r="M140" s="258">
        <f t="shared" si="227"/>
        <v>85574.162879009105</v>
      </c>
      <c r="N140" s="320">
        <f t="shared" si="228"/>
        <v>1363800.0817966741</v>
      </c>
      <c r="O140" s="320">
        <f t="shared" si="229"/>
        <v>0</v>
      </c>
      <c r="P140" s="320">
        <f t="shared" si="230"/>
        <v>1986678.6060776184</v>
      </c>
      <c r="Q140" s="320">
        <f t="shared" si="231"/>
        <v>0</v>
      </c>
      <c r="R140" s="320">
        <f t="shared" si="232"/>
        <v>72487.827286071886</v>
      </c>
      <c r="S140" s="321">
        <f t="shared" si="233"/>
        <v>3422966.5151603646</v>
      </c>
      <c r="T140" s="337"/>
      <c r="U140" s="934">
        <f t="shared" si="234"/>
        <v>116079</v>
      </c>
      <c r="V140" s="934">
        <f t="shared" si="235"/>
        <v>4643160</v>
      </c>
      <c r="X140" s="80"/>
    </row>
    <row r="141" spans="1:31" ht="26" outlineLevel="1">
      <c r="A141" s="441">
        <v>18.07</v>
      </c>
      <c r="B141" s="123" t="s">
        <v>28</v>
      </c>
      <c r="C141" s="712" t="s">
        <v>1884</v>
      </c>
      <c r="D141" s="175" t="s">
        <v>72</v>
      </c>
      <c r="E141" s="483">
        <f>+Locales!CO100</f>
        <v>50</v>
      </c>
      <c r="F141" s="264">
        <f>+'APU 06.25'!E91</f>
        <v>34095.002044916851</v>
      </c>
      <c r="G141" s="264"/>
      <c r="H141" s="258">
        <f t="shared" ref="H141:H161" si="237">F141+G141</f>
        <v>34095.002044916851</v>
      </c>
      <c r="I141" s="264">
        <f>+'APU 06.25'!H91</f>
        <v>49666.965151940458</v>
      </c>
      <c r="J141" s="367"/>
      <c r="K141" s="258">
        <f t="shared" si="236"/>
        <v>49666.965151940458</v>
      </c>
      <c r="L141" s="264">
        <f>+'APU 06.25'!K91</f>
        <v>1812.1956821517972</v>
      </c>
      <c r="M141" s="258">
        <f t="shared" si="227"/>
        <v>85574.162879009105</v>
      </c>
      <c r="N141" s="320">
        <f t="shared" si="228"/>
        <v>1704750.1022458426</v>
      </c>
      <c r="O141" s="320">
        <f t="shared" si="229"/>
        <v>0</v>
      </c>
      <c r="P141" s="320">
        <f t="shared" si="230"/>
        <v>2483348.2575970227</v>
      </c>
      <c r="Q141" s="320">
        <f t="shared" si="231"/>
        <v>0</v>
      </c>
      <c r="R141" s="320">
        <f t="shared" si="232"/>
        <v>90609.784107589861</v>
      </c>
      <c r="S141" s="321">
        <f t="shared" si="233"/>
        <v>4278708.1439504549</v>
      </c>
      <c r="T141" s="337"/>
      <c r="U141" s="934">
        <f t="shared" si="234"/>
        <v>116079</v>
      </c>
      <c r="V141" s="934">
        <f t="shared" si="235"/>
        <v>5803950</v>
      </c>
      <c r="X141" s="80"/>
    </row>
    <row r="142" spans="1:31" ht="13" outlineLevel="1">
      <c r="A142" s="441">
        <v>18.079999999999998</v>
      </c>
      <c r="B142" s="123" t="s">
        <v>28</v>
      </c>
      <c r="C142" s="712" t="s">
        <v>1914</v>
      </c>
      <c r="D142" s="175" t="s">
        <v>72</v>
      </c>
      <c r="E142" s="483">
        <v>0</v>
      </c>
      <c r="F142" s="264">
        <f>+'APU 06.25'!E64</f>
        <v>15896.430633907985</v>
      </c>
      <c r="G142" s="367"/>
      <c r="H142" s="258">
        <f>F142+G142</f>
        <v>15896.430633907985</v>
      </c>
      <c r="I142" s="264">
        <f>+'APU 06.25'!H64</f>
        <v>49666.965151940458</v>
      </c>
      <c r="J142" s="367"/>
      <c r="K142" s="258">
        <f>I142+J142</f>
        <v>49666.965151940458</v>
      </c>
      <c r="L142" s="264">
        <f>+'APU 06.25'!K64</f>
        <v>1812.1956821517972</v>
      </c>
      <c r="M142" s="258">
        <f t="shared" si="227"/>
        <v>67375.591468000232</v>
      </c>
      <c r="N142" s="320">
        <f t="shared" si="228"/>
        <v>0</v>
      </c>
      <c r="O142" s="320">
        <f t="shared" si="229"/>
        <v>0</v>
      </c>
      <c r="P142" s="320">
        <f t="shared" si="230"/>
        <v>0</v>
      </c>
      <c r="Q142" s="320">
        <f t="shared" si="231"/>
        <v>0</v>
      </c>
      <c r="R142" s="320">
        <f t="shared" si="232"/>
        <v>0</v>
      </c>
      <c r="S142" s="321">
        <f t="shared" si="233"/>
        <v>0</v>
      </c>
      <c r="T142" s="337"/>
      <c r="U142" s="934">
        <f t="shared" si="234"/>
        <v>91393</v>
      </c>
      <c r="V142" s="934">
        <f t="shared" si="235"/>
        <v>0</v>
      </c>
      <c r="X142" s="80"/>
    </row>
    <row r="143" spans="1:31" ht="13" outlineLevel="1">
      <c r="A143" s="441">
        <v>18.09</v>
      </c>
      <c r="B143" s="123" t="s">
        <v>28</v>
      </c>
      <c r="C143" s="712" t="s">
        <v>114</v>
      </c>
      <c r="D143" s="175" t="s">
        <v>72</v>
      </c>
      <c r="E143" s="483">
        <f>+Locales!CX100</f>
        <v>40</v>
      </c>
      <c r="F143" s="264">
        <f>+'APU 06.25'!E92</f>
        <v>10557.999723719837</v>
      </c>
      <c r="G143" s="367"/>
      <c r="H143" s="258">
        <f t="shared" si="237"/>
        <v>10557.999723719837</v>
      </c>
      <c r="I143" s="264">
        <f>+'APU 06.25'!H92</f>
        <v>32283.527348761294</v>
      </c>
      <c r="J143" s="367"/>
      <c r="K143" s="258">
        <f t="shared" si="236"/>
        <v>32283.527348761294</v>
      </c>
      <c r="L143" s="264">
        <f>+'APU 06.25'!K92</f>
        <v>1177.9271933986681</v>
      </c>
      <c r="M143" s="258">
        <f t="shared" si="227"/>
        <v>44019.454265879795</v>
      </c>
      <c r="N143" s="320">
        <f t="shared" si="228"/>
        <v>422319.9889487935</v>
      </c>
      <c r="O143" s="320">
        <f t="shared" si="229"/>
        <v>0</v>
      </c>
      <c r="P143" s="320">
        <f t="shared" si="230"/>
        <v>1291341.0939504518</v>
      </c>
      <c r="Q143" s="320">
        <f t="shared" si="231"/>
        <v>0</v>
      </c>
      <c r="R143" s="320">
        <f t="shared" si="232"/>
        <v>47117.087735946727</v>
      </c>
      <c r="S143" s="321">
        <f t="shared" si="233"/>
        <v>1760778.1706351922</v>
      </c>
      <c r="T143" s="337"/>
      <c r="U143" s="934">
        <f t="shared" si="234"/>
        <v>59711</v>
      </c>
      <c r="V143" s="934">
        <f t="shared" si="235"/>
        <v>2388440</v>
      </c>
      <c r="X143" s="80"/>
    </row>
    <row r="144" spans="1:31" ht="13" outlineLevel="1">
      <c r="A144" s="441">
        <v>18.100000000000001</v>
      </c>
      <c r="B144" s="123" t="s">
        <v>28</v>
      </c>
      <c r="C144" s="712" t="s">
        <v>115</v>
      </c>
      <c r="D144" s="175" t="s">
        <v>72</v>
      </c>
      <c r="E144" s="483">
        <v>0</v>
      </c>
      <c r="F144" s="264">
        <f>+'APU 06.25'!E92</f>
        <v>10557.999723719837</v>
      </c>
      <c r="G144" s="367"/>
      <c r="H144" s="258">
        <f t="shared" si="237"/>
        <v>10557.999723719837</v>
      </c>
      <c r="I144" s="264">
        <f>+'APU 06.25'!H92</f>
        <v>32283.527348761294</v>
      </c>
      <c r="J144" s="367"/>
      <c r="K144" s="258">
        <f t="shared" si="236"/>
        <v>32283.527348761294</v>
      </c>
      <c r="L144" s="264">
        <f>+'APU 06.25'!K92</f>
        <v>1177.9271933986681</v>
      </c>
      <c r="M144" s="258">
        <f t="shared" si="227"/>
        <v>44019.454265879795</v>
      </c>
      <c r="N144" s="320">
        <f t="shared" si="228"/>
        <v>0</v>
      </c>
      <c r="O144" s="320">
        <f t="shared" si="229"/>
        <v>0</v>
      </c>
      <c r="P144" s="320">
        <f t="shared" si="230"/>
        <v>0</v>
      </c>
      <c r="Q144" s="320">
        <f t="shared" si="231"/>
        <v>0</v>
      </c>
      <c r="R144" s="320">
        <f t="shared" si="232"/>
        <v>0</v>
      </c>
      <c r="S144" s="321">
        <f t="shared" si="233"/>
        <v>0</v>
      </c>
      <c r="T144" s="337"/>
      <c r="U144" s="934">
        <f t="shared" si="234"/>
        <v>59711</v>
      </c>
      <c r="V144" s="934">
        <f t="shared" si="235"/>
        <v>0</v>
      </c>
      <c r="X144" s="80"/>
    </row>
    <row r="145" spans="1:28" ht="13" outlineLevel="1">
      <c r="A145" s="441">
        <v>18.11</v>
      </c>
      <c r="B145" s="123" t="s">
        <v>28</v>
      </c>
      <c r="C145" s="712" t="s">
        <v>1640</v>
      </c>
      <c r="D145" s="175" t="s">
        <v>72</v>
      </c>
      <c r="E145" s="483">
        <v>1</v>
      </c>
      <c r="F145" s="438">
        <f>+ELECT!H5</f>
        <v>1409151.0752583144</v>
      </c>
      <c r="G145" s="434"/>
      <c r="H145" s="258">
        <f t="shared" si="237"/>
        <v>1409151.0752583144</v>
      </c>
      <c r="I145" s="438">
        <f>+SUBCONTRATOS!D55</f>
        <v>434240.10000000003</v>
      </c>
      <c r="J145" s="434"/>
      <c r="K145" s="258">
        <f t="shared" si="236"/>
        <v>434240.10000000003</v>
      </c>
      <c r="L145" s="263">
        <f>(H145+K145)*0.015</f>
        <v>27650.867628874716</v>
      </c>
      <c r="M145" s="258">
        <f t="shared" si="227"/>
        <v>1871042.0428871892</v>
      </c>
      <c r="N145" s="320">
        <f t="shared" si="228"/>
        <v>1409151.0752583144</v>
      </c>
      <c r="O145" s="320">
        <f t="shared" si="229"/>
        <v>0</v>
      </c>
      <c r="P145" s="320">
        <f t="shared" si="230"/>
        <v>434240.10000000003</v>
      </c>
      <c r="Q145" s="320">
        <f t="shared" si="231"/>
        <v>0</v>
      </c>
      <c r="R145" s="320">
        <f t="shared" si="232"/>
        <v>27650.867628874716</v>
      </c>
      <c r="S145" s="321">
        <f t="shared" si="233"/>
        <v>1871042.0428871892</v>
      </c>
      <c r="T145" s="337"/>
      <c r="U145" s="934">
        <f t="shared" si="234"/>
        <v>2538009</v>
      </c>
      <c r="V145" s="934">
        <f t="shared" si="235"/>
        <v>2538009</v>
      </c>
      <c r="X145" s="80"/>
    </row>
    <row r="146" spans="1:28" ht="13" outlineLevel="1">
      <c r="A146" s="441">
        <v>18.12</v>
      </c>
      <c r="B146" s="123" t="s">
        <v>28</v>
      </c>
      <c r="C146" s="712" t="s">
        <v>1633</v>
      </c>
      <c r="D146" s="175" t="s">
        <v>72</v>
      </c>
      <c r="E146" s="483">
        <v>1</v>
      </c>
      <c r="F146" s="438">
        <f>+ELECT!H35</f>
        <v>610540.33970065822</v>
      </c>
      <c r="G146" s="367"/>
      <c r="H146" s="258">
        <f t="shared" si="237"/>
        <v>610540.33970065822</v>
      </c>
      <c r="I146" s="438">
        <f>+SUBCONTRATOS!$D$54</f>
        <v>289506.60000000003</v>
      </c>
      <c r="J146" s="367"/>
      <c r="K146" s="258">
        <f t="shared" si="236"/>
        <v>289506.60000000003</v>
      </c>
      <c r="L146" s="263">
        <f t="shared" ref="L146:L152" si="238">(H146+K146)*0.015</f>
        <v>13500.704095509873</v>
      </c>
      <c r="M146" s="258">
        <f t="shared" si="227"/>
        <v>913547.64379616803</v>
      </c>
      <c r="N146" s="320">
        <f t="shared" si="228"/>
        <v>610540.33970065822</v>
      </c>
      <c r="O146" s="320">
        <f t="shared" si="229"/>
        <v>0</v>
      </c>
      <c r="P146" s="320">
        <f t="shared" si="230"/>
        <v>289506.60000000003</v>
      </c>
      <c r="Q146" s="320">
        <f t="shared" si="231"/>
        <v>0</v>
      </c>
      <c r="R146" s="320">
        <f t="shared" si="232"/>
        <v>13500.704095509873</v>
      </c>
      <c r="S146" s="321">
        <f t="shared" si="233"/>
        <v>913547.64379616803</v>
      </c>
      <c r="T146" s="337"/>
      <c r="U146" s="934">
        <f t="shared" si="234"/>
        <v>1239198</v>
      </c>
      <c r="V146" s="934">
        <f t="shared" si="235"/>
        <v>1239198</v>
      </c>
      <c r="X146" s="80"/>
    </row>
    <row r="147" spans="1:28" ht="13" outlineLevel="1">
      <c r="A147" s="441">
        <v>18.13</v>
      </c>
      <c r="B147" s="123" t="s">
        <v>28</v>
      </c>
      <c r="C147" s="712" t="s">
        <v>1641</v>
      </c>
      <c r="D147" s="175" t="s">
        <v>72</v>
      </c>
      <c r="E147" s="483">
        <v>1</v>
      </c>
      <c r="F147" s="365">
        <f>+ELECT!H45</f>
        <v>290879.99749432731</v>
      </c>
      <c r="G147" s="338"/>
      <c r="H147" s="258">
        <f t="shared" si="237"/>
        <v>290879.99749432731</v>
      </c>
      <c r="I147" s="438">
        <f>+SUBCONTRATOS!$D$54</f>
        <v>289506.60000000003</v>
      </c>
      <c r="J147" s="367"/>
      <c r="K147" s="258">
        <f t="shared" si="236"/>
        <v>289506.60000000003</v>
      </c>
      <c r="L147" s="263">
        <f t="shared" si="238"/>
        <v>8705.7989624149104</v>
      </c>
      <c r="M147" s="258">
        <f t="shared" si="227"/>
        <v>589092.39645674231</v>
      </c>
      <c r="N147" s="320">
        <f t="shared" si="228"/>
        <v>290879.99749432731</v>
      </c>
      <c r="O147" s="320">
        <f t="shared" si="229"/>
        <v>0</v>
      </c>
      <c r="P147" s="320">
        <f t="shared" si="230"/>
        <v>289506.60000000003</v>
      </c>
      <c r="Q147" s="320">
        <f t="shared" si="231"/>
        <v>0</v>
      </c>
      <c r="R147" s="320">
        <f t="shared" si="232"/>
        <v>8705.7989624149104</v>
      </c>
      <c r="S147" s="321">
        <f t="shared" si="233"/>
        <v>589092.39645674231</v>
      </c>
      <c r="T147" s="337"/>
      <c r="U147" s="934">
        <f t="shared" si="234"/>
        <v>799085</v>
      </c>
      <c r="V147" s="934">
        <f t="shared" si="235"/>
        <v>799085</v>
      </c>
      <c r="X147" s="80"/>
    </row>
    <row r="148" spans="1:28" ht="13" outlineLevel="1">
      <c r="A148" s="441">
        <v>18.14</v>
      </c>
      <c r="B148" s="123" t="s">
        <v>28</v>
      </c>
      <c r="C148" s="712" t="s">
        <v>1637</v>
      </c>
      <c r="D148" s="175" t="s">
        <v>72</v>
      </c>
      <c r="E148" s="483">
        <v>1</v>
      </c>
      <c r="F148" s="365">
        <f>+ELECT!H52</f>
        <v>502957.66935239022</v>
      </c>
      <c r="G148" s="367"/>
      <c r="H148" s="258">
        <f t="shared" si="237"/>
        <v>502957.66935239022</v>
      </c>
      <c r="I148" s="438">
        <f>+SUBCONTRATOS!$D$54</f>
        <v>289506.60000000003</v>
      </c>
      <c r="J148" s="367"/>
      <c r="K148" s="258">
        <f t="shared" si="236"/>
        <v>289506.60000000003</v>
      </c>
      <c r="L148" s="263">
        <f t="shared" si="238"/>
        <v>11886.964040285853</v>
      </c>
      <c r="M148" s="258">
        <f t="shared" si="227"/>
        <v>804351.23339267611</v>
      </c>
      <c r="N148" s="320">
        <f t="shared" si="228"/>
        <v>502957.66935239022</v>
      </c>
      <c r="O148" s="320">
        <f t="shared" si="229"/>
        <v>0</v>
      </c>
      <c r="P148" s="320">
        <f t="shared" si="230"/>
        <v>289506.60000000003</v>
      </c>
      <c r="Q148" s="320">
        <f t="shared" si="231"/>
        <v>0</v>
      </c>
      <c r="R148" s="320">
        <f t="shared" si="232"/>
        <v>11886.964040285853</v>
      </c>
      <c r="S148" s="321">
        <f t="shared" si="233"/>
        <v>804351.23339267611</v>
      </c>
      <c r="T148" s="337"/>
      <c r="U148" s="934">
        <f t="shared" si="234"/>
        <v>1091077</v>
      </c>
      <c r="V148" s="934">
        <f t="shared" si="235"/>
        <v>1091077</v>
      </c>
      <c r="X148" s="80"/>
    </row>
    <row r="149" spans="1:28" ht="13" outlineLevel="1">
      <c r="A149" s="441">
        <v>18.149999999999999</v>
      </c>
      <c r="B149" s="123" t="s">
        <v>28</v>
      </c>
      <c r="C149" s="718" t="s">
        <v>2375</v>
      </c>
      <c r="D149" s="175" t="s">
        <v>72</v>
      </c>
      <c r="E149" s="483">
        <f>+Locales!CQ100</f>
        <v>11</v>
      </c>
      <c r="F149" s="438">
        <f>+ELECT!H62</f>
        <v>136527.37438721894</v>
      </c>
      <c r="G149" s="367"/>
      <c r="H149" s="258">
        <f t="shared" si="237"/>
        <v>136527.37438721894</v>
      </c>
      <c r="I149" s="438">
        <f>+SUBCONTRATOS!$D$54</f>
        <v>289506.60000000003</v>
      </c>
      <c r="J149" s="367"/>
      <c r="K149" s="258">
        <f t="shared" si="236"/>
        <v>289506.60000000003</v>
      </c>
      <c r="L149" s="263">
        <f t="shared" si="238"/>
        <v>6390.5096158082843</v>
      </c>
      <c r="M149" s="258">
        <f t="shared" si="227"/>
        <v>432424.4840030272</v>
      </c>
      <c r="N149" s="320">
        <f t="shared" si="228"/>
        <v>1501801.1182594083</v>
      </c>
      <c r="O149" s="320">
        <f t="shared" si="229"/>
        <v>0</v>
      </c>
      <c r="P149" s="320">
        <f t="shared" si="230"/>
        <v>3184572.6000000006</v>
      </c>
      <c r="Q149" s="320">
        <f t="shared" si="231"/>
        <v>0</v>
      </c>
      <c r="R149" s="320">
        <f t="shared" si="232"/>
        <v>70295.605773891133</v>
      </c>
      <c r="S149" s="321">
        <f t="shared" si="233"/>
        <v>4756669.3240333004</v>
      </c>
      <c r="T149" s="337"/>
      <c r="U149" s="934">
        <f t="shared" si="234"/>
        <v>586570</v>
      </c>
      <c r="V149" s="934">
        <f t="shared" si="235"/>
        <v>6452270</v>
      </c>
      <c r="X149" s="80"/>
    </row>
    <row r="150" spans="1:28" ht="13" outlineLevel="1">
      <c r="A150" s="441">
        <v>18.16</v>
      </c>
      <c r="B150" s="123" t="s">
        <v>28</v>
      </c>
      <c r="C150" s="712" t="s">
        <v>1659</v>
      </c>
      <c r="D150" s="175" t="s">
        <v>72</v>
      </c>
      <c r="E150" s="483">
        <f>+Locales!CR100</f>
        <v>14</v>
      </c>
      <c r="F150" s="438">
        <f>+ELECT!H70</f>
        <v>210979.27800770043</v>
      </c>
      <c r="G150" s="367"/>
      <c r="H150" s="258">
        <f t="shared" si="237"/>
        <v>210979.27800770043</v>
      </c>
      <c r="I150" s="438">
        <f>+SUBCONTRATOS!$D$54</f>
        <v>289506.60000000003</v>
      </c>
      <c r="J150" s="367"/>
      <c r="K150" s="258">
        <f t="shared" si="236"/>
        <v>289506.60000000003</v>
      </c>
      <c r="L150" s="263">
        <f t="shared" si="238"/>
        <v>7507.2881701155065</v>
      </c>
      <c r="M150" s="258">
        <f t="shared" si="227"/>
        <v>507993.16617781593</v>
      </c>
      <c r="N150" s="320">
        <f t="shared" si="228"/>
        <v>2953709.8921078062</v>
      </c>
      <c r="O150" s="320">
        <f t="shared" si="229"/>
        <v>0</v>
      </c>
      <c r="P150" s="320">
        <f t="shared" si="230"/>
        <v>4053092.4000000004</v>
      </c>
      <c r="Q150" s="320">
        <f t="shared" si="231"/>
        <v>0</v>
      </c>
      <c r="R150" s="320">
        <f t="shared" si="232"/>
        <v>105102.03438161709</v>
      </c>
      <c r="S150" s="321">
        <f t="shared" si="233"/>
        <v>7111904.3264894234</v>
      </c>
      <c r="T150" s="337"/>
      <c r="U150" s="934">
        <f t="shared" si="234"/>
        <v>689077</v>
      </c>
      <c r="V150" s="934">
        <f t="shared" si="235"/>
        <v>9647078</v>
      </c>
      <c r="X150" s="80"/>
    </row>
    <row r="151" spans="1:28" ht="13" outlineLevel="1">
      <c r="A151" s="441">
        <v>18.170000000000002</v>
      </c>
      <c r="B151" s="123" t="s">
        <v>28</v>
      </c>
      <c r="C151" s="712" t="s">
        <v>116</v>
      </c>
      <c r="D151" s="175" t="s">
        <v>54</v>
      </c>
      <c r="E151" s="483">
        <v>1</v>
      </c>
      <c r="F151" s="434">
        <f>+Tareas!H205</f>
        <v>6941648.2775356993</v>
      </c>
      <c r="G151" s="434">
        <f>+Tareas!I205</f>
        <v>0</v>
      </c>
      <c r="H151" s="258">
        <f t="shared" si="237"/>
        <v>6941648.2775356993</v>
      </c>
      <c r="I151" s="434">
        <f>+Tareas!Q205</f>
        <v>0</v>
      </c>
      <c r="J151" s="434">
        <f>+Tareas!R205</f>
        <v>3269696.8515315522</v>
      </c>
      <c r="K151" s="258">
        <f t="shared" si="236"/>
        <v>3269696.8515315522</v>
      </c>
      <c r="L151" s="263">
        <f t="shared" si="238"/>
        <v>153170.17693600876</v>
      </c>
      <c r="M151" s="258">
        <f t="shared" ref="M151:M154" si="239">H151+K151+L151</f>
        <v>10364515.306003259</v>
      </c>
      <c r="N151" s="320">
        <f t="shared" si="228"/>
        <v>6941648.2775356993</v>
      </c>
      <c r="O151" s="320">
        <f t="shared" si="229"/>
        <v>0</v>
      </c>
      <c r="P151" s="320">
        <f t="shared" si="230"/>
        <v>0</v>
      </c>
      <c r="Q151" s="320">
        <f t="shared" si="231"/>
        <v>3269696.8515315522</v>
      </c>
      <c r="R151" s="320">
        <f t="shared" si="232"/>
        <v>153170.17693600876</v>
      </c>
      <c r="S151" s="321">
        <f t="shared" si="233"/>
        <v>10364515.306003259</v>
      </c>
      <c r="T151" s="337"/>
      <c r="U151" s="934">
        <f t="shared" si="234"/>
        <v>14059131</v>
      </c>
      <c r="V151" s="934">
        <f t="shared" si="235"/>
        <v>14059131</v>
      </c>
      <c r="X151" s="80"/>
    </row>
    <row r="152" spans="1:28" ht="26" outlineLevel="1">
      <c r="A152" s="441">
        <v>18.18</v>
      </c>
      <c r="B152" s="123" t="s">
        <v>28</v>
      </c>
      <c r="C152" s="712" t="s">
        <v>117</v>
      </c>
      <c r="D152" s="175" t="s">
        <v>54</v>
      </c>
      <c r="E152" s="483">
        <v>1</v>
      </c>
      <c r="F152" s="434">
        <f>+Tareas!H210</f>
        <v>896755.5936702406</v>
      </c>
      <c r="G152" s="434">
        <f>+Tareas!I210</f>
        <v>0</v>
      </c>
      <c r="H152" s="258">
        <f t="shared" si="237"/>
        <v>896755.5936702406</v>
      </c>
      <c r="I152" s="434">
        <f>+Tareas!Q210</f>
        <v>0</v>
      </c>
      <c r="J152" s="434">
        <f>+Tareas!R210</f>
        <v>1634848.4257657761</v>
      </c>
      <c r="K152" s="258">
        <f t="shared" si="236"/>
        <v>1634848.4257657761</v>
      </c>
      <c r="L152" s="263">
        <f t="shared" si="238"/>
        <v>37974.060291540249</v>
      </c>
      <c r="M152" s="258">
        <f t="shared" si="239"/>
        <v>2569578.079727557</v>
      </c>
      <c r="N152" s="320">
        <f t="shared" si="228"/>
        <v>896755.5936702406</v>
      </c>
      <c r="O152" s="320">
        <f t="shared" si="229"/>
        <v>0</v>
      </c>
      <c r="P152" s="320">
        <f t="shared" si="230"/>
        <v>0</v>
      </c>
      <c r="Q152" s="320">
        <f t="shared" si="231"/>
        <v>1634848.4257657761</v>
      </c>
      <c r="R152" s="320">
        <f t="shared" si="232"/>
        <v>37974.060291540249</v>
      </c>
      <c r="S152" s="321">
        <f t="shared" si="233"/>
        <v>2569578.079727557</v>
      </c>
      <c r="T152" s="337"/>
      <c r="U152" s="934">
        <f t="shared" si="234"/>
        <v>3485550</v>
      </c>
      <c r="V152" s="934">
        <f t="shared" si="235"/>
        <v>3485550</v>
      </c>
      <c r="X152" s="80"/>
    </row>
    <row r="153" spans="1:28" ht="26" outlineLevel="1">
      <c r="A153" s="441">
        <v>18.190000000000001</v>
      </c>
      <c r="B153" s="123" t="s">
        <v>28</v>
      </c>
      <c r="C153" s="712" t="s">
        <v>118</v>
      </c>
      <c r="D153" s="175" t="s">
        <v>54</v>
      </c>
      <c r="E153" s="483">
        <v>0</v>
      </c>
      <c r="F153" s="434"/>
      <c r="G153" s="434"/>
      <c r="H153" s="258">
        <f t="shared" si="237"/>
        <v>0</v>
      </c>
      <c r="I153" s="434"/>
      <c r="J153" s="434"/>
      <c r="K153" s="258">
        <f t="shared" si="236"/>
        <v>0</v>
      </c>
      <c r="L153" s="263"/>
      <c r="M153" s="258">
        <f t="shared" si="239"/>
        <v>0</v>
      </c>
      <c r="N153" s="320">
        <f t="shared" si="228"/>
        <v>0</v>
      </c>
      <c r="O153" s="320">
        <f t="shared" si="229"/>
        <v>0</v>
      </c>
      <c r="P153" s="320">
        <f t="shared" si="230"/>
        <v>0</v>
      </c>
      <c r="Q153" s="320">
        <f t="shared" si="231"/>
        <v>0</v>
      </c>
      <c r="R153" s="320">
        <f t="shared" si="232"/>
        <v>0</v>
      </c>
      <c r="S153" s="321">
        <f t="shared" si="233"/>
        <v>0</v>
      </c>
      <c r="T153" s="337"/>
      <c r="U153" s="934">
        <f t="shared" si="234"/>
        <v>0</v>
      </c>
      <c r="V153" s="934">
        <f t="shared" si="235"/>
        <v>0</v>
      </c>
      <c r="X153" s="80"/>
    </row>
    <row r="154" spans="1:28" ht="26" outlineLevel="1">
      <c r="A154" s="441">
        <v>18.2</v>
      </c>
      <c r="B154" s="123" t="s">
        <v>28</v>
      </c>
      <c r="C154" s="712" t="s">
        <v>119</v>
      </c>
      <c r="D154" s="175" t="s">
        <v>72</v>
      </c>
      <c r="E154" s="483">
        <f>+Locales!CK102</f>
        <v>119</v>
      </c>
      <c r="F154" s="434"/>
      <c r="G154" s="434"/>
      <c r="H154" s="258">
        <f t="shared" si="237"/>
        <v>0</v>
      </c>
      <c r="I154" s="438">
        <f>+SUBCONTRATOS!$D$49</f>
        <v>9575.2999999999993</v>
      </c>
      <c r="J154" s="434"/>
      <c r="K154" s="258">
        <f t="shared" si="236"/>
        <v>9575.2999999999993</v>
      </c>
      <c r="L154" s="263">
        <f t="shared" ref="L154:L160" si="240">(H154+K154)*0.015</f>
        <v>143.62949999999998</v>
      </c>
      <c r="M154" s="258">
        <f t="shared" si="239"/>
        <v>9718.9294999999984</v>
      </c>
      <c r="N154" s="320">
        <f t="shared" si="228"/>
        <v>0</v>
      </c>
      <c r="O154" s="320">
        <f t="shared" si="229"/>
        <v>0</v>
      </c>
      <c r="P154" s="320">
        <f t="shared" si="230"/>
        <v>1139460.7</v>
      </c>
      <c r="Q154" s="320">
        <f t="shared" si="231"/>
        <v>0</v>
      </c>
      <c r="R154" s="320">
        <f t="shared" si="232"/>
        <v>17091.910499999998</v>
      </c>
      <c r="S154" s="321">
        <f t="shared" si="233"/>
        <v>1156552.6105</v>
      </c>
      <c r="T154" s="337"/>
      <c r="U154" s="934">
        <f t="shared" si="234"/>
        <v>13184</v>
      </c>
      <c r="V154" s="934">
        <f t="shared" si="235"/>
        <v>1568896</v>
      </c>
      <c r="X154" s="80"/>
    </row>
    <row r="155" spans="1:28" ht="26" outlineLevel="1">
      <c r="A155" s="441">
        <v>18.21</v>
      </c>
      <c r="B155" s="123" t="s">
        <v>28</v>
      </c>
      <c r="C155" s="712" t="s">
        <v>120</v>
      </c>
      <c r="D155" s="175" t="s">
        <v>72</v>
      </c>
      <c r="E155" s="483">
        <f>+Locales!CH100</f>
        <v>16</v>
      </c>
      <c r="F155" s="434"/>
      <c r="G155" s="434"/>
      <c r="H155" s="258">
        <f t="shared" si="237"/>
        <v>0</v>
      </c>
      <c r="I155" s="438">
        <f>+SUBCONTRATOS!$D$49</f>
        <v>9575.2999999999993</v>
      </c>
      <c r="J155" s="434"/>
      <c r="K155" s="258">
        <f t="shared" si="236"/>
        <v>9575.2999999999993</v>
      </c>
      <c r="L155" s="263">
        <f t="shared" si="240"/>
        <v>143.62949999999998</v>
      </c>
      <c r="M155" s="258">
        <f t="shared" ref="M155:M161" si="241">H155+K155+L155</f>
        <v>9718.9294999999984</v>
      </c>
      <c r="N155" s="320">
        <f t="shared" si="228"/>
        <v>0</v>
      </c>
      <c r="O155" s="320">
        <f t="shared" si="229"/>
        <v>0</v>
      </c>
      <c r="P155" s="320">
        <f t="shared" si="230"/>
        <v>153204.79999999999</v>
      </c>
      <c r="Q155" s="320">
        <f t="shared" si="231"/>
        <v>0</v>
      </c>
      <c r="R155" s="320">
        <f t="shared" si="232"/>
        <v>2298.0719999999997</v>
      </c>
      <c r="S155" s="321">
        <f t="shared" si="233"/>
        <v>155502.87199999997</v>
      </c>
      <c r="T155" s="337"/>
      <c r="U155" s="934">
        <f t="shared" si="234"/>
        <v>13184</v>
      </c>
      <c r="V155" s="934">
        <f t="shared" si="235"/>
        <v>210944</v>
      </c>
      <c r="X155" s="80"/>
    </row>
    <row r="156" spans="1:28" ht="26" outlineLevel="1">
      <c r="A156" s="441">
        <v>18.22</v>
      </c>
      <c r="B156" s="123" t="s">
        <v>28</v>
      </c>
      <c r="C156" s="712" t="s">
        <v>1632</v>
      </c>
      <c r="D156" s="175" t="s">
        <v>72</v>
      </c>
      <c r="E156" s="483">
        <f>+Locales!CM103</f>
        <v>363</v>
      </c>
      <c r="F156" s="434"/>
      <c r="G156" s="434"/>
      <c r="H156" s="258">
        <f t="shared" si="237"/>
        <v>0</v>
      </c>
      <c r="I156" s="438">
        <f>+SUBCONTRATOS!$D$49</f>
        <v>9575.2999999999993</v>
      </c>
      <c r="J156" s="434"/>
      <c r="K156" s="258">
        <f t="shared" si="236"/>
        <v>9575.2999999999993</v>
      </c>
      <c r="L156" s="263">
        <f t="shared" si="240"/>
        <v>143.62949999999998</v>
      </c>
      <c r="M156" s="258">
        <f t="shared" si="241"/>
        <v>9718.9294999999984</v>
      </c>
      <c r="N156" s="320">
        <f t="shared" si="228"/>
        <v>0</v>
      </c>
      <c r="O156" s="320">
        <f t="shared" si="229"/>
        <v>0</v>
      </c>
      <c r="P156" s="320">
        <f t="shared" si="230"/>
        <v>3475833.9</v>
      </c>
      <c r="Q156" s="320">
        <f t="shared" si="231"/>
        <v>0</v>
      </c>
      <c r="R156" s="320">
        <f t="shared" si="232"/>
        <v>52137.508499999989</v>
      </c>
      <c r="S156" s="321">
        <f t="shared" si="233"/>
        <v>3527971.4084999999</v>
      </c>
      <c r="T156" s="337"/>
      <c r="U156" s="934">
        <f t="shared" si="234"/>
        <v>13184</v>
      </c>
      <c r="V156" s="934">
        <f t="shared" si="235"/>
        <v>4785792</v>
      </c>
      <c r="X156" s="80"/>
    </row>
    <row r="157" spans="1:28" ht="52" outlineLevel="1">
      <c r="A157" s="441">
        <v>18.23</v>
      </c>
      <c r="B157" s="123" t="s">
        <v>28</v>
      </c>
      <c r="C157" s="712" t="s">
        <v>121</v>
      </c>
      <c r="D157" s="175" t="s">
        <v>72</v>
      </c>
      <c r="E157" s="483">
        <f>+Locales!CC100</f>
        <v>119</v>
      </c>
      <c r="F157" s="101"/>
      <c r="G157" s="367"/>
      <c r="H157" s="258">
        <f t="shared" si="237"/>
        <v>0</v>
      </c>
      <c r="I157" s="439">
        <f>+SUBCONTRATOS!D50</f>
        <v>14693.699999999999</v>
      </c>
      <c r="J157" s="367"/>
      <c r="K157" s="258">
        <f t="shared" si="236"/>
        <v>14693.699999999999</v>
      </c>
      <c r="L157" s="263">
        <f t="shared" si="240"/>
        <v>220.40549999999999</v>
      </c>
      <c r="M157" s="258">
        <f t="shared" si="241"/>
        <v>14914.1055</v>
      </c>
      <c r="N157" s="320">
        <f t="shared" si="228"/>
        <v>0</v>
      </c>
      <c r="O157" s="320">
        <f t="shared" si="229"/>
        <v>0</v>
      </c>
      <c r="P157" s="320">
        <f t="shared" si="230"/>
        <v>1748550.2999999998</v>
      </c>
      <c r="Q157" s="320">
        <f t="shared" si="231"/>
        <v>0</v>
      </c>
      <c r="R157" s="320">
        <f t="shared" si="232"/>
        <v>26228.254499999999</v>
      </c>
      <c r="S157" s="321">
        <f t="shared" si="233"/>
        <v>1774778.5544999999</v>
      </c>
      <c r="T157" s="337"/>
      <c r="U157" s="934">
        <f t="shared" si="234"/>
        <v>20231</v>
      </c>
      <c r="V157" s="934">
        <f t="shared" si="235"/>
        <v>2407489</v>
      </c>
      <c r="X157" s="80"/>
    </row>
    <row r="158" spans="1:28" ht="26" outlineLevel="1">
      <c r="A158" s="441">
        <v>18.239999999999998</v>
      </c>
      <c r="B158" s="123" t="s">
        <v>28</v>
      </c>
      <c r="C158" s="712" t="s">
        <v>2189</v>
      </c>
      <c r="D158" s="175" t="s">
        <v>72</v>
      </c>
      <c r="E158" s="483">
        <f>+Locales!CD100</f>
        <v>25</v>
      </c>
      <c r="F158" s="101"/>
      <c r="G158" s="367"/>
      <c r="H158" s="258">
        <f t="shared" si="237"/>
        <v>0</v>
      </c>
      <c r="I158" s="439">
        <f>+SUBCONTRATOS!D50</f>
        <v>14693.699999999999</v>
      </c>
      <c r="J158" s="367"/>
      <c r="K158" s="258">
        <f>I158+J158</f>
        <v>14693.699999999999</v>
      </c>
      <c r="L158" s="263">
        <f t="shared" si="240"/>
        <v>220.40549999999999</v>
      </c>
      <c r="M158" s="258">
        <f t="shared" si="241"/>
        <v>14914.1055</v>
      </c>
      <c r="N158" s="320">
        <f t="shared" si="228"/>
        <v>0</v>
      </c>
      <c r="O158" s="320">
        <f t="shared" si="229"/>
        <v>0</v>
      </c>
      <c r="P158" s="320">
        <f t="shared" si="230"/>
        <v>367342.5</v>
      </c>
      <c r="Q158" s="320">
        <f t="shared" si="231"/>
        <v>0</v>
      </c>
      <c r="R158" s="320">
        <f t="shared" si="232"/>
        <v>5510.1374999999998</v>
      </c>
      <c r="S158" s="321">
        <f t="shared" si="233"/>
        <v>372852.63750000001</v>
      </c>
      <c r="T158" s="337"/>
      <c r="U158" s="934">
        <f t="shared" si="234"/>
        <v>20231</v>
      </c>
      <c r="V158" s="934">
        <f t="shared" si="235"/>
        <v>505775</v>
      </c>
      <c r="X158" s="80"/>
    </row>
    <row r="159" spans="1:28" ht="39" outlineLevel="1">
      <c r="A159" s="441">
        <v>18.25</v>
      </c>
      <c r="B159" s="123" t="s">
        <v>28</v>
      </c>
      <c r="C159" s="712" t="s">
        <v>1665</v>
      </c>
      <c r="D159" s="175" t="s">
        <v>54</v>
      </c>
      <c r="E159" s="483">
        <v>1</v>
      </c>
      <c r="F159" s="1161">
        <f>+Tareas!H215</f>
        <v>6991302.4321481157</v>
      </c>
      <c r="G159" s="434">
        <f>+Tareas!I215</f>
        <v>0</v>
      </c>
      <c r="H159" s="258">
        <f t="shared" si="237"/>
        <v>6991302.4321481157</v>
      </c>
      <c r="I159" s="1161">
        <f>+Tareas!Q215</f>
        <v>3242733.2</v>
      </c>
      <c r="J159" s="434">
        <f>+Tareas!R215</f>
        <v>0</v>
      </c>
      <c r="K159" s="258">
        <f>I159+J159</f>
        <v>3242733.2</v>
      </c>
      <c r="L159" s="263">
        <f t="shared" si="240"/>
        <v>153510.53448222176</v>
      </c>
      <c r="M159" s="258">
        <f t="shared" si="241"/>
        <v>10387546.166630339</v>
      </c>
      <c r="N159" s="320">
        <f t="shared" si="228"/>
        <v>6991302.4321481157</v>
      </c>
      <c r="O159" s="320">
        <f t="shared" si="229"/>
        <v>0</v>
      </c>
      <c r="P159" s="320">
        <f t="shared" si="230"/>
        <v>3242733.2</v>
      </c>
      <c r="Q159" s="320">
        <f t="shared" si="231"/>
        <v>0</v>
      </c>
      <c r="R159" s="320">
        <f t="shared" si="232"/>
        <v>153510.53448222176</v>
      </c>
      <c r="S159" s="321">
        <f t="shared" si="233"/>
        <v>10387546.166630339</v>
      </c>
      <c r="T159" s="337"/>
      <c r="U159" s="934">
        <f t="shared" si="234"/>
        <v>14090372</v>
      </c>
      <c r="V159" s="934">
        <f t="shared" si="235"/>
        <v>14090372</v>
      </c>
      <c r="X159" s="80"/>
    </row>
    <row r="160" spans="1:28" ht="13" outlineLevel="1">
      <c r="A160" s="441">
        <v>18.260000000000002</v>
      </c>
      <c r="B160" s="123" t="s">
        <v>28</v>
      </c>
      <c r="C160" s="712" t="s">
        <v>122</v>
      </c>
      <c r="D160" s="175" t="s">
        <v>54</v>
      </c>
      <c r="E160" s="483">
        <v>1</v>
      </c>
      <c r="F160" s="434">
        <f>+Tareas!H222</f>
        <v>1057994.9839655068</v>
      </c>
      <c r="G160" s="434">
        <f>+Tareas!I222</f>
        <v>0</v>
      </c>
      <c r="H160" s="258">
        <f t="shared" si="237"/>
        <v>1057994.9839655068</v>
      </c>
      <c r="I160" s="263">
        <f>+Tareas!Q222</f>
        <v>401985.49999999994</v>
      </c>
      <c r="J160" s="263">
        <f>+Tareas!R222</f>
        <v>0</v>
      </c>
      <c r="K160" s="258">
        <f>I160+J160</f>
        <v>401985.49999999994</v>
      </c>
      <c r="L160" s="263">
        <f t="shared" si="240"/>
        <v>21899.707259482602</v>
      </c>
      <c r="M160" s="258">
        <f t="shared" si="241"/>
        <v>1481880.1912249895</v>
      </c>
      <c r="N160" s="320">
        <f t="shared" si="228"/>
        <v>1057994.9839655068</v>
      </c>
      <c r="O160" s="320">
        <f t="shared" si="229"/>
        <v>0</v>
      </c>
      <c r="P160" s="320">
        <f t="shared" si="230"/>
        <v>401985.49999999994</v>
      </c>
      <c r="Q160" s="320">
        <f t="shared" si="231"/>
        <v>0</v>
      </c>
      <c r="R160" s="320">
        <f t="shared" si="232"/>
        <v>21899.707259482602</v>
      </c>
      <c r="S160" s="321">
        <f t="shared" si="233"/>
        <v>1481880.1912249895</v>
      </c>
      <c r="T160" s="337"/>
      <c r="U160" s="934">
        <f t="shared" si="234"/>
        <v>2010123</v>
      </c>
      <c r="V160" s="934">
        <f t="shared" si="235"/>
        <v>2010123</v>
      </c>
      <c r="X160" s="80"/>
      <c r="AA160" s="16">
        <v>4046.5</v>
      </c>
      <c r="AB160" s="799">
        <v>45200</v>
      </c>
    </row>
    <row r="161" spans="1:35" ht="13" outlineLevel="1">
      <c r="A161" s="441">
        <v>18.27</v>
      </c>
      <c r="B161" s="123" t="s">
        <v>28</v>
      </c>
      <c r="C161" s="800" t="s">
        <v>123</v>
      </c>
      <c r="D161" s="176" t="s">
        <v>54</v>
      </c>
      <c r="E161" s="529">
        <v>1</v>
      </c>
      <c r="F161" s="102"/>
      <c r="G161" s="323"/>
      <c r="H161" s="266">
        <f t="shared" si="237"/>
        <v>0</v>
      </c>
      <c r="I161" s="431">
        <f>+SUBCONTRATOS!D15</f>
        <v>113275.77194850451</v>
      </c>
      <c r="J161" s="323"/>
      <c r="K161" s="266">
        <f t="shared" si="236"/>
        <v>113275.77194850451</v>
      </c>
      <c r="L161" s="260"/>
      <c r="M161" s="266">
        <f t="shared" si="241"/>
        <v>113275.77194850451</v>
      </c>
      <c r="N161" s="324">
        <f t="shared" si="228"/>
        <v>0</v>
      </c>
      <c r="O161" s="324">
        <f t="shared" si="229"/>
        <v>0</v>
      </c>
      <c r="P161" s="324">
        <f t="shared" si="230"/>
        <v>113275.77194850451</v>
      </c>
      <c r="Q161" s="324">
        <f t="shared" si="231"/>
        <v>0</v>
      </c>
      <c r="R161" s="324">
        <f t="shared" si="232"/>
        <v>0</v>
      </c>
      <c r="S161" s="325">
        <f t="shared" si="233"/>
        <v>113275.77194850451</v>
      </c>
      <c r="T161" s="339"/>
      <c r="U161" s="940">
        <f t="shared" si="234"/>
        <v>153655</v>
      </c>
      <c r="V161" s="940">
        <f t="shared" si="235"/>
        <v>153655</v>
      </c>
      <c r="X161" s="80"/>
      <c r="AA161" s="16">
        <v>13334.9</v>
      </c>
      <c r="AB161" s="799">
        <v>45778</v>
      </c>
    </row>
    <row r="162" spans="1:35" ht="26">
      <c r="A162" s="535">
        <v>19</v>
      </c>
      <c r="B162" s="575"/>
      <c r="C162" s="691" t="s">
        <v>124</v>
      </c>
      <c r="D162" s="227"/>
      <c r="E162" s="228"/>
      <c r="F162" s="228"/>
      <c r="G162" s="228"/>
      <c r="H162" s="228"/>
      <c r="I162" s="228"/>
      <c r="J162" s="228"/>
      <c r="K162" s="228"/>
      <c r="L162" s="228"/>
      <c r="M162" s="256"/>
      <c r="N162" s="228"/>
      <c r="O162" s="228"/>
      <c r="P162" s="228"/>
      <c r="Q162" s="228"/>
      <c r="R162" s="228"/>
      <c r="S162" s="228"/>
      <c r="T162" s="238"/>
      <c r="U162" s="522"/>
      <c r="V162" s="522"/>
      <c r="W162" s="680"/>
      <c r="Y162" s="80"/>
      <c r="AA162" s="16">
        <f>+AA161/AA160</f>
        <v>3.2954157914246878</v>
      </c>
      <c r="AB162" s="16"/>
    </row>
    <row r="163" spans="1:35" ht="13" outlineLevel="1">
      <c r="A163" s="535"/>
      <c r="B163" s="575"/>
      <c r="C163" s="691" t="s">
        <v>125</v>
      </c>
      <c r="D163" s="227"/>
      <c r="E163" s="228"/>
      <c r="F163" s="228"/>
      <c r="G163" s="228"/>
      <c r="H163" s="229"/>
      <c r="I163" s="228"/>
      <c r="J163" s="228"/>
      <c r="K163" s="228"/>
      <c r="L163" s="228"/>
      <c r="M163" s="256"/>
      <c r="N163" s="228"/>
      <c r="O163" s="228"/>
      <c r="P163" s="228"/>
      <c r="Q163" s="228"/>
      <c r="R163" s="228"/>
      <c r="S163" s="228"/>
      <c r="T163" s="335">
        <f>SUM(S164:S166)</f>
        <v>17119420.081876706</v>
      </c>
      <c r="U163" s="228"/>
      <c r="V163" s="228"/>
      <c r="W163" s="932">
        <f>SUM(V164:V166)</f>
        <v>23221943</v>
      </c>
      <c r="X163" s="80">
        <f>+W163/$W$213</f>
        <v>1.5073129741550539E-2</v>
      </c>
      <c r="Y163" s="547"/>
      <c r="Z163" s="909" t="s">
        <v>1585</v>
      </c>
      <c r="AA163" s="909" t="s">
        <v>126</v>
      </c>
      <c r="AB163" s="909" t="s">
        <v>16</v>
      </c>
      <c r="AC163" s="909" t="s">
        <v>127</v>
      </c>
      <c r="AD163" s="909" t="s">
        <v>2435</v>
      </c>
    </row>
    <row r="164" spans="1:35" ht="13" outlineLevel="2">
      <c r="A164" s="193">
        <v>19.010000000000002</v>
      </c>
      <c r="B164" s="196" t="s">
        <v>28</v>
      </c>
      <c r="C164" s="697" t="s">
        <v>2454</v>
      </c>
      <c r="D164" s="189" t="s">
        <v>54</v>
      </c>
      <c r="E164" s="190">
        <v>1</v>
      </c>
      <c r="F164" s="402">
        <f>+CLOACAL!G195</f>
        <v>559930.45499047067</v>
      </c>
      <c r="G164" s="190"/>
      <c r="H164" s="257">
        <f>F164+G164</f>
        <v>559930.45499047067</v>
      </c>
      <c r="I164" s="402">
        <f>+CLOACAL!P195</f>
        <v>931720.65894092771</v>
      </c>
      <c r="J164" s="190"/>
      <c r="K164" s="257">
        <f t="shared" ref="K164:K180" si="242">I164+J164</f>
        <v>931720.65894092771</v>
      </c>
      <c r="L164" s="270">
        <f>(H164+K164)*0.015</f>
        <v>22374.766708970976</v>
      </c>
      <c r="M164" s="257">
        <f>H164+K164+L164</f>
        <v>1514025.8806403694</v>
      </c>
      <c r="N164" s="318">
        <f>F164*E164</f>
        <v>559930.45499047067</v>
      </c>
      <c r="O164" s="318">
        <f t="shared" ref="O164:O172" si="243">G164*E164</f>
        <v>0</v>
      </c>
      <c r="P164" s="318">
        <f t="shared" ref="P164:P172" si="244">I164*E164</f>
        <v>931720.65894092771</v>
      </c>
      <c r="Q164" s="318">
        <f t="shared" ref="Q164:Q172" si="245">J164*E164</f>
        <v>0</v>
      </c>
      <c r="R164" s="318">
        <f t="shared" ref="R164:R172" si="246">+L164*E164</f>
        <v>22374.766708970976</v>
      </c>
      <c r="S164" s="319">
        <f>SUM(N164:R164)</f>
        <v>1514025.8806403694</v>
      </c>
      <c r="T164" s="337"/>
      <c r="U164" s="936">
        <f>+ROUNDUP(M164*$T$5,0)</f>
        <v>2053728</v>
      </c>
      <c r="V164" s="936">
        <f>+U164*E164</f>
        <v>2053728</v>
      </c>
      <c r="X164" s="80"/>
      <c r="Y164" s="1231" t="s">
        <v>128</v>
      </c>
      <c r="Z164" s="120">
        <v>4600000</v>
      </c>
      <c r="AA164" s="120">
        <f>+Z164*$AA$162</f>
        <v>15158912.640553564</v>
      </c>
      <c r="AB164" s="16">
        <v>0.8</v>
      </c>
      <c r="AC164" s="120">
        <f>+AA164*AB164</f>
        <v>12127130.112442851</v>
      </c>
      <c r="AD164" s="1670">
        <f>+SUM(I164:I169,I180)</f>
        <v>16765870.016648004</v>
      </c>
      <c r="AE164" s="356">
        <f>+AD164/AC164</f>
        <v>1.3825092879514542</v>
      </c>
    </row>
    <row r="165" spans="1:35" ht="13" outlineLevel="2">
      <c r="A165" s="12">
        <v>19.02</v>
      </c>
      <c r="B165" s="123" t="s">
        <v>28</v>
      </c>
      <c r="C165" s="698" t="s">
        <v>1961</v>
      </c>
      <c r="D165" s="114" t="s">
        <v>54</v>
      </c>
      <c r="E165" s="115">
        <v>1</v>
      </c>
      <c r="F165" s="365">
        <f>+CLOACAL!G149</f>
        <v>4309627.8633777518</v>
      </c>
      <c r="G165" s="115"/>
      <c r="H165" s="258">
        <f>F165+G165</f>
        <v>4309627.8633777518</v>
      </c>
      <c r="I165" s="365">
        <f>+CLOACAL!P149</f>
        <v>7439542.8720526136</v>
      </c>
      <c r="J165" s="115"/>
      <c r="K165" s="258">
        <f t="shared" si="242"/>
        <v>7439542.8720526136</v>
      </c>
      <c r="L165" s="263">
        <f>(H165+K165)*0.015</f>
        <v>176237.56103145547</v>
      </c>
      <c r="M165" s="258">
        <f>H165+K165+L165</f>
        <v>11925408.296461821</v>
      </c>
      <c r="N165" s="320">
        <f>F165*E165</f>
        <v>4309627.8633777518</v>
      </c>
      <c r="O165" s="320">
        <f t="shared" si="243"/>
        <v>0</v>
      </c>
      <c r="P165" s="320">
        <f t="shared" si="244"/>
        <v>7439542.8720526136</v>
      </c>
      <c r="Q165" s="320">
        <f t="shared" si="245"/>
        <v>0</v>
      </c>
      <c r="R165" s="320">
        <f t="shared" si="246"/>
        <v>176237.56103145547</v>
      </c>
      <c r="S165" s="321">
        <f>SUM(N165:R165)</f>
        <v>11925408.296461821</v>
      </c>
      <c r="T165" s="337"/>
      <c r="U165" s="934">
        <f>+ROUNDUP(M165*$T$5,0)</f>
        <v>16176432</v>
      </c>
      <c r="V165" s="934">
        <f>+U165*E165</f>
        <v>16176432</v>
      </c>
      <c r="X165" s="80"/>
      <c r="Y165" s="1231" t="s">
        <v>129</v>
      </c>
      <c r="Z165" s="120">
        <v>8900000</v>
      </c>
      <c r="AA165" s="120">
        <f>+Z165*$AA$162</f>
        <v>29329200.543679722</v>
      </c>
      <c r="AB165" s="16">
        <v>0.8</v>
      </c>
      <c r="AC165" s="120">
        <f>+AA165*AB165</f>
        <v>23463360.43494378</v>
      </c>
      <c r="AD165" s="120">
        <f>+SUM(I171:I178)</f>
        <v>23937099.113155</v>
      </c>
      <c r="AE165" s="356">
        <f t="shared" ref="AE165:AE169" si="247">+AD165/AC165</f>
        <v>1.0201905724256652</v>
      </c>
    </row>
    <row r="166" spans="1:35" ht="26" outlineLevel="2">
      <c r="A166" s="403">
        <v>19.03</v>
      </c>
      <c r="B166" s="178" t="s">
        <v>28</v>
      </c>
      <c r="C166" s="713" t="s">
        <v>130</v>
      </c>
      <c r="D166" s="121" t="s">
        <v>54</v>
      </c>
      <c r="E166" s="122">
        <v>1</v>
      </c>
      <c r="F166" s="431">
        <f>+CLOACAL!G169</f>
        <v>1446561.6458157445</v>
      </c>
      <c r="G166" s="122"/>
      <c r="H166" s="266">
        <f>F166+G166</f>
        <v>1446561.6458157445</v>
      </c>
      <c r="I166" s="431">
        <f>+CLOACAL!P169</f>
        <v>2179040.2308093952</v>
      </c>
      <c r="J166" s="122"/>
      <c r="K166" s="266">
        <f>I166+J166</f>
        <v>2179040.2308093952</v>
      </c>
      <c r="L166" s="260">
        <f>(H166+K166)*0.015</f>
        <v>54384.028149377096</v>
      </c>
      <c r="M166" s="266">
        <f>H166+K166+L166</f>
        <v>3679985.9047745168</v>
      </c>
      <c r="N166" s="324">
        <f>F166*E166</f>
        <v>1446561.6458157445</v>
      </c>
      <c r="O166" s="324">
        <f t="shared" si="243"/>
        <v>0</v>
      </c>
      <c r="P166" s="324">
        <f t="shared" si="244"/>
        <v>2179040.2308093952</v>
      </c>
      <c r="Q166" s="324">
        <f t="shared" si="245"/>
        <v>0</v>
      </c>
      <c r="R166" s="324">
        <f t="shared" si="246"/>
        <v>54384.028149377096</v>
      </c>
      <c r="S166" s="325">
        <f>SUM(N166:R166)</f>
        <v>3679985.9047745168</v>
      </c>
      <c r="T166" s="337"/>
      <c r="U166" s="934">
        <f>+ROUNDUP(M166*$T$5,0)</f>
        <v>4991783</v>
      </c>
      <c r="V166" s="934">
        <f>+U166*E166</f>
        <v>4991783</v>
      </c>
      <c r="X166" s="80"/>
      <c r="Y166" s="1231" t="s">
        <v>131</v>
      </c>
      <c r="Z166" s="120">
        <v>1200000</v>
      </c>
      <c r="AA166" s="120">
        <f>+Z166*$AA$162</f>
        <v>3954498.9497096254</v>
      </c>
      <c r="AB166" s="16">
        <v>0.8</v>
      </c>
      <c r="AC166" s="120">
        <f>+AA166*AB166</f>
        <v>3163599.1597677004</v>
      </c>
      <c r="AD166" s="1670">
        <f>+SUM(I182)</f>
        <v>3490533.2546783453</v>
      </c>
      <c r="AE166" s="356">
        <f t="shared" si="247"/>
        <v>1.1033424521881121</v>
      </c>
    </row>
    <row r="167" spans="1:35" ht="13" outlineLevel="1">
      <c r="A167" s="536"/>
      <c r="B167" s="823"/>
      <c r="C167" s="824" t="s">
        <v>132</v>
      </c>
      <c r="D167" s="749"/>
      <c r="E167" s="750"/>
      <c r="F167" s="750"/>
      <c r="G167" s="750"/>
      <c r="H167" s="750"/>
      <c r="I167" s="750"/>
      <c r="J167" s="750"/>
      <c r="K167" s="750"/>
      <c r="L167" s="751"/>
      <c r="M167" s="750"/>
      <c r="N167" s="750"/>
      <c r="O167" s="750"/>
      <c r="P167" s="750"/>
      <c r="Q167" s="750"/>
      <c r="R167" s="750"/>
      <c r="S167" s="750"/>
      <c r="T167" s="335">
        <f>SUM(S168:S169)</f>
        <v>7140265.3158300463</v>
      </c>
      <c r="U167" s="228"/>
      <c r="V167" s="228"/>
      <c r="W167" s="932">
        <f>SUM(V168:V169)</f>
        <v>9685540</v>
      </c>
      <c r="X167" s="80">
        <f>+W167/$W$213</f>
        <v>6.2867866412805078E-3</v>
      </c>
      <c r="Y167" s="1231" t="s">
        <v>1490</v>
      </c>
      <c r="Z167" s="120">
        <v>2300000</v>
      </c>
      <c r="AA167" s="120">
        <f>+Z167*$AA$162</f>
        <v>7579456.3202767819</v>
      </c>
      <c r="AB167" s="16">
        <v>0.7</v>
      </c>
      <c r="AC167" s="120">
        <f>+AA167*AB167</f>
        <v>5305619.4241937473</v>
      </c>
      <c r="AD167" s="1670">
        <f>+SUM(I184:J185)</f>
        <v>5469344.4646947132</v>
      </c>
      <c r="AE167" s="356">
        <f t="shared" si="247"/>
        <v>1.0308587984570428</v>
      </c>
    </row>
    <row r="168" spans="1:35" ht="13" outlineLevel="2">
      <c r="A168" s="193">
        <v>19.04</v>
      </c>
      <c r="B168" s="196" t="s">
        <v>28</v>
      </c>
      <c r="C168" s="697" t="s">
        <v>1966</v>
      </c>
      <c r="D168" s="189" t="s">
        <v>54</v>
      </c>
      <c r="E168" s="190">
        <v>1</v>
      </c>
      <c r="F168" s="402">
        <f>+PLU!G20</f>
        <v>460664.73864557059</v>
      </c>
      <c r="G168" s="190"/>
      <c r="H168" s="257">
        <f>F168+G168</f>
        <v>460664.73864557059</v>
      </c>
      <c r="I168" s="402">
        <f>+PLU!P20</f>
        <v>931720.65894092771</v>
      </c>
      <c r="J168" s="190"/>
      <c r="K168" s="257">
        <f t="shared" si="242"/>
        <v>931720.65894092771</v>
      </c>
      <c r="L168" s="270">
        <f>(H168+K168)*0.015</f>
        <v>20885.780963797475</v>
      </c>
      <c r="M168" s="257">
        <f>H168+K168+L168</f>
        <v>1413271.178550296</v>
      </c>
      <c r="N168" s="318">
        <f>F168*E168</f>
        <v>460664.73864557059</v>
      </c>
      <c r="O168" s="318">
        <f t="shared" si="243"/>
        <v>0</v>
      </c>
      <c r="P168" s="318">
        <f t="shared" si="244"/>
        <v>931720.65894092771</v>
      </c>
      <c r="Q168" s="318">
        <f t="shared" si="245"/>
        <v>0</v>
      </c>
      <c r="R168" s="318">
        <f t="shared" si="246"/>
        <v>20885.780963797475</v>
      </c>
      <c r="S168" s="319">
        <f>SUM(N168:R168)</f>
        <v>1413271.178550296</v>
      </c>
      <c r="T168" s="307"/>
      <c r="U168" s="934">
        <f>+ROUNDUP(M168*$T$5,0)</f>
        <v>1917057</v>
      </c>
      <c r="V168" s="934">
        <f>+U168*E168</f>
        <v>1917057</v>
      </c>
      <c r="X168" s="80"/>
      <c r="Z168" s="16"/>
      <c r="AA168" s="16"/>
      <c r="AB168" s="16"/>
      <c r="AC168" s="16"/>
      <c r="AD168" s="542"/>
      <c r="AF168" s="25"/>
      <c r="AG168" s="1167" t="s">
        <v>1963</v>
      </c>
      <c r="AH168" s="547" t="s">
        <v>1972</v>
      </c>
      <c r="AI168" s="547" t="s">
        <v>1971</v>
      </c>
    </row>
    <row r="169" spans="1:35" ht="26" outlineLevel="2">
      <c r="A169" s="12">
        <v>19.05</v>
      </c>
      <c r="B169" s="123" t="s">
        <v>28</v>
      </c>
      <c r="C169" s="698" t="s">
        <v>1968</v>
      </c>
      <c r="D169" s="114" t="s">
        <v>54</v>
      </c>
      <c r="E169" s="115">
        <v>1</v>
      </c>
      <c r="F169" s="365">
        <f>+PLU!G69</f>
        <v>2104760.5606523557</v>
      </c>
      <c r="G169" s="115"/>
      <c r="H169" s="258">
        <f>F169+G169</f>
        <v>2104760.5606523557</v>
      </c>
      <c r="I169" s="365">
        <f>+PLU!P69</f>
        <v>3537598.1952882847</v>
      </c>
      <c r="J169" s="115"/>
      <c r="K169" s="258">
        <f t="shared" si="242"/>
        <v>3537598.1952882847</v>
      </c>
      <c r="L169" s="263">
        <f>(H169+K169)*0.015</f>
        <v>84635.381339109605</v>
      </c>
      <c r="M169" s="258">
        <f>H169+K169+L169</f>
        <v>5726994.1372797498</v>
      </c>
      <c r="N169" s="320">
        <f>F169*E169</f>
        <v>2104760.5606523557</v>
      </c>
      <c r="O169" s="320">
        <f t="shared" si="243"/>
        <v>0</v>
      </c>
      <c r="P169" s="320">
        <f t="shared" si="244"/>
        <v>3537598.1952882847</v>
      </c>
      <c r="Q169" s="320">
        <f t="shared" si="245"/>
        <v>0</v>
      </c>
      <c r="R169" s="320">
        <f t="shared" si="246"/>
        <v>84635.381339109605</v>
      </c>
      <c r="S169" s="321">
        <f>SUM(N169:R169)</f>
        <v>5726994.1372797498</v>
      </c>
      <c r="T169" s="307"/>
      <c r="U169" s="934">
        <f>+ROUNDUP(M169*$T$5,0)</f>
        <v>7768483</v>
      </c>
      <c r="V169" s="934">
        <f>+U169*E169</f>
        <v>7768483</v>
      </c>
      <c r="X169" s="80"/>
      <c r="Z169" s="237">
        <f>SUM(Z164:Z168)</f>
        <v>17000000</v>
      </c>
      <c r="AA169" s="237">
        <f>SUM(AA164:AA168)</f>
        <v>56022068.454219691</v>
      </c>
      <c r="AB169" s="16"/>
      <c r="AC169" s="237">
        <f>+SUM(AC164:AC168)</f>
        <v>44059709.131348081</v>
      </c>
      <c r="AD169" s="237">
        <f>+SUM(AD164:AD168)</f>
        <v>49662846.849176064</v>
      </c>
      <c r="AE169" s="356">
        <f t="shared" si="247"/>
        <v>1.1271714640948776</v>
      </c>
      <c r="AF169" s="11">
        <v>1.6</v>
      </c>
      <c r="AG169" s="16">
        <f>+AD169/AF169</f>
        <v>31039279.280735038</v>
      </c>
      <c r="AH169" s="16">
        <v>3000000</v>
      </c>
      <c r="AI169" s="118">
        <f>+AG169/AH169</f>
        <v>10.346426426911679</v>
      </c>
    </row>
    <row r="170" spans="1:35" ht="13" outlineLevel="1">
      <c r="A170" s="535"/>
      <c r="B170" s="575"/>
      <c r="C170" s="691" t="s">
        <v>133</v>
      </c>
      <c r="D170" s="227"/>
      <c r="E170" s="228"/>
      <c r="F170" s="228"/>
      <c r="G170" s="228"/>
      <c r="H170" s="228"/>
      <c r="I170" s="228"/>
      <c r="J170" s="228"/>
      <c r="K170" s="228"/>
      <c r="L170" s="228"/>
      <c r="M170" s="256"/>
      <c r="N170" s="228"/>
      <c r="O170" s="228"/>
      <c r="P170" s="228"/>
      <c r="Q170" s="228"/>
      <c r="R170" s="228"/>
      <c r="S170" s="228"/>
      <c r="T170" s="335">
        <f>SUM(S171:S178)</f>
        <v>34914033.336993761</v>
      </c>
      <c r="U170" s="228"/>
      <c r="V170" s="228"/>
      <c r="W170" s="932">
        <f>SUM(V171:V178)</f>
        <v>47359764</v>
      </c>
      <c r="X170" s="80">
        <f>+W170/$W$213</f>
        <v>3.0740746685202634E-2</v>
      </c>
      <c r="AA170" s="16"/>
      <c r="AB170" s="16"/>
      <c r="AF170" s="25"/>
      <c r="AG170" s="25"/>
    </row>
    <row r="171" spans="1:35" ht="52" outlineLevel="2">
      <c r="A171" s="195">
        <v>19.059999999999999</v>
      </c>
      <c r="B171" s="196" t="s">
        <v>28</v>
      </c>
      <c r="C171" s="1195" t="s">
        <v>2463</v>
      </c>
      <c r="D171" s="189" t="s">
        <v>54</v>
      </c>
      <c r="E171" s="190">
        <v>1</v>
      </c>
      <c r="F171" s="402">
        <f>+'AF Y AC'!G206</f>
        <v>809170.17674968636</v>
      </c>
      <c r="G171" s="190"/>
      <c r="H171" s="257">
        <f t="shared" ref="H171:H178" si="248">F171+G171</f>
        <v>809170.17674968636</v>
      </c>
      <c r="I171" s="402">
        <f>+'AF Y AC'!P206</f>
        <v>1746247.4006158544</v>
      </c>
      <c r="J171" s="190"/>
      <c r="K171" s="257">
        <f t="shared" si="242"/>
        <v>1746247.4006158544</v>
      </c>
      <c r="L171" s="270">
        <f t="shared" ref="L171:L178" si="249">(H171+K171)*0.015</f>
        <v>38331.263660483113</v>
      </c>
      <c r="M171" s="257">
        <f t="shared" ref="M171:M177" si="250">H171+K171+L171</f>
        <v>2593748.841026024</v>
      </c>
      <c r="N171" s="318">
        <f t="shared" ref="N171:N177" si="251">F171*E171</f>
        <v>809170.17674968636</v>
      </c>
      <c r="O171" s="318">
        <f t="shared" si="243"/>
        <v>0</v>
      </c>
      <c r="P171" s="318">
        <f t="shared" si="244"/>
        <v>1746247.4006158544</v>
      </c>
      <c r="Q171" s="318">
        <f t="shared" si="245"/>
        <v>0</v>
      </c>
      <c r="R171" s="318">
        <f t="shared" si="246"/>
        <v>38331.263660483113</v>
      </c>
      <c r="S171" s="319">
        <f t="shared" ref="S171:S177" si="252">SUM(N171:R171)</f>
        <v>2593748.841026024</v>
      </c>
      <c r="T171" s="336"/>
      <c r="U171" s="933">
        <f t="shared" ref="U171:U177" si="253">+ROUNDUP(M171*$T$5,0)</f>
        <v>3518337</v>
      </c>
      <c r="V171" s="933">
        <f t="shared" ref="V171:V177" si="254">+U171*E171</f>
        <v>3518337</v>
      </c>
      <c r="X171" s="80"/>
      <c r="AB171" s="16"/>
      <c r="AF171" s="25"/>
      <c r="AG171" s="25"/>
    </row>
    <row r="172" spans="1:35" ht="39" outlineLevel="2">
      <c r="A172" s="8">
        <v>19.07</v>
      </c>
      <c r="B172" s="123" t="s">
        <v>28</v>
      </c>
      <c r="C172" s="891" t="s">
        <v>2464</v>
      </c>
      <c r="D172" s="114" t="s">
        <v>54</v>
      </c>
      <c r="E172" s="115">
        <v>1</v>
      </c>
      <c r="F172" s="365">
        <f>+'AF Y AC'!G161</f>
        <v>1906561.7747600852</v>
      </c>
      <c r="G172" s="115"/>
      <c r="H172" s="258">
        <f t="shared" si="248"/>
        <v>1906561.7747600852</v>
      </c>
      <c r="I172" s="365">
        <f>+'AF Y AC'!P161</f>
        <v>3598731.4622267308</v>
      </c>
      <c r="J172" s="115"/>
      <c r="K172" s="258">
        <f t="shared" si="242"/>
        <v>3598731.4622267308</v>
      </c>
      <c r="L172" s="263">
        <f t="shared" si="249"/>
        <v>82579.398554802232</v>
      </c>
      <c r="M172" s="258">
        <f t="shared" si="250"/>
        <v>5587872.6355416179</v>
      </c>
      <c r="N172" s="320">
        <f t="shared" si="251"/>
        <v>1906561.7747600852</v>
      </c>
      <c r="O172" s="320">
        <f t="shared" si="243"/>
        <v>0</v>
      </c>
      <c r="P172" s="320">
        <f t="shared" si="244"/>
        <v>3598731.4622267308</v>
      </c>
      <c r="Q172" s="320">
        <f t="shared" si="245"/>
        <v>0</v>
      </c>
      <c r="R172" s="320">
        <f t="shared" si="246"/>
        <v>82579.398554802232</v>
      </c>
      <c r="S172" s="321">
        <f t="shared" si="252"/>
        <v>5587872.6355416179</v>
      </c>
      <c r="T172" s="337"/>
      <c r="U172" s="934">
        <f t="shared" si="253"/>
        <v>7579770</v>
      </c>
      <c r="V172" s="934">
        <f t="shared" si="254"/>
        <v>7579770</v>
      </c>
      <c r="X172" s="80"/>
      <c r="AB172" s="16"/>
    </row>
    <row r="173" spans="1:35" ht="13" outlineLevel="2">
      <c r="A173" s="8">
        <v>19.079999999999998</v>
      </c>
      <c r="B173" s="123" t="s">
        <v>28</v>
      </c>
      <c r="C173" s="715" t="s">
        <v>2461</v>
      </c>
      <c r="D173" s="114" t="s">
        <v>54</v>
      </c>
      <c r="E173" s="115">
        <v>1</v>
      </c>
      <c r="F173" s="365">
        <f>+'AF Y AC'!G253</f>
        <v>1435578.064712029</v>
      </c>
      <c r="G173" s="115"/>
      <c r="H173" s="258">
        <f t="shared" si="248"/>
        <v>1435578.064712029</v>
      </c>
      <c r="I173" s="365">
        <f>+'AF Y AC'!P253</f>
        <v>2500015.0564415548</v>
      </c>
      <c r="J173" s="115"/>
      <c r="K173" s="258">
        <f t="shared" si="242"/>
        <v>2500015.0564415548</v>
      </c>
      <c r="L173" s="263">
        <f t="shared" si="249"/>
        <v>59033.896817303757</v>
      </c>
      <c r="M173" s="258">
        <f>H173+K173+L173</f>
        <v>3994627.0179708875</v>
      </c>
      <c r="N173" s="320">
        <f>F173*E173</f>
        <v>1435578.064712029</v>
      </c>
      <c r="O173" s="320">
        <f t="shared" ref="O173:O178" si="255">G173*E173</f>
        <v>0</v>
      </c>
      <c r="P173" s="320">
        <f t="shared" ref="P173:P178" si="256">I173*E173</f>
        <v>2500015.0564415548</v>
      </c>
      <c r="Q173" s="320">
        <f t="shared" ref="Q173:Q178" si="257">J173*E173</f>
        <v>0</v>
      </c>
      <c r="R173" s="320">
        <f t="shared" ref="R173:R178" si="258">+L173*E173</f>
        <v>59033.896817303757</v>
      </c>
      <c r="S173" s="321">
        <f>SUM(N173:R173)</f>
        <v>3994627.0179708875</v>
      </c>
      <c r="T173" s="337"/>
      <c r="U173" s="934">
        <f>+ROUNDUP(M173*$T$5,0)</f>
        <v>5418583</v>
      </c>
      <c r="V173" s="934">
        <f>+U173*E173</f>
        <v>5418583</v>
      </c>
      <c r="X173" s="80"/>
      <c r="AB173" s="16"/>
    </row>
    <row r="174" spans="1:35" ht="52" outlineLevel="2">
      <c r="A174" s="8">
        <v>19.09</v>
      </c>
      <c r="B174" s="123" t="s">
        <v>28</v>
      </c>
      <c r="C174" s="891" t="s">
        <v>2462</v>
      </c>
      <c r="D174" s="114" t="s">
        <v>54</v>
      </c>
      <c r="E174" s="115">
        <v>1</v>
      </c>
      <c r="F174" s="365">
        <f>+'AF Y AC'!G294</f>
        <v>609036.01399088616</v>
      </c>
      <c r="G174" s="115"/>
      <c r="H174" s="258">
        <f t="shared" si="248"/>
        <v>609036.01399088616</v>
      </c>
      <c r="I174" s="365">
        <f>+'AF Y AC'!P294</f>
        <v>1199577.1540755767</v>
      </c>
      <c r="J174" s="115"/>
      <c r="K174" s="258">
        <f t="shared" si="242"/>
        <v>1199577.1540755767</v>
      </c>
      <c r="L174" s="263">
        <f t="shared" si="249"/>
        <v>27129.197520996942</v>
      </c>
      <c r="M174" s="258">
        <f>H174+K174+L174</f>
        <v>1835742.3655874599</v>
      </c>
      <c r="N174" s="320">
        <f>F174*E174</f>
        <v>609036.01399088616</v>
      </c>
      <c r="O174" s="320">
        <f t="shared" si="255"/>
        <v>0</v>
      </c>
      <c r="P174" s="320">
        <f t="shared" si="256"/>
        <v>1199577.1540755767</v>
      </c>
      <c r="Q174" s="320">
        <f t="shared" si="257"/>
        <v>0</v>
      </c>
      <c r="R174" s="320">
        <f t="shared" si="258"/>
        <v>27129.197520996942</v>
      </c>
      <c r="S174" s="321">
        <f>SUM(N174:R174)</f>
        <v>1835742.3655874599</v>
      </c>
      <c r="T174" s="337"/>
      <c r="U174" s="934">
        <f>+ROUNDUP(M174*$T$5,0)</f>
        <v>2490126</v>
      </c>
      <c r="V174" s="934">
        <f>+U174*E174</f>
        <v>2490126</v>
      </c>
      <c r="X174" s="80"/>
      <c r="AB174" s="16"/>
    </row>
    <row r="175" spans="1:35" ht="13" outlineLevel="2">
      <c r="A175" s="8">
        <v>19.100000000000001</v>
      </c>
      <c r="B175" s="123" t="s">
        <v>28</v>
      </c>
      <c r="C175" s="715" t="s">
        <v>2434</v>
      </c>
      <c r="D175" s="114" t="s">
        <v>54</v>
      </c>
      <c r="E175" s="115">
        <v>1</v>
      </c>
      <c r="F175" s="365">
        <f>+'AF Y AC'!G99</f>
        <v>2840582.8064988283</v>
      </c>
      <c r="G175" s="115"/>
      <c r="H175" s="258">
        <f t="shared" si="248"/>
        <v>2840582.8064988283</v>
      </c>
      <c r="I175" s="365">
        <f>+'AF Y AC'!P99</f>
        <v>9188039.2000978701</v>
      </c>
      <c r="J175" s="8"/>
      <c r="K175" s="258">
        <f t="shared" si="242"/>
        <v>9188039.2000978701</v>
      </c>
      <c r="L175" s="263">
        <f t="shared" si="249"/>
        <v>180429.33009895048</v>
      </c>
      <c r="M175" s="258">
        <f>H175+K175+L175</f>
        <v>12209051.336695651</v>
      </c>
      <c r="N175" s="320">
        <f>F175*E175</f>
        <v>2840582.8064988283</v>
      </c>
      <c r="O175" s="320">
        <f t="shared" si="255"/>
        <v>0</v>
      </c>
      <c r="P175" s="320">
        <f t="shared" si="256"/>
        <v>9188039.2000978701</v>
      </c>
      <c r="Q175" s="320">
        <f t="shared" si="257"/>
        <v>0</v>
      </c>
      <c r="R175" s="320">
        <f t="shared" si="258"/>
        <v>180429.33009895048</v>
      </c>
      <c r="S175" s="321">
        <f>SUM(N175:R175)</f>
        <v>12209051.336695651</v>
      </c>
      <c r="T175" s="337"/>
      <c r="U175" s="934">
        <f>+ROUNDUP(M175*$T$5,0)</f>
        <v>16561185</v>
      </c>
      <c r="V175" s="934">
        <f>+U175*E175</f>
        <v>16561185</v>
      </c>
      <c r="X175" s="80"/>
      <c r="AB175" s="16"/>
    </row>
    <row r="176" spans="1:35" ht="52" outlineLevel="2">
      <c r="A176" s="8">
        <v>19.11</v>
      </c>
      <c r="B176" s="123" t="s">
        <v>28</v>
      </c>
      <c r="C176" s="891" t="s">
        <v>2436</v>
      </c>
      <c r="D176" s="114" t="s">
        <v>54</v>
      </c>
      <c r="E176" s="115">
        <v>0</v>
      </c>
      <c r="F176" s="365"/>
      <c r="G176" s="115"/>
      <c r="H176" s="258">
        <f t="shared" si="248"/>
        <v>0</v>
      </c>
      <c r="I176" s="365"/>
      <c r="J176" s="8"/>
      <c r="K176" s="258">
        <f t="shared" si="242"/>
        <v>0</v>
      </c>
      <c r="L176" s="263">
        <f t="shared" si="249"/>
        <v>0</v>
      </c>
      <c r="M176" s="258">
        <f>H176+K176+L176</f>
        <v>0</v>
      </c>
      <c r="N176" s="320">
        <f>F176*E176</f>
        <v>0</v>
      </c>
      <c r="O176" s="320">
        <f t="shared" si="255"/>
        <v>0</v>
      </c>
      <c r="P176" s="320">
        <f t="shared" si="256"/>
        <v>0</v>
      </c>
      <c r="Q176" s="320">
        <f t="shared" si="257"/>
        <v>0</v>
      </c>
      <c r="R176" s="320">
        <f t="shared" si="258"/>
        <v>0</v>
      </c>
      <c r="S176" s="321">
        <f>SUM(N176:R176)</f>
        <v>0</v>
      </c>
      <c r="T176" s="337"/>
      <c r="U176" s="934">
        <f>+ROUNDUP(M176*$T$5,0)</f>
        <v>0</v>
      </c>
      <c r="V176" s="934">
        <f>+U176*E176</f>
        <v>0</v>
      </c>
      <c r="X176" s="80"/>
      <c r="AB176" s="16"/>
    </row>
    <row r="177" spans="1:30" ht="26" outlineLevel="2">
      <c r="A177" s="8">
        <v>19.12</v>
      </c>
      <c r="B177" s="123" t="s">
        <v>28</v>
      </c>
      <c r="C177" s="698" t="s">
        <v>1957</v>
      </c>
      <c r="D177" s="114" t="s">
        <v>54</v>
      </c>
      <c r="E177" s="115">
        <v>1</v>
      </c>
      <c r="F177" s="365">
        <f>+'AF Y AC'!G114</f>
        <v>2501139.9349345583</v>
      </c>
      <c r="G177" s="115"/>
      <c r="H177" s="258">
        <f t="shared" si="248"/>
        <v>2501139.9349345583</v>
      </c>
      <c r="I177" s="365">
        <f>+'AF Y AC'!P114</f>
        <v>5079485.0755870221</v>
      </c>
      <c r="J177" s="115"/>
      <c r="K177" s="258">
        <f>I177+J177</f>
        <v>5079485.0755870221</v>
      </c>
      <c r="L177" s="263">
        <f t="shared" si="249"/>
        <v>113709.3751578237</v>
      </c>
      <c r="M177" s="258">
        <f t="shared" si="250"/>
        <v>7694334.3856794043</v>
      </c>
      <c r="N177" s="320">
        <f t="shared" si="251"/>
        <v>2501139.9349345583</v>
      </c>
      <c r="O177" s="320">
        <f t="shared" si="255"/>
        <v>0</v>
      </c>
      <c r="P177" s="320">
        <f t="shared" si="256"/>
        <v>5079485.0755870221</v>
      </c>
      <c r="Q177" s="320">
        <f t="shared" si="257"/>
        <v>0</v>
      </c>
      <c r="R177" s="320">
        <f t="shared" si="258"/>
        <v>113709.3751578237</v>
      </c>
      <c r="S177" s="321">
        <f t="shared" si="252"/>
        <v>7694334.3856794043</v>
      </c>
      <c r="T177" s="337"/>
      <c r="U177" s="934">
        <f t="shared" si="253"/>
        <v>10437117</v>
      </c>
      <c r="V177" s="934">
        <f t="shared" si="254"/>
        <v>10437117</v>
      </c>
      <c r="X177" s="80"/>
      <c r="Y177" s="118"/>
      <c r="AB177" s="16"/>
    </row>
    <row r="178" spans="1:30" ht="26" outlineLevel="2">
      <c r="A178" s="92">
        <v>19.13</v>
      </c>
      <c r="B178" s="178" t="s">
        <v>31</v>
      </c>
      <c r="C178" s="713" t="s">
        <v>2465</v>
      </c>
      <c r="D178" s="121" t="s">
        <v>54</v>
      </c>
      <c r="E178" s="122">
        <v>1</v>
      </c>
      <c r="F178" s="1672">
        <f>+F173/4</f>
        <v>358894.51617800724</v>
      </c>
      <c r="G178" s="122"/>
      <c r="H178" s="266">
        <f t="shared" si="248"/>
        <v>358894.51617800724</v>
      </c>
      <c r="I178" s="1672">
        <f>+I173/4</f>
        <v>625003.7641103887</v>
      </c>
      <c r="J178" s="122"/>
      <c r="K178" s="266">
        <f>I178+J178</f>
        <v>625003.7641103887</v>
      </c>
      <c r="L178" s="263">
        <f t="shared" si="249"/>
        <v>14758.474204325939</v>
      </c>
      <c r="M178" s="266">
        <f t="shared" ref="M178" si="259">H178+K178+L178</f>
        <v>998656.75449272187</v>
      </c>
      <c r="N178" s="324">
        <f t="shared" ref="N178" si="260">F178*E178</f>
        <v>358894.51617800724</v>
      </c>
      <c r="O178" s="324">
        <f t="shared" si="255"/>
        <v>0</v>
      </c>
      <c r="P178" s="324">
        <f t="shared" si="256"/>
        <v>625003.7641103887</v>
      </c>
      <c r="Q178" s="324">
        <f t="shared" si="257"/>
        <v>0</v>
      </c>
      <c r="R178" s="324">
        <f t="shared" si="258"/>
        <v>14758.474204325939</v>
      </c>
      <c r="S178" s="325">
        <f t="shared" ref="S178" si="261">SUM(N178:R178)</f>
        <v>998656.75449272187</v>
      </c>
      <c r="T178" s="337"/>
      <c r="U178" s="940">
        <f t="shared" ref="U178" si="262">+ROUNDUP(M178*$T$5,0)</f>
        <v>1354646</v>
      </c>
      <c r="V178" s="940">
        <f t="shared" ref="V178" si="263">+U178*E178</f>
        <v>1354646</v>
      </c>
      <c r="X178" s="80"/>
      <c r="Y178" s="118"/>
      <c r="AB178" s="16"/>
    </row>
    <row r="179" spans="1:30" ht="13" outlineLevel="1">
      <c r="A179" s="535"/>
      <c r="B179" s="575"/>
      <c r="C179" s="691" t="s">
        <v>134</v>
      </c>
      <c r="D179" s="227"/>
      <c r="E179" s="228"/>
      <c r="F179" s="228"/>
      <c r="G179" s="228"/>
      <c r="H179" s="228"/>
      <c r="I179" s="228"/>
      <c r="J179" s="228"/>
      <c r="K179" s="228"/>
      <c r="L179" s="228"/>
      <c r="M179" s="256"/>
      <c r="N179" s="228"/>
      <c r="O179" s="228"/>
      <c r="P179" s="228"/>
      <c r="Q179" s="228"/>
      <c r="R179" s="228"/>
      <c r="S179" s="228"/>
      <c r="T179" s="335">
        <f>SUM(S180)</f>
        <v>2420116.1778130946</v>
      </c>
      <c r="U179" s="228"/>
      <c r="V179" s="228"/>
      <c r="W179" s="932">
        <f>SUM(V180)</f>
        <v>3282810</v>
      </c>
      <c r="X179" s="80">
        <f>+W179/$W$213</f>
        <v>2.1308389675601014E-3</v>
      </c>
      <c r="AB179" s="16"/>
    </row>
    <row r="180" spans="1:30" ht="13" outlineLevel="2">
      <c r="A180" s="12">
        <v>19.14</v>
      </c>
      <c r="B180" s="123" t="s">
        <v>28</v>
      </c>
      <c r="C180" s="698" t="s">
        <v>135</v>
      </c>
      <c r="D180" s="114" t="s">
        <v>54</v>
      </c>
      <c r="E180" s="115">
        <v>1</v>
      </c>
      <c r="F180" s="365">
        <f>+AA.CC!G41</f>
        <v>638103.51348571631</v>
      </c>
      <c r="G180" s="115"/>
      <c r="H180" s="258">
        <f>F180+G180</f>
        <v>638103.51348571631</v>
      </c>
      <c r="I180" s="431">
        <f>+AA.CC!P38</f>
        <v>1746247.4006158544</v>
      </c>
      <c r="J180" s="115"/>
      <c r="K180" s="258">
        <f t="shared" si="242"/>
        <v>1746247.4006158544</v>
      </c>
      <c r="L180" s="270">
        <f>(H180+K180)*0.015</f>
        <v>35765.263711523563</v>
      </c>
      <c r="M180" s="258">
        <f>H180+K180+L180</f>
        <v>2420116.1778130946</v>
      </c>
      <c r="N180" s="320">
        <f>F180*E180</f>
        <v>638103.51348571631</v>
      </c>
      <c r="O180" s="320">
        <f>G180*E180</f>
        <v>0</v>
      </c>
      <c r="P180" s="320">
        <f>I180*E180</f>
        <v>1746247.4006158544</v>
      </c>
      <c r="Q180" s="320">
        <f>J180*E180</f>
        <v>0</v>
      </c>
      <c r="R180" s="320">
        <f>+L180*E180</f>
        <v>35765.263711523563</v>
      </c>
      <c r="S180" s="321">
        <f>SUM(N180:R180)</f>
        <v>2420116.1778130946</v>
      </c>
      <c r="T180" s="337"/>
      <c r="U180" s="934">
        <f>+ROUNDUP(M180*$T$5,0)</f>
        <v>3282810</v>
      </c>
      <c r="V180" s="934">
        <f>+U180*E180</f>
        <v>3282810</v>
      </c>
      <c r="X180" s="80"/>
      <c r="AB180" s="16"/>
      <c r="AD180" s="118"/>
    </row>
    <row r="181" spans="1:30" ht="13">
      <c r="A181" s="535"/>
      <c r="B181" s="575"/>
      <c r="C181" s="691" t="s">
        <v>136</v>
      </c>
      <c r="D181" s="227"/>
      <c r="E181" s="228"/>
      <c r="F181" s="228"/>
      <c r="G181" s="228"/>
      <c r="H181" s="228"/>
      <c r="I181" s="228"/>
      <c r="J181" s="228"/>
      <c r="K181" s="228"/>
      <c r="L181" s="228"/>
      <c r="M181" s="737"/>
      <c r="N181" s="228"/>
      <c r="O181" s="228"/>
      <c r="P181" s="228"/>
      <c r="Q181" s="228"/>
      <c r="R181" s="228"/>
      <c r="S181" s="228"/>
      <c r="T181" s="335">
        <f>SUM(S182:S182)</f>
        <v>7300756.3111137971</v>
      </c>
      <c r="U181" s="228"/>
      <c r="V181" s="228"/>
      <c r="W181" s="932">
        <f>SUM(V182:V182)</f>
        <v>9903241</v>
      </c>
      <c r="X181" s="80">
        <f>+W181/$W$213</f>
        <v>6.4280941717427646E-3</v>
      </c>
      <c r="AB181" s="16"/>
    </row>
    <row r="182" spans="1:30" ht="28.9" customHeight="1" outlineLevel="1">
      <c r="A182" s="193">
        <v>19.149999999999999</v>
      </c>
      <c r="B182" s="196" t="s">
        <v>28</v>
      </c>
      <c r="C182" s="711" t="s">
        <v>1586</v>
      </c>
      <c r="D182" s="189" t="s">
        <v>54</v>
      </c>
      <c r="E182" s="190">
        <v>1</v>
      </c>
      <c r="F182" s="402">
        <f>+INCEND!G4</f>
        <v>3702330.1060249032</v>
      </c>
      <c r="G182" s="366"/>
      <c r="H182" s="257">
        <f>F182+G182</f>
        <v>3702330.1060249032</v>
      </c>
      <c r="I182" s="402">
        <f>+INCEND!O9</f>
        <v>3490533.2546783453</v>
      </c>
      <c r="J182" s="402"/>
      <c r="K182" s="257">
        <f>I182+J182</f>
        <v>3490533.2546783453</v>
      </c>
      <c r="L182" s="270">
        <f>(H182+K182)*0.015</f>
        <v>107892.95041054873</v>
      </c>
      <c r="M182" s="257">
        <f>H182+K182+L182</f>
        <v>7300756.3111137971</v>
      </c>
      <c r="N182" s="318">
        <f>F182*E182</f>
        <v>3702330.1060249032</v>
      </c>
      <c r="O182" s="318">
        <f>G182*E182</f>
        <v>0</v>
      </c>
      <c r="P182" s="318">
        <f>I182*E182</f>
        <v>3490533.2546783453</v>
      </c>
      <c r="Q182" s="318">
        <f>J182*E182</f>
        <v>0</v>
      </c>
      <c r="R182" s="318">
        <f>+L182*E182</f>
        <v>107892.95041054873</v>
      </c>
      <c r="S182" s="319">
        <f>SUM(N182:R182)</f>
        <v>7300756.3111137971</v>
      </c>
      <c r="T182" s="337"/>
      <c r="U182" s="934">
        <f>+ROUNDUP(M182*$T$5,0)</f>
        <v>9903241</v>
      </c>
      <c r="V182" s="934">
        <f>+U182*E182</f>
        <v>9903241</v>
      </c>
      <c r="X182" s="80"/>
      <c r="AB182" s="16"/>
    </row>
    <row r="183" spans="1:30" ht="13">
      <c r="A183" s="535"/>
      <c r="B183" s="575"/>
      <c r="C183" s="691" t="s">
        <v>137</v>
      </c>
      <c r="D183" s="227"/>
      <c r="E183" s="228"/>
      <c r="F183" s="228"/>
      <c r="G183" s="229"/>
      <c r="H183" s="228"/>
      <c r="I183" s="228"/>
      <c r="J183" s="228"/>
      <c r="K183" s="228"/>
      <c r="L183" s="228"/>
      <c r="M183" s="256"/>
      <c r="N183" s="228"/>
      <c r="O183" s="228"/>
      <c r="P183" s="228"/>
      <c r="Q183" s="228"/>
      <c r="R183" s="228"/>
      <c r="S183" s="228"/>
      <c r="T183" s="335">
        <f>SUM(S184:S187)</f>
        <v>9958904.3766105995</v>
      </c>
      <c r="U183" s="228"/>
      <c r="V183" s="228"/>
      <c r="W183" s="932">
        <f>SUM(V184:V187)</f>
        <v>13508934</v>
      </c>
      <c r="X183" s="80">
        <f>+W183/$W$213</f>
        <v>8.7685132485271922E-3</v>
      </c>
      <c r="AB183" s="16"/>
    </row>
    <row r="184" spans="1:30" ht="13" outlineLevel="1">
      <c r="A184" s="1154">
        <v>19.16</v>
      </c>
      <c r="B184" s="196" t="s">
        <v>28</v>
      </c>
      <c r="C184" s="714" t="s">
        <v>2469</v>
      </c>
      <c r="D184" s="189" t="s">
        <v>54</v>
      </c>
      <c r="E184" s="190">
        <v>1</v>
      </c>
      <c r="F184" s="402">
        <f>+GAS!G6</f>
        <v>1540056.2655049204</v>
      </c>
      <c r="G184" s="402"/>
      <c r="H184" s="257">
        <f>F184+G184</f>
        <v>1540056.2655049204</v>
      </c>
      <c r="I184" s="402">
        <f>+GAS!O13</f>
        <v>4970416.6359473262</v>
      </c>
      <c r="J184" s="402"/>
      <c r="K184" s="257">
        <f>I184+J184</f>
        <v>4970416.6359473262</v>
      </c>
      <c r="L184" s="270">
        <f>(H184+K184)*0.015</f>
        <v>97657.093521783696</v>
      </c>
      <c r="M184" s="257">
        <f>H184+K184+L184</f>
        <v>6608129.9949740311</v>
      </c>
      <c r="N184" s="318">
        <f>F184*E184</f>
        <v>1540056.2655049204</v>
      </c>
      <c r="O184" s="318">
        <f>G184*E184</f>
        <v>0</v>
      </c>
      <c r="P184" s="318">
        <f>I184*E184</f>
        <v>4970416.6359473262</v>
      </c>
      <c r="Q184" s="318">
        <f>J184*E184</f>
        <v>0</v>
      </c>
      <c r="R184" s="318">
        <f>+L184*E184</f>
        <v>97657.093521783696</v>
      </c>
      <c r="S184" s="319">
        <f>SUM(N184:R184)</f>
        <v>6608129.9949740311</v>
      </c>
      <c r="T184" s="337"/>
      <c r="U184" s="934">
        <f>+ROUNDUP(M184*$T$5,0)</f>
        <v>8963716</v>
      </c>
      <c r="V184" s="934">
        <f>+U184*E184</f>
        <v>8963716</v>
      </c>
      <c r="X184" s="80"/>
      <c r="AB184" s="16"/>
    </row>
    <row r="185" spans="1:30" ht="13" outlineLevel="1">
      <c r="A185" s="796">
        <v>19.170000000000002</v>
      </c>
      <c r="B185" s="123" t="s">
        <v>28</v>
      </c>
      <c r="C185" s="715" t="s">
        <v>2473</v>
      </c>
      <c r="D185" s="114" t="s">
        <v>54</v>
      </c>
      <c r="E185" s="115">
        <v>1</v>
      </c>
      <c r="F185" s="365">
        <f>+GAS!G44</f>
        <v>43707.030007852358</v>
      </c>
      <c r="G185" s="365"/>
      <c r="H185" s="258">
        <f>F185+G185</f>
        <v>43707.030007852358</v>
      </c>
      <c r="I185" s="365">
        <f>+GAS!O19</f>
        <v>498927.82874738693</v>
      </c>
      <c r="J185" s="365"/>
      <c r="K185" s="258">
        <f>I185+J185</f>
        <v>498927.82874738693</v>
      </c>
      <c r="L185" s="263">
        <f>(H185+K185)*0.015</f>
        <v>8139.5228813285894</v>
      </c>
      <c r="M185" s="258">
        <f>H185+K185+L185</f>
        <v>550774.38163656788</v>
      </c>
      <c r="N185" s="320">
        <f>F185*E185</f>
        <v>43707.030007852358</v>
      </c>
      <c r="O185" s="320">
        <f>G185*E185</f>
        <v>0</v>
      </c>
      <c r="P185" s="320">
        <f>I185*E185</f>
        <v>498927.82874738693</v>
      </c>
      <c r="Q185" s="320">
        <f>J185*E185</f>
        <v>0</v>
      </c>
      <c r="R185" s="320">
        <f>+L185*E185</f>
        <v>8139.5228813285894</v>
      </c>
      <c r="S185" s="321">
        <f>SUM(N185:R185)</f>
        <v>550774.38163656788</v>
      </c>
      <c r="T185" s="337"/>
      <c r="U185" s="934">
        <f>+ROUNDUP(M185*$T$5,0)</f>
        <v>747108</v>
      </c>
      <c r="V185" s="934">
        <f>+U185*E185</f>
        <v>747108</v>
      </c>
      <c r="X185" s="80"/>
      <c r="AB185" s="16"/>
    </row>
    <row r="186" spans="1:30" ht="13" outlineLevel="1">
      <c r="A186" s="797">
        <v>19.18</v>
      </c>
      <c r="B186" s="123" t="s">
        <v>28</v>
      </c>
      <c r="C186" s="715" t="s">
        <v>1943</v>
      </c>
      <c r="D186" s="114" t="s">
        <v>54</v>
      </c>
      <c r="E186" s="115">
        <v>1</v>
      </c>
      <c r="F186" s="115"/>
      <c r="G186" s="115"/>
      <c r="H186" s="258">
        <f>F186+G186</f>
        <v>0</v>
      </c>
      <c r="I186" s="684">
        <f>+SUM(SUBCONTRATOS!D85:D87)</f>
        <v>1400000</v>
      </c>
      <c r="J186" s="115"/>
      <c r="K186" s="258">
        <f>I186+J186</f>
        <v>1400000</v>
      </c>
      <c r="L186" s="259"/>
      <c r="M186" s="258">
        <f>H186+K186+L186</f>
        <v>1400000</v>
      </c>
      <c r="N186" s="320">
        <f>F186*E186</f>
        <v>0</v>
      </c>
      <c r="O186" s="320">
        <f>G186*E186</f>
        <v>0</v>
      </c>
      <c r="P186" s="320">
        <f>I186*E186</f>
        <v>1400000</v>
      </c>
      <c r="Q186" s="320">
        <f>J186*E186</f>
        <v>0</v>
      </c>
      <c r="R186" s="320">
        <f>+L186*E186</f>
        <v>0</v>
      </c>
      <c r="S186" s="321">
        <f>SUM(N186:R186)</f>
        <v>1400000</v>
      </c>
      <c r="T186" s="337"/>
      <c r="U186" s="934">
        <f>+ROUNDUP(M186*$T$5,0)</f>
        <v>1899055</v>
      </c>
      <c r="V186" s="934">
        <f>+U186*E186</f>
        <v>1899055</v>
      </c>
      <c r="X186" s="80"/>
      <c r="AB186" s="16"/>
    </row>
    <row r="187" spans="1:30" ht="13" outlineLevel="1">
      <c r="A187" s="1155">
        <v>19.190000000000001</v>
      </c>
      <c r="B187" s="178" t="s">
        <v>31</v>
      </c>
      <c r="C187" s="716" t="s">
        <v>2466</v>
      </c>
      <c r="D187" s="121" t="s">
        <v>54</v>
      </c>
      <c r="E187" s="122">
        <v>1</v>
      </c>
      <c r="F187" s="122"/>
      <c r="G187" s="122"/>
      <c r="H187" s="258">
        <f>F187+G187</f>
        <v>0</v>
      </c>
      <c r="I187" s="1673">
        <f>+I186</f>
        <v>1400000</v>
      </c>
      <c r="J187" s="122"/>
      <c r="K187" s="266">
        <f>I187+J187</f>
        <v>1400000</v>
      </c>
      <c r="L187" s="255"/>
      <c r="M187" s="266">
        <f>H187+K187+L187</f>
        <v>1400000</v>
      </c>
      <c r="N187" s="324">
        <f>F187*E187</f>
        <v>0</v>
      </c>
      <c r="O187" s="324">
        <f>G187*E187</f>
        <v>0</v>
      </c>
      <c r="P187" s="324">
        <f>I187*E187</f>
        <v>1400000</v>
      </c>
      <c r="Q187" s="324">
        <f>J187*E187</f>
        <v>0</v>
      </c>
      <c r="R187" s="324">
        <f>+L187*E187</f>
        <v>0</v>
      </c>
      <c r="S187" s="325">
        <f>SUM(N187:R187)</f>
        <v>1400000</v>
      </c>
      <c r="T187" s="307"/>
      <c r="U187" s="934">
        <f>+ROUNDUP(M187*$T$5,0)</f>
        <v>1899055</v>
      </c>
      <c r="V187" s="934">
        <f>+U187*E187</f>
        <v>1899055</v>
      </c>
      <c r="X187" s="80"/>
      <c r="AB187" s="16"/>
    </row>
    <row r="188" spans="1:30" ht="26">
      <c r="A188" s="535">
        <v>20</v>
      </c>
      <c r="B188" s="575"/>
      <c r="C188" s="691" t="s">
        <v>1910</v>
      </c>
      <c r="D188" s="227"/>
      <c r="E188" s="228"/>
      <c r="F188" s="228"/>
      <c r="G188" s="228"/>
      <c r="H188" s="228"/>
      <c r="I188" s="228"/>
      <c r="J188" s="228"/>
      <c r="K188" s="228"/>
      <c r="L188" s="228"/>
      <c r="M188" s="256"/>
      <c r="N188" s="228"/>
      <c r="O188" s="228"/>
      <c r="P188" s="228"/>
      <c r="Q188" s="228"/>
      <c r="R188" s="228"/>
      <c r="S188" s="228"/>
      <c r="T188" s="335">
        <f>SUM(S189:S190)</f>
        <v>19100000</v>
      </c>
      <c r="U188" s="228"/>
      <c r="V188" s="228"/>
      <c r="W188" s="932">
        <f>SUM(V189:V190)</f>
        <v>25908560</v>
      </c>
      <c r="X188" s="80">
        <f>+W188/$W$213</f>
        <v>1.6816985826584217E-2</v>
      </c>
      <c r="AB188" s="16"/>
    </row>
    <row r="189" spans="1:30" ht="13" outlineLevel="1">
      <c r="A189" s="530">
        <v>20.010000000000002</v>
      </c>
      <c r="B189" s="300" t="s">
        <v>28</v>
      </c>
      <c r="C189" s="706" t="s">
        <v>2328</v>
      </c>
      <c r="D189" s="531" t="s">
        <v>72</v>
      </c>
      <c r="E189" s="532">
        <f>+SUBCONTRATOS!G40</f>
        <v>40</v>
      </c>
      <c r="F189" s="418">
        <f>+SUBCONTRATOS!D41</f>
        <v>247500</v>
      </c>
      <c r="G189" s="418"/>
      <c r="H189" s="265">
        <f>F189+G189</f>
        <v>247500</v>
      </c>
      <c r="I189" s="418">
        <f>+SUBCONTRATOS!D42</f>
        <v>230000</v>
      </c>
      <c r="J189" s="418"/>
      <c r="K189" s="265">
        <f>I189+J189</f>
        <v>230000</v>
      </c>
      <c r="L189" s="533"/>
      <c r="M189" s="265">
        <f>H189+K189+L189</f>
        <v>477500</v>
      </c>
      <c r="N189" s="326">
        <f>F189*E189</f>
        <v>9900000</v>
      </c>
      <c r="O189" s="326">
        <f>G189*E189</f>
        <v>0</v>
      </c>
      <c r="P189" s="326">
        <f>I189*E189</f>
        <v>9200000</v>
      </c>
      <c r="Q189" s="326">
        <f>J189*E189</f>
        <v>0</v>
      </c>
      <c r="R189" s="326">
        <f>+L189*E189</f>
        <v>0</v>
      </c>
      <c r="S189" s="327">
        <f>SUM(N189:R189)</f>
        <v>19100000</v>
      </c>
      <c r="T189" s="337"/>
      <c r="U189" s="936">
        <f>+ROUNDUP(M189*$T$5,0)</f>
        <v>647714</v>
      </c>
      <c r="V189" s="936">
        <f>+U189*E189</f>
        <v>25908560</v>
      </c>
      <c r="X189" s="80"/>
    </row>
    <row r="190" spans="1:30" ht="13" outlineLevel="1">
      <c r="A190" s="12">
        <v>20.02</v>
      </c>
      <c r="B190" s="8" t="s">
        <v>28</v>
      </c>
      <c r="C190" s="701" t="s">
        <v>2327</v>
      </c>
      <c r="D190" s="443" t="s">
        <v>72</v>
      </c>
      <c r="E190" s="532">
        <v>0</v>
      </c>
      <c r="F190" s="365"/>
      <c r="G190" s="365"/>
      <c r="H190" s="258">
        <f>F190+G190</f>
        <v>0</v>
      </c>
      <c r="I190" s="365">
        <f>+SUBCONTRATOS!D43</f>
        <v>0</v>
      </c>
      <c r="J190" s="365"/>
      <c r="K190" s="258">
        <f>I190+J190</f>
        <v>0</v>
      </c>
      <c r="L190" s="259"/>
      <c r="M190" s="258">
        <f>H190+K190+L190</f>
        <v>0</v>
      </c>
      <c r="N190" s="320">
        <f>F190*E190</f>
        <v>0</v>
      </c>
      <c r="O190" s="320">
        <f>G190*E190</f>
        <v>0</v>
      </c>
      <c r="P190" s="320">
        <f>I190*E190</f>
        <v>0</v>
      </c>
      <c r="Q190" s="320">
        <f>J190*E190</f>
        <v>0</v>
      </c>
      <c r="R190" s="320">
        <f>+L190*E190</f>
        <v>0</v>
      </c>
      <c r="S190" s="321">
        <f>SUM(N190:R190)</f>
        <v>0</v>
      </c>
      <c r="T190" s="337"/>
      <c r="U190" s="934">
        <f>+ROUNDUP(M190*$T$5,0)</f>
        <v>0</v>
      </c>
      <c r="V190" s="934">
        <f>+U190*E190</f>
        <v>0</v>
      </c>
      <c r="X190" s="80"/>
    </row>
    <row r="191" spans="1:30" ht="26">
      <c r="A191" s="535">
        <v>21</v>
      </c>
      <c r="B191" s="575"/>
      <c r="C191" s="691" t="s">
        <v>1911</v>
      </c>
      <c r="D191" s="227"/>
      <c r="E191" s="228"/>
      <c r="F191" s="228"/>
      <c r="G191" s="228"/>
      <c r="H191" s="228"/>
      <c r="I191" s="228"/>
      <c r="J191" s="228"/>
      <c r="K191" s="228"/>
      <c r="L191" s="228"/>
      <c r="M191" s="256"/>
      <c r="N191" s="228"/>
      <c r="O191" s="228"/>
      <c r="P191" s="228"/>
      <c r="Q191" s="228"/>
      <c r="R191" s="228"/>
      <c r="S191" s="228"/>
      <c r="T191" s="335">
        <f>SUM(S192)</f>
        <v>0</v>
      </c>
      <c r="U191" s="228"/>
      <c r="V191" s="228"/>
      <c r="W191" s="932">
        <f>SUM(V192)</f>
        <v>0</v>
      </c>
      <c r="X191" s="80">
        <f>+W191/$W$213</f>
        <v>0</v>
      </c>
      <c r="AB191" s="16"/>
    </row>
    <row r="192" spans="1:30" s="25" customFormat="1" ht="26" outlineLevel="1">
      <c r="A192" s="537">
        <v>21.01</v>
      </c>
      <c r="B192" s="537" t="s">
        <v>28</v>
      </c>
      <c r="C192" s="717" t="s">
        <v>138</v>
      </c>
      <c r="D192" s="555" t="s">
        <v>54</v>
      </c>
      <c r="E192" s="527">
        <v>0</v>
      </c>
      <c r="F192" s="271"/>
      <c r="G192" s="271"/>
      <c r="H192" s="272">
        <f>F192+G192</f>
        <v>0</v>
      </c>
      <c r="I192" s="271"/>
      <c r="J192" s="271"/>
      <c r="K192" s="272">
        <f>I192+J192</f>
        <v>0</v>
      </c>
      <c r="L192" s="271"/>
      <c r="M192" s="272">
        <f>H192+K192+L192</f>
        <v>0</v>
      </c>
      <c r="N192" s="328">
        <f>F192*E192</f>
        <v>0</v>
      </c>
      <c r="O192" s="328">
        <f>G192*E192</f>
        <v>0</v>
      </c>
      <c r="P192" s="328">
        <f>I192*E192</f>
        <v>0</v>
      </c>
      <c r="Q192" s="328">
        <f>J192*E192</f>
        <v>0</v>
      </c>
      <c r="R192" s="328">
        <f>+L192*E192</f>
        <v>0</v>
      </c>
      <c r="S192" s="329">
        <f>SUM(N192:R192)</f>
        <v>0</v>
      </c>
      <c r="T192" s="337"/>
      <c r="U192" s="937">
        <f>+ROUNDUP(M192*$T$5,0)</f>
        <v>0</v>
      </c>
      <c r="V192" s="934">
        <f>+U192*E192</f>
        <v>0</v>
      </c>
      <c r="W192" s="935"/>
      <c r="X192" s="80"/>
    </row>
    <row r="193" spans="1:28" s="25" customFormat="1" ht="26">
      <c r="A193" s="535">
        <v>22</v>
      </c>
      <c r="B193" s="575"/>
      <c r="C193" s="691" t="s">
        <v>1912</v>
      </c>
      <c r="D193" s="227"/>
      <c r="E193" s="228"/>
      <c r="F193" s="228"/>
      <c r="G193" s="228"/>
      <c r="H193" s="228"/>
      <c r="I193" s="228"/>
      <c r="J193" s="228"/>
      <c r="K193" s="228"/>
      <c r="L193" s="228"/>
      <c r="M193" s="256"/>
      <c r="N193" s="228"/>
      <c r="O193" s="228"/>
      <c r="P193" s="228"/>
      <c r="Q193" s="228"/>
      <c r="R193" s="228"/>
      <c r="S193" s="228"/>
      <c r="T193" s="335">
        <f>SUM(S194:S195)</f>
        <v>2977500</v>
      </c>
      <c r="U193" s="228"/>
      <c r="V193" s="228"/>
      <c r="W193" s="932">
        <f>SUM(V194:V195)</f>
        <v>4038900</v>
      </c>
      <c r="X193" s="80">
        <f>+W193/$W$213</f>
        <v>2.621609385276179E-3</v>
      </c>
      <c r="AB193" s="16"/>
    </row>
    <row r="194" spans="1:28" ht="39" outlineLevel="1">
      <c r="A194" s="196">
        <v>22.01</v>
      </c>
      <c r="B194" s="196" t="s">
        <v>28</v>
      </c>
      <c r="C194" s="711" t="s">
        <v>1535</v>
      </c>
      <c r="D194" s="192" t="s">
        <v>72</v>
      </c>
      <c r="E194" s="115">
        <f>+Locales!CO100</f>
        <v>50</v>
      </c>
      <c r="F194" s="365"/>
      <c r="G194" s="273"/>
      <c r="H194" s="258">
        <f>F194+G194</f>
        <v>0</v>
      </c>
      <c r="I194" s="365">
        <f>+SUBCONTRATOS!D51</f>
        <v>59550</v>
      </c>
      <c r="J194" s="273"/>
      <c r="K194" s="258">
        <f>I194+J194</f>
        <v>59550</v>
      </c>
      <c r="L194" s="254"/>
      <c r="M194" s="257">
        <f>H194+K194+L194</f>
        <v>59550</v>
      </c>
      <c r="N194" s="320">
        <f>F194*E194</f>
        <v>0</v>
      </c>
      <c r="O194" s="320">
        <f>G194*E194</f>
        <v>0</v>
      </c>
      <c r="P194" s="320">
        <f>I194*E194</f>
        <v>2977500</v>
      </c>
      <c r="Q194" s="320">
        <f>J194*E194</f>
        <v>0</v>
      </c>
      <c r="R194" s="320">
        <f>+L194*E194</f>
        <v>0</v>
      </c>
      <c r="S194" s="321">
        <f>SUM(N194:R194)</f>
        <v>2977500</v>
      </c>
      <c r="T194" s="337"/>
      <c r="U194" s="937">
        <f>+ROUNDUP(M194*$T$5,0)</f>
        <v>80778</v>
      </c>
      <c r="V194" s="936">
        <f>+U194*E194</f>
        <v>4038900</v>
      </c>
      <c r="X194" s="80"/>
      <c r="AB194" s="16"/>
    </row>
    <row r="195" spans="1:28" ht="13" outlineLevel="1">
      <c r="A195" s="123">
        <v>22.02</v>
      </c>
      <c r="B195" s="123" t="s">
        <v>28</v>
      </c>
      <c r="C195" s="712" t="s">
        <v>2329</v>
      </c>
      <c r="D195" s="175" t="s">
        <v>72</v>
      </c>
      <c r="E195" s="523">
        <v>0</v>
      </c>
      <c r="F195" s="253"/>
      <c r="G195" s="253"/>
      <c r="H195" s="258">
        <f>F195+G195</f>
        <v>0</v>
      </c>
      <c r="I195" s="365"/>
      <c r="J195" s="253"/>
      <c r="K195" s="258">
        <f>I195+J195</f>
        <v>0</v>
      </c>
      <c r="L195" s="264"/>
      <c r="M195" s="258">
        <f>H195+K195+L195</f>
        <v>0</v>
      </c>
      <c r="N195" s="320">
        <f>F195*E195</f>
        <v>0</v>
      </c>
      <c r="O195" s="320">
        <f>G195*E195</f>
        <v>0</v>
      </c>
      <c r="P195" s="320">
        <f>I195*E195</f>
        <v>0</v>
      </c>
      <c r="Q195" s="320">
        <f>J195*E195</f>
        <v>0</v>
      </c>
      <c r="R195" s="320">
        <f>+L195*E195</f>
        <v>0</v>
      </c>
      <c r="S195" s="321">
        <f>SUM(N195:R195)</f>
        <v>0</v>
      </c>
      <c r="T195" s="337"/>
      <c r="U195" s="937">
        <f>+ROUNDUP(M195*$T$5,0)</f>
        <v>0</v>
      </c>
      <c r="V195" s="936">
        <f>+U195*E195</f>
        <v>0</v>
      </c>
      <c r="X195" s="80"/>
      <c r="AB195" s="16"/>
    </row>
    <row r="196" spans="1:28" ht="13">
      <c r="A196" s="535">
        <v>23</v>
      </c>
      <c r="B196" s="575"/>
      <c r="C196" s="691" t="s">
        <v>139</v>
      </c>
      <c r="D196" s="227"/>
      <c r="E196" s="228"/>
      <c r="F196" s="228"/>
      <c r="G196" s="228"/>
      <c r="H196" s="228"/>
      <c r="I196" s="228"/>
      <c r="J196" s="228"/>
      <c r="K196" s="228"/>
      <c r="L196" s="228"/>
      <c r="M196" s="256"/>
      <c r="N196" s="228"/>
      <c r="O196" s="228"/>
      <c r="P196" s="228"/>
      <c r="Q196" s="228"/>
      <c r="R196" s="228"/>
      <c r="S196" s="228"/>
      <c r="T196" s="335">
        <f>+SUM(S197:S199)</f>
        <v>4433632.7291684877</v>
      </c>
      <c r="U196" s="228"/>
      <c r="V196" s="228"/>
      <c r="W196" s="932">
        <f>SUM(V197:V199)</f>
        <v>6014086</v>
      </c>
      <c r="X196" s="80">
        <f>+W196/$W$213</f>
        <v>3.9036827605184767E-3</v>
      </c>
      <c r="AB196" s="16"/>
    </row>
    <row r="197" spans="1:28" ht="39" outlineLevel="1">
      <c r="A197" s="8">
        <v>23.01</v>
      </c>
      <c r="B197" s="123" t="s">
        <v>28</v>
      </c>
      <c r="C197" s="693" t="s">
        <v>1939</v>
      </c>
      <c r="D197" s="546" t="s">
        <v>72</v>
      </c>
      <c r="E197" s="523">
        <v>8</v>
      </c>
      <c r="F197" s="1161">
        <f>+Tareas!H226</f>
        <v>25000</v>
      </c>
      <c r="G197" s="1161">
        <f>+Tareas!I226</f>
        <v>0</v>
      </c>
      <c r="H197" s="258">
        <f>F197+G197</f>
        <v>25000</v>
      </c>
      <c r="I197" s="263">
        <f>+Tareas!Q226</f>
        <v>20000</v>
      </c>
      <c r="J197" s="263">
        <f>+Tareas!R226</f>
        <v>150902.36265989585</v>
      </c>
      <c r="K197" s="258">
        <f>I197+J197</f>
        <v>170902.36265989585</v>
      </c>
      <c r="L197" s="263">
        <f>(H197+K197)*0.015</f>
        <v>2938.5354398984377</v>
      </c>
      <c r="M197" s="258">
        <f>H197+K197+L197</f>
        <v>198840.89809979429</v>
      </c>
      <c r="N197" s="320">
        <f>F197*E197</f>
        <v>200000</v>
      </c>
      <c r="O197" s="320">
        <f>G197*E197</f>
        <v>0</v>
      </c>
      <c r="P197" s="320">
        <f>I197*E197</f>
        <v>160000</v>
      </c>
      <c r="Q197" s="320">
        <f>J197*E197</f>
        <v>1207218.9012791668</v>
      </c>
      <c r="R197" s="320">
        <f>+L197*E197</f>
        <v>23508.283519187502</v>
      </c>
      <c r="S197" s="321">
        <f>SUM(N197:R197)</f>
        <v>1590727.1847983543</v>
      </c>
      <c r="T197" s="307"/>
      <c r="U197" s="934">
        <f>+ROUNDUP(M197*$T$5,0)</f>
        <v>269722</v>
      </c>
      <c r="V197" s="934">
        <f>+U197*E197</f>
        <v>2157776</v>
      </c>
      <c r="X197" s="80"/>
      <c r="AB197" s="16"/>
    </row>
    <row r="198" spans="1:28" ht="26" outlineLevel="1">
      <c r="A198" s="873">
        <v>23.02</v>
      </c>
      <c r="B198" s="540" t="s">
        <v>31</v>
      </c>
      <c r="C198" s="1170" t="s">
        <v>2474</v>
      </c>
      <c r="D198" s="788" t="s">
        <v>54</v>
      </c>
      <c r="E198" s="789">
        <v>1</v>
      </c>
      <c r="F198" s="1161">
        <f>+Tareas!H233</f>
        <v>60000</v>
      </c>
      <c r="G198" s="1161">
        <f>+Tareas!I233</f>
        <v>0</v>
      </c>
      <c r="H198" s="258">
        <f>F198+G198</f>
        <v>60000</v>
      </c>
      <c r="I198" s="263">
        <f>+Tareas!Q233</f>
        <v>0</v>
      </c>
      <c r="J198" s="263">
        <f>+Tareas!R233</f>
        <v>383392.16194101796</v>
      </c>
      <c r="K198" s="258">
        <f>I198+J198</f>
        <v>383392.16194101796</v>
      </c>
      <c r="L198" s="263">
        <f>(H198+K198)*0.015</f>
        <v>6650.8824291152687</v>
      </c>
      <c r="M198" s="258">
        <f>H198+K198+L198</f>
        <v>450043.0443701332</v>
      </c>
      <c r="N198" s="320">
        <f>F198*E198</f>
        <v>60000</v>
      </c>
      <c r="O198" s="320">
        <f>G198*E198</f>
        <v>0</v>
      </c>
      <c r="P198" s="320">
        <f>I198*E198</f>
        <v>0</v>
      </c>
      <c r="Q198" s="320">
        <f>J198*E198</f>
        <v>383392.16194101796</v>
      </c>
      <c r="R198" s="320">
        <f>+L198*E198</f>
        <v>6650.8824291152687</v>
      </c>
      <c r="S198" s="321">
        <f>SUM(N198:R198)</f>
        <v>450043.0443701332</v>
      </c>
      <c r="T198" s="307"/>
      <c r="U198" s="934">
        <f>+ROUNDUP(M198*$T$5,0)</f>
        <v>610469</v>
      </c>
      <c r="V198" s="934">
        <f>+U198*E198</f>
        <v>610469</v>
      </c>
      <c r="X198" s="80"/>
      <c r="AB198" s="16"/>
    </row>
    <row r="199" spans="1:28" ht="39" outlineLevel="1">
      <c r="A199" s="873">
        <v>23.03</v>
      </c>
      <c r="B199" s="540" t="s">
        <v>31</v>
      </c>
      <c r="C199" s="1170" t="s">
        <v>1932</v>
      </c>
      <c r="D199" s="788" t="s">
        <v>54</v>
      </c>
      <c r="E199" s="789">
        <v>1</v>
      </c>
      <c r="F199" s="1161">
        <f>+Tareas!H235</f>
        <v>0</v>
      </c>
      <c r="G199" s="1161">
        <f>+Tareas!I235</f>
        <v>0</v>
      </c>
      <c r="H199" s="258">
        <f>F199+G199</f>
        <v>0</v>
      </c>
      <c r="I199" s="263">
        <f>+Tareas!Q235</f>
        <v>2357500</v>
      </c>
      <c r="J199" s="263">
        <f>+Tareas!R235</f>
        <v>0</v>
      </c>
      <c r="K199" s="258">
        <f>I199+J199</f>
        <v>2357500</v>
      </c>
      <c r="L199" s="263">
        <f>(H199+K199)*0.015</f>
        <v>35362.5</v>
      </c>
      <c r="M199" s="258">
        <f>H199+K199+L199</f>
        <v>2392862.5</v>
      </c>
      <c r="N199" s="320">
        <f>F199*E199</f>
        <v>0</v>
      </c>
      <c r="O199" s="320">
        <f>G199*E199</f>
        <v>0</v>
      </c>
      <c r="P199" s="320">
        <f>I199*E199</f>
        <v>2357500</v>
      </c>
      <c r="Q199" s="320">
        <f>J199*E199</f>
        <v>0</v>
      </c>
      <c r="R199" s="320">
        <f>+L199*E199</f>
        <v>35362.5</v>
      </c>
      <c r="S199" s="321">
        <f>SUM(N199:R199)</f>
        <v>2392862.5</v>
      </c>
      <c r="T199" s="307"/>
      <c r="U199" s="934">
        <f>+ROUNDUP(M199*$T$5,0)</f>
        <v>3245841</v>
      </c>
      <c r="V199" s="934">
        <f>+U199*E199</f>
        <v>3245841</v>
      </c>
      <c r="X199" s="80"/>
      <c r="AB199" s="16"/>
    </row>
    <row r="200" spans="1:28" ht="13">
      <c r="A200" s="535">
        <v>24</v>
      </c>
      <c r="B200" s="575"/>
      <c r="C200" s="691" t="s">
        <v>140</v>
      </c>
      <c r="D200" s="227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8"/>
      <c r="T200" s="335">
        <f>SUM(S201:S209)</f>
        <v>73947208.483023033</v>
      </c>
      <c r="U200" s="228"/>
      <c r="V200" s="228"/>
      <c r="W200" s="932">
        <f>SUM(V201:V209)</f>
        <v>100307062</v>
      </c>
      <c r="X200" s="1674">
        <f>+W200/$W$213</f>
        <v>6.5108305516026532E-2</v>
      </c>
      <c r="AB200" s="16"/>
    </row>
    <row r="201" spans="1:28" ht="13" outlineLevel="1">
      <c r="A201" s="193">
        <v>24.01</v>
      </c>
      <c r="B201" s="195" t="s">
        <v>28</v>
      </c>
      <c r="C201" s="795" t="s">
        <v>141</v>
      </c>
      <c r="D201" s="188" t="s">
        <v>61</v>
      </c>
      <c r="E201" s="480">
        <f>+GGBB!$F$4</f>
        <v>19</v>
      </c>
      <c r="F201" s="190"/>
      <c r="G201" s="273"/>
      <c r="H201" s="258">
        <f t="shared" ref="H201:H209" si="264">F201+G201</f>
        <v>0</v>
      </c>
      <c r="I201" s="402">
        <f>+GGBB!J30</f>
        <v>806885.98632321146</v>
      </c>
      <c r="J201" s="190"/>
      <c r="K201" s="258">
        <f t="shared" ref="K201:K209" si="265">I201+J201</f>
        <v>806885.98632321146</v>
      </c>
      <c r="L201" s="115"/>
      <c r="M201" s="258">
        <f t="shared" ref="M201:M209" si="266">H201+K201+L201</f>
        <v>806885.98632321146</v>
      </c>
      <c r="N201" s="320">
        <f>F201*E201</f>
        <v>0</v>
      </c>
      <c r="O201" s="320">
        <f>G201*E201</f>
        <v>0</v>
      </c>
      <c r="P201" s="320">
        <f>I201*E201</f>
        <v>15330833.740141017</v>
      </c>
      <c r="Q201" s="320">
        <f>J201*E201</f>
        <v>0</v>
      </c>
      <c r="R201" s="320">
        <f>+L201*E201</f>
        <v>0</v>
      </c>
      <c r="S201" s="321">
        <f t="shared" ref="S201:S209" si="267">SUM(N201:R201)</f>
        <v>15330833.740141017</v>
      </c>
      <c r="T201" s="337"/>
      <c r="U201" s="934">
        <f>+ROUNDUP(M201*$T$5,0)</f>
        <v>1094515</v>
      </c>
      <c r="V201" s="934">
        <f>+U201*E201</f>
        <v>20795785</v>
      </c>
    </row>
    <row r="202" spans="1:28" ht="13" outlineLevel="1">
      <c r="A202" s="530">
        <v>24.02</v>
      </c>
      <c r="B202" s="300" t="s">
        <v>28</v>
      </c>
      <c r="C202" s="794" t="s">
        <v>142</v>
      </c>
      <c r="D202" s="793" t="s">
        <v>61</v>
      </c>
      <c r="E202" s="532">
        <f>+GGBB!Q5</f>
        <v>1</v>
      </c>
      <c r="F202" s="752"/>
      <c r="G202" s="422"/>
      <c r="H202" s="258">
        <f t="shared" si="264"/>
        <v>0</v>
      </c>
      <c r="I202" s="418">
        <f>+GGBB!J12</f>
        <v>1623254.4601415317</v>
      </c>
      <c r="J202" s="752"/>
      <c r="K202" s="258">
        <f t="shared" si="265"/>
        <v>1623254.4601415317</v>
      </c>
      <c r="L202" s="115"/>
      <c r="M202" s="258">
        <f t="shared" si="266"/>
        <v>1623254.4601415317</v>
      </c>
      <c r="N202" s="320">
        <f>F202*E202</f>
        <v>0</v>
      </c>
      <c r="O202" s="320">
        <f>G202*E202</f>
        <v>0</v>
      </c>
      <c r="P202" s="320">
        <f>I202*E202</f>
        <v>1623254.4601415317</v>
      </c>
      <c r="Q202" s="320">
        <f>J202*E202</f>
        <v>0</v>
      </c>
      <c r="R202" s="320">
        <f>+L202*E202</f>
        <v>0</v>
      </c>
      <c r="S202" s="321">
        <f t="shared" si="267"/>
        <v>1623254.4601415317</v>
      </c>
      <c r="T202" s="337"/>
      <c r="U202" s="934">
        <f>+ROUNDUP(M202*$T$5,0)</f>
        <v>2201893</v>
      </c>
      <c r="V202" s="934">
        <f>+U202*E202</f>
        <v>2201893</v>
      </c>
    </row>
    <row r="203" spans="1:28" ht="13" outlineLevel="1">
      <c r="A203" s="12">
        <v>24.03</v>
      </c>
      <c r="B203" s="8" t="s">
        <v>28</v>
      </c>
      <c r="C203" s="718" t="s">
        <v>143</v>
      </c>
      <c r="D203" s="7" t="s">
        <v>61</v>
      </c>
      <c r="E203" s="480">
        <f>+GGBB!$F$4</f>
        <v>19</v>
      </c>
      <c r="F203" s="115"/>
      <c r="G203" s="253"/>
      <c r="H203" s="258">
        <f t="shared" si="264"/>
        <v>0</v>
      </c>
      <c r="I203" s="541">
        <f>+GGBB!J13</f>
        <v>300000</v>
      </c>
      <c r="J203" s="115"/>
      <c r="K203" s="258">
        <f t="shared" si="265"/>
        <v>300000</v>
      </c>
      <c r="L203" s="115"/>
      <c r="M203" s="258">
        <f t="shared" si="266"/>
        <v>300000</v>
      </c>
      <c r="N203" s="320">
        <f t="shared" ref="N203:N209" si="268">F203*E203</f>
        <v>0</v>
      </c>
      <c r="O203" s="320">
        <f t="shared" ref="O203:O209" si="269">G203*E203</f>
        <v>0</v>
      </c>
      <c r="P203" s="320">
        <f t="shared" ref="P203:P209" si="270">I203*E203</f>
        <v>5700000</v>
      </c>
      <c r="Q203" s="320">
        <f t="shared" ref="Q203:Q209" si="271">J203*E203</f>
        <v>0</v>
      </c>
      <c r="R203" s="320">
        <f t="shared" ref="R203:R209" si="272">+L203*E203</f>
        <v>0</v>
      </c>
      <c r="S203" s="321">
        <f t="shared" si="267"/>
        <v>5700000</v>
      </c>
      <c r="T203" s="337"/>
      <c r="U203" s="934">
        <f t="shared" ref="U203:U209" si="273">+ROUNDUP(M203*$T$5,0)</f>
        <v>406941</v>
      </c>
      <c r="V203" s="934">
        <f t="shared" ref="V203:V209" si="274">+U203*E203</f>
        <v>7731879</v>
      </c>
    </row>
    <row r="204" spans="1:28" ht="13" outlineLevel="1">
      <c r="A204" s="530">
        <v>24.04</v>
      </c>
      <c r="B204" s="8" t="s">
        <v>28</v>
      </c>
      <c r="C204" s="718" t="s">
        <v>144</v>
      </c>
      <c r="D204" s="7" t="s">
        <v>54</v>
      </c>
      <c r="E204" s="480">
        <v>1</v>
      </c>
      <c r="F204" s="263">
        <f>+Tareas!H240</f>
        <v>4076935.9416666673</v>
      </c>
      <c r="G204" s="263">
        <f>+Tareas!I240</f>
        <v>0</v>
      </c>
      <c r="H204" s="258">
        <f t="shared" si="264"/>
        <v>4076935.9416666673</v>
      </c>
      <c r="I204" s="263">
        <f>+Tareas!Q240</f>
        <v>600000</v>
      </c>
      <c r="J204" s="263">
        <f>+Tareas!R240</f>
        <v>4999453.4722428042</v>
      </c>
      <c r="K204" s="258">
        <f t="shared" si="265"/>
        <v>5599453.4722428042</v>
      </c>
      <c r="L204" s="263">
        <f>(H204+K204)*0.015</f>
        <v>145145.84120864209</v>
      </c>
      <c r="M204" s="258">
        <f t="shared" si="266"/>
        <v>9821535.2551181149</v>
      </c>
      <c r="N204" s="320">
        <f>F204*E204</f>
        <v>4076935.9416666673</v>
      </c>
      <c r="O204" s="320">
        <f>G204*E204</f>
        <v>0</v>
      </c>
      <c r="P204" s="320">
        <f>I204*E204</f>
        <v>600000</v>
      </c>
      <c r="Q204" s="320">
        <f>J204*E204</f>
        <v>4999453.4722428042</v>
      </c>
      <c r="R204" s="320">
        <f>+L204*E204</f>
        <v>145145.84120864209</v>
      </c>
      <c r="S204" s="321">
        <f t="shared" si="267"/>
        <v>9821535.2551181149</v>
      </c>
      <c r="T204" s="337"/>
      <c r="U204" s="934">
        <f t="shared" si="273"/>
        <v>13322596</v>
      </c>
      <c r="V204" s="934">
        <f t="shared" si="274"/>
        <v>13322596</v>
      </c>
      <c r="Y204" s="1168" t="s">
        <v>4</v>
      </c>
      <c r="Z204" s="454" t="s">
        <v>1965</v>
      </c>
      <c r="AA204" s="547" t="s">
        <v>1964</v>
      </c>
    </row>
    <row r="205" spans="1:28" s="42" customFormat="1" ht="13" outlineLevel="1">
      <c r="A205" s="12">
        <v>24.05</v>
      </c>
      <c r="B205" s="8" t="s">
        <v>28</v>
      </c>
      <c r="C205" s="718" t="s">
        <v>145</v>
      </c>
      <c r="D205" s="556" t="s">
        <v>61</v>
      </c>
      <c r="E205" s="480">
        <f>+GGBB!$F$4</f>
        <v>19</v>
      </c>
      <c r="F205" s="322">
        <f>+Tareas!H248</f>
        <v>0</v>
      </c>
      <c r="G205" s="322">
        <f>+Tareas!I248</f>
        <v>50000</v>
      </c>
      <c r="H205" s="258">
        <f t="shared" si="264"/>
        <v>50000</v>
      </c>
      <c r="I205" s="263">
        <f>+Tareas!Q248</f>
        <v>0</v>
      </c>
      <c r="J205" s="263">
        <f>+Tareas!R248</f>
        <v>657280.53129030496</v>
      </c>
      <c r="K205" s="258">
        <f t="shared" si="265"/>
        <v>657280.53129030496</v>
      </c>
      <c r="L205" s="263">
        <f>(H205+K205)*0.015</f>
        <v>10609.207969354575</v>
      </c>
      <c r="M205" s="258">
        <f t="shared" si="266"/>
        <v>717889.73925965955</v>
      </c>
      <c r="N205" s="320">
        <f>F205*E205</f>
        <v>0</v>
      </c>
      <c r="O205" s="320">
        <f>G205*E205</f>
        <v>950000</v>
      </c>
      <c r="P205" s="320">
        <f>I205*E205</f>
        <v>0</v>
      </c>
      <c r="Q205" s="320">
        <f>J205*E205</f>
        <v>12488330.094515795</v>
      </c>
      <c r="R205" s="320">
        <f>+L205*E205</f>
        <v>201574.95141773691</v>
      </c>
      <c r="S205" s="321">
        <f t="shared" si="267"/>
        <v>13639905.045933532</v>
      </c>
      <c r="T205" s="337"/>
      <c r="U205" s="934">
        <f t="shared" si="273"/>
        <v>973795</v>
      </c>
      <c r="V205" s="934">
        <f t="shared" si="274"/>
        <v>18502105</v>
      </c>
      <c r="W205" s="941"/>
      <c r="X205" s="1674"/>
      <c r="Y205" s="1226">
        <f>+E215</f>
        <v>1452</v>
      </c>
      <c r="Z205" s="1227">
        <f>+V205/Y205</f>
        <v>12742.496556473829</v>
      </c>
      <c r="AA205" s="1227">
        <v>26019</v>
      </c>
      <c r="AB205" s="1225">
        <f>+Z205/AA205</f>
        <v>0.48973813584203191</v>
      </c>
    </row>
    <row r="206" spans="1:28" s="42" customFormat="1" ht="13" outlineLevel="1">
      <c r="A206" s="530">
        <v>24.06</v>
      </c>
      <c r="B206" s="8" t="s">
        <v>28</v>
      </c>
      <c r="C206" s="718" t="s">
        <v>1565</v>
      </c>
      <c r="D206" s="556" t="s">
        <v>61</v>
      </c>
      <c r="E206" s="480">
        <f>+GGBB!$F$4</f>
        <v>19</v>
      </c>
      <c r="F206" s="322">
        <f>+Tareas!H252</f>
        <v>0</v>
      </c>
      <c r="G206" s="322">
        <f>+Tareas!I252</f>
        <v>50000</v>
      </c>
      <c r="H206" s="258">
        <f t="shared" si="264"/>
        <v>50000</v>
      </c>
      <c r="I206" s="263">
        <f>+Tareas!Q252</f>
        <v>0</v>
      </c>
      <c r="J206" s="263">
        <f>+Tareas!R252</f>
        <v>591716.38997035509</v>
      </c>
      <c r="K206" s="258">
        <f t="shared" si="265"/>
        <v>591716.38997035509</v>
      </c>
      <c r="L206" s="263">
        <f>(H206+K206)*0.015</f>
        <v>9625.7458495553255</v>
      </c>
      <c r="M206" s="258">
        <f t="shared" si="266"/>
        <v>651342.13581991044</v>
      </c>
      <c r="N206" s="320">
        <f t="shared" si="268"/>
        <v>0</v>
      </c>
      <c r="O206" s="320">
        <f t="shared" si="269"/>
        <v>950000</v>
      </c>
      <c r="P206" s="320">
        <f t="shared" si="270"/>
        <v>0</v>
      </c>
      <c r="Q206" s="320">
        <f t="shared" si="271"/>
        <v>11242611.409436747</v>
      </c>
      <c r="R206" s="320">
        <f t="shared" si="272"/>
        <v>182889.1711415512</v>
      </c>
      <c r="S206" s="321">
        <f t="shared" si="267"/>
        <v>12375500.580578299</v>
      </c>
      <c r="T206" s="337"/>
      <c r="U206" s="934">
        <f t="shared" si="273"/>
        <v>883525</v>
      </c>
      <c r="V206" s="934">
        <f t="shared" si="274"/>
        <v>16786975</v>
      </c>
      <c r="W206" s="941"/>
      <c r="X206" s="1674"/>
      <c r="Y206" s="1226"/>
      <c r="Z206" s="1227"/>
      <c r="AA206" s="1227">
        <v>1065501</v>
      </c>
      <c r="AB206" s="1225">
        <f>+U206/AA206</f>
        <v>0.82921085949238904</v>
      </c>
    </row>
    <row r="207" spans="1:28" s="42" customFormat="1" ht="13" outlineLevel="1">
      <c r="A207" s="12">
        <v>24.07</v>
      </c>
      <c r="B207" s="8" t="s">
        <v>28</v>
      </c>
      <c r="C207" s="718" t="s">
        <v>146</v>
      </c>
      <c r="D207" s="556" t="s">
        <v>54</v>
      </c>
      <c r="E207" s="480">
        <v>1</v>
      </c>
      <c r="F207" s="322">
        <f>+Tareas!H255</f>
        <v>500000</v>
      </c>
      <c r="G207" s="322">
        <f>+Tareas!I255</f>
        <v>0</v>
      </c>
      <c r="H207" s="258">
        <f t="shared" si="264"/>
        <v>500000</v>
      </c>
      <c r="I207" s="263">
        <f>+Tareas!Q255</f>
        <v>0</v>
      </c>
      <c r="J207" s="263">
        <f>+Tareas!R255</f>
        <v>4034429.9316160567</v>
      </c>
      <c r="K207" s="258">
        <f t="shared" si="265"/>
        <v>4034429.9316160567</v>
      </c>
      <c r="L207" s="263">
        <f>(H207+K207)*0.015</f>
        <v>68016.448974240848</v>
      </c>
      <c r="M207" s="258">
        <f t="shared" si="266"/>
        <v>4602446.3805902973</v>
      </c>
      <c r="N207" s="320">
        <f>F207*E207</f>
        <v>500000</v>
      </c>
      <c r="O207" s="320">
        <f>G207*E207</f>
        <v>0</v>
      </c>
      <c r="P207" s="320">
        <f>I207*E207</f>
        <v>0</v>
      </c>
      <c r="Q207" s="320">
        <f>J207*E207</f>
        <v>4034429.9316160567</v>
      </c>
      <c r="R207" s="320">
        <f>+L207*E207</f>
        <v>68016.448974240848</v>
      </c>
      <c r="S207" s="321">
        <f t="shared" si="267"/>
        <v>4602446.3805902973</v>
      </c>
      <c r="T207" s="337"/>
      <c r="U207" s="934">
        <f t="shared" si="273"/>
        <v>6243071</v>
      </c>
      <c r="V207" s="934">
        <f t="shared" si="274"/>
        <v>6243071</v>
      </c>
      <c r="W207" s="941"/>
      <c r="X207" s="1674"/>
      <c r="Y207" s="1226">
        <f>+E215</f>
        <v>1452</v>
      </c>
      <c r="Z207" s="1227">
        <f>+V207/Y207</f>
        <v>4299.6356749311299</v>
      </c>
      <c r="AA207" s="1227">
        <v>4462</v>
      </c>
      <c r="AB207" s="1225">
        <f>+Z207/AA207</f>
        <v>0.96361176040590091</v>
      </c>
    </row>
    <row r="208" spans="1:28" s="42" customFormat="1" ht="13" outlineLevel="1">
      <c r="A208" s="530">
        <v>24.08</v>
      </c>
      <c r="B208" s="8" t="s">
        <v>28</v>
      </c>
      <c r="C208" s="718" t="s">
        <v>147</v>
      </c>
      <c r="D208" s="556" t="s">
        <v>61</v>
      </c>
      <c r="E208" s="480">
        <f>+GGBB!$F$4</f>
        <v>19</v>
      </c>
      <c r="F208" s="115"/>
      <c r="G208" s="115"/>
      <c r="H208" s="258">
        <f t="shared" si="264"/>
        <v>0</v>
      </c>
      <c r="I208" s="538">
        <v>300000</v>
      </c>
      <c r="J208" s="115"/>
      <c r="K208" s="258">
        <f t="shared" si="265"/>
        <v>300000</v>
      </c>
      <c r="L208" s="259"/>
      <c r="M208" s="258">
        <f t="shared" si="266"/>
        <v>300000</v>
      </c>
      <c r="N208" s="320">
        <f>F208*E208</f>
        <v>0</v>
      </c>
      <c r="O208" s="320">
        <f>G208*E208</f>
        <v>0</v>
      </c>
      <c r="P208" s="320">
        <f>I208*E208</f>
        <v>5700000</v>
      </c>
      <c r="Q208" s="320">
        <f>J208*E208</f>
        <v>0</v>
      </c>
      <c r="R208" s="320">
        <f>+L208*E208</f>
        <v>0</v>
      </c>
      <c r="S208" s="321">
        <f t="shared" si="267"/>
        <v>5700000</v>
      </c>
      <c r="T208" s="337"/>
      <c r="U208" s="934">
        <f t="shared" si="273"/>
        <v>406941</v>
      </c>
      <c r="V208" s="934">
        <f t="shared" si="274"/>
        <v>7731879</v>
      </c>
      <c r="W208" s="941"/>
      <c r="X208" s="1674"/>
    </row>
    <row r="209" spans="1:28" s="30" customFormat="1" ht="13" outlineLevel="1">
      <c r="A209" s="12">
        <v>24.09</v>
      </c>
      <c r="B209" s="92" t="s">
        <v>28</v>
      </c>
      <c r="C209" s="719" t="s">
        <v>148</v>
      </c>
      <c r="D209" s="557" t="s">
        <v>61</v>
      </c>
      <c r="E209" s="480">
        <f>+GGBB!$F$4</f>
        <v>19</v>
      </c>
      <c r="F209" s="322">
        <f>+Tareas!H258</f>
        <v>200000</v>
      </c>
      <c r="G209" s="322">
        <f>+Tareas!I258</f>
        <v>0</v>
      </c>
      <c r="H209" s="266">
        <f t="shared" si="264"/>
        <v>200000</v>
      </c>
      <c r="I209" s="260">
        <f>+Tareas!Q258</f>
        <v>0</v>
      </c>
      <c r="J209" s="260">
        <f>+Tareas!R258</f>
        <v>67240.498860267617</v>
      </c>
      <c r="K209" s="266">
        <f t="shared" si="265"/>
        <v>67240.498860267617</v>
      </c>
      <c r="L209" s="263">
        <f>(H209+K209)*0.015</f>
        <v>4008.6074829040144</v>
      </c>
      <c r="M209" s="266">
        <f t="shared" si="266"/>
        <v>271249.10634317162</v>
      </c>
      <c r="N209" s="324">
        <f t="shared" si="268"/>
        <v>3800000</v>
      </c>
      <c r="O209" s="324">
        <f t="shared" si="269"/>
        <v>0</v>
      </c>
      <c r="P209" s="324">
        <f t="shared" si="270"/>
        <v>0</v>
      </c>
      <c r="Q209" s="324">
        <f t="shared" si="271"/>
        <v>1277569.4783450847</v>
      </c>
      <c r="R209" s="324">
        <f t="shared" si="272"/>
        <v>76163.542175176277</v>
      </c>
      <c r="S209" s="321">
        <f t="shared" si="267"/>
        <v>5153733.0205202615</v>
      </c>
      <c r="T209" s="337"/>
      <c r="U209" s="940">
        <f t="shared" si="273"/>
        <v>367941</v>
      </c>
      <c r="V209" s="940">
        <f t="shared" si="274"/>
        <v>6990879</v>
      </c>
      <c r="W209" s="941"/>
      <c r="X209" s="1674"/>
    </row>
    <row r="210" spans="1:28" ht="13">
      <c r="A210" s="535">
        <v>25</v>
      </c>
      <c r="B210" s="575"/>
      <c r="C210" s="691" t="s">
        <v>149</v>
      </c>
      <c r="D210" s="227"/>
      <c r="E210" s="228"/>
      <c r="F210" s="228"/>
      <c r="G210" s="228"/>
      <c r="H210" s="228"/>
      <c r="I210" s="228"/>
      <c r="J210" s="228"/>
      <c r="K210" s="228"/>
      <c r="L210" s="228"/>
      <c r="M210" s="256"/>
      <c r="N210" s="228"/>
      <c r="O210" s="228"/>
      <c r="P210" s="228"/>
      <c r="Q210" s="228"/>
      <c r="R210" s="228"/>
      <c r="S210" s="228"/>
      <c r="T210" s="335">
        <f>SUM(S211:S212)</f>
        <v>71183669.485378206</v>
      </c>
      <c r="U210" s="228"/>
      <c r="V210" s="228"/>
      <c r="W210" s="932">
        <f>SUM(V211:V212)</f>
        <v>96558361</v>
      </c>
      <c r="X210" s="1674">
        <f>+W210/$W$213</f>
        <v>6.2675061384160388E-2</v>
      </c>
      <c r="AB210" s="16"/>
    </row>
    <row r="211" spans="1:28" s="25" customFormat="1" ht="26" outlineLevel="1">
      <c r="A211" s="193">
        <v>25.01</v>
      </c>
      <c r="B211" s="196" t="s">
        <v>28</v>
      </c>
      <c r="C211" s="692" t="s">
        <v>1740</v>
      </c>
      <c r="D211" s="548" t="s">
        <v>61</v>
      </c>
      <c r="E211" s="480">
        <f>+GGBB!$F$4</f>
        <v>19</v>
      </c>
      <c r="F211" s="268"/>
      <c r="G211" s="268"/>
      <c r="H211" s="257">
        <f>F211+G211</f>
        <v>0</v>
      </c>
      <c r="I211" s="402">
        <f>+GGBB!J23</f>
        <v>3246508.9202830633</v>
      </c>
      <c r="J211" s="268"/>
      <c r="K211" s="257">
        <f>I211+J211</f>
        <v>3246508.9202830633</v>
      </c>
      <c r="L211" s="268"/>
      <c r="M211" s="257">
        <f>H211+K211+L211</f>
        <v>3246508.9202830633</v>
      </c>
      <c r="N211" s="318">
        <f>F211*E211</f>
        <v>0</v>
      </c>
      <c r="O211" s="318">
        <f>G211*E211</f>
        <v>0</v>
      </c>
      <c r="P211" s="318">
        <f>I211*E211</f>
        <v>61683669.485378206</v>
      </c>
      <c r="Q211" s="318">
        <f>J211*E211</f>
        <v>0</v>
      </c>
      <c r="R211" s="318">
        <f>+L211*E211</f>
        <v>0</v>
      </c>
      <c r="S211" s="319">
        <f>SUM(N211:R211)</f>
        <v>61683669.485378206</v>
      </c>
      <c r="T211" s="337"/>
      <c r="U211" s="937">
        <f>+ROUNDUP(M211*$T$5,0)</f>
        <v>4403785</v>
      </c>
      <c r="V211" s="936">
        <f>+U211*E211</f>
        <v>83671915</v>
      </c>
      <c r="W211" s="938"/>
    </row>
    <row r="212" spans="1:28" s="25" customFormat="1" ht="13" outlineLevel="1">
      <c r="A212" s="403">
        <v>25.02</v>
      </c>
      <c r="B212" s="178" t="s">
        <v>28</v>
      </c>
      <c r="C212" s="694" t="s">
        <v>150</v>
      </c>
      <c r="D212" s="550" t="s">
        <v>61</v>
      </c>
      <c r="E212" s="480">
        <f>+GGBB!$F$4</f>
        <v>19</v>
      </c>
      <c r="F212" s="267"/>
      <c r="G212" s="267"/>
      <c r="H212" s="266">
        <f>F212+G212</f>
        <v>0</v>
      </c>
      <c r="I212" s="431">
        <f>GGBB!J28</f>
        <v>500000</v>
      </c>
      <c r="J212" s="267"/>
      <c r="K212" s="266">
        <f>I212+J212</f>
        <v>500000</v>
      </c>
      <c r="L212" s="267"/>
      <c r="M212" s="266">
        <f>H212+K212+L212</f>
        <v>500000</v>
      </c>
      <c r="N212" s="324">
        <f>F212*E212</f>
        <v>0</v>
      </c>
      <c r="O212" s="324">
        <f>G212*E212</f>
        <v>0</v>
      </c>
      <c r="P212" s="324">
        <f>I212*E212</f>
        <v>9500000</v>
      </c>
      <c r="Q212" s="324">
        <f>J212*E212</f>
        <v>0</v>
      </c>
      <c r="R212" s="324">
        <f>+L212*E212</f>
        <v>0</v>
      </c>
      <c r="S212" s="325">
        <f>SUM(N212:R212)</f>
        <v>9500000</v>
      </c>
      <c r="T212" s="337"/>
      <c r="U212" s="937">
        <f>+ROUNDUP(M212*$T$5,0)</f>
        <v>678234</v>
      </c>
      <c r="V212" s="934">
        <f>+U212*E212</f>
        <v>12886446</v>
      </c>
      <c r="W212" s="341"/>
    </row>
    <row r="213" spans="1:28" s="42" customFormat="1" ht="13">
      <c r="A213" s="535"/>
      <c r="B213" s="575"/>
      <c r="C213" s="691" t="s">
        <v>151</v>
      </c>
      <c r="D213" s="227"/>
      <c r="E213" s="228"/>
      <c r="F213" s="228"/>
      <c r="G213" s="228"/>
      <c r="H213" s="228"/>
      <c r="I213" s="228"/>
      <c r="J213" s="228"/>
      <c r="K213" s="228"/>
      <c r="L213" s="228"/>
      <c r="M213" s="256"/>
      <c r="N213" s="335">
        <f t="shared" ref="N213:T213" si="275">SUM(N8:N212)</f>
        <v>288798727.90028393</v>
      </c>
      <c r="O213" s="335">
        <f t="shared" si="275"/>
        <v>92826297.972813964</v>
      </c>
      <c r="P213" s="335">
        <f t="shared" si="275"/>
        <v>508758863.74462891</v>
      </c>
      <c r="Q213" s="335">
        <f t="shared" si="275"/>
        <v>219547445.33957821</v>
      </c>
      <c r="R213" s="335">
        <f t="shared" si="275"/>
        <v>25816814.059354596</v>
      </c>
      <c r="S213" s="335">
        <f t="shared" si="275"/>
        <v>1135748149.0166593</v>
      </c>
      <c r="T213" s="335">
        <f t="shared" si="275"/>
        <v>1135748149.0166595</v>
      </c>
      <c r="U213" s="228"/>
      <c r="V213" s="335">
        <f>SUM(V8:V212)</f>
        <v>1540618531</v>
      </c>
      <c r="W213" s="932">
        <f>SUM(W8:W212)</f>
        <v>1540618531</v>
      </c>
      <c r="X213" s="80">
        <f>+W213/$W$213</f>
        <v>1</v>
      </c>
      <c r="Z213" s="578"/>
    </row>
    <row r="214" spans="1:28" s="42" customFormat="1" ht="13">
      <c r="A214" s="808"/>
      <c r="B214" s="808"/>
      <c r="C214" s="825"/>
      <c r="D214" s="826"/>
      <c r="E214" s="827"/>
      <c r="F214" s="827"/>
      <c r="G214" s="827"/>
      <c r="H214" s="827"/>
      <c r="I214" s="827"/>
      <c r="J214" s="827"/>
      <c r="K214" s="827"/>
      <c r="L214" s="828"/>
      <c r="M214" s="828"/>
      <c r="N214" s="828"/>
      <c r="O214" s="828"/>
      <c r="P214" s="828"/>
      <c r="Q214" s="828"/>
      <c r="R214" s="828"/>
      <c r="S214" s="828"/>
      <c r="T214" s="829"/>
      <c r="U214" s="942"/>
      <c r="V214" s="942"/>
      <c r="W214" s="829"/>
      <c r="X214" s="80"/>
    </row>
    <row r="215" spans="1:28" ht="12.75" customHeight="1">
      <c r="A215" s="187"/>
      <c r="B215" s="230"/>
      <c r="C215" s="720" t="s">
        <v>152</v>
      </c>
      <c r="D215" s="558" t="s">
        <v>4</v>
      </c>
      <c r="E215" s="400">
        <f>+INFO.!C6</f>
        <v>1452</v>
      </c>
      <c r="F215" s="238"/>
      <c r="G215" s="238"/>
      <c r="H215" s="238"/>
      <c r="I215" s="274"/>
      <c r="J215" s="274"/>
      <c r="K215" s="238"/>
      <c r="L215" s="275"/>
      <c r="M215" s="238"/>
      <c r="N215" s="238"/>
      <c r="O215" s="238"/>
      <c r="P215" s="238"/>
      <c r="Q215" s="238"/>
      <c r="R215" s="331" t="s">
        <v>20</v>
      </c>
      <c r="S215" s="880">
        <f>+T215/E215</f>
        <v>613.00603049769188</v>
      </c>
      <c r="T215" s="330">
        <f>+T213/GGBB!H4</f>
        <v>890084.75628264854</v>
      </c>
      <c r="U215" s="331" t="s">
        <v>20</v>
      </c>
      <c r="V215" s="943">
        <f>+W215/E215</f>
        <v>831.52981672668557</v>
      </c>
      <c r="W215" s="944">
        <f>W213/W2</f>
        <v>1207381.2938871474</v>
      </c>
      <c r="X215" s="80"/>
    </row>
    <row r="216" spans="1:28" ht="12.75" customHeight="1">
      <c r="A216" s="808"/>
      <c r="B216" s="544"/>
      <c r="C216" s="809"/>
      <c r="E216" s="810"/>
      <c r="F216" s="805"/>
      <c r="G216" s="805"/>
      <c r="H216" s="805"/>
      <c r="I216" s="811"/>
      <c r="J216" s="811"/>
      <c r="K216" s="805"/>
      <c r="L216" s="545"/>
      <c r="M216" s="805"/>
      <c r="N216" s="805"/>
      <c r="O216" s="805"/>
      <c r="P216" s="805"/>
      <c r="Q216" s="805"/>
      <c r="R216" s="842"/>
      <c r="S216" s="843"/>
      <c r="T216" s="844"/>
      <c r="U216" s="842"/>
      <c r="V216" s="945"/>
      <c r="W216" s="946"/>
      <c r="X216" s="80"/>
    </row>
    <row r="217" spans="1:28" ht="18.5">
      <c r="A217" s="104"/>
      <c r="B217" s="104"/>
      <c r="C217" s="721" t="s">
        <v>22</v>
      </c>
      <c r="E217" s="528"/>
      <c r="F217" s="276"/>
      <c r="G217" s="9"/>
      <c r="H217" s="276"/>
      <c r="I217" s="276"/>
      <c r="J217" s="276"/>
      <c r="K217" s="276"/>
      <c r="L217" s="277"/>
      <c r="M217" s="276"/>
      <c r="N217" s="276"/>
      <c r="O217" s="276"/>
      <c r="P217" s="276"/>
      <c r="Q217" s="276"/>
      <c r="R217" s="560"/>
      <c r="S217" s="561"/>
      <c r="T217" s="562"/>
      <c r="U217" s="276"/>
      <c r="V217" s="276"/>
      <c r="W217" s="947"/>
    </row>
    <row r="218" spans="1:28" ht="18.5">
      <c r="A218" s="104"/>
      <c r="B218" s="104"/>
      <c r="C218" s="905"/>
      <c r="E218" s="528"/>
      <c r="F218" s="276"/>
      <c r="G218" s="276"/>
      <c r="H218" s="276"/>
      <c r="I218" s="276"/>
      <c r="J218" s="276"/>
      <c r="K218" s="276"/>
      <c r="L218" s="277"/>
      <c r="M218" s="276"/>
      <c r="N218" s="276"/>
      <c r="O218" s="276"/>
      <c r="P218" s="276"/>
      <c r="Q218" s="276"/>
      <c r="R218" s="560"/>
      <c r="S218" s="561"/>
      <c r="T218" s="562"/>
      <c r="U218" s="276"/>
      <c r="V218" s="276"/>
      <c r="W218" s="947"/>
    </row>
    <row r="219" spans="1:28" ht="12.75" customHeight="1">
      <c r="A219" s="535">
        <v>26</v>
      </c>
      <c r="B219" s="575"/>
      <c r="C219" s="691" t="s">
        <v>154</v>
      </c>
      <c r="D219" s="227"/>
      <c r="E219" s="228"/>
      <c r="F219" s="228"/>
      <c r="G219" s="228"/>
      <c r="H219" s="228"/>
      <c r="I219" s="228"/>
      <c r="J219" s="228"/>
      <c r="K219" s="228"/>
      <c r="L219" s="228"/>
      <c r="M219" s="256"/>
      <c r="N219" s="228"/>
      <c r="O219" s="228"/>
      <c r="P219" s="228"/>
      <c r="Q219" s="228"/>
      <c r="R219" s="228"/>
      <c r="S219" s="228"/>
      <c r="T219" s="335">
        <f>SUM(S220:S221)</f>
        <v>1728642</v>
      </c>
      <c r="U219" s="228"/>
      <c r="V219" s="228"/>
      <c r="W219" s="944">
        <f>SUM(V220:V221)</f>
        <v>1901507</v>
      </c>
      <c r="X219" s="80" t="e">
        <f>+W219/$W$255</f>
        <v>#REF!</v>
      </c>
    </row>
    <row r="220" spans="1:28" ht="12.75" customHeight="1" outlineLevel="1">
      <c r="A220" s="123">
        <v>26.03</v>
      </c>
      <c r="B220" s="123" t="s">
        <v>31</v>
      </c>
      <c r="C220" s="715" t="s">
        <v>156</v>
      </c>
      <c r="D220" s="114" t="s">
        <v>72</v>
      </c>
      <c r="E220" s="480">
        <v>5</v>
      </c>
      <c r="F220" s="515">
        <f>75000*4</f>
        <v>300000</v>
      </c>
      <c r="G220" s="115"/>
      <c r="H220" s="258">
        <f t="shared" ref="H220:H221" si="276">F220+G220</f>
        <v>300000</v>
      </c>
      <c r="I220" s="253"/>
      <c r="J220" s="253"/>
      <c r="K220" s="258">
        <f t="shared" ref="K220:K221" si="277">I220+J220</f>
        <v>0</v>
      </c>
      <c r="L220" s="259"/>
      <c r="M220" s="258">
        <f t="shared" ref="M220:M221" si="278">H220+K220+L220</f>
        <v>300000</v>
      </c>
      <c r="N220" s="320">
        <f t="shared" ref="N220:N221" si="279">F220*E220</f>
        <v>1500000</v>
      </c>
      <c r="O220" s="320">
        <f t="shared" ref="O220:O221" si="280">G220*E220</f>
        <v>0</v>
      </c>
      <c r="P220" s="320">
        <f t="shared" ref="P220:P221" si="281">I220*E220</f>
        <v>0</v>
      </c>
      <c r="Q220" s="320">
        <f t="shared" ref="Q220:Q221" si="282">J220*E220</f>
        <v>0</v>
      </c>
      <c r="R220" s="320">
        <f t="shared" ref="R220:R221" si="283">+L220*E220</f>
        <v>0</v>
      </c>
      <c r="S220" s="321">
        <f t="shared" ref="S220:S221" si="284">SUM(N220:R220)</f>
        <v>1500000</v>
      </c>
      <c r="T220" s="307"/>
      <c r="U220" s="115">
        <f t="shared" ref="U220:U221" si="285">+ROUNDUP(M220*$T$6,0)</f>
        <v>330000</v>
      </c>
      <c r="V220" s="115">
        <f t="shared" ref="V220:V221" si="286">+U220*E220</f>
        <v>1650000</v>
      </c>
      <c r="X220" s="80"/>
    </row>
    <row r="221" spans="1:28" ht="12.75" customHeight="1" outlineLevel="1">
      <c r="A221" s="123">
        <v>26.05</v>
      </c>
      <c r="B221" s="123" t="s">
        <v>28</v>
      </c>
      <c r="C221" s="715" t="s">
        <v>1894</v>
      </c>
      <c r="D221" s="114" t="s">
        <v>72</v>
      </c>
      <c r="E221" s="480">
        <v>1</v>
      </c>
      <c r="F221" s="439">
        <f>+SUM(Cotizaciones!D78:D79)</f>
        <v>228642</v>
      </c>
      <c r="G221" s="115"/>
      <c r="H221" s="258">
        <f t="shared" si="276"/>
        <v>228642</v>
      </c>
      <c r="I221" s="253"/>
      <c r="J221" s="253"/>
      <c r="K221" s="258">
        <f t="shared" si="277"/>
        <v>0</v>
      </c>
      <c r="L221" s="259"/>
      <c r="M221" s="258">
        <f t="shared" si="278"/>
        <v>228642</v>
      </c>
      <c r="N221" s="320">
        <f t="shared" si="279"/>
        <v>228642</v>
      </c>
      <c r="O221" s="320">
        <f t="shared" si="280"/>
        <v>0</v>
      </c>
      <c r="P221" s="320">
        <f t="shared" si="281"/>
        <v>0</v>
      </c>
      <c r="Q221" s="320">
        <f t="shared" si="282"/>
        <v>0</v>
      </c>
      <c r="R221" s="320">
        <f t="shared" si="283"/>
        <v>0</v>
      </c>
      <c r="S221" s="321">
        <f t="shared" si="284"/>
        <v>228642</v>
      </c>
      <c r="T221" s="307"/>
      <c r="U221" s="115">
        <f t="shared" si="285"/>
        <v>251507</v>
      </c>
      <c r="V221" s="115">
        <f t="shared" si="286"/>
        <v>251507</v>
      </c>
      <c r="X221" s="80"/>
    </row>
    <row r="222" spans="1:28" ht="12.75" customHeight="1">
      <c r="A222" s="535">
        <v>27</v>
      </c>
      <c r="B222" s="575"/>
      <c r="C222" s="691" t="s">
        <v>159</v>
      </c>
      <c r="D222" s="227"/>
      <c r="E222" s="228"/>
      <c r="F222" s="228"/>
      <c r="G222" s="228"/>
      <c r="H222" s="228"/>
      <c r="I222" s="228"/>
      <c r="J222" s="228"/>
      <c r="K222" s="228"/>
      <c r="L222" s="228"/>
      <c r="M222" s="256"/>
      <c r="N222" s="228"/>
      <c r="O222" s="228"/>
      <c r="P222" s="228"/>
      <c r="Q222" s="228"/>
      <c r="R222" s="228"/>
      <c r="S222" s="228"/>
      <c r="T222" s="748">
        <f>SUM(S223:S229)</f>
        <v>4215000</v>
      </c>
      <c r="U222" s="228"/>
      <c r="V222" s="228"/>
      <c r="W222" s="944">
        <f>SUM(V223:V229)</f>
        <v>4636500</v>
      </c>
      <c r="X222" s="80" t="e">
        <f>+W222/$W$255</f>
        <v>#REF!</v>
      </c>
    </row>
    <row r="223" spans="1:28" ht="12.75" customHeight="1" outlineLevel="1">
      <c r="A223" s="196">
        <v>27.01</v>
      </c>
      <c r="B223" s="196" t="s">
        <v>28</v>
      </c>
      <c r="C223" s="702" t="s">
        <v>1718</v>
      </c>
      <c r="D223" s="189" t="s">
        <v>72</v>
      </c>
      <c r="E223" s="190">
        <v>2</v>
      </c>
      <c r="F223" s="745">
        <v>550000</v>
      </c>
      <c r="G223" s="190"/>
      <c r="H223" s="257">
        <f t="shared" ref="H223:H229" si="287">F223+G223</f>
        <v>550000</v>
      </c>
      <c r="I223" s="273"/>
      <c r="J223" s="273"/>
      <c r="K223" s="257">
        <f t="shared" ref="K223:K229" si="288">I223+J223</f>
        <v>0</v>
      </c>
      <c r="L223" s="254"/>
      <c r="M223" s="257">
        <f t="shared" ref="M223:M229" si="289">H223+K223+L223</f>
        <v>550000</v>
      </c>
      <c r="N223" s="318">
        <f t="shared" ref="N223:N229" si="290">F223*E223</f>
        <v>1100000</v>
      </c>
      <c r="O223" s="318">
        <f t="shared" ref="O223:O229" si="291">G223*E223</f>
        <v>0</v>
      </c>
      <c r="P223" s="318">
        <f t="shared" ref="P223:P229" si="292">I223*E223</f>
        <v>0</v>
      </c>
      <c r="Q223" s="318">
        <f t="shared" ref="Q223:Q229" si="293">J223*E223</f>
        <v>0</v>
      </c>
      <c r="R223" s="318">
        <f t="shared" ref="R223:R229" si="294">+L223*E223</f>
        <v>0</v>
      </c>
      <c r="S223" s="319">
        <f t="shared" ref="S223:S229" si="295">SUM(N223:R223)</f>
        <v>1100000</v>
      </c>
      <c r="U223" s="934">
        <f t="shared" ref="U223:U229" si="296">+ROUNDUP(M223*$T$6,0)</f>
        <v>605000</v>
      </c>
      <c r="V223" s="934">
        <f t="shared" ref="V223:V229" si="297">+U223*E223</f>
        <v>1210000</v>
      </c>
      <c r="W223" s="948"/>
    </row>
    <row r="224" spans="1:28" ht="12.75" customHeight="1" outlineLevel="1">
      <c r="A224" s="123">
        <v>27.02</v>
      </c>
      <c r="B224" s="123" t="s">
        <v>28</v>
      </c>
      <c r="C224" s="700" t="s">
        <v>1719</v>
      </c>
      <c r="D224" s="114" t="s">
        <v>72</v>
      </c>
      <c r="E224" s="115">
        <v>2</v>
      </c>
      <c r="F224" s="439">
        <v>550000</v>
      </c>
      <c r="G224" s="115"/>
      <c r="H224" s="258">
        <f t="shared" si="287"/>
        <v>550000</v>
      </c>
      <c r="I224" s="253"/>
      <c r="J224" s="253"/>
      <c r="K224" s="258">
        <f t="shared" si="288"/>
        <v>0</v>
      </c>
      <c r="L224" s="259"/>
      <c r="M224" s="258">
        <f t="shared" si="289"/>
        <v>550000</v>
      </c>
      <c r="N224" s="320">
        <f t="shared" si="290"/>
        <v>1100000</v>
      </c>
      <c r="O224" s="320">
        <f t="shared" si="291"/>
        <v>0</v>
      </c>
      <c r="P224" s="320">
        <f t="shared" si="292"/>
        <v>0</v>
      </c>
      <c r="Q224" s="320">
        <f t="shared" si="293"/>
        <v>0</v>
      </c>
      <c r="R224" s="320">
        <f t="shared" si="294"/>
        <v>0</v>
      </c>
      <c r="S224" s="321">
        <f t="shared" si="295"/>
        <v>1100000</v>
      </c>
      <c r="U224" s="934">
        <f t="shared" si="296"/>
        <v>605000</v>
      </c>
      <c r="V224" s="934">
        <f t="shared" si="297"/>
        <v>1210000</v>
      </c>
      <c r="W224" s="948"/>
    </row>
    <row r="225" spans="1:24" ht="12.75" customHeight="1" outlineLevel="1">
      <c r="A225" s="123">
        <v>27.03</v>
      </c>
      <c r="B225" s="123" t="s">
        <v>28</v>
      </c>
      <c r="C225" s="700" t="s">
        <v>1897</v>
      </c>
      <c r="D225" s="114" t="s">
        <v>72</v>
      </c>
      <c r="E225" s="115">
        <v>2</v>
      </c>
      <c r="F225" s="439">
        <v>125000</v>
      </c>
      <c r="G225" s="115"/>
      <c r="H225" s="258">
        <f t="shared" si="287"/>
        <v>125000</v>
      </c>
      <c r="I225" s="253"/>
      <c r="J225" s="253"/>
      <c r="K225" s="258">
        <f t="shared" si="288"/>
        <v>0</v>
      </c>
      <c r="L225" s="259"/>
      <c r="M225" s="258">
        <f t="shared" si="289"/>
        <v>125000</v>
      </c>
      <c r="N225" s="320">
        <f t="shared" si="290"/>
        <v>250000</v>
      </c>
      <c r="O225" s="320">
        <f t="shared" si="291"/>
        <v>0</v>
      </c>
      <c r="P225" s="320">
        <f t="shared" si="292"/>
        <v>0</v>
      </c>
      <c r="Q225" s="320">
        <f t="shared" si="293"/>
        <v>0</v>
      </c>
      <c r="R225" s="320">
        <f t="shared" si="294"/>
        <v>0</v>
      </c>
      <c r="S225" s="321">
        <f t="shared" si="295"/>
        <v>250000</v>
      </c>
      <c r="U225" s="934">
        <f t="shared" si="296"/>
        <v>137500</v>
      </c>
      <c r="V225" s="934">
        <f t="shared" si="297"/>
        <v>275000</v>
      </c>
      <c r="W225" s="948"/>
    </row>
    <row r="226" spans="1:24" ht="39" outlineLevel="1">
      <c r="A226" s="123">
        <v>27.04</v>
      </c>
      <c r="B226" s="123" t="s">
        <v>28</v>
      </c>
      <c r="C226" s="700" t="s">
        <v>1717</v>
      </c>
      <c r="D226" s="114" t="s">
        <v>72</v>
      </c>
      <c r="E226" s="115">
        <v>2</v>
      </c>
      <c r="F226" s="439">
        <v>135000</v>
      </c>
      <c r="G226" s="115"/>
      <c r="H226" s="258">
        <f t="shared" si="287"/>
        <v>135000</v>
      </c>
      <c r="I226" s="253"/>
      <c r="J226" s="253"/>
      <c r="K226" s="258">
        <f t="shared" si="288"/>
        <v>0</v>
      </c>
      <c r="L226" s="259"/>
      <c r="M226" s="258">
        <f t="shared" si="289"/>
        <v>135000</v>
      </c>
      <c r="N226" s="320">
        <f t="shared" si="290"/>
        <v>270000</v>
      </c>
      <c r="O226" s="320">
        <f t="shared" si="291"/>
        <v>0</v>
      </c>
      <c r="P226" s="320">
        <f t="shared" si="292"/>
        <v>0</v>
      </c>
      <c r="Q226" s="320">
        <f t="shared" si="293"/>
        <v>0</v>
      </c>
      <c r="R226" s="320">
        <f t="shared" si="294"/>
        <v>0</v>
      </c>
      <c r="S226" s="321">
        <f t="shared" si="295"/>
        <v>270000</v>
      </c>
      <c r="U226" s="934">
        <f t="shared" si="296"/>
        <v>148500</v>
      </c>
      <c r="V226" s="934">
        <f t="shared" si="297"/>
        <v>297000</v>
      </c>
      <c r="W226" s="948"/>
    </row>
    <row r="227" spans="1:24" ht="12.75" customHeight="1" outlineLevel="1">
      <c r="A227" s="123">
        <v>27.05</v>
      </c>
      <c r="B227" s="12" t="s">
        <v>28</v>
      </c>
      <c r="C227" s="715" t="s">
        <v>162</v>
      </c>
      <c r="D227" s="443" t="s">
        <v>72</v>
      </c>
      <c r="E227" s="483">
        <v>2</v>
      </c>
      <c r="F227" s="439">
        <v>300000</v>
      </c>
      <c r="G227" s="338"/>
      <c r="H227" s="258">
        <f t="shared" si="287"/>
        <v>300000</v>
      </c>
      <c r="I227" s="253"/>
      <c r="J227" s="253"/>
      <c r="K227" s="258">
        <f t="shared" si="288"/>
        <v>0</v>
      </c>
      <c r="L227" s="259"/>
      <c r="M227" s="258">
        <f t="shared" si="289"/>
        <v>300000</v>
      </c>
      <c r="N227" s="320">
        <f t="shared" si="290"/>
        <v>600000</v>
      </c>
      <c r="O227" s="320">
        <f t="shared" si="291"/>
        <v>0</v>
      </c>
      <c r="P227" s="320">
        <f t="shared" si="292"/>
        <v>0</v>
      </c>
      <c r="Q227" s="320">
        <f t="shared" si="293"/>
        <v>0</v>
      </c>
      <c r="R227" s="320">
        <f t="shared" si="294"/>
        <v>0</v>
      </c>
      <c r="S227" s="321">
        <f t="shared" si="295"/>
        <v>600000</v>
      </c>
      <c r="U227" s="934">
        <f t="shared" si="296"/>
        <v>330000</v>
      </c>
      <c r="V227" s="934">
        <f t="shared" si="297"/>
        <v>660000</v>
      </c>
    </row>
    <row r="228" spans="1:24" ht="12.75" customHeight="1" outlineLevel="1">
      <c r="A228" s="123">
        <v>27.06</v>
      </c>
      <c r="B228" s="12" t="s">
        <v>28</v>
      </c>
      <c r="C228" s="715" t="s">
        <v>1895</v>
      </c>
      <c r="D228" s="443" t="s">
        <v>72</v>
      </c>
      <c r="E228" s="483">
        <v>1</v>
      </c>
      <c r="F228" s="439">
        <v>700000</v>
      </c>
      <c r="G228" s="338"/>
      <c r="H228" s="258">
        <f t="shared" si="287"/>
        <v>700000</v>
      </c>
      <c r="I228" s="253"/>
      <c r="J228" s="253"/>
      <c r="K228" s="258">
        <f t="shared" si="288"/>
        <v>0</v>
      </c>
      <c r="L228" s="259"/>
      <c r="M228" s="258">
        <f t="shared" si="289"/>
        <v>700000</v>
      </c>
      <c r="N228" s="320">
        <f t="shared" si="290"/>
        <v>700000</v>
      </c>
      <c r="O228" s="320">
        <f t="shared" si="291"/>
        <v>0</v>
      </c>
      <c r="P228" s="320">
        <f t="shared" si="292"/>
        <v>0</v>
      </c>
      <c r="Q228" s="320">
        <f t="shared" si="293"/>
        <v>0</v>
      </c>
      <c r="R228" s="320">
        <f t="shared" si="294"/>
        <v>0</v>
      </c>
      <c r="S228" s="321">
        <f t="shared" si="295"/>
        <v>700000</v>
      </c>
      <c r="U228" s="934">
        <f t="shared" si="296"/>
        <v>770000</v>
      </c>
      <c r="V228" s="934">
        <f t="shared" si="297"/>
        <v>770000</v>
      </c>
    </row>
    <row r="229" spans="1:24" ht="12.75" customHeight="1" outlineLevel="1">
      <c r="A229" s="123">
        <v>27.07</v>
      </c>
      <c r="B229" s="403" t="s">
        <v>28</v>
      </c>
      <c r="C229" s="716" t="s">
        <v>1896</v>
      </c>
      <c r="D229" s="554" t="s">
        <v>59</v>
      </c>
      <c r="E229" s="529">
        <v>3</v>
      </c>
      <c r="F229" s="746">
        <v>65000</v>
      </c>
      <c r="G229" s="340"/>
      <c r="H229" s="266">
        <f t="shared" si="287"/>
        <v>65000</v>
      </c>
      <c r="I229" s="398"/>
      <c r="J229" s="398"/>
      <c r="K229" s="266">
        <f t="shared" si="288"/>
        <v>0</v>
      </c>
      <c r="L229" s="255"/>
      <c r="M229" s="266">
        <f t="shared" si="289"/>
        <v>65000</v>
      </c>
      <c r="N229" s="324">
        <f t="shared" si="290"/>
        <v>195000</v>
      </c>
      <c r="O229" s="324">
        <f t="shared" si="291"/>
        <v>0</v>
      </c>
      <c r="P229" s="324">
        <f t="shared" si="292"/>
        <v>0</v>
      </c>
      <c r="Q229" s="324">
        <f t="shared" si="293"/>
        <v>0</v>
      </c>
      <c r="R229" s="324">
        <f t="shared" si="294"/>
        <v>0</v>
      </c>
      <c r="S229" s="325">
        <f t="shared" si="295"/>
        <v>195000</v>
      </c>
      <c r="U229" s="934">
        <f t="shared" si="296"/>
        <v>71500</v>
      </c>
      <c r="V229" s="934">
        <f t="shared" si="297"/>
        <v>214500</v>
      </c>
    </row>
    <row r="230" spans="1:24" ht="12.75" customHeight="1">
      <c r="A230" s="743">
        <v>28</v>
      </c>
      <c r="B230" s="575"/>
      <c r="C230" s="691" t="s">
        <v>136</v>
      </c>
      <c r="D230" s="227"/>
      <c r="E230" s="228"/>
      <c r="F230" s="228"/>
      <c r="G230" s="228"/>
      <c r="H230" s="228"/>
      <c r="I230" s="228"/>
      <c r="J230" s="228"/>
      <c r="K230" s="228"/>
      <c r="L230" s="228"/>
      <c r="M230" s="256"/>
      <c r="N230" s="228"/>
      <c r="O230" s="228"/>
      <c r="P230" s="228"/>
      <c r="Q230" s="228"/>
      <c r="R230" s="228"/>
      <c r="S230" s="228"/>
      <c r="T230" s="335">
        <f>SUM(S231:S238)</f>
        <v>3263367.0680649416</v>
      </c>
      <c r="U230" s="228"/>
      <c r="V230" s="228"/>
      <c r="W230" s="944">
        <f>SUM(V231:V238)</f>
        <v>3589715</v>
      </c>
      <c r="X230" s="80" t="e">
        <f>+W230/$W$255</f>
        <v>#REF!</v>
      </c>
    </row>
    <row r="231" spans="1:24" ht="12.75" customHeight="1" outlineLevel="1">
      <c r="A231" s="193">
        <v>28.01</v>
      </c>
      <c r="B231" s="193" t="s">
        <v>28</v>
      </c>
      <c r="C231" s="709" t="s">
        <v>174</v>
      </c>
      <c r="D231" s="553" t="s">
        <v>72</v>
      </c>
      <c r="E231" s="482">
        <v>4</v>
      </c>
      <c r="F231" s="745">
        <f>VLOOKUP(C231,Cotizaciones!B:D,3,0)</f>
        <v>51214.71480285687</v>
      </c>
      <c r="G231" s="239"/>
      <c r="H231" s="257">
        <f>F231+G231</f>
        <v>51214.71480285687</v>
      </c>
      <c r="I231" s="273"/>
      <c r="J231" s="273"/>
      <c r="K231" s="257">
        <f t="shared" ref="K231:K238" si="298">I231+J231</f>
        <v>0</v>
      </c>
      <c r="L231" s="254"/>
      <c r="M231" s="257">
        <f t="shared" ref="M231:M238" si="299">H231+K231+L231</f>
        <v>51214.71480285687</v>
      </c>
      <c r="N231" s="318">
        <f t="shared" ref="N231:N238" si="300">F231*E231</f>
        <v>204858.85921142748</v>
      </c>
      <c r="O231" s="318">
        <f t="shared" ref="O231:O238" si="301">G231*E231</f>
        <v>0</v>
      </c>
      <c r="P231" s="318">
        <f t="shared" ref="P231:P238" si="302">I231*E231</f>
        <v>0</v>
      </c>
      <c r="Q231" s="318">
        <f t="shared" ref="Q231:Q238" si="303">J231*E231</f>
        <v>0</v>
      </c>
      <c r="R231" s="318">
        <f t="shared" ref="R231:R238" si="304">+L231*E231</f>
        <v>0</v>
      </c>
      <c r="S231" s="319">
        <f t="shared" ref="S231:S238" si="305">SUM(N231:R231)</f>
        <v>204858.85921142748</v>
      </c>
      <c r="T231" s="336"/>
      <c r="U231" s="933">
        <f t="shared" ref="U231:U238" si="306">+ROUNDUP(M231*$T$6,0)</f>
        <v>56337</v>
      </c>
      <c r="V231" s="933">
        <f t="shared" ref="V231:V238" si="307">+U231*E231</f>
        <v>225348</v>
      </c>
    </row>
    <row r="232" spans="1:24" ht="13" outlineLevel="1">
      <c r="A232" s="12">
        <v>28.02</v>
      </c>
      <c r="B232" s="12" t="s">
        <v>28</v>
      </c>
      <c r="C232" s="1233" t="s">
        <v>1536</v>
      </c>
      <c r="D232" s="443" t="s">
        <v>72</v>
      </c>
      <c r="E232" s="483">
        <v>4</v>
      </c>
      <c r="F232" s="439">
        <f>VLOOKUP(C232,Cotizaciones!B:D,3,0)</f>
        <v>56938.71233964675</v>
      </c>
      <c r="G232" s="338"/>
      <c r="H232" s="258">
        <f t="shared" ref="H232:H238" si="308">F232+G232</f>
        <v>56938.71233964675</v>
      </c>
      <c r="I232" s="253"/>
      <c r="J232" s="253"/>
      <c r="K232" s="258">
        <f t="shared" si="298"/>
        <v>0</v>
      </c>
      <c r="L232" s="259"/>
      <c r="M232" s="258">
        <f t="shared" si="299"/>
        <v>56938.71233964675</v>
      </c>
      <c r="N232" s="320">
        <f t="shared" si="300"/>
        <v>227754.849358587</v>
      </c>
      <c r="O232" s="320">
        <f t="shared" si="301"/>
        <v>0</v>
      </c>
      <c r="P232" s="320">
        <f t="shared" si="302"/>
        <v>0</v>
      </c>
      <c r="Q232" s="320">
        <f t="shared" si="303"/>
        <v>0</v>
      </c>
      <c r="R232" s="320">
        <f t="shared" si="304"/>
        <v>0</v>
      </c>
      <c r="S232" s="321">
        <f t="shared" si="305"/>
        <v>227754.849358587</v>
      </c>
      <c r="T232" s="337"/>
      <c r="U232" s="934">
        <f t="shared" si="306"/>
        <v>62633</v>
      </c>
      <c r="V232" s="934">
        <f t="shared" si="307"/>
        <v>250532</v>
      </c>
    </row>
    <row r="233" spans="1:24" ht="12.75" customHeight="1" outlineLevel="1">
      <c r="A233" s="12">
        <v>28.03</v>
      </c>
      <c r="B233" s="12" t="s">
        <v>28</v>
      </c>
      <c r="C233" s="715" t="s">
        <v>175</v>
      </c>
      <c r="D233" s="443" t="s">
        <v>72</v>
      </c>
      <c r="E233" s="483">
        <v>4</v>
      </c>
      <c r="F233" s="439">
        <f>VLOOKUP(C233,Cotizaciones!B:D,3,0)</f>
        <v>286985.31259172293</v>
      </c>
      <c r="G233" s="338"/>
      <c r="H233" s="258">
        <f t="shared" si="308"/>
        <v>286985.31259172293</v>
      </c>
      <c r="I233" s="253"/>
      <c r="J233" s="253"/>
      <c r="K233" s="258">
        <f t="shared" si="298"/>
        <v>0</v>
      </c>
      <c r="L233" s="259"/>
      <c r="M233" s="258">
        <f t="shared" si="299"/>
        <v>286985.31259172293</v>
      </c>
      <c r="N233" s="320">
        <f t="shared" si="300"/>
        <v>1147941.2503668917</v>
      </c>
      <c r="O233" s="320">
        <f t="shared" si="301"/>
        <v>0</v>
      </c>
      <c r="P233" s="320">
        <f t="shared" si="302"/>
        <v>0</v>
      </c>
      <c r="Q233" s="320">
        <f t="shared" si="303"/>
        <v>0</v>
      </c>
      <c r="R233" s="320">
        <f t="shared" si="304"/>
        <v>0</v>
      </c>
      <c r="S233" s="321">
        <f t="shared" si="305"/>
        <v>1147941.2503668917</v>
      </c>
      <c r="T233" s="337"/>
      <c r="U233" s="934">
        <f t="shared" si="306"/>
        <v>315684</v>
      </c>
      <c r="V233" s="934">
        <f t="shared" si="307"/>
        <v>1262736</v>
      </c>
      <c r="X233" s="118"/>
    </row>
    <row r="234" spans="1:24" ht="12.75" customHeight="1" outlineLevel="1">
      <c r="A234" s="12">
        <v>28.04</v>
      </c>
      <c r="B234" s="12" t="s">
        <v>28</v>
      </c>
      <c r="C234" s="715" t="s">
        <v>176</v>
      </c>
      <c r="D234" s="443" t="s">
        <v>72</v>
      </c>
      <c r="E234" s="483">
        <v>4</v>
      </c>
      <c r="F234" s="439">
        <f>VLOOKUP(C234,Cotizaciones!B:D,3,0)</f>
        <v>47125.768554935923</v>
      </c>
      <c r="G234" s="338"/>
      <c r="H234" s="258">
        <f t="shared" si="308"/>
        <v>47125.768554935923</v>
      </c>
      <c r="I234" s="253"/>
      <c r="J234" s="253"/>
      <c r="K234" s="258">
        <f t="shared" si="298"/>
        <v>0</v>
      </c>
      <c r="L234" s="259"/>
      <c r="M234" s="258">
        <f t="shared" si="299"/>
        <v>47125.768554935923</v>
      </c>
      <c r="N234" s="320">
        <f t="shared" si="300"/>
        <v>188503.07421974369</v>
      </c>
      <c r="O234" s="320">
        <f t="shared" si="301"/>
        <v>0</v>
      </c>
      <c r="P234" s="320">
        <f t="shared" si="302"/>
        <v>0</v>
      </c>
      <c r="Q234" s="320">
        <f t="shared" si="303"/>
        <v>0</v>
      </c>
      <c r="R234" s="320">
        <f t="shared" si="304"/>
        <v>0</v>
      </c>
      <c r="S234" s="321">
        <f t="shared" si="305"/>
        <v>188503.07421974369</v>
      </c>
      <c r="T234" s="337"/>
      <c r="U234" s="934">
        <f t="shared" si="306"/>
        <v>51839</v>
      </c>
      <c r="V234" s="934">
        <f t="shared" si="307"/>
        <v>207356</v>
      </c>
    </row>
    <row r="235" spans="1:24" ht="12.75" customHeight="1" outlineLevel="1">
      <c r="A235" s="12">
        <v>28.05</v>
      </c>
      <c r="B235" s="12" t="s">
        <v>28</v>
      </c>
      <c r="C235" s="715" t="s">
        <v>177</v>
      </c>
      <c r="D235" s="443" t="s">
        <v>72</v>
      </c>
      <c r="E235" s="483">
        <v>1</v>
      </c>
      <c r="F235" s="439">
        <f>VLOOKUP(C235,Cotizaciones!B:D,3,0)</f>
        <v>137686.18800508758</v>
      </c>
      <c r="G235" s="338"/>
      <c r="H235" s="258">
        <f t="shared" si="308"/>
        <v>137686.18800508758</v>
      </c>
      <c r="I235" s="253"/>
      <c r="J235" s="253"/>
      <c r="K235" s="258">
        <f t="shared" si="298"/>
        <v>0</v>
      </c>
      <c r="L235" s="259"/>
      <c r="M235" s="258">
        <f t="shared" si="299"/>
        <v>137686.18800508758</v>
      </c>
      <c r="N235" s="320">
        <f t="shared" si="300"/>
        <v>137686.18800508758</v>
      </c>
      <c r="O235" s="320">
        <f t="shared" si="301"/>
        <v>0</v>
      </c>
      <c r="P235" s="320">
        <f t="shared" si="302"/>
        <v>0</v>
      </c>
      <c r="Q235" s="320">
        <f t="shared" si="303"/>
        <v>0</v>
      </c>
      <c r="R235" s="320">
        <f t="shared" si="304"/>
        <v>0</v>
      </c>
      <c r="S235" s="321">
        <f t="shared" si="305"/>
        <v>137686.18800508758</v>
      </c>
      <c r="T235" s="337"/>
      <c r="U235" s="934">
        <f t="shared" si="306"/>
        <v>151455</v>
      </c>
      <c r="V235" s="934">
        <f t="shared" si="307"/>
        <v>151455</v>
      </c>
    </row>
    <row r="236" spans="1:24" ht="13.9" customHeight="1" outlineLevel="1">
      <c r="A236" s="12">
        <v>28.06</v>
      </c>
      <c r="B236" s="12" t="s">
        <v>28</v>
      </c>
      <c r="C236" s="715" t="s">
        <v>1564</v>
      </c>
      <c r="D236" s="443" t="s">
        <v>72</v>
      </c>
      <c r="E236" s="483">
        <v>1</v>
      </c>
      <c r="F236" s="439">
        <f>VLOOKUP(C236,Cotizaciones!B:D,3,0)</f>
        <v>48000.991448977598</v>
      </c>
      <c r="G236" s="338"/>
      <c r="H236" s="258">
        <f t="shared" si="308"/>
        <v>48000.991448977598</v>
      </c>
      <c r="I236" s="253"/>
      <c r="J236" s="253"/>
      <c r="K236" s="258">
        <f t="shared" si="298"/>
        <v>0</v>
      </c>
      <c r="L236" s="259"/>
      <c r="M236" s="258">
        <f t="shared" si="299"/>
        <v>48000.991448977598</v>
      </c>
      <c r="N236" s="320">
        <f t="shared" si="300"/>
        <v>48000.991448977598</v>
      </c>
      <c r="O236" s="320">
        <f t="shared" si="301"/>
        <v>0</v>
      </c>
      <c r="P236" s="320">
        <f t="shared" si="302"/>
        <v>0</v>
      </c>
      <c r="Q236" s="320">
        <f t="shared" si="303"/>
        <v>0</v>
      </c>
      <c r="R236" s="320">
        <f t="shared" si="304"/>
        <v>0</v>
      </c>
      <c r="S236" s="321">
        <f t="shared" si="305"/>
        <v>48000.991448977598</v>
      </c>
      <c r="T236" s="337"/>
      <c r="U236" s="934">
        <f t="shared" si="306"/>
        <v>52802</v>
      </c>
      <c r="V236" s="934">
        <f t="shared" si="307"/>
        <v>52802</v>
      </c>
    </row>
    <row r="237" spans="1:24" ht="13.9" customHeight="1" outlineLevel="1">
      <c r="A237" s="12">
        <v>28.07</v>
      </c>
      <c r="B237" s="12" t="s">
        <v>28</v>
      </c>
      <c r="C237" s="715" t="s">
        <v>1715</v>
      </c>
      <c r="D237" s="443" t="s">
        <v>72</v>
      </c>
      <c r="E237" s="483">
        <v>7</v>
      </c>
      <c r="F237" s="439">
        <f>VLOOKUP(C237,Cotizaciones!B:D,3,0)</f>
        <v>63187.068936503281</v>
      </c>
      <c r="G237" s="338"/>
      <c r="H237" s="258">
        <f t="shared" si="308"/>
        <v>63187.068936503281</v>
      </c>
      <c r="I237" s="253"/>
      <c r="J237" s="253"/>
      <c r="K237" s="258">
        <f t="shared" si="298"/>
        <v>0</v>
      </c>
      <c r="L237" s="259"/>
      <c r="M237" s="258">
        <f t="shared" si="299"/>
        <v>63187.068936503281</v>
      </c>
      <c r="N237" s="320">
        <f t="shared" si="300"/>
        <v>442309.48255552299</v>
      </c>
      <c r="O237" s="320">
        <f t="shared" si="301"/>
        <v>0</v>
      </c>
      <c r="P237" s="320">
        <f t="shared" si="302"/>
        <v>0</v>
      </c>
      <c r="Q237" s="320">
        <f t="shared" si="303"/>
        <v>0</v>
      </c>
      <c r="R237" s="320">
        <f t="shared" si="304"/>
        <v>0</v>
      </c>
      <c r="S237" s="321">
        <f t="shared" si="305"/>
        <v>442309.48255552299</v>
      </c>
      <c r="T237" s="337"/>
      <c r="U237" s="934">
        <f t="shared" si="306"/>
        <v>69506</v>
      </c>
      <c r="V237" s="934">
        <f t="shared" si="307"/>
        <v>486542</v>
      </c>
    </row>
    <row r="238" spans="1:24" ht="39" outlineLevel="1">
      <c r="A238" s="12">
        <v>28.08</v>
      </c>
      <c r="B238" s="403" t="s">
        <v>28</v>
      </c>
      <c r="C238" s="1166" t="s">
        <v>1716</v>
      </c>
      <c r="D238" s="554" t="s">
        <v>72</v>
      </c>
      <c r="E238" s="529">
        <v>3</v>
      </c>
      <c r="F238" s="439">
        <f>VLOOKUP(C238,Cotizaciones!B:D,3,0)</f>
        <v>288770.79096623452</v>
      </c>
      <c r="G238" s="340"/>
      <c r="H238" s="266">
        <f t="shared" si="308"/>
        <v>288770.79096623452</v>
      </c>
      <c r="I238" s="398"/>
      <c r="J238" s="398"/>
      <c r="K238" s="266">
        <f t="shared" si="298"/>
        <v>0</v>
      </c>
      <c r="L238" s="255"/>
      <c r="M238" s="266">
        <f t="shared" si="299"/>
        <v>288770.79096623452</v>
      </c>
      <c r="N238" s="324">
        <f t="shared" si="300"/>
        <v>866312.37289870356</v>
      </c>
      <c r="O238" s="324">
        <f t="shared" si="301"/>
        <v>0</v>
      </c>
      <c r="P238" s="324">
        <f t="shared" si="302"/>
        <v>0</v>
      </c>
      <c r="Q238" s="324">
        <f t="shared" si="303"/>
        <v>0</v>
      </c>
      <c r="R238" s="324">
        <f t="shared" si="304"/>
        <v>0</v>
      </c>
      <c r="S238" s="325">
        <f t="shared" si="305"/>
        <v>866312.37289870356</v>
      </c>
      <c r="T238" s="339"/>
      <c r="U238" s="940">
        <f t="shared" si="306"/>
        <v>317648</v>
      </c>
      <c r="V238" s="940">
        <f t="shared" si="307"/>
        <v>952944</v>
      </c>
    </row>
    <row r="239" spans="1:24" ht="12.75" customHeight="1">
      <c r="A239" s="743">
        <v>29</v>
      </c>
      <c r="B239" s="575"/>
      <c r="C239" s="691" t="s">
        <v>1551</v>
      </c>
      <c r="D239" s="227"/>
      <c r="E239" s="228"/>
      <c r="F239" s="228"/>
      <c r="G239" s="228"/>
      <c r="H239" s="228"/>
      <c r="I239" s="228"/>
      <c r="J239" s="228"/>
      <c r="K239" s="228"/>
      <c r="L239" s="228"/>
      <c r="M239" s="256"/>
      <c r="N239" s="228"/>
      <c r="O239" s="228"/>
      <c r="P239" s="228"/>
      <c r="Q239" s="228"/>
      <c r="R239" s="228"/>
      <c r="S239" s="228"/>
      <c r="T239" s="335">
        <f>SUM(S240:S246)</f>
        <v>10641154.67966505</v>
      </c>
      <c r="U239" s="228"/>
      <c r="V239" s="228"/>
      <c r="W239" s="944">
        <f>SUM(V240:V246)</f>
        <v>11705273</v>
      </c>
      <c r="X239" s="80" t="e">
        <f>+W239/$W$255</f>
        <v>#REF!</v>
      </c>
    </row>
    <row r="240" spans="1:24" ht="12.75" customHeight="1" outlineLevel="1">
      <c r="A240" s="193">
        <v>29.01</v>
      </c>
      <c r="B240" s="193" t="s">
        <v>28</v>
      </c>
      <c r="C240" s="709" t="s">
        <v>1557</v>
      </c>
      <c r="D240" s="553" t="s">
        <v>72</v>
      </c>
      <c r="E240" s="482">
        <f>+CALEFA!D20</f>
        <v>1</v>
      </c>
      <c r="F240" s="745">
        <f>VLOOKUP(C240,Cotizaciones!B:D,3,0)</f>
        <v>285491.67201643682</v>
      </c>
      <c r="G240" s="239"/>
      <c r="H240" s="257">
        <f>F240+G240</f>
        <v>285491.67201643682</v>
      </c>
      <c r="I240" s="273"/>
      <c r="J240" s="273"/>
      <c r="K240" s="257">
        <f t="shared" ref="K240:K246" si="309">I240+J240</f>
        <v>0</v>
      </c>
      <c r="L240" s="254"/>
      <c r="M240" s="257">
        <f t="shared" ref="M240:M245" si="310">H240+K240+L240</f>
        <v>285491.67201643682</v>
      </c>
      <c r="N240" s="318">
        <f t="shared" ref="N240:N245" si="311">F240*E240</f>
        <v>285491.67201643682</v>
      </c>
      <c r="O240" s="318">
        <f t="shared" ref="O240:O245" si="312">G240*E240</f>
        <v>0</v>
      </c>
      <c r="P240" s="318">
        <f t="shared" ref="P240:P245" si="313">I240*E240</f>
        <v>0</v>
      </c>
      <c r="Q240" s="318">
        <f t="shared" ref="Q240:Q245" si="314">J240*E240</f>
        <v>0</v>
      </c>
      <c r="R240" s="318">
        <f t="shared" ref="R240:R245" si="315">+L240*E240</f>
        <v>0</v>
      </c>
      <c r="S240" s="319">
        <f t="shared" ref="S240:S245" si="316">SUM(N240:R240)</f>
        <v>285491.67201643682</v>
      </c>
      <c r="T240" s="336"/>
      <c r="U240" s="933">
        <f t="shared" ref="U240:U246" si="317">+ROUNDUP(M240*$T$6,0)</f>
        <v>314041</v>
      </c>
      <c r="V240" s="933">
        <f t="shared" ref="V240:V245" si="318">+U240*E240</f>
        <v>314041</v>
      </c>
    </row>
    <row r="241" spans="1:24" ht="13" outlineLevel="1">
      <c r="A241" s="12">
        <v>29.02</v>
      </c>
      <c r="B241" s="12" t="s">
        <v>28</v>
      </c>
      <c r="C241" s="710" t="s">
        <v>1558</v>
      </c>
      <c r="D241" s="443" t="s">
        <v>72</v>
      </c>
      <c r="E241" s="483">
        <f>+CALEFA!D21</f>
        <v>3</v>
      </c>
      <c r="F241" s="439">
        <f>VLOOKUP(C241,Cotizaciones!B:D,3,0)</f>
        <v>326160.39477108838</v>
      </c>
      <c r="G241" s="338"/>
      <c r="H241" s="258">
        <f t="shared" ref="H241:H246" si="319">F241+G241</f>
        <v>326160.39477108838</v>
      </c>
      <c r="I241" s="253"/>
      <c r="J241" s="253"/>
      <c r="K241" s="258">
        <f t="shared" si="309"/>
        <v>0</v>
      </c>
      <c r="L241" s="259"/>
      <c r="M241" s="258">
        <f t="shared" si="310"/>
        <v>326160.39477108838</v>
      </c>
      <c r="N241" s="320">
        <f t="shared" si="311"/>
        <v>978481.18431326514</v>
      </c>
      <c r="O241" s="320">
        <f t="shared" si="312"/>
        <v>0</v>
      </c>
      <c r="P241" s="320">
        <f t="shared" si="313"/>
        <v>0</v>
      </c>
      <c r="Q241" s="320">
        <f t="shared" si="314"/>
        <v>0</v>
      </c>
      <c r="R241" s="320">
        <f t="shared" si="315"/>
        <v>0</v>
      </c>
      <c r="S241" s="321">
        <f t="shared" si="316"/>
        <v>978481.18431326514</v>
      </c>
      <c r="T241" s="337"/>
      <c r="U241" s="934">
        <f t="shared" si="317"/>
        <v>358777</v>
      </c>
      <c r="V241" s="934">
        <f t="shared" si="318"/>
        <v>1076331</v>
      </c>
    </row>
    <row r="242" spans="1:24" ht="12.75" customHeight="1" outlineLevel="1">
      <c r="A242" s="12">
        <v>29.03</v>
      </c>
      <c r="B242" s="12" t="s">
        <v>28</v>
      </c>
      <c r="C242" s="715" t="s">
        <v>1559</v>
      </c>
      <c r="D242" s="443" t="s">
        <v>72</v>
      </c>
      <c r="E242" s="483">
        <f>+CALEFA!D22</f>
        <v>1</v>
      </c>
      <c r="F242" s="439">
        <f>VLOOKUP(C242,Cotizaciones!B:D,3,0)</f>
        <v>78983.161018664003</v>
      </c>
      <c r="G242" s="338"/>
      <c r="H242" s="258">
        <f t="shared" si="319"/>
        <v>78983.161018664003</v>
      </c>
      <c r="I242" s="253"/>
      <c r="J242" s="253"/>
      <c r="K242" s="258">
        <f t="shared" si="309"/>
        <v>0</v>
      </c>
      <c r="L242" s="259"/>
      <c r="M242" s="258">
        <f t="shared" si="310"/>
        <v>78983.161018664003</v>
      </c>
      <c r="N242" s="320">
        <f t="shared" si="311"/>
        <v>78983.161018664003</v>
      </c>
      <c r="O242" s="320">
        <f t="shared" si="312"/>
        <v>0</v>
      </c>
      <c r="P242" s="320">
        <f t="shared" si="313"/>
        <v>0</v>
      </c>
      <c r="Q242" s="320">
        <f t="shared" si="314"/>
        <v>0</v>
      </c>
      <c r="R242" s="320">
        <f t="shared" si="315"/>
        <v>0</v>
      </c>
      <c r="S242" s="321">
        <f t="shared" si="316"/>
        <v>78983.161018664003</v>
      </c>
      <c r="T242" s="337"/>
      <c r="U242" s="934">
        <f t="shared" si="317"/>
        <v>86882</v>
      </c>
      <c r="V242" s="934">
        <f t="shared" si="318"/>
        <v>86882</v>
      </c>
      <c r="X242" s="118"/>
    </row>
    <row r="243" spans="1:24" ht="12.75" customHeight="1" outlineLevel="1">
      <c r="A243" s="12">
        <v>29.04</v>
      </c>
      <c r="B243" s="12" t="s">
        <v>28</v>
      </c>
      <c r="C243" s="715" t="s">
        <v>1560</v>
      </c>
      <c r="D243" s="443" t="s">
        <v>72</v>
      </c>
      <c r="E243" s="483">
        <f>+CALEFA!D23</f>
        <v>3</v>
      </c>
      <c r="F243" s="439">
        <f>VLOOKUP(C243,Cotizaciones!B:D,3,0)</f>
        <v>100197.17816030435</v>
      </c>
      <c r="G243" s="338"/>
      <c r="H243" s="258">
        <f t="shared" si="319"/>
        <v>100197.17816030435</v>
      </c>
      <c r="I243" s="253"/>
      <c r="J243" s="253"/>
      <c r="K243" s="258">
        <f t="shared" si="309"/>
        <v>0</v>
      </c>
      <c r="L243" s="259"/>
      <c r="M243" s="258">
        <f t="shared" si="310"/>
        <v>100197.17816030435</v>
      </c>
      <c r="N243" s="320">
        <f t="shared" si="311"/>
        <v>300591.53448091308</v>
      </c>
      <c r="O243" s="320">
        <f t="shared" si="312"/>
        <v>0</v>
      </c>
      <c r="P243" s="320">
        <f t="shared" si="313"/>
        <v>0</v>
      </c>
      <c r="Q243" s="320">
        <f t="shared" si="314"/>
        <v>0</v>
      </c>
      <c r="R243" s="320">
        <f t="shared" si="315"/>
        <v>0</v>
      </c>
      <c r="S243" s="321">
        <f t="shared" si="316"/>
        <v>300591.53448091308</v>
      </c>
      <c r="T243" s="337"/>
      <c r="U243" s="934">
        <f t="shared" si="317"/>
        <v>110217</v>
      </c>
      <c r="V243" s="934">
        <f t="shared" si="318"/>
        <v>330651</v>
      </c>
    </row>
    <row r="244" spans="1:24" ht="12.75" customHeight="1" outlineLevel="1">
      <c r="A244" s="12">
        <v>29.05</v>
      </c>
      <c r="B244" s="12" t="s">
        <v>28</v>
      </c>
      <c r="C244" s="715" t="s">
        <v>1561</v>
      </c>
      <c r="D244" s="443" t="s">
        <v>72</v>
      </c>
      <c r="E244" s="483">
        <v>4</v>
      </c>
      <c r="F244" s="439">
        <f>VLOOKUP(C244,Cotizaciones!B:D,3,0)</f>
        <v>30601.781958942662</v>
      </c>
      <c r="G244" s="338"/>
      <c r="H244" s="258">
        <f t="shared" si="319"/>
        <v>30601.781958942662</v>
      </c>
      <c r="I244" s="253"/>
      <c r="J244" s="253"/>
      <c r="K244" s="258">
        <f t="shared" si="309"/>
        <v>0</v>
      </c>
      <c r="L244" s="259"/>
      <c r="M244" s="258">
        <f t="shared" si="310"/>
        <v>30601.781958942662</v>
      </c>
      <c r="N244" s="320">
        <f t="shared" si="311"/>
        <v>122407.12783577065</v>
      </c>
      <c r="O244" s="320">
        <f t="shared" si="312"/>
        <v>0</v>
      </c>
      <c r="P244" s="320">
        <f t="shared" si="313"/>
        <v>0</v>
      </c>
      <c r="Q244" s="320">
        <f t="shared" si="314"/>
        <v>0</v>
      </c>
      <c r="R244" s="320">
        <f t="shared" si="315"/>
        <v>0</v>
      </c>
      <c r="S244" s="321">
        <f t="shared" si="316"/>
        <v>122407.12783577065</v>
      </c>
      <c r="T244" s="337"/>
      <c r="U244" s="934">
        <f t="shared" si="317"/>
        <v>33662</v>
      </c>
      <c r="V244" s="934">
        <f t="shared" si="318"/>
        <v>134648</v>
      </c>
    </row>
    <row r="245" spans="1:24" ht="13.9" customHeight="1" outlineLevel="1">
      <c r="A245" s="12">
        <v>29.06</v>
      </c>
      <c r="B245" s="12" t="s">
        <v>28</v>
      </c>
      <c r="C245" s="715" t="s">
        <v>1563</v>
      </c>
      <c r="D245" s="443" t="s">
        <v>72</v>
      </c>
      <c r="E245" s="483">
        <v>4</v>
      </c>
      <c r="F245" s="439">
        <f>VLOOKUP(C245,Cotizaciones!B:D,3,0)</f>
        <v>2020800</v>
      </c>
      <c r="G245" s="338"/>
      <c r="H245" s="258">
        <f t="shared" si="319"/>
        <v>2020800</v>
      </c>
      <c r="I245" s="253"/>
      <c r="J245" s="253"/>
      <c r="K245" s="258">
        <f t="shared" si="309"/>
        <v>0</v>
      </c>
      <c r="L245" s="259"/>
      <c r="M245" s="258">
        <f t="shared" si="310"/>
        <v>2020800</v>
      </c>
      <c r="N245" s="320">
        <f t="shared" si="311"/>
        <v>8083200</v>
      </c>
      <c r="O245" s="320">
        <f t="shared" si="312"/>
        <v>0</v>
      </c>
      <c r="P245" s="320">
        <f t="shared" si="313"/>
        <v>0</v>
      </c>
      <c r="Q245" s="320">
        <f t="shared" si="314"/>
        <v>0</v>
      </c>
      <c r="R245" s="320">
        <f t="shared" si="315"/>
        <v>0</v>
      </c>
      <c r="S245" s="321">
        <f t="shared" si="316"/>
        <v>8083200</v>
      </c>
      <c r="T245" s="337"/>
      <c r="U245" s="934">
        <f t="shared" si="317"/>
        <v>2222880</v>
      </c>
      <c r="V245" s="934">
        <f t="shared" si="318"/>
        <v>8891520</v>
      </c>
    </row>
    <row r="246" spans="1:24" ht="13.9" customHeight="1" outlineLevel="1">
      <c r="A246" s="12">
        <v>29.07</v>
      </c>
      <c r="B246" s="927" t="s">
        <v>28</v>
      </c>
      <c r="C246" s="883" t="s">
        <v>1562</v>
      </c>
      <c r="D246" s="554" t="s">
        <v>72</v>
      </c>
      <c r="E246" s="529">
        <v>12</v>
      </c>
      <c r="F246" s="746">
        <f>VLOOKUP(C246,Cotizaciones!B:D,3,0)</f>
        <v>66000</v>
      </c>
      <c r="G246" s="340"/>
      <c r="H246" s="266">
        <f t="shared" si="319"/>
        <v>66000</v>
      </c>
      <c r="I246" s="398"/>
      <c r="J246" s="398"/>
      <c r="K246" s="266">
        <f t="shared" si="309"/>
        <v>0</v>
      </c>
      <c r="L246" s="255"/>
      <c r="M246" s="266">
        <f>H246+K246+L246</f>
        <v>66000</v>
      </c>
      <c r="N246" s="324">
        <f>F246*E246</f>
        <v>792000</v>
      </c>
      <c r="O246" s="324">
        <f>G246*E246</f>
        <v>0</v>
      </c>
      <c r="P246" s="324">
        <f>I246*E246</f>
        <v>0</v>
      </c>
      <c r="Q246" s="324">
        <f>J246*E246</f>
        <v>0</v>
      </c>
      <c r="R246" s="324">
        <f>+L246*E246</f>
        <v>0</v>
      </c>
      <c r="S246" s="325">
        <f>SUM(N246:R246)</f>
        <v>792000</v>
      </c>
      <c r="T246" s="339"/>
      <c r="U246" s="940">
        <f t="shared" si="317"/>
        <v>72600</v>
      </c>
      <c r="V246" s="940">
        <f>+U246*E246</f>
        <v>871200</v>
      </c>
    </row>
    <row r="247" spans="1:24" ht="13.9" customHeight="1">
      <c r="A247" s="535">
        <v>30</v>
      </c>
      <c r="B247" s="575"/>
      <c r="C247" s="691" t="s">
        <v>1720</v>
      </c>
      <c r="D247" s="227"/>
      <c r="E247" s="228"/>
      <c r="F247" s="951"/>
      <c r="G247" s="566"/>
      <c r="H247" s="228"/>
      <c r="I247" s="567"/>
      <c r="J247" s="567"/>
      <c r="K247" s="228"/>
      <c r="L247" s="952"/>
      <c r="M247" s="228"/>
      <c r="N247" s="228"/>
      <c r="O247" s="228"/>
      <c r="P247" s="228"/>
      <c r="Q247" s="228"/>
      <c r="R247" s="228"/>
      <c r="S247" s="228"/>
      <c r="T247" s="335" t="e">
        <f>SUM(S248:S254)</f>
        <v>#REF!</v>
      </c>
      <c r="U247" s="953"/>
      <c r="V247" s="953"/>
      <c r="W247" s="944" t="e">
        <f>SUM(V248:V254)</f>
        <v>#REF!</v>
      </c>
      <c r="X247" s="80" t="e">
        <f>+W247/$W$255</f>
        <v>#REF!</v>
      </c>
    </row>
    <row r="248" spans="1:24" ht="13.9" customHeight="1" outlineLevel="1">
      <c r="A248" s="196">
        <v>30.01</v>
      </c>
      <c r="B248" s="196" t="s">
        <v>28</v>
      </c>
      <c r="C248" s="702" t="s">
        <v>1722</v>
      </c>
      <c r="D248" s="189" t="s">
        <v>72</v>
      </c>
      <c r="E248" s="190" t="e">
        <f>+#REF!</f>
        <v>#REF!</v>
      </c>
      <c r="F248" s="745">
        <f>+ELECT!H138</f>
        <v>5892.0807877668249</v>
      </c>
      <c r="G248" s="571"/>
      <c r="H248" s="257">
        <f t="shared" ref="H248:H254" si="320">F248+G248</f>
        <v>5892.0807877668249</v>
      </c>
      <c r="I248" s="191"/>
      <c r="J248" s="191"/>
      <c r="K248" s="257">
        <f t="shared" ref="K248:K254" si="321">I248+J248</f>
        <v>0</v>
      </c>
      <c r="L248" s="254"/>
      <c r="M248" s="257">
        <f t="shared" ref="M248:M254" si="322">H248+K248+L248</f>
        <v>5892.0807877668249</v>
      </c>
      <c r="N248" s="318" t="e">
        <f t="shared" ref="N248:N254" si="323">F248*E248</f>
        <v>#REF!</v>
      </c>
      <c r="O248" s="318" t="e">
        <f t="shared" ref="O248:O254" si="324">G248*E248</f>
        <v>#REF!</v>
      </c>
      <c r="P248" s="318" t="e">
        <f t="shared" ref="P248:P254" si="325">I248*E248</f>
        <v>#REF!</v>
      </c>
      <c r="Q248" s="318" t="e">
        <f t="shared" ref="Q248:Q254" si="326">J248*E248</f>
        <v>#REF!</v>
      </c>
      <c r="R248" s="318" t="e">
        <f t="shared" ref="R248:R254" si="327">+L248*E248</f>
        <v>#REF!</v>
      </c>
      <c r="S248" s="319" t="e">
        <f t="shared" ref="S248:S254" si="328">SUM(N248:R248)</f>
        <v>#REF!</v>
      </c>
      <c r="T248" s="336"/>
      <c r="U248" s="933">
        <f t="shared" ref="U248:U254" si="329">+ROUNDUP(M248*$T$6,0)</f>
        <v>6482</v>
      </c>
      <c r="V248" s="933" t="e">
        <f t="shared" ref="V248:V254" si="330">+U248*E248</f>
        <v>#REF!</v>
      </c>
      <c r="W248" s="307"/>
    </row>
    <row r="249" spans="1:24" ht="13.9" customHeight="1" outlineLevel="1">
      <c r="A249" s="123">
        <v>30.02</v>
      </c>
      <c r="B249" s="123" t="s">
        <v>28</v>
      </c>
      <c r="C249" s="700" t="s">
        <v>1726</v>
      </c>
      <c r="D249" s="114" t="s">
        <v>72</v>
      </c>
      <c r="E249" s="115" t="e">
        <f>+#REF!</f>
        <v>#REF!</v>
      </c>
      <c r="F249" s="439">
        <f>+ELECT!H143</f>
        <v>1885.5105394124798</v>
      </c>
      <c r="G249" s="572"/>
      <c r="H249" s="258">
        <f>F249+G249</f>
        <v>1885.5105394124798</v>
      </c>
      <c r="I249" s="101"/>
      <c r="J249" s="101"/>
      <c r="K249" s="258">
        <f>I249+J249</f>
        <v>0</v>
      </c>
      <c r="L249" s="259"/>
      <c r="M249" s="258">
        <f>H249+K249+L249</f>
        <v>1885.5105394124798</v>
      </c>
      <c r="N249" s="320" t="e">
        <f>F249*E249</f>
        <v>#REF!</v>
      </c>
      <c r="O249" s="320" t="e">
        <f>G249*E249</f>
        <v>#REF!</v>
      </c>
      <c r="P249" s="320" t="e">
        <f>I249*E249</f>
        <v>#REF!</v>
      </c>
      <c r="Q249" s="320" t="e">
        <f>J249*E249</f>
        <v>#REF!</v>
      </c>
      <c r="R249" s="320" t="e">
        <f>+L249*E249</f>
        <v>#REF!</v>
      </c>
      <c r="S249" s="321" t="e">
        <f>SUM(N249:R249)</f>
        <v>#REF!</v>
      </c>
      <c r="T249" s="337"/>
      <c r="U249" s="934">
        <f>+ROUNDUP(M249*$T$6,0)</f>
        <v>2075</v>
      </c>
      <c r="V249" s="934" t="e">
        <f>+U249*E249</f>
        <v>#REF!</v>
      </c>
      <c r="W249" s="307"/>
    </row>
    <row r="250" spans="1:24" ht="26" outlineLevel="1">
      <c r="A250" s="123">
        <v>30.03</v>
      </c>
      <c r="B250" s="123" t="s">
        <v>28</v>
      </c>
      <c r="C250" s="700" t="s">
        <v>1723</v>
      </c>
      <c r="D250" s="114" t="s">
        <v>72</v>
      </c>
      <c r="E250" s="115" t="e">
        <f>+#REF!</f>
        <v>#REF!</v>
      </c>
      <c r="F250" s="439">
        <f>+ELECT!H148</f>
        <v>3839.5345202802223</v>
      </c>
      <c r="G250" s="572"/>
      <c r="H250" s="258">
        <f t="shared" si="320"/>
        <v>3839.5345202802223</v>
      </c>
      <c r="I250" s="101"/>
      <c r="J250" s="101"/>
      <c r="K250" s="258">
        <f t="shared" si="321"/>
        <v>0</v>
      </c>
      <c r="L250" s="259"/>
      <c r="M250" s="258">
        <f t="shared" si="322"/>
        <v>3839.5345202802223</v>
      </c>
      <c r="N250" s="320" t="e">
        <f t="shared" si="323"/>
        <v>#REF!</v>
      </c>
      <c r="O250" s="320" t="e">
        <f t="shared" si="324"/>
        <v>#REF!</v>
      </c>
      <c r="P250" s="320" t="e">
        <f t="shared" si="325"/>
        <v>#REF!</v>
      </c>
      <c r="Q250" s="320" t="e">
        <f t="shared" si="326"/>
        <v>#REF!</v>
      </c>
      <c r="R250" s="320" t="e">
        <f t="shared" si="327"/>
        <v>#REF!</v>
      </c>
      <c r="S250" s="321" t="e">
        <f t="shared" si="328"/>
        <v>#REF!</v>
      </c>
      <c r="T250" s="337"/>
      <c r="U250" s="934">
        <f t="shared" si="329"/>
        <v>4224</v>
      </c>
      <c r="V250" s="934" t="e">
        <f t="shared" si="330"/>
        <v>#REF!</v>
      </c>
      <c r="W250" s="307"/>
    </row>
    <row r="251" spans="1:24" ht="26" outlineLevel="1">
      <c r="A251" s="123">
        <v>30.04</v>
      </c>
      <c r="B251" s="123" t="s">
        <v>28</v>
      </c>
      <c r="C251" s="700" t="s">
        <v>1724</v>
      </c>
      <c r="D251" s="114" t="s">
        <v>72</v>
      </c>
      <c r="E251" s="115" t="e">
        <f>+#REF!</f>
        <v>#REF!</v>
      </c>
      <c r="F251" s="439">
        <f>+ELECT!H153</f>
        <v>6314.6459338307413</v>
      </c>
      <c r="G251" s="572"/>
      <c r="H251" s="258">
        <f t="shared" si="320"/>
        <v>6314.6459338307413</v>
      </c>
      <c r="I251" s="101"/>
      <c r="J251" s="101"/>
      <c r="K251" s="258">
        <f t="shared" si="321"/>
        <v>0</v>
      </c>
      <c r="L251" s="259"/>
      <c r="M251" s="258">
        <f t="shared" si="322"/>
        <v>6314.6459338307413</v>
      </c>
      <c r="N251" s="320" t="e">
        <f t="shared" si="323"/>
        <v>#REF!</v>
      </c>
      <c r="O251" s="320" t="e">
        <f t="shared" si="324"/>
        <v>#REF!</v>
      </c>
      <c r="P251" s="320" t="e">
        <f t="shared" si="325"/>
        <v>#REF!</v>
      </c>
      <c r="Q251" s="320" t="e">
        <f t="shared" si="326"/>
        <v>#REF!</v>
      </c>
      <c r="R251" s="320" t="e">
        <f t="shared" si="327"/>
        <v>#REF!</v>
      </c>
      <c r="S251" s="321" t="e">
        <f t="shared" si="328"/>
        <v>#REF!</v>
      </c>
      <c r="T251" s="337"/>
      <c r="U251" s="934">
        <f t="shared" si="329"/>
        <v>6947</v>
      </c>
      <c r="V251" s="934" t="e">
        <f t="shared" si="330"/>
        <v>#REF!</v>
      </c>
      <c r="W251" s="307"/>
    </row>
    <row r="252" spans="1:24" ht="26" outlineLevel="1">
      <c r="A252" s="123">
        <v>30.05</v>
      </c>
      <c r="B252" s="540" t="s">
        <v>28</v>
      </c>
      <c r="C252" s="700" t="s">
        <v>1728</v>
      </c>
      <c r="D252" s="573" t="s">
        <v>72</v>
      </c>
      <c r="E252" s="416" t="e">
        <f>+#REF!</f>
        <v>#REF!</v>
      </c>
      <c r="F252" s="950">
        <f>+ELECT!H159</f>
        <v>4996.5593136686521</v>
      </c>
      <c r="G252" s="574"/>
      <c r="H252" s="258">
        <f>F252+G252</f>
        <v>4996.5593136686521</v>
      </c>
      <c r="I252" s="101"/>
      <c r="J252" s="101"/>
      <c r="K252" s="258">
        <f>I252+J252</f>
        <v>0</v>
      </c>
      <c r="L252" s="259"/>
      <c r="M252" s="258">
        <f>H252+K252+L252</f>
        <v>4996.5593136686521</v>
      </c>
      <c r="N252" s="320" t="e">
        <f>F252*E252</f>
        <v>#REF!</v>
      </c>
      <c r="O252" s="320" t="e">
        <f>G252*E252</f>
        <v>#REF!</v>
      </c>
      <c r="P252" s="320" t="e">
        <f>I252*E252</f>
        <v>#REF!</v>
      </c>
      <c r="Q252" s="320" t="e">
        <f>J252*E252</f>
        <v>#REF!</v>
      </c>
      <c r="R252" s="320" t="e">
        <f>+L252*E252</f>
        <v>#REF!</v>
      </c>
      <c r="S252" s="321" t="e">
        <f>SUM(N252:R252)</f>
        <v>#REF!</v>
      </c>
      <c r="T252" s="337"/>
      <c r="U252" s="934">
        <f>+ROUNDUP(M252*$T$6,0)</f>
        <v>5497</v>
      </c>
      <c r="V252" s="934" t="e">
        <f>+U252*E252</f>
        <v>#REF!</v>
      </c>
      <c r="W252" s="307"/>
    </row>
    <row r="253" spans="1:24" ht="39" outlineLevel="1">
      <c r="A253" s="123">
        <v>30.06</v>
      </c>
      <c r="B253" s="540" t="s">
        <v>28</v>
      </c>
      <c r="C253" s="700" t="s">
        <v>1727</v>
      </c>
      <c r="D253" s="573" t="s">
        <v>72</v>
      </c>
      <c r="E253" s="416" t="e">
        <f>+#REF!</f>
        <v>#REF!</v>
      </c>
      <c r="F253" s="950">
        <f>+ELECT!H153</f>
        <v>6314.6459338307413</v>
      </c>
      <c r="G253" s="1228">
        <f>+F253</f>
        <v>6314.6459338307413</v>
      </c>
      <c r="H253" s="258">
        <f>F253+G253</f>
        <v>12629.291867661483</v>
      </c>
      <c r="I253" s="101"/>
      <c r="J253" s="101"/>
      <c r="K253" s="258">
        <f>I253+J253</f>
        <v>0</v>
      </c>
      <c r="L253" s="259"/>
      <c r="M253" s="258">
        <f>H253+K253+L253</f>
        <v>12629.291867661483</v>
      </c>
      <c r="N253" s="320" t="e">
        <f>F253*E253</f>
        <v>#REF!</v>
      </c>
      <c r="O253" s="320" t="e">
        <f>G253*E253</f>
        <v>#REF!</v>
      </c>
      <c r="P253" s="320" t="e">
        <f>I253*E253</f>
        <v>#REF!</v>
      </c>
      <c r="Q253" s="320" t="e">
        <f>J253*E253</f>
        <v>#REF!</v>
      </c>
      <c r="R253" s="320" t="e">
        <f>+L253*E253</f>
        <v>#REF!</v>
      </c>
      <c r="S253" s="321" t="e">
        <f>SUM(N253:R253)</f>
        <v>#REF!</v>
      </c>
      <c r="T253" s="337"/>
      <c r="U253" s="934">
        <f>+ROUNDUP(M253*$T$6,0)</f>
        <v>13893</v>
      </c>
      <c r="V253" s="934" t="e">
        <f>+U253*E253</f>
        <v>#REF!</v>
      </c>
      <c r="W253" s="307"/>
    </row>
    <row r="254" spans="1:24" ht="39" outlineLevel="1">
      <c r="A254" s="123">
        <v>30.07</v>
      </c>
      <c r="B254" s="178" t="s">
        <v>28</v>
      </c>
      <c r="C254" s="747" t="s">
        <v>1725</v>
      </c>
      <c r="D254" s="121" t="s">
        <v>72</v>
      </c>
      <c r="E254" s="122" t="e">
        <f>+#REF!</f>
        <v>#REF!</v>
      </c>
      <c r="F254" s="746">
        <f>+ELECT!H165</f>
        <v>2203.1708839165858</v>
      </c>
      <c r="G254" s="954"/>
      <c r="H254" s="266">
        <f t="shared" si="320"/>
        <v>2203.1708839165858</v>
      </c>
      <c r="I254" s="102"/>
      <c r="J254" s="102"/>
      <c r="K254" s="266">
        <f t="shared" si="321"/>
        <v>0</v>
      </c>
      <c r="L254" s="255"/>
      <c r="M254" s="266">
        <f t="shared" si="322"/>
        <v>2203.1708839165858</v>
      </c>
      <c r="N254" s="324" t="e">
        <f t="shared" si="323"/>
        <v>#REF!</v>
      </c>
      <c r="O254" s="324" t="e">
        <f t="shared" si="324"/>
        <v>#REF!</v>
      </c>
      <c r="P254" s="324" t="e">
        <f t="shared" si="325"/>
        <v>#REF!</v>
      </c>
      <c r="Q254" s="324" t="e">
        <f t="shared" si="326"/>
        <v>#REF!</v>
      </c>
      <c r="R254" s="324" t="e">
        <f t="shared" si="327"/>
        <v>#REF!</v>
      </c>
      <c r="S254" s="325" t="e">
        <f t="shared" si="328"/>
        <v>#REF!</v>
      </c>
      <c r="T254" s="337"/>
      <c r="U254" s="934">
        <f t="shared" si="329"/>
        <v>2424</v>
      </c>
      <c r="V254" s="934" t="e">
        <f t="shared" si="330"/>
        <v>#REF!</v>
      </c>
      <c r="W254" s="307"/>
    </row>
    <row r="255" spans="1:24" ht="13">
      <c r="A255" s="535"/>
      <c r="B255" s="575"/>
      <c r="C255" s="691" t="s">
        <v>185</v>
      </c>
      <c r="D255" s="227"/>
      <c r="E255" s="228"/>
      <c r="F255" s="228"/>
      <c r="G255" s="228"/>
      <c r="H255" s="228"/>
      <c r="I255" s="228"/>
      <c r="J255" s="228"/>
      <c r="K255" s="228"/>
      <c r="L255" s="228"/>
      <c r="M255" s="256"/>
      <c r="N255" s="335" t="e">
        <f t="shared" ref="N255:T255" si="331">SUM(N219:N254)</f>
        <v>#REF!</v>
      </c>
      <c r="O255" s="335" t="e">
        <f t="shared" si="331"/>
        <v>#REF!</v>
      </c>
      <c r="P255" s="335" t="e">
        <f t="shared" si="331"/>
        <v>#REF!</v>
      </c>
      <c r="Q255" s="335" t="e">
        <f t="shared" si="331"/>
        <v>#REF!</v>
      </c>
      <c r="R255" s="335" t="e">
        <f t="shared" si="331"/>
        <v>#REF!</v>
      </c>
      <c r="S255" s="335" t="e">
        <f t="shared" si="331"/>
        <v>#REF!</v>
      </c>
      <c r="T255" s="335" t="e">
        <f t="shared" si="331"/>
        <v>#REF!</v>
      </c>
      <c r="U255" s="228"/>
      <c r="V255" s="335" t="e">
        <f>SUM(V219:V254)</f>
        <v>#REF!</v>
      </c>
      <c r="W255" s="944" t="e">
        <f>SUM(W219:W254)</f>
        <v>#REF!</v>
      </c>
      <c r="X255" s="80" t="e">
        <f>+W255/$W$255</f>
        <v>#REF!</v>
      </c>
    </row>
    <row r="258" spans="1:26" ht="12.75" customHeight="1">
      <c r="A258" s="187"/>
      <c r="B258" s="230"/>
      <c r="C258" s="720" t="s">
        <v>152</v>
      </c>
      <c r="D258" s="558" t="s">
        <v>4</v>
      </c>
      <c r="E258" s="400">
        <f>+INFO.!C6</f>
        <v>1452</v>
      </c>
      <c r="F258" s="238"/>
      <c r="G258" s="238"/>
      <c r="H258" s="238"/>
      <c r="I258" s="274"/>
      <c r="J258" s="274"/>
      <c r="K258" s="238"/>
      <c r="L258" s="275"/>
      <c r="M258" s="238"/>
      <c r="N258" s="238"/>
      <c r="O258" s="238"/>
      <c r="P258" s="238"/>
      <c r="Q258" s="238"/>
      <c r="R258" s="331" t="s">
        <v>20</v>
      </c>
      <c r="S258" s="332" t="e">
        <f>+T258/E258</f>
        <v>#REF!</v>
      </c>
      <c r="T258" s="330" t="e">
        <f>+T255/GGBB!H4</f>
        <v>#REF!</v>
      </c>
      <c r="U258" s="331" t="s">
        <v>20</v>
      </c>
      <c r="V258" s="943" t="e">
        <f>+W258/E258</f>
        <v>#REF!</v>
      </c>
      <c r="W258" s="944" t="e">
        <f>W255/W2</f>
        <v>#REF!</v>
      </c>
    </row>
    <row r="259" spans="1:26" ht="12.75" customHeight="1">
      <c r="A259" s="544"/>
      <c r="B259" s="544"/>
      <c r="C259" s="722"/>
      <c r="E259" s="543"/>
      <c r="F259" s="417"/>
      <c r="G259" s="417"/>
      <c r="H259" s="417"/>
      <c r="I259" s="559"/>
      <c r="J259" s="559"/>
      <c r="K259" s="417"/>
      <c r="L259" s="545"/>
      <c r="M259" s="417"/>
      <c r="N259" s="417"/>
      <c r="O259" s="417"/>
      <c r="P259" s="417"/>
      <c r="Q259" s="417"/>
      <c r="R259" s="560"/>
      <c r="S259" s="561"/>
      <c r="T259" s="562"/>
      <c r="U259" s="560"/>
      <c r="V259" s="949"/>
      <c r="W259" s="947"/>
    </row>
    <row r="261" spans="1:26" ht="12.75" customHeight="1">
      <c r="A261" s="563"/>
      <c r="B261" s="577"/>
      <c r="C261" s="720" t="s">
        <v>186</v>
      </c>
      <c r="D261" s="558"/>
      <c r="E261" s="739"/>
      <c r="F261" s="238"/>
      <c r="G261" s="238"/>
      <c r="H261" s="238"/>
      <c r="I261" s="274"/>
      <c r="J261" s="274"/>
      <c r="K261" s="238"/>
      <c r="L261" s="740"/>
      <c r="M261" s="238"/>
      <c r="N261" s="238"/>
      <c r="O261" s="238"/>
      <c r="P261" s="238"/>
      <c r="Q261" s="238"/>
      <c r="R261" s="238"/>
      <c r="S261" s="238"/>
      <c r="T261" s="330"/>
      <c r="U261" s="522"/>
      <c r="V261" s="522"/>
      <c r="W261" s="944">
        <f>+W213</f>
        <v>1540618531</v>
      </c>
    </row>
    <row r="262" spans="1:26" ht="12.75" customHeight="1">
      <c r="A262" s="563"/>
      <c r="B262" s="577"/>
      <c r="C262" s="720" t="s">
        <v>187</v>
      </c>
      <c r="D262" s="558"/>
      <c r="E262" s="739"/>
      <c r="F262" s="238"/>
      <c r="G262" s="238"/>
      <c r="H262" s="238"/>
      <c r="I262" s="274"/>
      <c r="J262" s="274"/>
      <c r="K262" s="238"/>
      <c r="L262" s="740"/>
      <c r="M262" s="238"/>
      <c r="N262" s="238"/>
      <c r="O262" s="238"/>
      <c r="P262" s="238"/>
      <c r="Q262" s="238"/>
      <c r="R262" s="238"/>
      <c r="S262" s="238"/>
      <c r="T262" s="330"/>
      <c r="U262" s="522"/>
      <c r="V262" s="522"/>
      <c r="W262" s="944" t="e">
        <f>+W255</f>
        <v>#REF!</v>
      </c>
    </row>
    <row r="263" spans="1:26" ht="12.75" customHeight="1">
      <c r="A263" s="563"/>
      <c r="B263" s="577"/>
      <c r="C263" s="720" t="s">
        <v>188</v>
      </c>
      <c r="D263" s="744"/>
      <c r="E263" s="522"/>
      <c r="F263" s="744"/>
      <c r="G263" s="744"/>
      <c r="H263" s="744"/>
      <c r="I263" s="744"/>
      <c r="J263" s="744"/>
      <c r="K263" s="744"/>
      <c r="L263" s="744"/>
      <c r="M263" s="744"/>
      <c r="N263" s="744"/>
      <c r="O263" s="744"/>
      <c r="P263" s="744"/>
      <c r="Q263" s="744"/>
      <c r="R263" s="744"/>
      <c r="S263" s="744"/>
      <c r="T263" s="744"/>
      <c r="U263" s="238"/>
      <c r="V263" s="238"/>
      <c r="W263" s="944" t="e">
        <f>+W261+W262</f>
        <v>#REF!</v>
      </c>
      <c r="Z263" s="579"/>
    </row>
    <row r="264" spans="1:26" ht="12.75" customHeight="1">
      <c r="A264" s="564"/>
      <c r="B264" s="564"/>
      <c r="E264" s="543"/>
      <c r="F264" s="417"/>
      <c r="G264" s="417"/>
      <c r="H264" s="417"/>
      <c r="I264" s="559"/>
      <c r="J264" s="559"/>
      <c r="K264" s="417"/>
      <c r="L264" s="545"/>
      <c r="M264" s="417"/>
      <c r="N264" s="417"/>
      <c r="O264" s="417"/>
      <c r="P264" s="417"/>
      <c r="Q264" s="417"/>
      <c r="R264" s="560"/>
      <c r="S264" s="561"/>
      <c r="T264" s="562"/>
      <c r="U264" s="560"/>
      <c r="V264" s="949"/>
      <c r="W264" s="948"/>
      <c r="Z264" s="578"/>
    </row>
    <row r="265" spans="1:26" ht="12.75" customHeight="1">
      <c r="A265" s="563"/>
      <c r="B265" s="577"/>
      <c r="C265" s="720" t="s">
        <v>152</v>
      </c>
      <c r="D265" s="558" t="s">
        <v>4</v>
      </c>
      <c r="E265" s="400">
        <f>+INFO.!C6</f>
        <v>1452</v>
      </c>
      <c r="F265" s="566"/>
      <c r="G265" s="566"/>
      <c r="H265" s="566"/>
      <c r="I265" s="567"/>
      <c r="J265" s="567"/>
      <c r="K265" s="566"/>
      <c r="L265" s="275"/>
      <c r="M265" s="566"/>
      <c r="N265" s="566"/>
      <c r="O265" s="566"/>
      <c r="P265" s="566"/>
      <c r="Q265" s="566"/>
      <c r="R265" s="565"/>
      <c r="S265" s="568"/>
      <c r="T265" s="569"/>
      <c r="U265" s="331" t="s">
        <v>20</v>
      </c>
      <c r="V265" s="943" t="e">
        <f>+W265/E265</f>
        <v>#REF!</v>
      </c>
      <c r="W265" s="944" t="e">
        <f>+W263/W2</f>
        <v>#REF!</v>
      </c>
    </row>
    <row r="267" spans="1:26" ht="12.75" customHeight="1">
      <c r="C267" s="609" t="s">
        <v>189</v>
      </c>
    </row>
    <row r="268" spans="1:26" ht="12.75" customHeight="1">
      <c r="C268" s="609" t="s">
        <v>1913</v>
      </c>
    </row>
    <row r="270" spans="1:26" ht="12.75" customHeight="1">
      <c r="G270" s="11"/>
    </row>
    <row r="271" spans="1:26" ht="12.75" customHeight="1">
      <c r="G271" s="11"/>
    </row>
    <row r="275" spans="6:6" ht="12.75" customHeight="1">
      <c r="F275" s="16"/>
    </row>
    <row r="276" spans="6:6" ht="12.75" customHeight="1">
      <c r="F276" s="16"/>
    </row>
    <row r="277" spans="6:6" ht="12.75" customHeight="1">
      <c r="F277" s="16"/>
    </row>
  </sheetData>
  <mergeCells count="4">
    <mergeCell ref="F5:H5"/>
    <mergeCell ref="I5:K5"/>
    <mergeCell ref="N5:O5"/>
    <mergeCell ref="P5:Q5"/>
  </mergeCells>
  <phoneticPr fontId="72" type="noConversion"/>
  <conditionalFormatting sqref="B1:B1048576">
    <cfRule type="cellIs" dxfId="31" priority="57" operator="equal">
      <formula>"C"</formula>
    </cfRule>
    <cfRule type="cellIs" dxfId="30" priority="62" operator="equal">
      <formula>"R"</formula>
    </cfRule>
    <cfRule type="cellIs" dxfId="29" priority="63" operator="equal">
      <formula>"IN"</formula>
    </cfRule>
    <cfRule type="cellIs" dxfId="28" priority="64" operator="equal">
      <formula>"OK"</formula>
    </cfRule>
    <cfRule type="cellIs" dxfId="27" priority="65" operator="equal">
      <formula>"SR"</formula>
    </cfRule>
  </conditionalFormatting>
  <conditionalFormatting sqref="D3:D11 D18:D32 D59:D69 D80:D85 D88:D93 D96:D101 D162:D191 D193 D200:D210 D219:D226 D247:D255">
    <cfRule type="cellIs" dxfId="26" priority="16" operator="equal">
      <formula>"x"</formula>
    </cfRule>
  </conditionalFormatting>
  <conditionalFormatting sqref="D46">
    <cfRule type="cellIs" dxfId="25" priority="19" operator="equal">
      <formula>"x"</formula>
    </cfRule>
  </conditionalFormatting>
  <conditionalFormatting sqref="D53">
    <cfRule type="cellIs" dxfId="24" priority="20" operator="equal">
      <formula>"x"</formula>
    </cfRule>
  </conditionalFormatting>
  <conditionalFormatting sqref="D71:D72">
    <cfRule type="cellIs" dxfId="23" priority="23" operator="equal">
      <formula>"x"</formula>
    </cfRule>
  </conditionalFormatting>
  <conditionalFormatting sqref="D105">
    <cfRule type="cellIs" dxfId="22" priority="29" operator="equal">
      <formula>"x"</formula>
    </cfRule>
  </conditionalFormatting>
  <conditionalFormatting sqref="D114">
    <cfRule type="cellIs" dxfId="21" priority="30" operator="equal">
      <formula>"x"</formula>
    </cfRule>
  </conditionalFormatting>
  <conditionalFormatting sqref="D127">
    <cfRule type="cellIs" dxfId="20" priority="31" operator="equal">
      <formula>"x"</formula>
    </cfRule>
  </conditionalFormatting>
  <conditionalFormatting sqref="D129">
    <cfRule type="cellIs" dxfId="19" priority="32" operator="equal">
      <formula>"x"</formula>
    </cfRule>
  </conditionalFormatting>
  <conditionalFormatting sqref="D134">
    <cfRule type="cellIs" dxfId="18" priority="35" operator="equal">
      <formula>"x"</formula>
    </cfRule>
  </conditionalFormatting>
  <conditionalFormatting sqref="D196">
    <cfRule type="cellIs" dxfId="17" priority="39" operator="equal">
      <formula>"x"</formula>
    </cfRule>
  </conditionalFormatting>
  <conditionalFormatting sqref="D213:D214">
    <cfRule type="cellIs" dxfId="16" priority="36" operator="equal">
      <formula>"x"</formula>
    </cfRule>
  </conditionalFormatting>
  <conditionalFormatting sqref="D230">
    <cfRule type="cellIs" dxfId="15" priority="14" operator="equal">
      <formula>"x"</formula>
    </cfRule>
  </conditionalFormatting>
  <conditionalFormatting sqref="D239">
    <cfRule type="cellIs" dxfId="14" priority="1" operator="equal">
      <formula>"x"</formula>
    </cfRule>
  </conditionalFormatting>
  <conditionalFormatting sqref="F1:F4">
    <cfRule type="cellIs" dxfId="13" priority="43" operator="equal">
      <formula>"R"</formula>
    </cfRule>
    <cfRule type="cellIs" dxfId="12" priority="44" operator="equal">
      <formula>"IN"</formula>
    </cfRule>
    <cfRule type="cellIs" dxfId="11" priority="45" operator="equal">
      <formula>"OK"</formula>
    </cfRule>
    <cfRule type="cellIs" dxfId="10" priority="46" operator="equal">
      <formula>"SR"</formula>
    </cfRule>
  </conditionalFormatting>
  <conditionalFormatting sqref="F2:F4">
    <cfRule type="cellIs" dxfId="9" priority="42" operator="equal">
      <formula>"C"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rowBreaks count="2" manualBreakCount="2">
    <brk id="45" max="22" man="1"/>
    <brk id="133" max="2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AF259"/>
  <sheetViews>
    <sheetView tabSelected="1" topLeftCell="A4" workbookViewId="0">
      <pane ySplit="3" topLeftCell="A142" activePane="bottomLeft" state="frozen"/>
      <selection activeCell="A4" sqref="A4"/>
      <selection pane="bottomLeft" activeCell="G144" sqref="G144"/>
    </sheetView>
  </sheetViews>
  <sheetFormatPr defaultColWidth="11.54296875" defaultRowHeight="12.75" customHeight="1" outlineLevelRow="2" outlineLevelCol="1"/>
  <cols>
    <col min="1" max="1" width="5.6328125" style="1724" bestFit="1" customWidth="1"/>
    <col min="2" max="2" width="4.6328125" style="1725" bestFit="1" customWidth="1" outlineLevel="1"/>
    <col min="3" max="3" width="33" style="1748" customWidth="1"/>
    <col min="4" max="4" width="5" style="1725" bestFit="1" customWidth="1"/>
    <col min="5" max="5" width="7.81640625" style="1726" bestFit="1" customWidth="1"/>
    <col min="6" max="6" width="11.453125" style="2042" bestFit="1" customWidth="1"/>
    <col min="7" max="7" width="9.6328125" style="2043" bestFit="1" customWidth="1"/>
    <col min="8" max="8" width="11.453125" style="1749" bestFit="1" customWidth="1"/>
    <col min="9" max="9" width="9.6328125" style="1749" bestFit="1" customWidth="1"/>
    <col min="10" max="12" width="11.453125" style="1749" bestFit="1" customWidth="1"/>
    <col min="13" max="13" width="8.1796875" style="2044" bestFit="1" customWidth="1"/>
    <col min="14" max="14" width="8.1796875" style="2045" bestFit="1" customWidth="1"/>
    <col min="15" max="15" width="8.1796875" style="2042" bestFit="1" customWidth="1"/>
    <col min="16" max="16" width="8.1796875" style="2043" bestFit="1" customWidth="1"/>
    <col min="17" max="17" width="11.453125" style="1749" bestFit="1" customWidth="1"/>
    <col min="18" max="18" width="10.6328125" style="1749" bestFit="1" customWidth="1"/>
    <col min="19" max="20" width="11.6328125" style="1749" bestFit="1" customWidth="1"/>
    <col min="21" max="21" width="11.453125" style="1748" bestFit="1" customWidth="1"/>
    <col min="22" max="22" width="11.08984375" style="1748" bestFit="1" customWidth="1"/>
    <col min="23" max="23" width="13.81640625" style="1749" bestFit="1" customWidth="1"/>
    <col min="24" max="24" width="5.6328125" style="1749" bestFit="1" customWidth="1"/>
    <col min="25" max="25" width="6.26953125" style="1749" bestFit="1" customWidth="1"/>
    <col min="26" max="26" width="5.54296875" style="1749" bestFit="1" customWidth="1"/>
    <col min="27" max="27" width="4.6328125" style="1749" bestFit="1" customWidth="1"/>
    <col min="28" max="28" width="5.453125" style="1749" bestFit="1" customWidth="1"/>
    <col min="29" max="29" width="11.54296875" style="1749"/>
    <col min="30" max="30" width="7.36328125" style="1749" bestFit="1" customWidth="1"/>
    <col min="31" max="31" width="5.453125" style="1749" bestFit="1" customWidth="1"/>
    <col min="32" max="32" width="5.6328125" style="1749" bestFit="1" customWidth="1"/>
    <col min="33" max="16384" width="11.54296875" style="1749"/>
  </cols>
  <sheetData>
    <row r="1" spans="1:22" ht="12.75" hidden="1" customHeight="1" outlineLevel="1"/>
    <row r="2" spans="1:22" ht="12.75" hidden="1" customHeight="1" outlineLevel="1"/>
    <row r="3" spans="1:22" s="1731" customFormat="1" ht="12.75" hidden="1" customHeight="1" outlineLevel="1">
      <c r="A3" s="1726"/>
      <c r="B3" s="1726"/>
      <c r="C3" s="1727"/>
      <c r="D3" s="1726"/>
      <c r="E3" s="1728"/>
      <c r="F3" s="1729"/>
      <c r="G3" s="1730"/>
      <c r="M3" s="1732"/>
      <c r="N3" s="1733"/>
      <c r="O3" s="1729"/>
      <c r="P3" s="1730"/>
      <c r="U3" s="1727"/>
      <c r="V3" s="1727"/>
    </row>
    <row r="4" spans="1:22" s="1731" customFormat="1" ht="12.75" customHeight="1" collapsed="1">
      <c r="A4" s="1726"/>
      <c r="B4" s="1726"/>
      <c r="C4" s="1675"/>
      <c r="D4" s="1726"/>
      <c r="E4" s="1728"/>
      <c r="F4" s="1734"/>
      <c r="G4" s="1735"/>
      <c r="H4" s="2058" t="s">
        <v>190</v>
      </c>
      <c r="I4" s="2058"/>
      <c r="J4" s="2058"/>
      <c r="K4" s="2058"/>
      <c r="L4" s="1736"/>
      <c r="M4" s="1737"/>
      <c r="N4" s="1738"/>
      <c r="O4" s="1739"/>
      <c r="P4" s="1740"/>
      <c r="Q4" s="2059" t="s">
        <v>191</v>
      </c>
      <c r="R4" s="2060"/>
      <c r="S4" s="2060"/>
      <c r="T4" s="2061"/>
      <c r="U4" s="1727"/>
      <c r="V4" s="1727"/>
    </row>
    <row r="5" spans="1:22" s="1731" customFormat="1" ht="12.75" customHeight="1">
      <c r="A5" s="1726"/>
      <c r="B5" s="1726"/>
      <c r="C5" s="1675"/>
      <c r="D5" s="1741"/>
      <c r="E5" s="1741"/>
      <c r="F5" s="1742"/>
      <c r="G5" s="1743"/>
      <c r="H5" s="2053" t="s">
        <v>192</v>
      </c>
      <c r="I5" s="2054"/>
      <c r="J5" s="2055" t="s">
        <v>188</v>
      </c>
      <c r="K5" s="2055"/>
      <c r="L5" s="1744"/>
      <c r="M5" s="2046">
        <f>+'P.MO 06.25'!B4</f>
        <v>94177.13788353886</v>
      </c>
      <c r="N5" s="2046">
        <f>+'P.MO 06.25'!B5</f>
        <v>84612.512709566407</v>
      </c>
      <c r="O5" s="2046">
        <f>+'P.MO 06.25'!B6</f>
        <v>72132.138365590115</v>
      </c>
      <c r="P5" s="2047">
        <f>+'P.MO 06.25'!B7</f>
        <v>67240.498860267617</v>
      </c>
      <c r="Q5" s="2053" t="s">
        <v>192</v>
      </c>
      <c r="R5" s="2054"/>
      <c r="S5" s="2056" t="s">
        <v>188</v>
      </c>
      <c r="T5" s="2057"/>
      <c r="U5" s="1727"/>
      <c r="V5" s="1727"/>
    </row>
    <row r="6" spans="1:22" ht="12.75" customHeight="1">
      <c r="A6" s="1745" t="s">
        <v>40</v>
      </c>
      <c r="B6" s="1746"/>
      <c r="C6" s="1677" t="s">
        <v>41</v>
      </c>
      <c r="D6" s="1677" t="s">
        <v>42</v>
      </c>
      <c r="E6" s="1676" t="s">
        <v>43</v>
      </c>
      <c r="F6" s="1677" t="s">
        <v>193</v>
      </c>
      <c r="G6" s="1677" t="s">
        <v>194</v>
      </c>
      <c r="H6" s="1747" t="s">
        <v>193</v>
      </c>
      <c r="I6" s="1747" t="s">
        <v>194</v>
      </c>
      <c r="J6" s="1677" t="s">
        <v>193</v>
      </c>
      <c r="K6" s="1677" t="s">
        <v>194</v>
      </c>
      <c r="L6" s="1677" t="s">
        <v>193</v>
      </c>
      <c r="M6" s="1676" t="s">
        <v>195</v>
      </c>
      <c r="N6" s="1676" t="s">
        <v>196</v>
      </c>
      <c r="O6" s="1676" t="s">
        <v>197</v>
      </c>
      <c r="P6" s="1676" t="s">
        <v>198</v>
      </c>
      <c r="Q6" s="1747" t="s">
        <v>193</v>
      </c>
      <c r="R6" s="1747" t="s">
        <v>199</v>
      </c>
      <c r="S6" s="1676" t="s">
        <v>193</v>
      </c>
      <c r="T6" s="1676" t="s">
        <v>199</v>
      </c>
    </row>
    <row r="7" spans="1:22" ht="12">
      <c r="A7" s="1750">
        <f>+'01'!A8</f>
        <v>1</v>
      </c>
      <c r="B7" s="1745"/>
      <c r="C7" s="1750" t="str">
        <f>+'01'!C8</f>
        <v>TAREAS PRELIMINARES</v>
      </c>
      <c r="D7" s="1745"/>
      <c r="E7" s="1751"/>
      <c r="F7" s="1752"/>
      <c r="G7" s="1753"/>
      <c r="H7" s="1754"/>
      <c r="I7" s="1754"/>
      <c r="J7" s="1754"/>
      <c r="K7" s="1754"/>
      <c r="L7" s="1754"/>
      <c r="M7" s="1755"/>
      <c r="N7" s="1756"/>
      <c r="O7" s="1752"/>
      <c r="P7" s="1753"/>
      <c r="Q7" s="1754"/>
      <c r="R7" s="1754"/>
      <c r="S7" s="1754"/>
      <c r="T7" s="1754"/>
    </row>
    <row r="8" spans="1:22" ht="12">
      <c r="A8" s="1698">
        <f>+'01'!A10</f>
        <v>1.02</v>
      </c>
      <c r="B8" s="1678" t="str">
        <f>+'01'!B10</f>
        <v>OK</v>
      </c>
      <c r="C8" s="1698" t="str">
        <f>+'01'!C10</f>
        <v>Topógrafo - Visita de obra replanteo</v>
      </c>
      <c r="D8" s="1678" t="str">
        <f>+'01'!D10</f>
        <v>un</v>
      </c>
      <c r="E8" s="1678">
        <f>+'01'!E10</f>
        <v>4</v>
      </c>
      <c r="F8" s="1757"/>
      <c r="G8" s="1758"/>
      <c r="H8" s="1759">
        <f>+J8/E8</f>
        <v>0</v>
      </c>
      <c r="I8" s="1759">
        <f>+K8/E8</f>
        <v>25000</v>
      </c>
      <c r="J8" s="1693">
        <f>SUM(J9:J11)</f>
        <v>0</v>
      </c>
      <c r="K8" s="1693">
        <f>SUM(K9:K11)</f>
        <v>100000</v>
      </c>
      <c r="L8" s="1760"/>
      <c r="M8" s="1761"/>
      <c r="N8" s="1762"/>
      <c r="O8" s="1763"/>
      <c r="P8" s="1764"/>
      <c r="Q8" s="1759">
        <f>+U8/E8</f>
        <v>214394.06177409831</v>
      </c>
      <c r="R8" s="1759">
        <f>+V8/E8</f>
        <v>67240.498860267617</v>
      </c>
      <c r="S8" s="1765"/>
      <c r="T8" s="1765"/>
      <c r="U8" s="1766">
        <f>SUM(S9:S11)</f>
        <v>857576.24709639326</v>
      </c>
      <c r="V8" s="1767">
        <f>SUM(T9:T11)</f>
        <v>268961.99544107047</v>
      </c>
    </row>
    <row r="9" spans="1:22" ht="12" outlineLevel="1">
      <c r="A9" s="1768"/>
      <c r="B9" s="1680"/>
      <c r="C9" s="1769" t="s">
        <v>200</v>
      </c>
      <c r="D9" s="1770" t="s">
        <v>201</v>
      </c>
      <c r="E9" s="1770">
        <f>+E8</f>
        <v>4</v>
      </c>
      <c r="F9" s="1771"/>
      <c r="G9" s="1772"/>
      <c r="H9" s="1773"/>
      <c r="I9" s="1773"/>
      <c r="J9" s="1774">
        <f>+F9*E9</f>
        <v>0</v>
      </c>
      <c r="K9" s="1774">
        <f>+G9*E9</f>
        <v>0</v>
      </c>
      <c r="L9" s="1775">
        <f>+'P.MO 06.25'!B10</f>
        <v>214394.06177409831</v>
      </c>
      <c r="M9" s="1776"/>
      <c r="N9" s="1777"/>
      <c r="O9" s="1778"/>
      <c r="P9" s="1779"/>
      <c r="Q9" s="1773"/>
      <c r="R9" s="1773"/>
      <c r="S9" s="1780">
        <f>+L9*E9</f>
        <v>857576.24709639326</v>
      </c>
      <c r="T9" s="1780">
        <f>(+M9*$M$5+N9*$N$5+O9*$O$5+P9*$P$5)*E9</f>
        <v>0</v>
      </c>
      <c r="U9" s="1766"/>
      <c r="V9" s="1767"/>
    </row>
    <row r="10" spans="1:22" ht="12" outlineLevel="1">
      <c r="A10" s="1781"/>
      <c r="B10" s="1782"/>
      <c r="C10" s="1769" t="s">
        <v>202</v>
      </c>
      <c r="D10" s="1770" t="s">
        <v>201</v>
      </c>
      <c r="E10" s="1770">
        <f>+E8</f>
        <v>4</v>
      </c>
      <c r="F10" s="1771"/>
      <c r="G10" s="1772"/>
      <c r="H10" s="1783"/>
      <c r="I10" s="1783"/>
      <c r="J10" s="1774">
        <f>+F10*E10</f>
        <v>0</v>
      </c>
      <c r="K10" s="1774">
        <f>+G10*E10</f>
        <v>0</v>
      </c>
      <c r="L10" s="1775"/>
      <c r="M10" s="1776"/>
      <c r="N10" s="1777"/>
      <c r="O10" s="1778"/>
      <c r="P10" s="1779">
        <v>1</v>
      </c>
      <c r="Q10" s="1784"/>
      <c r="R10" s="1784"/>
      <c r="S10" s="1780">
        <f>+L10*E10</f>
        <v>0</v>
      </c>
      <c r="T10" s="1780">
        <f>(+M10*$M$5+N10*$N$5+O10*$O$5+P10*$P$5)*E10</f>
        <v>268961.99544107047</v>
      </c>
      <c r="U10" s="1785"/>
      <c r="V10" s="1786"/>
    </row>
    <row r="11" spans="1:22" ht="12" outlineLevel="1">
      <c r="A11" s="1787"/>
      <c r="B11" s="1788"/>
      <c r="C11" s="1789" t="s">
        <v>203</v>
      </c>
      <c r="D11" s="1790" t="s">
        <v>54</v>
      </c>
      <c r="E11" s="1790">
        <f>+E8</f>
        <v>4</v>
      </c>
      <c r="F11" s="1791"/>
      <c r="G11" s="1792">
        <v>25000</v>
      </c>
      <c r="H11" s="1793"/>
      <c r="I11" s="1793"/>
      <c r="J11" s="1794">
        <f>+F11*E11</f>
        <v>0</v>
      </c>
      <c r="K11" s="1794">
        <f>+G11*E11</f>
        <v>100000</v>
      </c>
      <c r="L11" s="1795"/>
      <c r="M11" s="1796"/>
      <c r="N11" s="1797"/>
      <c r="O11" s="1798"/>
      <c r="P11" s="1799"/>
      <c r="Q11" s="1800"/>
      <c r="R11" s="1800"/>
      <c r="S11" s="1801">
        <f>+L11*E11</f>
        <v>0</v>
      </c>
      <c r="T11" s="1801">
        <f>(+M11*$M$5+N11*$N$5+O11*$O$5+P11*$P$5)*E11</f>
        <v>0</v>
      </c>
    </row>
    <row r="12" spans="1:22" ht="12">
      <c r="A12" s="1698">
        <f>+'01'!A12</f>
        <v>1.04</v>
      </c>
      <c r="B12" s="1678" t="str">
        <f>+'01'!B12</f>
        <v>OK</v>
      </c>
      <c r="C12" s="1698" t="str">
        <f>+'01'!C12</f>
        <v xml:space="preserve">Cerco de obra perimetral - En chapa C25 + Concertina + Porton corredizo </v>
      </c>
      <c r="D12" s="1678" t="str">
        <f>+'01'!D12</f>
        <v>ml</v>
      </c>
      <c r="E12" s="1678">
        <f>+'01'!E12</f>
        <v>10</v>
      </c>
      <c r="F12" s="1757"/>
      <c r="G12" s="1758"/>
      <c r="H12" s="1759">
        <f>+J12/E12</f>
        <v>98815.568159228656</v>
      </c>
      <c r="I12" s="1759">
        <f>+K12/E12</f>
        <v>0</v>
      </c>
      <c r="J12" s="1693">
        <f>+SUM(J13:J22)</f>
        <v>988155.68159228656</v>
      </c>
      <c r="K12" s="1693">
        <f>+SUM(K13:K22)</f>
        <v>0</v>
      </c>
      <c r="L12" s="1760"/>
      <c r="M12" s="1761"/>
      <c r="N12" s="1762"/>
      <c r="O12" s="1763"/>
      <c r="P12" s="1764"/>
      <c r="Q12" s="1759">
        <f>+U12/E12</f>
        <v>0</v>
      </c>
      <c r="R12" s="1759">
        <f>+V12/E12</f>
        <v>111992.57496771208</v>
      </c>
      <c r="S12" s="1765"/>
      <c r="T12" s="1765"/>
      <c r="U12" s="1767">
        <f>SUM(S13:S22)</f>
        <v>0</v>
      </c>
      <c r="V12" s="1767">
        <f>SUM(T13:T22)</f>
        <v>1119925.7496771207</v>
      </c>
    </row>
    <row r="13" spans="1:22" ht="12" outlineLevel="1">
      <c r="A13" s="1768"/>
      <c r="B13" s="1680"/>
      <c r="C13" s="1802" t="s">
        <v>204</v>
      </c>
      <c r="D13" s="1770" t="s">
        <v>4</v>
      </c>
      <c r="E13" s="1770">
        <f>+E12*2.5</f>
        <v>25</v>
      </c>
      <c r="F13" s="1803">
        <f>+Cotizaciones!D4</f>
        <v>10861.768595041323</v>
      </c>
      <c r="G13" s="1772"/>
      <c r="H13" s="1773"/>
      <c r="I13" s="1773"/>
      <c r="J13" s="1774">
        <f>+F13*E13</f>
        <v>271544.21487603307</v>
      </c>
      <c r="K13" s="1774">
        <f>+G13*E13</f>
        <v>0</v>
      </c>
      <c r="L13" s="1775"/>
      <c r="M13" s="1776"/>
      <c r="N13" s="1777"/>
      <c r="O13" s="1778"/>
      <c r="P13" s="1779"/>
      <c r="Q13" s="1773"/>
      <c r="R13" s="1773"/>
      <c r="S13" s="1780">
        <f>+L13*E13</f>
        <v>0</v>
      </c>
      <c r="T13" s="1780">
        <f>(+M13*$M$5+N13*$N$5+O13*$O$5+P13*$P$5)*E13</f>
        <v>0</v>
      </c>
      <c r="U13" s="1766"/>
      <c r="V13" s="1767"/>
    </row>
    <row r="14" spans="1:22" ht="12" outlineLevel="1">
      <c r="A14" s="1768"/>
      <c r="B14" s="1680"/>
      <c r="C14" s="1802" t="s">
        <v>205</v>
      </c>
      <c r="D14" s="1770" t="s">
        <v>56</v>
      </c>
      <c r="E14" s="1770">
        <v>1</v>
      </c>
      <c r="F14" s="1803">
        <f>+Cotizaciones!D5</f>
        <v>271144.89256198349</v>
      </c>
      <c r="G14" s="1772"/>
      <c r="H14" s="1773"/>
      <c r="I14" s="1773"/>
      <c r="J14" s="1774">
        <f>+F14*E14</f>
        <v>271144.89256198349</v>
      </c>
      <c r="K14" s="1774">
        <f>+G14*E14</f>
        <v>0</v>
      </c>
      <c r="L14" s="1775"/>
      <c r="M14" s="1776"/>
      <c r="N14" s="1777"/>
      <c r="O14" s="1778"/>
      <c r="P14" s="1779"/>
      <c r="Q14" s="1773"/>
      <c r="R14" s="1773"/>
      <c r="S14" s="1780">
        <f>+L14*E14</f>
        <v>0</v>
      </c>
      <c r="T14" s="1780">
        <f>(+M14*$M$5+N14*$N$5+O14*$O$5+P14*$P$5)*E14</f>
        <v>0</v>
      </c>
      <c r="U14" s="1766"/>
      <c r="V14" s="1767"/>
    </row>
    <row r="15" spans="1:22" ht="12" outlineLevel="1">
      <c r="A15" s="1768"/>
      <c r="B15" s="1680"/>
      <c r="C15" s="1802" t="s">
        <v>206</v>
      </c>
      <c r="D15" s="1770" t="s">
        <v>72</v>
      </c>
      <c r="E15" s="1770">
        <v>2</v>
      </c>
      <c r="F15" s="1803">
        <f>+Cotizaciones!D6</f>
        <v>23523.752066115703</v>
      </c>
      <c r="G15" s="1772"/>
      <c r="H15" s="1773"/>
      <c r="I15" s="1773"/>
      <c r="J15" s="1774">
        <f>+F15*E15</f>
        <v>47047.504132231406</v>
      </c>
      <c r="K15" s="1774">
        <f>+G15*E15</f>
        <v>0</v>
      </c>
      <c r="L15" s="1775"/>
      <c r="M15" s="1776"/>
      <c r="N15" s="1777"/>
      <c r="O15" s="1778"/>
      <c r="P15" s="1779"/>
      <c r="Q15" s="1773"/>
      <c r="R15" s="1773"/>
      <c r="S15" s="1780">
        <f t="shared" ref="S15:S22" si="0">+L15*E15</f>
        <v>0</v>
      </c>
      <c r="T15" s="1780">
        <f t="shared" ref="T15:T22" si="1">(+M15*$M$5+N15*$N$5+O15*$O$5+P15*$P$5)*E15</f>
        <v>0</v>
      </c>
      <c r="U15" s="1766"/>
      <c r="V15" s="1767"/>
    </row>
    <row r="16" spans="1:22" ht="12" outlineLevel="1">
      <c r="A16" s="1768"/>
      <c r="B16" s="1680"/>
      <c r="C16" s="1802" t="s">
        <v>207</v>
      </c>
      <c r="D16" s="1770" t="s">
        <v>72</v>
      </c>
      <c r="E16" s="1770">
        <v>1</v>
      </c>
      <c r="F16" s="1803">
        <f>+Cotizaciones!D7</f>
        <v>85391.380165289258</v>
      </c>
      <c r="G16" s="1772"/>
      <c r="H16" s="1773"/>
      <c r="I16" s="1773"/>
      <c r="J16" s="1774">
        <f t="shared" ref="J16:J22" si="2">+F16*E16</f>
        <v>85391.380165289258</v>
      </c>
      <c r="K16" s="1774">
        <f t="shared" ref="K16:K22" si="3">+G16*E16</f>
        <v>0</v>
      </c>
      <c r="L16" s="1775"/>
      <c r="M16" s="1776"/>
      <c r="N16" s="1777"/>
      <c r="O16" s="1778"/>
      <c r="P16" s="1779"/>
      <c r="Q16" s="1773"/>
      <c r="R16" s="1773"/>
      <c r="S16" s="1780">
        <f t="shared" si="0"/>
        <v>0</v>
      </c>
      <c r="T16" s="1780">
        <f t="shared" si="1"/>
        <v>0</v>
      </c>
      <c r="U16" s="1766"/>
      <c r="V16" s="1767"/>
    </row>
    <row r="17" spans="1:32" ht="12" outlineLevel="1">
      <c r="A17" s="1768"/>
      <c r="B17" s="1680"/>
      <c r="C17" s="1802" t="s">
        <v>208</v>
      </c>
      <c r="D17" s="1770" t="s">
        <v>72</v>
      </c>
      <c r="E17" s="1770">
        <v>2</v>
      </c>
      <c r="F17" s="1803">
        <f>+Cotizaciones!D8</f>
        <v>11534.743801652894</v>
      </c>
      <c r="G17" s="1772"/>
      <c r="H17" s="1773"/>
      <c r="I17" s="1773"/>
      <c r="J17" s="1774">
        <f t="shared" si="2"/>
        <v>23069.487603305788</v>
      </c>
      <c r="K17" s="1774">
        <f t="shared" si="3"/>
        <v>0</v>
      </c>
      <c r="L17" s="1775"/>
      <c r="M17" s="1776"/>
      <c r="N17" s="1777"/>
      <c r="O17" s="1778"/>
      <c r="P17" s="1779"/>
      <c r="Q17" s="1773"/>
      <c r="R17" s="1773"/>
      <c r="S17" s="1780">
        <f t="shared" si="0"/>
        <v>0</v>
      </c>
      <c r="T17" s="1780">
        <f t="shared" si="1"/>
        <v>0</v>
      </c>
      <c r="U17" s="1766"/>
      <c r="V17" s="1767"/>
    </row>
    <row r="18" spans="1:32" ht="12" outlineLevel="1">
      <c r="A18" s="1768"/>
      <c r="B18" s="1680"/>
      <c r="C18" s="1802" t="s">
        <v>209</v>
      </c>
      <c r="D18" s="1770" t="s">
        <v>72</v>
      </c>
      <c r="E18" s="1770">
        <f>+E13*4.5</f>
        <v>112.5</v>
      </c>
      <c r="F18" s="1803">
        <v>120</v>
      </c>
      <c r="G18" s="1772"/>
      <c r="H18" s="1773"/>
      <c r="I18" s="1773"/>
      <c r="J18" s="1774">
        <f t="shared" si="2"/>
        <v>13500</v>
      </c>
      <c r="K18" s="1774">
        <f t="shared" si="3"/>
        <v>0</v>
      </c>
      <c r="L18" s="1775"/>
      <c r="M18" s="1776"/>
      <c r="N18" s="1777"/>
      <c r="O18" s="1778"/>
      <c r="P18" s="1779"/>
      <c r="Q18" s="1773"/>
      <c r="R18" s="1773"/>
      <c r="S18" s="1780">
        <f t="shared" si="0"/>
        <v>0</v>
      </c>
      <c r="T18" s="1780">
        <f t="shared" si="1"/>
        <v>0</v>
      </c>
      <c r="U18" s="1766"/>
      <c r="V18" s="1767"/>
    </row>
    <row r="19" spans="1:32" ht="12" outlineLevel="1">
      <c r="A19" s="1768"/>
      <c r="B19" s="1680"/>
      <c r="C19" s="1802" t="s">
        <v>210</v>
      </c>
      <c r="D19" s="1770" t="s">
        <v>211</v>
      </c>
      <c r="E19" s="1770">
        <v>2</v>
      </c>
      <c r="F19" s="1803">
        <f>50000/1.21</f>
        <v>41322.314049586777</v>
      </c>
      <c r="G19" s="1772"/>
      <c r="H19" s="1773"/>
      <c r="I19" s="1773"/>
      <c r="J19" s="1774">
        <f t="shared" si="2"/>
        <v>82644.628099173555</v>
      </c>
      <c r="K19" s="1774">
        <f t="shared" si="3"/>
        <v>0</v>
      </c>
      <c r="L19" s="1775"/>
      <c r="M19" s="1776"/>
      <c r="N19" s="1777"/>
      <c r="O19" s="1778"/>
      <c r="P19" s="1779"/>
      <c r="Q19" s="1773"/>
      <c r="R19" s="1773"/>
      <c r="S19" s="1780">
        <f t="shared" si="0"/>
        <v>0</v>
      </c>
      <c r="T19" s="1780">
        <f t="shared" si="1"/>
        <v>0</v>
      </c>
      <c r="U19" s="1766"/>
      <c r="V19" s="1767"/>
    </row>
    <row r="20" spans="1:32" ht="12" outlineLevel="1">
      <c r="A20" s="1768"/>
      <c r="B20" s="1680"/>
      <c r="C20" s="1802" t="s">
        <v>1832</v>
      </c>
      <c r="D20" s="1770" t="s">
        <v>72</v>
      </c>
      <c r="E20" s="1770">
        <v>7</v>
      </c>
      <c r="F20" s="1771">
        <f>+Cotizaciones!D24</f>
        <v>4992.1646666666666</v>
      </c>
      <c r="G20" s="1772"/>
      <c r="H20" s="1773"/>
      <c r="I20" s="1773"/>
      <c r="J20" s="1774">
        <f t="shared" ref="J20" si="4">+F20*E20</f>
        <v>34945.152666666669</v>
      </c>
      <c r="K20" s="1774">
        <f t="shared" ref="K20" si="5">+G20*E20</f>
        <v>0</v>
      </c>
      <c r="L20" s="1775"/>
      <c r="M20" s="1776"/>
      <c r="N20" s="1777"/>
      <c r="O20" s="1778"/>
      <c r="P20" s="1779"/>
      <c r="Q20" s="1773"/>
      <c r="R20" s="1773"/>
      <c r="S20" s="1780">
        <f t="shared" ref="S20" si="6">+L20*E20</f>
        <v>0</v>
      </c>
      <c r="T20" s="1780">
        <f t="shared" ref="T20" si="7">(+M20*$M$5+N20*$N$5+O20*$O$5+P20*$P$5)*E20</f>
        <v>0</v>
      </c>
      <c r="U20" s="1766"/>
      <c r="V20" s="1767"/>
    </row>
    <row r="21" spans="1:32" ht="12" outlineLevel="1">
      <c r="A21" s="1768"/>
      <c r="B21" s="1680"/>
      <c r="C21" s="1802" t="s">
        <v>212</v>
      </c>
      <c r="D21" s="1770" t="s">
        <v>54</v>
      </c>
      <c r="E21" s="1770">
        <v>0.2</v>
      </c>
      <c r="F21" s="1771">
        <f>+SUM(J13:J19)</f>
        <v>794342.10743801657</v>
      </c>
      <c r="G21" s="1772"/>
      <c r="H21" s="1773"/>
      <c r="I21" s="1773"/>
      <c r="J21" s="1774">
        <f t="shared" si="2"/>
        <v>158868.42148760334</v>
      </c>
      <c r="K21" s="1774">
        <f t="shared" si="3"/>
        <v>0</v>
      </c>
      <c r="L21" s="1775"/>
      <c r="M21" s="1776"/>
      <c r="N21" s="1777"/>
      <c r="O21" s="1778"/>
      <c r="P21" s="1779"/>
      <c r="Q21" s="1773"/>
      <c r="R21" s="1773"/>
      <c r="S21" s="1780">
        <f t="shared" si="0"/>
        <v>0</v>
      </c>
      <c r="T21" s="1780">
        <f t="shared" si="1"/>
        <v>0</v>
      </c>
      <c r="U21" s="1766"/>
      <c r="V21" s="1767"/>
    </row>
    <row r="22" spans="1:32" ht="12" outlineLevel="1">
      <c r="A22" s="1804"/>
      <c r="B22" s="1700"/>
      <c r="C22" s="1805" t="s">
        <v>213</v>
      </c>
      <c r="D22" s="1790" t="s">
        <v>201</v>
      </c>
      <c r="E22" s="1790">
        <v>5</v>
      </c>
      <c r="F22" s="1791"/>
      <c r="G22" s="1792"/>
      <c r="H22" s="1806"/>
      <c r="I22" s="1806"/>
      <c r="J22" s="1794">
        <f t="shared" si="2"/>
        <v>0</v>
      </c>
      <c r="K22" s="1794">
        <f t="shared" si="3"/>
        <v>0</v>
      </c>
      <c r="L22" s="1807"/>
      <c r="M22" s="1808"/>
      <c r="N22" s="1809">
        <v>1</v>
      </c>
      <c r="O22" s="1810">
        <v>1</v>
      </c>
      <c r="P22" s="1811">
        <v>1</v>
      </c>
      <c r="Q22" s="1806"/>
      <c r="R22" s="1806"/>
      <c r="S22" s="1801">
        <f t="shared" si="0"/>
        <v>0</v>
      </c>
      <c r="T22" s="1801">
        <f t="shared" si="1"/>
        <v>1119925.7496771207</v>
      </c>
      <c r="U22" s="1766"/>
      <c r="V22" s="1767"/>
    </row>
    <row r="23" spans="1:32" ht="12">
      <c r="A23" s="1698">
        <f>+'01'!A13</f>
        <v>1.05</v>
      </c>
      <c r="B23" s="1678" t="str">
        <f>+'01'!B13</f>
        <v>OK</v>
      </c>
      <c r="C23" s="1698" t="str">
        <f>+'01'!C13</f>
        <v>Obrador, pañol y ducha</v>
      </c>
      <c r="D23" s="1678" t="str">
        <f>+'01'!D13</f>
        <v>gl</v>
      </c>
      <c r="E23" s="1678">
        <f>+'01'!E13</f>
        <v>1</v>
      </c>
      <c r="F23" s="1757"/>
      <c r="G23" s="1758"/>
      <c r="H23" s="1759">
        <f>+J23/E23</f>
        <v>2270625.1745922863</v>
      </c>
      <c r="I23" s="1759">
        <f>+K23/E23</f>
        <v>300000</v>
      </c>
      <c r="J23" s="1693">
        <f>+SUM(J24:J46)</f>
        <v>2270625.1745922863</v>
      </c>
      <c r="K23" s="1693">
        <f>+SUM(K24:K46)</f>
        <v>300000</v>
      </c>
      <c r="L23" s="1760"/>
      <c r="M23" s="1761"/>
      <c r="N23" s="1762"/>
      <c r="O23" s="1763"/>
      <c r="P23" s="1764"/>
      <c r="Q23" s="1759">
        <f>+U23/E23</f>
        <v>1000000</v>
      </c>
      <c r="R23" s="1759">
        <f>+V23/E23</f>
        <v>5023936.3544306941</v>
      </c>
      <c r="S23" s="1765"/>
      <c r="T23" s="1765"/>
      <c r="U23" s="1767">
        <f>SUM(S24:S46)</f>
        <v>1000000</v>
      </c>
      <c r="V23" s="1767">
        <f>SUM(T24:T46)</f>
        <v>5023936.3544306941</v>
      </c>
      <c r="AD23" s="1749">
        <v>0.66</v>
      </c>
    </row>
    <row r="24" spans="1:32" ht="12" outlineLevel="1">
      <c r="A24" s="1768"/>
      <c r="B24" s="1680"/>
      <c r="C24" s="1802" t="s">
        <v>214</v>
      </c>
      <c r="D24" s="1770" t="s">
        <v>4</v>
      </c>
      <c r="E24" s="1770">
        <v>30</v>
      </c>
      <c r="F24" s="1771">
        <f>+Cotizaciones!D4/2</f>
        <v>5430.8842975206617</v>
      </c>
      <c r="G24" s="1772"/>
      <c r="H24" s="1773"/>
      <c r="I24" s="1773"/>
      <c r="J24" s="1774">
        <f>+F24*E24</f>
        <v>162926.52892561984</v>
      </c>
      <c r="K24" s="1774">
        <f>+G24*E24</f>
        <v>0</v>
      </c>
      <c r="L24" s="1775"/>
      <c r="M24" s="1776"/>
      <c r="N24" s="1777"/>
      <c r="O24" s="1778"/>
      <c r="P24" s="1779"/>
      <c r="Q24" s="1773"/>
      <c r="R24" s="1773"/>
      <c r="S24" s="1780">
        <f>+L24*E24</f>
        <v>0</v>
      </c>
      <c r="T24" s="1780">
        <f t="shared" ref="T24:T35" si="8">(+M24*$M$5+N24*$N$5+O24*$O$5+P24*$P$5)*E24</f>
        <v>0</v>
      </c>
      <c r="U24" s="1766"/>
      <c r="V24" s="1767"/>
      <c r="X24" s="1679" t="s">
        <v>215</v>
      </c>
      <c r="Y24" s="1679" t="s">
        <v>216</v>
      </c>
      <c r="Z24" s="1679" t="s">
        <v>217</v>
      </c>
      <c r="AA24" s="1679" t="s">
        <v>218</v>
      </c>
      <c r="AB24" s="1679" t="s">
        <v>4</v>
      </c>
      <c r="AD24" s="1749" t="s">
        <v>219</v>
      </c>
    </row>
    <row r="25" spans="1:32" ht="12" outlineLevel="1">
      <c r="A25" s="1768"/>
      <c r="B25" s="1680"/>
      <c r="C25" s="1802" t="s">
        <v>220</v>
      </c>
      <c r="D25" s="1770" t="s">
        <v>72</v>
      </c>
      <c r="E25" s="1770">
        <f>+AB33</f>
        <v>30</v>
      </c>
      <c r="F25" s="1771">
        <f>+Cotizaciones!D21/2</f>
        <v>13196.9</v>
      </c>
      <c r="G25" s="1772"/>
      <c r="H25" s="1773"/>
      <c r="I25" s="1773"/>
      <c r="J25" s="1774">
        <f>+F25*E25</f>
        <v>395907</v>
      </c>
      <c r="K25" s="1774">
        <f>+G25*E25</f>
        <v>0</v>
      </c>
      <c r="L25" s="1775"/>
      <c r="M25" s="1776"/>
      <c r="N25" s="1777"/>
      <c r="O25" s="1778"/>
      <c r="P25" s="1779"/>
      <c r="Q25" s="1773"/>
      <c r="R25" s="1773"/>
      <c r="S25" s="1780">
        <f>+L25*E25</f>
        <v>0</v>
      </c>
      <c r="T25" s="1780">
        <f t="shared" si="8"/>
        <v>0</v>
      </c>
      <c r="U25" s="1766"/>
      <c r="V25" s="1767"/>
      <c r="W25" s="1749" t="s">
        <v>221</v>
      </c>
      <c r="X25" s="1749">
        <v>8</v>
      </c>
      <c r="Y25" s="1749">
        <v>4</v>
      </c>
      <c r="Z25" s="1749">
        <f>+X25</f>
        <v>8</v>
      </c>
      <c r="AA25" s="1749">
        <v>2.4</v>
      </c>
      <c r="AB25" s="1749">
        <f>+Z25*AA25</f>
        <v>19.2</v>
      </c>
      <c r="AD25" s="1749">
        <f>+ROUNDUP(X25/$AD$23,0)</f>
        <v>13</v>
      </c>
      <c r="AE25" s="1749">
        <f>+AD25*AA25</f>
        <v>31.2</v>
      </c>
      <c r="AF25" s="1749">
        <f>+ROUNDUP(AE25/3.7,0)</f>
        <v>9</v>
      </c>
    </row>
    <row r="26" spans="1:32" ht="12" outlineLevel="1">
      <c r="A26" s="1768"/>
      <c r="B26" s="1680"/>
      <c r="C26" s="1802" t="s">
        <v>222</v>
      </c>
      <c r="D26" s="1770" t="s">
        <v>72</v>
      </c>
      <c r="E26" s="1770">
        <f>+E27*2</f>
        <v>74</v>
      </c>
      <c r="F26" s="1771">
        <f>+Cotizaciones!D23/2</f>
        <v>1109.3689999999999</v>
      </c>
      <c r="G26" s="1772"/>
      <c r="H26" s="1773"/>
      <c r="I26" s="1773"/>
      <c r="J26" s="1774">
        <f t="shared" ref="J26:J44" si="9">+F26*E26</f>
        <v>82093.305999999997</v>
      </c>
      <c r="K26" s="1774">
        <f t="shared" ref="K26:K44" si="10">+G26*E26</f>
        <v>0</v>
      </c>
      <c r="L26" s="1775"/>
      <c r="M26" s="1776"/>
      <c r="N26" s="1777"/>
      <c r="O26" s="1778"/>
      <c r="P26" s="1779"/>
      <c r="Q26" s="1773"/>
      <c r="R26" s="1773"/>
      <c r="S26" s="1780">
        <f t="shared" ref="S26:S31" si="11">+L26*E26</f>
        <v>0</v>
      </c>
      <c r="T26" s="1780">
        <f t="shared" si="8"/>
        <v>0</v>
      </c>
      <c r="U26" s="1766"/>
      <c r="V26" s="1767"/>
      <c r="W26" s="1749" t="s">
        <v>223</v>
      </c>
      <c r="X26" s="1749">
        <f>+X25</f>
        <v>8</v>
      </c>
      <c r="Y26" s="1749">
        <v>4</v>
      </c>
      <c r="AB26" s="1749">
        <f>+X26*Y26</f>
        <v>32</v>
      </c>
      <c r="AD26" s="1749">
        <f>+ROUNDUP(Y26/$AD$23,0)</f>
        <v>7</v>
      </c>
      <c r="AE26" s="1749">
        <f>+AD26*X26</f>
        <v>56</v>
      </c>
      <c r="AF26" s="1749">
        <f>+ROUNDUP(AE26/3.7,0)</f>
        <v>16</v>
      </c>
    </row>
    <row r="27" spans="1:32" ht="12" outlineLevel="1">
      <c r="A27" s="1768"/>
      <c r="B27" s="1680"/>
      <c r="C27" s="1802" t="s">
        <v>224</v>
      </c>
      <c r="D27" s="1770" t="s">
        <v>72</v>
      </c>
      <c r="E27" s="1770">
        <f>+AF28</f>
        <v>37</v>
      </c>
      <c r="F27" s="1771">
        <f>+Cotizaciones!D24/2</f>
        <v>2496.0823333333333</v>
      </c>
      <c r="G27" s="1772"/>
      <c r="H27" s="1773"/>
      <c r="I27" s="1773"/>
      <c r="J27" s="1774">
        <f t="shared" si="9"/>
        <v>92355.046333333332</v>
      </c>
      <c r="K27" s="1774">
        <f t="shared" si="10"/>
        <v>0</v>
      </c>
      <c r="L27" s="1775"/>
      <c r="M27" s="1776"/>
      <c r="N27" s="1777"/>
      <c r="O27" s="1778"/>
      <c r="P27" s="1779"/>
      <c r="Q27" s="1773"/>
      <c r="R27" s="1773"/>
      <c r="S27" s="1780">
        <f t="shared" si="11"/>
        <v>0</v>
      </c>
      <c r="T27" s="1780">
        <f t="shared" si="8"/>
        <v>0</v>
      </c>
      <c r="U27" s="1766"/>
      <c r="V27" s="1767"/>
      <c r="W27" s="1749" t="s">
        <v>225</v>
      </c>
      <c r="X27" s="1749">
        <v>3</v>
      </c>
      <c r="Y27" s="1749">
        <v>3</v>
      </c>
      <c r="AA27" s="1749">
        <v>2.4</v>
      </c>
      <c r="AB27" s="1749">
        <f>+X27*Y27*AA27</f>
        <v>21.599999999999998</v>
      </c>
      <c r="AD27" s="1749">
        <f>+ROUNDUP(Y27*3/$AD$23,0)</f>
        <v>14</v>
      </c>
      <c r="AE27" s="1749">
        <f>+AD27*X27</f>
        <v>42</v>
      </c>
      <c r="AF27" s="1749">
        <f>+ROUNDUP(AE27/3.7,0)</f>
        <v>12</v>
      </c>
    </row>
    <row r="28" spans="1:32" ht="12" outlineLevel="1">
      <c r="A28" s="1768"/>
      <c r="B28" s="1680"/>
      <c r="C28" s="1802" t="s">
        <v>226</v>
      </c>
      <c r="D28" s="1770" t="s">
        <v>72</v>
      </c>
      <c r="E28" s="1770">
        <v>20</v>
      </c>
      <c r="F28" s="1771">
        <f>+F27*2</f>
        <v>4992.1646666666666</v>
      </c>
      <c r="G28" s="1772"/>
      <c r="H28" s="1773"/>
      <c r="I28" s="1773"/>
      <c r="J28" s="1774">
        <f>+F28*E28</f>
        <v>99843.293333333335</v>
      </c>
      <c r="K28" s="1774">
        <f>+G28*E28</f>
        <v>0</v>
      </c>
      <c r="L28" s="1775"/>
      <c r="M28" s="1776"/>
      <c r="N28" s="1777"/>
      <c r="O28" s="1778"/>
      <c r="P28" s="1779"/>
      <c r="Q28" s="1773"/>
      <c r="R28" s="1773"/>
      <c r="S28" s="1780">
        <f t="shared" si="11"/>
        <v>0</v>
      </c>
      <c r="T28" s="1780">
        <f t="shared" si="8"/>
        <v>0</v>
      </c>
      <c r="U28" s="1766"/>
      <c r="V28" s="1767"/>
      <c r="W28" s="1749" t="s">
        <v>227</v>
      </c>
      <c r="AF28" s="1812">
        <f>+SUM(AF25:AF27)</f>
        <v>37</v>
      </c>
    </row>
    <row r="29" spans="1:32" ht="12" outlineLevel="1">
      <c r="A29" s="1768"/>
      <c r="B29" s="1680"/>
      <c r="C29" s="1802" t="s">
        <v>228</v>
      </c>
      <c r="D29" s="1770" t="s">
        <v>54</v>
      </c>
      <c r="E29" s="1770">
        <v>0</v>
      </c>
      <c r="F29" s="1771">
        <f>+SUM(J26:J28)</f>
        <v>274291.64566666668</v>
      </c>
      <c r="G29" s="1772"/>
      <c r="H29" s="1773"/>
      <c r="I29" s="1773"/>
      <c r="J29" s="1774">
        <f>+F29*E29</f>
        <v>0</v>
      </c>
      <c r="K29" s="1774">
        <f>+G29*E29</f>
        <v>0</v>
      </c>
      <c r="L29" s="1775"/>
      <c r="M29" s="1776"/>
      <c r="N29" s="1777"/>
      <c r="O29" s="1778"/>
      <c r="P29" s="1779"/>
      <c r="Q29" s="1773"/>
      <c r="R29" s="1773"/>
      <c r="S29" s="1780">
        <f t="shared" si="11"/>
        <v>0</v>
      </c>
      <c r="T29" s="1780">
        <f t="shared" si="8"/>
        <v>0</v>
      </c>
      <c r="U29" s="1766"/>
      <c r="V29" s="1767"/>
      <c r="AF29" s="1812"/>
    </row>
    <row r="30" spans="1:32" ht="12" outlineLevel="1">
      <c r="A30" s="1768"/>
      <c r="B30" s="1680"/>
      <c r="C30" s="1802" t="s">
        <v>229</v>
      </c>
      <c r="D30" s="1770" t="s">
        <v>72</v>
      </c>
      <c r="E30" s="1770">
        <v>2</v>
      </c>
      <c r="F30" s="1771"/>
      <c r="G30" s="1772"/>
      <c r="H30" s="1773"/>
      <c r="I30" s="1773"/>
      <c r="J30" s="1774">
        <f t="shared" si="9"/>
        <v>0</v>
      </c>
      <c r="K30" s="1774">
        <f t="shared" si="10"/>
        <v>0</v>
      </c>
      <c r="L30" s="1775">
        <v>250000</v>
      </c>
      <c r="M30" s="1776"/>
      <c r="N30" s="1777"/>
      <c r="O30" s="1778"/>
      <c r="P30" s="1779"/>
      <c r="Q30" s="1773"/>
      <c r="R30" s="1773"/>
      <c r="S30" s="1780">
        <f t="shared" si="11"/>
        <v>500000</v>
      </c>
      <c r="T30" s="1780">
        <f t="shared" si="8"/>
        <v>0</v>
      </c>
      <c r="U30" s="1766"/>
      <c r="V30" s="1767"/>
      <c r="AB30" s="1749">
        <f>+SUM(AB25:AB27)</f>
        <v>72.8</v>
      </c>
    </row>
    <row r="31" spans="1:32" ht="12" outlineLevel="1">
      <c r="A31" s="1768"/>
      <c r="B31" s="1680"/>
      <c r="C31" s="1802" t="s">
        <v>230</v>
      </c>
      <c r="D31" s="1770" t="s">
        <v>54</v>
      </c>
      <c r="E31" s="1770">
        <v>1</v>
      </c>
      <c r="F31" s="1771"/>
      <c r="G31" s="1772">
        <v>300000</v>
      </c>
      <c r="H31" s="1773"/>
      <c r="I31" s="1773"/>
      <c r="J31" s="1774">
        <f>+F31*E31</f>
        <v>0</v>
      </c>
      <c r="K31" s="1774">
        <f>+G31*E31</f>
        <v>300000</v>
      </c>
      <c r="L31" s="1775"/>
      <c r="M31" s="1776"/>
      <c r="N31" s="1777"/>
      <c r="O31" s="1778"/>
      <c r="P31" s="1779"/>
      <c r="Q31" s="1773"/>
      <c r="R31" s="1773"/>
      <c r="S31" s="1780">
        <f t="shared" si="11"/>
        <v>0</v>
      </c>
      <c r="T31" s="1780">
        <f t="shared" si="8"/>
        <v>0</v>
      </c>
      <c r="U31" s="1766"/>
      <c r="V31" s="1767"/>
    </row>
    <row r="32" spans="1:32" ht="12" outlineLevel="1">
      <c r="A32" s="1768"/>
      <c r="B32" s="1680"/>
      <c r="C32" s="1802" t="s">
        <v>231</v>
      </c>
      <c r="D32" s="1770" t="s">
        <v>201</v>
      </c>
      <c r="E32" s="1770">
        <v>5</v>
      </c>
      <c r="F32" s="1771"/>
      <c r="G32" s="1772"/>
      <c r="H32" s="1773"/>
      <c r="I32" s="1773"/>
      <c r="J32" s="1774">
        <f t="shared" si="9"/>
        <v>0</v>
      </c>
      <c r="K32" s="1774">
        <f t="shared" si="10"/>
        <v>0</v>
      </c>
      <c r="L32" s="1775"/>
      <c r="M32" s="1776"/>
      <c r="N32" s="1777">
        <v>1</v>
      </c>
      <c r="O32" s="1778">
        <v>1</v>
      </c>
      <c r="P32" s="1779">
        <v>2</v>
      </c>
      <c r="Q32" s="1773"/>
      <c r="R32" s="1773"/>
      <c r="S32" s="1780">
        <f>+L32*E32</f>
        <v>0</v>
      </c>
      <c r="T32" s="1780">
        <f t="shared" si="8"/>
        <v>1456128.2439784589</v>
      </c>
      <c r="U32" s="1766">
        <f>+N32*$E32</f>
        <v>5</v>
      </c>
      <c r="V32" s="1766">
        <f>+O32*$E32</f>
        <v>5</v>
      </c>
      <c r="W32" s="1766">
        <f>+P32*$E32</f>
        <v>10</v>
      </c>
      <c r="AB32" s="1749">
        <f>1.2*2.4</f>
        <v>2.88</v>
      </c>
    </row>
    <row r="33" spans="1:30" ht="12" outlineLevel="1">
      <c r="A33" s="1768"/>
      <c r="B33" s="1680"/>
      <c r="C33" s="1802" t="s">
        <v>232</v>
      </c>
      <c r="D33" s="1770" t="s">
        <v>233</v>
      </c>
      <c r="E33" s="1770">
        <v>1</v>
      </c>
      <c r="F33" s="1771">
        <v>250000</v>
      </c>
      <c r="G33" s="1772"/>
      <c r="H33" s="1773"/>
      <c r="I33" s="1773"/>
      <c r="J33" s="1774">
        <f t="shared" si="9"/>
        <v>250000</v>
      </c>
      <c r="K33" s="1774">
        <f t="shared" si="10"/>
        <v>0</v>
      </c>
      <c r="L33" s="1775"/>
      <c r="M33" s="1776"/>
      <c r="N33" s="1777"/>
      <c r="O33" s="1778"/>
      <c r="P33" s="1779"/>
      <c r="Q33" s="1773"/>
      <c r="R33" s="1773"/>
      <c r="S33" s="1780">
        <f>+L33*E33</f>
        <v>0</v>
      </c>
      <c r="T33" s="1780">
        <f t="shared" si="8"/>
        <v>0</v>
      </c>
      <c r="U33" s="1766"/>
      <c r="V33" s="1767"/>
      <c r="AB33" s="1749">
        <f>+ROUNDUP(AB30/AB32*1.15,0)</f>
        <v>30</v>
      </c>
      <c r="AD33" s="1749">
        <f>+SUM(AD25:AD32)*1.15</f>
        <v>39.099999999999994</v>
      </c>
    </row>
    <row r="34" spans="1:30" ht="12" outlineLevel="1">
      <c r="A34" s="1768"/>
      <c r="B34" s="1680"/>
      <c r="C34" s="1802" t="s">
        <v>234</v>
      </c>
      <c r="D34" s="1770" t="s">
        <v>72</v>
      </c>
      <c r="E34" s="1770">
        <v>10</v>
      </c>
      <c r="F34" s="1771">
        <v>500</v>
      </c>
      <c r="G34" s="1772"/>
      <c r="H34" s="1773"/>
      <c r="I34" s="1773"/>
      <c r="J34" s="1774">
        <f t="shared" si="9"/>
        <v>5000</v>
      </c>
      <c r="K34" s="1774">
        <f t="shared" si="10"/>
        <v>0</v>
      </c>
      <c r="L34" s="1775"/>
      <c r="M34" s="1776"/>
      <c r="N34" s="1777"/>
      <c r="O34" s="1778"/>
      <c r="P34" s="1779"/>
      <c r="Q34" s="1773"/>
      <c r="R34" s="1773"/>
      <c r="S34" s="1780">
        <f>+L34*E34</f>
        <v>0</v>
      </c>
      <c r="T34" s="1780">
        <f t="shared" si="8"/>
        <v>0</v>
      </c>
      <c r="U34" s="1766"/>
      <c r="V34" s="1767"/>
    </row>
    <row r="35" spans="1:30" ht="12" outlineLevel="1">
      <c r="A35" s="1768"/>
      <c r="B35" s="1680"/>
      <c r="C35" s="1802" t="s">
        <v>235</v>
      </c>
      <c r="D35" s="1770" t="s">
        <v>72</v>
      </c>
      <c r="E35" s="1770">
        <f>+E34</f>
        <v>10</v>
      </c>
      <c r="F35" s="1771">
        <v>3000</v>
      </c>
      <c r="G35" s="1772"/>
      <c r="H35" s="1773"/>
      <c r="I35" s="1773"/>
      <c r="J35" s="1774">
        <f t="shared" si="9"/>
        <v>30000</v>
      </c>
      <c r="K35" s="1774">
        <f t="shared" si="10"/>
        <v>0</v>
      </c>
      <c r="L35" s="1775"/>
      <c r="M35" s="1776"/>
      <c r="N35" s="1777"/>
      <c r="O35" s="1778"/>
      <c r="P35" s="1779"/>
      <c r="Q35" s="1773"/>
      <c r="R35" s="1773"/>
      <c r="S35" s="1780">
        <f>+L35*E35</f>
        <v>0</v>
      </c>
      <c r="T35" s="1780">
        <f t="shared" si="8"/>
        <v>0</v>
      </c>
      <c r="U35" s="1766"/>
      <c r="V35" s="1767"/>
    </row>
    <row r="36" spans="1:30" ht="12" outlineLevel="1">
      <c r="A36" s="1768"/>
      <c r="B36" s="1680"/>
      <c r="C36" s="1802" t="s">
        <v>236</v>
      </c>
      <c r="D36" s="1770" t="s">
        <v>54</v>
      </c>
      <c r="E36" s="1770">
        <v>0.5</v>
      </c>
      <c r="F36" s="1771">
        <f>+SUM(J33:J35)</f>
        <v>285000</v>
      </c>
      <c r="G36" s="1772"/>
      <c r="H36" s="1773"/>
      <c r="I36" s="1773"/>
      <c r="J36" s="1774">
        <f>+F36*E36</f>
        <v>142500</v>
      </c>
      <c r="K36" s="1774">
        <f>+G36*E36</f>
        <v>0</v>
      </c>
      <c r="L36" s="1775"/>
      <c r="M36" s="1776"/>
      <c r="N36" s="1777"/>
      <c r="O36" s="1778"/>
      <c r="P36" s="1779"/>
      <c r="Q36" s="1773"/>
      <c r="R36" s="1773"/>
      <c r="S36" s="1780">
        <f t="shared" ref="S36:S42" si="12">+L36*E36</f>
        <v>0</v>
      </c>
      <c r="T36" s="1780">
        <f t="shared" ref="T36:T42" si="13">(+M36*$M$5+N36*$N$5+O36*$O$5+P36*$P$5)*E36</f>
        <v>0</v>
      </c>
      <c r="U36" s="1766"/>
      <c r="V36" s="1767"/>
    </row>
    <row r="37" spans="1:30" ht="12" outlineLevel="1">
      <c r="A37" s="1768"/>
      <c r="B37" s="1680"/>
      <c r="C37" s="1802" t="s">
        <v>237</v>
      </c>
      <c r="D37" s="1770" t="s">
        <v>201</v>
      </c>
      <c r="E37" s="1770">
        <v>3</v>
      </c>
      <c r="F37" s="1771"/>
      <c r="G37" s="1772"/>
      <c r="H37" s="1773"/>
      <c r="I37" s="1773"/>
      <c r="J37" s="1774">
        <f t="shared" si="9"/>
        <v>0</v>
      </c>
      <c r="K37" s="1774">
        <f t="shared" si="10"/>
        <v>0</v>
      </c>
      <c r="L37" s="1775"/>
      <c r="M37" s="1776">
        <v>1</v>
      </c>
      <c r="N37" s="1777">
        <v>1</v>
      </c>
      <c r="O37" s="1778"/>
      <c r="P37" s="1779"/>
      <c r="Q37" s="1773"/>
      <c r="R37" s="1773"/>
      <c r="S37" s="1780">
        <f t="shared" si="12"/>
        <v>0</v>
      </c>
      <c r="T37" s="1780">
        <f t="shared" si="13"/>
        <v>536368.95177931583</v>
      </c>
      <c r="U37" s="1766">
        <f>+N37*$E37</f>
        <v>3</v>
      </c>
      <c r="V37" s="1766">
        <f>+O37*$E37</f>
        <v>0</v>
      </c>
      <c r="W37" s="1766">
        <f>+P37*$E37</f>
        <v>0</v>
      </c>
    </row>
    <row r="38" spans="1:30" ht="12" outlineLevel="1">
      <c r="A38" s="1768"/>
      <c r="B38" s="1680"/>
      <c r="C38" s="1802" t="s">
        <v>238</v>
      </c>
      <c r="D38" s="1770" t="s">
        <v>54</v>
      </c>
      <c r="E38" s="1770">
        <v>1</v>
      </c>
      <c r="F38" s="1771">
        <v>300000</v>
      </c>
      <c r="G38" s="1772"/>
      <c r="H38" s="1773"/>
      <c r="I38" s="1773"/>
      <c r="J38" s="1774">
        <f t="shared" si="9"/>
        <v>300000</v>
      </c>
      <c r="K38" s="1774">
        <f t="shared" si="10"/>
        <v>0</v>
      </c>
      <c r="L38" s="1775"/>
      <c r="M38" s="1776"/>
      <c r="N38" s="1777"/>
      <c r="O38" s="1778"/>
      <c r="P38" s="1779"/>
      <c r="Q38" s="1773"/>
      <c r="R38" s="1773"/>
      <c r="S38" s="1780">
        <f t="shared" si="12"/>
        <v>0</v>
      </c>
      <c r="T38" s="1780">
        <f t="shared" si="13"/>
        <v>0</v>
      </c>
      <c r="U38" s="1766"/>
      <c r="V38" s="1767"/>
    </row>
    <row r="39" spans="1:30" ht="12" outlineLevel="1">
      <c r="A39" s="1768"/>
      <c r="B39" s="1680"/>
      <c r="C39" s="1802" t="s">
        <v>239</v>
      </c>
      <c r="D39" s="1770" t="s">
        <v>72</v>
      </c>
      <c r="E39" s="1770">
        <v>2</v>
      </c>
      <c r="F39" s="1771">
        <v>150000</v>
      </c>
      <c r="G39" s="1772"/>
      <c r="H39" s="1773"/>
      <c r="I39" s="1773"/>
      <c r="J39" s="1774">
        <f t="shared" si="9"/>
        <v>300000</v>
      </c>
      <c r="K39" s="1774">
        <f t="shared" si="10"/>
        <v>0</v>
      </c>
      <c r="L39" s="1775"/>
      <c r="M39" s="1776"/>
      <c r="N39" s="1777"/>
      <c r="O39" s="1778"/>
      <c r="P39" s="1779"/>
      <c r="Q39" s="1773"/>
      <c r="R39" s="1773"/>
      <c r="S39" s="1780">
        <f t="shared" si="12"/>
        <v>0</v>
      </c>
      <c r="T39" s="1780">
        <f t="shared" si="13"/>
        <v>0</v>
      </c>
      <c r="U39" s="1766"/>
      <c r="V39" s="1767"/>
    </row>
    <row r="40" spans="1:30" ht="12" outlineLevel="1">
      <c r="A40" s="1768"/>
      <c r="B40" s="1680"/>
      <c r="C40" s="1802" t="s">
        <v>240</v>
      </c>
      <c r="D40" s="1770" t="s">
        <v>72</v>
      </c>
      <c r="E40" s="1770">
        <v>2</v>
      </c>
      <c r="F40" s="1771">
        <v>25000</v>
      </c>
      <c r="G40" s="1772"/>
      <c r="H40" s="1773"/>
      <c r="I40" s="1773"/>
      <c r="J40" s="1774">
        <f>+F40*E40</f>
        <v>50000</v>
      </c>
      <c r="K40" s="1774">
        <f>+G40*E40</f>
        <v>0</v>
      </c>
      <c r="L40" s="1775"/>
      <c r="M40" s="1776"/>
      <c r="N40" s="1777"/>
      <c r="O40" s="1778"/>
      <c r="P40" s="1779"/>
      <c r="Q40" s="1773"/>
      <c r="R40" s="1773"/>
      <c r="S40" s="1780">
        <f t="shared" si="12"/>
        <v>0</v>
      </c>
      <c r="T40" s="1780">
        <f t="shared" si="13"/>
        <v>0</v>
      </c>
      <c r="U40" s="1766"/>
      <c r="V40" s="1767"/>
    </row>
    <row r="41" spans="1:30" ht="12" outlineLevel="1">
      <c r="A41" s="1768"/>
      <c r="B41" s="1680"/>
      <c r="C41" s="1802" t="s">
        <v>241</v>
      </c>
      <c r="D41" s="1770" t="s">
        <v>72</v>
      </c>
      <c r="E41" s="1770">
        <v>2</v>
      </c>
      <c r="F41" s="1771">
        <v>30000</v>
      </c>
      <c r="G41" s="1772"/>
      <c r="H41" s="1773"/>
      <c r="I41" s="1773"/>
      <c r="J41" s="1774">
        <f>+F41*E41</f>
        <v>60000</v>
      </c>
      <c r="K41" s="1774">
        <f>+G41*E41</f>
        <v>0</v>
      </c>
      <c r="L41" s="1775"/>
      <c r="M41" s="1776"/>
      <c r="N41" s="1777"/>
      <c r="O41" s="1778"/>
      <c r="P41" s="1779"/>
      <c r="Q41" s="1773"/>
      <c r="R41" s="1773"/>
      <c r="S41" s="1780">
        <f t="shared" si="12"/>
        <v>0</v>
      </c>
      <c r="T41" s="1780">
        <f t="shared" si="13"/>
        <v>0</v>
      </c>
      <c r="U41" s="1766"/>
      <c r="V41" s="1767"/>
    </row>
    <row r="42" spans="1:30" ht="12" outlineLevel="1">
      <c r="A42" s="1768"/>
      <c r="B42" s="1680"/>
      <c r="C42" s="1802" t="s">
        <v>242</v>
      </c>
      <c r="D42" s="1770" t="s">
        <v>72</v>
      </c>
      <c r="E42" s="1770">
        <v>1</v>
      </c>
      <c r="F42" s="1771">
        <v>300000</v>
      </c>
      <c r="G42" s="1772"/>
      <c r="H42" s="1773"/>
      <c r="I42" s="1773"/>
      <c r="J42" s="1774">
        <f>+F42*E42</f>
        <v>300000</v>
      </c>
      <c r="K42" s="1774">
        <f>+G42*E42</f>
        <v>0</v>
      </c>
      <c r="L42" s="1775"/>
      <c r="M42" s="1776"/>
      <c r="N42" s="1777"/>
      <c r="O42" s="1778"/>
      <c r="P42" s="1779"/>
      <c r="Q42" s="1773"/>
      <c r="R42" s="1773"/>
      <c r="S42" s="1780">
        <f t="shared" si="12"/>
        <v>0</v>
      </c>
      <c r="T42" s="1780">
        <f t="shared" si="13"/>
        <v>0</v>
      </c>
      <c r="U42" s="1766"/>
      <c r="V42" s="1767"/>
    </row>
    <row r="43" spans="1:30" ht="12" outlineLevel="1">
      <c r="A43" s="1768"/>
      <c r="B43" s="1680"/>
      <c r="C43" s="1802" t="s">
        <v>243</v>
      </c>
      <c r="D43" s="1770" t="s">
        <v>201</v>
      </c>
      <c r="E43" s="1770">
        <v>4</v>
      </c>
      <c r="F43" s="1771"/>
      <c r="G43" s="1772"/>
      <c r="H43" s="1773"/>
      <c r="I43" s="1773"/>
      <c r="J43" s="1774">
        <f>+F43*E43</f>
        <v>0</v>
      </c>
      <c r="K43" s="1774">
        <f>+G43*E43</f>
        <v>0</v>
      </c>
      <c r="L43" s="1775"/>
      <c r="M43" s="1776">
        <v>1</v>
      </c>
      <c r="N43" s="1777">
        <v>1</v>
      </c>
      <c r="O43" s="1778"/>
      <c r="P43" s="1779"/>
      <c r="Q43" s="1773"/>
      <c r="R43" s="1773"/>
      <c r="S43" s="1780">
        <f>+L43*E43</f>
        <v>0</v>
      </c>
      <c r="T43" s="1780">
        <f>(+M43*$M$5+N43*$N$5+O43*$O$5+P43*$P$5)*E43</f>
        <v>715158.60237242107</v>
      </c>
      <c r="U43" s="1766">
        <f t="shared" ref="U43:W44" si="14">+N43*$E43</f>
        <v>4</v>
      </c>
      <c r="V43" s="1766">
        <f t="shared" si="14"/>
        <v>0</v>
      </c>
      <c r="W43" s="1766">
        <f t="shared" si="14"/>
        <v>0</v>
      </c>
    </row>
    <row r="44" spans="1:30" ht="12" outlineLevel="1">
      <c r="A44" s="1768"/>
      <c r="B44" s="1680"/>
      <c r="C44" s="1802" t="s">
        <v>244</v>
      </c>
      <c r="D44" s="1770" t="s">
        <v>61</v>
      </c>
      <c r="E44" s="1770">
        <f>+GGBB!F4</f>
        <v>19</v>
      </c>
      <c r="F44" s="1771"/>
      <c r="G44" s="1772"/>
      <c r="H44" s="1773"/>
      <c r="I44" s="1773"/>
      <c r="J44" s="1774">
        <f t="shared" si="9"/>
        <v>0</v>
      </c>
      <c r="K44" s="1774">
        <f t="shared" si="10"/>
        <v>0</v>
      </c>
      <c r="L44" s="1775"/>
      <c r="M44" s="1776"/>
      <c r="N44" s="1777">
        <v>0.5</v>
      </c>
      <c r="O44" s="1778"/>
      <c r="P44" s="1779">
        <v>0.5</v>
      </c>
      <c r="Q44" s="1773"/>
      <c r="R44" s="1773"/>
      <c r="S44" s="1780">
        <f>+L44*E44</f>
        <v>0</v>
      </c>
      <c r="T44" s="1780">
        <f>(+M44*$M$5+N44*$N$5+O44*$O$5+P44*$P$5)*E44</f>
        <v>1442603.6099134232</v>
      </c>
      <c r="U44" s="1766">
        <f t="shared" si="14"/>
        <v>9.5</v>
      </c>
      <c r="V44" s="1766">
        <f t="shared" si="14"/>
        <v>0</v>
      </c>
      <c r="W44" s="1766">
        <f t="shared" si="14"/>
        <v>9.5</v>
      </c>
    </row>
    <row r="45" spans="1:30" ht="12" outlineLevel="1">
      <c r="A45" s="1813"/>
      <c r="B45" s="1814"/>
      <c r="C45" s="1802" t="s">
        <v>229</v>
      </c>
      <c r="D45" s="1815" t="s">
        <v>72</v>
      </c>
      <c r="E45" s="1815">
        <v>2</v>
      </c>
      <c r="F45" s="1816"/>
      <c r="G45" s="1817"/>
      <c r="H45" s="1818"/>
      <c r="I45" s="1818"/>
      <c r="J45" s="1774">
        <f t="shared" ref="J45" si="15">+F45*E45</f>
        <v>0</v>
      </c>
      <c r="K45" s="1774">
        <f t="shared" ref="K45" si="16">+G45*E45</f>
        <v>0</v>
      </c>
      <c r="L45" s="1819">
        <v>250000</v>
      </c>
      <c r="M45" s="1820"/>
      <c r="N45" s="1821"/>
      <c r="O45" s="1822"/>
      <c r="P45" s="1823"/>
      <c r="Q45" s="1818"/>
      <c r="R45" s="1818"/>
      <c r="S45" s="1780">
        <f>+L45*E45</f>
        <v>500000</v>
      </c>
      <c r="T45" s="1780">
        <f>(+M45*$M$5+N45*$N$5+O45*$O$5+P45*$P$5)*E45</f>
        <v>0</v>
      </c>
      <c r="U45" s="1767"/>
      <c r="V45" s="1767"/>
    </row>
    <row r="46" spans="1:30" ht="12" outlineLevel="1">
      <c r="A46" s="1804"/>
      <c r="B46" s="1700"/>
      <c r="C46" s="1805" t="s">
        <v>1757</v>
      </c>
      <c r="D46" s="1790" t="s">
        <v>201</v>
      </c>
      <c r="E46" s="1790">
        <v>3</v>
      </c>
      <c r="F46" s="1791"/>
      <c r="G46" s="1792"/>
      <c r="H46" s="1806"/>
      <c r="I46" s="1806"/>
      <c r="J46" s="1794">
        <f>+F46*E46</f>
        <v>0</v>
      </c>
      <c r="K46" s="1794">
        <f>+G46*E46</f>
        <v>0</v>
      </c>
      <c r="L46" s="1807"/>
      <c r="M46" s="1808"/>
      <c r="N46" s="1809">
        <v>1</v>
      </c>
      <c r="O46" s="1810">
        <v>1</v>
      </c>
      <c r="P46" s="1811">
        <v>2</v>
      </c>
      <c r="Q46" s="1806"/>
      <c r="R46" s="1806"/>
      <c r="S46" s="1801">
        <f>+L46*E46</f>
        <v>0</v>
      </c>
      <c r="T46" s="1801">
        <f>(+M46*$M$5+N46*$N$5+O46*$O$5+P46*$P$5)*E46</f>
        <v>873676.94638707535</v>
      </c>
      <c r="U46" s="1766">
        <f>+N46*$E46</f>
        <v>3</v>
      </c>
      <c r="V46" s="1766">
        <f>+O46*$E46</f>
        <v>3</v>
      </c>
      <c r="W46" s="1766">
        <f>+P46*$E46</f>
        <v>6</v>
      </c>
    </row>
    <row r="47" spans="1:30" ht="12">
      <c r="A47" s="1698">
        <f>+'01'!A14</f>
        <v>1.06</v>
      </c>
      <c r="B47" s="1678">
        <f>+'01'!B8</f>
        <v>0</v>
      </c>
      <c r="C47" s="1698" t="str">
        <f>+'01'!C14</f>
        <v>Alquiler de baños quimicos y duchas portatiles</v>
      </c>
      <c r="D47" s="1678" t="str">
        <f>+'01'!D14</f>
        <v>mes</v>
      </c>
      <c r="E47" s="1678">
        <f>+'01'!E14</f>
        <v>4</v>
      </c>
      <c r="F47" s="1757"/>
      <c r="G47" s="1758"/>
      <c r="H47" s="1759">
        <f>+J47/E47</f>
        <v>0</v>
      </c>
      <c r="I47" s="1759">
        <f>+K47/E47</f>
        <v>0</v>
      </c>
      <c r="J47" s="1693">
        <f>+SUM(J48:J51)</f>
        <v>0</v>
      </c>
      <c r="K47" s="1693">
        <f>+SUM(K48:K51)</f>
        <v>0</v>
      </c>
      <c r="L47" s="1760"/>
      <c r="M47" s="1761"/>
      <c r="N47" s="1762"/>
      <c r="O47" s="1763"/>
      <c r="P47" s="1764"/>
      <c r="Q47" s="1759">
        <f>+U47/E47</f>
        <v>260000</v>
      </c>
      <c r="R47" s="1759">
        <f>+V47/E47</f>
        <v>0</v>
      </c>
      <c r="S47" s="1824"/>
      <c r="T47" s="1824"/>
      <c r="U47" s="1767">
        <f>SUM(S48:S51)</f>
        <v>1040000</v>
      </c>
      <c r="V47" s="1767">
        <f>SUM(T48:T51)</f>
        <v>0</v>
      </c>
    </row>
    <row r="48" spans="1:30" ht="12" outlineLevel="2">
      <c r="A48" s="1768"/>
      <c r="B48" s="1680"/>
      <c r="C48" s="1802" t="s">
        <v>1833</v>
      </c>
      <c r="D48" s="1770" t="s">
        <v>61</v>
      </c>
      <c r="E48" s="1770">
        <f>+$E$47</f>
        <v>4</v>
      </c>
      <c r="F48" s="1771"/>
      <c r="G48" s="1772"/>
      <c r="H48" s="1773"/>
      <c r="I48" s="1773"/>
      <c r="J48" s="1774">
        <f t="shared" ref="J48:J51" si="17">+F48*E48</f>
        <v>0</v>
      </c>
      <c r="K48" s="1774">
        <f t="shared" ref="K48:K51" si="18">+G48*E48</f>
        <v>0</v>
      </c>
      <c r="L48" s="1775">
        <f>+Cotizaciones!D49</f>
        <v>80000</v>
      </c>
      <c r="M48" s="1776"/>
      <c r="N48" s="1777"/>
      <c r="O48" s="1778"/>
      <c r="P48" s="1779"/>
      <c r="Q48" s="1773"/>
      <c r="R48" s="1773"/>
      <c r="S48" s="1780">
        <f t="shared" ref="S48:S51" si="19">+L48*E48</f>
        <v>320000</v>
      </c>
      <c r="T48" s="1780">
        <f t="shared" ref="T48:T51" si="20">(+M48*$M$5+N48*$N$5+O48*$O$5+P48*$P$5)*E48</f>
        <v>0</v>
      </c>
      <c r="U48" s="1767"/>
      <c r="V48" s="1767"/>
    </row>
    <row r="49" spans="1:22" ht="12" outlineLevel="2">
      <c r="A49" s="1813"/>
      <c r="B49" s="1814"/>
      <c r="C49" s="1802" t="s">
        <v>1836</v>
      </c>
      <c r="D49" s="1815" t="s">
        <v>61</v>
      </c>
      <c r="E49" s="1770">
        <f>+$E$47</f>
        <v>4</v>
      </c>
      <c r="F49" s="1816"/>
      <c r="G49" s="1817"/>
      <c r="H49" s="1818"/>
      <c r="I49" s="1818"/>
      <c r="J49" s="1774">
        <f t="shared" ref="J49:J50" si="21">+F49*E49</f>
        <v>0</v>
      </c>
      <c r="K49" s="1774">
        <f t="shared" ref="K49:K50" si="22">+G49*E49</f>
        <v>0</v>
      </c>
      <c r="L49" s="1775">
        <f>+Cotizaciones!D49</f>
        <v>80000</v>
      </c>
      <c r="M49" s="1820"/>
      <c r="N49" s="1821"/>
      <c r="O49" s="1822"/>
      <c r="P49" s="1823"/>
      <c r="Q49" s="1818"/>
      <c r="R49" s="1818"/>
      <c r="S49" s="1780">
        <f t="shared" ref="S49:S50" si="23">+L49*E49</f>
        <v>320000</v>
      </c>
      <c r="T49" s="1780">
        <f t="shared" ref="T49:T50" si="24">(+M49*$M$5+N49*$N$5+O49*$O$5+P49*$P$5)*E49</f>
        <v>0</v>
      </c>
      <c r="U49" s="1767"/>
      <c r="V49" s="1767"/>
    </row>
    <row r="50" spans="1:22" ht="12" outlineLevel="2">
      <c r="A50" s="1813"/>
      <c r="B50" s="1814"/>
      <c r="C50" s="1802" t="s">
        <v>1834</v>
      </c>
      <c r="D50" s="1815" t="s">
        <v>61</v>
      </c>
      <c r="E50" s="1770">
        <f>+$E$47</f>
        <v>4</v>
      </c>
      <c r="F50" s="1816"/>
      <c r="G50" s="1817"/>
      <c r="H50" s="1818"/>
      <c r="I50" s="1818"/>
      <c r="J50" s="1774">
        <f t="shared" si="21"/>
        <v>0</v>
      </c>
      <c r="K50" s="1774">
        <f t="shared" si="22"/>
        <v>0</v>
      </c>
      <c r="L50" s="1775">
        <f>+Cotizaciones!D49</f>
        <v>80000</v>
      </c>
      <c r="M50" s="1820"/>
      <c r="N50" s="1821"/>
      <c r="O50" s="1822"/>
      <c r="P50" s="1823"/>
      <c r="Q50" s="1818"/>
      <c r="R50" s="1818"/>
      <c r="S50" s="1780">
        <f t="shared" si="23"/>
        <v>320000</v>
      </c>
      <c r="T50" s="1780">
        <f t="shared" si="24"/>
        <v>0</v>
      </c>
      <c r="U50" s="1767"/>
      <c r="V50" s="1767"/>
    </row>
    <row r="51" spans="1:22" ht="12" outlineLevel="2">
      <c r="A51" s="1804"/>
      <c r="B51" s="1700"/>
      <c r="C51" s="1805" t="s">
        <v>1835</v>
      </c>
      <c r="D51" s="1790" t="s">
        <v>72</v>
      </c>
      <c r="E51" s="1790">
        <v>4</v>
      </c>
      <c r="F51" s="1791"/>
      <c r="G51" s="1792"/>
      <c r="H51" s="1806"/>
      <c r="I51" s="1806"/>
      <c r="J51" s="1794">
        <f t="shared" si="17"/>
        <v>0</v>
      </c>
      <c r="K51" s="1794">
        <f t="shared" si="18"/>
        <v>0</v>
      </c>
      <c r="L51" s="1775">
        <f>+Cotizaciones!D50</f>
        <v>20000</v>
      </c>
      <c r="M51" s="1808"/>
      <c r="N51" s="1809"/>
      <c r="O51" s="1810"/>
      <c r="P51" s="1811"/>
      <c r="Q51" s="1806"/>
      <c r="R51" s="1806"/>
      <c r="S51" s="1780">
        <f t="shared" si="19"/>
        <v>80000</v>
      </c>
      <c r="T51" s="1780">
        <f t="shared" si="20"/>
        <v>0</v>
      </c>
      <c r="U51" s="1767"/>
      <c r="V51" s="1767"/>
    </row>
    <row r="52" spans="1:22" ht="12">
      <c r="A52" s="1698">
        <f>+'01'!A15</f>
        <v>1.07</v>
      </c>
      <c r="B52" s="1678" t="str">
        <f>+'01'!B15</f>
        <v>OK</v>
      </c>
      <c r="C52" s="1698" t="str">
        <f>+'01'!C15</f>
        <v>Conexión pilar y luz de obra + Tablero de obra</v>
      </c>
      <c r="D52" s="1678" t="str">
        <f>+'01'!D15</f>
        <v>gl</v>
      </c>
      <c r="E52" s="1678">
        <f>+'01'!E15</f>
        <v>1</v>
      </c>
      <c r="F52" s="1757"/>
      <c r="G52" s="1758"/>
      <c r="H52" s="1759">
        <f>+J52/E52</f>
        <v>1290000</v>
      </c>
      <c r="I52" s="1759">
        <f>+K52/E52</f>
        <v>100000</v>
      </c>
      <c r="J52" s="1693">
        <f>+SUM(J53:J58)</f>
        <v>1290000</v>
      </c>
      <c r="K52" s="1693">
        <f>+SUM(K53:K58)</f>
        <v>100000</v>
      </c>
      <c r="L52" s="1760"/>
      <c r="M52" s="1761"/>
      <c r="N52" s="1762"/>
      <c r="O52" s="1763"/>
      <c r="P52" s="1764"/>
      <c r="Q52" s="1759">
        <f>+U52/E52</f>
        <v>0</v>
      </c>
      <c r="R52" s="1759">
        <f>+V52/E52</f>
        <v>661285.32432587864</v>
      </c>
      <c r="S52" s="1824"/>
      <c r="T52" s="1824"/>
      <c r="U52" s="1767">
        <f>SUM(S53:S58)</f>
        <v>0</v>
      </c>
      <c r="V52" s="1767">
        <f>SUM(T53:T58)</f>
        <v>661285.32432587864</v>
      </c>
    </row>
    <row r="53" spans="1:22" ht="12" outlineLevel="2">
      <c r="A53" s="1768"/>
      <c r="B53" s="1680"/>
      <c r="C53" s="1802" t="s">
        <v>245</v>
      </c>
      <c r="D53" s="1770" t="s">
        <v>201</v>
      </c>
      <c r="E53" s="1770">
        <v>2</v>
      </c>
      <c r="F53" s="1771"/>
      <c r="G53" s="1772">
        <v>50000</v>
      </c>
      <c r="H53" s="1773"/>
      <c r="I53" s="1773"/>
      <c r="J53" s="1774">
        <f t="shared" ref="J53:J58" si="25">+F53*E53</f>
        <v>0</v>
      </c>
      <c r="K53" s="1774">
        <f t="shared" ref="K53:K58" si="26">+G53*E53</f>
        <v>100000</v>
      </c>
      <c r="L53" s="1775"/>
      <c r="M53" s="1776"/>
      <c r="N53" s="1777">
        <v>1</v>
      </c>
      <c r="O53" s="1778"/>
      <c r="P53" s="1779">
        <v>1</v>
      </c>
      <c r="Q53" s="1773"/>
      <c r="R53" s="1773"/>
      <c r="S53" s="1780">
        <f t="shared" ref="S53:S58" si="27">+L53*E53</f>
        <v>0</v>
      </c>
      <c r="T53" s="1780">
        <f t="shared" ref="T53:T58" si="28">(+M53*$M$5+N53*$N$5+O53*$O$5+P53*$P$5)*E53</f>
        <v>303706.02313966805</v>
      </c>
      <c r="U53" s="1767"/>
      <c r="V53" s="1767"/>
    </row>
    <row r="54" spans="1:22" ht="12" outlineLevel="2">
      <c r="A54" s="1768"/>
      <c r="B54" s="1680"/>
      <c r="C54" s="1802" t="s">
        <v>246</v>
      </c>
      <c r="D54" s="1770" t="s">
        <v>54</v>
      </c>
      <c r="E54" s="1770">
        <v>1</v>
      </c>
      <c r="F54" s="1771">
        <v>150000</v>
      </c>
      <c r="G54" s="1772"/>
      <c r="H54" s="1773"/>
      <c r="I54" s="1773"/>
      <c r="J54" s="1774">
        <f t="shared" si="25"/>
        <v>150000</v>
      </c>
      <c r="K54" s="1774">
        <f t="shared" si="26"/>
        <v>0</v>
      </c>
      <c r="L54" s="1775"/>
      <c r="M54" s="1776"/>
      <c r="N54" s="1777"/>
      <c r="O54" s="1778"/>
      <c r="P54" s="1779"/>
      <c r="Q54" s="1773"/>
      <c r="R54" s="1773"/>
      <c r="S54" s="1780">
        <f t="shared" si="27"/>
        <v>0</v>
      </c>
      <c r="T54" s="1780">
        <f t="shared" si="28"/>
        <v>0</v>
      </c>
      <c r="U54" s="1767"/>
      <c r="V54" s="1767"/>
    </row>
    <row r="55" spans="1:22" ht="12" outlineLevel="2">
      <c r="A55" s="1768"/>
      <c r="B55" s="1680"/>
      <c r="C55" s="1802" t="s">
        <v>247</v>
      </c>
      <c r="D55" s="1770" t="s">
        <v>54</v>
      </c>
      <c r="E55" s="1770">
        <v>1</v>
      </c>
      <c r="F55" s="1771">
        <v>15000</v>
      </c>
      <c r="G55" s="1772"/>
      <c r="H55" s="1773"/>
      <c r="I55" s="1773"/>
      <c r="J55" s="1774">
        <f t="shared" si="25"/>
        <v>15000</v>
      </c>
      <c r="K55" s="1774">
        <f t="shared" si="26"/>
        <v>0</v>
      </c>
      <c r="L55" s="1775"/>
      <c r="M55" s="1776"/>
      <c r="N55" s="1777"/>
      <c r="O55" s="1778"/>
      <c r="P55" s="1779"/>
      <c r="Q55" s="1773"/>
      <c r="R55" s="1773"/>
      <c r="S55" s="1780">
        <f t="shared" si="27"/>
        <v>0</v>
      </c>
      <c r="T55" s="1780">
        <f t="shared" si="28"/>
        <v>0</v>
      </c>
      <c r="U55" s="1767"/>
      <c r="V55" s="1767"/>
    </row>
    <row r="56" spans="1:22" ht="12" outlineLevel="2">
      <c r="A56" s="1768"/>
      <c r="B56" s="1680"/>
      <c r="C56" s="1802" t="s">
        <v>248</v>
      </c>
      <c r="D56" s="1770" t="s">
        <v>249</v>
      </c>
      <c r="E56" s="1770">
        <v>50</v>
      </c>
      <c r="F56" s="1771">
        <v>16500</v>
      </c>
      <c r="G56" s="1772"/>
      <c r="H56" s="1773"/>
      <c r="I56" s="1773"/>
      <c r="J56" s="1774">
        <f t="shared" si="25"/>
        <v>825000</v>
      </c>
      <c r="K56" s="1774">
        <f t="shared" si="26"/>
        <v>0</v>
      </c>
      <c r="L56" s="1775"/>
      <c r="M56" s="1776"/>
      <c r="N56" s="1777"/>
      <c r="O56" s="1778"/>
      <c r="P56" s="1779"/>
      <c r="Q56" s="1773"/>
      <c r="R56" s="1773"/>
      <c r="S56" s="1780">
        <f t="shared" si="27"/>
        <v>0</v>
      </c>
      <c r="T56" s="1780">
        <f t="shared" si="28"/>
        <v>0</v>
      </c>
      <c r="U56" s="1767"/>
      <c r="V56" s="1767"/>
    </row>
    <row r="57" spans="1:22" ht="12" outlineLevel="2">
      <c r="A57" s="1768"/>
      <c r="B57" s="1680"/>
      <c r="C57" s="1802" t="s">
        <v>250</v>
      </c>
      <c r="D57" s="1770" t="s">
        <v>54</v>
      </c>
      <c r="E57" s="1770">
        <v>1</v>
      </c>
      <c r="F57" s="1771">
        <v>300000</v>
      </c>
      <c r="G57" s="1772"/>
      <c r="H57" s="1773"/>
      <c r="I57" s="1773"/>
      <c r="J57" s="1774">
        <f t="shared" si="25"/>
        <v>300000</v>
      </c>
      <c r="K57" s="1774">
        <f t="shared" si="26"/>
        <v>0</v>
      </c>
      <c r="L57" s="1775"/>
      <c r="M57" s="1776"/>
      <c r="N57" s="1777"/>
      <c r="O57" s="1778"/>
      <c r="P57" s="1779"/>
      <c r="Q57" s="1773"/>
      <c r="R57" s="1773"/>
      <c r="S57" s="1780">
        <f t="shared" si="27"/>
        <v>0</v>
      </c>
      <c r="T57" s="1780">
        <f t="shared" si="28"/>
        <v>0</v>
      </c>
      <c r="U57" s="1767"/>
      <c r="V57" s="1767"/>
    </row>
    <row r="58" spans="1:22" ht="12" outlineLevel="2">
      <c r="A58" s="1804"/>
      <c r="B58" s="1700"/>
      <c r="C58" s="1805" t="s">
        <v>237</v>
      </c>
      <c r="D58" s="1790" t="s">
        <v>201</v>
      </c>
      <c r="E58" s="1790">
        <v>2</v>
      </c>
      <c r="F58" s="1791"/>
      <c r="G58" s="1792"/>
      <c r="H58" s="1806"/>
      <c r="I58" s="1806"/>
      <c r="J58" s="1794">
        <f t="shared" si="25"/>
        <v>0</v>
      </c>
      <c r="K58" s="1794">
        <f t="shared" si="26"/>
        <v>0</v>
      </c>
      <c r="L58" s="1807"/>
      <c r="M58" s="1808">
        <v>1</v>
      </c>
      <c r="N58" s="1809">
        <v>1</v>
      </c>
      <c r="O58" s="1810"/>
      <c r="P58" s="1811"/>
      <c r="Q58" s="1806"/>
      <c r="R58" s="1806"/>
      <c r="S58" s="1780">
        <f t="shared" si="27"/>
        <v>0</v>
      </c>
      <c r="T58" s="1780">
        <f t="shared" si="28"/>
        <v>357579.30118621053</v>
      </c>
      <c r="U58" s="1767"/>
      <c r="V58" s="1767"/>
    </row>
    <row r="59" spans="1:22" ht="12">
      <c r="A59" s="1698">
        <f>+'01'!A16</f>
        <v>1.08</v>
      </c>
      <c r="B59" s="1678" t="str">
        <f>+'01'!B16</f>
        <v>OK</v>
      </c>
      <c r="C59" s="1698" t="str">
        <f>+'01'!C16</f>
        <v>Conexión agua de obra, tanque + bomba</v>
      </c>
      <c r="D59" s="1678" t="str">
        <f>+'01'!D16</f>
        <v>gl</v>
      </c>
      <c r="E59" s="1678">
        <f>+'01'!E16</f>
        <v>1</v>
      </c>
      <c r="F59" s="1757"/>
      <c r="G59" s="1758"/>
      <c r="H59" s="1759">
        <f>+J59/E59</f>
        <v>936000</v>
      </c>
      <c r="I59" s="1759">
        <f>+K59/E59</f>
        <v>0</v>
      </c>
      <c r="J59" s="1693">
        <f>+SUM(J60:J68)</f>
        <v>936000</v>
      </c>
      <c r="K59" s="1693">
        <f>+SUM(K60:K68)</f>
        <v>0</v>
      </c>
      <c r="L59" s="1760"/>
      <c r="M59" s="1761"/>
      <c r="N59" s="1762"/>
      <c r="O59" s="1763"/>
      <c r="P59" s="1764"/>
      <c r="Q59" s="1759">
        <f>+U59/E59</f>
        <v>0</v>
      </c>
      <c r="R59" s="1759">
        <f>+V59/E59</f>
        <v>536368.95177931583</v>
      </c>
      <c r="S59" s="1824"/>
      <c r="T59" s="1824"/>
      <c r="U59" s="1767">
        <f>SUM(S60:S68)</f>
        <v>0</v>
      </c>
      <c r="V59" s="1767">
        <f>SUM(T60:T68)</f>
        <v>536368.95177931583</v>
      </c>
    </row>
    <row r="60" spans="1:22" ht="12" outlineLevel="1">
      <c r="A60" s="1768"/>
      <c r="B60" s="1680"/>
      <c r="C60" s="1802" t="s">
        <v>251</v>
      </c>
      <c r="D60" s="1770" t="s">
        <v>72</v>
      </c>
      <c r="E60" s="1770">
        <v>1</v>
      </c>
      <c r="F60" s="1771">
        <v>200000</v>
      </c>
      <c r="G60" s="1772"/>
      <c r="H60" s="1773"/>
      <c r="I60" s="1773"/>
      <c r="J60" s="1774">
        <f t="shared" ref="J60:J68" si="29">+F60*E60</f>
        <v>200000</v>
      </c>
      <c r="K60" s="1774">
        <f t="shared" ref="K60:K68" si="30">+G60*E60</f>
        <v>0</v>
      </c>
      <c r="L60" s="1775"/>
      <c r="M60" s="1776"/>
      <c r="N60" s="1777"/>
      <c r="O60" s="1778"/>
      <c r="P60" s="1779"/>
      <c r="Q60" s="1773"/>
      <c r="R60" s="1773"/>
      <c r="S60" s="1780">
        <f t="shared" ref="S60:S68" si="31">+L60*E60</f>
        <v>0</v>
      </c>
      <c r="T60" s="1780">
        <f t="shared" ref="T60:T68" si="32">(+M60*$M$5+N60*$N$5+O60*$O$5+P60*$P$5)*E60</f>
        <v>0</v>
      </c>
      <c r="U60" s="1767"/>
      <c r="V60" s="1767"/>
    </row>
    <row r="61" spans="1:22" ht="12" outlineLevel="1">
      <c r="A61" s="1768"/>
      <c r="B61" s="1680"/>
      <c r="C61" s="1802" t="s">
        <v>252</v>
      </c>
      <c r="D61" s="1770" t="s">
        <v>72</v>
      </c>
      <c r="E61" s="1770">
        <v>1</v>
      </c>
      <c r="F61" s="1771">
        <v>200000</v>
      </c>
      <c r="G61" s="1772"/>
      <c r="H61" s="1773"/>
      <c r="I61" s="1773"/>
      <c r="J61" s="1774">
        <f t="shared" si="29"/>
        <v>200000</v>
      </c>
      <c r="K61" s="1774">
        <f t="shared" si="30"/>
        <v>0</v>
      </c>
      <c r="L61" s="1775"/>
      <c r="M61" s="1776"/>
      <c r="N61" s="1777"/>
      <c r="O61" s="1778"/>
      <c r="P61" s="1779"/>
      <c r="Q61" s="1773"/>
      <c r="R61" s="1773"/>
      <c r="S61" s="1780">
        <f t="shared" si="31"/>
        <v>0</v>
      </c>
      <c r="T61" s="1780">
        <f t="shared" si="32"/>
        <v>0</v>
      </c>
      <c r="U61" s="1767"/>
      <c r="V61" s="1767"/>
    </row>
    <row r="62" spans="1:22" ht="12" outlineLevel="1">
      <c r="A62" s="1768"/>
      <c r="B62" s="1680"/>
      <c r="C62" s="1802" t="s">
        <v>253</v>
      </c>
      <c r="D62" s="1770" t="s">
        <v>72</v>
      </c>
      <c r="E62" s="1770">
        <v>1</v>
      </c>
      <c r="F62" s="1771">
        <v>50000</v>
      </c>
      <c r="G62" s="1772"/>
      <c r="H62" s="1773"/>
      <c r="I62" s="1773"/>
      <c r="J62" s="1774">
        <f t="shared" si="29"/>
        <v>50000</v>
      </c>
      <c r="K62" s="1774">
        <f t="shared" si="30"/>
        <v>0</v>
      </c>
      <c r="L62" s="1775"/>
      <c r="M62" s="1776"/>
      <c r="N62" s="1777"/>
      <c r="O62" s="1778"/>
      <c r="P62" s="1779"/>
      <c r="Q62" s="1773"/>
      <c r="R62" s="1773"/>
      <c r="S62" s="1780">
        <f t="shared" si="31"/>
        <v>0</v>
      </c>
      <c r="T62" s="1780">
        <f t="shared" si="32"/>
        <v>0</v>
      </c>
      <c r="U62" s="1767"/>
      <c r="V62" s="1767"/>
    </row>
    <row r="63" spans="1:22" ht="12" outlineLevel="1">
      <c r="A63" s="1768"/>
      <c r="B63" s="1680"/>
      <c r="C63" s="1802" t="s">
        <v>254</v>
      </c>
      <c r="D63" s="1770" t="s">
        <v>72</v>
      </c>
      <c r="E63" s="1770">
        <v>1</v>
      </c>
      <c r="F63" s="1771">
        <v>10000</v>
      </c>
      <c r="G63" s="1772"/>
      <c r="H63" s="1773"/>
      <c r="I63" s="1773"/>
      <c r="J63" s="1774">
        <f t="shared" si="29"/>
        <v>10000</v>
      </c>
      <c r="K63" s="1774">
        <f t="shared" si="30"/>
        <v>0</v>
      </c>
      <c r="L63" s="1775"/>
      <c r="M63" s="1776"/>
      <c r="N63" s="1777"/>
      <c r="O63" s="1778"/>
      <c r="P63" s="1779"/>
      <c r="Q63" s="1773"/>
      <c r="R63" s="1773"/>
      <c r="S63" s="1780">
        <f t="shared" si="31"/>
        <v>0</v>
      </c>
      <c r="T63" s="1780">
        <f t="shared" si="32"/>
        <v>0</v>
      </c>
      <c r="U63" s="1767"/>
      <c r="V63" s="1767"/>
    </row>
    <row r="64" spans="1:22" ht="12" outlineLevel="1">
      <c r="A64" s="1768"/>
      <c r="B64" s="1680"/>
      <c r="C64" s="1802" t="s">
        <v>255</v>
      </c>
      <c r="D64" s="1770" t="s">
        <v>72</v>
      </c>
      <c r="E64" s="1770">
        <f>ROUNDUP((50+(3*7))/6,0)</f>
        <v>12</v>
      </c>
      <c r="F64" s="1771">
        <v>15000</v>
      </c>
      <c r="G64" s="1772"/>
      <c r="H64" s="1773"/>
      <c r="I64" s="1773"/>
      <c r="J64" s="1774">
        <f t="shared" si="29"/>
        <v>180000</v>
      </c>
      <c r="K64" s="1774">
        <f t="shared" si="30"/>
        <v>0</v>
      </c>
      <c r="L64" s="1775"/>
      <c r="M64" s="1776"/>
      <c r="N64" s="1777"/>
      <c r="O64" s="1778"/>
      <c r="P64" s="1779"/>
      <c r="Q64" s="1773"/>
      <c r="R64" s="1773"/>
      <c r="S64" s="1780">
        <f t="shared" si="31"/>
        <v>0</v>
      </c>
      <c r="T64" s="1780">
        <f t="shared" si="32"/>
        <v>0</v>
      </c>
      <c r="U64" s="1767"/>
      <c r="V64" s="1767"/>
    </row>
    <row r="65" spans="1:22" ht="12" outlineLevel="1">
      <c r="A65" s="1768"/>
      <c r="B65" s="1680"/>
      <c r="C65" s="1802" t="s">
        <v>256</v>
      </c>
      <c r="D65" s="1770" t="s">
        <v>72</v>
      </c>
      <c r="E65" s="1770">
        <v>8</v>
      </c>
      <c r="F65" s="1771">
        <v>15000</v>
      </c>
      <c r="G65" s="1772"/>
      <c r="H65" s="1773"/>
      <c r="I65" s="1773"/>
      <c r="J65" s="1774">
        <f t="shared" si="29"/>
        <v>120000</v>
      </c>
      <c r="K65" s="1774">
        <f t="shared" si="30"/>
        <v>0</v>
      </c>
      <c r="L65" s="1775"/>
      <c r="M65" s="1776"/>
      <c r="N65" s="1777"/>
      <c r="O65" s="1778"/>
      <c r="P65" s="1779"/>
      <c r="Q65" s="1773"/>
      <c r="R65" s="1773"/>
      <c r="S65" s="1780">
        <f t="shared" si="31"/>
        <v>0</v>
      </c>
      <c r="T65" s="1780">
        <f t="shared" si="32"/>
        <v>0</v>
      </c>
      <c r="U65" s="1767"/>
      <c r="V65" s="1767"/>
    </row>
    <row r="66" spans="1:22" ht="12" outlineLevel="1">
      <c r="A66" s="1768"/>
      <c r="B66" s="1680"/>
      <c r="C66" s="1802" t="s">
        <v>257</v>
      </c>
      <c r="D66" s="1770" t="s">
        <v>72</v>
      </c>
      <c r="E66" s="1770">
        <v>10</v>
      </c>
      <c r="F66" s="1771">
        <v>2000</v>
      </c>
      <c r="G66" s="1772"/>
      <c r="H66" s="1773"/>
      <c r="I66" s="1773"/>
      <c r="J66" s="1774">
        <f t="shared" si="29"/>
        <v>20000</v>
      </c>
      <c r="K66" s="1774">
        <f t="shared" si="30"/>
        <v>0</v>
      </c>
      <c r="L66" s="1775"/>
      <c r="M66" s="1776"/>
      <c r="N66" s="1777"/>
      <c r="O66" s="1778"/>
      <c r="P66" s="1779"/>
      <c r="Q66" s="1773"/>
      <c r="R66" s="1773"/>
      <c r="S66" s="1780">
        <f t="shared" si="31"/>
        <v>0</v>
      </c>
      <c r="T66" s="1780">
        <f t="shared" si="32"/>
        <v>0</v>
      </c>
      <c r="U66" s="1767"/>
      <c r="V66" s="1767"/>
    </row>
    <row r="67" spans="1:22" ht="12" outlineLevel="1">
      <c r="A67" s="1768"/>
      <c r="B67" s="1680"/>
      <c r="C67" s="1802" t="s">
        <v>258</v>
      </c>
      <c r="D67" s="1770" t="s">
        <v>54</v>
      </c>
      <c r="E67" s="1770">
        <v>0.2</v>
      </c>
      <c r="F67" s="1771">
        <f>+SUM(J60:J66)</f>
        <v>780000</v>
      </c>
      <c r="G67" s="1772"/>
      <c r="H67" s="1773"/>
      <c r="I67" s="1773"/>
      <c r="J67" s="1774">
        <f t="shared" si="29"/>
        <v>156000</v>
      </c>
      <c r="K67" s="1774">
        <f t="shared" si="30"/>
        <v>0</v>
      </c>
      <c r="L67" s="1775"/>
      <c r="M67" s="1776"/>
      <c r="N67" s="1777"/>
      <c r="O67" s="1778"/>
      <c r="P67" s="1779"/>
      <c r="Q67" s="1773"/>
      <c r="R67" s="1773"/>
      <c r="S67" s="1780">
        <f t="shared" si="31"/>
        <v>0</v>
      </c>
      <c r="T67" s="1780">
        <f t="shared" si="32"/>
        <v>0</v>
      </c>
      <c r="U67" s="1767"/>
      <c r="V67" s="1767"/>
    </row>
    <row r="68" spans="1:22" ht="12" outlineLevel="1">
      <c r="A68" s="1804"/>
      <c r="B68" s="1700"/>
      <c r="C68" s="1805" t="s">
        <v>243</v>
      </c>
      <c r="D68" s="1790" t="s">
        <v>201</v>
      </c>
      <c r="E68" s="1790">
        <v>3</v>
      </c>
      <c r="F68" s="1791"/>
      <c r="G68" s="1792"/>
      <c r="H68" s="1806"/>
      <c r="I68" s="1806"/>
      <c r="J68" s="1794">
        <f t="shared" si="29"/>
        <v>0</v>
      </c>
      <c r="K68" s="1794">
        <f t="shared" si="30"/>
        <v>0</v>
      </c>
      <c r="L68" s="1807"/>
      <c r="M68" s="1808">
        <v>1</v>
      </c>
      <c r="N68" s="1809">
        <v>1</v>
      </c>
      <c r="O68" s="1810"/>
      <c r="P68" s="1811"/>
      <c r="Q68" s="1806"/>
      <c r="R68" s="1806"/>
      <c r="S68" s="1801">
        <f t="shared" si="31"/>
        <v>0</v>
      </c>
      <c r="T68" s="1801">
        <f t="shared" si="32"/>
        <v>536368.95177931583</v>
      </c>
      <c r="U68" s="1767"/>
      <c r="V68" s="1767"/>
    </row>
    <row r="69" spans="1:22" ht="12">
      <c r="A69" s="1698">
        <f>+'01'!A17</f>
        <v>1.0900000000000001</v>
      </c>
      <c r="B69" s="1678" t="str">
        <f>+'01'!B17</f>
        <v>OK</v>
      </c>
      <c r="C69" s="1698" t="str">
        <f>+'01'!C17</f>
        <v>Tramite luz de obra, certificado luz de obra (2) y medición PAT</v>
      </c>
      <c r="D69" s="1678" t="str">
        <f>+'01'!D17</f>
        <v>gl</v>
      </c>
      <c r="E69" s="1678">
        <f>+'01'!E17</f>
        <v>1</v>
      </c>
      <c r="F69" s="1757"/>
      <c r="G69" s="1758"/>
      <c r="H69" s="1759">
        <f>+J69/E69</f>
        <v>0</v>
      </c>
      <c r="I69" s="1759">
        <f>+K69/E69</f>
        <v>0</v>
      </c>
      <c r="J69" s="1693">
        <f>+SUM(J70:J72)</f>
        <v>0</v>
      </c>
      <c r="K69" s="1693">
        <f>+SUM(K70:K72)</f>
        <v>0</v>
      </c>
      <c r="L69" s="1760"/>
      <c r="M69" s="1761"/>
      <c r="N69" s="1762"/>
      <c r="O69" s="1763"/>
      <c r="P69" s="1764"/>
      <c r="Q69" s="1759">
        <f>+U69/E69</f>
        <v>482995.30539154005</v>
      </c>
      <c r="R69" s="1759">
        <f>+V69/E69</f>
        <v>0</v>
      </c>
      <c r="S69" s="1765"/>
      <c r="T69" s="1765"/>
      <c r="U69" s="1766">
        <f>SUM(S70:S72)</f>
        <v>482995.30539154005</v>
      </c>
      <c r="V69" s="1766">
        <f>SUM(T70:T72)</f>
        <v>0</v>
      </c>
    </row>
    <row r="70" spans="1:22" ht="12" outlineLevel="1">
      <c r="A70" s="1768"/>
      <c r="B70" s="1680"/>
      <c r="C70" s="1802" t="s">
        <v>259</v>
      </c>
      <c r="D70" s="1770" t="s">
        <v>72</v>
      </c>
      <c r="E70" s="1770">
        <v>1</v>
      </c>
      <c r="F70" s="1771"/>
      <c r="G70" s="1772"/>
      <c r="H70" s="1773"/>
      <c r="I70" s="1773"/>
      <c r="J70" s="1774">
        <f>+F70*E70</f>
        <v>0</v>
      </c>
      <c r="K70" s="1774">
        <f>+G70*E70</f>
        <v>0</v>
      </c>
      <c r="L70" s="1775">
        <f>+SUBCONTRATOS!D11</f>
        <v>157327.4610395896</v>
      </c>
      <c r="M70" s="1776"/>
      <c r="N70" s="1777"/>
      <c r="O70" s="1778"/>
      <c r="P70" s="1779"/>
      <c r="Q70" s="1773"/>
      <c r="R70" s="1773"/>
      <c r="S70" s="1780">
        <f>+L70*E70</f>
        <v>157327.4610395896</v>
      </c>
      <c r="T70" s="1780">
        <f>(+M70*$M$5+N70*$N$5+O70*$O$5+P70*$P$5)*E70</f>
        <v>0</v>
      </c>
      <c r="U70" s="1766"/>
      <c r="V70" s="1767"/>
    </row>
    <row r="71" spans="1:22" ht="12" outlineLevel="1">
      <c r="A71" s="1768"/>
      <c r="B71" s="1680"/>
      <c r="C71" s="1802" t="s">
        <v>260</v>
      </c>
      <c r="D71" s="1770" t="s">
        <v>72</v>
      </c>
      <c r="E71" s="1770">
        <v>2</v>
      </c>
      <c r="F71" s="1771"/>
      <c r="G71" s="1772"/>
      <c r="H71" s="1773"/>
      <c r="I71" s="1773"/>
      <c r="J71" s="1774">
        <f>+F71*E71</f>
        <v>0</v>
      </c>
      <c r="K71" s="1774">
        <f>+G71*E71</f>
        <v>0</v>
      </c>
      <c r="L71" s="1775">
        <f>+SUBCONTRATOS!D14</f>
        <v>113275.77194850451</v>
      </c>
      <c r="M71" s="1776"/>
      <c r="N71" s="1777"/>
      <c r="O71" s="1778"/>
      <c r="P71" s="1779"/>
      <c r="Q71" s="1773"/>
      <c r="R71" s="1773"/>
      <c r="S71" s="1780">
        <f>+L71*E71</f>
        <v>226551.54389700902</v>
      </c>
      <c r="T71" s="1780">
        <f>(+M71*$M$5+N71*$N$5+O71*$O$5+P71*$P$5)*E71</f>
        <v>0</v>
      </c>
      <c r="U71" s="1766"/>
      <c r="V71" s="1767"/>
    </row>
    <row r="72" spans="1:22" ht="12" outlineLevel="1">
      <c r="A72" s="1804"/>
      <c r="B72" s="1700"/>
      <c r="C72" s="1805" t="s">
        <v>261</v>
      </c>
      <c r="D72" s="1790" t="s">
        <v>72</v>
      </c>
      <c r="E72" s="1790">
        <v>1</v>
      </c>
      <c r="F72" s="1791"/>
      <c r="G72" s="1792"/>
      <c r="H72" s="1806"/>
      <c r="I72" s="1806"/>
      <c r="J72" s="1794">
        <f>+F72*E72</f>
        <v>0</v>
      </c>
      <c r="K72" s="1794">
        <f>+G72*E72</f>
        <v>0</v>
      </c>
      <c r="L72" s="1807">
        <f>+SUBCONTRATOS!D18</f>
        <v>99116.300454941447</v>
      </c>
      <c r="M72" s="1808"/>
      <c r="N72" s="1809"/>
      <c r="O72" s="1810"/>
      <c r="P72" s="1811"/>
      <c r="Q72" s="1806"/>
      <c r="R72" s="1806"/>
      <c r="S72" s="1801">
        <f>+L72*E72</f>
        <v>99116.300454941447</v>
      </c>
      <c r="T72" s="1801">
        <f>(+M72*$M$5+N72*$N$5+O72*$O$5+P72*$P$5)*E72</f>
        <v>0</v>
      </c>
      <c r="U72" s="1766"/>
      <c r="V72" s="1767"/>
    </row>
    <row r="73" spans="1:22" ht="12">
      <c r="A73" s="1750">
        <f>+'01'!A18</f>
        <v>2</v>
      </c>
      <c r="B73" s="1746"/>
      <c r="C73" s="1825" t="str">
        <f>+'01'!C18</f>
        <v>MOVIMIENTO DE TIERRA, COMPACTACION Y RELLENO</v>
      </c>
      <c r="D73" s="1746"/>
      <c r="E73" s="1826"/>
      <c r="F73" s="1827"/>
      <c r="G73" s="1828"/>
      <c r="H73" s="1829"/>
      <c r="I73" s="1829"/>
      <c r="J73" s="1830"/>
      <c r="K73" s="1830"/>
      <c r="L73" s="1831"/>
      <c r="M73" s="1832"/>
      <c r="N73" s="1833"/>
      <c r="O73" s="1834"/>
      <c r="P73" s="1835"/>
      <c r="Q73" s="1829"/>
      <c r="R73" s="1829"/>
      <c r="S73" s="1836"/>
      <c r="T73" s="1837"/>
      <c r="U73" s="1766"/>
      <c r="V73" s="1767"/>
    </row>
    <row r="74" spans="1:22" ht="12">
      <c r="A74" s="1698">
        <f>+'01'!A19</f>
        <v>2.0099999999999998</v>
      </c>
      <c r="B74" s="1678"/>
      <c r="C74" s="1698" t="str">
        <f>+'01'!C19</f>
        <v>Retiro de suelo vegetal e: 50 cm, aporte y compactación de tosca e: 40 cm (dos capas de 20 cm)</v>
      </c>
      <c r="D74" s="1678" t="str">
        <f>+'01'!D19</f>
        <v>m2</v>
      </c>
      <c r="E74" s="1678">
        <f>+'01'!E19</f>
        <v>219</v>
      </c>
      <c r="F74" s="1757"/>
      <c r="G74" s="1758"/>
      <c r="H74" s="1759">
        <f>+J74/E74</f>
        <v>0</v>
      </c>
      <c r="I74" s="1759">
        <f>+K74/E74</f>
        <v>0</v>
      </c>
      <c r="J74" s="1693">
        <f>+SUM(J75:J76)</f>
        <v>0</v>
      </c>
      <c r="K74" s="1693">
        <f>+SUM(K75:K76)</f>
        <v>0</v>
      </c>
      <c r="L74" s="1760"/>
      <c r="M74" s="1838"/>
      <c r="N74" s="1762"/>
      <c r="O74" s="1763"/>
      <c r="P74" s="1839"/>
      <c r="Q74" s="1759">
        <f>+U74/E74</f>
        <v>25907.444444444449</v>
      </c>
      <c r="R74" s="1759">
        <f>+V74/E74</f>
        <v>3070.34241371085</v>
      </c>
      <c r="S74" s="1765"/>
      <c r="T74" s="1765"/>
      <c r="U74" s="1767">
        <f>SUM(S75:S76)</f>
        <v>5673730.333333334</v>
      </c>
      <c r="V74" s="1767">
        <f>SUM(T75:T76)</f>
        <v>672404.9886026762</v>
      </c>
    </row>
    <row r="75" spans="1:22" ht="12" outlineLevel="1">
      <c r="A75" s="1768"/>
      <c r="B75" s="1680"/>
      <c r="C75" s="1802" t="s">
        <v>2086</v>
      </c>
      <c r="D75" s="1770" t="s">
        <v>4</v>
      </c>
      <c r="E75" s="1770">
        <f>+E74*1.1</f>
        <v>240.9</v>
      </c>
      <c r="F75" s="1771"/>
      <c r="G75" s="1772"/>
      <c r="H75" s="1773"/>
      <c r="I75" s="1773"/>
      <c r="J75" s="1774">
        <f>+F75*E75</f>
        <v>0</v>
      </c>
      <c r="K75" s="1774">
        <f>+G75*E75</f>
        <v>0</v>
      </c>
      <c r="L75" s="1775">
        <f>+SUBCONTRATOS!D25</f>
        <v>23552.222222222223</v>
      </c>
      <c r="M75" s="1840"/>
      <c r="N75" s="1841"/>
      <c r="O75" s="1842"/>
      <c r="P75" s="1843"/>
      <c r="Q75" s="1844"/>
      <c r="R75" s="1844"/>
      <c r="S75" s="1780">
        <f>+L75*E75</f>
        <v>5673730.333333334</v>
      </c>
      <c r="T75" s="1780">
        <f>(+M75*$M$5+N75*$N$5+O75*$O$5+P75*$P$5)*E75</f>
        <v>0</v>
      </c>
      <c r="U75" s="1766"/>
      <c r="V75" s="1767"/>
    </row>
    <row r="76" spans="1:22" ht="12" outlineLevel="1">
      <c r="A76" s="1804"/>
      <c r="B76" s="1700"/>
      <c r="C76" s="1805" t="s">
        <v>145</v>
      </c>
      <c r="D76" s="1790" t="s">
        <v>201</v>
      </c>
      <c r="E76" s="1790">
        <v>5</v>
      </c>
      <c r="F76" s="1791"/>
      <c r="G76" s="1792"/>
      <c r="H76" s="1806"/>
      <c r="I76" s="1806"/>
      <c r="J76" s="1794">
        <f>+F76*E76</f>
        <v>0</v>
      </c>
      <c r="K76" s="1794">
        <f>+G76*E76</f>
        <v>0</v>
      </c>
      <c r="L76" s="1795"/>
      <c r="M76" s="1845"/>
      <c r="N76" s="1777"/>
      <c r="O76" s="1778"/>
      <c r="P76" s="1846">
        <v>2</v>
      </c>
      <c r="Q76" s="1773"/>
      <c r="R76" s="1773"/>
      <c r="S76" s="1780">
        <f>+L76*E76</f>
        <v>0</v>
      </c>
      <c r="T76" s="1780">
        <f>(+M76*$M$5+N76*$N$5+O76*$O$5+P76*$P$5)*E76</f>
        <v>672404.9886026762</v>
      </c>
      <c r="U76" s="1766"/>
      <c r="V76" s="1767"/>
    </row>
    <row r="77" spans="1:22" ht="12">
      <c r="A77" s="1698">
        <f>+'01'!A20</f>
        <v>2.02</v>
      </c>
      <c r="B77" s="1678"/>
      <c r="C77" s="1698" t="str">
        <f>+'01'!C20</f>
        <v>Excavación para cámara transformadora</v>
      </c>
      <c r="D77" s="1678" t="str">
        <f>+'01'!D20</f>
        <v>m3</v>
      </c>
      <c r="E77" s="1678">
        <f>+'01'!E20</f>
        <v>100</v>
      </c>
      <c r="F77" s="1757"/>
      <c r="G77" s="1758"/>
      <c r="H77" s="1759">
        <f>+J77/E77</f>
        <v>0</v>
      </c>
      <c r="I77" s="1759">
        <f>+K77/E77</f>
        <v>0</v>
      </c>
      <c r="J77" s="1693">
        <f>+SUM(J78:J81)</f>
        <v>0</v>
      </c>
      <c r="K77" s="1693">
        <f>+SUM(K78:K81)</f>
        <v>0</v>
      </c>
      <c r="L77" s="1760"/>
      <c r="M77" s="1838"/>
      <c r="N77" s="1762"/>
      <c r="O77" s="1763"/>
      <c r="P77" s="1839"/>
      <c r="Q77" s="1759">
        <f>+U77/E77</f>
        <v>24440</v>
      </c>
      <c r="R77" s="1759">
        <f>+V77/E77</f>
        <v>6724.0498860267617</v>
      </c>
      <c r="S77" s="1765"/>
      <c r="T77" s="1765"/>
      <c r="U77" s="1767">
        <f>SUM(S78:S81)</f>
        <v>2444000</v>
      </c>
      <c r="V77" s="1767">
        <f>SUM(T78:T81)</f>
        <v>672404.9886026762</v>
      </c>
    </row>
    <row r="78" spans="1:22" ht="12" outlineLevel="1">
      <c r="A78" s="1847"/>
      <c r="B78" s="1848"/>
      <c r="C78" s="1802" t="s">
        <v>2096</v>
      </c>
      <c r="D78" s="1770" t="s">
        <v>201</v>
      </c>
      <c r="E78" s="1770">
        <v>3</v>
      </c>
      <c r="F78" s="1849"/>
      <c r="G78" s="1850"/>
      <c r="H78" s="1844"/>
      <c r="I78" s="1844"/>
      <c r="J78" s="1774">
        <f>+F78*E78</f>
        <v>0</v>
      </c>
      <c r="K78" s="1774">
        <f>+G78*E78</f>
        <v>0</v>
      </c>
      <c r="L78" s="1775">
        <f>+SUBCONTRATOS!D26</f>
        <v>528000</v>
      </c>
      <c r="M78" s="1840"/>
      <c r="N78" s="1841"/>
      <c r="O78" s="1842"/>
      <c r="P78" s="1843"/>
      <c r="Q78" s="1844"/>
      <c r="R78" s="1844"/>
      <c r="S78" s="1780">
        <f>+L78*E78</f>
        <v>1584000</v>
      </c>
      <c r="T78" s="1780">
        <f>(+M78*$M$5+N78*$N$5+O78*$O$5+P78*$P$5)*E78</f>
        <v>0</v>
      </c>
      <c r="U78" s="1767"/>
      <c r="V78" s="1767"/>
    </row>
    <row r="79" spans="1:22" ht="12" outlineLevel="1">
      <c r="A79" s="1768"/>
      <c r="B79" s="1680"/>
      <c r="C79" s="1802" t="s">
        <v>2097</v>
      </c>
      <c r="D79" s="1770" t="s">
        <v>72</v>
      </c>
      <c r="E79" s="1770">
        <f>+ROUNDUP(E77/20,0)</f>
        <v>5</v>
      </c>
      <c r="F79" s="1771"/>
      <c r="G79" s="1772"/>
      <c r="H79" s="1773"/>
      <c r="I79" s="1773"/>
      <c r="J79" s="1774">
        <f>+F79*E79</f>
        <v>0</v>
      </c>
      <c r="K79" s="1774">
        <f>+G79*E79</f>
        <v>0</v>
      </c>
      <c r="L79" s="1775">
        <f>+SUBCONTRATOS!D27</f>
        <v>140000</v>
      </c>
      <c r="M79" s="1840"/>
      <c r="N79" s="1841"/>
      <c r="O79" s="1842"/>
      <c r="P79" s="1843"/>
      <c r="Q79" s="1844"/>
      <c r="R79" s="1844"/>
      <c r="S79" s="1780">
        <f>+L79*E79</f>
        <v>700000</v>
      </c>
      <c r="T79" s="1780">
        <f>(+M79*$M$5+N79*$N$5+O79*$O$5+P79*$P$5)*E79</f>
        <v>0</v>
      </c>
      <c r="U79" s="1766"/>
      <c r="V79" s="1767"/>
    </row>
    <row r="80" spans="1:22" ht="12" outlineLevel="1">
      <c r="A80" s="1813"/>
      <c r="B80" s="1814"/>
      <c r="C80" s="1851" t="s">
        <v>2098</v>
      </c>
      <c r="D80" s="1815" t="s">
        <v>72</v>
      </c>
      <c r="E80" s="1815">
        <v>2</v>
      </c>
      <c r="F80" s="1816"/>
      <c r="G80" s="1817"/>
      <c r="H80" s="1818"/>
      <c r="I80" s="1818"/>
      <c r="J80" s="1774">
        <f>+F80*E80</f>
        <v>0</v>
      </c>
      <c r="K80" s="1774">
        <f>+G80*E80</f>
        <v>0</v>
      </c>
      <c r="L80" s="1775">
        <f>+SUBCONTRATOS!D28</f>
        <v>80000</v>
      </c>
      <c r="M80" s="1852"/>
      <c r="N80" s="1853"/>
      <c r="O80" s="1854"/>
      <c r="P80" s="1855"/>
      <c r="Q80" s="1856"/>
      <c r="R80" s="1856"/>
      <c r="S80" s="1780">
        <f>+L80*E80</f>
        <v>160000</v>
      </c>
      <c r="T80" s="1780">
        <f>(+M80*$M$5+N80*$N$5+O80*$O$5+P80*$P$5)*E80</f>
        <v>0</v>
      </c>
      <c r="U80" s="1766"/>
      <c r="V80" s="1767"/>
    </row>
    <row r="81" spans="1:22" ht="12" outlineLevel="1">
      <c r="A81" s="1804"/>
      <c r="B81" s="1700"/>
      <c r="C81" s="1805" t="s">
        <v>2099</v>
      </c>
      <c r="D81" s="1790" t="s">
        <v>201</v>
      </c>
      <c r="E81" s="1790">
        <v>5</v>
      </c>
      <c r="F81" s="1791"/>
      <c r="G81" s="1792"/>
      <c r="H81" s="1806"/>
      <c r="I81" s="1806"/>
      <c r="J81" s="1794">
        <f>+F81*E81</f>
        <v>0</v>
      </c>
      <c r="K81" s="1794">
        <f>+G81*E81</f>
        <v>0</v>
      </c>
      <c r="L81" s="1857"/>
      <c r="M81" s="1858"/>
      <c r="N81" s="1809"/>
      <c r="O81" s="1810"/>
      <c r="P81" s="1859">
        <v>2</v>
      </c>
      <c r="Q81" s="1806"/>
      <c r="R81" s="1806"/>
      <c r="S81" s="1801">
        <f>+L81*E81</f>
        <v>0</v>
      </c>
      <c r="T81" s="1801">
        <f>(+M81*$M$5+N81*$N$5+O81*$O$5+P81*$P$5)*E81</f>
        <v>672404.9886026762</v>
      </c>
      <c r="U81" s="1766"/>
      <c r="V81" s="1767"/>
    </row>
    <row r="82" spans="1:22" ht="12">
      <c r="A82" s="1750">
        <f>+'01'!A23</f>
        <v>3</v>
      </c>
      <c r="B82" s="1746"/>
      <c r="C82" s="1825" t="str">
        <f>+'01'!C23</f>
        <v>ESTRUCTURA RESISTENTE</v>
      </c>
      <c r="D82" s="1746"/>
      <c r="E82" s="1826"/>
      <c r="F82" s="1827"/>
      <c r="G82" s="1828"/>
      <c r="H82" s="1829"/>
      <c r="I82" s="1829"/>
      <c r="J82" s="1830"/>
      <c r="K82" s="1830"/>
      <c r="L82" s="1831"/>
      <c r="M82" s="1832"/>
      <c r="N82" s="1833"/>
      <c r="O82" s="1834"/>
      <c r="P82" s="1835"/>
      <c r="Q82" s="1829"/>
      <c r="R82" s="1829"/>
      <c r="S82" s="1836"/>
      <c r="T82" s="1837"/>
      <c r="U82" s="1785"/>
      <c r="V82" s="1786"/>
    </row>
    <row r="83" spans="1:22" ht="12">
      <c r="A83" s="1698">
        <f>+'01'!A24</f>
        <v>3.01</v>
      </c>
      <c r="B83" s="1698" t="str">
        <f>+'01'!B24</f>
        <v>OK</v>
      </c>
      <c r="C83" s="1698" t="str">
        <f>+'01'!C24</f>
        <v>Hormigón de limpieza - e: 10 cm</v>
      </c>
      <c r="D83" s="1678" t="str">
        <f>+'01'!D24</f>
        <v>m3</v>
      </c>
      <c r="E83" s="1698">
        <f>+'01'!E24</f>
        <v>3</v>
      </c>
      <c r="F83" s="1860"/>
      <c r="G83" s="1861"/>
      <c r="H83" s="1759">
        <f>+J83/E83</f>
        <v>120430</v>
      </c>
      <c r="I83" s="1759">
        <f>+K83/E83</f>
        <v>0</v>
      </c>
      <c r="J83" s="1693">
        <f>+SUM(J84:J87)</f>
        <v>361290</v>
      </c>
      <c r="K83" s="1693">
        <f>+SUM(K84:K87)</f>
        <v>0</v>
      </c>
      <c r="L83" s="1760"/>
      <c r="M83" s="1761"/>
      <c r="N83" s="1762"/>
      <c r="O83" s="1763"/>
      <c r="P83" s="1764"/>
      <c r="Q83" s="1759">
        <f>+U83/E83</f>
        <v>0</v>
      </c>
      <c r="R83" s="1759">
        <f>+V83/E83</f>
        <v>155041.21996115817</v>
      </c>
      <c r="S83" s="1765"/>
      <c r="T83" s="1765"/>
      <c r="U83" s="1767">
        <f>SUM(S84:S87)</f>
        <v>0</v>
      </c>
      <c r="V83" s="1767">
        <f>SUM(T84:T87)</f>
        <v>465123.65988347452</v>
      </c>
    </row>
    <row r="84" spans="1:22" ht="12" outlineLevel="1">
      <c r="A84" s="1781"/>
      <c r="B84" s="1782"/>
      <c r="C84" s="1802" t="s">
        <v>1751</v>
      </c>
      <c r="D84" s="1770" t="s">
        <v>66</v>
      </c>
      <c r="E84" s="1770">
        <f>+$E$83</f>
        <v>3</v>
      </c>
      <c r="F84" s="1862">
        <f>+Cotizaciones!D28</f>
        <v>115100</v>
      </c>
      <c r="G84" s="1863"/>
      <c r="H84" s="1773"/>
      <c r="I84" s="1773"/>
      <c r="J84" s="1774">
        <f>+F84*E84</f>
        <v>345300</v>
      </c>
      <c r="K84" s="1774">
        <f>+G84*E84</f>
        <v>0</v>
      </c>
      <c r="L84" s="1775"/>
      <c r="M84" s="1776"/>
      <c r="N84" s="1777"/>
      <c r="O84" s="1778"/>
      <c r="P84" s="1779"/>
      <c r="Q84" s="1773"/>
      <c r="R84" s="1773"/>
      <c r="S84" s="1780">
        <f>+L84*E84</f>
        <v>0</v>
      </c>
      <c r="T84" s="1780">
        <f>(+M84*$M$5+N84*$N$5+O84*$O$5+P84*$P$5)*E84</f>
        <v>0</v>
      </c>
      <c r="U84" s="1766"/>
      <c r="V84" s="1767"/>
    </row>
    <row r="85" spans="1:22" ht="12" outlineLevel="1">
      <c r="A85" s="1781"/>
      <c r="B85" s="1782"/>
      <c r="C85" s="1802" t="s">
        <v>262</v>
      </c>
      <c r="D85" s="1770" t="s">
        <v>66</v>
      </c>
      <c r="E85" s="1770">
        <f>+$E$83</f>
        <v>3</v>
      </c>
      <c r="F85" s="1862">
        <f>+Cotizaciones!D30</f>
        <v>5330</v>
      </c>
      <c r="G85" s="1863"/>
      <c r="H85" s="1773"/>
      <c r="I85" s="1773"/>
      <c r="J85" s="1774">
        <f>+F85*E85</f>
        <v>15990</v>
      </c>
      <c r="K85" s="1774">
        <f>+G85*E85</f>
        <v>0</v>
      </c>
      <c r="L85" s="1775"/>
      <c r="M85" s="1776"/>
      <c r="N85" s="1777"/>
      <c r="O85" s="1778"/>
      <c r="P85" s="1779"/>
      <c r="Q85" s="1773"/>
      <c r="R85" s="1773"/>
      <c r="S85" s="1780">
        <f>+L85*E85</f>
        <v>0</v>
      </c>
      <c r="T85" s="1780">
        <f>(+M85*$M$5+N85*$N$5+O85*$O$5+P85*$P$5)*E85</f>
        <v>0</v>
      </c>
      <c r="U85" s="1766"/>
      <c r="V85" s="1767"/>
    </row>
    <row r="86" spans="1:22" ht="12" outlineLevel="1">
      <c r="A86" s="1781"/>
      <c r="B86" s="1782"/>
      <c r="C86" s="1802" t="s">
        <v>263</v>
      </c>
      <c r="D86" s="1770" t="s">
        <v>72</v>
      </c>
      <c r="E86" s="1770">
        <v>0</v>
      </c>
      <c r="F86" s="1862">
        <f>+Cotizaciones!D29</f>
        <v>533000</v>
      </c>
      <c r="G86" s="1863"/>
      <c r="H86" s="1773"/>
      <c r="I86" s="1773"/>
      <c r="J86" s="1774">
        <f>+F86*E86</f>
        <v>0</v>
      </c>
      <c r="K86" s="1774">
        <f>+G86*E86</f>
        <v>0</v>
      </c>
      <c r="L86" s="1864"/>
      <c r="M86" s="1776"/>
      <c r="N86" s="1777"/>
      <c r="O86" s="1778"/>
      <c r="P86" s="1779"/>
      <c r="Q86" s="1773"/>
      <c r="R86" s="1773"/>
      <c r="S86" s="1780">
        <f>+L86*E86</f>
        <v>0</v>
      </c>
      <c r="T86" s="1780">
        <f>(+M86*$M$5+N86*$N$5+O86*$O$5+P86*$P$5)*E86</f>
        <v>0</v>
      </c>
      <c r="U86" s="1766"/>
      <c r="V86" s="1767"/>
    </row>
    <row r="87" spans="1:22" ht="12" outlineLevel="1">
      <c r="A87" s="1787"/>
      <c r="B87" s="1788"/>
      <c r="C87" s="1805" t="s">
        <v>264</v>
      </c>
      <c r="D87" s="1790" t="s">
        <v>201</v>
      </c>
      <c r="E87" s="1790">
        <v>1</v>
      </c>
      <c r="F87" s="1865"/>
      <c r="G87" s="1866"/>
      <c r="H87" s="1806"/>
      <c r="I87" s="1806"/>
      <c r="J87" s="1794">
        <f>+F87*E87</f>
        <v>0</v>
      </c>
      <c r="K87" s="1794">
        <f>+G87*E87</f>
        <v>0</v>
      </c>
      <c r="L87" s="1807"/>
      <c r="M87" s="1808">
        <v>1</v>
      </c>
      <c r="N87" s="1809">
        <v>2</v>
      </c>
      <c r="O87" s="1810"/>
      <c r="P87" s="1811">
        <v>3</v>
      </c>
      <c r="Q87" s="1806"/>
      <c r="R87" s="1806"/>
      <c r="S87" s="1801">
        <f>+L87*E87</f>
        <v>0</v>
      </c>
      <c r="T87" s="1801">
        <f>(+M87*$M$5+N87*$N$5+O87*$O$5+P87*$P$5)*E87</f>
        <v>465123.65988347452</v>
      </c>
      <c r="U87" s="1785"/>
      <c r="V87" s="1786"/>
    </row>
    <row r="88" spans="1:22" ht="12">
      <c r="A88" s="1698">
        <f>+'01'!A25</f>
        <v>3.02</v>
      </c>
      <c r="B88" s="1698" t="str">
        <f>+'01'!B25</f>
        <v>OK</v>
      </c>
      <c r="C88" s="1698" t="str">
        <f>+'01'!C25</f>
        <v xml:space="preserve">Micropilotes Ø 20 cm </v>
      </c>
      <c r="D88" s="1678" t="str">
        <f>+'01'!D25</f>
        <v>gl</v>
      </c>
      <c r="E88" s="1678">
        <f>+'01'!E25</f>
        <v>1</v>
      </c>
      <c r="F88" s="1860"/>
      <c r="G88" s="1861"/>
      <c r="H88" s="1759">
        <f>+J88/E88</f>
        <v>11090041.199999999</v>
      </c>
      <c r="I88" s="1759">
        <f>+K88/E88</f>
        <v>0</v>
      </c>
      <c r="J88" s="1693">
        <f>+SUM(J89:J95)</f>
        <v>11090041.199999999</v>
      </c>
      <c r="K88" s="1693">
        <f>+SUM(K89:K95)</f>
        <v>0</v>
      </c>
      <c r="L88" s="1760"/>
      <c r="M88" s="1761"/>
      <c r="N88" s="1762"/>
      <c r="O88" s="1763"/>
      <c r="P88" s="1764"/>
      <c r="Q88" s="1759">
        <f>+U88/E88</f>
        <v>34350000</v>
      </c>
      <c r="R88" s="1759">
        <f>+V88/E88</f>
        <v>2460301.4945337288</v>
      </c>
      <c r="S88" s="1765"/>
      <c r="T88" s="1765"/>
      <c r="U88" s="1767">
        <f>SUM(S89:S95)</f>
        <v>34350000</v>
      </c>
      <c r="V88" s="1767">
        <f>SUM(T89:T95)</f>
        <v>2460301.4945337288</v>
      </c>
    </row>
    <row r="89" spans="1:22" ht="12" outlineLevel="1">
      <c r="A89" s="1781"/>
      <c r="B89" s="1782"/>
      <c r="C89" s="1802" t="s">
        <v>1758</v>
      </c>
      <c r="D89" s="1770" t="s">
        <v>54</v>
      </c>
      <c r="E89" s="1770">
        <v>1</v>
      </c>
      <c r="F89" s="1862"/>
      <c r="G89" s="1863"/>
      <c r="H89" s="1773"/>
      <c r="I89" s="1773"/>
      <c r="J89" s="1774">
        <f t="shared" ref="J89:J95" si="33">+F89*E89</f>
        <v>0</v>
      </c>
      <c r="K89" s="1774">
        <f t="shared" ref="K89:K95" si="34">+G89*E89</f>
        <v>0</v>
      </c>
      <c r="L89" s="1775">
        <f>+SUBCONTRATOS!D93</f>
        <v>34350000</v>
      </c>
      <c r="M89" s="1776"/>
      <c r="N89" s="1777"/>
      <c r="O89" s="1778"/>
      <c r="P89" s="1779"/>
      <c r="Q89" s="1773"/>
      <c r="R89" s="1773"/>
      <c r="S89" s="1780">
        <f t="shared" ref="S89:S95" si="35">+L89*E89</f>
        <v>34350000</v>
      </c>
      <c r="T89" s="1780">
        <f t="shared" ref="T89:T94" si="36">(+M89*$M$5+N89*$N$5+O89*$O$5+P89*$P$5)*E89</f>
        <v>0</v>
      </c>
      <c r="U89" s="1766"/>
      <c r="V89" s="1767"/>
    </row>
    <row r="90" spans="1:22" ht="12" outlineLevel="1">
      <c r="A90" s="1781"/>
      <c r="B90" s="1782"/>
      <c r="C90" s="1802" t="s">
        <v>2044</v>
      </c>
      <c r="D90" s="1770" t="s">
        <v>54</v>
      </c>
      <c r="E90" s="1770">
        <v>1</v>
      </c>
      <c r="F90" s="1862"/>
      <c r="G90" s="1863"/>
      <c r="H90" s="1773"/>
      <c r="I90" s="1773"/>
      <c r="J90" s="1774">
        <f t="shared" si="33"/>
        <v>0</v>
      </c>
      <c r="K90" s="1774">
        <f t="shared" si="34"/>
        <v>0</v>
      </c>
      <c r="L90" s="1775">
        <f>+SUBCONTRATOS!D92</f>
        <v>950000</v>
      </c>
      <c r="M90" s="1776"/>
      <c r="N90" s="1777"/>
      <c r="O90" s="1778"/>
      <c r="P90" s="1779"/>
      <c r="Q90" s="1773"/>
      <c r="R90" s="1773"/>
      <c r="S90" s="1780"/>
      <c r="T90" s="1780">
        <f t="shared" si="36"/>
        <v>0</v>
      </c>
      <c r="U90" s="1766"/>
      <c r="V90" s="1767"/>
    </row>
    <row r="91" spans="1:22" ht="12" outlineLevel="1">
      <c r="A91" s="1781"/>
      <c r="B91" s="1782"/>
      <c r="C91" s="1802" t="s">
        <v>1762</v>
      </c>
      <c r="D91" s="1770" t="s">
        <v>266</v>
      </c>
      <c r="E91" s="1770">
        <f>+SUBCONTRATOS!J93</f>
        <v>1100</v>
      </c>
      <c r="F91" s="1862">
        <f>+Cotizaciones!D65</f>
        <v>7809.92</v>
      </c>
      <c r="G91" s="1863"/>
      <c r="H91" s="1773"/>
      <c r="I91" s="1773"/>
      <c r="J91" s="1774">
        <f t="shared" si="33"/>
        <v>8590912</v>
      </c>
      <c r="K91" s="1774">
        <f t="shared" si="34"/>
        <v>0</v>
      </c>
      <c r="L91" s="1775"/>
      <c r="M91" s="1776"/>
      <c r="N91" s="1777"/>
      <c r="O91" s="1778"/>
      <c r="P91" s="1779"/>
      <c r="Q91" s="1773"/>
      <c r="R91" s="1773"/>
      <c r="S91" s="1780">
        <f t="shared" si="35"/>
        <v>0</v>
      </c>
      <c r="T91" s="1780">
        <f t="shared" si="36"/>
        <v>0</v>
      </c>
      <c r="U91" s="1766"/>
      <c r="V91" s="1767"/>
    </row>
    <row r="92" spans="1:22" ht="12" outlineLevel="1">
      <c r="A92" s="1781"/>
      <c r="B92" s="1782"/>
      <c r="C92" s="1802" t="s">
        <v>1705</v>
      </c>
      <c r="D92" s="1770" t="s">
        <v>153</v>
      </c>
      <c r="E92" s="1770">
        <f>+SUBCONTRATOS!P97</f>
        <v>800</v>
      </c>
      <c r="F92" s="1862">
        <f>+Cotizaciones!D41</f>
        <v>1338.79</v>
      </c>
      <c r="G92" s="1863"/>
      <c r="H92" s="1773"/>
      <c r="I92" s="1773"/>
      <c r="J92" s="1774">
        <f t="shared" si="33"/>
        <v>1071032</v>
      </c>
      <c r="K92" s="1774">
        <f t="shared" si="34"/>
        <v>0</v>
      </c>
      <c r="L92" s="1775"/>
      <c r="M92" s="1776"/>
      <c r="N92" s="1777"/>
      <c r="O92" s="1778"/>
      <c r="P92" s="1779"/>
      <c r="Q92" s="1773"/>
      <c r="R92" s="1773"/>
      <c r="S92" s="1780">
        <f t="shared" si="35"/>
        <v>0</v>
      </c>
      <c r="T92" s="1780">
        <f t="shared" si="36"/>
        <v>0</v>
      </c>
      <c r="U92" s="1766"/>
      <c r="V92" s="1767"/>
    </row>
    <row r="93" spans="1:22" ht="12" outlineLevel="1">
      <c r="A93" s="1781"/>
      <c r="B93" s="1782"/>
      <c r="C93" s="1802" t="s">
        <v>2033</v>
      </c>
      <c r="D93" s="1770" t="s">
        <v>72</v>
      </c>
      <c r="E93" s="1770">
        <v>6</v>
      </c>
      <c r="F93" s="1862">
        <v>150000</v>
      </c>
      <c r="G93" s="1863"/>
      <c r="H93" s="1773"/>
      <c r="I93" s="1773"/>
      <c r="J93" s="1774">
        <f t="shared" si="33"/>
        <v>900000</v>
      </c>
      <c r="K93" s="1774">
        <f t="shared" ref="K93" si="37">+G93*E93</f>
        <v>0</v>
      </c>
      <c r="L93" s="1775"/>
      <c r="M93" s="1776"/>
      <c r="N93" s="1777"/>
      <c r="O93" s="1778"/>
      <c r="P93" s="1779"/>
      <c r="Q93" s="1773"/>
      <c r="R93" s="1773"/>
      <c r="S93" s="1780">
        <f t="shared" si="35"/>
        <v>0</v>
      </c>
      <c r="T93" s="1780">
        <f t="shared" si="36"/>
        <v>0</v>
      </c>
      <c r="U93" s="1766"/>
      <c r="V93" s="1767"/>
    </row>
    <row r="94" spans="1:22" ht="12" outlineLevel="1">
      <c r="A94" s="1781"/>
      <c r="B94" s="1782"/>
      <c r="C94" s="1802" t="s">
        <v>212</v>
      </c>
      <c r="D94" s="1770" t="s">
        <v>54</v>
      </c>
      <c r="E94" s="1770">
        <v>0.05</v>
      </c>
      <c r="F94" s="1862">
        <f>+SUM(J89:K93)</f>
        <v>10561944</v>
      </c>
      <c r="G94" s="1863"/>
      <c r="H94" s="1773"/>
      <c r="I94" s="1773"/>
      <c r="J94" s="1774">
        <f t="shared" si="33"/>
        <v>528097.20000000007</v>
      </c>
      <c r="K94" s="1774">
        <f t="shared" si="34"/>
        <v>0</v>
      </c>
      <c r="L94" s="1864"/>
      <c r="M94" s="1776"/>
      <c r="N94" s="1777"/>
      <c r="O94" s="1778"/>
      <c r="P94" s="1779"/>
      <c r="Q94" s="1773"/>
      <c r="R94" s="1773"/>
      <c r="S94" s="1780">
        <f t="shared" si="35"/>
        <v>0</v>
      </c>
      <c r="T94" s="1780">
        <f t="shared" si="36"/>
        <v>0</v>
      </c>
      <c r="U94" s="1766"/>
      <c r="V94" s="1767"/>
    </row>
    <row r="95" spans="1:22" ht="12" outlineLevel="1">
      <c r="A95" s="1787"/>
      <c r="B95" s="1788"/>
      <c r="C95" s="1805" t="s">
        <v>1761</v>
      </c>
      <c r="D95" s="1790" t="s">
        <v>201</v>
      </c>
      <c r="E95" s="1790">
        <v>10</v>
      </c>
      <c r="F95" s="1865"/>
      <c r="G95" s="1866"/>
      <c r="H95" s="1806"/>
      <c r="I95" s="1806"/>
      <c r="J95" s="1794">
        <f t="shared" si="33"/>
        <v>0</v>
      </c>
      <c r="K95" s="1794">
        <f t="shared" si="34"/>
        <v>0</v>
      </c>
      <c r="L95" s="1807"/>
      <c r="M95" s="1808">
        <v>1</v>
      </c>
      <c r="N95" s="1809">
        <v>1</v>
      </c>
      <c r="O95" s="1810"/>
      <c r="P95" s="1811">
        <v>1</v>
      </c>
      <c r="Q95" s="1806"/>
      <c r="R95" s="1806"/>
      <c r="S95" s="1801">
        <f t="shared" si="35"/>
        <v>0</v>
      </c>
      <c r="T95" s="1801">
        <f>(+M95*$M$5+N95*$N$5+O95*$O$5+P95*$P$5)*E95</f>
        <v>2460301.4945337288</v>
      </c>
      <c r="U95" s="1785"/>
      <c r="V95" s="1786"/>
    </row>
    <row r="96" spans="1:22" ht="12.75" customHeight="1">
      <c r="A96" s="1867">
        <f>+'01'!A45</f>
        <v>3.22</v>
      </c>
      <c r="B96" s="1682"/>
      <c r="C96" s="1867" t="str">
        <f>+'01'!C45</f>
        <v>Picado de medianeras para columnas y vigas - Cotizado solo para PB, 1P, NO contempla picado en CT</v>
      </c>
      <c r="D96" s="1848" t="str">
        <f>+'01'!D45</f>
        <v>m2</v>
      </c>
      <c r="E96" s="1848">
        <f>+'01'!E45</f>
        <v>65</v>
      </c>
      <c r="F96" s="1868"/>
      <c r="G96" s="1869"/>
      <c r="H96" s="1844">
        <f>+J96/E96</f>
        <v>4615.3846153846152</v>
      </c>
      <c r="I96" s="1844">
        <f>+K96/E96</f>
        <v>4615.3846153846152</v>
      </c>
      <c r="J96" s="1682">
        <f>SUM(J97:J99)</f>
        <v>300000</v>
      </c>
      <c r="K96" s="1682">
        <f>SUM(K97:K99)</f>
        <v>300000</v>
      </c>
      <c r="L96" s="1870"/>
      <c r="M96" s="1871"/>
      <c r="N96" s="1841"/>
      <c r="O96" s="1842"/>
      <c r="P96" s="1872"/>
      <c r="Q96" s="1844">
        <f>+U96/E96</f>
        <v>0</v>
      </c>
      <c r="R96" s="1844">
        <f>+V96/E96</f>
        <v>20224.016347393997</v>
      </c>
      <c r="S96" s="1873"/>
      <c r="T96" s="1874"/>
      <c r="U96" s="1766">
        <f>SUM(S97:S99)</f>
        <v>0</v>
      </c>
      <c r="V96" s="1767">
        <f>SUM(T97:T99)</f>
        <v>1314561.0625806099</v>
      </c>
    </row>
    <row r="97" spans="1:24" ht="12.75" customHeight="1" outlineLevel="1">
      <c r="A97" s="1681"/>
      <c r="B97" s="1682"/>
      <c r="C97" s="1875" t="s">
        <v>265</v>
      </c>
      <c r="D97" s="1876" t="s">
        <v>54</v>
      </c>
      <c r="E97" s="1876">
        <v>1</v>
      </c>
      <c r="F97" s="1877"/>
      <c r="G97" s="1878">
        <v>300000</v>
      </c>
      <c r="H97" s="1879"/>
      <c r="I97" s="1879"/>
      <c r="J97" s="1880">
        <f>+F97*E97</f>
        <v>0</v>
      </c>
      <c r="K97" s="1880">
        <f>+G97*E97</f>
        <v>300000</v>
      </c>
      <c r="L97" s="1870"/>
      <c r="M97" s="1776"/>
      <c r="N97" s="1777"/>
      <c r="O97" s="1778"/>
      <c r="P97" s="1779"/>
      <c r="Q97" s="1881"/>
      <c r="R97" s="1881"/>
      <c r="S97" s="1882">
        <f>+L97*E97</f>
        <v>0</v>
      </c>
      <c r="T97" s="1883">
        <f>(+M97*$M$5+N97*$N$5+O97*$O$5+P97*$P$5)*E97</f>
        <v>0</v>
      </c>
      <c r="U97" s="1785"/>
      <c r="V97" s="1786"/>
    </row>
    <row r="98" spans="1:24" ht="12.75" customHeight="1" outlineLevel="1">
      <c r="A98" s="1681"/>
      <c r="B98" s="1682"/>
      <c r="C98" s="1875" t="s">
        <v>148</v>
      </c>
      <c r="D98" s="1876" t="s">
        <v>72</v>
      </c>
      <c r="E98" s="1876">
        <f>+ROUNDUP(E96*0.2/5,0)</f>
        <v>3</v>
      </c>
      <c r="F98" s="1877">
        <v>100000</v>
      </c>
      <c r="G98" s="1878"/>
      <c r="H98" s="1879"/>
      <c r="I98" s="1879"/>
      <c r="J98" s="1880">
        <f>+F98*E98</f>
        <v>300000</v>
      </c>
      <c r="K98" s="1880">
        <f>+G98*E98</f>
        <v>0</v>
      </c>
      <c r="L98" s="1870"/>
      <c r="M98" s="1820"/>
      <c r="N98" s="1821"/>
      <c r="O98" s="1822"/>
      <c r="P98" s="1823"/>
      <c r="Q98" s="1881"/>
      <c r="R98" s="1881"/>
      <c r="S98" s="1882">
        <f>+L98*E98</f>
        <v>0</v>
      </c>
      <c r="T98" s="1883">
        <f>(+M98*$M$5+N98*$N$5+O98*$O$5+P98*$P$5)*E98</f>
        <v>0</v>
      </c>
      <c r="U98" s="1785"/>
      <c r="V98" s="1786"/>
    </row>
    <row r="99" spans="1:24" ht="12.75" customHeight="1" outlineLevel="1">
      <c r="A99" s="1681"/>
      <c r="B99" s="1682"/>
      <c r="C99" s="1875">
        <v>12</v>
      </c>
      <c r="D99" s="1876" t="s">
        <v>201</v>
      </c>
      <c r="E99" s="1876">
        <f>+ROUNDUP(E96/C99,0)</f>
        <v>6</v>
      </c>
      <c r="F99" s="1877"/>
      <c r="G99" s="1878"/>
      <c r="H99" s="1879"/>
      <c r="I99" s="1879"/>
      <c r="J99" s="1880">
        <f>+F99*E99</f>
        <v>0</v>
      </c>
      <c r="K99" s="1880">
        <f>+G99*E99</f>
        <v>0</v>
      </c>
      <c r="L99" s="1870"/>
      <c r="M99" s="1808"/>
      <c r="N99" s="1809">
        <v>1</v>
      </c>
      <c r="O99" s="1810"/>
      <c r="P99" s="1811">
        <v>2</v>
      </c>
      <c r="Q99" s="1881"/>
      <c r="R99" s="1881"/>
      <c r="S99" s="1882">
        <f>+L99*E99</f>
        <v>0</v>
      </c>
      <c r="T99" s="1883">
        <f>(+M99*$M$5+N99*$N$5+O99*$O$5+P99*$P$5)*E99</f>
        <v>1314561.0625806099</v>
      </c>
      <c r="U99" s="1785"/>
      <c r="V99" s="1786"/>
    </row>
    <row r="100" spans="1:24" ht="12">
      <c r="A100" s="1750">
        <f>+'01'!A46</f>
        <v>4</v>
      </c>
      <c r="B100" s="1746"/>
      <c r="C100" s="1825" t="str">
        <f>+'01'!C46</f>
        <v>MAMPOSTERÍA</v>
      </c>
      <c r="D100" s="1746"/>
      <c r="E100" s="1826"/>
      <c r="F100" s="1827"/>
      <c r="G100" s="1828"/>
      <c r="H100" s="1829"/>
      <c r="I100" s="1829"/>
      <c r="J100" s="1830"/>
      <c r="K100" s="1830"/>
      <c r="L100" s="1831"/>
      <c r="M100" s="1832"/>
      <c r="N100" s="1833"/>
      <c r="O100" s="1834"/>
      <c r="P100" s="1835"/>
      <c r="Q100" s="1829"/>
      <c r="R100" s="1829"/>
      <c r="S100" s="1836"/>
      <c r="T100" s="1837"/>
      <c r="U100" s="1785"/>
      <c r="V100" s="1786"/>
    </row>
    <row r="101" spans="1:24" ht="12.75" customHeight="1" collapsed="1">
      <c r="A101" s="1693">
        <f>+'01'!A52</f>
        <v>4.0599999999999996</v>
      </c>
      <c r="B101" s="1693" t="str">
        <f>+'01'!B52</f>
        <v>OK</v>
      </c>
      <c r="C101" s="1692" t="str">
        <f>+'01'!C52</f>
        <v>Vigas de encadenado - En muros de PB, incl. excavación y armado</v>
      </c>
      <c r="D101" s="1693" t="str">
        <f>+'01'!D52</f>
        <v>ml</v>
      </c>
      <c r="E101" s="1693">
        <f>+'01'!E52</f>
        <v>24</v>
      </c>
      <c r="F101" s="1884"/>
      <c r="G101" s="1885"/>
      <c r="H101" s="1759">
        <f>+J101/E101</f>
        <v>23405.011666666669</v>
      </c>
      <c r="I101" s="1759">
        <f>+K101/E101</f>
        <v>0</v>
      </c>
      <c r="J101" s="1693">
        <f>SUM(J102:J108)</f>
        <v>561720.28</v>
      </c>
      <c r="K101" s="1693"/>
      <c r="L101" s="1760"/>
      <c r="M101" s="1761"/>
      <c r="N101" s="1762"/>
      <c r="O101" s="1763"/>
      <c r="P101" s="1764"/>
      <c r="Q101" s="1759">
        <f>+U101/E101</f>
        <v>0</v>
      </c>
      <c r="R101" s="1759">
        <f>+V101/E101</f>
        <v>36357.143586693906</v>
      </c>
      <c r="S101" s="1765"/>
      <c r="T101" s="1765"/>
      <c r="U101" s="1766">
        <f>SUM(S102:S108)</f>
        <v>0</v>
      </c>
      <c r="V101" s="1767">
        <f>SUM(T102:T108)</f>
        <v>872571.44608065381</v>
      </c>
    </row>
    <row r="102" spans="1:24" ht="12.75" customHeight="1" outlineLevel="1">
      <c r="A102" s="1683"/>
      <c r="B102" s="1684"/>
      <c r="C102" s="1886" t="s">
        <v>1703</v>
      </c>
      <c r="D102" s="1887" t="s">
        <v>66</v>
      </c>
      <c r="E102" s="1887">
        <f>+Computo!H13</f>
        <v>3</v>
      </c>
      <c r="F102" s="1888"/>
      <c r="G102" s="1889"/>
      <c r="H102" s="1783"/>
      <c r="I102" s="1783"/>
      <c r="J102" s="1774">
        <f t="shared" ref="J102:J108" si="38">+F102*E102</f>
        <v>0</v>
      </c>
      <c r="K102" s="1774">
        <f t="shared" ref="K102:K108" si="39">+G102*E102</f>
        <v>0</v>
      </c>
      <c r="L102" s="1775"/>
      <c r="M102" s="1776"/>
      <c r="N102" s="1777"/>
      <c r="O102" s="1778"/>
      <c r="P102" s="1779">
        <v>1</v>
      </c>
      <c r="Q102" s="1784"/>
      <c r="R102" s="1784"/>
      <c r="S102" s="1780">
        <f t="shared" ref="S102:S108" si="40">+L102*E102</f>
        <v>0</v>
      </c>
      <c r="T102" s="1780">
        <f t="shared" ref="T102:T108" si="41">(+M102*$M$5+N102*$N$5+O102*$O$5+P102*$P$5)*E102</f>
        <v>201721.49658080284</v>
      </c>
      <c r="U102" s="1785"/>
      <c r="V102" s="1786"/>
      <c r="X102" s="1785">
        <f>+P102*$E102/$E$101</f>
        <v>0.125</v>
      </c>
    </row>
    <row r="103" spans="1:24" ht="12.75" customHeight="1" outlineLevel="1">
      <c r="A103" s="1683"/>
      <c r="B103" s="1684"/>
      <c r="C103" s="1886" t="s">
        <v>1704</v>
      </c>
      <c r="D103" s="1887" t="s">
        <v>72</v>
      </c>
      <c r="E103" s="1890">
        <f>+ROUNDUP(E102/5,0)</f>
        <v>1</v>
      </c>
      <c r="F103" s="1888">
        <v>100000</v>
      </c>
      <c r="G103" s="1889"/>
      <c r="H103" s="1783"/>
      <c r="I103" s="1783"/>
      <c r="J103" s="1774">
        <f t="shared" si="38"/>
        <v>100000</v>
      </c>
      <c r="K103" s="1774">
        <f t="shared" si="39"/>
        <v>0</v>
      </c>
      <c r="L103" s="1775"/>
      <c r="M103" s="1776"/>
      <c r="N103" s="1777"/>
      <c r="O103" s="1778"/>
      <c r="P103" s="1779"/>
      <c r="Q103" s="1784"/>
      <c r="R103" s="1784"/>
      <c r="S103" s="1780">
        <f t="shared" si="40"/>
        <v>0</v>
      </c>
      <c r="T103" s="1780">
        <f t="shared" si="41"/>
        <v>0</v>
      </c>
      <c r="U103" s="1785"/>
      <c r="V103" s="1786"/>
    </row>
    <row r="104" spans="1:24" ht="12.75" customHeight="1" outlineLevel="1">
      <c r="A104" s="1683"/>
      <c r="B104" s="1684"/>
      <c r="C104" s="1886" t="s">
        <v>1702</v>
      </c>
      <c r="D104" s="1887" t="s">
        <v>66</v>
      </c>
      <c r="E104" s="1890">
        <f>+Computo!G13</f>
        <v>2</v>
      </c>
      <c r="F104" s="1888">
        <f>+Cotizaciones!D27</f>
        <v>125000</v>
      </c>
      <c r="G104" s="1889"/>
      <c r="H104" s="1783"/>
      <c r="I104" s="1783"/>
      <c r="J104" s="1774">
        <f t="shared" si="38"/>
        <v>250000</v>
      </c>
      <c r="K104" s="1774">
        <f t="shared" si="39"/>
        <v>0</v>
      </c>
      <c r="L104" s="1775"/>
      <c r="M104" s="1776"/>
      <c r="N104" s="1777"/>
      <c r="O104" s="1778"/>
      <c r="P104" s="1779"/>
      <c r="Q104" s="1784"/>
      <c r="R104" s="1784"/>
      <c r="S104" s="1780">
        <f t="shared" si="40"/>
        <v>0</v>
      </c>
      <c r="T104" s="1780">
        <f t="shared" si="41"/>
        <v>0</v>
      </c>
      <c r="U104" s="1785"/>
      <c r="V104" s="1786"/>
    </row>
    <row r="105" spans="1:24" ht="12.75" customHeight="1" outlineLevel="1">
      <c r="A105" s="1683"/>
      <c r="B105" s="1684"/>
      <c r="C105" s="1886" t="s">
        <v>1705</v>
      </c>
      <c r="D105" s="1887" t="s">
        <v>153</v>
      </c>
      <c r="E105" s="1887">
        <f>+E104*60</f>
        <v>120</v>
      </c>
      <c r="F105" s="1888">
        <f>+Cotizaciones!D41</f>
        <v>1338.79</v>
      </c>
      <c r="G105" s="1889"/>
      <c r="H105" s="1783"/>
      <c r="I105" s="1783"/>
      <c r="J105" s="1774">
        <f t="shared" si="38"/>
        <v>160654.79999999999</v>
      </c>
      <c r="K105" s="1774">
        <f t="shared" si="39"/>
        <v>0</v>
      </c>
      <c r="L105" s="1775"/>
      <c r="M105" s="1776"/>
      <c r="N105" s="1777"/>
      <c r="O105" s="1778"/>
      <c r="P105" s="1779"/>
      <c r="Q105" s="1784"/>
      <c r="R105" s="1784"/>
      <c r="S105" s="1780">
        <f t="shared" si="40"/>
        <v>0</v>
      </c>
      <c r="T105" s="1780">
        <f t="shared" si="41"/>
        <v>0</v>
      </c>
      <c r="U105" s="1785"/>
      <c r="V105" s="1786"/>
    </row>
    <row r="106" spans="1:24" ht="12.75" customHeight="1" outlineLevel="1">
      <c r="A106" s="1683"/>
      <c r="B106" s="1684"/>
      <c r="C106" s="1886" t="s">
        <v>212</v>
      </c>
      <c r="D106" s="1887" t="s">
        <v>54</v>
      </c>
      <c r="E106" s="1887">
        <v>0.1</v>
      </c>
      <c r="F106" s="1888">
        <f>+SUM(J102:K105)</f>
        <v>510654.8</v>
      </c>
      <c r="G106" s="1889"/>
      <c r="H106" s="1783"/>
      <c r="I106" s="1783"/>
      <c r="J106" s="1774">
        <f t="shared" si="38"/>
        <v>51065.48</v>
      </c>
      <c r="K106" s="1774">
        <f t="shared" si="39"/>
        <v>0</v>
      </c>
      <c r="L106" s="1775"/>
      <c r="M106" s="1776"/>
      <c r="N106" s="1777"/>
      <c r="O106" s="1778"/>
      <c r="P106" s="1779"/>
      <c r="Q106" s="1784"/>
      <c r="R106" s="1784"/>
      <c r="S106" s="1780">
        <f t="shared" si="40"/>
        <v>0</v>
      </c>
      <c r="T106" s="1780">
        <f t="shared" si="41"/>
        <v>0</v>
      </c>
      <c r="U106" s="1785"/>
      <c r="V106" s="1786"/>
    </row>
    <row r="107" spans="1:24" ht="12.75" customHeight="1" outlineLevel="1">
      <c r="A107" s="1685"/>
      <c r="B107" s="1686"/>
      <c r="C107" s="1891" t="s">
        <v>1839</v>
      </c>
      <c r="D107" s="1892" t="s">
        <v>201</v>
      </c>
      <c r="E107" s="1892">
        <v>2</v>
      </c>
      <c r="F107" s="1893"/>
      <c r="G107" s="1894"/>
      <c r="H107" s="1895"/>
      <c r="I107" s="1895"/>
      <c r="J107" s="1774">
        <f t="shared" ref="J107" si="42">+F107*E107</f>
        <v>0</v>
      </c>
      <c r="K107" s="1774">
        <f t="shared" ref="K107" si="43">+G107*E107</f>
        <v>0</v>
      </c>
      <c r="L107" s="1819"/>
      <c r="M107" s="1820">
        <v>1</v>
      </c>
      <c r="N107" s="1821">
        <v>1</v>
      </c>
      <c r="O107" s="1822"/>
      <c r="P107" s="1823"/>
      <c r="Q107" s="1896"/>
      <c r="R107" s="1896"/>
      <c r="S107" s="1780">
        <f t="shared" ref="S107" si="44">+L107*E107</f>
        <v>0</v>
      </c>
      <c r="T107" s="1780">
        <f t="shared" ref="T107" si="45">(+M107*$M$5+N107*$N$5+O107*$O$5+P107*$P$5)*E107</f>
        <v>357579.30118621053</v>
      </c>
      <c r="U107" s="1785"/>
      <c r="V107" s="1785"/>
      <c r="W107" s="1785"/>
      <c r="X107" s="1785"/>
    </row>
    <row r="108" spans="1:24" ht="12.75" customHeight="1" outlineLevel="1">
      <c r="A108" s="1687"/>
      <c r="B108" s="1688"/>
      <c r="C108" s="1897" t="s">
        <v>1840</v>
      </c>
      <c r="D108" s="1898" t="s">
        <v>201</v>
      </c>
      <c r="E108" s="1898">
        <v>1</v>
      </c>
      <c r="F108" s="1899"/>
      <c r="G108" s="1900"/>
      <c r="H108" s="1793"/>
      <c r="I108" s="1793"/>
      <c r="J108" s="1794">
        <f t="shared" si="38"/>
        <v>0</v>
      </c>
      <c r="K108" s="1794">
        <f t="shared" si="39"/>
        <v>0</v>
      </c>
      <c r="L108" s="1807"/>
      <c r="M108" s="1808">
        <v>1</v>
      </c>
      <c r="N108" s="1809">
        <v>1</v>
      </c>
      <c r="O108" s="1810"/>
      <c r="P108" s="1811">
        <v>2</v>
      </c>
      <c r="Q108" s="1800"/>
      <c r="R108" s="1800"/>
      <c r="S108" s="1801">
        <f t="shared" si="40"/>
        <v>0</v>
      </c>
      <c r="T108" s="1801">
        <f t="shared" si="41"/>
        <v>313270.6483136405</v>
      </c>
      <c r="U108" s="1785"/>
      <c r="V108" s="1785"/>
      <c r="W108" s="1785"/>
      <c r="X108" s="1785"/>
    </row>
    <row r="109" spans="1:24" ht="12.75" customHeight="1" outlineLevel="1">
      <c r="A109" s="1681"/>
      <c r="B109" s="1682"/>
      <c r="C109" s="1875" t="s">
        <v>1472</v>
      </c>
      <c r="D109" s="1876" t="s">
        <v>4</v>
      </c>
      <c r="E109" s="1876" t="e">
        <f>+#REF!*(4.5*0.4)</f>
        <v>#REF!</v>
      </c>
      <c r="F109" s="1877"/>
      <c r="G109" s="1878">
        <f>+'APU 06.25'!E13</f>
        <v>10053.788111207799</v>
      </c>
      <c r="H109" s="1879"/>
      <c r="I109" s="1879"/>
      <c r="J109" s="1880" t="e">
        <f t="shared" ref="J109:J115" si="46">+F109*E109</f>
        <v>#REF!</v>
      </c>
      <c r="K109" s="1880" t="e">
        <f t="shared" ref="K109:K115" si="47">+G109*E109</f>
        <v>#REF!</v>
      </c>
      <c r="L109" s="1870"/>
      <c r="M109" s="1776"/>
      <c r="N109" s="1777"/>
      <c r="O109" s="1778"/>
      <c r="P109" s="1779"/>
      <c r="Q109" s="1881"/>
      <c r="R109" s="1881"/>
      <c r="S109" s="1882" t="e">
        <f t="shared" ref="S109:S115" si="48">+L109*E109</f>
        <v>#REF!</v>
      </c>
      <c r="T109" s="1883" t="e">
        <f t="shared" ref="T109:T115" si="49">(+M109*$M$5+N109*$N$5+O109*$O$5+P109*$P$5)*E109</f>
        <v>#REF!</v>
      </c>
      <c r="U109" s="1785"/>
      <c r="V109" s="1785"/>
      <c r="W109" s="1785"/>
      <c r="X109" s="1785"/>
    </row>
    <row r="110" spans="1:24" ht="12.75" customHeight="1" outlineLevel="1">
      <c r="A110" s="1681"/>
      <c r="B110" s="1682"/>
      <c r="C110" s="1875" t="s">
        <v>1471</v>
      </c>
      <c r="D110" s="1876" t="s">
        <v>4</v>
      </c>
      <c r="E110" s="1876" t="e">
        <f>1.5*0.4*#REF!</f>
        <v>#REF!</v>
      </c>
      <c r="F110" s="1877"/>
      <c r="G110" s="1878">
        <f>+'APU 06.25'!E23</f>
        <v>4061.1650940000004</v>
      </c>
      <c r="H110" s="1879"/>
      <c r="I110" s="1879"/>
      <c r="J110" s="1880" t="e">
        <f t="shared" si="46"/>
        <v>#REF!</v>
      </c>
      <c r="K110" s="1880" t="e">
        <f t="shared" si="47"/>
        <v>#REF!</v>
      </c>
      <c r="L110" s="1870"/>
      <c r="M110" s="1820"/>
      <c r="N110" s="1821"/>
      <c r="O110" s="1822"/>
      <c r="P110" s="1823"/>
      <c r="Q110" s="1881"/>
      <c r="R110" s="1881"/>
      <c r="S110" s="1882" t="e">
        <f t="shared" si="48"/>
        <v>#REF!</v>
      </c>
      <c r="T110" s="1883" t="e">
        <f t="shared" si="49"/>
        <v>#REF!</v>
      </c>
      <c r="U110" s="1785"/>
      <c r="V110" s="1785"/>
      <c r="W110" s="1785"/>
      <c r="X110" s="1785"/>
    </row>
    <row r="111" spans="1:24" ht="12.75" customHeight="1" outlineLevel="1">
      <c r="A111" s="1681"/>
      <c r="B111" s="1682"/>
      <c r="C111" s="1875" t="s">
        <v>1474</v>
      </c>
      <c r="D111" s="1876" t="s">
        <v>72</v>
      </c>
      <c r="E111" s="1876" t="e">
        <f>+#REF!/2</f>
        <v>#REF!</v>
      </c>
      <c r="F111" s="1877">
        <v>15000</v>
      </c>
      <c r="G111" s="1878"/>
      <c r="H111" s="1879"/>
      <c r="I111" s="1879"/>
      <c r="J111" s="1880" t="e">
        <f t="shared" si="46"/>
        <v>#REF!</v>
      </c>
      <c r="K111" s="1880" t="e">
        <f t="shared" si="47"/>
        <v>#REF!</v>
      </c>
      <c r="L111" s="1870"/>
      <c r="M111" s="1820"/>
      <c r="N111" s="1821"/>
      <c r="O111" s="1822"/>
      <c r="P111" s="1823"/>
      <c r="Q111" s="1881"/>
      <c r="R111" s="1881"/>
      <c r="S111" s="1882" t="e">
        <f t="shared" si="48"/>
        <v>#REF!</v>
      </c>
      <c r="T111" s="1883" t="e">
        <f t="shared" si="49"/>
        <v>#REF!</v>
      </c>
      <c r="U111" s="1785"/>
      <c r="V111" s="1786"/>
    </row>
    <row r="112" spans="1:24" ht="12.75" customHeight="1" outlineLevel="1">
      <c r="A112" s="1681"/>
      <c r="B112" s="1682"/>
      <c r="C112" s="1875" t="s">
        <v>1473</v>
      </c>
      <c r="D112" s="1876" t="s">
        <v>54</v>
      </c>
      <c r="E112" s="1876">
        <v>0.1</v>
      </c>
      <c r="F112" s="1877" t="e">
        <f>+SUM(J109:K111)</f>
        <v>#REF!</v>
      </c>
      <c r="G112" s="1878"/>
      <c r="H112" s="1879"/>
      <c r="I112" s="1879"/>
      <c r="J112" s="1880" t="e">
        <f t="shared" si="46"/>
        <v>#REF!</v>
      </c>
      <c r="K112" s="1880">
        <f t="shared" si="47"/>
        <v>0</v>
      </c>
      <c r="L112" s="1870"/>
      <c r="M112" s="1820"/>
      <c r="N112" s="1821"/>
      <c r="O112" s="1822"/>
      <c r="P112" s="1823"/>
      <c r="Q112" s="1881"/>
      <c r="R112" s="1881"/>
      <c r="S112" s="1882">
        <f t="shared" si="48"/>
        <v>0</v>
      </c>
      <c r="T112" s="1883">
        <f t="shared" si="49"/>
        <v>0</v>
      </c>
      <c r="U112" s="1785"/>
      <c r="V112" s="1786"/>
    </row>
    <row r="113" spans="1:22" ht="12.75" customHeight="1" outlineLevel="1">
      <c r="A113" s="1681"/>
      <c r="B113" s="1682"/>
      <c r="C113" s="1875">
        <v>1</v>
      </c>
      <c r="D113" s="1876" t="s">
        <v>201</v>
      </c>
      <c r="E113" s="1876" t="e">
        <f>+ROUNDUP(#REF!/C113,0)</f>
        <v>#REF!</v>
      </c>
      <c r="F113" s="1877"/>
      <c r="G113" s="1878"/>
      <c r="H113" s="1879"/>
      <c r="I113" s="1879"/>
      <c r="J113" s="1880" t="e">
        <f t="shared" si="46"/>
        <v>#REF!</v>
      </c>
      <c r="K113" s="1880" t="e">
        <f t="shared" si="47"/>
        <v>#REF!</v>
      </c>
      <c r="L113" s="1870"/>
      <c r="M113" s="1808"/>
      <c r="N113" s="1809">
        <v>1</v>
      </c>
      <c r="O113" s="1810"/>
      <c r="P113" s="1811">
        <v>0.5</v>
      </c>
      <c r="Q113" s="1881"/>
      <c r="R113" s="1881"/>
      <c r="S113" s="1882" t="e">
        <f t="shared" si="48"/>
        <v>#REF!</v>
      </c>
      <c r="T113" s="1883" t="e">
        <f t="shared" si="49"/>
        <v>#REF!</v>
      </c>
      <c r="U113" s="1785"/>
      <c r="V113" s="1786"/>
    </row>
    <row r="114" spans="1:22" ht="12.75" customHeight="1" outlineLevel="1">
      <c r="A114" s="1768"/>
      <c r="B114" s="1680"/>
      <c r="C114" s="1886" t="s">
        <v>1465</v>
      </c>
      <c r="D114" s="1887" t="s">
        <v>72</v>
      </c>
      <c r="E114" s="1887">
        <v>1</v>
      </c>
      <c r="F114" s="1888">
        <v>45000</v>
      </c>
      <c r="G114" s="1889"/>
      <c r="H114" s="1783"/>
      <c r="I114" s="1783"/>
      <c r="J114" s="1774">
        <f t="shared" si="46"/>
        <v>45000</v>
      </c>
      <c r="K114" s="1774">
        <f t="shared" si="47"/>
        <v>0</v>
      </c>
      <c r="L114" s="1775"/>
      <c r="M114" s="1776"/>
      <c r="N114" s="1777"/>
      <c r="O114" s="1778"/>
      <c r="P114" s="1779"/>
      <c r="Q114" s="1784"/>
      <c r="R114" s="1784"/>
      <c r="S114" s="1780">
        <f t="shared" si="48"/>
        <v>0</v>
      </c>
      <c r="T114" s="1780">
        <f t="shared" si="49"/>
        <v>0</v>
      </c>
    </row>
    <row r="115" spans="1:22" ht="12.75" customHeight="1" outlineLevel="1">
      <c r="A115" s="1768"/>
      <c r="B115" s="1680"/>
      <c r="C115" s="1886" t="s">
        <v>264</v>
      </c>
      <c r="D115" s="1887" t="s">
        <v>201</v>
      </c>
      <c r="E115" s="1887">
        <v>1</v>
      </c>
      <c r="F115" s="1888"/>
      <c r="G115" s="1889"/>
      <c r="H115" s="1783"/>
      <c r="I115" s="1783"/>
      <c r="J115" s="1774">
        <f t="shared" si="46"/>
        <v>0</v>
      </c>
      <c r="K115" s="1774">
        <f t="shared" si="47"/>
        <v>0</v>
      </c>
      <c r="L115" s="1775"/>
      <c r="M115" s="1776"/>
      <c r="N115" s="1777">
        <v>1</v>
      </c>
      <c r="O115" s="1778"/>
      <c r="P115" s="1779">
        <v>0.5</v>
      </c>
      <c r="Q115" s="1784"/>
      <c r="R115" s="1784"/>
      <c r="S115" s="1780">
        <f t="shared" si="48"/>
        <v>0</v>
      </c>
      <c r="T115" s="1780">
        <f t="shared" si="49"/>
        <v>118232.76213970021</v>
      </c>
    </row>
    <row r="116" spans="1:22" ht="12.75" customHeight="1">
      <c r="A116" s="1750">
        <f>+'01'!A60</f>
        <v>6</v>
      </c>
      <c r="B116" s="1751"/>
      <c r="C116" s="1825" t="str">
        <f>+'01'!C60</f>
        <v>CUBIERTAS</v>
      </c>
      <c r="D116" s="1825"/>
      <c r="E116" s="1825"/>
      <c r="F116" s="1901"/>
      <c r="G116" s="1902"/>
      <c r="H116" s="1903"/>
      <c r="I116" s="1903"/>
      <c r="J116" s="1903"/>
      <c r="K116" s="1903"/>
      <c r="L116" s="1831"/>
      <c r="M116" s="1832"/>
      <c r="N116" s="1833"/>
      <c r="O116" s="1834"/>
      <c r="P116" s="1835"/>
      <c r="Q116" s="1830"/>
      <c r="R116" s="1830"/>
      <c r="S116" s="1904"/>
      <c r="T116" s="1905"/>
      <c r="U116" s="1749"/>
      <c r="V116" s="1749"/>
    </row>
    <row r="117" spans="1:22" ht="12.75" customHeight="1">
      <c r="A117" s="1698">
        <f>+'01'!A61</f>
        <v>6.01</v>
      </c>
      <c r="B117" s="1678"/>
      <c r="C117" s="1698" t="str">
        <f>+'01'!C61</f>
        <v>Babeta de chapa galvanizada en medianeras</v>
      </c>
      <c r="D117" s="1678" t="str">
        <f>+'01'!D61</f>
        <v>ml</v>
      </c>
      <c r="E117" s="1678">
        <f>+'01'!E61</f>
        <v>44</v>
      </c>
      <c r="F117" s="1906"/>
      <c r="G117" s="1907"/>
      <c r="H117" s="1759">
        <f>+J117/E117</f>
        <v>16294.997685950413</v>
      </c>
      <c r="I117" s="1759">
        <f>+K117/E117</f>
        <v>0</v>
      </c>
      <c r="J117" s="1693">
        <f>SUM(J118:J121)</f>
        <v>716979.89818181819</v>
      </c>
      <c r="K117" s="1693">
        <f>SUM(K118:K121)</f>
        <v>0</v>
      </c>
      <c r="L117" s="1760"/>
      <c r="M117" s="1761"/>
      <c r="N117" s="1762"/>
      <c r="O117" s="1763"/>
      <c r="P117" s="1764"/>
      <c r="Q117" s="1759">
        <f>+U117/E117</f>
        <v>0</v>
      </c>
      <c r="R117" s="1759">
        <f>+V117/E117</f>
        <v>8126.802299686603</v>
      </c>
      <c r="S117" s="1824"/>
      <c r="T117" s="1824"/>
      <c r="U117" s="1766">
        <f>SUM(S118:S121)</f>
        <v>0</v>
      </c>
      <c r="V117" s="1767">
        <f>SUM(T118:T121)</f>
        <v>357579.30118621053</v>
      </c>
    </row>
    <row r="118" spans="1:22" ht="12.75" customHeight="1" outlineLevel="1">
      <c r="A118" s="1768"/>
      <c r="B118" s="1680"/>
      <c r="C118" s="1886" t="s">
        <v>2235</v>
      </c>
      <c r="D118" s="1887" t="s">
        <v>72</v>
      </c>
      <c r="E118" s="1774">
        <f>+ROUNDUP(E117/2.44*1.1,0)</f>
        <v>20</v>
      </c>
      <c r="F118" s="1888">
        <f>VLOOKUP(C118,Cotizaciones!B:D,3,0)</f>
        <v>21485.39</v>
      </c>
      <c r="G118" s="1889"/>
      <c r="H118" s="1783"/>
      <c r="I118" s="1783"/>
      <c r="J118" s="1774">
        <f>+F118*E118</f>
        <v>429707.8</v>
      </c>
      <c r="K118" s="1774">
        <f>+G118*E118</f>
        <v>0</v>
      </c>
      <c r="L118" s="1775"/>
      <c r="M118" s="1776"/>
      <c r="N118" s="1777"/>
      <c r="O118" s="1778"/>
      <c r="P118" s="1779"/>
      <c r="Q118" s="1784"/>
      <c r="R118" s="1784"/>
      <c r="S118" s="1780">
        <f>+L118*E118</f>
        <v>0</v>
      </c>
      <c r="T118" s="1780">
        <f>(+M118*$M$5+N118*$N$5+O118*$O$5+P118*$P$5)*E118</f>
        <v>0</v>
      </c>
    </row>
    <row r="119" spans="1:22" ht="12.75" customHeight="1" outlineLevel="1">
      <c r="A119" s="1768"/>
      <c r="B119" s="1680"/>
      <c r="C119" s="1886" t="s">
        <v>2236</v>
      </c>
      <c r="D119" s="1887" t="s">
        <v>72</v>
      </c>
      <c r="E119" s="1774">
        <f>+ROUNDUP(E117/5,0)</f>
        <v>9</v>
      </c>
      <c r="F119" s="1888">
        <f>VLOOKUP(C119,Cotizaciones!B:D,3,0)</f>
        <v>24676.900826446283</v>
      </c>
      <c r="G119" s="1889"/>
      <c r="H119" s="1783"/>
      <c r="I119" s="1783"/>
      <c r="J119" s="1774">
        <f>+F119*E119</f>
        <v>222092.10743801654</v>
      </c>
      <c r="K119" s="1774">
        <f>+G119*E119</f>
        <v>0</v>
      </c>
      <c r="L119" s="1775"/>
      <c r="M119" s="1776"/>
      <c r="N119" s="1777"/>
      <c r="O119" s="1778"/>
      <c r="P119" s="1779"/>
      <c r="Q119" s="1784"/>
      <c r="R119" s="1784"/>
      <c r="S119" s="1780">
        <f>+L119*E119</f>
        <v>0</v>
      </c>
      <c r="T119" s="1780">
        <f>(+M119*$M$5+N119*$N$5+O119*$O$5+P119*$P$5)*E119</f>
        <v>0</v>
      </c>
    </row>
    <row r="120" spans="1:22" ht="12.75" customHeight="1" outlineLevel="1">
      <c r="A120" s="1768"/>
      <c r="B120" s="1680"/>
      <c r="C120" s="1886" t="s">
        <v>212</v>
      </c>
      <c r="D120" s="1887" t="s">
        <v>54</v>
      </c>
      <c r="E120" s="1774">
        <v>0.1</v>
      </c>
      <c r="F120" s="1888">
        <f>+SUM(J118:J119)</f>
        <v>651799.9074380165</v>
      </c>
      <c r="G120" s="1889"/>
      <c r="H120" s="1783"/>
      <c r="I120" s="1783"/>
      <c r="J120" s="1774">
        <f>+F120*E120</f>
        <v>65179.990743801653</v>
      </c>
      <c r="K120" s="1774">
        <f>+G120*E120</f>
        <v>0</v>
      </c>
      <c r="L120" s="1775"/>
      <c r="M120" s="1776"/>
      <c r="N120" s="1777"/>
      <c r="O120" s="1778"/>
      <c r="P120" s="1779"/>
      <c r="Q120" s="1784"/>
      <c r="R120" s="1784"/>
      <c r="S120" s="1780">
        <f>+L120*E120</f>
        <v>0</v>
      </c>
      <c r="T120" s="1780">
        <f>(+M120*$M$5+N120*$N$5+O120*$O$5+P120*$P$5)*E120</f>
        <v>0</v>
      </c>
    </row>
    <row r="121" spans="1:22" ht="12.75" customHeight="1" outlineLevel="1">
      <c r="A121" s="1804"/>
      <c r="B121" s="1700"/>
      <c r="C121" s="1897" t="s">
        <v>213</v>
      </c>
      <c r="D121" s="1898" t="s">
        <v>201</v>
      </c>
      <c r="E121" s="1794">
        <v>2</v>
      </c>
      <c r="F121" s="1899"/>
      <c r="G121" s="1900"/>
      <c r="H121" s="1793"/>
      <c r="I121" s="1793"/>
      <c r="J121" s="1794">
        <f>+F121*E121</f>
        <v>0</v>
      </c>
      <c r="K121" s="1794">
        <f>+G121*E121</f>
        <v>0</v>
      </c>
      <c r="L121" s="1807"/>
      <c r="M121" s="1808">
        <v>1</v>
      </c>
      <c r="N121" s="1809">
        <v>1</v>
      </c>
      <c r="O121" s="1810"/>
      <c r="P121" s="1811"/>
      <c r="Q121" s="1800"/>
      <c r="R121" s="1800"/>
      <c r="S121" s="1801">
        <f>+L121*E121</f>
        <v>0</v>
      </c>
      <c r="T121" s="1801">
        <f>(+M121*$M$5+N121*$N$5+O121*$O$5+P121*$P$5)*E121</f>
        <v>357579.30118621053</v>
      </c>
    </row>
    <row r="122" spans="1:22" ht="12">
      <c r="A122" s="1750">
        <f>+'01'!A62</f>
        <v>7</v>
      </c>
      <c r="B122" s="1746"/>
      <c r="C122" s="1825" t="str">
        <f>+'01'!C62</f>
        <v>REVOQUES</v>
      </c>
      <c r="D122" s="1751"/>
      <c r="E122" s="1751"/>
      <c r="F122" s="1752"/>
      <c r="G122" s="1753"/>
      <c r="H122" s="1754"/>
      <c r="I122" s="1754"/>
      <c r="J122" s="1754"/>
      <c r="K122" s="1754"/>
      <c r="L122" s="1754"/>
      <c r="M122" s="1755"/>
      <c r="N122" s="1756"/>
      <c r="O122" s="1752"/>
      <c r="P122" s="1753"/>
      <c r="Q122" s="1754"/>
      <c r="R122" s="1754"/>
      <c r="S122" s="1754"/>
      <c r="T122" s="1908"/>
      <c r="U122" s="1785"/>
      <c r="V122" s="1786"/>
    </row>
    <row r="123" spans="1:22" ht="12.75" customHeight="1">
      <c r="A123" s="1909">
        <f>+'01'!A67</f>
        <v>7.05</v>
      </c>
      <c r="B123" s="1910" t="str">
        <f>+'01'!B67</f>
        <v>OK</v>
      </c>
      <c r="C123" s="1909" t="str">
        <f>+'01'!C67</f>
        <v>Yeso interior</v>
      </c>
      <c r="D123" s="1910" t="str">
        <f>+'01'!D67</f>
        <v>m2</v>
      </c>
      <c r="E123" s="1910">
        <f>+'01'!E67</f>
        <v>2180</v>
      </c>
      <c r="F123" s="1884"/>
      <c r="G123" s="1911"/>
      <c r="H123" s="1759">
        <f>+J123/E123</f>
        <v>0</v>
      </c>
      <c r="I123" s="1759">
        <f>+K123/E123</f>
        <v>5780.8668990825699</v>
      </c>
      <c r="J123" s="1693">
        <f>SUM(J124:J127)</f>
        <v>0</v>
      </c>
      <c r="K123" s="1693">
        <f>SUM(K124:K127)</f>
        <v>12602289.840000002</v>
      </c>
      <c r="L123" s="1760"/>
      <c r="M123" s="1761"/>
      <c r="N123" s="1762"/>
      <c r="O123" s="1763"/>
      <c r="P123" s="1764"/>
      <c r="Q123" s="1759">
        <f>+U123/E123</f>
        <v>12252.548573720227</v>
      </c>
      <c r="R123" s="1759">
        <f>+V123/E123</f>
        <v>0</v>
      </c>
      <c r="S123" s="1765"/>
      <c r="T123" s="1765"/>
      <c r="U123" s="1766">
        <f>SUM(S124:S127)</f>
        <v>26710555.890710097</v>
      </c>
      <c r="V123" s="1767">
        <f>SUM(T124:T127)</f>
        <v>0</v>
      </c>
    </row>
    <row r="124" spans="1:22" ht="12.75" customHeight="1" outlineLevel="1">
      <c r="A124" s="1912"/>
      <c r="B124" s="1684"/>
      <c r="C124" s="1886" t="s">
        <v>269</v>
      </c>
      <c r="D124" s="1887" t="s">
        <v>266</v>
      </c>
      <c r="E124" s="1887">
        <f>+ROUNDUP(E123*17/25*1.05,0)</f>
        <v>1557</v>
      </c>
      <c r="F124" s="1913"/>
      <c r="G124" s="1914">
        <f>+Cotizaciones!D55</f>
        <v>7524.72</v>
      </c>
      <c r="H124" s="1784"/>
      <c r="I124" s="1784"/>
      <c r="J124" s="1774">
        <f>+F124*E124</f>
        <v>0</v>
      </c>
      <c r="K124" s="1774">
        <f>+G124*E124</f>
        <v>11715989.040000001</v>
      </c>
      <c r="L124" s="1775"/>
      <c r="M124" s="1776"/>
      <c r="N124" s="1777"/>
      <c r="O124" s="1778"/>
      <c r="P124" s="1779"/>
      <c r="Q124" s="1784"/>
      <c r="R124" s="1784"/>
      <c r="S124" s="1780">
        <f>+L124*E124</f>
        <v>0</v>
      </c>
      <c r="T124" s="1780">
        <f>(+M124*$M$5+N124*$N$5+O124*$O$5+P124*$P$5)*E124</f>
        <v>0</v>
      </c>
      <c r="U124" s="1915"/>
    </row>
    <row r="125" spans="1:22" ht="12" outlineLevel="1">
      <c r="A125" s="1916"/>
      <c r="B125" s="1917"/>
      <c r="C125" s="1886" t="s">
        <v>270</v>
      </c>
      <c r="D125" s="1918" t="s">
        <v>271</v>
      </c>
      <c r="E125" s="1918">
        <f>+ROUND(E123/5/150*1.05,0)</f>
        <v>3</v>
      </c>
      <c r="F125" s="1913"/>
      <c r="G125" s="1914">
        <f>+Cotizaciones!D57</f>
        <v>152600</v>
      </c>
      <c r="H125" s="1784"/>
      <c r="I125" s="1784"/>
      <c r="J125" s="1774">
        <f>+F125*E125</f>
        <v>0</v>
      </c>
      <c r="K125" s="1774">
        <f>+G125*E125</f>
        <v>457800</v>
      </c>
      <c r="L125" s="1775"/>
      <c r="M125" s="1776"/>
      <c r="N125" s="1777"/>
      <c r="O125" s="1778"/>
      <c r="P125" s="1779"/>
      <c r="Q125" s="1784"/>
      <c r="R125" s="1784"/>
      <c r="S125" s="1780">
        <f>+L125*E125</f>
        <v>0</v>
      </c>
      <c r="T125" s="1780">
        <f>(+M125*$M$5+N125*$N$5+O125*$O$5+P125*$P$5)*E125</f>
        <v>0</v>
      </c>
      <c r="U125" s="1915"/>
    </row>
    <row r="126" spans="1:22" ht="12.75" customHeight="1" outlineLevel="1">
      <c r="A126" s="1916"/>
      <c r="B126" s="1917"/>
      <c r="C126" s="1919" t="s">
        <v>272</v>
      </c>
      <c r="D126" s="1918" t="s">
        <v>211</v>
      </c>
      <c r="E126" s="1918">
        <f>+ROUNDUP(E123/5/50*1.05,0)</f>
        <v>10</v>
      </c>
      <c r="F126" s="1913"/>
      <c r="G126" s="1914">
        <f>+Cotizaciones!D53</f>
        <v>42850.080000000002</v>
      </c>
      <c r="H126" s="1784"/>
      <c r="I126" s="1784"/>
      <c r="J126" s="1774">
        <f>+F126*E126</f>
        <v>0</v>
      </c>
      <c r="K126" s="1774">
        <f>+G126*E126</f>
        <v>428500.80000000005</v>
      </c>
      <c r="L126" s="1775"/>
      <c r="M126" s="1776"/>
      <c r="N126" s="1777"/>
      <c r="O126" s="1778"/>
      <c r="P126" s="1779"/>
      <c r="Q126" s="1784"/>
      <c r="R126" s="1784"/>
      <c r="S126" s="1780">
        <f>+L126*E126</f>
        <v>0</v>
      </c>
      <c r="T126" s="1780">
        <f>(+M126*$M$5+N126*$N$5+O126*$O$5+P126*$P$5)*E126</f>
        <v>0</v>
      </c>
      <c r="U126" s="1915"/>
    </row>
    <row r="127" spans="1:22" ht="12.75" customHeight="1" outlineLevel="1">
      <c r="A127" s="1920"/>
      <c r="B127" s="1921"/>
      <c r="C127" s="1922" t="s">
        <v>213</v>
      </c>
      <c r="D127" s="1923" t="s">
        <v>4</v>
      </c>
      <c r="E127" s="1923">
        <f>+E123</f>
        <v>2180</v>
      </c>
      <c r="F127" s="1924"/>
      <c r="G127" s="1925"/>
      <c r="H127" s="1800"/>
      <c r="I127" s="1800"/>
      <c r="J127" s="1794">
        <f>+F127*E127</f>
        <v>0</v>
      </c>
      <c r="K127" s="1794">
        <f>+G127*E127</f>
        <v>0</v>
      </c>
      <c r="L127" s="1807">
        <f>+SUBCONTRATOS!D32</f>
        <v>12252.548573720227</v>
      </c>
      <c r="M127" s="1808"/>
      <c r="N127" s="1809"/>
      <c r="O127" s="1810"/>
      <c r="P127" s="1811"/>
      <c r="Q127" s="1800"/>
      <c r="R127" s="1800"/>
      <c r="S127" s="1801">
        <f>+L127*E127</f>
        <v>26710555.890710097</v>
      </c>
      <c r="T127" s="1801">
        <f>(+M127*$M$5+N127*$N$5+O127*$O$5+P127*$P$5)*E127</f>
        <v>0</v>
      </c>
      <c r="U127" s="1915"/>
    </row>
    <row r="128" spans="1:22" ht="12.75" customHeight="1">
      <c r="A128" s="1909">
        <f>+'01'!A68</f>
        <v>7.06</v>
      </c>
      <c r="B128" s="1910" t="str">
        <f>+'01'!B68</f>
        <v>OK</v>
      </c>
      <c r="C128" s="1909" t="str">
        <f>+'01'!C68</f>
        <v xml:space="preserve">Arista en yeso </v>
      </c>
      <c r="D128" s="1910" t="str">
        <f>+'01'!D68</f>
        <v>ml</v>
      </c>
      <c r="E128" s="1910">
        <f>+'01'!E68</f>
        <v>255</v>
      </c>
      <c r="F128" s="1884"/>
      <c r="G128" s="1911"/>
      <c r="H128" s="1844">
        <f>+J128/E128</f>
        <v>0</v>
      </c>
      <c r="I128" s="1844">
        <f>+K128/E128</f>
        <v>0</v>
      </c>
      <c r="J128" s="1682">
        <f>SUM(J129)</f>
        <v>0</v>
      </c>
      <c r="K128" s="1682">
        <f>SUM(K129)</f>
        <v>0</v>
      </c>
      <c r="L128" s="1760"/>
      <c r="M128" s="1761"/>
      <c r="N128" s="1762"/>
      <c r="O128" s="1763"/>
      <c r="P128" s="1764"/>
      <c r="Q128" s="1844">
        <f>+U128/E128</f>
        <v>13144.582643730666</v>
      </c>
      <c r="R128" s="1844">
        <f>+V128/E128</f>
        <v>0</v>
      </c>
      <c r="S128" s="1765"/>
      <c r="T128" s="1765"/>
      <c r="U128" s="1766">
        <f>SUM(S129)</f>
        <v>3351868.5741513199</v>
      </c>
      <c r="V128" s="1767">
        <f>SUM(T129)</f>
        <v>0</v>
      </c>
    </row>
    <row r="129" spans="1:22" ht="12.75" customHeight="1" outlineLevel="1">
      <c r="A129" s="1926"/>
      <c r="B129" s="1686"/>
      <c r="C129" s="1891" t="s">
        <v>89</v>
      </c>
      <c r="D129" s="1892" t="s">
        <v>59</v>
      </c>
      <c r="E129" s="1892">
        <f>+E128</f>
        <v>255</v>
      </c>
      <c r="F129" s="1927"/>
      <c r="G129" s="1928"/>
      <c r="H129" s="1896"/>
      <c r="I129" s="1896"/>
      <c r="J129" s="1929">
        <f>+F129*E129</f>
        <v>0</v>
      </c>
      <c r="K129" s="1929">
        <f>+G129*E129</f>
        <v>0</v>
      </c>
      <c r="L129" s="1819">
        <f>+SUBCONTRATOS!D33</f>
        <v>13144.582643730666</v>
      </c>
      <c r="M129" s="1820"/>
      <c r="N129" s="1821"/>
      <c r="O129" s="1822"/>
      <c r="P129" s="1823"/>
      <c r="Q129" s="1896"/>
      <c r="R129" s="1896"/>
      <c r="S129" s="1930">
        <f>+L129*E129</f>
        <v>3351868.5741513199</v>
      </c>
      <c r="T129" s="1930">
        <f>(+M129*$M$5+N129*$N$5+O129*$O$5+P129*$P$5)*E129</f>
        <v>0</v>
      </c>
      <c r="U129" s="1915"/>
    </row>
    <row r="130" spans="1:22" ht="12.75" customHeight="1">
      <c r="A130" s="1909">
        <f>+'01'!A69</f>
        <v>7.07</v>
      </c>
      <c r="B130" s="1910" t="str">
        <f>+'01'!B69</f>
        <v>OK</v>
      </c>
      <c r="C130" s="1909" t="str">
        <f>+'01'!C69</f>
        <v xml:space="preserve">Provisión y colocación de guardacanto yesero </v>
      </c>
      <c r="D130" s="1910" t="str">
        <f>+'01'!D69</f>
        <v>u</v>
      </c>
      <c r="E130" s="1910">
        <f>+'01'!E69</f>
        <v>102</v>
      </c>
      <c r="F130" s="1884"/>
      <c r="G130" s="1911"/>
      <c r="H130" s="1759">
        <f>+J130/E130</f>
        <v>0</v>
      </c>
      <c r="I130" s="1759">
        <f>+K130/E130</f>
        <v>1658.1176470588234</v>
      </c>
      <c r="J130" s="1693">
        <f>SUM(J131)</f>
        <v>0</v>
      </c>
      <c r="K130" s="1693">
        <f>SUM(K131)</f>
        <v>169128</v>
      </c>
      <c r="L130" s="1760"/>
      <c r="M130" s="1761"/>
      <c r="N130" s="1762"/>
      <c r="O130" s="1763"/>
      <c r="P130" s="1764"/>
      <c r="Q130" s="1759">
        <f>+U130/E130</f>
        <v>13917.793387479527</v>
      </c>
      <c r="R130" s="1759">
        <f>+V130/E130</f>
        <v>0</v>
      </c>
      <c r="S130" s="1765"/>
      <c r="T130" s="1765"/>
      <c r="U130" s="1766">
        <f>SUM(S131)</f>
        <v>1419614.9255229118</v>
      </c>
      <c r="V130" s="1767">
        <f>SUM(T131)</f>
        <v>0</v>
      </c>
    </row>
    <row r="131" spans="1:22" ht="12.75" customHeight="1" outlineLevel="1">
      <c r="A131" s="1931"/>
      <c r="B131" s="1688"/>
      <c r="C131" s="1897" t="s">
        <v>273</v>
      </c>
      <c r="D131" s="1898" t="s">
        <v>72</v>
      </c>
      <c r="E131" s="1898">
        <f>+ROUNDUP(E130*1.05,0)</f>
        <v>108</v>
      </c>
      <c r="F131" s="1924"/>
      <c r="G131" s="1925">
        <f>+Cotizaciones!D56</f>
        <v>1566</v>
      </c>
      <c r="H131" s="1800"/>
      <c r="I131" s="1800"/>
      <c r="J131" s="1794">
        <f>+F131*E131</f>
        <v>0</v>
      </c>
      <c r="K131" s="1794">
        <f>+G131*E131</f>
        <v>169128</v>
      </c>
      <c r="L131" s="1807">
        <f>+SUBCONTRATOS!D34</f>
        <v>13144.582643730666</v>
      </c>
      <c r="M131" s="1808"/>
      <c r="N131" s="1809"/>
      <c r="O131" s="1810"/>
      <c r="P131" s="1811"/>
      <c r="Q131" s="1800"/>
      <c r="R131" s="1800"/>
      <c r="S131" s="1801">
        <f>+L131*E131</f>
        <v>1419614.9255229118</v>
      </c>
      <c r="T131" s="1801">
        <f>(+M131*$M$5+N131*$N$5+O131*$O$5+P131*$P$5)*E131</f>
        <v>0</v>
      </c>
    </row>
    <row r="132" spans="1:22" ht="12">
      <c r="A132" s="1745">
        <f>+'01'!A71</f>
        <v>8</v>
      </c>
      <c r="B132" s="1745">
        <f>+'01'!B71</f>
        <v>0</v>
      </c>
      <c r="C132" s="1750" t="str">
        <f>+'01'!C71</f>
        <v>CONTRAPISOS Y CARPETAS</v>
      </c>
      <c r="D132" s="1751"/>
      <c r="E132" s="1751"/>
      <c r="F132" s="1752"/>
      <c r="G132" s="1753"/>
      <c r="H132" s="1754"/>
      <c r="I132" s="1754"/>
      <c r="J132" s="1754"/>
      <c r="K132" s="1754"/>
      <c r="L132" s="1754"/>
      <c r="M132" s="1755"/>
      <c r="N132" s="1756"/>
      <c r="O132" s="1752"/>
      <c r="P132" s="1753"/>
      <c r="Q132" s="1754"/>
      <c r="R132" s="1754"/>
      <c r="S132" s="1754"/>
      <c r="T132" s="1754"/>
    </row>
    <row r="133" spans="1:22" s="1932" customFormat="1" ht="12.75" customHeight="1">
      <c r="A133" s="1689">
        <f>+'01'!A73</f>
        <v>8.02</v>
      </c>
      <c r="B133" s="1689" t="str">
        <f>+'01'!B73</f>
        <v>OK</v>
      </c>
      <c r="C133" s="1690" t="str">
        <f>+'01'!C73</f>
        <v>Contrapiso armado de H° pobre s/terreno natural e: 20 cm - Incluye film de polietileno</v>
      </c>
      <c r="D133" s="1689" t="str">
        <f>+'01'!D73</f>
        <v>m2</v>
      </c>
      <c r="E133" s="1689">
        <f>+'01'!E73</f>
        <v>201</v>
      </c>
      <c r="F133" s="1906"/>
      <c r="G133" s="1907"/>
      <c r="H133" s="1759">
        <f>+J133/E133</f>
        <v>28415.373134328358</v>
      </c>
      <c r="I133" s="1759">
        <f>+K133/E133</f>
        <v>2539.3791691542287</v>
      </c>
      <c r="J133" s="1693">
        <f>SUM(J134:J141)</f>
        <v>5711490</v>
      </c>
      <c r="K133" s="1693">
        <f>SUM(K134:K141)</f>
        <v>510415.21299999999</v>
      </c>
      <c r="L133" s="1760"/>
      <c r="M133" s="1761"/>
      <c r="N133" s="1762"/>
      <c r="O133" s="1763"/>
      <c r="P133" s="1764"/>
      <c r="Q133" s="1759">
        <f>+U133/E133</f>
        <v>0</v>
      </c>
      <c r="R133" s="1759">
        <f>+V133/E133</f>
        <v>8768.7308756746588</v>
      </c>
      <c r="S133" s="1765"/>
      <c r="T133" s="1765"/>
      <c r="U133" s="1767">
        <f>SUM(S134:S141)</f>
        <v>0</v>
      </c>
      <c r="V133" s="1767">
        <f>SUM(T134:T141)</f>
        <v>1762514.9060106066</v>
      </c>
    </row>
    <row r="134" spans="1:22" s="1932" customFormat="1" ht="12.75" customHeight="1" outlineLevel="1">
      <c r="A134" s="1683"/>
      <c r="B134" s="1684"/>
      <c r="C134" s="1886" t="s">
        <v>674</v>
      </c>
      <c r="D134" s="1887" t="s">
        <v>66</v>
      </c>
      <c r="E134" s="1887">
        <f>+ROUNDUP(E133*0.2*1.05,0)</f>
        <v>43</v>
      </c>
      <c r="F134" s="1888">
        <f>+Cotizaciones!D28</f>
        <v>115100</v>
      </c>
      <c r="G134" s="1889"/>
      <c r="H134" s="1933"/>
      <c r="I134" s="1933"/>
      <c r="J134" s="1774">
        <f t="shared" ref="J134:J141" si="50">+F134*E134</f>
        <v>4949300</v>
      </c>
      <c r="K134" s="1774">
        <f t="shared" ref="K134:K141" si="51">+G134*E134</f>
        <v>0</v>
      </c>
      <c r="L134" s="1775"/>
      <c r="M134" s="1776"/>
      <c r="N134" s="1777"/>
      <c r="O134" s="1778"/>
      <c r="P134" s="1779"/>
      <c r="Q134" s="1773"/>
      <c r="R134" s="1773"/>
      <c r="S134" s="1780">
        <f t="shared" ref="S134:S141" si="52">+L134*E134</f>
        <v>0</v>
      </c>
      <c r="T134" s="1780">
        <f t="shared" ref="T134:T141" si="53">(+M134*$M$5+N134*$N$5+O134*$O$5+P134*$P$5)*E134</f>
        <v>0</v>
      </c>
      <c r="U134" s="1934"/>
      <c r="V134" s="1934"/>
    </row>
    <row r="135" spans="1:22" s="1932" customFormat="1" ht="12.75" customHeight="1" outlineLevel="1">
      <c r="A135" s="1683"/>
      <c r="B135" s="1684"/>
      <c r="C135" s="1886" t="s">
        <v>278</v>
      </c>
      <c r="D135" s="1887" t="s">
        <v>54</v>
      </c>
      <c r="E135" s="1887">
        <v>1</v>
      </c>
      <c r="F135" s="1888">
        <f>+Cotizaciones!D29</f>
        <v>533000</v>
      </c>
      <c r="G135" s="1889"/>
      <c r="H135" s="1933"/>
      <c r="I135" s="1933"/>
      <c r="J135" s="1774">
        <f t="shared" si="50"/>
        <v>533000</v>
      </c>
      <c r="K135" s="1774">
        <f t="shared" si="51"/>
        <v>0</v>
      </c>
      <c r="L135" s="1775"/>
      <c r="M135" s="1776"/>
      <c r="N135" s="1777"/>
      <c r="O135" s="1778"/>
      <c r="P135" s="1779"/>
      <c r="Q135" s="1773"/>
      <c r="R135" s="1773"/>
      <c r="S135" s="1780">
        <f t="shared" si="52"/>
        <v>0</v>
      </c>
      <c r="T135" s="1780">
        <f t="shared" si="53"/>
        <v>0</v>
      </c>
      <c r="U135" s="1934"/>
      <c r="V135" s="1934"/>
    </row>
    <row r="136" spans="1:22" s="1932" customFormat="1" ht="12.75" customHeight="1" outlineLevel="1">
      <c r="A136" s="1683"/>
      <c r="B136" s="1684"/>
      <c r="C136" s="1886" t="s">
        <v>262</v>
      </c>
      <c r="D136" s="1887" t="s">
        <v>66</v>
      </c>
      <c r="E136" s="1887">
        <f>+E134</f>
        <v>43</v>
      </c>
      <c r="F136" s="1888">
        <f>+Cotizaciones!D30</f>
        <v>5330</v>
      </c>
      <c r="G136" s="1889"/>
      <c r="H136" s="1933"/>
      <c r="I136" s="1933"/>
      <c r="J136" s="1774">
        <f t="shared" si="50"/>
        <v>229190</v>
      </c>
      <c r="K136" s="1774">
        <f t="shared" si="51"/>
        <v>0</v>
      </c>
      <c r="L136" s="1775"/>
      <c r="M136" s="1776"/>
      <c r="N136" s="1777"/>
      <c r="O136" s="1778"/>
      <c r="P136" s="1779"/>
      <c r="Q136" s="1773"/>
      <c r="R136" s="1773"/>
      <c r="S136" s="1780">
        <f t="shared" si="52"/>
        <v>0</v>
      </c>
      <c r="T136" s="1780">
        <f t="shared" si="53"/>
        <v>0</v>
      </c>
      <c r="U136" s="1934"/>
      <c r="V136" s="1934"/>
    </row>
    <row r="137" spans="1:22" s="1932" customFormat="1" ht="12.75" customHeight="1" outlineLevel="1">
      <c r="A137" s="1683"/>
      <c r="B137" s="1684"/>
      <c r="C137" s="1886" t="s">
        <v>699</v>
      </c>
      <c r="D137" s="1887" t="s">
        <v>72</v>
      </c>
      <c r="E137" s="1887">
        <f>+ROUNDUP(E133/6*1.1,0)</f>
        <v>37</v>
      </c>
      <c r="F137" s="1888"/>
      <c r="G137" s="1889">
        <f>+Cotizaciones!D59</f>
        <v>10716.59</v>
      </c>
      <c r="H137" s="1933"/>
      <c r="I137" s="1933"/>
      <c r="J137" s="1774">
        <f t="shared" si="50"/>
        <v>0</v>
      </c>
      <c r="K137" s="1774">
        <f t="shared" si="51"/>
        <v>396513.83</v>
      </c>
      <c r="L137" s="1775"/>
      <c r="M137" s="1776"/>
      <c r="N137" s="1777"/>
      <c r="O137" s="1778"/>
      <c r="P137" s="1779"/>
      <c r="Q137" s="1773"/>
      <c r="R137" s="1773"/>
      <c r="S137" s="1780">
        <f t="shared" si="52"/>
        <v>0</v>
      </c>
      <c r="T137" s="1780">
        <f t="shared" si="53"/>
        <v>0</v>
      </c>
      <c r="U137" s="1934"/>
      <c r="V137" s="1934"/>
    </row>
    <row r="138" spans="1:22" s="1932" customFormat="1" ht="12.75" customHeight="1" outlineLevel="1">
      <c r="A138" s="1685"/>
      <c r="B138" s="1686"/>
      <c r="C138" s="1891" t="s">
        <v>700</v>
      </c>
      <c r="D138" s="1892" t="s">
        <v>72</v>
      </c>
      <c r="E138" s="1892">
        <f>+ROUNDUP(E133/100*1.2,1)</f>
        <v>2.5</v>
      </c>
      <c r="F138" s="1893"/>
      <c r="G138" s="1894">
        <f>+Cotizaciones!D60</f>
        <v>27000</v>
      </c>
      <c r="H138" s="1935"/>
      <c r="I138" s="1935"/>
      <c r="J138" s="1774">
        <f t="shared" si="50"/>
        <v>0</v>
      </c>
      <c r="K138" s="1774">
        <f t="shared" si="51"/>
        <v>67500</v>
      </c>
      <c r="L138" s="1819"/>
      <c r="M138" s="1820"/>
      <c r="N138" s="1821"/>
      <c r="O138" s="1822"/>
      <c r="P138" s="1823"/>
      <c r="Q138" s="1818"/>
      <c r="R138" s="1818"/>
      <c r="S138" s="1780">
        <f t="shared" si="52"/>
        <v>0</v>
      </c>
      <c r="T138" s="1780">
        <f t="shared" si="53"/>
        <v>0</v>
      </c>
      <c r="U138" s="1934"/>
      <c r="V138" s="1934"/>
    </row>
    <row r="139" spans="1:22" s="1932" customFormat="1" ht="12.75" customHeight="1" outlineLevel="1">
      <c r="A139" s="1685"/>
      <c r="B139" s="1686"/>
      <c r="C139" s="1891" t="s">
        <v>212</v>
      </c>
      <c r="D139" s="1892" t="s">
        <v>54</v>
      </c>
      <c r="E139" s="1892">
        <v>0.1</v>
      </c>
      <c r="F139" s="1893"/>
      <c r="G139" s="1894">
        <f>+SUM(J137:K138)</f>
        <v>464013.83</v>
      </c>
      <c r="H139" s="1935"/>
      <c r="I139" s="1935"/>
      <c r="J139" s="1774">
        <f t="shared" si="50"/>
        <v>0</v>
      </c>
      <c r="K139" s="1774">
        <f t="shared" si="51"/>
        <v>46401.383000000002</v>
      </c>
      <c r="L139" s="1819"/>
      <c r="M139" s="1820"/>
      <c r="N139" s="1821"/>
      <c r="O139" s="1822"/>
      <c r="P139" s="1823"/>
      <c r="Q139" s="1818"/>
      <c r="R139" s="1818"/>
      <c r="S139" s="1780">
        <f t="shared" si="52"/>
        <v>0</v>
      </c>
      <c r="T139" s="1780">
        <f t="shared" si="53"/>
        <v>0</v>
      </c>
      <c r="U139" s="1934"/>
      <c r="V139" s="1934"/>
    </row>
    <row r="140" spans="1:22" s="1932" customFormat="1" ht="12.75" customHeight="1" outlineLevel="1">
      <c r="A140" s="1685"/>
      <c r="B140" s="1686"/>
      <c r="C140" s="1891" t="s">
        <v>1761</v>
      </c>
      <c r="D140" s="1892" t="s">
        <v>201</v>
      </c>
      <c r="E140" s="1892">
        <f>+ROUNDUP(E133/50,0)</f>
        <v>5</v>
      </c>
      <c r="F140" s="1893"/>
      <c r="G140" s="1894"/>
      <c r="H140" s="1935"/>
      <c r="I140" s="1935"/>
      <c r="J140" s="1774">
        <f t="shared" si="50"/>
        <v>0</v>
      </c>
      <c r="K140" s="1774">
        <f t="shared" si="51"/>
        <v>0</v>
      </c>
      <c r="L140" s="1819"/>
      <c r="M140" s="1820">
        <v>1</v>
      </c>
      <c r="N140" s="1821">
        <v>1</v>
      </c>
      <c r="O140" s="1822"/>
      <c r="P140" s="1823">
        <v>1</v>
      </c>
      <c r="Q140" s="1818"/>
      <c r="R140" s="1818"/>
      <c r="S140" s="1780">
        <f t="shared" si="52"/>
        <v>0</v>
      </c>
      <c r="T140" s="1780">
        <f t="shared" si="53"/>
        <v>1230150.7472668644</v>
      </c>
      <c r="U140" s="1934"/>
      <c r="V140" s="1934"/>
    </row>
    <row r="141" spans="1:22" s="1932" customFormat="1" ht="12.75" customHeight="1" outlineLevel="1">
      <c r="A141" s="1687"/>
      <c r="B141" s="1688"/>
      <c r="C141" s="1897" t="s">
        <v>1864</v>
      </c>
      <c r="D141" s="1898" t="s">
        <v>201</v>
      </c>
      <c r="E141" s="1898">
        <v>1</v>
      </c>
      <c r="F141" s="1899"/>
      <c r="G141" s="1900"/>
      <c r="H141" s="1936"/>
      <c r="I141" s="1936"/>
      <c r="J141" s="1794">
        <f t="shared" si="50"/>
        <v>0</v>
      </c>
      <c r="K141" s="1794">
        <f t="shared" si="51"/>
        <v>0</v>
      </c>
      <c r="L141" s="1807"/>
      <c r="M141" s="1808">
        <v>1</v>
      </c>
      <c r="N141" s="1809">
        <v>2</v>
      </c>
      <c r="O141" s="1810"/>
      <c r="P141" s="1811">
        <v>4</v>
      </c>
      <c r="Q141" s="1806"/>
      <c r="R141" s="1806"/>
      <c r="S141" s="1780">
        <f t="shared" si="52"/>
        <v>0</v>
      </c>
      <c r="T141" s="1780">
        <f t="shared" si="53"/>
        <v>532364.15874374215</v>
      </c>
      <c r="U141" s="1934"/>
      <c r="V141" s="1934"/>
    </row>
    <row r="142" spans="1:22" s="1932" customFormat="1" ht="12.75" customHeight="1">
      <c r="A142" s="1691">
        <f>+'01'!A79</f>
        <v>8.08</v>
      </c>
      <c r="B142" s="1691" t="str">
        <f>+'01'!B81</f>
        <v>OK</v>
      </c>
      <c r="C142" s="1692" t="str">
        <f>+'01'!C79</f>
        <v>Banquinas para bombas, TT, etc. h: 15 cm</v>
      </c>
      <c r="D142" s="1691" t="str">
        <f>+'01'!D79</f>
        <v>gl</v>
      </c>
      <c r="E142" s="1691">
        <f>+'01'!E79</f>
        <v>1</v>
      </c>
      <c r="F142" s="1906"/>
      <c r="G142" s="1907"/>
      <c r="H142" s="1759">
        <f>+J142/E142</f>
        <v>0</v>
      </c>
      <c r="I142" s="1759">
        <f>+K142/E142</f>
        <v>88498.550382000001</v>
      </c>
      <c r="J142" s="1693">
        <f>SUM(J143:J145)</f>
        <v>0</v>
      </c>
      <c r="K142" s="1693">
        <f>SUM(K143:K145)</f>
        <v>88498.550382000001</v>
      </c>
      <c r="L142" s="1760"/>
      <c r="M142" s="1761"/>
      <c r="N142" s="1762"/>
      <c r="O142" s="1763"/>
      <c r="P142" s="1764"/>
      <c r="Q142" s="1759">
        <f>+U142/E142</f>
        <v>0</v>
      </c>
      <c r="R142" s="1759">
        <f>+V142/E142</f>
        <v>303706.02313966805</v>
      </c>
      <c r="S142" s="1765"/>
      <c r="T142" s="1765"/>
      <c r="U142" s="1767">
        <f>SUM(S143:S145)</f>
        <v>0</v>
      </c>
      <c r="V142" s="1767">
        <f>SUM(T143:T145)</f>
        <v>303706.02313966805</v>
      </c>
    </row>
    <row r="143" spans="1:22" s="1932" customFormat="1" ht="12.75" customHeight="1" outlineLevel="1">
      <c r="A143" s="1683"/>
      <c r="B143" s="1684"/>
      <c r="C143" s="1886" t="s">
        <v>1453</v>
      </c>
      <c r="D143" s="1887" t="s">
        <v>66</v>
      </c>
      <c r="E143" s="1887">
        <v>1</v>
      </c>
      <c r="F143" s="1888"/>
      <c r="G143" s="1889">
        <f>+'APU 06.25'!E25</f>
        <v>67976.634462000002</v>
      </c>
      <c r="H143" s="1933"/>
      <c r="I143" s="1933"/>
      <c r="J143" s="1774">
        <f>+F143*E143</f>
        <v>0</v>
      </c>
      <c r="K143" s="1774">
        <f>+G143*E143</f>
        <v>67976.634462000002</v>
      </c>
      <c r="L143" s="1775"/>
      <c r="M143" s="1776"/>
      <c r="N143" s="1777"/>
      <c r="O143" s="1778"/>
      <c r="P143" s="1779"/>
      <c r="Q143" s="1773"/>
      <c r="R143" s="1773"/>
      <c r="S143" s="1780">
        <f>+L143*E143</f>
        <v>0</v>
      </c>
      <c r="T143" s="1780">
        <f>(+M143*$M$5+N143*$N$5+O143*$O$5+P143*$P$5)*E143</f>
        <v>0</v>
      </c>
      <c r="U143" s="1934"/>
      <c r="V143" s="1934"/>
    </row>
    <row r="144" spans="1:22" s="1932" customFormat="1" ht="12.75" customHeight="1" outlineLevel="1">
      <c r="A144" s="1683"/>
      <c r="B144" s="1684"/>
      <c r="C144" s="1886" t="s">
        <v>434</v>
      </c>
      <c r="D144" s="1887" t="s">
        <v>4</v>
      </c>
      <c r="E144" s="1887">
        <v>6</v>
      </c>
      <c r="F144" s="1888"/>
      <c r="G144" s="1889">
        <f>+'APU 06.25'!E26</f>
        <v>3420.3193200000005</v>
      </c>
      <c r="H144" s="1933"/>
      <c r="I144" s="1933"/>
      <c r="J144" s="1774">
        <f>+F144*E144</f>
        <v>0</v>
      </c>
      <c r="K144" s="1774">
        <f>+G144*E144</f>
        <v>20521.915920000003</v>
      </c>
      <c r="L144" s="1775"/>
      <c r="M144" s="1776"/>
      <c r="N144" s="1777"/>
      <c r="O144" s="1778"/>
      <c r="P144" s="1779"/>
      <c r="Q144" s="1773"/>
      <c r="R144" s="1773"/>
      <c r="S144" s="1780">
        <f>+L144*E144</f>
        <v>0</v>
      </c>
      <c r="T144" s="1780">
        <f>(+M144*$M$5+N144*$N$5+O144*$O$5+P144*$P$5)*E144</f>
        <v>0</v>
      </c>
      <c r="U144" s="1934"/>
      <c r="V144" s="1934"/>
    </row>
    <row r="145" spans="1:22" s="1932" customFormat="1" ht="12.75" customHeight="1" outlineLevel="1">
      <c r="A145" s="1687"/>
      <c r="B145" s="1688"/>
      <c r="C145" s="1897" t="s">
        <v>264</v>
      </c>
      <c r="D145" s="1898" t="s">
        <v>201</v>
      </c>
      <c r="E145" s="1898">
        <v>2</v>
      </c>
      <c r="F145" s="1899"/>
      <c r="G145" s="1900"/>
      <c r="H145" s="1936"/>
      <c r="I145" s="1936"/>
      <c r="J145" s="1794">
        <f>+F145*E145</f>
        <v>0</v>
      </c>
      <c r="K145" s="1794">
        <f>+G145*E145</f>
        <v>0</v>
      </c>
      <c r="L145" s="1807"/>
      <c r="M145" s="1808"/>
      <c r="N145" s="1809">
        <v>1</v>
      </c>
      <c r="O145" s="1810"/>
      <c r="P145" s="1811">
        <v>1</v>
      </c>
      <c r="Q145" s="1806"/>
      <c r="R145" s="1806"/>
      <c r="S145" s="1780">
        <f>+L145*E145</f>
        <v>0</v>
      </c>
      <c r="T145" s="1780">
        <f>(+M145*$M$5+N145*$N$5+O145*$O$5+P145*$P$5)*E145</f>
        <v>303706.02313966805</v>
      </c>
      <c r="U145" s="1934"/>
      <c r="V145" s="1934"/>
    </row>
    <row r="146" spans="1:22" ht="12">
      <c r="A146" s="1745">
        <f>+'01'!A80</f>
        <v>9</v>
      </c>
      <c r="B146" s="1745"/>
      <c r="C146" s="1750" t="str">
        <f>+'01'!C80</f>
        <v>ESCALERAS</v>
      </c>
      <c r="D146" s="1751"/>
      <c r="E146" s="1751"/>
      <c r="F146" s="1752"/>
      <c r="G146" s="1753"/>
      <c r="H146" s="1754"/>
      <c r="I146" s="1754"/>
      <c r="J146" s="1754"/>
      <c r="K146" s="1754"/>
      <c r="L146" s="1754"/>
      <c r="M146" s="1755"/>
      <c r="N146" s="1756"/>
      <c r="O146" s="1752"/>
      <c r="P146" s="1753"/>
      <c r="Q146" s="1754"/>
      <c r="R146" s="1754"/>
      <c r="S146" s="1754"/>
      <c r="T146" s="1754"/>
    </row>
    <row r="147" spans="1:22" ht="12.75" customHeight="1">
      <c r="A147" s="1678">
        <f>+'01'!A81</f>
        <v>9.01</v>
      </c>
      <c r="B147" s="1678" t="e">
        <f>+'01'!#REF!</f>
        <v>#REF!</v>
      </c>
      <c r="C147" s="1698" t="str">
        <f>+'01'!C81</f>
        <v xml:space="preserve">Provisión y ejecución de alisado de cemento en pedadas y alzadas </v>
      </c>
      <c r="D147" s="1678" t="str">
        <f>+'01'!D81</f>
        <v>gl</v>
      </c>
      <c r="E147" s="1678">
        <f>+'01'!E81</f>
        <v>1</v>
      </c>
      <c r="F147" s="1884"/>
      <c r="G147" s="1885"/>
      <c r="H147" s="1759">
        <f>+J147/E147</f>
        <v>427508.24284309684</v>
      </c>
      <c r="I147" s="1759">
        <f>+K147/E147</f>
        <v>0</v>
      </c>
      <c r="J147" s="1693">
        <f>SUM(J148:J150)</f>
        <v>427508.24284309684</v>
      </c>
      <c r="K147" s="1693">
        <f>SUM(K148:K150)</f>
        <v>0</v>
      </c>
      <c r="L147" s="1760"/>
      <c r="M147" s="1761"/>
      <c r="N147" s="1762"/>
      <c r="O147" s="1763"/>
      <c r="P147" s="1764"/>
      <c r="Q147" s="1759">
        <f>+U147/E147</f>
        <v>0</v>
      </c>
      <c r="R147" s="1759">
        <f>+V147/E147</f>
        <v>2044758.1970187626</v>
      </c>
      <c r="S147" s="1765"/>
      <c r="T147" s="1765"/>
      <c r="U147" s="1766">
        <f>SUM(S148:S150)</f>
        <v>0</v>
      </c>
      <c r="V147" s="1767">
        <f>SUM(T148:T150)</f>
        <v>2044758.1970187626</v>
      </c>
    </row>
    <row r="148" spans="1:22" ht="12.75" customHeight="1" outlineLevel="1">
      <c r="A148" s="1683"/>
      <c r="B148" s="1684"/>
      <c r="C148" s="1886" t="s">
        <v>434</v>
      </c>
      <c r="D148" s="1887" t="s">
        <v>4</v>
      </c>
      <c r="E148" s="1887">
        <f>+Computo!I176</f>
        <v>108.6876</v>
      </c>
      <c r="F148" s="1888">
        <f>+'APU 06.25'!E26</f>
        <v>3420.3193200000005</v>
      </c>
      <c r="G148" s="1863"/>
      <c r="H148" s="1933"/>
      <c r="I148" s="1933"/>
      <c r="J148" s="1774">
        <f>+F148*E148</f>
        <v>371746.29812443204</v>
      </c>
      <c r="K148" s="1774">
        <f>+G148*E148</f>
        <v>0</v>
      </c>
      <c r="L148" s="1775"/>
      <c r="M148" s="1776"/>
      <c r="N148" s="1777"/>
      <c r="O148" s="1778"/>
      <c r="P148" s="1779"/>
      <c r="Q148" s="1773"/>
      <c r="R148" s="1773"/>
      <c r="S148" s="1780">
        <f>+L148*E148</f>
        <v>0</v>
      </c>
      <c r="T148" s="1780">
        <f>(+M148*$M$5+N148*$N$5+O148*$O$5+P148*$P$5)*E148</f>
        <v>0</v>
      </c>
    </row>
    <row r="149" spans="1:22" ht="12.75" customHeight="1" outlineLevel="1">
      <c r="A149" s="1685"/>
      <c r="B149" s="1686"/>
      <c r="C149" s="1891" t="s">
        <v>1869</v>
      </c>
      <c r="D149" s="1892" t="s">
        <v>54</v>
      </c>
      <c r="E149" s="1892">
        <v>0.15</v>
      </c>
      <c r="F149" s="1893">
        <f>+SUM(J148:K148)</f>
        <v>371746.29812443204</v>
      </c>
      <c r="G149" s="1937"/>
      <c r="H149" s="1935"/>
      <c r="I149" s="1935"/>
      <c r="J149" s="1774">
        <f>+F149*E149</f>
        <v>55761.944718664803</v>
      </c>
      <c r="K149" s="1774">
        <f>+G149*E149</f>
        <v>0</v>
      </c>
      <c r="L149" s="1819"/>
      <c r="M149" s="1820"/>
      <c r="N149" s="1821"/>
      <c r="O149" s="1822"/>
      <c r="P149" s="1823"/>
      <c r="Q149" s="1818"/>
      <c r="R149" s="1818"/>
      <c r="S149" s="1780">
        <f>+L149*E149</f>
        <v>0</v>
      </c>
      <c r="T149" s="1780">
        <f>(+M149*$M$5+N149*$N$5+O149*$O$5+P149*$P$5)*E149</f>
        <v>0</v>
      </c>
    </row>
    <row r="150" spans="1:22" ht="12.75" customHeight="1" outlineLevel="1">
      <c r="A150" s="1685"/>
      <c r="B150" s="1686"/>
      <c r="C150" s="1891" t="s">
        <v>2367</v>
      </c>
      <c r="D150" s="1892" t="s">
        <v>201</v>
      </c>
      <c r="E150" s="1892">
        <f>2*8</f>
        <v>16</v>
      </c>
      <c r="F150" s="1893"/>
      <c r="G150" s="1937"/>
      <c r="H150" s="1935"/>
      <c r="I150" s="1935"/>
      <c r="J150" s="1774">
        <f>+F150*E150</f>
        <v>0</v>
      </c>
      <c r="K150" s="1774">
        <f>+G150*E150</f>
        <v>0</v>
      </c>
      <c r="L150" s="1819"/>
      <c r="M150" s="1820">
        <v>1</v>
      </c>
      <c r="N150" s="1821"/>
      <c r="O150" s="1822"/>
      <c r="P150" s="1823">
        <v>0.5</v>
      </c>
      <c r="Q150" s="1818"/>
      <c r="R150" s="1818"/>
      <c r="S150" s="1780">
        <f>+L150*E150</f>
        <v>0</v>
      </c>
      <c r="T150" s="1780">
        <f>(+M150*$M$5+N150*$N$5+O150*$O$5+P150*$P$5)*E150</f>
        <v>2044758.1970187626</v>
      </c>
    </row>
    <row r="151" spans="1:22" ht="12.75" customHeight="1">
      <c r="A151" s="1678">
        <f>+'01'!A82</f>
        <v>9.02</v>
      </c>
      <c r="B151" s="1678" t="str">
        <f>+'01'!B82</f>
        <v>OK</v>
      </c>
      <c r="C151" s="1698" t="str">
        <f>+'01'!C82</f>
        <v xml:space="preserve">Provisión y colocación de nariz metálica en escalones </v>
      </c>
      <c r="D151" s="1678" t="str">
        <f>+'01'!D82</f>
        <v>gl</v>
      </c>
      <c r="E151" s="1678">
        <f>+'01'!E82</f>
        <v>1</v>
      </c>
      <c r="F151" s="1884"/>
      <c r="G151" s="1885"/>
      <c r="H151" s="1759">
        <f>+J151/E151</f>
        <v>463902.76859504136</v>
      </c>
      <c r="I151" s="1759">
        <f>+K151/E151</f>
        <v>0</v>
      </c>
      <c r="J151" s="1693">
        <f>SUM(J153:J155)</f>
        <v>463902.76859504136</v>
      </c>
      <c r="K151" s="1693">
        <f>SUM(K153:K155)</f>
        <v>0</v>
      </c>
      <c r="L151" s="1760"/>
      <c r="M151" s="1761"/>
      <c r="N151" s="1762"/>
      <c r="O151" s="1763"/>
      <c r="P151" s="1764"/>
      <c r="Q151" s="1759">
        <f>+U151/E151</f>
        <v>0</v>
      </c>
      <c r="R151" s="1759">
        <f>+V151/E151</f>
        <v>1775796.2015776923</v>
      </c>
      <c r="S151" s="1765"/>
      <c r="T151" s="1765"/>
      <c r="U151" s="1766">
        <f>SUM(S152:S155)</f>
        <v>0</v>
      </c>
      <c r="V151" s="1767">
        <f>SUM(T152:T155)</f>
        <v>1775796.2015776923</v>
      </c>
    </row>
    <row r="152" spans="1:22" ht="12.75" customHeight="1" outlineLevel="1">
      <c r="A152" s="1848"/>
      <c r="B152" s="1848"/>
      <c r="C152" s="1847"/>
      <c r="D152" s="1887" t="s">
        <v>59</v>
      </c>
      <c r="E152" s="1887">
        <f>+Computo!G189</f>
        <v>149</v>
      </c>
      <c r="F152" s="1868"/>
      <c r="G152" s="1869"/>
      <c r="H152" s="1844"/>
      <c r="I152" s="1844"/>
      <c r="J152" s="1774">
        <f>+F152*E152</f>
        <v>0</v>
      </c>
      <c r="K152" s="1774">
        <f>+G152*E152</f>
        <v>0</v>
      </c>
      <c r="L152" s="1870"/>
      <c r="M152" s="1871"/>
      <c r="N152" s="1841"/>
      <c r="O152" s="1842"/>
      <c r="P152" s="1872"/>
      <c r="Q152" s="1844"/>
      <c r="R152" s="1844"/>
      <c r="S152" s="1780">
        <f>+L152*E152</f>
        <v>0</v>
      </c>
      <c r="T152" s="1780">
        <f>(+M152*$M$5+N152*$N$5+O152*$O$5+P152*$P$5)*E152</f>
        <v>0</v>
      </c>
      <c r="U152" s="1767"/>
      <c r="V152" s="1767"/>
    </row>
    <row r="153" spans="1:22" ht="12.75" customHeight="1" outlineLevel="1">
      <c r="A153" s="1683"/>
      <c r="B153" s="1684"/>
      <c r="C153" s="1886" t="s">
        <v>274</v>
      </c>
      <c r="D153" s="1887" t="s">
        <v>72</v>
      </c>
      <c r="E153" s="1887">
        <f>+ROUNDUP(E152/6*1.2,0)</f>
        <v>30</v>
      </c>
      <c r="F153" s="1888">
        <f>VLOOKUP(C153,Cotizaciones!B:D,3,0)</f>
        <v>10308.950413223141</v>
      </c>
      <c r="G153" s="1863"/>
      <c r="H153" s="1933"/>
      <c r="I153" s="1933"/>
      <c r="J153" s="1774">
        <f>+F153*E153</f>
        <v>309268.51239669422</v>
      </c>
      <c r="K153" s="1774">
        <f>+G153*E153</f>
        <v>0</v>
      </c>
      <c r="L153" s="1775"/>
      <c r="M153" s="1776"/>
      <c r="N153" s="1777"/>
      <c r="O153" s="1778"/>
      <c r="P153" s="1779"/>
      <c r="Q153" s="1773"/>
      <c r="R153" s="1773"/>
      <c r="S153" s="1780">
        <f>+L153*E153</f>
        <v>0</v>
      </c>
      <c r="T153" s="1780">
        <f>(+M153*$M$5+N153*$N$5+O153*$O$5+P153*$P$5)*E153</f>
        <v>0</v>
      </c>
    </row>
    <row r="154" spans="1:22" ht="12.75" customHeight="1" outlineLevel="1">
      <c r="A154" s="1685"/>
      <c r="B154" s="1686"/>
      <c r="C154" s="1891" t="s">
        <v>2369</v>
      </c>
      <c r="D154" s="1892" t="s">
        <v>54</v>
      </c>
      <c r="E154" s="1892">
        <v>0.5</v>
      </c>
      <c r="F154" s="1893">
        <f>+SUM(J152:K153)</f>
        <v>309268.51239669422</v>
      </c>
      <c r="G154" s="1937"/>
      <c r="H154" s="1935"/>
      <c r="I154" s="1935"/>
      <c r="J154" s="1774">
        <f>+F154*E154</f>
        <v>154634.25619834711</v>
      </c>
      <c r="K154" s="1774">
        <f>+G154*E154</f>
        <v>0</v>
      </c>
      <c r="L154" s="1819"/>
      <c r="M154" s="1820"/>
      <c r="N154" s="1821"/>
      <c r="O154" s="1822"/>
      <c r="P154" s="1823"/>
      <c r="Q154" s="1818"/>
      <c r="R154" s="1818"/>
      <c r="S154" s="1780">
        <f>+L154*E154</f>
        <v>0</v>
      </c>
      <c r="T154" s="1780">
        <f>(+M154*$M$5+N154*$N$5+O154*$O$5+P154*$P$5)*E154</f>
        <v>0</v>
      </c>
    </row>
    <row r="155" spans="1:22" ht="12.75" customHeight="1" outlineLevel="1">
      <c r="A155" s="1685"/>
      <c r="B155" s="1686"/>
      <c r="C155" s="1891" t="s">
        <v>2367</v>
      </c>
      <c r="D155" s="1892" t="s">
        <v>201</v>
      </c>
      <c r="E155" s="1892">
        <f>2*8</f>
        <v>16</v>
      </c>
      <c r="F155" s="1893"/>
      <c r="G155" s="1937"/>
      <c r="H155" s="1935"/>
      <c r="I155" s="1935"/>
      <c r="J155" s="1774">
        <f>+F155*E155</f>
        <v>0</v>
      </c>
      <c r="K155" s="1774">
        <f>+G155*E155</f>
        <v>0</v>
      </c>
      <c r="L155" s="1819"/>
      <c r="M155" s="1820">
        <v>1</v>
      </c>
      <c r="N155" s="1821"/>
      <c r="O155" s="1822"/>
      <c r="P155" s="1823">
        <v>0.25</v>
      </c>
      <c r="Q155" s="1818"/>
      <c r="R155" s="1818"/>
      <c r="S155" s="1780">
        <f>+L155*E155</f>
        <v>0</v>
      </c>
      <c r="T155" s="1780">
        <f>(+M155*$M$5+N155*$N$5+O155*$O$5+P155*$P$5)*E155</f>
        <v>1775796.2015776923</v>
      </c>
    </row>
    <row r="156" spans="1:22" s="1932" customFormat="1" ht="12.75" customHeight="1">
      <c r="A156" s="1745">
        <f>+'01'!A84</f>
        <v>10</v>
      </c>
      <c r="B156" s="1745">
        <f>+'01'!B84</f>
        <v>0</v>
      </c>
      <c r="C156" s="1750" t="str">
        <f>+'01'!C84</f>
        <v>VENTILACIONES - PROVISION COTIZADA EN ITEM 26</v>
      </c>
      <c r="D156" s="1745"/>
      <c r="E156" s="1745"/>
      <c r="F156" s="1752"/>
      <c r="G156" s="1902"/>
      <c r="H156" s="1752"/>
      <c r="I156" s="1902"/>
      <c r="J156" s="1830"/>
      <c r="K156" s="1830"/>
      <c r="L156" s="1831"/>
      <c r="M156" s="1832"/>
      <c r="N156" s="1833"/>
      <c r="O156" s="1834"/>
      <c r="P156" s="1835"/>
      <c r="Q156" s="1834"/>
      <c r="R156" s="1835"/>
      <c r="S156" s="1904"/>
      <c r="T156" s="1905"/>
      <c r="U156" s="1934"/>
      <c r="V156" s="1934"/>
    </row>
    <row r="157" spans="1:22" s="1932" customFormat="1" ht="12.75" customHeight="1">
      <c r="A157" s="1692">
        <f>+'01'!A85</f>
        <v>10.01</v>
      </c>
      <c r="B157" s="1691" t="str">
        <f>+'01'!B83</f>
        <v>OK</v>
      </c>
      <c r="C157" s="1692" t="str">
        <f>+'01'!C85</f>
        <v xml:space="preserve">Colocación de ventilación de conducto de humos. Inc. toma de aire en PB </v>
      </c>
      <c r="D157" s="1693" t="str">
        <f>+'01'!D85</f>
        <v>gl</v>
      </c>
      <c r="E157" s="1693">
        <f>+'01'!E85</f>
        <v>1</v>
      </c>
      <c r="F157" s="1906"/>
      <c r="G157" s="1907"/>
      <c r="H157" s="1759">
        <f>+J157/E157</f>
        <v>250000</v>
      </c>
      <c r="I157" s="1759">
        <f>+K157/E157</f>
        <v>0</v>
      </c>
      <c r="J157" s="1693">
        <f>SUM(J158:J159)</f>
        <v>250000</v>
      </c>
      <c r="K157" s="1693">
        <f>SUM(K158:K159)</f>
        <v>0</v>
      </c>
      <c r="L157" s="1760"/>
      <c r="M157" s="1761"/>
      <c r="N157" s="1762"/>
      <c r="O157" s="1763"/>
      <c r="P157" s="1764"/>
      <c r="Q157" s="1759">
        <f>+U157/E157</f>
        <v>0</v>
      </c>
      <c r="R157" s="1759">
        <f>+V157/E157</f>
        <v>1663092.7624912898</v>
      </c>
      <c r="S157" s="1824"/>
      <c r="T157" s="1824"/>
      <c r="U157" s="1766">
        <f>SUM(S158:S159)</f>
        <v>0</v>
      </c>
      <c r="V157" s="1766">
        <f>SUM(T158:T159)</f>
        <v>1663092.7624912898</v>
      </c>
    </row>
    <row r="158" spans="1:22" s="1932" customFormat="1" ht="12" outlineLevel="1">
      <c r="A158" s="1683"/>
      <c r="B158" s="1684"/>
      <c r="C158" s="1886" t="s">
        <v>1706</v>
      </c>
      <c r="D158" s="1887" t="s">
        <v>54</v>
      </c>
      <c r="E158" s="1887">
        <v>1</v>
      </c>
      <c r="F158" s="1888">
        <v>250000</v>
      </c>
      <c r="G158" s="1889"/>
      <c r="H158" s="1933"/>
      <c r="I158" s="1933"/>
      <c r="J158" s="1774">
        <f>+F158*E158</f>
        <v>250000</v>
      </c>
      <c r="K158" s="1774">
        <f>+G158*E158</f>
        <v>0</v>
      </c>
      <c r="L158" s="1775"/>
      <c r="M158" s="1776"/>
      <c r="N158" s="1777"/>
      <c r="O158" s="1778"/>
      <c r="P158" s="1779"/>
      <c r="Q158" s="1773"/>
      <c r="R158" s="1773"/>
      <c r="S158" s="1780">
        <f t="shared" ref="S158:S159" si="54">+L158*E158</f>
        <v>0</v>
      </c>
      <c r="T158" s="1780">
        <f t="shared" ref="T158:T159" si="55">(+M158*$M$5+N158*$N$5+O158*$O$5+P158*$P$5)*E158</f>
        <v>0</v>
      </c>
      <c r="U158" s="1934"/>
      <c r="V158" s="1934"/>
    </row>
    <row r="159" spans="1:22" s="1932" customFormat="1" ht="12" outlineLevel="1">
      <c r="A159" s="1683"/>
      <c r="B159" s="1684"/>
      <c r="C159" s="1886" t="s">
        <v>264</v>
      </c>
      <c r="D159" s="1887" t="s">
        <v>201</v>
      </c>
      <c r="E159" s="1887">
        <v>10</v>
      </c>
      <c r="F159" s="1888"/>
      <c r="G159" s="1889"/>
      <c r="H159" s="1933"/>
      <c r="I159" s="1933"/>
      <c r="J159" s="1774">
        <f t="shared" ref="J159" si="56">+F159*E159</f>
        <v>0</v>
      </c>
      <c r="K159" s="1774">
        <f t="shared" ref="K159" si="57">+G159*E159</f>
        <v>0</v>
      </c>
      <c r="L159" s="1775"/>
      <c r="M159" s="1776">
        <v>1</v>
      </c>
      <c r="N159" s="1777"/>
      <c r="O159" s="1778">
        <v>1</v>
      </c>
      <c r="P159" s="1779"/>
      <c r="Q159" s="1773"/>
      <c r="R159" s="1773"/>
      <c r="S159" s="1780">
        <f t="shared" si="54"/>
        <v>0</v>
      </c>
      <c r="T159" s="1780">
        <f t="shared" si="55"/>
        <v>1663092.7624912898</v>
      </c>
      <c r="U159" s="1934"/>
      <c r="V159" s="1934"/>
    </row>
    <row r="160" spans="1:22" s="1932" customFormat="1" ht="12.75" customHeight="1">
      <c r="A160" s="1692">
        <f>+'01'!A86</f>
        <v>10.02</v>
      </c>
      <c r="B160" s="1691" t="str">
        <f>+'01'!B86</f>
        <v>OK</v>
      </c>
      <c r="C160" s="1692" t="str">
        <f>+'01'!C86</f>
        <v>Colocación y montaje de conducto de ventilación en baños</v>
      </c>
      <c r="D160" s="1693" t="str">
        <f>+'01'!D86</f>
        <v>gl</v>
      </c>
      <c r="E160" s="1693">
        <f>+'01'!E86</f>
        <v>1</v>
      </c>
      <c r="F160" s="1906"/>
      <c r="G160" s="1907"/>
      <c r="H160" s="1759">
        <f>+J160/E160</f>
        <v>250000</v>
      </c>
      <c r="I160" s="1759">
        <f>+K160/E160</f>
        <v>0</v>
      </c>
      <c r="J160" s="1693">
        <f>SUM(J161:J162)</f>
        <v>250000</v>
      </c>
      <c r="K160" s="1693">
        <f>SUM(K161:K162)</f>
        <v>0</v>
      </c>
      <c r="L160" s="1760"/>
      <c r="M160" s="1761"/>
      <c r="N160" s="1762"/>
      <c r="O160" s="1763"/>
      <c r="P160" s="1764"/>
      <c r="Q160" s="1759">
        <f>+U160/E160</f>
        <v>0</v>
      </c>
      <c r="R160" s="1759">
        <f>+V160/E160</f>
        <v>1663092.7624912898</v>
      </c>
      <c r="S160" s="1824"/>
      <c r="T160" s="1824"/>
      <c r="U160" s="1766">
        <f>SUM(S161:S162)</f>
        <v>0</v>
      </c>
      <c r="V160" s="1766">
        <f>SUM(T161:T162)</f>
        <v>1663092.7624912898</v>
      </c>
    </row>
    <row r="161" spans="1:30" s="1932" customFormat="1" ht="12" outlineLevel="1">
      <c r="A161" s="1683"/>
      <c r="B161" s="1684"/>
      <c r="C161" s="1886" t="s">
        <v>1706</v>
      </c>
      <c r="D161" s="1887" t="s">
        <v>54</v>
      </c>
      <c r="E161" s="1887">
        <v>1</v>
      </c>
      <c r="F161" s="1888">
        <v>250000</v>
      </c>
      <c r="G161" s="1889"/>
      <c r="H161" s="1933"/>
      <c r="I161" s="1933"/>
      <c r="J161" s="1774">
        <f>+F161*E161</f>
        <v>250000</v>
      </c>
      <c r="K161" s="1774">
        <f>+G161*E161</f>
        <v>0</v>
      </c>
      <c r="L161" s="1775"/>
      <c r="M161" s="1776"/>
      <c r="N161" s="1777"/>
      <c r="O161" s="1778"/>
      <c r="P161" s="1779"/>
      <c r="Q161" s="1773"/>
      <c r="R161" s="1773"/>
      <c r="S161" s="1780">
        <f t="shared" ref="S161:S162" si="58">+L161*E161</f>
        <v>0</v>
      </c>
      <c r="T161" s="1780">
        <f t="shared" ref="T161:T162" si="59">(+M161*$M$5+N161*$N$5+O161*$O$5+P161*$P$5)*E161</f>
        <v>0</v>
      </c>
      <c r="U161" s="1934"/>
      <c r="V161" s="1934"/>
    </row>
    <row r="162" spans="1:30" s="1932" customFormat="1" ht="12" outlineLevel="1">
      <c r="A162" s="1683"/>
      <c r="B162" s="1684"/>
      <c r="C162" s="1886" t="s">
        <v>264</v>
      </c>
      <c r="D162" s="1887" t="s">
        <v>201</v>
      </c>
      <c r="E162" s="1887">
        <v>10</v>
      </c>
      <c r="F162" s="1888"/>
      <c r="G162" s="1889"/>
      <c r="H162" s="1933"/>
      <c r="I162" s="1933"/>
      <c r="J162" s="1774">
        <f t="shared" ref="J162" si="60">+F162*E162</f>
        <v>0</v>
      </c>
      <c r="K162" s="1774">
        <f t="shared" ref="K162" si="61">+G162*E162</f>
        <v>0</v>
      </c>
      <c r="L162" s="1775"/>
      <c r="M162" s="1776">
        <v>1</v>
      </c>
      <c r="N162" s="1777"/>
      <c r="O162" s="1778">
        <v>1</v>
      </c>
      <c r="P162" s="1779"/>
      <c r="Q162" s="1773"/>
      <c r="R162" s="1773"/>
      <c r="S162" s="1780">
        <f t="shared" si="58"/>
        <v>0</v>
      </c>
      <c r="T162" s="1780">
        <f t="shared" si="59"/>
        <v>1663092.7624912898</v>
      </c>
      <c r="U162" s="1934"/>
      <c r="V162" s="1934"/>
    </row>
    <row r="163" spans="1:30" s="1932" customFormat="1" ht="12.75" customHeight="1">
      <c r="A163" s="1692">
        <f>+'01'!A87</f>
        <v>10.029999999999999</v>
      </c>
      <c r="B163" s="1692" t="str">
        <f>+'01'!B87</f>
        <v>OK</v>
      </c>
      <c r="C163" s="1692" t="str">
        <f>+'01'!C87</f>
        <v>Colocación sombreretes en chapa prepintada C25 - Provisión en item 26</v>
      </c>
      <c r="D163" s="1693" t="str">
        <f>+'01'!D87</f>
        <v>u</v>
      </c>
      <c r="E163" s="1693">
        <f>+'01'!E87</f>
        <v>7</v>
      </c>
      <c r="F163" s="1906"/>
      <c r="G163" s="1907"/>
      <c r="H163" s="1759">
        <f>+J163/E163</f>
        <v>31772.280991735541</v>
      </c>
      <c r="I163" s="1759">
        <f>+K163/E163</f>
        <v>0</v>
      </c>
      <c r="J163" s="1693">
        <f>SUM(J164:J167)</f>
        <v>222405.96694214878</v>
      </c>
      <c r="K163" s="1693">
        <f>SUM(K164:K167)</f>
        <v>0</v>
      </c>
      <c r="L163" s="1760"/>
      <c r="M163" s="1761"/>
      <c r="N163" s="1762"/>
      <c r="O163" s="1763"/>
      <c r="P163" s="1764"/>
      <c r="Q163" s="1759">
        <f>+U163/E163</f>
        <v>0</v>
      </c>
      <c r="R163" s="1759">
        <f>+V163/E163</f>
        <v>95033.872142359411</v>
      </c>
      <c r="S163" s="1824"/>
      <c r="T163" s="1824"/>
      <c r="U163" s="1766">
        <f>SUM(S164:S167)</f>
        <v>0</v>
      </c>
      <c r="V163" s="1766">
        <f>SUM(T164:T167)</f>
        <v>665237.1049965159</v>
      </c>
    </row>
    <row r="164" spans="1:30" s="1932" customFormat="1" ht="12" outlineLevel="1">
      <c r="A164" s="1683"/>
      <c r="B164" s="1684"/>
      <c r="C164" s="1886" t="s">
        <v>213</v>
      </c>
      <c r="D164" s="1887" t="s">
        <v>201</v>
      </c>
      <c r="E164" s="1887">
        <f>+ROUNDUP(E163/2,0)</f>
        <v>4</v>
      </c>
      <c r="F164" s="1888"/>
      <c r="G164" s="1889"/>
      <c r="H164" s="1773"/>
      <c r="I164" s="1773"/>
      <c r="J164" s="1774">
        <f t="shared" ref="J164:J167" si="62">+F164*E164</f>
        <v>0</v>
      </c>
      <c r="K164" s="1774">
        <f t="shared" ref="K164:K167" si="63">+G164*E164</f>
        <v>0</v>
      </c>
      <c r="L164" s="1775"/>
      <c r="M164" s="1776">
        <v>1</v>
      </c>
      <c r="N164" s="1777"/>
      <c r="O164" s="1778">
        <v>1</v>
      </c>
      <c r="P164" s="1779"/>
      <c r="Q164" s="1773"/>
      <c r="R164" s="1773"/>
      <c r="S164" s="1780">
        <f t="shared" ref="S164:S167" si="64">+L164*E164</f>
        <v>0</v>
      </c>
      <c r="T164" s="1780">
        <f t="shared" ref="T164:T167" si="65">(+M164*$M$5+N164*$N$5+O164*$O$5+P164*$P$5)*E164</f>
        <v>665237.1049965159</v>
      </c>
      <c r="U164" s="1767"/>
      <c r="V164" s="1767"/>
    </row>
    <row r="165" spans="1:30" s="1932" customFormat="1" ht="12" outlineLevel="1">
      <c r="A165" s="1683"/>
      <c r="B165" s="1684"/>
      <c r="C165" s="1886" t="s">
        <v>2236</v>
      </c>
      <c r="D165" s="1887" t="s">
        <v>72</v>
      </c>
      <c r="E165" s="1887">
        <f>+E163</f>
        <v>7</v>
      </c>
      <c r="F165" s="1888">
        <f>VLOOKUP(C165,Cotizaciones!B:D,3,0)</f>
        <v>24676.900826446283</v>
      </c>
      <c r="G165" s="1889"/>
      <c r="H165" s="1773"/>
      <c r="I165" s="1773"/>
      <c r="J165" s="1774">
        <f t="shared" si="62"/>
        <v>172738.30578512399</v>
      </c>
      <c r="K165" s="1774">
        <f t="shared" si="63"/>
        <v>0</v>
      </c>
      <c r="L165" s="1775"/>
      <c r="M165" s="1776"/>
      <c r="N165" s="1777"/>
      <c r="O165" s="1778"/>
      <c r="P165" s="1779"/>
      <c r="Q165" s="1773"/>
      <c r="R165" s="1773"/>
      <c r="S165" s="1780">
        <f t="shared" si="64"/>
        <v>0</v>
      </c>
      <c r="T165" s="1780">
        <f t="shared" si="65"/>
        <v>0</v>
      </c>
      <c r="U165" s="1767"/>
      <c r="V165" s="1767"/>
    </row>
    <row r="166" spans="1:30" s="1932" customFormat="1" ht="12" outlineLevel="1">
      <c r="A166" s="1683"/>
      <c r="B166" s="1684"/>
      <c r="C166" s="1886" t="s">
        <v>1899</v>
      </c>
      <c r="D166" s="1887" t="s">
        <v>72</v>
      </c>
      <c r="E166" s="1887">
        <f>+E163*12</f>
        <v>84</v>
      </c>
      <c r="F166" s="1888">
        <v>150</v>
      </c>
      <c r="G166" s="1889"/>
      <c r="H166" s="1773"/>
      <c r="I166" s="1773"/>
      <c r="J166" s="1774">
        <f t="shared" si="62"/>
        <v>12600</v>
      </c>
      <c r="K166" s="1774">
        <f t="shared" si="63"/>
        <v>0</v>
      </c>
      <c r="L166" s="1775"/>
      <c r="M166" s="1776"/>
      <c r="N166" s="1777"/>
      <c r="O166" s="1778"/>
      <c r="P166" s="1779"/>
      <c r="Q166" s="1773"/>
      <c r="R166" s="1773"/>
      <c r="S166" s="1780">
        <f t="shared" si="64"/>
        <v>0</v>
      </c>
      <c r="T166" s="1780">
        <f t="shared" si="65"/>
        <v>0</v>
      </c>
      <c r="U166" s="1767"/>
      <c r="V166" s="1767"/>
    </row>
    <row r="167" spans="1:30" s="1932" customFormat="1" ht="12" outlineLevel="1">
      <c r="A167" s="1683"/>
      <c r="B167" s="1684"/>
      <c r="C167" s="1886" t="s">
        <v>1900</v>
      </c>
      <c r="D167" s="1887" t="s">
        <v>54</v>
      </c>
      <c r="E167" s="1887">
        <v>0.2</v>
      </c>
      <c r="F167" s="1888">
        <f>+SUM(J164:K166)</f>
        <v>185338.30578512399</v>
      </c>
      <c r="G167" s="1889"/>
      <c r="H167" s="1773"/>
      <c r="I167" s="1773"/>
      <c r="J167" s="1774">
        <f t="shared" si="62"/>
        <v>37067.661157024799</v>
      </c>
      <c r="K167" s="1774">
        <f t="shared" si="63"/>
        <v>0</v>
      </c>
      <c r="L167" s="1775"/>
      <c r="M167" s="1776"/>
      <c r="N167" s="1777"/>
      <c r="O167" s="1778"/>
      <c r="P167" s="1779"/>
      <c r="Q167" s="1773"/>
      <c r="R167" s="1773"/>
      <c r="S167" s="1780">
        <f t="shared" si="64"/>
        <v>0</v>
      </c>
      <c r="T167" s="1780">
        <f t="shared" si="65"/>
        <v>0</v>
      </c>
      <c r="U167" s="1767"/>
      <c r="V167" s="1767"/>
    </row>
    <row r="168" spans="1:30" ht="12">
      <c r="A168" s="1745">
        <f>+'01'!A96</f>
        <v>12</v>
      </c>
      <c r="B168" s="1745">
        <f>+'01'!B88</f>
        <v>0</v>
      </c>
      <c r="C168" s="1750" t="str">
        <f>+'01'!C96</f>
        <v>ZOCALOS Y SOLIAS - PROVISION A CARGO DEL COMITENTE</v>
      </c>
      <c r="D168" s="1745"/>
      <c r="E168" s="1751"/>
      <c r="F168" s="1752"/>
      <c r="G168" s="1753"/>
      <c r="H168" s="1754"/>
      <c r="I168" s="1754"/>
      <c r="J168" s="1754"/>
      <c r="K168" s="1754"/>
      <c r="L168" s="1754"/>
      <c r="M168" s="1755"/>
      <c r="N168" s="1756"/>
      <c r="O168" s="1752"/>
      <c r="P168" s="1753"/>
      <c r="Q168" s="1754"/>
      <c r="R168" s="1754"/>
      <c r="S168" s="1754"/>
      <c r="T168" s="1754"/>
      <c r="AD168" s="1932"/>
    </row>
    <row r="169" spans="1:30" ht="12.75" customHeight="1">
      <c r="A169" s="1678">
        <f>+'01'!A97</f>
        <v>12.01</v>
      </c>
      <c r="B169" s="1678" t="e">
        <f>+'01'!#REF!</f>
        <v>#REF!</v>
      </c>
      <c r="C169" s="1698" t="str">
        <f>+'01'!C97</f>
        <v>Provisión y colocación de zocalos de Madera (MDF) h: 5 cm</v>
      </c>
      <c r="D169" s="1678" t="str">
        <f>+'01'!D97</f>
        <v>ml</v>
      </c>
      <c r="E169" s="1678">
        <f>+'01'!E97</f>
        <v>792</v>
      </c>
      <c r="F169" s="1884"/>
      <c r="G169" s="1885"/>
      <c r="H169" s="1759">
        <f>+J169/E169</f>
        <v>4349.9864345938731</v>
      </c>
      <c r="I169" s="1759">
        <f>+K169/E169</f>
        <v>0</v>
      </c>
      <c r="J169" s="1693">
        <f>SUM(J170:J172)</f>
        <v>3445189.2561983475</v>
      </c>
      <c r="K169" s="1693">
        <f>SUM(K170:K172)</f>
        <v>0</v>
      </c>
      <c r="L169" s="1760"/>
      <c r="M169" s="1761"/>
      <c r="N169" s="1762"/>
      <c r="O169" s="1763"/>
      <c r="P169" s="1764"/>
      <c r="Q169" s="1759">
        <f>+U169/E169</f>
        <v>0</v>
      </c>
      <c r="R169" s="1759">
        <f>+V169/E169</f>
        <v>5122.3554254865312</v>
      </c>
      <c r="S169" s="1765"/>
      <c r="T169" s="1765"/>
      <c r="U169" s="1766">
        <f>SUM(S170:S172)</f>
        <v>0</v>
      </c>
      <c r="V169" s="1767">
        <f>SUM(T170:T172)</f>
        <v>4056905.4969853326</v>
      </c>
    </row>
    <row r="170" spans="1:30" ht="12.75" customHeight="1" outlineLevel="1">
      <c r="A170" s="1683"/>
      <c r="B170" s="1684"/>
      <c r="C170" s="1886" t="s">
        <v>2349</v>
      </c>
      <c r="D170" s="1887" t="s">
        <v>532</v>
      </c>
      <c r="E170" s="1887">
        <f>+ROUNDUP(E169*1.1/2.75,0)</f>
        <v>317</v>
      </c>
      <c r="F170" s="1888">
        <f>VLOOKUP(C170,Cotizaciones!B:D,3,0)</f>
        <v>4640.4958677685954</v>
      </c>
      <c r="G170" s="1863"/>
      <c r="H170" s="1933"/>
      <c r="I170" s="1933"/>
      <c r="J170" s="1774">
        <f>+F170*E170</f>
        <v>1471037.1900826448</v>
      </c>
      <c r="K170" s="1774">
        <f>+G170*E170</f>
        <v>0</v>
      </c>
      <c r="L170" s="1775"/>
      <c r="M170" s="1776"/>
      <c r="N170" s="1777"/>
      <c r="O170" s="1778"/>
      <c r="P170" s="1779"/>
      <c r="Q170" s="1773"/>
      <c r="R170" s="1773"/>
      <c r="S170" s="1780">
        <f>+L170*E170</f>
        <v>0</v>
      </c>
      <c r="T170" s="1780">
        <f>(+M170*$M$5+N170*$N$5+O170*$O$5+P170*$P$5)*E170</f>
        <v>0</v>
      </c>
    </row>
    <row r="171" spans="1:30" ht="12.75" customHeight="1" outlineLevel="1">
      <c r="A171" s="1683"/>
      <c r="B171" s="1684"/>
      <c r="C171" s="1886" t="s">
        <v>2236</v>
      </c>
      <c r="D171" s="1887" t="s">
        <v>56</v>
      </c>
      <c r="E171" s="1887">
        <f>+ROUNDUP(E169/10,0)</f>
        <v>80</v>
      </c>
      <c r="F171" s="1888">
        <f>VLOOKUP(C171,Cotizaciones!B:D,3,0)</f>
        <v>24676.900826446283</v>
      </c>
      <c r="G171" s="1863"/>
      <c r="H171" s="1933"/>
      <c r="I171" s="1933"/>
      <c r="J171" s="1774">
        <f>+F171*E171</f>
        <v>1974152.0661157025</v>
      </c>
      <c r="K171" s="1774">
        <f>+G171*E171</f>
        <v>0</v>
      </c>
      <c r="L171" s="1775"/>
      <c r="M171" s="1776"/>
      <c r="N171" s="1777"/>
      <c r="O171" s="1778"/>
      <c r="P171" s="1779"/>
      <c r="Q171" s="1773"/>
      <c r="R171" s="1773"/>
      <c r="S171" s="1780">
        <f>+L171*E171</f>
        <v>0</v>
      </c>
      <c r="T171" s="1780">
        <f>(+M171*$M$5+N171*$N$5+O171*$O$5+P171*$P$5)*E171</f>
        <v>0</v>
      </c>
    </row>
    <row r="172" spans="1:30" ht="12.75" customHeight="1" outlineLevel="1">
      <c r="A172" s="1683"/>
      <c r="B172" s="1684"/>
      <c r="C172" s="1886">
        <v>20</v>
      </c>
      <c r="D172" s="1887" t="s">
        <v>201</v>
      </c>
      <c r="E172" s="1887">
        <f>+ROUNDUP(E169/C172,0)</f>
        <v>40</v>
      </c>
      <c r="F172" s="1888"/>
      <c r="G172" s="1863"/>
      <c r="H172" s="1933"/>
      <c r="I172" s="1933"/>
      <c r="J172" s="1774">
        <f>+F172*E172</f>
        <v>0</v>
      </c>
      <c r="K172" s="1774">
        <f>+G172*E172</f>
        <v>0</v>
      </c>
      <c r="L172" s="1775"/>
      <c r="M172" s="1776"/>
      <c r="N172" s="1777">
        <v>1</v>
      </c>
      <c r="O172" s="1778"/>
      <c r="P172" s="1779">
        <v>0.25</v>
      </c>
      <c r="Q172" s="1773"/>
      <c r="R172" s="1773"/>
      <c r="S172" s="1780">
        <f>+L172*E172</f>
        <v>0</v>
      </c>
      <c r="T172" s="1780">
        <f>(+M172*$M$5+N172*$N$5+O172*$O$5+P172*$P$5)*E172</f>
        <v>4056905.4969853326</v>
      </c>
    </row>
    <row r="173" spans="1:30" ht="12.75" customHeight="1">
      <c r="A173" s="1938">
        <f>+'01'!A105</f>
        <v>14</v>
      </c>
      <c r="B173" s="1939">
        <f>+'01'!B105</f>
        <v>0</v>
      </c>
      <c r="C173" s="1939" t="str">
        <f>+'01'!C105</f>
        <v>CIELORRASOS</v>
      </c>
      <c r="D173" s="1694"/>
      <c r="E173" s="1695"/>
      <c r="F173" s="1754"/>
      <c r="G173" s="1754"/>
      <c r="H173" s="1754"/>
      <c r="I173" s="1754"/>
      <c r="J173" s="1754"/>
      <c r="K173" s="1754"/>
      <c r="L173" s="1754"/>
      <c r="M173" s="1754"/>
      <c r="N173" s="1754"/>
      <c r="O173" s="1754"/>
      <c r="P173" s="1754"/>
      <c r="Q173" s="1754"/>
      <c r="R173" s="1754"/>
      <c r="S173" s="1754"/>
      <c r="T173" s="1908"/>
      <c r="U173" s="1766"/>
      <c r="V173" s="1767"/>
    </row>
    <row r="174" spans="1:30" ht="12.75" customHeight="1">
      <c r="A174" s="1940">
        <f>+'01'!A110</f>
        <v>14.05</v>
      </c>
      <c r="B174" s="1940" t="str">
        <f>+'01'!B110</f>
        <v>OK</v>
      </c>
      <c r="C174" s="1940" t="str">
        <f>+'01'!C110</f>
        <v>Aplicado de yeso interior</v>
      </c>
      <c r="D174" s="1678" t="str">
        <f>+'01'!D110</f>
        <v>m2</v>
      </c>
      <c r="E174" s="1941">
        <f>+'01'!E110</f>
        <v>668</v>
      </c>
      <c r="F174" s="1942"/>
      <c r="G174" s="1943"/>
      <c r="H174" s="1759">
        <f>+J174/E174</f>
        <v>0</v>
      </c>
      <c r="I174" s="1759">
        <f>+K174/E174</f>
        <v>6515.4063473053884</v>
      </c>
      <c r="J174" s="1693">
        <f>SUM(J175:J177)</f>
        <v>0</v>
      </c>
      <c r="K174" s="1693">
        <f>SUM(K175:K177)</f>
        <v>4352291.4399999995</v>
      </c>
      <c r="L174" s="1944"/>
      <c r="M174" s="1945"/>
      <c r="N174" s="1946"/>
      <c r="O174" s="1947"/>
      <c r="P174" s="1948"/>
      <c r="Q174" s="1759">
        <f>+U174/E174</f>
        <v>12252.548573720227</v>
      </c>
      <c r="R174" s="1759">
        <f>+V174/E174</f>
        <v>0</v>
      </c>
      <c r="S174" s="1949"/>
      <c r="T174" s="1949"/>
      <c r="U174" s="1766">
        <f>SUM(S175:S177)</f>
        <v>8184702.4472451117</v>
      </c>
      <c r="V174" s="1767">
        <f>SUM(T175:T177)</f>
        <v>0</v>
      </c>
    </row>
    <row r="175" spans="1:30" ht="12.75" customHeight="1" outlineLevel="1">
      <c r="A175" s="1696"/>
      <c r="B175" s="1680"/>
      <c r="C175" s="1886" t="s">
        <v>269</v>
      </c>
      <c r="D175" s="1887" t="s">
        <v>266</v>
      </c>
      <c r="E175" s="1887">
        <f>+ROUNDUP(E174*17/25*1.05,0)</f>
        <v>477</v>
      </c>
      <c r="F175" s="1950"/>
      <c r="G175" s="1951">
        <f>+Cotizaciones!D55</f>
        <v>7524.72</v>
      </c>
      <c r="H175" s="1952"/>
      <c r="I175" s="1952"/>
      <c r="J175" s="1887">
        <f>+F175*E175</f>
        <v>0</v>
      </c>
      <c r="K175" s="1887">
        <f>+G175*E175</f>
        <v>3589291.44</v>
      </c>
      <c r="L175" s="1953"/>
      <c r="M175" s="1954"/>
      <c r="N175" s="1955"/>
      <c r="O175" s="1956"/>
      <c r="P175" s="1957"/>
      <c r="Q175" s="1958"/>
      <c r="R175" s="1958"/>
      <c r="S175" s="1780">
        <f>+L175*E175</f>
        <v>0</v>
      </c>
      <c r="T175" s="1780">
        <f>(+M175*$M$5+N175*$N$5+O175*$O$5+P175*$P$5)*E175</f>
        <v>0</v>
      </c>
    </row>
    <row r="176" spans="1:30" ht="12.75" customHeight="1" outlineLevel="1">
      <c r="A176" s="1696"/>
      <c r="B176" s="1680"/>
      <c r="C176" s="1886" t="s">
        <v>280</v>
      </c>
      <c r="D176" s="1887" t="s">
        <v>271</v>
      </c>
      <c r="E176" s="1887">
        <f>+ROUND(E174/150*1.05,0)</f>
        <v>5</v>
      </c>
      <c r="F176" s="1950"/>
      <c r="G176" s="1959">
        <f>+Cotizaciones!D57</f>
        <v>152600</v>
      </c>
      <c r="H176" s="1952"/>
      <c r="I176" s="1952"/>
      <c r="J176" s="1887">
        <f>+F176*E176</f>
        <v>0</v>
      </c>
      <c r="K176" s="1887">
        <f>+G176*E176</f>
        <v>763000</v>
      </c>
      <c r="L176" s="1953"/>
      <c r="M176" s="1954"/>
      <c r="N176" s="1955"/>
      <c r="O176" s="1956"/>
      <c r="P176" s="1957"/>
      <c r="Q176" s="1958"/>
      <c r="R176" s="1958"/>
      <c r="S176" s="1780">
        <f>+L176*E176</f>
        <v>0</v>
      </c>
      <c r="T176" s="1780">
        <f>(+M176*$M$5+N176*$N$5+O176*$O$5+P176*$P$5)*E176</f>
        <v>0</v>
      </c>
    </row>
    <row r="177" spans="1:22" ht="12.75" customHeight="1" outlineLevel="1">
      <c r="A177" s="1795"/>
      <c r="B177" s="1697"/>
      <c r="C177" s="1897" t="s">
        <v>213</v>
      </c>
      <c r="D177" s="1898" t="s">
        <v>4</v>
      </c>
      <c r="E177" s="1898">
        <f>+E174</f>
        <v>668</v>
      </c>
      <c r="F177" s="1791"/>
      <c r="G177" s="1792"/>
      <c r="H177" s="1952"/>
      <c r="I177" s="1952"/>
      <c r="J177" s="1887">
        <f>+F177*E177</f>
        <v>0</v>
      </c>
      <c r="K177" s="1887">
        <f>+G177*E177</f>
        <v>0</v>
      </c>
      <c r="L177" s="1960">
        <f>+SUBCONTRATOS!D32</f>
        <v>12252.548573720227</v>
      </c>
      <c r="M177" s="1796"/>
      <c r="N177" s="1797"/>
      <c r="O177" s="1798"/>
      <c r="P177" s="1799"/>
      <c r="Q177" s="1961"/>
      <c r="R177" s="1961"/>
      <c r="S177" s="1801">
        <f>+L177*E177</f>
        <v>8184702.4472451117</v>
      </c>
      <c r="T177" s="1801">
        <f>(+M177*$M$5+N177*$N$5+O177*$O$5+P177*$P$5)*E177</f>
        <v>0</v>
      </c>
    </row>
    <row r="178" spans="1:22" ht="12.75" customHeight="1">
      <c r="A178" s="1940">
        <f>+'01'!A113</f>
        <v>14.08</v>
      </c>
      <c r="B178" s="1940" t="str">
        <f>+'01'!B113</f>
        <v>OK</v>
      </c>
      <c r="C178" s="1940" t="str">
        <f>+'01'!C113</f>
        <v>H° Visto - Maquillaje para recibir pintura</v>
      </c>
      <c r="D178" s="1678" t="str">
        <f>+'01'!D113</f>
        <v>m2</v>
      </c>
      <c r="E178" s="1941">
        <f>+'01'!E113</f>
        <v>370</v>
      </c>
      <c r="F178" s="1942"/>
      <c r="G178" s="1943"/>
      <c r="H178" s="1759">
        <f>+J178/E178</f>
        <v>0</v>
      </c>
      <c r="I178" s="1759">
        <f>+K178/E178</f>
        <v>1351.3513513513512</v>
      </c>
      <c r="J178" s="1693">
        <f>SUM(J179:J180)</f>
        <v>0</v>
      </c>
      <c r="K178" s="1693">
        <f>SUM(K179:K180)</f>
        <v>500000</v>
      </c>
      <c r="L178" s="1944"/>
      <c r="M178" s="1945"/>
      <c r="N178" s="1946"/>
      <c r="O178" s="1947"/>
      <c r="P178" s="1948"/>
      <c r="Q178" s="1759">
        <f>+U178/E178</f>
        <v>3.6523009495982466</v>
      </c>
      <c r="R178" s="1759">
        <f>+V178/E178</f>
        <v>4362.6388309136892</v>
      </c>
      <c r="S178" s="1949"/>
      <c r="T178" s="1949"/>
      <c r="U178" s="1766">
        <f>SUM(S179:S180)</f>
        <v>1351.3513513513512</v>
      </c>
      <c r="V178" s="1767">
        <f>SUM(T179:T180)</f>
        <v>1614176.3674380649</v>
      </c>
    </row>
    <row r="179" spans="1:22" ht="12.75" customHeight="1" outlineLevel="1">
      <c r="A179" s="1962"/>
      <c r="B179" s="1962"/>
      <c r="C179" s="1886" t="s">
        <v>230</v>
      </c>
      <c r="D179" s="1887" t="s">
        <v>54</v>
      </c>
      <c r="E179" s="1887">
        <v>1</v>
      </c>
      <c r="F179" s="1950"/>
      <c r="G179" s="1772">
        <v>500000</v>
      </c>
      <c r="H179" s="1952"/>
      <c r="I179" s="1952"/>
      <c r="J179" s="1887">
        <f>+F179*E179</f>
        <v>0</v>
      </c>
      <c r="K179" s="1887">
        <f>+G179*E179</f>
        <v>500000</v>
      </c>
      <c r="L179" s="1953">
        <f>+K179/E178</f>
        <v>1351.3513513513512</v>
      </c>
      <c r="M179" s="1954"/>
      <c r="N179" s="1955"/>
      <c r="O179" s="1956"/>
      <c r="P179" s="1957"/>
      <c r="Q179" s="1958"/>
      <c r="R179" s="1958"/>
      <c r="S179" s="1780">
        <f>+L179*E179</f>
        <v>1351.3513513513512</v>
      </c>
      <c r="T179" s="1780">
        <f>(+M179*$M$5+N179*$N$5+O179*$O$5+P179*$P$5)*E179</f>
        <v>0</v>
      </c>
    </row>
    <row r="180" spans="1:22" ht="12.75" customHeight="1" outlineLevel="1">
      <c r="A180" s="1795"/>
      <c r="B180" s="1697"/>
      <c r="C180" s="1897" t="s">
        <v>1470</v>
      </c>
      <c r="D180" s="1898" t="s">
        <v>201</v>
      </c>
      <c r="E180" s="1898">
        <f>+ROUNDUP(E178/40,0)</f>
        <v>10</v>
      </c>
      <c r="F180" s="1963"/>
      <c r="G180" s="1964"/>
      <c r="H180" s="1965"/>
      <c r="I180" s="1965"/>
      <c r="J180" s="1898"/>
      <c r="K180" s="1898"/>
      <c r="L180" s="1807"/>
      <c r="M180" s="1796">
        <v>1</v>
      </c>
      <c r="N180" s="1797"/>
      <c r="O180" s="1798"/>
      <c r="P180" s="1799">
        <v>1</v>
      </c>
      <c r="Q180" s="1800"/>
      <c r="R180" s="1800"/>
      <c r="S180" s="1801">
        <f>+L180*E180</f>
        <v>0</v>
      </c>
      <c r="T180" s="1801">
        <f>(+M180*$M$5+N180*$N$5+O180*$O$5+P180*$P$5)*E180</f>
        <v>1614176.3674380649</v>
      </c>
    </row>
    <row r="181" spans="1:22" ht="12.75" customHeight="1">
      <c r="A181" s="1750">
        <f>+'01'!A114</f>
        <v>15</v>
      </c>
      <c r="B181" s="1745">
        <f>+'01'!B114</f>
        <v>0</v>
      </c>
      <c r="C181" s="1750" t="str">
        <f>+'01'!C114</f>
        <v>PINTURA</v>
      </c>
      <c r="D181" s="1751"/>
      <c r="E181" s="1751"/>
      <c r="F181" s="1752"/>
      <c r="G181" s="1753"/>
      <c r="H181" s="1754"/>
      <c r="I181" s="1754"/>
      <c r="J181" s="1754"/>
      <c r="K181" s="1754"/>
      <c r="L181" s="1754"/>
      <c r="M181" s="1755"/>
      <c r="N181" s="1756"/>
      <c r="O181" s="1752"/>
      <c r="P181" s="1753"/>
      <c r="Q181" s="1754"/>
      <c r="R181" s="1754"/>
      <c r="S181" s="1754"/>
      <c r="T181" s="1754"/>
    </row>
    <row r="182" spans="1:22" ht="12.75" customHeight="1">
      <c r="A182" s="1698">
        <f>+'01'!A123</f>
        <v>15.09</v>
      </c>
      <c r="B182" s="1698" t="e">
        <f>+'01'!#REF!</f>
        <v>#REF!</v>
      </c>
      <c r="C182" s="1698" t="str">
        <f>+'01'!C123</f>
        <v>Preparación de superficie con base coat para recibir revestimiento - Vigas y cielorrasos balcones</v>
      </c>
      <c r="D182" s="1678" t="str">
        <f>+'01'!D123</f>
        <v>m2</v>
      </c>
      <c r="E182" s="1678">
        <f>+'01'!E123</f>
        <v>219</v>
      </c>
      <c r="F182" s="1966"/>
      <c r="G182" s="1967"/>
      <c r="H182" s="1759">
        <f>+J182/E182</f>
        <v>11872.146118721461</v>
      </c>
      <c r="I182" s="1759">
        <f>+K182/E182</f>
        <v>0</v>
      </c>
      <c r="J182" s="1693">
        <f>SUM(J183:J186)</f>
        <v>2600000</v>
      </c>
      <c r="K182" s="1693">
        <f>SUM(K183:K186)</f>
        <v>0</v>
      </c>
      <c r="L182" s="1944"/>
      <c r="M182" s="1945"/>
      <c r="N182" s="1946"/>
      <c r="O182" s="1947"/>
      <c r="P182" s="1948"/>
      <c r="Q182" s="1759">
        <f>+U182/E182</f>
        <v>0</v>
      </c>
      <c r="R182" s="1759">
        <f>+V182/E182</f>
        <v>9112.837054746793</v>
      </c>
      <c r="S182" s="1949"/>
      <c r="T182" s="1949"/>
      <c r="U182" s="1766">
        <f>SUM(S183:S186)</f>
        <v>0</v>
      </c>
      <c r="V182" s="1766">
        <f>SUM(T183:T186)</f>
        <v>1995711.3149895477</v>
      </c>
    </row>
    <row r="183" spans="1:22" ht="12.75" customHeight="1" outlineLevel="1">
      <c r="A183" s="1696"/>
      <c r="B183" s="1680"/>
      <c r="C183" s="1968" t="s">
        <v>2324</v>
      </c>
      <c r="D183" s="1887" t="s">
        <v>271</v>
      </c>
      <c r="E183" s="1887">
        <f>+ROUNDUP(E182/5,0)</f>
        <v>44</v>
      </c>
      <c r="F183" s="1950">
        <f>65000/1.21</f>
        <v>53719.008264462813</v>
      </c>
      <c r="G183" s="1959"/>
      <c r="H183" s="1952"/>
      <c r="I183" s="1952"/>
      <c r="J183" s="1887">
        <f>+F183*E183</f>
        <v>2363636.3636363638</v>
      </c>
      <c r="K183" s="1887">
        <f>+G183*E183</f>
        <v>0</v>
      </c>
      <c r="L183" s="1953"/>
      <c r="M183" s="1954"/>
      <c r="N183" s="1955"/>
      <c r="O183" s="1956"/>
      <c r="P183" s="1957"/>
      <c r="Q183" s="1958"/>
      <c r="R183" s="1958"/>
      <c r="S183" s="1969">
        <f>+L183*E183</f>
        <v>0</v>
      </c>
      <c r="T183" s="1969">
        <f>(+M183*$M$5+N183*$N$5+O183*$O$5+P183*$P$5)*E183</f>
        <v>0</v>
      </c>
    </row>
    <row r="184" spans="1:22" ht="12.75" customHeight="1" outlineLevel="1">
      <c r="A184" s="1696"/>
      <c r="B184" s="1680"/>
      <c r="C184" s="1968" t="s">
        <v>1902</v>
      </c>
      <c r="D184" s="1887" t="s">
        <v>54</v>
      </c>
      <c r="E184" s="1887">
        <v>0.1</v>
      </c>
      <c r="F184" s="1950">
        <f>+SUM(J183:K183)</f>
        <v>2363636.3636363638</v>
      </c>
      <c r="G184" s="1959"/>
      <c r="H184" s="1952"/>
      <c r="I184" s="1952"/>
      <c r="J184" s="1887">
        <f>+F184*E184</f>
        <v>236363.63636363638</v>
      </c>
      <c r="K184" s="1887">
        <f>+G184*E184</f>
        <v>0</v>
      </c>
      <c r="L184" s="1953"/>
      <c r="M184" s="1954"/>
      <c r="N184" s="1955"/>
      <c r="O184" s="1956"/>
      <c r="P184" s="1957"/>
      <c r="Q184" s="1958"/>
      <c r="R184" s="1958"/>
      <c r="S184" s="1780">
        <f>+L184*E184</f>
        <v>0</v>
      </c>
      <c r="T184" s="1780">
        <f>(+M184*$M$5+N184*$N$5+O184*$O$5+P184*$P$5)*E184</f>
        <v>0</v>
      </c>
    </row>
    <row r="185" spans="1:22" ht="12.75" customHeight="1" outlineLevel="1">
      <c r="A185" s="1696"/>
      <c r="B185" s="1680"/>
      <c r="C185" s="1968" t="s">
        <v>264</v>
      </c>
      <c r="D185" s="1887" t="s">
        <v>201</v>
      </c>
      <c r="E185" s="1887">
        <v>8</v>
      </c>
      <c r="F185" s="1950"/>
      <c r="G185" s="1959"/>
      <c r="H185" s="1952"/>
      <c r="I185" s="1952"/>
      <c r="J185" s="1887">
        <f>+F185*E185</f>
        <v>0</v>
      </c>
      <c r="K185" s="1887">
        <f>+G185*E185</f>
        <v>0</v>
      </c>
      <c r="L185" s="1953"/>
      <c r="M185" s="1954">
        <v>1</v>
      </c>
      <c r="N185" s="1955"/>
      <c r="O185" s="1956">
        <v>1</v>
      </c>
      <c r="P185" s="1957"/>
      <c r="Q185" s="1958"/>
      <c r="R185" s="1958"/>
      <c r="S185" s="1780">
        <f>+L185*E185</f>
        <v>0</v>
      </c>
      <c r="T185" s="1780">
        <f>(+M185*$M$5+N185*$N$5+O185*$O$5+P185*$P$5)*E185</f>
        <v>1330474.2099930318</v>
      </c>
    </row>
    <row r="186" spans="1:22" ht="12.75" customHeight="1" outlineLevel="1">
      <c r="A186" s="1699"/>
      <c r="B186" s="1700"/>
      <c r="C186" s="1970" t="s">
        <v>2325</v>
      </c>
      <c r="D186" s="1898" t="s">
        <v>201</v>
      </c>
      <c r="E186" s="1898">
        <f>+E185/2</f>
        <v>4</v>
      </c>
      <c r="F186" s="1963"/>
      <c r="G186" s="1964"/>
      <c r="H186" s="1965"/>
      <c r="I186" s="1965"/>
      <c r="J186" s="1898">
        <f>+F186*E186</f>
        <v>0</v>
      </c>
      <c r="K186" s="1898">
        <f>+G186*E186</f>
        <v>0</v>
      </c>
      <c r="L186" s="1971"/>
      <c r="M186" s="1972">
        <v>1</v>
      </c>
      <c r="N186" s="1973"/>
      <c r="O186" s="1974">
        <v>1</v>
      </c>
      <c r="P186" s="1975"/>
      <c r="Q186" s="1976"/>
      <c r="R186" s="1976"/>
      <c r="S186" s="1801">
        <f>+L186*E186</f>
        <v>0</v>
      </c>
      <c r="T186" s="1801">
        <f>(+M186*$M$5+N186*$N$5+O186*$O$5+P186*$P$5)*E186</f>
        <v>665237.1049965159</v>
      </c>
    </row>
    <row r="187" spans="1:22" ht="12.75" customHeight="1">
      <c r="A187" s="1698">
        <f>+'01'!A124</f>
        <v>15.1</v>
      </c>
      <c r="B187" s="1698" t="str">
        <f>+'01'!B124</f>
        <v>OK</v>
      </c>
      <c r="C187" s="1698" t="str">
        <f>+'01'!C124</f>
        <v>Revestimiento plástico a rodillo tipo Quimtex en altura - Medianeras</v>
      </c>
      <c r="D187" s="1698" t="str">
        <f>+'01'!D124</f>
        <v>m2</v>
      </c>
      <c r="E187" s="1698">
        <f>+'01'!E124</f>
        <v>861</v>
      </c>
      <c r="F187" s="1966"/>
      <c r="G187" s="1967"/>
      <c r="H187" s="1759">
        <f>+J187/E187</f>
        <v>3455.5245198260718</v>
      </c>
      <c r="I187" s="1759">
        <f>+K187/E187</f>
        <v>0</v>
      </c>
      <c r="J187" s="1693">
        <f>SUM(J188:J192)</f>
        <v>2975206.6115702479</v>
      </c>
      <c r="K187" s="1693">
        <f>SUM(K188:K192)</f>
        <v>0</v>
      </c>
      <c r="L187" s="1944"/>
      <c r="M187" s="1945"/>
      <c r="N187" s="1946"/>
      <c r="O187" s="1947"/>
      <c r="P187" s="1948"/>
      <c r="Q187" s="1759">
        <f>+U187/E187</f>
        <v>9286.8099362944613</v>
      </c>
      <c r="R187" s="1759">
        <f>+V187/E187</f>
        <v>0</v>
      </c>
      <c r="S187" s="1949"/>
      <c r="T187" s="1949"/>
      <c r="U187" s="1766">
        <f>SUM(S188:S192)</f>
        <v>7995943.3551495317</v>
      </c>
      <c r="V187" s="1766">
        <f>SUM(T188:T192)</f>
        <v>0</v>
      </c>
    </row>
    <row r="188" spans="1:22" ht="12.75" customHeight="1" outlineLevel="1">
      <c r="A188" s="1696"/>
      <c r="B188" s="1680"/>
      <c r="C188" s="1968" t="s">
        <v>1901</v>
      </c>
      <c r="D188" s="1887" t="s">
        <v>271</v>
      </c>
      <c r="E188" s="1887">
        <f>+ROUNDUP(E187/27*1.1,0)</f>
        <v>36</v>
      </c>
      <c r="F188" s="1950">
        <f>80000/1.21</f>
        <v>66115.702479338841</v>
      </c>
      <c r="G188" s="1959"/>
      <c r="H188" s="1952"/>
      <c r="I188" s="1952"/>
      <c r="J188" s="1887">
        <f>+F188*E188</f>
        <v>2380165.2892561983</v>
      </c>
      <c r="K188" s="1887">
        <f>+G188*E188</f>
        <v>0</v>
      </c>
      <c r="L188" s="1953"/>
      <c r="M188" s="1954"/>
      <c r="N188" s="1955"/>
      <c r="O188" s="1956"/>
      <c r="P188" s="1957"/>
      <c r="Q188" s="1958"/>
      <c r="R188" s="1958"/>
      <c r="S188" s="1969">
        <f>+L188*E188</f>
        <v>0</v>
      </c>
      <c r="T188" s="1969">
        <f>(+M188*$M$5+N188*$N$5+O188*$O$5+P188*$P$5)*E188</f>
        <v>0</v>
      </c>
    </row>
    <row r="189" spans="1:22" ht="12.75" customHeight="1" outlineLevel="1">
      <c r="A189" s="1696"/>
      <c r="B189" s="1680"/>
      <c r="C189" s="1968" t="s">
        <v>212</v>
      </c>
      <c r="D189" s="1887" t="s">
        <v>54</v>
      </c>
      <c r="E189" s="1887">
        <v>0.25</v>
      </c>
      <c r="F189" s="1950">
        <f>+SUM(J188:K188)</f>
        <v>2380165.2892561983</v>
      </c>
      <c r="G189" s="1959"/>
      <c r="H189" s="1952"/>
      <c r="I189" s="1952"/>
      <c r="J189" s="1887">
        <f>+F189*E189</f>
        <v>595041.32231404958</v>
      </c>
      <c r="K189" s="1887">
        <f>+G189*E189</f>
        <v>0</v>
      </c>
      <c r="L189" s="1953"/>
      <c r="M189" s="1954"/>
      <c r="N189" s="1955"/>
      <c r="O189" s="1956"/>
      <c r="P189" s="1957"/>
      <c r="Q189" s="1958"/>
      <c r="R189" s="1958"/>
      <c r="S189" s="1780">
        <f>+L189*E189</f>
        <v>0</v>
      </c>
      <c r="T189" s="1780">
        <f>(+M189*$M$5+N189*$N$5+O189*$O$5+P189*$P$5)*E189</f>
        <v>0</v>
      </c>
    </row>
    <row r="190" spans="1:22" ht="12.75" customHeight="1" outlineLevel="1">
      <c r="A190" s="1696"/>
      <c r="B190" s="1680"/>
      <c r="C190" s="1968" t="s">
        <v>264</v>
      </c>
      <c r="D190" s="1887" t="s">
        <v>4</v>
      </c>
      <c r="E190" s="1887">
        <f>+E187</f>
        <v>861</v>
      </c>
      <c r="F190" s="1950"/>
      <c r="G190" s="1959"/>
      <c r="H190" s="1952"/>
      <c r="I190" s="1952"/>
      <c r="J190" s="1887">
        <f>+F190*E190</f>
        <v>0</v>
      </c>
      <c r="K190" s="1887">
        <f>+G190*E190</f>
        <v>0</v>
      </c>
      <c r="L190" s="1953">
        <f>+'APU 06.25'!H32</f>
        <v>6075.9443795831521</v>
      </c>
      <c r="M190" s="1954"/>
      <c r="N190" s="1955"/>
      <c r="O190" s="1956"/>
      <c r="P190" s="1957"/>
      <c r="Q190" s="1958"/>
      <c r="R190" s="1958"/>
      <c r="S190" s="1780">
        <f>+L190*E190</f>
        <v>5231388.1108210944</v>
      </c>
      <c r="T190" s="1780">
        <f>(+M190*$M$5+N190*$N$5+O190*$O$5+P190*$P$5)*E190</f>
        <v>0</v>
      </c>
    </row>
    <row r="191" spans="1:22" ht="12.75" customHeight="1" outlineLevel="1">
      <c r="A191" s="1696"/>
      <c r="B191" s="1680"/>
      <c r="C191" s="1968" t="s">
        <v>1903</v>
      </c>
      <c r="D191" s="1887" t="s">
        <v>4</v>
      </c>
      <c r="E191" s="1887">
        <f>+E190</f>
        <v>861</v>
      </c>
      <c r="F191" s="1950"/>
      <c r="G191" s="1959"/>
      <c r="H191" s="1952"/>
      <c r="I191" s="1952"/>
      <c r="J191" s="1887">
        <f>+F191*E191</f>
        <v>0</v>
      </c>
      <c r="K191" s="1887">
        <f>+G191*E191</f>
        <v>0</v>
      </c>
      <c r="L191" s="1953">
        <f>+L190*0.4</f>
        <v>2430.3777518332608</v>
      </c>
      <c r="M191" s="1954"/>
      <c r="N191" s="1955"/>
      <c r="O191" s="1956"/>
      <c r="P191" s="1957"/>
      <c r="Q191" s="1958"/>
      <c r="R191" s="1958"/>
      <c r="S191" s="1780">
        <f>+L191*E191</f>
        <v>2092555.2443284376</v>
      </c>
      <c r="T191" s="1780">
        <f>(+M191*$M$5+N191*$N$5+O191*$O$5+P191*$P$5)*E191</f>
        <v>0</v>
      </c>
    </row>
    <row r="192" spans="1:22" ht="12.75" customHeight="1" outlineLevel="1">
      <c r="A192" s="1699"/>
      <c r="B192" s="1700"/>
      <c r="C192" s="1970" t="s">
        <v>1904</v>
      </c>
      <c r="D192" s="1898" t="s">
        <v>61</v>
      </c>
      <c r="E192" s="1898">
        <v>1</v>
      </c>
      <c r="F192" s="1963"/>
      <c r="G192" s="1964"/>
      <c r="H192" s="1965"/>
      <c r="I192" s="1965"/>
      <c r="J192" s="1887">
        <f>+F192*E192</f>
        <v>0</v>
      </c>
      <c r="K192" s="1887">
        <f>+G192*E192</f>
        <v>0</v>
      </c>
      <c r="L192" s="1971">
        <f>560*1200</f>
        <v>672000</v>
      </c>
      <c r="M192" s="1972"/>
      <c r="N192" s="1973"/>
      <c r="O192" s="1974"/>
      <c r="P192" s="1975"/>
      <c r="Q192" s="1976"/>
      <c r="R192" s="1976"/>
      <c r="S192" s="1801">
        <f>+L192*E192</f>
        <v>672000</v>
      </c>
      <c r="T192" s="1801">
        <f>(+M192*$M$5+N192*$N$5+O192*$O$5+P192*$P$5)*E192</f>
        <v>0</v>
      </c>
    </row>
    <row r="193" spans="1:22" ht="12.75" customHeight="1">
      <c r="A193" s="1701">
        <f>+'01'!A125</f>
        <v>15.11</v>
      </c>
      <c r="B193" s="1701" t="str">
        <f>+'01'!B125</f>
        <v>OK</v>
      </c>
      <c r="C193" s="1698" t="str">
        <f>+'01'!C125</f>
        <v>Esmalte sintético en puertas placa, chapa y de ascensor</v>
      </c>
      <c r="D193" s="1678" t="str">
        <f>+'01'!D125</f>
        <v>un</v>
      </c>
      <c r="E193" s="1701">
        <f>+'01'!E125</f>
        <v>88</v>
      </c>
      <c r="F193" s="1966"/>
      <c r="G193" s="1967"/>
      <c r="H193" s="1759">
        <f>+J193/E193</f>
        <v>25797.295320790283</v>
      </c>
      <c r="I193" s="1759">
        <f>+K193/E193</f>
        <v>0</v>
      </c>
      <c r="J193" s="1693">
        <f>SUM(J194:J196)</f>
        <v>2270161.9882295448</v>
      </c>
      <c r="K193" s="1693">
        <f>SUM(K194:K196)</f>
        <v>0</v>
      </c>
      <c r="L193" s="1944"/>
      <c r="M193" s="1945"/>
      <c r="N193" s="1946"/>
      <c r="O193" s="1947"/>
      <c r="P193" s="1948"/>
      <c r="Q193" s="1759">
        <f>+U193/E193</f>
        <v>67446.39491606447</v>
      </c>
      <c r="R193" s="1759">
        <f>+V193/E193</f>
        <v>13753.738403236557</v>
      </c>
      <c r="S193" s="1949"/>
      <c r="T193" s="1949"/>
      <c r="U193" s="1766">
        <f>SUM(S194:S196)</f>
        <v>5935282.7526136739</v>
      </c>
      <c r="V193" s="1766">
        <f>SUM(T194:T196)</f>
        <v>1210328.979484817</v>
      </c>
    </row>
    <row r="194" spans="1:22" ht="12.75" customHeight="1" outlineLevel="1">
      <c r="A194" s="1696"/>
      <c r="B194" s="1696"/>
      <c r="C194" s="1977" t="s">
        <v>1920</v>
      </c>
      <c r="D194" s="1887" t="s">
        <v>271</v>
      </c>
      <c r="E194" s="1887">
        <v>2</v>
      </c>
      <c r="F194" s="1950">
        <v>35000</v>
      </c>
      <c r="G194" s="1959"/>
      <c r="H194" s="1773"/>
      <c r="I194" s="1773"/>
      <c r="J194" s="1887">
        <f>+F194*E194</f>
        <v>70000</v>
      </c>
      <c r="K194" s="1887">
        <f>+G194*E194</f>
        <v>0</v>
      </c>
      <c r="L194" s="1953"/>
      <c r="M194" s="1954"/>
      <c r="N194" s="1955"/>
      <c r="O194" s="1956"/>
      <c r="P194" s="1957"/>
      <c r="Q194" s="1773"/>
      <c r="R194" s="1773"/>
      <c r="S194" s="1780">
        <f>+L194*E194</f>
        <v>0</v>
      </c>
      <c r="T194" s="1780">
        <f>(+M194*$M$5+N194*$N$5+O194*$O$5+P194*$P$5)*E194</f>
        <v>0</v>
      </c>
      <c r="U194" s="1767"/>
      <c r="V194" s="1767"/>
    </row>
    <row r="195" spans="1:22" ht="12.75" customHeight="1" outlineLevel="1">
      <c r="A195" s="1696"/>
      <c r="B195" s="1696"/>
      <c r="C195" s="1978" t="s">
        <v>1921</v>
      </c>
      <c r="D195" s="1892" t="s">
        <v>201</v>
      </c>
      <c r="E195" s="1892">
        <f>+ROUNDUP(E193/5,0)</f>
        <v>18</v>
      </c>
      <c r="F195" s="1950"/>
      <c r="G195" s="1959"/>
      <c r="H195" s="1773"/>
      <c r="I195" s="1773"/>
      <c r="J195" s="1887">
        <f>+F195*E195</f>
        <v>0</v>
      </c>
      <c r="K195" s="1887">
        <f>+G195*E195</f>
        <v>0</v>
      </c>
      <c r="L195" s="1953"/>
      <c r="M195" s="1954"/>
      <c r="N195" s="1955"/>
      <c r="O195" s="1956"/>
      <c r="P195" s="1957">
        <v>1</v>
      </c>
      <c r="Q195" s="1773"/>
      <c r="R195" s="1773"/>
      <c r="S195" s="1780">
        <f>+L195*E195</f>
        <v>0</v>
      </c>
      <c r="T195" s="1780">
        <f>(+M195*$M$5+N195*$N$5+O195*$O$5+P195*$P$5)*E195</f>
        <v>1210328.979484817</v>
      </c>
      <c r="U195" s="1767"/>
      <c r="V195" s="1767"/>
    </row>
    <row r="196" spans="1:22" ht="12.75" customHeight="1" outlineLevel="1">
      <c r="A196" s="1699"/>
      <c r="B196" s="1700"/>
      <c r="C196" s="1970" t="s">
        <v>275</v>
      </c>
      <c r="D196" s="1898" t="s">
        <v>4</v>
      </c>
      <c r="E196" s="1898">
        <f>+Computo!O60</f>
        <v>493.22899999999993</v>
      </c>
      <c r="F196" s="1963">
        <f>+'APU 06.25'!E34</f>
        <v>4460.7311983471072</v>
      </c>
      <c r="G196" s="1964"/>
      <c r="H196" s="1965"/>
      <c r="I196" s="1965"/>
      <c r="J196" s="1898">
        <f>+F196*E196</f>
        <v>2200161.9882295448</v>
      </c>
      <c r="K196" s="1898">
        <f>+G196*E196</f>
        <v>0</v>
      </c>
      <c r="L196" s="1971">
        <f>+'APU 06.25'!H34+'APU 06.25'!K34</f>
        <v>12033.523480196165</v>
      </c>
      <c r="M196" s="1972"/>
      <c r="N196" s="1973"/>
      <c r="O196" s="1974"/>
      <c r="P196" s="1975"/>
      <c r="Q196" s="1976"/>
      <c r="R196" s="1976"/>
      <c r="S196" s="1979">
        <f>+L196*E196</f>
        <v>5935282.7526136739</v>
      </c>
      <c r="T196" s="1979">
        <f>(+M196*$M$5+N196*$N$5+O196*$O$5+P196*$P$5)*E196</f>
        <v>0</v>
      </c>
    </row>
    <row r="197" spans="1:22" ht="12.75" customHeight="1">
      <c r="A197" s="1701">
        <f>+'01'!A126</f>
        <v>15.12</v>
      </c>
      <c r="B197" s="1701" t="str">
        <f>+'01'!B126</f>
        <v>OK</v>
      </c>
      <c r="C197" s="1698" t="str">
        <f>+'01'!C126</f>
        <v>Convertidor y esmalte sintético en barandas y herrerías - Escalera, balcones, barandas, portón, medidores, etc.</v>
      </c>
      <c r="D197" s="1701" t="str">
        <f>+'01'!D126</f>
        <v>gl</v>
      </c>
      <c r="E197" s="1701">
        <f>+'01'!E126</f>
        <v>1</v>
      </c>
      <c r="F197" s="1966"/>
      <c r="G197" s="1967"/>
      <c r="H197" s="1759">
        <f>+J197/E197</f>
        <v>1266522.9190993388</v>
      </c>
      <c r="I197" s="1759">
        <f>+K197/E197</f>
        <v>0</v>
      </c>
      <c r="J197" s="1693">
        <f>SUM(J198)</f>
        <v>1266522.9190993388</v>
      </c>
      <c r="K197" s="1693">
        <f>SUM(K198)</f>
        <v>0</v>
      </c>
      <c r="L197" s="1944"/>
      <c r="M197" s="1945"/>
      <c r="N197" s="1946"/>
      <c r="O197" s="1947"/>
      <c r="P197" s="1948"/>
      <c r="Q197" s="1759">
        <f>+U197/E197</f>
        <v>5694407.7131105876</v>
      </c>
      <c r="R197" s="1759">
        <f>+V197/E197</f>
        <v>0</v>
      </c>
      <c r="S197" s="1949"/>
      <c r="T197" s="1949"/>
      <c r="U197" s="1766">
        <f>SUM(S198)</f>
        <v>5694407.7131105876</v>
      </c>
      <c r="V197" s="1766">
        <f>SUM(T198)</f>
        <v>0</v>
      </c>
    </row>
    <row r="198" spans="1:22" ht="12.75" customHeight="1" outlineLevel="1">
      <c r="A198" s="1699"/>
      <c r="B198" s="1700"/>
      <c r="C198" s="1970" t="s">
        <v>4</v>
      </c>
      <c r="D198" s="1898" t="s">
        <v>4</v>
      </c>
      <c r="E198" s="1898">
        <f>+Computo!J84</f>
        <v>473.21199999999999</v>
      </c>
      <c r="F198" s="1963">
        <f>+'APU 06.25'!E34*0.6</f>
        <v>2676.4387190082643</v>
      </c>
      <c r="G198" s="1964"/>
      <c r="H198" s="1965"/>
      <c r="I198" s="1965"/>
      <c r="J198" s="1898">
        <f>+F198*E198</f>
        <v>1266522.9190993388</v>
      </c>
      <c r="K198" s="1898">
        <f>+G198*E198</f>
        <v>0</v>
      </c>
      <c r="L198" s="1971">
        <f>+'APU 06.25'!H34+'APU 06.25'!K34</f>
        <v>12033.523480196165</v>
      </c>
      <c r="M198" s="1972"/>
      <c r="N198" s="1973"/>
      <c r="O198" s="1974"/>
      <c r="P198" s="1975"/>
      <c r="Q198" s="1976"/>
      <c r="R198" s="1976"/>
      <c r="S198" s="1979">
        <f>+L198*E198</f>
        <v>5694407.7131105876</v>
      </c>
      <c r="T198" s="1979">
        <f>(+M198*$M$5+N198*$N$5+O198*$O$5+P198*$P$5)*E198</f>
        <v>0</v>
      </c>
    </row>
    <row r="199" spans="1:22" ht="12.75" customHeight="1">
      <c r="A199" s="1750">
        <f>+'01'!A127</f>
        <v>16</v>
      </c>
      <c r="B199" s="1746">
        <f>+'01'!B127</f>
        <v>0</v>
      </c>
      <c r="C199" s="1825" t="str">
        <f>+'01'!C127</f>
        <v>MARMOLES Y GRANITOS - PROVISION Y COLOCACION A CARGO DEL COMITENTE</v>
      </c>
      <c r="D199" s="1751">
        <f>+'01'!D127</f>
        <v>0</v>
      </c>
      <c r="E199" s="1751">
        <f>+'01'!E127</f>
        <v>0</v>
      </c>
      <c r="F199" s="1752"/>
      <c r="G199" s="1753"/>
      <c r="H199" s="1754"/>
      <c r="I199" s="1754"/>
      <c r="J199" s="1754"/>
      <c r="K199" s="1754"/>
      <c r="L199" s="1754"/>
      <c r="M199" s="1755"/>
      <c r="N199" s="1756"/>
      <c r="O199" s="1752"/>
      <c r="P199" s="1753"/>
      <c r="Q199" s="1754"/>
      <c r="R199" s="1754"/>
      <c r="S199" s="1754"/>
      <c r="T199" s="1908"/>
    </row>
    <row r="200" spans="1:22" ht="12.75" customHeight="1">
      <c r="A200" s="1940">
        <f>+'01'!A128</f>
        <v>0</v>
      </c>
      <c r="B200" s="1678">
        <f>+'01'!B128</f>
        <v>0</v>
      </c>
      <c r="C200" s="1940">
        <f>+'01'!C128</f>
        <v>0</v>
      </c>
      <c r="D200" s="1678">
        <f>+'01'!D128</f>
        <v>0</v>
      </c>
      <c r="E200" s="1678">
        <f>+'01'!E128</f>
        <v>0</v>
      </c>
      <c r="F200" s="1757"/>
      <c r="G200" s="1758"/>
      <c r="H200" s="1759" t="e">
        <f>+J200/E200</f>
        <v>#DIV/0!</v>
      </c>
      <c r="I200" s="1759" t="e">
        <f>+K200/E200</f>
        <v>#DIV/0!</v>
      </c>
      <c r="J200" s="1693">
        <f>SUM(J201:J203)</f>
        <v>0</v>
      </c>
      <c r="K200" s="1693">
        <f>SUM(K201:K203)</f>
        <v>0</v>
      </c>
      <c r="L200" s="1980"/>
      <c r="M200" s="1981"/>
      <c r="N200" s="1982"/>
      <c r="O200" s="1983"/>
      <c r="P200" s="1984"/>
      <c r="Q200" s="1759" t="e">
        <f>+U200/E200</f>
        <v>#DIV/0!</v>
      </c>
      <c r="R200" s="1759" t="e">
        <f>+V200/E200</f>
        <v>#DIV/0!</v>
      </c>
      <c r="S200" s="1949"/>
      <c r="T200" s="1949"/>
      <c r="U200" s="1766">
        <f>SUM(S201:S203)</f>
        <v>0</v>
      </c>
      <c r="V200" s="1767">
        <f>SUM(T201:T203)</f>
        <v>638986.93656836334</v>
      </c>
    </row>
    <row r="201" spans="1:22" ht="12.75" customHeight="1">
      <c r="A201" s="1702"/>
      <c r="B201" s="1703"/>
      <c r="C201" s="1977" t="s">
        <v>281</v>
      </c>
      <c r="D201" s="1887" t="s">
        <v>72</v>
      </c>
      <c r="E201" s="1887">
        <f>+E200</f>
        <v>0</v>
      </c>
      <c r="F201" s="1771">
        <f>25000/1.21</f>
        <v>20661.157024793389</v>
      </c>
      <c r="G201" s="1772"/>
      <c r="H201" s="1952"/>
      <c r="I201" s="1952"/>
      <c r="J201" s="1887">
        <f>+F201*E201</f>
        <v>0</v>
      </c>
      <c r="K201" s="1887">
        <f>+G201*E201</f>
        <v>0</v>
      </c>
      <c r="L201" s="1864"/>
      <c r="M201" s="1985"/>
      <c r="N201" s="1986"/>
      <c r="O201" s="1987"/>
      <c r="P201" s="1988"/>
      <c r="Q201" s="1958"/>
      <c r="R201" s="1958"/>
      <c r="S201" s="1780">
        <f>+L201*E201</f>
        <v>0</v>
      </c>
      <c r="T201" s="1780">
        <f>(+M201*$M$5+N201*$N$5+O201*$O$5+P201*$P$5)*E201</f>
        <v>0</v>
      </c>
    </row>
    <row r="202" spans="1:22" ht="12.75" customHeight="1">
      <c r="A202" s="1704"/>
      <c r="B202" s="1705"/>
      <c r="C202" s="1978" t="s">
        <v>282</v>
      </c>
      <c r="D202" s="1892" t="s">
        <v>54</v>
      </c>
      <c r="E202" s="1892">
        <v>0.1</v>
      </c>
      <c r="F202" s="1816">
        <f>+SUM(J201:J201)</f>
        <v>0</v>
      </c>
      <c r="G202" s="1817"/>
      <c r="H202" s="1989"/>
      <c r="I202" s="1989"/>
      <c r="J202" s="1887">
        <f>+F202*E202</f>
        <v>0</v>
      </c>
      <c r="K202" s="1887">
        <f>+G202*E202</f>
        <v>0</v>
      </c>
      <c r="L202" s="1990"/>
      <c r="M202" s="1991"/>
      <c r="N202" s="1992"/>
      <c r="O202" s="1993"/>
      <c r="P202" s="1994"/>
      <c r="Q202" s="1995"/>
      <c r="R202" s="1995"/>
      <c r="S202" s="1780">
        <f>+L202*E202</f>
        <v>0</v>
      </c>
      <c r="T202" s="1780">
        <f>(+M202*$M$5+N202*$N$5+O202*$O$5+P202*$P$5)*E202</f>
        <v>0</v>
      </c>
    </row>
    <row r="203" spans="1:22" ht="12.75" customHeight="1">
      <c r="A203" s="1706"/>
      <c r="B203" s="1697"/>
      <c r="C203" s="1996" t="s">
        <v>213</v>
      </c>
      <c r="D203" s="1898" t="s">
        <v>201</v>
      </c>
      <c r="E203" s="1898">
        <v>5</v>
      </c>
      <c r="F203" s="1791"/>
      <c r="G203" s="1792"/>
      <c r="H203" s="1965"/>
      <c r="I203" s="1965"/>
      <c r="J203" s="1898">
        <f>+F203*E203</f>
        <v>0</v>
      </c>
      <c r="K203" s="1898">
        <f>+G203*E203</f>
        <v>0</v>
      </c>
      <c r="L203" s="1795"/>
      <c r="M203" s="1796">
        <v>1</v>
      </c>
      <c r="N203" s="1797"/>
      <c r="O203" s="1798"/>
      <c r="P203" s="1799">
        <v>0.5</v>
      </c>
      <c r="Q203" s="1800"/>
      <c r="R203" s="1800"/>
      <c r="S203" s="1801">
        <f>+L203*E203</f>
        <v>0</v>
      </c>
      <c r="T203" s="1801">
        <f>(+M203*$M$5+N203*$N$5+O203*$O$5+P203*$P$5)*E203</f>
        <v>638986.93656836334</v>
      </c>
    </row>
    <row r="204" spans="1:22" ht="12.75" customHeight="1">
      <c r="A204" s="1707">
        <f>+'01'!A134</f>
        <v>18</v>
      </c>
      <c r="B204" s="1708">
        <f>+'01'!B134</f>
        <v>0</v>
      </c>
      <c r="C204" s="1708" t="str">
        <f>+'01'!C134</f>
        <v>INSTALACION ELECTRICA</v>
      </c>
      <c r="D204" s="1709"/>
      <c r="E204" s="1710"/>
      <c r="F204" s="1752"/>
      <c r="G204" s="1753"/>
      <c r="H204" s="1754"/>
      <c r="I204" s="1754"/>
      <c r="J204" s="1754"/>
      <c r="K204" s="1754"/>
      <c r="L204" s="1754"/>
      <c r="M204" s="1755"/>
      <c r="N204" s="1756"/>
      <c r="O204" s="1752"/>
      <c r="P204" s="1753"/>
      <c r="Q204" s="1754"/>
      <c r="R204" s="1754"/>
      <c r="S204" s="1754"/>
      <c r="T204" s="1908"/>
    </row>
    <row r="205" spans="1:22" ht="12.75" customHeight="1">
      <c r="A205" s="1711">
        <f>+'01'!A151</f>
        <v>18.170000000000002</v>
      </c>
      <c r="B205" s="1711" t="str">
        <f>+'01'!B151</f>
        <v>OK</v>
      </c>
      <c r="C205" s="1712" t="str">
        <f>+'01'!C151</f>
        <v>Montante eléctrica</v>
      </c>
      <c r="D205" s="1713" t="str">
        <f>+'01'!D151</f>
        <v>gl</v>
      </c>
      <c r="E205" s="1711">
        <f>+'01'!E151</f>
        <v>1</v>
      </c>
      <c r="F205" s="1757"/>
      <c r="G205" s="1758"/>
      <c r="H205" s="1759">
        <f>+J205/E205</f>
        <v>6941648.2775356993</v>
      </c>
      <c r="I205" s="1759">
        <f>+K205/E205</f>
        <v>0</v>
      </c>
      <c r="J205" s="1693">
        <f>SUM(J206:J209)</f>
        <v>6941648.2775356993</v>
      </c>
      <c r="K205" s="1693">
        <f>SUM(K206:K209)</f>
        <v>0</v>
      </c>
      <c r="L205" s="1980"/>
      <c r="M205" s="1981"/>
      <c r="N205" s="1982"/>
      <c r="O205" s="1983"/>
      <c r="P205" s="1984"/>
      <c r="Q205" s="1759">
        <f>+U205/E205</f>
        <v>0</v>
      </c>
      <c r="R205" s="1759">
        <f>+V205/E205</f>
        <v>3269696.8515315522</v>
      </c>
      <c r="S205" s="1949"/>
      <c r="T205" s="1949"/>
      <c r="U205" s="1766">
        <f>SUM(S206:S209)</f>
        <v>0</v>
      </c>
      <c r="V205" s="1767">
        <f>SUM(T206:T209)</f>
        <v>3269696.8515315522</v>
      </c>
    </row>
    <row r="206" spans="1:22" ht="12.75" customHeight="1" outlineLevel="1">
      <c r="A206" s="1702"/>
      <c r="B206" s="1703"/>
      <c r="C206" s="1968" t="s">
        <v>283</v>
      </c>
      <c r="D206" s="1887" t="s">
        <v>54</v>
      </c>
      <c r="E206" s="1887">
        <v>1</v>
      </c>
      <c r="F206" s="1771">
        <f>+ELECT!H101</f>
        <v>6941648.2775356993</v>
      </c>
      <c r="G206" s="1772"/>
      <c r="H206" s="1952"/>
      <c r="I206" s="1952"/>
      <c r="J206" s="1887">
        <f>+F206*E206</f>
        <v>6941648.2775356993</v>
      </c>
      <c r="K206" s="1887">
        <f>+G206*E206</f>
        <v>0</v>
      </c>
      <c r="L206" s="1864"/>
      <c r="M206" s="1985"/>
      <c r="N206" s="1986"/>
      <c r="O206" s="1987"/>
      <c r="P206" s="1988"/>
      <c r="Q206" s="1958"/>
      <c r="R206" s="1958"/>
      <c r="S206" s="1780">
        <f>+L206*E206</f>
        <v>0</v>
      </c>
      <c r="T206" s="1780">
        <f>(+M206*$M$5+N206*$N$5+O206*$O$5+P206*$P$5)*E206</f>
        <v>0</v>
      </c>
    </row>
    <row r="207" spans="1:22" ht="12.75" customHeight="1" outlineLevel="1">
      <c r="A207" s="1702"/>
      <c r="B207" s="1703"/>
      <c r="C207" s="1977" t="s">
        <v>1671</v>
      </c>
      <c r="D207" s="1887" t="s">
        <v>201</v>
      </c>
      <c r="E207" s="1887">
        <v>3</v>
      </c>
      <c r="F207" s="1771"/>
      <c r="G207" s="1772"/>
      <c r="H207" s="1952"/>
      <c r="I207" s="1952"/>
      <c r="J207" s="1887">
        <f>+F207*E207</f>
        <v>0</v>
      </c>
      <c r="K207" s="1887">
        <f>+G207*E207</f>
        <v>0</v>
      </c>
      <c r="L207" s="1997"/>
      <c r="M207" s="1985">
        <v>1</v>
      </c>
      <c r="N207" s="1986"/>
      <c r="O207" s="1987">
        <v>1</v>
      </c>
      <c r="P207" s="1988">
        <v>1</v>
      </c>
      <c r="Q207" s="1958"/>
      <c r="R207" s="1958"/>
      <c r="S207" s="1780">
        <f>+L207*E207</f>
        <v>0</v>
      </c>
      <c r="T207" s="1780">
        <f>(+M207*$M$5+N207*$N$5+O207*$O$5+P207*$P$5)*E207</f>
        <v>700649.32532818988</v>
      </c>
    </row>
    <row r="208" spans="1:22" ht="12.75" customHeight="1" outlineLevel="1">
      <c r="A208" s="1704"/>
      <c r="B208" s="1705"/>
      <c r="C208" s="1977" t="s">
        <v>1672</v>
      </c>
      <c r="D208" s="1892" t="s">
        <v>201</v>
      </c>
      <c r="E208" s="1892">
        <v>7</v>
      </c>
      <c r="F208" s="1816"/>
      <c r="G208" s="1817"/>
      <c r="H208" s="1952"/>
      <c r="I208" s="1952"/>
      <c r="J208" s="1887">
        <f>+F208*E208</f>
        <v>0</v>
      </c>
      <c r="K208" s="1887">
        <f>+G208*E208</f>
        <v>0</v>
      </c>
      <c r="L208" s="1998"/>
      <c r="M208" s="1991">
        <v>1</v>
      </c>
      <c r="N208" s="1992"/>
      <c r="O208" s="1993">
        <v>1</v>
      </c>
      <c r="P208" s="1994">
        <v>1</v>
      </c>
      <c r="Q208" s="1958"/>
      <c r="R208" s="1958"/>
      <c r="S208" s="1780">
        <f>+L208*E208</f>
        <v>0</v>
      </c>
      <c r="T208" s="1780">
        <f>(+M208*$M$5+N208*$N$5+O208*$O$5+P208*$P$5)*E208</f>
        <v>1634848.4257657763</v>
      </c>
    </row>
    <row r="209" spans="1:22" ht="12.75" customHeight="1" outlineLevel="1">
      <c r="A209" s="1706"/>
      <c r="B209" s="1697"/>
      <c r="C209" s="1996" t="s">
        <v>1673</v>
      </c>
      <c r="D209" s="1898" t="s">
        <v>201</v>
      </c>
      <c r="E209" s="1898">
        <f>+ROUNDUP(SUM(E207:E208)*0.4,0)</f>
        <v>4</v>
      </c>
      <c r="F209" s="1791"/>
      <c r="G209" s="1792"/>
      <c r="H209" s="1952"/>
      <c r="I209" s="1952"/>
      <c r="J209" s="1887">
        <f>+F209*E209</f>
        <v>0</v>
      </c>
      <c r="K209" s="1887">
        <f>+G209*E209</f>
        <v>0</v>
      </c>
      <c r="L209" s="1857"/>
      <c r="M209" s="1796">
        <v>1</v>
      </c>
      <c r="N209" s="1797"/>
      <c r="O209" s="1798">
        <v>1</v>
      </c>
      <c r="P209" s="1799">
        <v>1</v>
      </c>
      <c r="Q209" s="1958"/>
      <c r="R209" s="1958"/>
      <c r="S209" s="1801">
        <f>+L209*E209</f>
        <v>0</v>
      </c>
      <c r="T209" s="1801">
        <f>(+M209*$M$5+N209*$N$5+O209*$O$5+P209*$P$5)*E209</f>
        <v>934199.10043758643</v>
      </c>
    </row>
    <row r="210" spans="1:22" ht="12.75" customHeight="1">
      <c r="A210" s="1711">
        <f>+'01'!A152</f>
        <v>18.18</v>
      </c>
      <c r="B210" s="1711" t="str">
        <f>+'01'!B152</f>
        <v>OK</v>
      </c>
      <c r="C210" s="1712" t="str">
        <f>+'01'!C152</f>
        <v xml:space="preserve">Montante TV + Tablero TV - Cañería c/cable testigo </v>
      </c>
      <c r="D210" s="1713" t="str">
        <f>+'01'!D152</f>
        <v>gl</v>
      </c>
      <c r="E210" s="1711">
        <f>+'01'!E152</f>
        <v>1</v>
      </c>
      <c r="F210" s="1757"/>
      <c r="G210" s="1758"/>
      <c r="H210" s="1759">
        <f>+J210/E210</f>
        <v>896755.5936702406</v>
      </c>
      <c r="I210" s="1759">
        <f>+K210/E210</f>
        <v>0</v>
      </c>
      <c r="J210" s="1693">
        <f>SUM(J211:J214)</f>
        <v>896755.5936702406</v>
      </c>
      <c r="K210" s="1693">
        <f>SUM(K211:K214)</f>
        <v>0</v>
      </c>
      <c r="L210" s="1980"/>
      <c r="M210" s="1999"/>
      <c r="N210" s="1982"/>
      <c r="O210" s="1983"/>
      <c r="P210" s="2000"/>
      <c r="Q210" s="1759">
        <f>+U210/E210</f>
        <v>0</v>
      </c>
      <c r="R210" s="1759">
        <f>+V210/E210</f>
        <v>1634848.4257657761</v>
      </c>
      <c r="S210" s="1949"/>
      <c r="T210" s="1949"/>
      <c r="U210" s="1766">
        <f>SUM(S211:S214)</f>
        <v>0</v>
      </c>
      <c r="V210" s="1767">
        <f>SUM(T211:T214)</f>
        <v>1634848.4257657761</v>
      </c>
    </row>
    <row r="211" spans="1:22" ht="12.75" customHeight="1" outlineLevel="1">
      <c r="A211" s="1702"/>
      <c r="B211" s="1703"/>
      <c r="C211" s="1968" t="s">
        <v>283</v>
      </c>
      <c r="D211" s="1887" t="s">
        <v>54</v>
      </c>
      <c r="E211" s="1887">
        <v>1</v>
      </c>
      <c r="F211" s="1771">
        <f>+ELECT!H124</f>
        <v>896755.5936702406</v>
      </c>
      <c r="G211" s="1772"/>
      <c r="H211" s="1952"/>
      <c r="I211" s="1952"/>
      <c r="J211" s="1887">
        <f>+F211*E211</f>
        <v>896755.5936702406</v>
      </c>
      <c r="K211" s="1887">
        <f>+G211*E211</f>
        <v>0</v>
      </c>
      <c r="L211" s="1864"/>
      <c r="M211" s="2001"/>
      <c r="N211" s="1986"/>
      <c r="O211" s="1987"/>
      <c r="P211" s="2002"/>
      <c r="Q211" s="1958"/>
      <c r="R211" s="1958"/>
      <c r="S211" s="1780">
        <f>+L211*E211</f>
        <v>0</v>
      </c>
      <c r="T211" s="1780">
        <f>(+M211*$M$5+N211*$N$5+O211*$O$5+P211*$P$5)*E211</f>
        <v>0</v>
      </c>
    </row>
    <row r="212" spans="1:22" ht="12.75" customHeight="1" outlineLevel="1">
      <c r="A212" s="1702"/>
      <c r="B212" s="1703"/>
      <c r="C212" s="1977" t="s">
        <v>1671</v>
      </c>
      <c r="D212" s="1887" t="s">
        <v>201</v>
      </c>
      <c r="E212" s="1887">
        <f>+E207/2</f>
        <v>1.5</v>
      </c>
      <c r="F212" s="1771"/>
      <c r="G212" s="1772"/>
      <c r="H212" s="1952"/>
      <c r="I212" s="1952"/>
      <c r="J212" s="1887">
        <f>+F212*E212</f>
        <v>0</v>
      </c>
      <c r="K212" s="1887">
        <f>+G212*E212</f>
        <v>0</v>
      </c>
      <c r="L212" s="1864"/>
      <c r="M212" s="2001">
        <v>1</v>
      </c>
      <c r="N212" s="1986"/>
      <c r="O212" s="1987">
        <v>1</v>
      </c>
      <c r="P212" s="2002">
        <v>1</v>
      </c>
      <c r="Q212" s="1958"/>
      <c r="R212" s="1958"/>
      <c r="S212" s="1780">
        <f>+L212*E212</f>
        <v>0</v>
      </c>
      <c r="T212" s="1780">
        <f>(+M212*$M$5+N212*$N$5+O212*$O$5+P212*$P$5)*E212</f>
        <v>350324.66266409494</v>
      </c>
    </row>
    <row r="213" spans="1:22" ht="12.75" customHeight="1" outlineLevel="1">
      <c r="A213" s="1702"/>
      <c r="B213" s="1703"/>
      <c r="C213" s="1977" t="s">
        <v>1674</v>
      </c>
      <c r="D213" s="1892" t="s">
        <v>201</v>
      </c>
      <c r="E213" s="1892">
        <f>+E208/2</f>
        <v>3.5</v>
      </c>
      <c r="F213" s="1771"/>
      <c r="G213" s="1772"/>
      <c r="H213" s="1952"/>
      <c r="I213" s="1952"/>
      <c r="J213" s="1887">
        <f>+F213*E213</f>
        <v>0</v>
      </c>
      <c r="K213" s="1887">
        <f>+G213*E213</f>
        <v>0</v>
      </c>
      <c r="L213" s="1997"/>
      <c r="M213" s="2001">
        <v>1</v>
      </c>
      <c r="N213" s="1986"/>
      <c r="O213" s="1987">
        <v>1</v>
      </c>
      <c r="P213" s="2002">
        <v>1</v>
      </c>
      <c r="Q213" s="1958"/>
      <c r="R213" s="1958"/>
      <c r="S213" s="1780">
        <f>+L213*E213</f>
        <v>0</v>
      </c>
      <c r="T213" s="1780">
        <f>(+M213*$M$5+N213*$N$5+O213*$O$5+P213*$P$5)*E213</f>
        <v>817424.21288288815</v>
      </c>
    </row>
    <row r="214" spans="1:22" ht="12.75" customHeight="1" outlineLevel="1">
      <c r="A214" s="1702"/>
      <c r="B214" s="1703"/>
      <c r="C214" s="1996" t="s">
        <v>1673</v>
      </c>
      <c r="D214" s="1898" t="s">
        <v>201</v>
      </c>
      <c r="E214" s="1898">
        <f>+E209*0.5</f>
        <v>2</v>
      </c>
      <c r="F214" s="1771"/>
      <c r="G214" s="1772"/>
      <c r="H214" s="1952"/>
      <c r="I214" s="1952"/>
      <c r="J214" s="1887">
        <f>+F214*E214</f>
        <v>0</v>
      </c>
      <c r="K214" s="1887">
        <f>+G214*E214</f>
        <v>0</v>
      </c>
      <c r="L214" s="1857"/>
      <c r="M214" s="2001">
        <v>1</v>
      </c>
      <c r="N214" s="1986"/>
      <c r="O214" s="1987">
        <v>1</v>
      </c>
      <c r="P214" s="2002">
        <v>1</v>
      </c>
      <c r="Q214" s="1958"/>
      <c r="R214" s="1958"/>
      <c r="S214" s="1780">
        <f>+L214*E214</f>
        <v>0</v>
      </c>
      <c r="T214" s="1780">
        <f>(+M214*$M$5+N214*$N$5+O214*$O$5+P214*$P$5)*E214</f>
        <v>467099.55021879321</v>
      </c>
    </row>
    <row r="215" spans="1:22" ht="12.75" customHeight="1">
      <c r="A215" s="1711">
        <f>+'01'!A159</f>
        <v>18.25</v>
      </c>
      <c r="B215" s="1711" t="str">
        <f>+'01'!B159</f>
        <v>OK</v>
      </c>
      <c r="C215" s="1712" t="str">
        <f>+'01'!C159</f>
        <v>Provisión y armado de medidores. Provisión y tendido de alim. por bandeja desde CT hasta medidores</v>
      </c>
      <c r="D215" s="1713" t="str">
        <f>+'01'!D159</f>
        <v>gl</v>
      </c>
      <c r="E215" s="1711">
        <f>+'01'!E159</f>
        <v>1</v>
      </c>
      <c r="F215" s="1757"/>
      <c r="G215" s="1758"/>
      <c r="H215" s="1759">
        <f>+J215/E215</f>
        <v>6991302.4321481157</v>
      </c>
      <c r="I215" s="1759">
        <f>+K215/E215</f>
        <v>0</v>
      </c>
      <c r="J215" s="1693">
        <f>SUM(J216:J221)</f>
        <v>6991302.4321481157</v>
      </c>
      <c r="K215" s="1693">
        <f>SUM(K216:K221)</f>
        <v>0</v>
      </c>
      <c r="L215" s="1980"/>
      <c r="M215" s="1981"/>
      <c r="N215" s="1982"/>
      <c r="O215" s="1983"/>
      <c r="P215" s="1984"/>
      <c r="Q215" s="1759">
        <f>+U215/E215</f>
        <v>3242733.2</v>
      </c>
      <c r="R215" s="1759">
        <f>+V215/E215</f>
        <v>0</v>
      </c>
      <c r="S215" s="1949"/>
      <c r="T215" s="1949"/>
      <c r="U215" s="1766">
        <f>SUM(S216:S221)</f>
        <v>3242733.2</v>
      </c>
      <c r="V215" s="1766">
        <f>SUM(T216:T221)</f>
        <v>0</v>
      </c>
    </row>
    <row r="216" spans="1:22" ht="12.75" customHeight="1" outlineLevel="1">
      <c r="A216" s="1702"/>
      <c r="B216" s="1703"/>
      <c r="C216" s="1968" t="s">
        <v>284</v>
      </c>
      <c r="D216" s="1887" t="s">
        <v>54</v>
      </c>
      <c r="E216" s="1887">
        <v>1</v>
      </c>
      <c r="F216" s="1771">
        <f>+ELECT!H86</f>
        <v>6991302.4321481157</v>
      </c>
      <c r="G216" s="1772"/>
      <c r="H216" s="1952"/>
      <c r="I216" s="1952"/>
      <c r="J216" s="1887">
        <f t="shared" ref="J216:J221" si="66">+F216*E216</f>
        <v>6991302.4321481157</v>
      </c>
      <c r="K216" s="1887">
        <f t="shared" ref="K216:K221" si="67">+G216*E216</f>
        <v>0</v>
      </c>
      <c r="L216" s="1864"/>
      <c r="M216" s="1985"/>
      <c r="N216" s="1986"/>
      <c r="O216" s="1987"/>
      <c r="P216" s="1988"/>
      <c r="Q216" s="1958"/>
      <c r="R216" s="1958"/>
      <c r="S216" s="1780">
        <f t="shared" ref="S216:S221" si="68">+L216*E216</f>
        <v>0</v>
      </c>
      <c r="T216" s="1780">
        <f t="shared" ref="T216:T221" si="69">(+M216*$M$5+N216*$N$5+O216*$O$5+P216*$P$5)*E216</f>
        <v>0</v>
      </c>
    </row>
    <row r="217" spans="1:22" ht="12.75" customHeight="1" outlineLevel="1">
      <c r="A217" s="1702"/>
      <c r="B217" s="1703"/>
      <c r="C217" s="1977" t="s">
        <v>1642</v>
      </c>
      <c r="D217" s="1887" t="s">
        <v>72</v>
      </c>
      <c r="E217" s="1887">
        <v>4</v>
      </c>
      <c r="F217" s="1771"/>
      <c r="G217" s="1772"/>
      <c r="H217" s="1952"/>
      <c r="I217" s="1952"/>
      <c r="J217" s="1887">
        <f t="shared" si="66"/>
        <v>0</v>
      </c>
      <c r="K217" s="1887">
        <f t="shared" si="67"/>
        <v>0</v>
      </c>
      <c r="L217" s="1997">
        <f>+SUBCONTRATOS!D58</f>
        <v>428925</v>
      </c>
      <c r="M217" s="1985"/>
      <c r="N217" s="1986"/>
      <c r="O217" s="1987"/>
      <c r="P217" s="1988"/>
      <c r="Q217" s="1958"/>
      <c r="R217" s="1958"/>
      <c r="S217" s="1780">
        <f t="shared" si="68"/>
        <v>1715700</v>
      </c>
      <c r="T217" s="1780">
        <f t="shared" si="69"/>
        <v>0</v>
      </c>
    </row>
    <row r="218" spans="1:22" ht="12.75" customHeight="1" outlineLevel="1">
      <c r="A218" s="1702"/>
      <c r="B218" s="1703"/>
      <c r="C218" s="1977" t="s">
        <v>1643</v>
      </c>
      <c r="D218" s="1887" t="s">
        <v>72</v>
      </c>
      <c r="E218" s="1887">
        <v>0</v>
      </c>
      <c r="F218" s="1771"/>
      <c r="G218" s="1772"/>
      <c r="H218" s="1952"/>
      <c r="I218" s="1952"/>
      <c r="J218" s="1887">
        <f t="shared" si="66"/>
        <v>0</v>
      </c>
      <c r="K218" s="1887">
        <f t="shared" si="67"/>
        <v>0</v>
      </c>
      <c r="L218" s="1997">
        <f>+SUBCONTRATOS!D59</f>
        <v>112571.9</v>
      </c>
      <c r="M218" s="1985"/>
      <c r="N218" s="1986"/>
      <c r="O218" s="1987"/>
      <c r="P218" s="1988"/>
      <c r="Q218" s="1958"/>
      <c r="R218" s="1958"/>
      <c r="S218" s="1780">
        <f t="shared" si="68"/>
        <v>0</v>
      </c>
      <c r="T218" s="1780">
        <f t="shared" si="69"/>
        <v>0</v>
      </c>
    </row>
    <row r="219" spans="1:22" ht="12.75" customHeight="1" outlineLevel="1">
      <c r="A219" s="1702"/>
      <c r="B219" s="1703"/>
      <c r="C219" s="1977" t="s">
        <v>1644</v>
      </c>
      <c r="D219" s="1887" t="s">
        <v>72</v>
      </c>
      <c r="E219" s="1887">
        <v>3</v>
      </c>
      <c r="F219" s="1771"/>
      <c r="G219" s="1772"/>
      <c r="H219" s="1952"/>
      <c r="I219" s="1952"/>
      <c r="J219" s="1887">
        <f t="shared" si="66"/>
        <v>0</v>
      </c>
      <c r="K219" s="1887">
        <f t="shared" si="67"/>
        <v>0</v>
      </c>
      <c r="L219" s="1997">
        <f>+SUBCONTRATOS!D58</f>
        <v>428925</v>
      </c>
      <c r="M219" s="1985"/>
      <c r="N219" s="1986"/>
      <c r="O219" s="1987"/>
      <c r="P219" s="1988"/>
      <c r="Q219" s="1958"/>
      <c r="R219" s="1958"/>
      <c r="S219" s="1780">
        <f t="shared" si="68"/>
        <v>1286775</v>
      </c>
      <c r="T219" s="1780">
        <f t="shared" si="69"/>
        <v>0</v>
      </c>
    </row>
    <row r="220" spans="1:22" ht="12.75" customHeight="1" outlineLevel="1">
      <c r="A220" s="1702"/>
      <c r="B220" s="1703"/>
      <c r="C220" s="1977" t="s">
        <v>1664</v>
      </c>
      <c r="D220" s="1887" t="s">
        <v>72</v>
      </c>
      <c r="E220" s="1887">
        <v>3</v>
      </c>
      <c r="F220" s="1771"/>
      <c r="G220" s="1772"/>
      <c r="H220" s="1952"/>
      <c r="I220" s="1952"/>
      <c r="J220" s="1887">
        <f t="shared" si="66"/>
        <v>0</v>
      </c>
      <c r="K220" s="1887">
        <f t="shared" si="67"/>
        <v>0</v>
      </c>
      <c r="L220" s="1997">
        <f>+SUBCONTRATOS!D56</f>
        <v>26460</v>
      </c>
      <c r="M220" s="1985"/>
      <c r="N220" s="1986"/>
      <c r="O220" s="1987"/>
      <c r="P220" s="1988"/>
      <c r="Q220" s="1958"/>
      <c r="R220" s="1958"/>
      <c r="S220" s="1780">
        <f t="shared" si="68"/>
        <v>79380</v>
      </c>
      <c r="T220" s="1780">
        <f t="shared" si="69"/>
        <v>0</v>
      </c>
    </row>
    <row r="221" spans="1:22" ht="12.75" customHeight="1" outlineLevel="1">
      <c r="A221" s="1706"/>
      <c r="B221" s="1697"/>
      <c r="C221" s="1996" t="s">
        <v>290</v>
      </c>
      <c r="D221" s="1898" t="s">
        <v>72</v>
      </c>
      <c r="E221" s="1898">
        <v>1</v>
      </c>
      <c r="F221" s="1791"/>
      <c r="G221" s="1792"/>
      <c r="H221" s="1952"/>
      <c r="I221" s="1952"/>
      <c r="J221" s="1887">
        <f t="shared" si="66"/>
        <v>0</v>
      </c>
      <c r="K221" s="1887">
        <f t="shared" si="67"/>
        <v>0</v>
      </c>
      <c r="L221" s="1857">
        <f>+SUBCONTRATOS!D61</f>
        <v>160878.19999999998</v>
      </c>
      <c r="M221" s="1796"/>
      <c r="N221" s="1797"/>
      <c r="O221" s="1798"/>
      <c r="P221" s="1799"/>
      <c r="Q221" s="1976"/>
      <c r="R221" s="1976"/>
      <c r="S221" s="1780">
        <f t="shared" si="68"/>
        <v>160878.19999999998</v>
      </c>
      <c r="T221" s="1780">
        <f t="shared" si="69"/>
        <v>0</v>
      </c>
    </row>
    <row r="222" spans="1:22" ht="12.75" customHeight="1">
      <c r="A222" s="1711">
        <f>+'01'!A160</f>
        <v>18.260000000000002</v>
      </c>
      <c r="B222" s="1711" t="str">
        <f>+'01'!B160</f>
        <v>OK</v>
      </c>
      <c r="C222" s="1712" t="str">
        <f>+'01'!C160</f>
        <v>Puesta a tierra, jabalinas y cableados</v>
      </c>
      <c r="D222" s="1713" t="str">
        <f>+'01'!D160</f>
        <v>gl</v>
      </c>
      <c r="E222" s="1711">
        <f>+'01'!E160</f>
        <v>1</v>
      </c>
      <c r="F222" s="1757"/>
      <c r="G222" s="1758"/>
      <c r="H222" s="1759">
        <f>+J222/E222</f>
        <v>1057994.9839655068</v>
      </c>
      <c r="I222" s="1759">
        <f>+K222/E222</f>
        <v>0</v>
      </c>
      <c r="J222" s="1693">
        <f>SUM(J223:J224)</f>
        <v>1057994.9839655068</v>
      </c>
      <c r="K222" s="1693">
        <f>SUM(K223:K224)</f>
        <v>0</v>
      </c>
      <c r="L222" s="1980"/>
      <c r="M222" s="1981"/>
      <c r="N222" s="1982"/>
      <c r="O222" s="1983"/>
      <c r="P222" s="1984"/>
      <c r="Q222" s="1759">
        <f>+U222/E222</f>
        <v>401985.49999999994</v>
      </c>
      <c r="R222" s="1759">
        <f>+V222/E222</f>
        <v>0</v>
      </c>
      <c r="S222" s="1949"/>
      <c r="T222" s="1949"/>
      <c r="U222" s="1766">
        <f>+SUM(S223:S224)</f>
        <v>401985.49999999994</v>
      </c>
      <c r="V222" s="1766">
        <f>+SUM(T223:T224)</f>
        <v>0</v>
      </c>
    </row>
    <row r="223" spans="1:22" ht="12.75" customHeight="1" outlineLevel="1">
      <c r="A223" s="1702"/>
      <c r="B223" s="1703"/>
      <c r="C223" s="1968" t="s">
        <v>291</v>
      </c>
      <c r="D223" s="1887" t="s">
        <v>54</v>
      </c>
      <c r="E223" s="1887">
        <v>1</v>
      </c>
      <c r="F223" s="1771">
        <f>+ELECT!H80</f>
        <v>1057994.9839655068</v>
      </c>
      <c r="G223" s="1772"/>
      <c r="H223" s="1952"/>
      <c r="I223" s="1952"/>
      <c r="J223" s="1887">
        <f>+F223*E223</f>
        <v>1057994.9839655068</v>
      </c>
      <c r="K223" s="1887">
        <f>+G223*E223</f>
        <v>0</v>
      </c>
      <c r="L223" s="1864"/>
      <c r="M223" s="1985"/>
      <c r="N223" s="1986"/>
      <c r="O223" s="1987"/>
      <c r="P223" s="1988"/>
      <c r="Q223" s="1958"/>
      <c r="R223" s="1958"/>
      <c r="S223" s="1780">
        <f>+L223*E223</f>
        <v>0</v>
      </c>
      <c r="T223" s="1780">
        <f>(+M223*$M$5+N223*$N$5+O223*$O$5+P223*$P$5)*E223</f>
        <v>0</v>
      </c>
    </row>
    <row r="224" spans="1:22" ht="12.75" customHeight="1" outlineLevel="1">
      <c r="A224" s="1704"/>
      <c r="B224" s="1705"/>
      <c r="C224" s="1978" t="s">
        <v>292</v>
      </c>
      <c r="D224" s="1892" t="s">
        <v>72</v>
      </c>
      <c r="E224" s="1892">
        <v>5</v>
      </c>
      <c r="F224" s="1816"/>
      <c r="G224" s="1817"/>
      <c r="H224" s="1989"/>
      <c r="I224" s="1989"/>
      <c r="J224" s="1892">
        <f>+F224*E224</f>
        <v>0</v>
      </c>
      <c r="K224" s="1892">
        <f>+G224*E224</f>
        <v>0</v>
      </c>
      <c r="L224" s="1998">
        <f>+SUBCONTRATOS!D62</f>
        <v>80397.099999999991</v>
      </c>
      <c r="M224" s="1991"/>
      <c r="N224" s="1992"/>
      <c r="O224" s="1993"/>
      <c r="P224" s="1994"/>
      <c r="Q224" s="1995"/>
      <c r="R224" s="1995"/>
      <c r="S224" s="1930">
        <f>+L224*E224</f>
        <v>401985.49999999994</v>
      </c>
      <c r="T224" s="1930">
        <f>(+M224*$M$5+N224*$N$5+O224*$O$5+P224*$P$5)*E224</f>
        <v>0</v>
      </c>
    </row>
    <row r="225" spans="1:22" ht="12.65" customHeight="1">
      <c r="A225" s="2003">
        <f>+'01'!A196</f>
        <v>23</v>
      </c>
      <c r="B225" s="2004">
        <f>+'01'!B196</f>
        <v>0</v>
      </c>
      <c r="C225" s="2004" t="str">
        <f>+'01'!C196</f>
        <v>TRABAJOS COMPLEMENTARIOS</v>
      </c>
      <c r="D225" s="1714"/>
      <c r="E225" s="1715"/>
      <c r="F225" s="2005"/>
      <c r="G225" s="2006"/>
      <c r="H225" s="2007"/>
      <c r="I225" s="2007"/>
      <c r="J225" s="2007"/>
      <c r="K225" s="2007"/>
      <c r="L225" s="2007"/>
      <c r="M225" s="2008"/>
      <c r="N225" s="2009"/>
      <c r="O225" s="2005"/>
      <c r="P225" s="2006"/>
      <c r="Q225" s="2007"/>
      <c r="R225" s="2007"/>
      <c r="S225" s="2007"/>
      <c r="T225" s="2010"/>
    </row>
    <row r="226" spans="1:22" ht="12.75" customHeight="1">
      <c r="A226" s="1716">
        <f>+'01'!A197</f>
        <v>23.01</v>
      </c>
      <c r="B226" s="1716" t="str">
        <f>+'01'!B212</f>
        <v>OK</v>
      </c>
      <c r="C226" s="1717" t="str">
        <f>+'01'!C197</f>
        <v>Provisión y amure de tapas para pleno electricos en palieres, bastidor hierro angulo + chapa C22, medidas aprox. 40 x 100 cm</v>
      </c>
      <c r="D226" s="1716" t="str">
        <f>+'01'!D197</f>
        <v>u</v>
      </c>
      <c r="E226" s="1716">
        <f>+'01'!E197</f>
        <v>8</v>
      </c>
      <c r="F226" s="2011"/>
      <c r="G226" s="2012"/>
      <c r="H226" s="1759">
        <f>+J226/E226</f>
        <v>25000</v>
      </c>
      <c r="I226" s="1759">
        <f>+K226/E226</f>
        <v>0</v>
      </c>
      <c r="J226" s="1693">
        <f>SUM(J227:J232)</f>
        <v>200000</v>
      </c>
      <c r="K226" s="1693">
        <f>SUM(K227:K232)</f>
        <v>0</v>
      </c>
      <c r="L226" s="2013"/>
      <c r="M226" s="2014"/>
      <c r="N226" s="2015"/>
      <c r="O226" s="2016"/>
      <c r="P226" s="2017"/>
      <c r="Q226" s="1759">
        <f>+U226/E226</f>
        <v>20000</v>
      </c>
      <c r="R226" s="1759">
        <f>+V226/E226</f>
        <v>150902.36265989585</v>
      </c>
      <c r="S226" s="2018"/>
      <c r="T226" s="2018"/>
      <c r="U226" s="2019">
        <f>SUM(S227:S232)</f>
        <v>160000</v>
      </c>
      <c r="V226" s="2019">
        <f>SUM(T227:T232)</f>
        <v>1207218.9012791668</v>
      </c>
    </row>
    <row r="227" spans="1:22" ht="12.75" customHeight="1" outlineLevel="1">
      <c r="A227" s="1718"/>
      <c r="B227" s="1718"/>
      <c r="C227" s="2020" t="s">
        <v>1935</v>
      </c>
      <c r="D227" s="1719" t="s">
        <v>72</v>
      </c>
      <c r="E227" s="1719">
        <f>+ROUNDUP(E226/2,0)</f>
        <v>4</v>
      </c>
      <c r="F227" s="2021">
        <v>15000</v>
      </c>
      <c r="G227" s="2022"/>
      <c r="H227" s="1844"/>
      <c r="I227" s="1844"/>
      <c r="J227" s="1890">
        <f t="shared" ref="J227:J232" si="70">+F227*E227</f>
        <v>60000</v>
      </c>
      <c r="K227" s="1890">
        <f t="shared" ref="K227:K232" si="71">+G227*E227</f>
        <v>0</v>
      </c>
      <c r="L227" s="2023"/>
      <c r="M227" s="2024"/>
      <c r="N227" s="2025"/>
      <c r="O227" s="2026"/>
      <c r="P227" s="2027"/>
      <c r="Q227" s="1844"/>
      <c r="R227" s="1844"/>
      <c r="S227" s="1780">
        <f t="shared" ref="S227" si="72">+L227*E227</f>
        <v>0</v>
      </c>
      <c r="T227" s="1780">
        <f t="shared" ref="T227" si="73">(+M227*$M$5+N227*$N$5+O227*$O$5+P227*$P$5)*E227</f>
        <v>0</v>
      </c>
      <c r="U227" s="1767"/>
      <c r="V227" s="2019"/>
    </row>
    <row r="228" spans="1:22" ht="12.75" customHeight="1" outlineLevel="1">
      <c r="A228" s="1718"/>
      <c r="B228" s="1718"/>
      <c r="C228" s="2028" t="s">
        <v>1936</v>
      </c>
      <c r="D228" s="1719" t="s">
        <v>54</v>
      </c>
      <c r="E228" s="1719">
        <v>1</v>
      </c>
      <c r="F228" s="2021">
        <f>+J227</f>
        <v>60000</v>
      </c>
      <c r="G228" s="2022"/>
      <c r="H228" s="1844"/>
      <c r="I228" s="1844"/>
      <c r="J228" s="1890">
        <f t="shared" si="70"/>
        <v>60000</v>
      </c>
      <c r="K228" s="1890">
        <f t="shared" ref="K228" si="74">+G228*E228</f>
        <v>0</v>
      </c>
      <c r="L228" s="2023"/>
      <c r="M228" s="2024"/>
      <c r="N228" s="2025"/>
      <c r="O228" s="2026"/>
      <c r="P228" s="2027"/>
      <c r="Q228" s="1844"/>
      <c r="R228" s="1844"/>
      <c r="S228" s="1780">
        <f t="shared" ref="S228" si="75">+L228*E228</f>
        <v>0</v>
      </c>
      <c r="T228" s="1780">
        <f t="shared" ref="T228" si="76">(+M228*$M$5+N228*$N$5+O228*$O$5+P228*$P$5)*E228</f>
        <v>0</v>
      </c>
      <c r="U228" s="1767"/>
      <c r="V228" s="2019"/>
    </row>
    <row r="229" spans="1:22" ht="12.75" customHeight="1" outlineLevel="1">
      <c r="A229" s="1718"/>
      <c r="B229" s="1718"/>
      <c r="C229" s="2020" t="s">
        <v>1934</v>
      </c>
      <c r="D229" s="1719" t="s">
        <v>201</v>
      </c>
      <c r="E229" s="1719">
        <v>4</v>
      </c>
      <c r="F229" s="2021"/>
      <c r="G229" s="2022"/>
      <c r="H229" s="1844"/>
      <c r="I229" s="1844"/>
      <c r="J229" s="1890">
        <f t="shared" si="70"/>
        <v>0</v>
      </c>
      <c r="K229" s="1890">
        <f t="shared" ref="K229" si="77">+G229*E229</f>
        <v>0</v>
      </c>
      <c r="L229" s="2023"/>
      <c r="M229" s="2024">
        <v>1</v>
      </c>
      <c r="N229" s="2025">
        <v>1</v>
      </c>
      <c r="O229" s="2026"/>
      <c r="P229" s="2027">
        <v>0.5</v>
      </c>
      <c r="Q229" s="1844"/>
      <c r="R229" s="1844"/>
      <c r="S229" s="1780">
        <f t="shared" ref="S229:S232" si="78">+L229*E229</f>
        <v>0</v>
      </c>
      <c r="T229" s="1780">
        <f t="shared" ref="T229:T232" si="79">(+M229*$M$5+N229*$N$5+O229*$O$5+P229*$P$5)*E229</f>
        <v>849639.60009295633</v>
      </c>
      <c r="U229" s="1767"/>
      <c r="V229" s="2019"/>
    </row>
    <row r="230" spans="1:22" ht="12.75" customHeight="1" outlineLevel="1">
      <c r="A230" s="1720"/>
      <c r="B230" s="1721"/>
      <c r="C230" s="2020" t="s">
        <v>1938</v>
      </c>
      <c r="D230" s="1719" t="s">
        <v>72</v>
      </c>
      <c r="E230" s="1719">
        <f>+ROUNDUP((0.61*1.22*8)/(1.22*2.44),0)</f>
        <v>2</v>
      </c>
      <c r="F230" s="1771">
        <v>40000</v>
      </c>
      <c r="G230" s="2029"/>
      <c r="H230" s="2030"/>
      <c r="I230" s="2030"/>
      <c r="J230" s="1890">
        <f t="shared" si="70"/>
        <v>80000</v>
      </c>
      <c r="K230" s="1890">
        <f t="shared" si="71"/>
        <v>0</v>
      </c>
      <c r="L230" s="2023"/>
      <c r="M230" s="2031"/>
      <c r="N230" s="2032"/>
      <c r="O230" s="2033"/>
      <c r="P230" s="2034"/>
      <c r="Q230" s="2035"/>
      <c r="R230" s="2035"/>
      <c r="S230" s="1780">
        <f t="shared" si="78"/>
        <v>0</v>
      </c>
      <c r="T230" s="1780">
        <f t="shared" si="79"/>
        <v>0</v>
      </c>
      <c r="U230" s="2019"/>
      <c r="V230" s="2019"/>
    </row>
    <row r="231" spans="1:22" ht="12.75" customHeight="1" outlineLevel="1">
      <c r="A231" s="1720"/>
      <c r="B231" s="1721"/>
      <c r="C231" s="2020" t="s">
        <v>1933</v>
      </c>
      <c r="D231" s="1719" t="s">
        <v>72</v>
      </c>
      <c r="E231" s="1719">
        <f>+E230*2</f>
        <v>4</v>
      </c>
      <c r="F231" s="1771"/>
      <c r="G231" s="2029"/>
      <c r="H231" s="2030"/>
      <c r="I231" s="2030"/>
      <c r="J231" s="1890">
        <f t="shared" si="70"/>
        <v>0</v>
      </c>
      <c r="K231" s="1890">
        <f t="shared" ref="K231" si="80">+G231*E231</f>
        <v>0</v>
      </c>
      <c r="L231" s="2023">
        <f>+F230</f>
        <v>40000</v>
      </c>
      <c r="M231" s="2031"/>
      <c r="N231" s="2032"/>
      <c r="O231" s="2033"/>
      <c r="P231" s="2034"/>
      <c r="Q231" s="2035"/>
      <c r="R231" s="2035"/>
      <c r="S231" s="1780">
        <f t="shared" si="78"/>
        <v>160000</v>
      </c>
      <c r="T231" s="1780">
        <f t="shared" si="79"/>
        <v>0</v>
      </c>
      <c r="U231" s="2019"/>
      <c r="V231" s="2019"/>
    </row>
    <row r="232" spans="1:22" ht="12.75" customHeight="1" outlineLevel="1">
      <c r="A232" s="1720"/>
      <c r="B232" s="1721"/>
      <c r="C232" s="2020" t="s">
        <v>1937</v>
      </c>
      <c r="D232" s="1719" t="s">
        <v>201</v>
      </c>
      <c r="E232" s="1719">
        <v>2</v>
      </c>
      <c r="F232" s="1771"/>
      <c r="G232" s="2029"/>
      <c r="H232" s="2030"/>
      <c r="I232" s="2030"/>
      <c r="J232" s="1890">
        <f t="shared" si="70"/>
        <v>0</v>
      </c>
      <c r="K232" s="1890">
        <f t="shared" si="71"/>
        <v>0</v>
      </c>
      <c r="L232" s="2023"/>
      <c r="M232" s="2024">
        <v>1</v>
      </c>
      <c r="N232" s="2025">
        <v>1</v>
      </c>
      <c r="O232" s="2026"/>
      <c r="P232" s="2034"/>
      <c r="Q232" s="2035"/>
      <c r="R232" s="2035"/>
      <c r="S232" s="1780">
        <f t="shared" si="78"/>
        <v>0</v>
      </c>
      <c r="T232" s="1780">
        <f t="shared" si="79"/>
        <v>357579.30118621053</v>
      </c>
      <c r="U232" s="2019"/>
      <c r="V232" s="2019"/>
    </row>
    <row r="233" spans="1:22" ht="12.75" customHeight="1">
      <c r="A233" s="1716">
        <f>+'01'!A198</f>
        <v>23.02</v>
      </c>
      <c r="B233" s="1716" t="str">
        <f>+'01'!B212</f>
        <v>OK</v>
      </c>
      <c r="C233" s="1717" t="str">
        <f>+'01'!C198</f>
        <v>Colocación de señaletica - Provisión a cargo del comitente</v>
      </c>
      <c r="D233" s="1716" t="str">
        <f>+'01'!D198</f>
        <v>gl</v>
      </c>
      <c r="E233" s="1716">
        <f>+'01'!E198</f>
        <v>1</v>
      </c>
      <c r="F233" s="2011"/>
      <c r="G233" s="2012"/>
      <c r="H233" s="1759">
        <f>+J233/E233</f>
        <v>60000</v>
      </c>
      <c r="I233" s="1759">
        <f>+K233/E233</f>
        <v>0</v>
      </c>
      <c r="J233" s="1693">
        <f>SUM(J234:J234)</f>
        <v>60000</v>
      </c>
      <c r="K233" s="1693">
        <f>SUM(K234:K234)</f>
        <v>0</v>
      </c>
      <c r="L233" s="2013"/>
      <c r="M233" s="2014"/>
      <c r="N233" s="2015"/>
      <c r="O233" s="2016"/>
      <c r="P233" s="2017"/>
      <c r="Q233" s="1759">
        <f>+U233/E233</f>
        <v>0</v>
      </c>
      <c r="R233" s="1759">
        <f>+V233/E233</f>
        <v>383392.16194101796</v>
      </c>
      <c r="S233" s="2018"/>
      <c r="T233" s="2018"/>
      <c r="U233" s="2019">
        <f>SUM(S234:S234)</f>
        <v>0</v>
      </c>
      <c r="V233" s="2019">
        <f>SUM(T234:T234)</f>
        <v>383392.16194101796</v>
      </c>
    </row>
    <row r="234" spans="1:22" ht="12.75" customHeight="1" outlineLevel="1">
      <c r="A234" s="1718"/>
      <c r="B234" s="1718"/>
      <c r="C234" s="2020" t="s">
        <v>1929</v>
      </c>
      <c r="D234" s="1719" t="s">
        <v>201</v>
      </c>
      <c r="E234" s="1719">
        <v>3</v>
      </c>
      <c r="F234" s="2021">
        <v>20000</v>
      </c>
      <c r="G234" s="2022"/>
      <c r="H234" s="1844"/>
      <c r="I234" s="1844"/>
      <c r="J234" s="1890">
        <f>+F234*E234</f>
        <v>60000</v>
      </c>
      <c r="K234" s="1890">
        <f t="shared" ref="K234" si="81">+G234*E234</f>
        <v>0</v>
      </c>
      <c r="L234" s="2023"/>
      <c r="M234" s="2024">
        <v>1</v>
      </c>
      <c r="N234" s="2025"/>
      <c r="O234" s="2026"/>
      <c r="P234" s="2027">
        <v>0.5</v>
      </c>
      <c r="Q234" s="1844"/>
      <c r="R234" s="1844"/>
      <c r="S234" s="1780">
        <f t="shared" ref="S234" si="82">+L234*E234</f>
        <v>0</v>
      </c>
      <c r="T234" s="1780">
        <f t="shared" ref="T234" si="83">(+M234*$M$5+N234*$N$5+O234*$O$5+P234*$P$5)*E234</f>
        <v>383392.16194101796</v>
      </c>
      <c r="U234" s="1767"/>
      <c r="V234" s="2019"/>
    </row>
    <row r="235" spans="1:22" ht="12.75" customHeight="1">
      <c r="A235" s="1716">
        <f>+'01'!A199</f>
        <v>23.03</v>
      </c>
      <c r="B235" s="1716">
        <f>+'01'!B216</f>
        <v>0</v>
      </c>
      <c r="C235" s="1717" t="str">
        <f>+'01'!C199</f>
        <v>Ajuste final de puertas placas, colocación de herrajes y cerraduras - Provisión de herrajes y cerraduras a cargo del comitente</v>
      </c>
      <c r="D235" s="1716" t="str">
        <f>+'01'!D199</f>
        <v>gl</v>
      </c>
      <c r="E235" s="1716">
        <f>+'01'!E199</f>
        <v>1</v>
      </c>
      <c r="F235" s="2011"/>
      <c r="G235" s="2012"/>
      <c r="H235" s="1759">
        <f>+J235/E235</f>
        <v>0</v>
      </c>
      <c r="I235" s="1759">
        <f>+K235/E235</f>
        <v>0</v>
      </c>
      <c r="J235" s="1693">
        <f>SUM(J237:J238)</f>
        <v>0</v>
      </c>
      <c r="K235" s="1693">
        <f>SUM(K237:K238)</f>
        <v>0</v>
      </c>
      <c r="L235" s="2013"/>
      <c r="M235" s="2014"/>
      <c r="N235" s="2015"/>
      <c r="O235" s="2016"/>
      <c r="P235" s="2017"/>
      <c r="Q235" s="1759">
        <f>+U235/E235</f>
        <v>2357500</v>
      </c>
      <c r="R235" s="1759">
        <f>+V235/E235</f>
        <v>0</v>
      </c>
      <c r="S235" s="2018"/>
      <c r="T235" s="2018"/>
      <c r="U235" s="2019">
        <f>SUM(S236:S238)</f>
        <v>2357500</v>
      </c>
      <c r="V235" s="2019">
        <f>SUM(T236:T238)</f>
        <v>0</v>
      </c>
    </row>
    <row r="236" spans="1:22" ht="12.75" customHeight="1" outlineLevel="1">
      <c r="A236" s="1718"/>
      <c r="B236" s="1718"/>
      <c r="C236" s="2020" t="s">
        <v>1929</v>
      </c>
      <c r="D236" s="1719" t="s">
        <v>72</v>
      </c>
      <c r="E236" s="1719">
        <f>+Locales!AZ103</f>
        <v>81</v>
      </c>
      <c r="F236" s="2021"/>
      <c r="G236" s="2022"/>
      <c r="H236" s="1844"/>
      <c r="I236" s="1844"/>
      <c r="J236" s="1890">
        <f>+F236*E236</f>
        <v>0</v>
      </c>
      <c r="K236" s="1890">
        <f t="shared" ref="K236" si="84">+G236*E236</f>
        <v>0</v>
      </c>
      <c r="L236" s="2023">
        <v>7500</v>
      </c>
      <c r="M236" s="2024"/>
      <c r="N236" s="2025"/>
      <c r="O236" s="2026"/>
      <c r="P236" s="2027"/>
      <c r="Q236" s="1844"/>
      <c r="R236" s="1844"/>
      <c r="S236" s="1780">
        <f t="shared" ref="S236" si="85">+L236*E236</f>
        <v>607500</v>
      </c>
      <c r="T236" s="1780">
        <f t="shared" ref="T236" si="86">(+M236*$M$5+N236*$N$5+O236*$O$5+P236*$P$5)*E236</f>
        <v>0</v>
      </c>
      <c r="U236" s="1767"/>
      <c r="V236" s="2019"/>
    </row>
    <row r="237" spans="1:22" ht="12.75" customHeight="1" outlineLevel="1">
      <c r="A237" s="1720"/>
      <c r="B237" s="1721"/>
      <c r="C237" s="2020" t="s">
        <v>1931</v>
      </c>
      <c r="D237" s="1719" t="s">
        <v>72</v>
      </c>
      <c r="E237" s="1719">
        <v>25</v>
      </c>
      <c r="F237" s="1771"/>
      <c r="G237" s="2029"/>
      <c r="H237" s="2030"/>
      <c r="I237" s="2030"/>
      <c r="J237" s="1890">
        <f>+F237*E237</f>
        <v>0</v>
      </c>
      <c r="K237" s="1890">
        <f t="shared" ref="K237:K238" si="87">+G237*E237</f>
        <v>0</v>
      </c>
      <c r="L237" s="2023">
        <v>30000</v>
      </c>
      <c r="M237" s="2031"/>
      <c r="N237" s="2032"/>
      <c r="O237" s="2033"/>
      <c r="P237" s="2034"/>
      <c r="Q237" s="2035"/>
      <c r="R237" s="2035"/>
      <c r="S237" s="1780">
        <f t="shared" ref="S237:S238" si="88">+L237*E237</f>
        <v>750000</v>
      </c>
      <c r="T237" s="1780">
        <f t="shared" ref="T237:T238" si="89">(+M237*$M$5+N237*$N$5+O237*$O$5+P237*$P$5)*E237</f>
        <v>0</v>
      </c>
      <c r="U237" s="2019"/>
      <c r="V237" s="2019"/>
    </row>
    <row r="238" spans="1:22" ht="12.75" customHeight="1" outlineLevel="1">
      <c r="A238" s="1720"/>
      <c r="B238" s="1721"/>
      <c r="C238" s="2020" t="s">
        <v>1930</v>
      </c>
      <c r="D238" s="1719" t="s">
        <v>201</v>
      </c>
      <c r="E238" s="1719">
        <v>5</v>
      </c>
      <c r="F238" s="1771"/>
      <c r="G238" s="2029"/>
      <c r="H238" s="2030"/>
      <c r="I238" s="2030"/>
      <c r="J238" s="1890">
        <f>+F238*E238</f>
        <v>0</v>
      </c>
      <c r="K238" s="1890">
        <f t="shared" si="87"/>
        <v>0</v>
      </c>
      <c r="L238" s="2023">
        <v>200000</v>
      </c>
      <c r="M238" s="2031"/>
      <c r="N238" s="2032"/>
      <c r="O238" s="2033"/>
      <c r="P238" s="2034"/>
      <c r="Q238" s="2035"/>
      <c r="R238" s="2035"/>
      <c r="S238" s="1780">
        <f t="shared" si="88"/>
        <v>1000000</v>
      </c>
      <c r="T238" s="1780">
        <f t="shared" si="89"/>
        <v>0</v>
      </c>
      <c r="U238" s="2019"/>
      <c r="V238" s="2019"/>
    </row>
    <row r="239" spans="1:22" ht="12">
      <c r="A239" s="2003">
        <f>+'01'!A200</f>
        <v>24</v>
      </c>
      <c r="B239" s="2004">
        <f>+'01'!B200</f>
        <v>0</v>
      </c>
      <c r="C239" s="2004" t="str">
        <f>+'01'!C200</f>
        <v>AYUDA DE GREMIOS</v>
      </c>
      <c r="D239" s="1694"/>
      <c r="E239" s="1710"/>
      <c r="F239" s="1752"/>
      <c r="G239" s="1753"/>
      <c r="H239" s="1754"/>
      <c r="I239" s="1754"/>
      <c r="J239" s="1754"/>
      <c r="K239" s="1754"/>
      <c r="L239" s="1754"/>
      <c r="M239" s="1755"/>
      <c r="N239" s="1756"/>
      <c r="O239" s="1752"/>
      <c r="P239" s="1753"/>
      <c r="Q239" s="1754"/>
      <c r="R239" s="1754"/>
      <c r="S239" s="1754"/>
      <c r="T239" s="1908"/>
    </row>
    <row r="240" spans="1:22" ht="12.75" customHeight="1">
      <c r="A240" s="1711">
        <f>+'01'!A204</f>
        <v>24.04</v>
      </c>
      <c r="B240" s="1711" t="str">
        <f>+'01'!B204</f>
        <v>OK</v>
      </c>
      <c r="C240" s="1712" t="str">
        <f>+'01'!C204</f>
        <v>Protecciones y defensas</v>
      </c>
      <c r="D240" s="1711" t="str">
        <f>+'01'!D204</f>
        <v>gl</v>
      </c>
      <c r="E240" s="1711">
        <f>+'01'!E204</f>
        <v>1</v>
      </c>
      <c r="F240" s="1757"/>
      <c r="G240" s="1758"/>
      <c r="H240" s="1759">
        <f>+J240/E240</f>
        <v>4076935.9416666673</v>
      </c>
      <c r="I240" s="1759">
        <f>+K240/E240</f>
        <v>0</v>
      </c>
      <c r="J240" s="1693">
        <f>SUM(J241:J247)</f>
        <v>4076935.9416666673</v>
      </c>
      <c r="K240" s="1693">
        <f>SUM(K241:K247)</f>
        <v>0</v>
      </c>
      <c r="L240" s="1980"/>
      <c r="M240" s="1981"/>
      <c r="N240" s="1982"/>
      <c r="O240" s="1983"/>
      <c r="P240" s="1984"/>
      <c r="Q240" s="1759">
        <f>+U240/E240</f>
        <v>600000</v>
      </c>
      <c r="R240" s="1759">
        <f>+V240/E240</f>
        <v>4999453.4722428042</v>
      </c>
      <c r="S240" s="1980"/>
      <c r="T240" s="1980"/>
      <c r="U240" s="1767">
        <f>+SUM(S241:S247)</f>
        <v>600000</v>
      </c>
      <c r="V240" s="2019">
        <f>SUM(T241:T247)</f>
        <v>4999453.4722428042</v>
      </c>
    </row>
    <row r="241" spans="1:22" ht="12.75" customHeight="1" outlineLevel="1">
      <c r="A241" s="1702"/>
      <c r="B241" s="1703"/>
      <c r="C241" s="2036" t="s">
        <v>294</v>
      </c>
      <c r="D241" s="1719" t="s">
        <v>59</v>
      </c>
      <c r="E241" s="1719">
        <f>+Computo!E94</f>
        <v>140</v>
      </c>
      <c r="F241" s="1771">
        <f>+'ENCOFRADO '!E128</f>
        <v>27437.10666666667</v>
      </c>
      <c r="G241" s="1772"/>
      <c r="H241" s="2030"/>
      <c r="I241" s="2030"/>
      <c r="J241" s="1890">
        <f t="shared" ref="J241:J247" si="90">+F241*E241</f>
        <v>3841194.933333334</v>
      </c>
      <c r="K241" s="1890">
        <f t="shared" ref="K241:K247" si="91">+G241*E241</f>
        <v>0</v>
      </c>
      <c r="L241" s="1864"/>
      <c r="M241" s="1985"/>
      <c r="N241" s="1986"/>
      <c r="O241" s="1987"/>
      <c r="P241" s="1988"/>
      <c r="Q241" s="2035"/>
      <c r="R241" s="2035"/>
      <c r="S241" s="1780">
        <f t="shared" ref="S241:S247" si="92">+L241*E241</f>
        <v>0</v>
      </c>
      <c r="T241" s="1780">
        <f t="shared" ref="T241:T247" si="93">(+M241*$M$5+N241*$N$5+O241*$O$5+P241*$P$5)*E241</f>
        <v>0</v>
      </c>
    </row>
    <row r="242" spans="1:22" ht="12.75" customHeight="1" outlineLevel="1">
      <c r="A242" s="1702"/>
      <c r="B242" s="1703"/>
      <c r="C242" s="2036" t="s">
        <v>295</v>
      </c>
      <c r="D242" s="1719" t="s">
        <v>59</v>
      </c>
      <c r="E242" s="1719">
        <f>+Computo!E101</f>
        <v>130</v>
      </c>
      <c r="F242" s="1771"/>
      <c r="G242" s="1772"/>
      <c r="H242" s="2030"/>
      <c r="I242" s="2030"/>
      <c r="J242" s="1890">
        <f t="shared" si="90"/>
        <v>0</v>
      </c>
      <c r="K242" s="1890">
        <f t="shared" si="91"/>
        <v>0</v>
      </c>
      <c r="L242" s="1864"/>
      <c r="M242" s="1985"/>
      <c r="N242" s="1986"/>
      <c r="O242" s="1987"/>
      <c r="P242" s="1988"/>
      <c r="Q242" s="2035"/>
      <c r="R242" s="2035"/>
      <c r="S242" s="1780">
        <f t="shared" si="92"/>
        <v>0</v>
      </c>
      <c r="T242" s="1780">
        <f t="shared" si="93"/>
        <v>0</v>
      </c>
    </row>
    <row r="243" spans="1:22" ht="12.75" customHeight="1" outlineLevel="1">
      <c r="A243" s="1702"/>
      <c r="B243" s="1703"/>
      <c r="C243" s="2036" t="s">
        <v>296</v>
      </c>
      <c r="D243" s="1719" t="s">
        <v>72</v>
      </c>
      <c r="E243" s="1719">
        <f>+ROUNDUP(E242*3/3.6,0)</f>
        <v>109</v>
      </c>
      <c r="F243" s="2037">
        <f>VLOOKUP(C243,Cotizaciones!B:D,3,0)/2</f>
        <v>1109.3689999999999</v>
      </c>
      <c r="G243" s="1772"/>
      <c r="H243" s="2030"/>
      <c r="I243" s="2030"/>
      <c r="J243" s="1890">
        <f t="shared" si="90"/>
        <v>120921.22099999999</v>
      </c>
      <c r="K243" s="1890">
        <f t="shared" si="91"/>
        <v>0</v>
      </c>
      <c r="L243" s="1864"/>
      <c r="M243" s="1985"/>
      <c r="N243" s="1986"/>
      <c r="O243" s="1987"/>
      <c r="P243" s="1988"/>
      <c r="Q243" s="2035"/>
      <c r="R243" s="2035"/>
      <c r="S243" s="1780">
        <f t="shared" si="92"/>
        <v>0</v>
      </c>
      <c r="T243" s="1780">
        <f t="shared" si="93"/>
        <v>0</v>
      </c>
    </row>
    <row r="244" spans="1:22" ht="12.75" customHeight="1" outlineLevel="1">
      <c r="A244" s="1702"/>
      <c r="B244" s="1703"/>
      <c r="C244" s="2036" t="s">
        <v>297</v>
      </c>
      <c r="D244" s="1719" t="s">
        <v>72</v>
      </c>
      <c r="E244" s="1719">
        <f>+ROUNDUP(E242/3*1.05,0)</f>
        <v>46</v>
      </c>
      <c r="F244" s="2037">
        <f>VLOOKUP(C244,Cotizaciones!B:D,3,0)/2</f>
        <v>2496.0823333333333</v>
      </c>
      <c r="G244" s="1772"/>
      <c r="H244" s="2030"/>
      <c r="I244" s="2030"/>
      <c r="J244" s="1890">
        <f t="shared" si="90"/>
        <v>114819.78733333333</v>
      </c>
      <c r="K244" s="1890">
        <f t="shared" si="91"/>
        <v>0</v>
      </c>
      <c r="L244" s="1864"/>
      <c r="M244" s="1985"/>
      <c r="N244" s="1986"/>
      <c r="O244" s="1987"/>
      <c r="P244" s="1988"/>
      <c r="Q244" s="2035"/>
      <c r="R244" s="2035"/>
      <c r="S244" s="1780">
        <f t="shared" si="92"/>
        <v>0</v>
      </c>
      <c r="T244" s="1780">
        <f t="shared" si="93"/>
        <v>0</v>
      </c>
    </row>
    <row r="245" spans="1:22" ht="12.75" customHeight="1" outlineLevel="1">
      <c r="A245" s="1702"/>
      <c r="B245" s="1703"/>
      <c r="C245" s="2036" t="s">
        <v>1835</v>
      </c>
      <c r="D245" s="1719" t="s">
        <v>72</v>
      </c>
      <c r="E245" s="1719">
        <v>2</v>
      </c>
      <c r="F245" s="1862"/>
      <c r="G245" s="1772"/>
      <c r="H245" s="2030"/>
      <c r="I245" s="2030"/>
      <c r="J245" s="1890">
        <f t="shared" ref="J245:J246" si="94">+F245*E245</f>
        <v>0</v>
      </c>
      <c r="K245" s="1890">
        <f t="shared" ref="K245:K246" si="95">+G245*E245</f>
        <v>0</v>
      </c>
      <c r="L245" s="1997">
        <v>300000</v>
      </c>
      <c r="M245" s="1985"/>
      <c r="N245" s="1986"/>
      <c r="O245" s="1987"/>
      <c r="P245" s="1988"/>
      <c r="Q245" s="2035"/>
      <c r="R245" s="2035"/>
      <c r="S245" s="1780">
        <f t="shared" ref="S245" si="96">+L245*E245</f>
        <v>600000</v>
      </c>
      <c r="T245" s="1780">
        <f t="shared" ref="T245" si="97">(+M245*$M$5+N245*$N$5+O245*$O$5+P245*$P$5)*E245</f>
        <v>0</v>
      </c>
    </row>
    <row r="246" spans="1:22" ht="12.75" customHeight="1" outlineLevel="1">
      <c r="A246" s="1702"/>
      <c r="B246" s="1703"/>
      <c r="C246" s="2036" t="s">
        <v>298</v>
      </c>
      <c r="D246" s="1719" t="s">
        <v>201</v>
      </c>
      <c r="E246" s="1719">
        <f>2*Computo!D94</f>
        <v>16</v>
      </c>
      <c r="F246" s="1771"/>
      <c r="G246" s="1772"/>
      <c r="H246" s="2030"/>
      <c r="I246" s="2030"/>
      <c r="J246" s="1890">
        <f t="shared" si="94"/>
        <v>0</v>
      </c>
      <c r="K246" s="1890">
        <f t="shared" si="95"/>
        <v>0</v>
      </c>
      <c r="L246" s="1864"/>
      <c r="M246" s="1985">
        <v>1</v>
      </c>
      <c r="N246" s="1986">
        <v>1</v>
      </c>
      <c r="O246" s="1987"/>
      <c r="P246" s="1988">
        <v>1</v>
      </c>
      <c r="Q246" s="2035"/>
      <c r="R246" s="2035"/>
      <c r="S246" s="1780">
        <f t="shared" si="92"/>
        <v>0</v>
      </c>
      <c r="T246" s="1780">
        <f t="shared" si="93"/>
        <v>3936482.3912539659</v>
      </c>
    </row>
    <row r="247" spans="1:22" ht="12.75" customHeight="1" outlineLevel="1">
      <c r="A247" s="1706"/>
      <c r="B247" s="1697"/>
      <c r="C247" s="2038" t="s">
        <v>299</v>
      </c>
      <c r="D247" s="1722" t="s">
        <v>201</v>
      </c>
      <c r="E247" s="1722">
        <v>7</v>
      </c>
      <c r="F247" s="1791"/>
      <c r="G247" s="1792"/>
      <c r="H247" s="2039"/>
      <c r="I247" s="2039"/>
      <c r="J247" s="2040">
        <f t="shared" si="90"/>
        <v>0</v>
      </c>
      <c r="K247" s="2040">
        <f t="shared" si="91"/>
        <v>0</v>
      </c>
      <c r="L247" s="1795"/>
      <c r="M247" s="1796"/>
      <c r="N247" s="1797">
        <v>1</v>
      </c>
      <c r="O247" s="1798"/>
      <c r="P247" s="1799">
        <v>1</v>
      </c>
      <c r="Q247" s="2041"/>
      <c r="R247" s="2041"/>
      <c r="S247" s="1801">
        <f t="shared" si="92"/>
        <v>0</v>
      </c>
      <c r="T247" s="1801">
        <f t="shared" si="93"/>
        <v>1062971.0809888381</v>
      </c>
    </row>
    <row r="248" spans="1:22" ht="12.75" customHeight="1">
      <c r="A248" s="1711">
        <f>+'01'!A205</f>
        <v>24.05</v>
      </c>
      <c r="B248" s="1711" t="str">
        <f>+'01'!B205</f>
        <v>OK</v>
      </c>
      <c r="C248" s="1712" t="str">
        <f>+'01'!C205</f>
        <v>Ayuda de gremios</v>
      </c>
      <c r="D248" s="1711" t="str">
        <f>+'01'!D205</f>
        <v>mes</v>
      </c>
      <c r="E248" s="1711">
        <f>+'01'!E205</f>
        <v>19</v>
      </c>
      <c r="F248" s="1757"/>
      <c r="G248" s="1758"/>
      <c r="H248" s="1759">
        <f>+J248/E248</f>
        <v>0</v>
      </c>
      <c r="I248" s="1759">
        <f>+K248/E248</f>
        <v>50000</v>
      </c>
      <c r="J248" s="1693">
        <f>SUM(J249:J251)</f>
        <v>0</v>
      </c>
      <c r="K248" s="1693">
        <f>SUM(K249:K251)</f>
        <v>950000</v>
      </c>
      <c r="L248" s="1980"/>
      <c r="M248" s="1981"/>
      <c r="N248" s="1982"/>
      <c r="O248" s="1983"/>
      <c r="P248" s="1984"/>
      <c r="Q248" s="1759">
        <f>+U248/E248</f>
        <v>0</v>
      </c>
      <c r="R248" s="1759">
        <f>+V248/E248</f>
        <v>657280.53129030496</v>
      </c>
      <c r="S248" s="1824"/>
      <c r="T248" s="1824"/>
      <c r="U248" s="2019">
        <f>SUM(S249:S251)</f>
        <v>0</v>
      </c>
      <c r="V248" s="2019">
        <f>SUM(T249:T251)</f>
        <v>12488330.094515795</v>
      </c>
    </row>
    <row r="249" spans="1:22" ht="12.75" customHeight="1" outlineLevel="1">
      <c r="A249" s="1702"/>
      <c r="B249" s="1703"/>
      <c r="C249" s="2036" t="s">
        <v>300</v>
      </c>
      <c r="D249" s="1719" t="s">
        <v>61</v>
      </c>
      <c r="E249" s="1719">
        <f>+E248</f>
        <v>19</v>
      </c>
      <c r="F249" s="1771"/>
      <c r="G249" s="1772">
        <v>50000</v>
      </c>
      <c r="H249" s="2030"/>
      <c r="I249" s="2030"/>
      <c r="J249" s="1890">
        <f>+F249*E249</f>
        <v>0</v>
      </c>
      <c r="K249" s="1890">
        <f>+G249*E249</f>
        <v>950000</v>
      </c>
      <c r="L249" s="1864"/>
      <c r="M249" s="1985"/>
      <c r="N249" s="1986"/>
      <c r="O249" s="1987"/>
      <c r="P249" s="1988"/>
      <c r="Q249" s="2035"/>
      <c r="R249" s="2035"/>
      <c r="S249" s="1780">
        <f>+L249*E249</f>
        <v>0</v>
      </c>
      <c r="T249" s="1780">
        <f>(+M249*$M$5+N249*$N$5+O249*$O$5+P249*$P$5)*E249</f>
        <v>0</v>
      </c>
    </row>
    <row r="250" spans="1:22" ht="12.75" customHeight="1" outlineLevel="1">
      <c r="A250" s="1702"/>
      <c r="B250" s="1703"/>
      <c r="C250" s="2036" t="s">
        <v>301</v>
      </c>
      <c r="D250" s="1719" t="s">
        <v>201</v>
      </c>
      <c r="E250" s="1719">
        <f>+E248*3</f>
        <v>57</v>
      </c>
      <c r="F250" s="1771"/>
      <c r="G250" s="1772"/>
      <c r="H250" s="2030"/>
      <c r="I250" s="2030"/>
      <c r="J250" s="1890">
        <f>+F250*E250</f>
        <v>0</v>
      </c>
      <c r="K250" s="1890">
        <f>+G250*E250</f>
        <v>0</v>
      </c>
      <c r="L250" s="1864"/>
      <c r="M250" s="1985"/>
      <c r="N250" s="1986">
        <v>1</v>
      </c>
      <c r="O250" s="1987"/>
      <c r="P250" s="1988">
        <v>1</v>
      </c>
      <c r="Q250" s="2035"/>
      <c r="R250" s="2035"/>
      <c r="S250" s="1780">
        <f>+L250*E250</f>
        <v>0</v>
      </c>
      <c r="T250" s="1780">
        <f>(+M250*$M$5+N250*$N$5+O250*$O$5+P250*$P$5)*E250</f>
        <v>8655621.6594805401</v>
      </c>
    </row>
    <row r="251" spans="1:22" ht="12.75" customHeight="1" outlineLevel="1">
      <c r="A251" s="1706"/>
      <c r="B251" s="1697"/>
      <c r="C251" s="2038" t="s">
        <v>302</v>
      </c>
      <c r="D251" s="1722" t="s">
        <v>201</v>
      </c>
      <c r="E251" s="1722">
        <f>+E248*3</f>
        <v>57</v>
      </c>
      <c r="F251" s="1791"/>
      <c r="G251" s="1792"/>
      <c r="H251" s="2039"/>
      <c r="I251" s="2039"/>
      <c r="J251" s="2040">
        <f>+F251*E251</f>
        <v>0</v>
      </c>
      <c r="K251" s="2040">
        <f>+G251*E251</f>
        <v>0</v>
      </c>
      <c r="L251" s="1795"/>
      <c r="M251" s="1796"/>
      <c r="N251" s="1797"/>
      <c r="O251" s="1798"/>
      <c r="P251" s="1799">
        <v>1</v>
      </c>
      <c r="Q251" s="2041"/>
      <c r="R251" s="2041"/>
      <c r="S251" s="1801">
        <f>+L251*E251</f>
        <v>0</v>
      </c>
      <c r="T251" s="1801">
        <f>(+M251*$M$5+N251*$N$5+O251*$O$5+P251*$P$5)*E251</f>
        <v>3832708.4350352543</v>
      </c>
    </row>
    <row r="252" spans="1:22" ht="12.75" customHeight="1">
      <c r="A252" s="1711">
        <f>+'01'!A206</f>
        <v>24.06</v>
      </c>
      <c r="B252" s="1711" t="str">
        <f>+'01'!B206</f>
        <v>OK</v>
      </c>
      <c r="C252" s="1712" t="str">
        <f>+'01'!C206</f>
        <v xml:space="preserve">Limpieza periódica </v>
      </c>
      <c r="D252" s="1711" t="str">
        <f>+'01'!D206</f>
        <v>mes</v>
      </c>
      <c r="E252" s="1711">
        <f>+'01'!E206</f>
        <v>19</v>
      </c>
      <c r="F252" s="1757"/>
      <c r="G252" s="1758"/>
      <c r="H252" s="1759">
        <f>+J252/E252</f>
        <v>0</v>
      </c>
      <c r="I252" s="1759">
        <f>+K252/E252</f>
        <v>50000</v>
      </c>
      <c r="J252" s="1693">
        <f>SUM(J253:J254)</f>
        <v>0</v>
      </c>
      <c r="K252" s="1693">
        <f>SUM(K253:K254)</f>
        <v>950000</v>
      </c>
      <c r="L252" s="1980"/>
      <c r="M252" s="1981"/>
      <c r="N252" s="1982"/>
      <c r="O252" s="1983"/>
      <c r="P252" s="1984"/>
      <c r="Q252" s="1759">
        <f>+U252/E252</f>
        <v>0</v>
      </c>
      <c r="R252" s="1759">
        <f>+V252/E252</f>
        <v>591716.38997035509</v>
      </c>
      <c r="S252" s="1824"/>
      <c r="T252" s="1824"/>
      <c r="U252" s="2019">
        <f>SUM(S253:S254)</f>
        <v>0</v>
      </c>
      <c r="V252" s="2019">
        <f>SUM(T253:T254)</f>
        <v>11242611.409436746</v>
      </c>
    </row>
    <row r="253" spans="1:22" ht="12.75" customHeight="1" outlineLevel="1">
      <c r="A253" s="1702"/>
      <c r="B253" s="1703"/>
      <c r="C253" s="2036" t="s">
        <v>300</v>
      </c>
      <c r="D253" s="1719" t="s">
        <v>61</v>
      </c>
      <c r="E253" s="1719">
        <f>+E252</f>
        <v>19</v>
      </c>
      <c r="F253" s="1771"/>
      <c r="G253" s="1772">
        <v>50000</v>
      </c>
      <c r="H253" s="2030"/>
      <c r="I253" s="2030"/>
      <c r="J253" s="1890">
        <f>+F253*E253</f>
        <v>0</v>
      </c>
      <c r="K253" s="1890">
        <f>+G253*E253</f>
        <v>950000</v>
      </c>
      <c r="L253" s="1864"/>
      <c r="M253" s="1985"/>
      <c r="N253" s="1986"/>
      <c r="O253" s="1987"/>
      <c r="P253" s="1988"/>
      <c r="Q253" s="2035"/>
      <c r="R253" s="2035"/>
      <c r="S253" s="1780">
        <f>+L253*E253</f>
        <v>0</v>
      </c>
      <c r="T253" s="1780">
        <f>(+M253*$M$5+N253*$N$5+O253*$O$5+P253*$P$5)*E253</f>
        <v>0</v>
      </c>
    </row>
    <row r="254" spans="1:22" ht="12.75" customHeight="1" outlineLevel="1">
      <c r="A254" s="1706"/>
      <c r="B254" s="1697"/>
      <c r="C254" s="2038" t="s">
        <v>213</v>
      </c>
      <c r="D254" s="1722" t="s">
        <v>201</v>
      </c>
      <c r="E254" s="1722">
        <f>+E252*22</f>
        <v>418</v>
      </c>
      <c r="F254" s="1791"/>
      <c r="G254" s="1792"/>
      <c r="H254" s="2039"/>
      <c r="I254" s="2039"/>
      <c r="J254" s="2040">
        <f>+F254*E254</f>
        <v>0</v>
      </c>
      <c r="K254" s="2040">
        <f>+G254*E254</f>
        <v>0</v>
      </c>
      <c r="L254" s="1795"/>
      <c r="M254" s="1796"/>
      <c r="N254" s="1797"/>
      <c r="O254" s="1798"/>
      <c r="P254" s="1799">
        <v>0.4</v>
      </c>
      <c r="Q254" s="2041"/>
      <c r="R254" s="2041"/>
      <c r="S254" s="1801">
        <f>+L254*E254</f>
        <v>0</v>
      </c>
      <c r="T254" s="1801">
        <f>(+M254*$M$5+N254*$N$5+O254*$O$5+P254*$P$5)*E254</f>
        <v>11242611.409436746</v>
      </c>
    </row>
    <row r="255" spans="1:22" ht="12.75" customHeight="1">
      <c r="A255" s="1711">
        <f>+'01'!A207</f>
        <v>24.07</v>
      </c>
      <c r="B255" s="1711" t="str">
        <f>+'01'!B207</f>
        <v>OK</v>
      </c>
      <c r="C255" s="1712" t="str">
        <f>+'01'!C207</f>
        <v>Limpieza final de Obra</v>
      </c>
      <c r="D255" s="1711" t="str">
        <f>+'01'!D207</f>
        <v>gl</v>
      </c>
      <c r="E255" s="1711">
        <f>+'01'!E207</f>
        <v>1</v>
      </c>
      <c r="F255" s="1757"/>
      <c r="G255" s="1758"/>
      <c r="H255" s="1759">
        <f>+J255/E255</f>
        <v>500000</v>
      </c>
      <c r="I255" s="1759">
        <f>+K255/E255</f>
        <v>0</v>
      </c>
      <c r="J255" s="1693">
        <f>SUM(J256:J257)</f>
        <v>500000</v>
      </c>
      <c r="K255" s="1693">
        <f>SUM(K256:K257)</f>
        <v>0</v>
      </c>
      <c r="L255" s="1980"/>
      <c r="M255" s="1981"/>
      <c r="N255" s="1982"/>
      <c r="O255" s="1983"/>
      <c r="P255" s="1984"/>
      <c r="Q255" s="1759">
        <f>+U255/E255</f>
        <v>0</v>
      </c>
      <c r="R255" s="1759">
        <f>+V255/E255</f>
        <v>4034429.9316160567</v>
      </c>
      <c r="S255" s="1824"/>
      <c r="T255" s="1824"/>
      <c r="U255" s="2019">
        <f>SUM(S256:S257)</f>
        <v>0</v>
      </c>
      <c r="V255" s="2019">
        <f>SUM(T256:T257)</f>
        <v>4034429.9316160567</v>
      </c>
    </row>
    <row r="256" spans="1:22" ht="12.75" customHeight="1" outlineLevel="1">
      <c r="A256" s="1702"/>
      <c r="B256" s="1703"/>
      <c r="C256" s="2036" t="s">
        <v>284</v>
      </c>
      <c r="D256" s="1719" t="s">
        <v>54</v>
      </c>
      <c r="E256" s="1719">
        <v>1</v>
      </c>
      <c r="F256" s="1771">
        <v>500000</v>
      </c>
      <c r="G256" s="1772"/>
      <c r="H256" s="2030"/>
      <c r="I256" s="2030"/>
      <c r="J256" s="1890">
        <f>+F256*E256</f>
        <v>500000</v>
      </c>
      <c r="K256" s="1890">
        <f>+G256*E256</f>
        <v>0</v>
      </c>
      <c r="L256" s="1864"/>
      <c r="M256" s="1985"/>
      <c r="N256" s="1986"/>
      <c r="O256" s="1987"/>
      <c r="P256" s="1988"/>
      <c r="Q256" s="2035"/>
      <c r="R256" s="2035"/>
      <c r="S256" s="1780">
        <f>+L256*E256</f>
        <v>0</v>
      </c>
      <c r="T256" s="1780">
        <f>(+M256*$M$5+N256*$N$5+O256*$O$5+P256*$P$5)*E256</f>
        <v>0</v>
      </c>
    </row>
    <row r="257" spans="1:22" ht="12.75" customHeight="1" outlineLevel="1">
      <c r="A257" s="1706"/>
      <c r="B257" s="1697"/>
      <c r="C257" s="2038" t="s">
        <v>213</v>
      </c>
      <c r="D257" s="1722" t="s">
        <v>201</v>
      </c>
      <c r="E257" s="1722">
        <v>20</v>
      </c>
      <c r="F257" s="1791"/>
      <c r="G257" s="1792"/>
      <c r="H257" s="2039"/>
      <c r="I257" s="2039"/>
      <c r="J257" s="2040">
        <f>+F257*E257</f>
        <v>0</v>
      </c>
      <c r="K257" s="2040">
        <f>+G257*E257</f>
        <v>0</v>
      </c>
      <c r="L257" s="1795"/>
      <c r="M257" s="1796"/>
      <c r="N257" s="1797"/>
      <c r="O257" s="1798"/>
      <c r="P257" s="1799">
        <v>3</v>
      </c>
      <c r="Q257" s="2041"/>
      <c r="R257" s="2041"/>
      <c r="S257" s="1801">
        <f>+L257*E257</f>
        <v>0</v>
      </c>
      <c r="T257" s="1801">
        <f>(+M257*$M$5+N257*$N$5+O257*$O$5+P257*$P$5)*E257</f>
        <v>4034429.9316160567</v>
      </c>
    </row>
    <row r="258" spans="1:22" ht="12.75" customHeight="1">
      <c r="A258" s="1711">
        <f>+'01'!A209</f>
        <v>24.09</v>
      </c>
      <c r="B258" s="1711" t="str">
        <f>+'01'!B209</f>
        <v>OK</v>
      </c>
      <c r="C258" s="1723" t="str">
        <f>+'01'!C209</f>
        <v>Volquetes</v>
      </c>
      <c r="D258" s="1711" t="str">
        <f>+'01'!D209</f>
        <v>mes</v>
      </c>
      <c r="E258" s="1711">
        <f>+'01'!E209</f>
        <v>19</v>
      </c>
      <c r="F258" s="1757"/>
      <c r="G258" s="1758"/>
      <c r="H258" s="1759">
        <f>+J258/E258</f>
        <v>200000</v>
      </c>
      <c r="I258" s="1759">
        <f>+K258/E258</f>
        <v>0</v>
      </c>
      <c r="J258" s="1693">
        <f>SUM(J259:J261)</f>
        <v>3800000</v>
      </c>
      <c r="K258" s="1693">
        <f>SUM(K259:K261)</f>
        <v>0</v>
      </c>
      <c r="L258" s="1980"/>
      <c r="M258" s="1981"/>
      <c r="N258" s="1982"/>
      <c r="O258" s="1983"/>
      <c r="P258" s="1984"/>
      <c r="Q258" s="1759">
        <f>+U258/E258</f>
        <v>0</v>
      </c>
      <c r="R258" s="1759">
        <f>+V258/E258</f>
        <v>67240.498860267617</v>
      </c>
      <c r="S258" s="1980"/>
      <c r="T258" s="1980"/>
      <c r="U258" s="1767">
        <f>+SUM(S259:S259)</f>
        <v>0</v>
      </c>
      <c r="V258" s="2019">
        <f>SUM(T259:T259)</f>
        <v>1277569.4783450847</v>
      </c>
    </row>
    <row r="259" spans="1:22" ht="12.75" customHeight="1" outlineLevel="1">
      <c r="A259" s="1706"/>
      <c r="B259" s="1697"/>
      <c r="C259" s="2038" t="s">
        <v>303</v>
      </c>
      <c r="D259" s="1722" t="s">
        <v>72</v>
      </c>
      <c r="E259" s="1722">
        <f>+E258*2</f>
        <v>38</v>
      </c>
      <c r="F259" s="1791">
        <v>100000</v>
      </c>
      <c r="G259" s="1792"/>
      <c r="H259" s="2039"/>
      <c r="I259" s="2039"/>
      <c r="J259" s="2040">
        <f>+F259*E259</f>
        <v>3800000</v>
      </c>
      <c r="K259" s="2040">
        <f>+G259*E259</f>
        <v>0</v>
      </c>
      <c r="L259" s="1795"/>
      <c r="M259" s="1796"/>
      <c r="N259" s="1797"/>
      <c r="O259" s="1798"/>
      <c r="P259" s="1799">
        <v>0.5</v>
      </c>
      <c r="Q259" s="2041"/>
      <c r="R259" s="2041"/>
      <c r="S259" s="1801">
        <f>+L259*E259</f>
        <v>0</v>
      </c>
      <c r="T259" s="1801">
        <f>(+M259*$M$5+N259*$N$5+O259*$O$5+P259*$P$5)*E259</f>
        <v>1277569.4783450847</v>
      </c>
    </row>
  </sheetData>
  <mergeCells count="6">
    <mergeCell ref="H5:I5"/>
    <mergeCell ref="J5:K5"/>
    <mergeCell ref="Q5:R5"/>
    <mergeCell ref="S5:T5"/>
    <mergeCell ref="H4:K4"/>
    <mergeCell ref="Q4:T4"/>
  </mergeCells>
  <conditionalFormatting sqref="D3:D6 D146">
    <cfRule type="cellIs" dxfId="8" priority="35" operator="equal">
      <formula>"x"</formula>
    </cfRule>
  </conditionalFormatting>
  <conditionalFormatting sqref="D122">
    <cfRule type="cellIs" dxfId="7" priority="7" operator="equal">
      <formula>"x"</formula>
    </cfRule>
  </conditionalFormatting>
  <conditionalFormatting sqref="D132">
    <cfRule type="cellIs" dxfId="6" priority="2" operator="equal">
      <formula>"x"</formula>
    </cfRule>
  </conditionalFormatting>
  <conditionalFormatting sqref="D181">
    <cfRule type="cellIs" dxfId="5" priority="17" operator="equal">
      <formula>"x"</formula>
    </cfRule>
  </conditionalFormatting>
  <conditionalFormatting sqref="D199">
    <cfRule type="cellIs" dxfId="4" priority="4" operator="equal">
      <formula>"x"</formula>
    </cfRule>
  </conditionalFormatting>
  <pageMargins left="0.45" right="0.25" top="0.63" bottom="0.55118110236220474" header="0.31496062992125984" footer="0.31496062992125984"/>
  <pageSetup paperSize="9" fitToHeight="8" orientation="landscape" r:id="rId1"/>
  <headerFooter>
    <oddFooter>&amp;C&amp;P de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CCC"/>
  </sheetPr>
  <dimension ref="A2:S95"/>
  <sheetViews>
    <sheetView workbookViewId="0">
      <selection activeCell="H19" sqref="H19"/>
    </sheetView>
  </sheetViews>
  <sheetFormatPr defaultColWidth="10.7265625" defaultRowHeight="14.5"/>
  <cols>
    <col min="1" max="1" width="4.1796875" style="55" bestFit="1" customWidth="1"/>
    <col min="2" max="2" width="43.26953125" style="292" bestFit="1" customWidth="1"/>
    <col min="3" max="3" width="4.54296875" style="55" bestFit="1" customWidth="1"/>
    <col min="4" max="4" width="6.26953125" style="53" bestFit="1" customWidth="1"/>
    <col min="5" max="5" width="5.54296875" style="53" bestFit="1" customWidth="1"/>
    <col min="6" max="6" width="13.453125" style="245" bestFit="1" customWidth="1"/>
    <col min="7" max="7" width="16.26953125" style="53" customWidth="1"/>
    <col min="8" max="8" width="14.7265625" style="53" customWidth="1"/>
    <col min="9" max="9" width="13.453125" style="53" bestFit="1" customWidth="1"/>
    <col min="10" max="10" width="15.81640625" style="79" bestFit="1" customWidth="1"/>
    <col min="11" max="11" width="16.7265625" style="79" bestFit="1" customWidth="1"/>
    <col min="12" max="12" width="14.7265625" style="53" customWidth="1"/>
    <col min="13" max="13" width="21.7265625" style="814" bestFit="1" customWidth="1"/>
    <col min="14" max="14" width="7" style="814" bestFit="1" customWidth="1"/>
    <col min="15" max="15" width="9.1796875" style="814" bestFit="1" customWidth="1"/>
    <col min="16" max="16" width="17.26953125" style="814" bestFit="1" customWidth="1"/>
    <col min="17" max="17" width="14.453125" style="814" bestFit="1" customWidth="1"/>
    <col min="18" max="18" width="27.54296875" style="55" bestFit="1" customWidth="1"/>
    <col min="19" max="19" width="14.81640625" style="55" bestFit="1" customWidth="1"/>
    <col min="20" max="16384" width="10.7265625" style="55"/>
  </cols>
  <sheetData>
    <row r="2" spans="1:19" s="5" customFormat="1" ht="13">
      <c r="A2" s="4"/>
      <c r="B2" s="290"/>
      <c r="C2" s="6"/>
      <c r="D2" s="43"/>
      <c r="E2" s="43"/>
      <c r="F2" s="247"/>
      <c r="G2" s="45"/>
      <c r="H2" s="46">
        <v>45846</v>
      </c>
      <c r="I2" s="44"/>
      <c r="J2" s="45"/>
      <c r="K2" s="45"/>
      <c r="M2" s="44"/>
      <c r="N2" s="49"/>
      <c r="O2" s="49">
        <v>24</v>
      </c>
      <c r="P2" s="49"/>
      <c r="Q2" s="45"/>
      <c r="R2" s="47"/>
      <c r="S2" s="48"/>
    </row>
    <row r="3" spans="1:19" s="5" customFormat="1" ht="15" customHeight="1">
      <c r="A3" s="4"/>
      <c r="B3" s="291"/>
      <c r="C3" s="6"/>
      <c r="D3" s="43"/>
      <c r="E3" s="43"/>
      <c r="F3" s="333" t="s">
        <v>304</v>
      </c>
      <c r="G3" s="197" t="s">
        <v>30</v>
      </c>
      <c r="H3" s="197" t="s">
        <v>1</v>
      </c>
      <c r="I3" s="49"/>
      <c r="J3" s="49"/>
      <c r="K3" s="49"/>
      <c r="M3" s="197" t="s">
        <v>305</v>
      </c>
      <c r="N3" s="198" t="s">
        <v>306</v>
      </c>
      <c r="O3" s="198" t="s">
        <v>307</v>
      </c>
      <c r="Q3" s="45"/>
      <c r="R3" s="44"/>
      <c r="S3" s="50"/>
    </row>
    <row r="4" spans="1:19" s="5" customFormat="1" ht="15" customHeight="1">
      <c r="A4" s="4"/>
      <c r="B4" s="291" t="s">
        <v>308</v>
      </c>
      <c r="C4" s="6"/>
      <c r="D4" s="43"/>
      <c r="E4" s="43"/>
      <c r="F4" s="421">
        <f>+ROUNDUP(N21,0)</f>
        <v>19</v>
      </c>
      <c r="G4" s="186">
        <v>1280</v>
      </c>
      <c r="H4" s="186">
        <v>1276</v>
      </c>
      <c r="I4" s="126"/>
      <c r="J4" s="126"/>
      <c r="K4" s="51"/>
      <c r="M4" s="471" t="s">
        <v>309</v>
      </c>
      <c r="N4" s="449">
        <v>0.5</v>
      </c>
      <c r="O4" s="449">
        <f>+N4*$O$2</f>
        <v>12</v>
      </c>
      <c r="P4" s="814"/>
      <c r="Q4" s="850" t="s">
        <v>310</v>
      </c>
      <c r="R4" s="51"/>
      <c r="S4" s="52"/>
    </row>
    <row r="5" spans="1:19">
      <c r="M5" s="754" t="s">
        <v>1982</v>
      </c>
      <c r="N5" s="452">
        <v>2</v>
      </c>
      <c r="O5" s="452">
        <f>+N5*$O$2</f>
        <v>48</v>
      </c>
      <c r="P5" s="53"/>
      <c r="Q5" s="851">
        <f>+ROUNDUP(SUM(N6),0)</f>
        <v>1</v>
      </c>
    </row>
    <row r="6" spans="1:19" s="53" customFormat="1">
      <c r="B6" s="427" t="s">
        <v>311</v>
      </c>
      <c r="C6" s="1192" t="s">
        <v>523</v>
      </c>
      <c r="D6" s="1193" t="s">
        <v>1953</v>
      </c>
      <c r="E6" s="1193" t="s">
        <v>43</v>
      </c>
      <c r="F6" s="400" t="s">
        <v>312</v>
      </c>
      <c r="G6" s="400" t="s">
        <v>17</v>
      </c>
      <c r="H6" s="1191">
        <f>SUM(G7:G10)</f>
        <v>3040000</v>
      </c>
      <c r="I6" s="54"/>
      <c r="J6" s="54"/>
      <c r="K6" s="30"/>
      <c r="M6" s="813" t="s">
        <v>1987</v>
      </c>
      <c r="N6" s="452">
        <v>1</v>
      </c>
      <c r="O6" s="452">
        <f t="shared" ref="O6:O12" si="0">+N6*$O$2</f>
        <v>24</v>
      </c>
      <c r="Q6" s="847"/>
    </row>
    <row r="7" spans="1:19" s="53" customFormat="1">
      <c r="B7" s="293" t="s">
        <v>313</v>
      </c>
      <c r="C7" s="56" t="s">
        <v>61</v>
      </c>
      <c r="D7" s="57">
        <f>+$F$4</f>
        <v>19</v>
      </c>
      <c r="E7" s="57">
        <v>0</v>
      </c>
      <c r="F7" s="253">
        <f>E7*I7+J7</f>
        <v>0</v>
      </c>
      <c r="G7" s="422">
        <f>+F7*D7*E7</f>
        <v>0</v>
      </c>
      <c r="H7" s="54"/>
      <c r="I7" s="59"/>
      <c r="J7" s="54"/>
      <c r="K7" s="30"/>
      <c r="M7" s="621" t="s">
        <v>314</v>
      </c>
      <c r="N7" s="452">
        <v>1</v>
      </c>
      <c r="O7" s="452">
        <f t="shared" si="0"/>
        <v>24</v>
      </c>
      <c r="Q7" s="847"/>
    </row>
    <row r="8" spans="1:19" s="53" customFormat="1">
      <c r="B8" s="294" t="s">
        <v>315</v>
      </c>
      <c r="C8" s="60" t="s">
        <v>61</v>
      </c>
      <c r="D8" s="57">
        <f>+$F$4</f>
        <v>19</v>
      </c>
      <c r="E8" s="58">
        <v>0</v>
      </c>
      <c r="F8" s="253">
        <f>E8*I8+J8</f>
        <v>0</v>
      </c>
      <c r="G8" s="422">
        <f t="shared" ref="G8:G19" si="1">+F8*D8*E8</f>
        <v>0</v>
      </c>
      <c r="H8" s="54"/>
      <c r="I8" s="59"/>
      <c r="J8" s="54"/>
      <c r="M8" s="621" t="s">
        <v>316</v>
      </c>
      <c r="N8" s="452">
        <v>0.75</v>
      </c>
      <c r="O8" s="452">
        <f t="shared" si="0"/>
        <v>18</v>
      </c>
      <c r="Q8" s="847"/>
    </row>
    <row r="9" spans="1:19" s="53" customFormat="1">
      <c r="B9" s="294" t="s">
        <v>317</v>
      </c>
      <c r="C9" s="60" t="s">
        <v>61</v>
      </c>
      <c r="D9" s="57">
        <f>+$F$4</f>
        <v>19</v>
      </c>
      <c r="E9" s="58">
        <v>0</v>
      </c>
      <c r="F9" s="253">
        <v>180000</v>
      </c>
      <c r="G9" s="422">
        <f t="shared" si="1"/>
        <v>0</v>
      </c>
      <c r="H9" s="54"/>
      <c r="I9" s="54"/>
      <c r="J9" s="54"/>
      <c r="M9" s="621" t="s">
        <v>318</v>
      </c>
      <c r="N9" s="452">
        <v>0.75</v>
      </c>
      <c r="O9" s="452">
        <f t="shared" si="0"/>
        <v>18</v>
      </c>
      <c r="Q9" s="847"/>
    </row>
    <row r="10" spans="1:19" s="53" customFormat="1">
      <c r="B10" s="294" t="s">
        <v>319</v>
      </c>
      <c r="C10" s="60" t="s">
        <v>61</v>
      </c>
      <c r="D10" s="57">
        <f>+$F$4</f>
        <v>19</v>
      </c>
      <c r="E10" s="806">
        <v>2</v>
      </c>
      <c r="F10" s="253">
        <v>80000</v>
      </c>
      <c r="G10" s="422">
        <f t="shared" si="1"/>
        <v>3040000</v>
      </c>
      <c r="H10" s="54"/>
      <c r="I10" s="54"/>
      <c r="J10" s="54"/>
      <c r="M10" s="621" t="s">
        <v>320</v>
      </c>
      <c r="N10" s="452">
        <v>0.75</v>
      </c>
      <c r="O10" s="452">
        <f t="shared" si="0"/>
        <v>18</v>
      </c>
      <c r="Q10" s="847"/>
    </row>
    <row r="11" spans="1:19" s="53" customFormat="1">
      <c r="B11" s="427" t="s">
        <v>311</v>
      </c>
      <c r="C11" s="428"/>
      <c r="D11" s="429"/>
      <c r="E11" s="429"/>
      <c r="F11" s="274"/>
      <c r="G11" s="274"/>
      <c r="H11" s="1191">
        <f>SUM(G12:G19)</f>
        <v>39866834.742689103</v>
      </c>
      <c r="I11" s="54"/>
      <c r="J11" s="54"/>
      <c r="K11" s="30"/>
      <c r="M11" s="621" t="s">
        <v>1983</v>
      </c>
      <c r="N11" s="452">
        <v>0.75</v>
      </c>
      <c r="O11" s="452">
        <f t="shared" si="0"/>
        <v>18</v>
      </c>
      <c r="P11" s="53" t="s">
        <v>321</v>
      </c>
      <c r="Q11" s="847" t="s">
        <v>322</v>
      </c>
      <c r="R11" s="53" t="s">
        <v>323</v>
      </c>
    </row>
    <row r="12" spans="1:19" s="53" customFormat="1">
      <c r="B12" s="424" t="s">
        <v>324</v>
      </c>
      <c r="C12" s="425" t="s">
        <v>61</v>
      </c>
      <c r="D12" s="426">
        <f>+Q5</f>
        <v>1</v>
      </c>
      <c r="E12" s="426">
        <v>1</v>
      </c>
      <c r="F12" s="273"/>
      <c r="G12" s="253">
        <f>+F12*D12*E12</f>
        <v>0</v>
      </c>
      <c r="H12" s="54"/>
      <c r="J12" s="408">
        <f>+'P.MO 06.25'!C9/2</f>
        <v>1623254.4601415317</v>
      </c>
      <c r="K12" s="57">
        <f>+J12*D12*E12</f>
        <v>1623254.4601415317</v>
      </c>
      <c r="M12" s="621" t="s">
        <v>1984</v>
      </c>
      <c r="N12" s="452">
        <v>0.75</v>
      </c>
      <c r="O12" s="452">
        <f t="shared" si="0"/>
        <v>18</v>
      </c>
      <c r="Q12" s="847">
        <f>+SUM(N6:N15)</f>
        <v>7.5</v>
      </c>
      <c r="R12" s="53">
        <f>+ROUNDUP(Q12/3,0)</f>
        <v>3</v>
      </c>
    </row>
    <row r="13" spans="1:19" s="53" customFormat="1">
      <c r="B13" s="294" t="s">
        <v>326</v>
      </c>
      <c r="C13" s="60" t="s">
        <v>61</v>
      </c>
      <c r="D13" s="58">
        <f t="shared" ref="D13:D19" si="2">+$F$4</f>
        <v>19</v>
      </c>
      <c r="E13" s="58">
        <v>1</v>
      </c>
      <c r="F13" s="253"/>
      <c r="G13" s="253">
        <f>+F13*D13*E13</f>
        <v>0</v>
      </c>
      <c r="H13" s="54"/>
      <c r="J13" s="681">
        <v>300000</v>
      </c>
      <c r="K13" s="253">
        <f>+J13*D13*E13</f>
        <v>5700000</v>
      </c>
      <c r="M13" s="621" t="s">
        <v>1985</v>
      </c>
      <c r="N13" s="452">
        <v>0.75</v>
      </c>
      <c r="O13" s="452">
        <f t="shared" ref="O13" si="3">+N13*$O$2</f>
        <v>18</v>
      </c>
    </row>
    <row r="14" spans="1:19" s="53" customFormat="1">
      <c r="B14" s="294" t="s">
        <v>328</v>
      </c>
      <c r="C14" s="60" t="s">
        <v>61</v>
      </c>
      <c r="D14" s="58">
        <f t="shared" si="2"/>
        <v>19</v>
      </c>
      <c r="E14" s="58">
        <v>0.5</v>
      </c>
      <c r="F14" s="253">
        <v>200000</v>
      </c>
      <c r="G14" s="253">
        <f t="shared" si="1"/>
        <v>1900000</v>
      </c>
      <c r="H14" s="54"/>
      <c r="I14" s="54"/>
      <c r="J14" s="30"/>
      <c r="K14" s="30"/>
      <c r="M14" s="621" t="s">
        <v>1986</v>
      </c>
      <c r="N14" s="452">
        <v>0.5</v>
      </c>
      <c r="O14" s="452">
        <f t="shared" ref="O14" si="4">+N14*$O$2</f>
        <v>12</v>
      </c>
    </row>
    <row r="15" spans="1:19" s="53" customFormat="1">
      <c r="B15" s="294" t="s">
        <v>330</v>
      </c>
      <c r="C15" s="60" t="s">
        <v>61</v>
      </c>
      <c r="D15" s="58">
        <f t="shared" si="2"/>
        <v>19</v>
      </c>
      <c r="E15" s="58">
        <v>1</v>
      </c>
      <c r="F15" s="253">
        <v>300000</v>
      </c>
      <c r="G15" s="253">
        <f t="shared" si="1"/>
        <v>5700000</v>
      </c>
      <c r="H15" s="54"/>
      <c r="I15" s="54"/>
      <c r="J15" s="30"/>
      <c r="K15" s="30"/>
      <c r="M15" s="812" t="s">
        <v>1742</v>
      </c>
      <c r="N15" s="452">
        <v>0.5</v>
      </c>
      <c r="O15" s="452">
        <f t="shared" ref="O15:O20" si="5">+N15*$O$2</f>
        <v>12</v>
      </c>
    </row>
    <row r="16" spans="1:19" s="53" customFormat="1">
      <c r="B16" s="1179" t="s">
        <v>332</v>
      </c>
      <c r="C16" s="1180" t="s">
        <v>61</v>
      </c>
      <c r="D16" s="852">
        <f t="shared" si="2"/>
        <v>19</v>
      </c>
      <c r="E16" s="852">
        <v>1</v>
      </c>
      <c r="F16" s="101">
        <v>75000</v>
      </c>
      <c r="G16" s="101">
        <f t="shared" si="1"/>
        <v>1425000</v>
      </c>
      <c r="H16" s="54"/>
      <c r="I16" s="54"/>
      <c r="J16" s="30"/>
      <c r="K16" s="30"/>
      <c r="M16" s="754" t="s">
        <v>325</v>
      </c>
      <c r="N16" s="452">
        <v>2</v>
      </c>
      <c r="O16" s="452">
        <f t="shared" si="5"/>
        <v>48</v>
      </c>
    </row>
    <row r="17" spans="2:15" s="53" customFormat="1">
      <c r="B17" s="294" t="s">
        <v>334</v>
      </c>
      <c r="C17" s="60" t="s">
        <v>61</v>
      </c>
      <c r="D17" s="58">
        <f t="shared" si="2"/>
        <v>19</v>
      </c>
      <c r="E17" s="58">
        <v>0</v>
      </c>
      <c r="F17" s="253">
        <v>10000</v>
      </c>
      <c r="G17" s="253">
        <f t="shared" si="1"/>
        <v>0</v>
      </c>
      <c r="H17" s="54"/>
      <c r="I17" s="54"/>
      <c r="J17" s="30"/>
      <c r="K17" s="30"/>
      <c r="M17" s="754" t="s">
        <v>327</v>
      </c>
      <c r="N17" s="452">
        <v>2</v>
      </c>
      <c r="O17" s="452">
        <f t="shared" si="5"/>
        <v>48</v>
      </c>
    </row>
    <row r="18" spans="2:15" s="53" customFormat="1">
      <c r="B18" s="294" t="s">
        <v>335</v>
      </c>
      <c r="C18" s="60" t="s">
        <v>61</v>
      </c>
      <c r="D18" s="58">
        <f t="shared" si="2"/>
        <v>19</v>
      </c>
      <c r="E18" s="58">
        <v>0</v>
      </c>
      <c r="F18" s="101">
        <f>+'P.MO 06.25'!C9</f>
        <v>3246508.9202830633</v>
      </c>
      <c r="G18" s="253">
        <f t="shared" si="1"/>
        <v>0</v>
      </c>
      <c r="H18" s="54"/>
      <c r="K18" s="30"/>
      <c r="L18" s="830"/>
      <c r="M18" s="754" t="s">
        <v>329</v>
      </c>
      <c r="N18" s="452">
        <v>2</v>
      </c>
      <c r="O18" s="452">
        <f t="shared" si="5"/>
        <v>48</v>
      </c>
    </row>
    <row r="19" spans="2:15" s="53" customFormat="1">
      <c r="B19" s="294" t="s">
        <v>336</v>
      </c>
      <c r="C19" s="60" t="s">
        <v>61</v>
      </c>
      <c r="D19" s="58">
        <f t="shared" si="2"/>
        <v>19</v>
      </c>
      <c r="E19" s="852">
        <v>0.5</v>
      </c>
      <c r="F19" s="101">
        <f>+'P.MO 06.25'!C9</f>
        <v>3246508.9202830633</v>
      </c>
      <c r="G19" s="253">
        <f t="shared" si="1"/>
        <v>30841834.742689103</v>
      </c>
      <c r="H19" s="54"/>
      <c r="I19" s="54"/>
      <c r="J19" s="30"/>
      <c r="K19" s="30"/>
      <c r="L19" s="830"/>
      <c r="M19" s="754" t="s">
        <v>331</v>
      </c>
      <c r="N19" s="13">
        <v>2</v>
      </c>
      <c r="O19" s="452">
        <f t="shared" si="5"/>
        <v>48</v>
      </c>
    </row>
    <row r="20" spans="2:15" s="53" customFormat="1">
      <c r="B20" s="427" t="s">
        <v>337</v>
      </c>
      <c r="C20" s="428"/>
      <c r="D20" s="429"/>
      <c r="E20" s="429"/>
      <c r="F20" s="274"/>
      <c r="G20" s="274"/>
      <c r="H20" s="1191">
        <f>SUM(G21:G30)</f>
        <v>89942566.324217141</v>
      </c>
      <c r="I20" s="54"/>
      <c r="J20" s="30"/>
      <c r="K20" s="30"/>
      <c r="M20" s="755" t="s">
        <v>333</v>
      </c>
      <c r="N20" s="14">
        <v>1</v>
      </c>
      <c r="O20" s="453">
        <f t="shared" si="5"/>
        <v>24</v>
      </c>
    </row>
    <row r="21" spans="2:15" s="53" customFormat="1">
      <c r="B21" s="424" t="s">
        <v>338</v>
      </c>
      <c r="C21" s="425" t="s">
        <v>61</v>
      </c>
      <c r="D21" s="426">
        <f>+$F$4</f>
        <v>19</v>
      </c>
      <c r="E21" s="845">
        <v>0.15</v>
      </c>
      <c r="F21" s="273">
        <f>+'P.MO 06.25'!C11</f>
        <v>5688802.4480278417</v>
      </c>
      <c r="G21" s="273">
        <f>+F21*D21*E21</f>
        <v>16213086.976879347</v>
      </c>
      <c r="H21" s="54"/>
      <c r="I21" s="54"/>
      <c r="J21" s="54"/>
      <c r="K21" s="30"/>
      <c r="N21" s="815">
        <f>SUM(N4:N20)</f>
        <v>19</v>
      </c>
      <c r="O21" s="815">
        <f>SUM(O4:O20)</f>
        <v>456</v>
      </c>
    </row>
    <row r="22" spans="2:15" s="53" customFormat="1">
      <c r="B22" s="294" t="s">
        <v>339</v>
      </c>
      <c r="C22" s="60" t="s">
        <v>61</v>
      </c>
      <c r="D22" s="58">
        <f>+$F$4</f>
        <v>19</v>
      </c>
      <c r="E22" s="58">
        <v>0.2</v>
      </c>
      <c r="F22" s="681">
        <f>+'P.MO 06.25'!C10</f>
        <v>4716669.3590301629</v>
      </c>
      <c r="G22" s="273">
        <f>+F22*D22*E22</f>
        <v>17923343.564314619</v>
      </c>
      <c r="H22" s="54"/>
      <c r="K22" s="253"/>
    </row>
    <row r="23" spans="2:15" s="53" customFormat="1">
      <c r="B23" s="294" t="s">
        <v>340</v>
      </c>
      <c r="C23" s="60" t="s">
        <v>61</v>
      </c>
      <c r="D23" s="58">
        <f t="shared" ref="D23:D30" si="6">+$F$4</f>
        <v>19</v>
      </c>
      <c r="E23" s="806">
        <v>1</v>
      </c>
      <c r="G23" s="253">
        <f>+F23*D23*E23</f>
        <v>0</v>
      </c>
      <c r="H23" s="54"/>
      <c r="I23" s="419"/>
      <c r="J23" s="681">
        <f>+'P.MO 06.25'!C9</f>
        <v>3246508.9202830633</v>
      </c>
      <c r="K23" s="253">
        <f>+J23*D23*E23</f>
        <v>61683669.485378206</v>
      </c>
    </row>
    <row r="24" spans="2:15" s="53" customFormat="1">
      <c r="B24" s="294" t="s">
        <v>341</v>
      </c>
      <c r="C24" s="60" t="s">
        <v>61</v>
      </c>
      <c r="D24" s="58">
        <f t="shared" si="6"/>
        <v>19</v>
      </c>
      <c r="E24" s="806">
        <v>0</v>
      </c>
      <c r="F24" s="253">
        <f>+J23</f>
        <v>3246508.9202830633</v>
      </c>
      <c r="G24" s="253">
        <f t="shared" ref="G24:G29" si="7">+F24*D24*E24</f>
        <v>0</v>
      </c>
      <c r="H24" s="54"/>
      <c r="I24" s="419"/>
      <c r="J24" s="419"/>
      <c r="K24" s="30"/>
      <c r="L24" s="76"/>
    </row>
    <row r="25" spans="2:15" s="53" customFormat="1">
      <c r="B25" s="294" t="s">
        <v>342</v>
      </c>
      <c r="C25" s="60" t="s">
        <v>61</v>
      </c>
      <c r="D25" s="58">
        <f t="shared" si="6"/>
        <v>19</v>
      </c>
      <c r="E25" s="806">
        <v>0.5</v>
      </c>
      <c r="F25" s="253">
        <f>+'P.MO 06.25'!C12</f>
        <v>3874330.0824234933</v>
      </c>
      <c r="G25" s="253">
        <f t="shared" si="7"/>
        <v>36806135.783023186</v>
      </c>
      <c r="H25" s="54"/>
      <c r="I25" s="419"/>
      <c r="J25" s="419"/>
      <c r="K25" s="30"/>
    </row>
    <row r="26" spans="2:15" s="53" customFormat="1">
      <c r="B26" s="294" t="s">
        <v>343</v>
      </c>
      <c r="C26" s="60" t="s">
        <v>61</v>
      </c>
      <c r="D26" s="58">
        <f t="shared" si="6"/>
        <v>19</v>
      </c>
      <c r="E26" s="852">
        <v>1</v>
      </c>
      <c r="F26" s="253">
        <v>500000</v>
      </c>
      <c r="G26" s="253">
        <f t="shared" si="7"/>
        <v>9500000</v>
      </c>
      <c r="H26" s="54"/>
      <c r="I26" s="419"/>
      <c r="J26" s="419"/>
      <c r="K26" s="30"/>
    </row>
    <row r="27" spans="2:15" s="53" customFormat="1">
      <c r="B27" s="294" t="s">
        <v>344</v>
      </c>
      <c r="C27" s="60" t="s">
        <v>61</v>
      </c>
      <c r="D27" s="58">
        <f t="shared" si="6"/>
        <v>19</v>
      </c>
      <c r="E27" s="58">
        <v>1</v>
      </c>
      <c r="F27" s="253">
        <f>F26</f>
        <v>500000</v>
      </c>
      <c r="G27" s="253">
        <f>+F27*D27*E27</f>
        <v>9500000</v>
      </c>
      <c r="H27" s="54"/>
      <c r="I27" s="419"/>
      <c r="J27" s="419"/>
      <c r="K27" s="30"/>
    </row>
    <row r="28" spans="2:15" s="53" customFormat="1">
      <c r="B28" s="294" t="s">
        <v>345</v>
      </c>
      <c r="C28" s="60" t="s">
        <v>61</v>
      </c>
      <c r="D28" s="58">
        <f t="shared" si="6"/>
        <v>19</v>
      </c>
      <c r="E28" s="58">
        <v>1</v>
      </c>
      <c r="F28" s="812"/>
      <c r="G28" s="253">
        <f>+F28*D28*E28</f>
        <v>0</v>
      </c>
      <c r="H28" s="54"/>
      <c r="J28" s="681">
        <f>F26</f>
        <v>500000</v>
      </c>
      <c r="K28" s="253">
        <f>+J28*D28*E28</f>
        <v>9500000</v>
      </c>
      <c r="M28" s="814"/>
      <c r="N28" s="814"/>
    </row>
    <row r="29" spans="2:15" s="53" customFormat="1">
      <c r="B29" s="294" t="s">
        <v>346</v>
      </c>
      <c r="C29" s="60" t="s">
        <v>61</v>
      </c>
      <c r="D29" s="58">
        <f t="shared" si="6"/>
        <v>19</v>
      </c>
      <c r="E29" s="58">
        <v>1</v>
      </c>
      <c r="F29" s="101"/>
      <c r="G29" s="253">
        <f t="shared" si="7"/>
        <v>0</v>
      </c>
      <c r="H29" s="54"/>
      <c r="K29" s="30"/>
      <c r="M29" s="814"/>
      <c r="N29" s="814"/>
    </row>
    <row r="30" spans="2:15" s="53" customFormat="1">
      <c r="B30" s="294" t="s">
        <v>347</v>
      </c>
      <c r="C30" s="60" t="s">
        <v>61</v>
      </c>
      <c r="D30" s="58">
        <f t="shared" si="6"/>
        <v>19</v>
      </c>
      <c r="E30" s="58">
        <v>1</v>
      </c>
      <c r="F30" s="812"/>
      <c r="G30" s="812"/>
      <c r="H30" s="54"/>
      <c r="J30" s="681">
        <f>+'P.MO 06.25'!C7/2</f>
        <v>806885.98632321146</v>
      </c>
      <c r="K30" s="253">
        <f>+J30*D30*E30</f>
        <v>15330833.740141017</v>
      </c>
    </row>
    <row r="31" spans="2:15" s="53" customFormat="1">
      <c r="B31" s="427" t="s">
        <v>348</v>
      </c>
      <c r="C31" s="428"/>
      <c r="D31" s="429"/>
      <c r="E31" s="429"/>
      <c r="F31" s="274"/>
      <c r="G31" s="274"/>
      <c r="H31" s="1191">
        <f>SUM(G32:G36)</f>
        <v>0</v>
      </c>
      <c r="I31" s="54"/>
      <c r="J31" s="30"/>
      <c r="K31" s="30"/>
    </row>
    <row r="32" spans="2:15" s="53" customFormat="1">
      <c r="B32" s="424" t="s">
        <v>349</v>
      </c>
      <c r="C32" s="425" t="s">
        <v>61</v>
      </c>
      <c r="D32" s="426"/>
      <c r="E32" s="426"/>
      <c r="F32" s="273">
        <v>130000</v>
      </c>
      <c r="G32" s="273">
        <f>+F32*D32</f>
        <v>0</v>
      </c>
      <c r="H32" s="54"/>
      <c r="I32" s="54"/>
      <c r="J32" s="30"/>
      <c r="K32" s="30"/>
    </row>
    <row r="33" spans="1:15" s="53" customFormat="1">
      <c r="B33" s="294" t="s">
        <v>350</v>
      </c>
      <c r="C33" s="60" t="s">
        <v>61</v>
      </c>
      <c r="D33" s="58"/>
      <c r="E33" s="58"/>
      <c r="F33" s="253">
        <v>100000</v>
      </c>
      <c r="G33" s="253">
        <f>+F33*D33</f>
        <v>0</v>
      </c>
      <c r="H33" s="54"/>
      <c r="I33" s="54"/>
      <c r="J33" s="30"/>
      <c r="K33" s="30"/>
    </row>
    <row r="34" spans="1:15" s="53" customFormat="1">
      <c r="B34" s="294" t="s">
        <v>351</v>
      </c>
      <c r="C34" s="60" t="s">
        <v>61</v>
      </c>
      <c r="D34" s="58"/>
      <c r="E34" s="58"/>
      <c r="F34" s="253">
        <v>33600</v>
      </c>
      <c r="G34" s="253">
        <f>+F34*D34</f>
        <v>0</v>
      </c>
      <c r="H34" s="54"/>
      <c r="I34" s="54"/>
      <c r="J34" s="30"/>
      <c r="K34" s="30"/>
    </row>
    <row r="35" spans="1:15" s="53" customFormat="1">
      <c r="B35" s="294" t="s">
        <v>352</v>
      </c>
      <c r="C35" s="60" t="s">
        <v>61</v>
      </c>
      <c r="D35" s="58"/>
      <c r="E35" s="58"/>
      <c r="F35" s="253">
        <v>89000</v>
      </c>
      <c r="G35" s="253">
        <f>+F35*D35</f>
        <v>0</v>
      </c>
      <c r="H35" s="54"/>
      <c r="I35" s="54"/>
      <c r="J35" s="30"/>
      <c r="K35" s="30"/>
    </row>
    <row r="36" spans="1:15" s="53" customFormat="1">
      <c r="B36" s="1181" t="s">
        <v>353</v>
      </c>
      <c r="C36" s="1189" t="s">
        <v>61</v>
      </c>
      <c r="D36" s="1190"/>
      <c r="E36" s="1190"/>
      <c r="F36" s="1184">
        <v>70000</v>
      </c>
      <c r="G36" s="1184">
        <f>+F36*D36</f>
        <v>0</v>
      </c>
      <c r="H36" s="54"/>
      <c r="I36" s="54"/>
      <c r="J36" s="30"/>
      <c r="K36" s="30"/>
    </row>
    <row r="37" spans="1:15" s="53" customFormat="1">
      <c r="B37" s="427" t="s">
        <v>354</v>
      </c>
      <c r="C37" s="428"/>
      <c r="D37" s="429"/>
      <c r="E37" s="429"/>
      <c r="F37" s="274"/>
      <c r="G37" s="274"/>
      <c r="H37" s="1191">
        <f>SUM(G38:G42)</f>
        <v>94164834.742689103</v>
      </c>
      <c r="I37" s="54"/>
      <c r="J37" s="30"/>
      <c r="K37" s="30"/>
    </row>
    <row r="38" spans="1:15" s="53" customFormat="1">
      <c r="B38" s="293" t="s">
        <v>355</v>
      </c>
      <c r="C38" s="605" t="s">
        <v>61</v>
      </c>
      <c r="D38" s="63">
        <f>+$F$4</f>
        <v>19</v>
      </c>
      <c r="E38" s="882">
        <v>0.5</v>
      </c>
      <c r="F38" s="422">
        <f>'P.MO 06.25'!C9</f>
        <v>3246508.9202830633</v>
      </c>
      <c r="G38" s="422">
        <f>+F38*D38*E38</f>
        <v>30841834.742689103</v>
      </c>
      <c r="H38" s="54"/>
      <c r="I38" s="54"/>
      <c r="J38" s="30"/>
      <c r="K38" s="30"/>
    </row>
    <row r="39" spans="1:15" s="53" customFormat="1">
      <c r="B39" s="294" t="s">
        <v>356</v>
      </c>
      <c r="C39" s="606" t="s">
        <v>54</v>
      </c>
      <c r="D39" s="62">
        <f>+D38</f>
        <v>19</v>
      </c>
      <c r="E39" s="62">
        <v>1</v>
      </c>
      <c r="F39" s="253">
        <v>250000</v>
      </c>
      <c r="G39" s="253">
        <f>+F39*D39</f>
        <v>4750000</v>
      </c>
      <c r="H39" s="54"/>
      <c r="I39" s="54"/>
      <c r="J39" s="30"/>
      <c r="K39" s="30"/>
    </row>
    <row r="40" spans="1:15" s="53" customFormat="1">
      <c r="B40" s="295" t="s">
        <v>357</v>
      </c>
      <c r="C40" s="606" t="s">
        <v>54</v>
      </c>
      <c r="D40" s="62">
        <v>0.04</v>
      </c>
      <c r="E40" s="62">
        <v>0.7</v>
      </c>
      <c r="F40" s="423">
        <v>1550000000</v>
      </c>
      <c r="G40" s="253">
        <f>+F40*D40*E40</f>
        <v>43400000</v>
      </c>
      <c r="H40" s="54"/>
      <c r="I40" s="54"/>
      <c r="J40" s="30"/>
      <c r="K40" s="32"/>
    </row>
    <row r="41" spans="1:15" s="53" customFormat="1">
      <c r="B41" s="294" t="s">
        <v>358</v>
      </c>
      <c r="C41" s="606" t="s">
        <v>54</v>
      </c>
      <c r="D41" s="62">
        <f>1.2/100</f>
        <v>1.2E-2</v>
      </c>
      <c r="E41" s="62">
        <f>+E40</f>
        <v>0.7</v>
      </c>
      <c r="F41" s="253">
        <f>+F40*1.15</f>
        <v>1782499999.9999998</v>
      </c>
      <c r="G41" s="253">
        <f>+F41*D41*E41</f>
        <v>14972999.999999996</v>
      </c>
      <c r="H41" s="54"/>
      <c r="I41" s="54"/>
      <c r="J41" s="30"/>
      <c r="K41" s="54"/>
    </row>
    <row r="42" spans="1:15" s="53" customFormat="1">
      <c r="B42" s="1181" t="s">
        <v>359</v>
      </c>
      <c r="C42" s="1182" t="s">
        <v>54</v>
      </c>
      <c r="D42" s="1183">
        <v>1</v>
      </c>
      <c r="E42" s="1183">
        <v>1</v>
      </c>
      <c r="F42" s="1184">
        <v>200000</v>
      </c>
      <c r="G42" s="1184">
        <f>+F42*D42*E42</f>
        <v>200000</v>
      </c>
      <c r="H42" s="54"/>
      <c r="I42" s="54"/>
      <c r="J42" s="30"/>
      <c r="K42" s="54"/>
      <c r="M42" s="54"/>
    </row>
    <row r="43" spans="1:15" s="53" customFormat="1">
      <c r="B43" s="427"/>
      <c r="C43" s="1185"/>
      <c r="D43" s="1186"/>
      <c r="E43" s="1186"/>
      <c r="F43" s="1187"/>
      <c r="G43" s="1186">
        <f>SUM(G7:G42)</f>
        <v>227014235.80959535</v>
      </c>
      <c r="H43" s="1188">
        <f>SUM(H6:H42)</f>
        <v>227014235.80959535</v>
      </c>
      <c r="I43" s="54"/>
      <c r="J43" s="54"/>
      <c r="K43" s="61">
        <f>SUM(K6:K42)</f>
        <v>93837757.685660765</v>
      </c>
      <c r="L43" s="846">
        <f>+H43+K43</f>
        <v>320851993.49525613</v>
      </c>
      <c r="M43" s="30"/>
      <c r="N43" s="26"/>
      <c r="O43" s="26"/>
    </row>
    <row r="44" spans="1:15" s="53" customFormat="1">
      <c r="B44" s="296" t="s">
        <v>360</v>
      </c>
      <c r="C44" s="55"/>
      <c r="D44" s="64"/>
      <c r="E44" s="64"/>
      <c r="F44" s="245"/>
      <c r="G44" s="64"/>
      <c r="H44" s="849"/>
      <c r="I44" s="64"/>
      <c r="K44" s="847" t="s">
        <v>1443</v>
      </c>
      <c r="L44" s="848" t="s">
        <v>1444</v>
      </c>
      <c r="M44" s="30"/>
      <c r="N44" s="26"/>
      <c r="O44" s="26"/>
    </row>
    <row r="45" spans="1:15" s="53" customFormat="1">
      <c r="B45" s="296" t="s">
        <v>361</v>
      </c>
      <c r="C45" s="55"/>
      <c r="D45" s="64"/>
      <c r="E45" s="64"/>
      <c r="F45" s="245"/>
      <c r="G45" s="64"/>
      <c r="H45" s="64">
        <f>+H44+H43</f>
        <v>227014235.80959535</v>
      </c>
      <c r="I45" s="64"/>
      <c r="L45" s="1178">
        <f>+L43/G53</f>
        <v>0.28250276592839052</v>
      </c>
      <c r="M45" s="30"/>
      <c r="N45" s="26"/>
      <c r="O45" s="26"/>
    </row>
    <row r="46" spans="1:15" s="26" customFormat="1" ht="13">
      <c r="A46" s="65"/>
      <c r="B46" s="297"/>
      <c r="D46" s="66"/>
      <c r="E46" s="66"/>
      <c r="F46" s="120"/>
      <c r="G46" s="66"/>
      <c r="H46" s="66"/>
      <c r="M46" s="30"/>
    </row>
    <row r="47" spans="1:15" s="26" customFormat="1" ht="13">
      <c r="A47" s="65"/>
      <c r="B47" s="297" t="s">
        <v>44</v>
      </c>
      <c r="D47" s="66"/>
      <c r="E47" s="66"/>
      <c r="F47" s="120"/>
      <c r="G47" s="30">
        <f>+'01'!N213</f>
        <v>288798727.90028393</v>
      </c>
      <c r="H47" s="67">
        <f>+G47/$H$4</f>
        <v>226331.29145790276</v>
      </c>
      <c r="J47" s="34"/>
      <c r="M47" s="30"/>
    </row>
    <row r="48" spans="1:15" s="26" customFormat="1" ht="13">
      <c r="B48" s="297" t="s">
        <v>362</v>
      </c>
      <c r="F48" s="120"/>
      <c r="G48" s="30">
        <f>+'01'!O213</f>
        <v>92826297.972813964</v>
      </c>
      <c r="H48" s="67">
        <f>+G48/$H$4</f>
        <v>72747.882423835399</v>
      </c>
      <c r="J48" s="31"/>
      <c r="M48" s="30"/>
    </row>
    <row r="49" spans="1:15" s="26" customFormat="1" ht="13">
      <c r="B49" s="297" t="s">
        <v>363</v>
      </c>
      <c r="F49" s="120"/>
      <c r="G49" s="30">
        <f>+'01'!P213</f>
        <v>508758863.74462891</v>
      </c>
      <c r="H49" s="67">
        <f>+G49/$H$4</f>
        <v>398713.843060054</v>
      </c>
      <c r="I49" s="31"/>
      <c r="J49" s="31"/>
    </row>
    <row r="50" spans="1:15" s="26" customFormat="1" ht="13">
      <c r="B50" s="297" t="s">
        <v>364</v>
      </c>
      <c r="F50" s="120"/>
      <c r="G50" s="30">
        <f>+'01'!Q213</f>
        <v>219547445.33957821</v>
      </c>
      <c r="H50" s="67">
        <f>+G50/$H$4</f>
        <v>172059.1264416757</v>
      </c>
      <c r="I50" s="31"/>
      <c r="J50" s="31"/>
    </row>
    <row r="51" spans="1:15" s="26" customFormat="1" ht="13">
      <c r="B51" s="297" t="s">
        <v>348</v>
      </c>
      <c r="F51" s="120"/>
      <c r="G51" s="30">
        <f>+'01'!R213</f>
        <v>25816814.059354596</v>
      </c>
      <c r="H51" s="67">
        <f>+G51/$H$4</f>
        <v>20232.612899180716</v>
      </c>
      <c r="I51" s="31"/>
      <c r="J51" s="31"/>
    </row>
    <row r="52" spans="1:15" s="26" customFormat="1" ht="13">
      <c r="B52" s="297"/>
      <c r="F52" s="120"/>
      <c r="G52" s="30"/>
      <c r="H52" s="67"/>
      <c r="J52" s="31"/>
      <c r="M52" s="1173"/>
    </row>
    <row r="53" spans="1:15" s="26" customFormat="1" ht="13">
      <c r="A53" s="199" t="s">
        <v>365</v>
      </c>
      <c r="B53" s="298"/>
      <c r="C53" s="231"/>
      <c r="D53" s="231"/>
      <c r="E53" s="231"/>
      <c r="F53" s="238"/>
      <c r="G53" s="232">
        <f>SUM(G47:G52)</f>
        <v>1135748149.0166595</v>
      </c>
      <c r="H53" s="233">
        <f>SUM(H47:H52)</f>
        <v>890084.75628264854</v>
      </c>
      <c r="I53" s="31"/>
      <c r="M53" s="356"/>
    </row>
    <row r="54" spans="1:15" s="26" customFormat="1" ht="13">
      <c r="A54" s="68"/>
      <c r="B54" s="297"/>
      <c r="F54" s="120"/>
      <c r="G54" s="69"/>
      <c r="H54" s="70"/>
      <c r="J54" s="16">
        <f>+G53-G51</f>
        <v>1109931334.957305</v>
      </c>
      <c r="L54" s="72"/>
    </row>
    <row r="55" spans="1:15" s="26" customFormat="1" ht="13">
      <c r="A55" s="68"/>
      <c r="B55" s="297" t="s">
        <v>366</v>
      </c>
      <c r="E55" s="16"/>
      <c r="F55" s="1174">
        <f>+H45/G53</f>
        <v>0.19988078871724002</v>
      </c>
      <c r="G55" s="16">
        <f>+F55*$G$53</f>
        <v>227014235.80959535</v>
      </c>
      <c r="H55" s="67">
        <f>+G55/$H$4</f>
        <v>177910.84311096813</v>
      </c>
      <c r="J55" s="16">
        <f>+J54*K55</f>
        <v>33297940.048719149</v>
      </c>
      <c r="K55" s="356">
        <v>0.03</v>
      </c>
    </row>
    <row r="56" spans="1:15" s="26" customFormat="1" ht="13">
      <c r="A56" s="68"/>
      <c r="B56" s="297" t="s">
        <v>348</v>
      </c>
      <c r="E56" s="16">
        <v>3</v>
      </c>
      <c r="F56" s="1175">
        <f>+G56/G53</f>
        <v>6.5869585575303617E-3</v>
      </c>
      <c r="G56" s="16">
        <f>+J56</f>
        <v>7481125.9893645532</v>
      </c>
      <c r="H56" s="67">
        <f>+G56/$H$4</f>
        <v>5862.9514023233178</v>
      </c>
      <c r="J56" s="98">
        <f>+J55-G51</f>
        <v>7481125.9893645532</v>
      </c>
    </row>
    <row r="57" spans="1:15" s="26" customFormat="1" ht="13">
      <c r="A57" s="68"/>
      <c r="B57" s="297" t="s">
        <v>1707</v>
      </c>
      <c r="E57" s="16">
        <v>5</v>
      </c>
      <c r="F57" s="1175">
        <v>0.05</v>
      </c>
      <c r="G57" s="16">
        <f>+F57*$G$53</f>
        <v>56787407.450832978</v>
      </c>
      <c r="H57" s="67">
        <f>+G57/$H$4</f>
        <v>44504.23781413243</v>
      </c>
      <c r="I57" s="71"/>
      <c r="K57" s="1173"/>
    </row>
    <row r="58" spans="1:15" s="26" customFormat="1" ht="13">
      <c r="A58" s="68"/>
      <c r="B58" s="297" t="s">
        <v>367</v>
      </c>
      <c r="E58" s="16">
        <v>9</v>
      </c>
      <c r="F58" s="1174">
        <v>0.1</v>
      </c>
      <c r="G58" s="16">
        <f>+F58*$G$53</f>
        <v>113574814.90166596</v>
      </c>
      <c r="H58" s="67">
        <f>+G58/$H$4</f>
        <v>89008.47562826486</v>
      </c>
      <c r="I58" s="31"/>
    </row>
    <row r="59" spans="1:15" s="26" customFormat="1" ht="13">
      <c r="A59" s="199" t="s">
        <v>368</v>
      </c>
      <c r="B59" s="298"/>
      <c r="C59" s="231"/>
      <c r="D59" s="231"/>
      <c r="E59" s="420"/>
      <c r="F59" s="420">
        <f>SUM(F55:F58)</f>
        <v>0.35646774727477037</v>
      </c>
      <c r="G59" s="407">
        <f>SUM(G55:G58)</f>
        <v>404857584.15145886</v>
      </c>
      <c r="H59" s="233">
        <f>+G59/$H$4</f>
        <v>317286.50795568875</v>
      </c>
      <c r="I59" s="31"/>
    </row>
    <row r="60" spans="1:15" s="26" customFormat="1" ht="13">
      <c r="A60" s="68"/>
      <c r="B60" s="297"/>
      <c r="E60" s="16"/>
      <c r="F60" s="16"/>
      <c r="G60" s="16"/>
      <c r="H60" s="70"/>
    </row>
    <row r="61" spans="1:15" s="26" customFormat="1" ht="13">
      <c r="A61" s="199" t="s">
        <v>369</v>
      </c>
      <c r="B61" s="298"/>
      <c r="C61" s="231"/>
      <c r="D61" s="231"/>
      <c r="E61" s="420"/>
      <c r="F61" s="407">
        <f>1+F59</f>
        <v>1.3564677472747704</v>
      </c>
      <c r="G61" s="420">
        <f>+G53*F61</f>
        <v>1540605733.1681182</v>
      </c>
      <c r="H61" s="234"/>
      <c r="I61" s="30"/>
      <c r="J61" s="30"/>
      <c r="M61" s="110"/>
      <c r="N61" s="110"/>
      <c r="O61" s="31"/>
    </row>
    <row r="62" spans="1:15" s="26" customFormat="1" ht="13">
      <c r="B62" s="297"/>
      <c r="E62" s="16"/>
      <c r="F62" s="16"/>
      <c r="G62" s="16"/>
      <c r="H62" s="70"/>
      <c r="M62" s="110"/>
      <c r="N62" s="110"/>
      <c r="O62" s="31"/>
    </row>
    <row r="63" spans="1:15" s="26" customFormat="1" ht="13">
      <c r="A63" s="199" t="s">
        <v>370</v>
      </c>
      <c r="B63" s="298"/>
      <c r="C63" s="231"/>
      <c r="D63" s="231"/>
      <c r="E63" s="420"/>
      <c r="F63" s="420"/>
      <c r="G63" s="420">
        <f>+G53+G59</f>
        <v>1540605733.1681185</v>
      </c>
      <c r="H63" s="233">
        <f>+G63/$H$4</f>
        <v>1207371.2642383373</v>
      </c>
      <c r="I63" s="99"/>
      <c r="J63" s="16"/>
    </row>
    <row r="64" spans="1:15" s="26" customFormat="1" ht="13">
      <c r="B64" s="297"/>
      <c r="E64" s="16"/>
      <c r="F64" s="16"/>
      <c r="G64" s="16"/>
      <c r="H64" s="73"/>
      <c r="J64" s="16"/>
      <c r="N64" s="71"/>
      <c r="O64" s="71"/>
    </row>
    <row r="65" spans="2:16" s="26" customFormat="1" ht="13">
      <c r="B65" s="297"/>
      <c r="F65" s="120"/>
      <c r="G65" s="69"/>
      <c r="H65" s="70"/>
      <c r="I65" s="110"/>
      <c r="M65" s="53"/>
      <c r="N65" s="74"/>
      <c r="O65" s="74"/>
    </row>
    <row r="66" spans="2:16" s="26" customFormat="1" ht="13">
      <c r="B66" s="297"/>
      <c r="F66" s="299"/>
      <c r="G66" s="734"/>
      <c r="H66" s="734"/>
      <c r="I66" s="110"/>
      <c r="M66" s="53"/>
      <c r="N66" s="74"/>
      <c r="O66" s="74"/>
    </row>
    <row r="67" spans="2:16" s="26" customFormat="1" ht="13">
      <c r="B67" s="297"/>
      <c r="F67" s="735"/>
      <c r="G67" s="734"/>
      <c r="H67" s="736"/>
      <c r="I67" s="110"/>
      <c r="M67" s="53"/>
      <c r="N67" s="74"/>
      <c r="O67" s="74"/>
    </row>
    <row r="68" spans="2:16" s="26" customFormat="1" ht="13">
      <c r="B68" s="297"/>
      <c r="F68" s="120"/>
      <c r="G68" s="69"/>
      <c r="H68" s="70"/>
      <c r="I68" s="110"/>
      <c r="M68" s="53"/>
      <c r="N68" s="74"/>
      <c r="O68" s="74"/>
    </row>
    <row r="69" spans="2:16" s="26" customFormat="1" ht="13">
      <c r="B69" s="297"/>
      <c r="F69" s="120"/>
      <c r="G69" s="69"/>
      <c r="H69" s="67"/>
      <c r="K69" s="34"/>
      <c r="M69" s="580"/>
      <c r="N69" s="581"/>
      <c r="O69" s="53"/>
    </row>
    <row r="70" spans="2:16" s="26" customFormat="1" ht="13">
      <c r="B70" s="297"/>
      <c r="F70" s="120"/>
      <c r="L70" s="582"/>
      <c r="M70" s="580"/>
      <c r="N70" s="580"/>
      <c r="O70" s="53"/>
      <c r="P70" s="71"/>
    </row>
    <row r="71" spans="2:16" s="53" customFormat="1">
      <c r="B71" s="292"/>
      <c r="C71" s="55"/>
      <c r="D71" s="64"/>
      <c r="E71" s="64"/>
      <c r="F71" s="245"/>
      <c r="G71" s="64"/>
      <c r="H71" s="64"/>
      <c r="I71" s="64"/>
      <c r="K71" s="580"/>
      <c r="L71" s="583"/>
      <c r="M71" s="580"/>
      <c r="N71" s="580"/>
      <c r="P71" s="75"/>
    </row>
    <row r="72" spans="2:16" s="53" customFormat="1">
      <c r="B72" s="296"/>
      <c r="C72" s="55"/>
      <c r="D72" s="64"/>
      <c r="E72" s="64"/>
      <c r="F72" s="245"/>
      <c r="G72" s="64"/>
      <c r="H72" s="64"/>
      <c r="I72" s="64"/>
      <c r="K72" s="580"/>
      <c r="L72" s="583"/>
      <c r="M72" s="580"/>
      <c r="N72" s="580"/>
    </row>
    <row r="73" spans="2:16" s="53" customFormat="1">
      <c r="B73" s="296"/>
      <c r="C73" s="55"/>
      <c r="D73" s="64"/>
      <c r="E73" s="64"/>
      <c r="F73" s="245"/>
      <c r="G73" s="64"/>
      <c r="H73" s="64"/>
      <c r="I73" s="64"/>
      <c r="K73" s="580"/>
      <c r="L73" s="584"/>
      <c r="M73" s="580"/>
      <c r="N73" s="580"/>
    </row>
    <row r="74" spans="2:16" s="53" customFormat="1">
      <c r="B74" s="292"/>
      <c r="C74" s="55"/>
      <c r="D74" s="64"/>
      <c r="E74" s="64"/>
      <c r="F74" s="245"/>
      <c r="G74" s="64"/>
      <c r="H74" s="64"/>
      <c r="I74" s="64"/>
      <c r="K74" s="580"/>
      <c r="L74" s="583"/>
      <c r="M74" s="580"/>
      <c r="N74" s="580"/>
    </row>
    <row r="75" spans="2:16" s="53" customFormat="1">
      <c r="B75" s="292"/>
      <c r="C75" s="55"/>
      <c r="D75" s="64"/>
      <c r="E75" s="64"/>
      <c r="F75" s="245"/>
      <c r="G75" s="64"/>
      <c r="H75" s="64"/>
      <c r="I75" s="64"/>
      <c r="K75" s="580"/>
      <c r="L75" s="584"/>
      <c r="M75" s="580"/>
      <c r="N75" s="580"/>
    </row>
    <row r="76" spans="2:16" s="53" customFormat="1">
      <c r="B76" s="292"/>
      <c r="F76" s="245"/>
      <c r="G76" s="64"/>
      <c r="H76" s="64"/>
      <c r="I76" s="64"/>
      <c r="K76" s="585"/>
      <c r="L76" s="419"/>
      <c r="M76" s="580"/>
      <c r="N76" s="580"/>
    </row>
    <row r="77" spans="2:16" s="53" customFormat="1">
      <c r="B77" s="292"/>
      <c r="C77" s="55"/>
      <c r="D77" s="64"/>
      <c r="E77" s="64"/>
      <c r="F77" s="245"/>
      <c r="G77" s="64"/>
      <c r="H77" s="64"/>
      <c r="I77" s="64"/>
      <c r="K77" s="580"/>
      <c r="L77" s="419"/>
      <c r="M77" s="580"/>
      <c r="N77" s="580"/>
    </row>
    <row r="78" spans="2:16" s="53" customFormat="1">
      <c r="B78" s="292"/>
      <c r="C78" s="814"/>
      <c r="D78" s="64"/>
      <c r="E78" s="64"/>
      <c r="F78" s="245"/>
      <c r="G78" s="64"/>
      <c r="H78" s="64"/>
      <c r="I78" s="64"/>
      <c r="K78" s="580"/>
      <c r="L78" s="586"/>
      <c r="M78" s="580"/>
      <c r="N78" s="580"/>
    </row>
    <row r="79" spans="2:16" s="53" customFormat="1">
      <c r="B79" s="292"/>
      <c r="C79" s="55"/>
      <c r="D79" s="64"/>
      <c r="E79" s="64"/>
      <c r="F79" s="245"/>
      <c r="G79" s="64"/>
      <c r="H79" s="64"/>
      <c r="I79" s="64"/>
      <c r="K79" s="580"/>
      <c r="L79" s="580"/>
      <c r="M79" s="580"/>
      <c r="N79" s="580"/>
    </row>
    <row r="80" spans="2:16" s="53" customFormat="1">
      <c r="B80" s="292"/>
      <c r="C80" s="55"/>
      <c r="D80" s="64"/>
      <c r="E80" s="64"/>
      <c r="F80" s="245"/>
      <c r="G80" s="64"/>
      <c r="H80" s="64"/>
      <c r="I80" s="64"/>
      <c r="K80" s="580"/>
      <c r="L80" s="587"/>
      <c r="M80" s="580"/>
      <c r="N80" s="580"/>
    </row>
    <row r="81" spans="1:16" s="53" customFormat="1">
      <c r="B81" s="292"/>
      <c r="C81" s="55"/>
      <c r="D81" s="64"/>
      <c r="E81" s="64"/>
      <c r="F81" s="245"/>
      <c r="G81" s="64"/>
      <c r="H81" s="64"/>
      <c r="I81" s="64"/>
      <c r="K81" s="580"/>
      <c r="L81" s="580"/>
      <c r="M81" s="580"/>
      <c r="N81" s="580"/>
    </row>
    <row r="82" spans="1:16" s="53" customFormat="1">
      <c r="B82" s="292"/>
      <c r="C82" s="55"/>
      <c r="D82" s="64"/>
      <c r="E82" s="64"/>
      <c r="F82" s="245"/>
      <c r="G82" s="64"/>
      <c r="H82" s="64"/>
      <c r="I82" s="64"/>
      <c r="K82" s="580"/>
      <c r="L82" s="587"/>
      <c r="M82" s="580"/>
      <c r="N82" s="580"/>
    </row>
    <row r="83" spans="1:16" s="53" customFormat="1">
      <c r="B83" s="292"/>
      <c r="C83" s="55"/>
      <c r="D83" s="64"/>
      <c r="E83" s="64"/>
      <c r="F83" s="245"/>
      <c r="G83" s="64"/>
      <c r="H83" s="64"/>
      <c r="I83" s="64"/>
    </row>
    <row r="84" spans="1:16" s="53" customFormat="1">
      <c r="B84" s="292"/>
      <c r="C84" s="55"/>
      <c r="D84" s="64"/>
      <c r="E84" s="64"/>
      <c r="F84" s="245"/>
      <c r="G84" s="64"/>
      <c r="H84" s="64"/>
      <c r="I84" s="64"/>
    </row>
    <row r="85" spans="1:16" s="53" customFormat="1">
      <c r="B85" s="292"/>
      <c r="C85" s="55"/>
      <c r="D85" s="64"/>
      <c r="E85" s="64"/>
      <c r="F85" s="245"/>
      <c r="G85" s="64"/>
      <c r="H85" s="64"/>
      <c r="I85" s="64"/>
    </row>
    <row r="86" spans="1:16">
      <c r="A86" s="53"/>
      <c r="D86" s="64"/>
      <c r="E86" s="64"/>
      <c r="G86" s="64"/>
      <c r="H86" s="64"/>
      <c r="I86" s="64"/>
      <c r="J86" s="53"/>
      <c r="K86" s="53"/>
      <c r="M86" s="53"/>
      <c r="N86" s="53"/>
      <c r="O86" s="53"/>
      <c r="P86" s="53"/>
    </row>
    <row r="87" spans="1:16">
      <c r="A87" s="53"/>
      <c r="D87" s="64"/>
      <c r="E87" s="64"/>
      <c r="G87" s="64"/>
      <c r="H87" s="64"/>
      <c r="I87" s="64"/>
      <c r="J87" s="53"/>
      <c r="K87" s="53"/>
      <c r="M87" s="53"/>
      <c r="N87" s="53"/>
      <c r="O87" s="53"/>
      <c r="P87" s="53"/>
    </row>
    <row r="88" spans="1:16">
      <c r="A88" s="53"/>
      <c r="D88" s="64"/>
      <c r="E88" s="64"/>
      <c r="G88" s="64"/>
      <c r="H88" s="64"/>
      <c r="I88" s="64"/>
      <c r="J88" s="53"/>
      <c r="K88" s="53"/>
      <c r="M88" s="53"/>
      <c r="N88" s="53"/>
      <c r="O88" s="53"/>
      <c r="P88" s="53"/>
    </row>
    <row r="89" spans="1:16">
      <c r="A89" s="53"/>
      <c r="D89" s="64"/>
      <c r="E89" s="64"/>
      <c r="G89" s="64"/>
      <c r="H89" s="64"/>
      <c r="I89" s="64"/>
      <c r="J89" s="53"/>
      <c r="K89" s="53"/>
      <c r="M89" s="53"/>
      <c r="N89" s="53"/>
      <c r="O89" s="53"/>
      <c r="P89" s="53"/>
    </row>
    <row r="90" spans="1:16">
      <c r="A90" s="53"/>
      <c r="D90" s="64"/>
      <c r="E90" s="64"/>
      <c r="G90" s="64"/>
      <c r="H90" s="64"/>
      <c r="I90" s="64"/>
      <c r="J90" s="53"/>
      <c r="K90" s="53"/>
      <c r="M90" s="53"/>
      <c r="N90" s="53"/>
      <c r="O90" s="53"/>
      <c r="P90" s="53"/>
    </row>
    <row r="91" spans="1:16">
      <c r="A91" s="53"/>
      <c r="D91" s="64"/>
      <c r="E91" s="64"/>
      <c r="G91" s="64"/>
      <c r="H91" s="64"/>
      <c r="I91" s="64"/>
      <c r="J91" s="53"/>
      <c r="K91" s="53"/>
      <c r="M91" s="53"/>
      <c r="N91" s="53"/>
      <c r="O91" s="53"/>
      <c r="P91" s="53"/>
    </row>
    <row r="92" spans="1:16">
      <c r="A92" s="53"/>
      <c r="D92" s="64"/>
      <c r="E92" s="64"/>
      <c r="G92" s="64"/>
      <c r="H92" s="64"/>
      <c r="I92" s="64"/>
      <c r="J92" s="53"/>
      <c r="K92" s="53"/>
      <c r="P92" s="53"/>
    </row>
    <row r="93" spans="1:16">
      <c r="A93" s="53"/>
      <c r="D93" s="64"/>
      <c r="E93" s="64"/>
      <c r="G93" s="64"/>
      <c r="H93" s="64"/>
      <c r="I93" s="64"/>
      <c r="J93" s="53"/>
      <c r="K93" s="53"/>
      <c r="P93" s="53"/>
    </row>
    <row r="94" spans="1:16">
      <c r="A94" s="53"/>
      <c r="D94" s="64"/>
      <c r="E94" s="64"/>
      <c r="G94" s="64"/>
      <c r="H94" s="64"/>
      <c r="I94" s="64"/>
      <c r="J94" s="53"/>
      <c r="K94" s="53"/>
      <c r="P94" s="53"/>
    </row>
    <row r="95" spans="1:16">
      <c r="H95" s="77"/>
      <c r="I95" s="77"/>
      <c r="J95" s="78"/>
    </row>
  </sheetData>
  <phoneticPr fontId="87" type="noConversion"/>
  <conditionalFormatting sqref="C2:C4">
    <cfRule type="cellIs" dxfId="3" priority="5" operator="equal">
      <formula>"x"</formula>
    </cfRule>
  </conditionalFormatting>
  <conditionalFormatting sqref="G21:G29 E21:E30 K28 K30">
    <cfRule type="cellIs" dxfId="2" priority="3" operator="equal">
      <formula>0</formula>
    </cfRule>
  </conditionalFormatting>
  <conditionalFormatting sqref="K22:K23">
    <cfRule type="cellIs" dxfId="1" priority="1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3801-06FD-4BB6-AEB5-AC0ACA86FF5C}">
  <sheetPr>
    <tabColor rgb="FF92D050"/>
  </sheetPr>
  <dimension ref="A1:DO152"/>
  <sheetViews>
    <sheetView topLeftCell="A64" workbookViewId="0">
      <selection activeCell="AG101" sqref="AG101"/>
    </sheetView>
  </sheetViews>
  <sheetFormatPr defaultColWidth="11.453125" defaultRowHeight="14.5" outlineLevelCol="1"/>
  <cols>
    <col min="1" max="1" width="9.26953125" style="1271" bestFit="1" customWidth="1"/>
    <col min="2" max="2" width="5.1796875" style="1619" bestFit="1" customWidth="1"/>
    <col min="3" max="3" width="37.81640625" style="1145" bestFit="1" customWidth="1"/>
    <col min="4" max="4" width="6.26953125" style="1342" hidden="1" customWidth="1" outlineLevel="1"/>
    <col min="5" max="5" width="7" style="1342" hidden="1" customWidth="1" outlineLevel="1"/>
    <col min="6" max="7" width="11" style="1342" hidden="1" customWidth="1" outlineLevel="1"/>
    <col min="8" max="8" width="6.54296875" style="1620" hidden="1" customWidth="1" outlineLevel="1"/>
    <col min="9" max="9" width="9.54296875" style="1342" hidden="1" customWidth="1" outlineLevel="1"/>
    <col min="10" max="10" width="6.1796875" style="1342" hidden="1" customWidth="1" outlineLevel="1"/>
    <col min="11" max="11" width="5.54296875" style="1621" hidden="1" customWidth="1" outlineLevel="1"/>
    <col min="12" max="12" width="6.54296875" style="1622" hidden="1" customWidth="1" outlineLevel="1"/>
    <col min="13" max="13" width="3.7265625" style="1623" customWidth="1" collapsed="1"/>
    <col min="14" max="14" width="6" style="1631" hidden="1" customWidth="1" outlineLevel="1"/>
    <col min="15" max="15" width="4.7265625" style="1631" hidden="1" customWidth="1" outlineLevel="1"/>
    <col min="16" max="16" width="6" style="1631" hidden="1" customWidth="1" outlineLevel="1"/>
    <col min="17" max="19" width="5.1796875" style="1631" hidden="1" customWidth="1" outlineLevel="1"/>
    <col min="20" max="20" width="3.7265625" style="1623" customWidth="1" collapsed="1"/>
    <col min="21" max="21" width="5.1796875" style="1146" hidden="1" customWidth="1" outlineLevel="1"/>
    <col min="22" max="23" width="4.7265625" style="1146" hidden="1" customWidth="1" outlineLevel="1"/>
    <col min="24" max="24" width="5.1796875" style="1146" hidden="1" customWidth="1" outlineLevel="1"/>
    <col min="25" max="25" width="4.7265625" style="1146" hidden="1" customWidth="1" outlineLevel="1"/>
    <col min="26" max="26" width="6.7265625" style="1146" hidden="1" customWidth="1" outlineLevel="1"/>
    <col min="27" max="27" width="8.7265625" style="1146" hidden="1" customWidth="1" outlineLevel="1"/>
    <col min="28" max="28" width="5.1796875" style="1146" hidden="1" customWidth="1" outlineLevel="1"/>
    <col min="29" max="29" width="3.7265625" style="1623" customWidth="1" collapsed="1"/>
    <col min="30" max="30" width="6" style="1147" customWidth="1" outlineLevel="1"/>
    <col min="31" max="31" width="6.54296875" style="1147" customWidth="1" outlineLevel="1"/>
    <col min="32" max="33" width="6" style="1147" customWidth="1" outlineLevel="1"/>
    <col min="34" max="34" width="5.1796875" style="1147" customWidth="1" outlineLevel="1"/>
    <col min="35" max="35" width="6" style="1147" customWidth="1" outlineLevel="1"/>
    <col min="36" max="36" width="6.54296875" style="1147" customWidth="1" outlineLevel="1"/>
    <col min="37" max="37" width="3.7265625" style="1633" customWidth="1"/>
    <col min="38" max="38" width="5.1796875" style="1147" hidden="1" customWidth="1" outlineLevel="1"/>
    <col min="39" max="39" width="4.7265625" style="1147" hidden="1" customWidth="1" outlineLevel="1"/>
    <col min="40" max="40" width="5.1796875" style="1147" hidden="1" customWidth="1" outlineLevel="1"/>
    <col min="41" max="43" width="4.7265625" style="1147" hidden="1" customWidth="1" outlineLevel="1"/>
    <col min="44" max="45" width="5.1796875" style="1147" hidden="1" customWidth="1" outlineLevel="1"/>
    <col min="46" max="46" width="4.7265625" style="1147" hidden="1" customWidth="1" outlineLevel="1"/>
    <col min="47" max="47" width="6.54296875" style="1147" hidden="1" customWidth="1" outlineLevel="1"/>
    <col min="48" max="48" width="3.26953125" style="1623" customWidth="1" collapsed="1"/>
    <col min="49" max="49" width="6" style="1149" hidden="1" customWidth="1" outlineLevel="1"/>
    <col min="50" max="50" width="4.7265625" style="1149" hidden="1" customWidth="1" outlineLevel="1"/>
    <col min="51" max="52" width="6" style="1149" hidden="1" customWidth="1" outlineLevel="1"/>
    <col min="53" max="53" width="4.7265625" style="1149" hidden="1" customWidth="1" outlineLevel="1"/>
    <col min="54" max="54" width="9.453125" style="1149" hidden="1" customWidth="1" outlineLevel="1"/>
    <col min="55" max="55" width="3.7265625" style="1341" customWidth="1" collapsed="1"/>
    <col min="56" max="56" width="4.7265625" style="1619" hidden="1" customWidth="1" outlineLevel="1"/>
    <col min="57" max="58" width="5.1796875" style="1619" hidden="1" customWidth="1" outlineLevel="1"/>
    <col min="59" max="59" width="4.7265625" style="1619" hidden="1" customWidth="1" outlineLevel="1"/>
    <col min="60" max="60" width="6" style="1619" hidden="1" customWidth="1" outlineLevel="1"/>
    <col min="61" max="61" width="4.7265625" style="1619" hidden="1" customWidth="1" outlineLevel="1"/>
    <col min="62" max="62" width="5.1796875" style="1619" hidden="1" customWidth="1" outlineLevel="1"/>
    <col min="63" max="63" width="4.7265625" style="1619" hidden="1" customWidth="1" outlineLevel="1"/>
    <col min="64" max="64" width="5.1796875" style="1149" hidden="1" customWidth="1" outlineLevel="1"/>
    <col min="65" max="65" width="4.7265625" style="1149" hidden="1" customWidth="1" outlineLevel="1"/>
    <col min="66" max="67" width="5.1796875" style="1149" hidden="1" customWidth="1" outlineLevel="1"/>
    <col min="68" max="68" width="3.7265625" style="1143" customWidth="1" collapsed="1"/>
    <col min="69" max="69" width="4.7265625" style="1149" hidden="1" customWidth="1" outlineLevel="1"/>
    <col min="70" max="70" width="5.1796875" style="1149" hidden="1" customWidth="1" outlineLevel="1"/>
    <col min="71" max="72" width="8.54296875" style="1150" hidden="1" customWidth="1" outlineLevel="1"/>
    <col min="73" max="74" width="6.7265625" style="1149" hidden="1" customWidth="1" outlineLevel="1"/>
    <col min="75" max="75" width="8.7265625" style="1149" hidden="1" customWidth="1" outlineLevel="1"/>
    <col min="76" max="76" width="8.453125" style="1149" hidden="1" customWidth="1" outlineLevel="1"/>
    <col min="77" max="77" width="5" style="1149" hidden="1" customWidth="1" outlineLevel="1"/>
    <col min="78" max="78" width="6.7265625" style="1149" hidden="1" customWidth="1" outlineLevel="1"/>
    <col min="79" max="79" width="4.26953125" style="1341" customWidth="1" collapsed="1"/>
    <col min="80" max="82" width="6.54296875" style="1147" hidden="1" customWidth="1" outlineLevel="1"/>
    <col min="83" max="83" width="5.1796875" style="1147" hidden="1" customWidth="1" outlineLevel="1"/>
    <col min="84" max="87" width="4.453125" style="1147" hidden="1" customWidth="1" outlineLevel="1"/>
    <col min="88" max="88" width="6.81640625" style="1147" hidden="1" customWidth="1" outlineLevel="1"/>
    <col min="89" max="89" width="5.1796875" style="1147" hidden="1" customWidth="1" outlineLevel="1"/>
    <col min="90" max="90" width="4.453125" style="1147" hidden="1" customWidth="1" outlineLevel="1"/>
    <col min="91" max="92" width="5.453125" style="1147" hidden="1" customWidth="1" outlineLevel="1"/>
    <col min="93" max="93" width="6" style="1147" hidden="1" customWidth="1" outlineLevel="1"/>
    <col min="94" max="99" width="5.453125" style="1147" hidden="1" customWidth="1" outlineLevel="1"/>
    <col min="100" max="102" width="5.1796875" style="1147" hidden="1" customWidth="1" outlineLevel="1"/>
    <col min="103" max="103" width="4.7265625" style="1147" customWidth="1" collapsed="1"/>
    <col min="104" max="105" width="4.54296875" style="1631" customWidth="1" outlineLevel="1"/>
    <col min="106" max="108" width="4.54296875" style="1619" customWidth="1" outlineLevel="1"/>
    <col min="109" max="110" width="6" style="1619" customWidth="1" outlineLevel="1"/>
    <col min="111" max="111" width="8.54296875" style="1619" customWidth="1" outlineLevel="1"/>
    <col min="112" max="113" width="6" style="1619" customWidth="1" outlineLevel="1"/>
    <col min="114" max="114" width="3.26953125" style="1341" customWidth="1"/>
    <col min="115" max="118" width="5.81640625" style="1342" customWidth="1"/>
    <col min="119" max="119" width="6.54296875" style="1342" bestFit="1" customWidth="1"/>
    <col min="120" max="132" width="5.81640625" style="1342" customWidth="1"/>
    <col min="133" max="16384" width="11.453125" style="1342"/>
  </cols>
  <sheetData>
    <row r="1" spans="1:119" s="1271" customFormat="1" ht="10" customHeight="1">
      <c r="A1" s="2065"/>
      <c r="B1" s="2065"/>
      <c r="C1" s="993"/>
      <c r="K1" s="1272"/>
      <c r="L1" s="1273"/>
      <c r="M1" s="1273"/>
      <c r="N1" s="1274"/>
      <c r="O1" s="1274"/>
      <c r="P1" s="1274"/>
      <c r="Q1" s="1274"/>
      <c r="R1" s="1274"/>
      <c r="S1" s="1274"/>
      <c r="T1" s="1273"/>
      <c r="U1" s="994"/>
      <c r="V1" s="994"/>
      <c r="W1" s="994"/>
      <c r="X1" s="994"/>
      <c r="Y1" s="994"/>
      <c r="Z1" s="994"/>
      <c r="AA1" s="994"/>
      <c r="AB1" s="994"/>
      <c r="AC1" s="1273"/>
      <c r="AD1" s="995"/>
      <c r="AE1" s="995"/>
      <c r="AF1" s="995"/>
      <c r="AG1" s="995"/>
      <c r="AH1" s="995"/>
      <c r="AI1" s="995"/>
      <c r="AJ1" s="995"/>
      <c r="AK1" s="1275"/>
      <c r="AL1" s="995"/>
      <c r="AM1" s="995"/>
      <c r="AN1" s="995"/>
      <c r="AO1" s="995"/>
      <c r="AP1" s="995"/>
      <c r="AQ1" s="995"/>
      <c r="AR1" s="995"/>
      <c r="AS1" s="995"/>
      <c r="AT1" s="995"/>
      <c r="AU1" s="995"/>
      <c r="AV1" s="1275"/>
      <c r="AW1" s="995"/>
      <c r="AX1" s="995"/>
      <c r="AY1" s="995"/>
      <c r="AZ1" s="995"/>
      <c r="BA1" s="995"/>
      <c r="BB1" s="995"/>
      <c r="BC1" s="1275"/>
      <c r="BD1" s="1276"/>
      <c r="BE1" s="1276"/>
      <c r="BF1" s="1276"/>
      <c r="BG1" s="1276"/>
      <c r="BH1" s="1276"/>
      <c r="BI1" s="1276"/>
      <c r="BJ1" s="1276"/>
      <c r="BK1" s="1276"/>
      <c r="BL1" s="995"/>
      <c r="BM1" s="995"/>
      <c r="BN1" s="995"/>
      <c r="BO1" s="995"/>
      <c r="BP1" s="995"/>
      <c r="BQ1" s="995"/>
      <c r="BR1" s="995"/>
      <c r="BS1" s="995"/>
      <c r="BT1" s="995"/>
      <c r="BU1" s="995"/>
      <c r="BV1" s="995"/>
      <c r="BW1" s="995"/>
      <c r="BX1" s="995"/>
      <c r="BY1" s="995"/>
      <c r="BZ1" s="995"/>
      <c r="CA1" s="1275"/>
      <c r="CB1" s="995"/>
      <c r="CC1" s="995"/>
      <c r="CD1" s="995"/>
      <c r="CE1" s="995"/>
      <c r="CF1" s="995"/>
      <c r="CG1" s="995"/>
      <c r="CH1" s="995"/>
      <c r="CI1" s="995"/>
      <c r="CJ1" s="995"/>
      <c r="CK1" s="995"/>
      <c r="CL1" s="995"/>
      <c r="CM1" s="995"/>
      <c r="CN1" s="995"/>
      <c r="CO1" s="995"/>
      <c r="CP1" s="995"/>
      <c r="CQ1" s="995"/>
      <c r="CR1" s="995"/>
      <c r="CS1" s="995"/>
      <c r="CT1" s="995"/>
      <c r="CU1" s="995"/>
      <c r="CV1" s="995"/>
      <c r="CW1" s="995"/>
      <c r="CX1" s="995"/>
      <c r="CY1" s="995"/>
      <c r="CZ1" s="1277"/>
      <c r="DA1" s="1277"/>
      <c r="DB1" s="1278"/>
      <c r="DC1" s="1278"/>
      <c r="DD1" s="1278"/>
      <c r="DE1" s="1278"/>
      <c r="DF1" s="1278"/>
      <c r="DG1" s="1278"/>
      <c r="DH1" s="1278"/>
      <c r="DI1" s="1278"/>
      <c r="DJ1" s="1279"/>
    </row>
    <row r="2" spans="1:119" s="1271" customFormat="1" ht="14.5" customHeight="1">
      <c r="A2" s="2066"/>
      <c r="B2" s="2066"/>
      <c r="C2" s="996"/>
      <c r="D2" s="1281"/>
      <c r="E2" s="1281"/>
      <c r="F2" s="1273"/>
      <c r="G2" s="1273"/>
      <c r="H2" s="1282"/>
      <c r="I2" s="1282"/>
      <c r="J2" s="1272" t="s">
        <v>371</v>
      </c>
      <c r="K2" s="1272"/>
      <c r="L2" s="1273"/>
      <c r="M2" s="1273"/>
      <c r="N2" s="1283" t="s">
        <v>74</v>
      </c>
      <c r="O2" s="1283"/>
      <c r="P2" s="1283"/>
      <c r="Q2" s="1283"/>
      <c r="R2" s="1283"/>
      <c r="S2" s="1283"/>
      <c r="T2" s="1284"/>
      <c r="U2" s="997" t="s">
        <v>84</v>
      </c>
      <c r="V2" s="998"/>
      <c r="W2" s="998"/>
      <c r="X2" s="998"/>
      <c r="Y2" s="998"/>
      <c r="Z2" s="998"/>
      <c r="AA2" s="998"/>
      <c r="AB2" s="999"/>
      <c r="AC2" s="1273"/>
      <c r="AD2" s="997" t="s">
        <v>77</v>
      </c>
      <c r="AE2" s="998"/>
      <c r="AF2" s="998"/>
      <c r="AG2" s="998"/>
      <c r="AH2" s="998"/>
      <c r="AI2" s="998"/>
      <c r="AJ2" s="999"/>
      <c r="AK2" s="1285"/>
      <c r="AL2" s="1007" t="s">
        <v>100</v>
      </c>
      <c r="AM2" s="1007"/>
      <c r="AN2" s="1007"/>
      <c r="AO2" s="1007"/>
      <c r="AP2" s="1007"/>
      <c r="AQ2" s="1007"/>
      <c r="AR2" s="1007"/>
      <c r="AS2" s="1007"/>
      <c r="AT2" s="1007"/>
      <c r="AU2" s="1007"/>
      <c r="AV2" s="1286"/>
      <c r="AW2" s="1000" t="s">
        <v>158</v>
      </c>
      <c r="AX2" s="1001"/>
      <c r="AY2" s="1001"/>
      <c r="AZ2" s="1001"/>
      <c r="BA2" s="1001"/>
      <c r="BB2" s="1002"/>
      <c r="BC2" s="1287"/>
      <c r="BD2" s="1288" t="s">
        <v>372</v>
      </c>
      <c r="BE2" s="1289"/>
      <c r="BF2" s="1289"/>
      <c r="BG2" s="1289"/>
      <c r="BH2" s="1289"/>
      <c r="BI2" s="1289"/>
      <c r="BJ2" s="1290"/>
      <c r="BK2" s="1289"/>
      <c r="BL2" s="997" t="s">
        <v>373</v>
      </c>
      <c r="BM2" s="998"/>
      <c r="BN2" s="998"/>
      <c r="BO2" s="999"/>
      <c r="BP2" s="1003"/>
      <c r="BQ2" s="1004" t="s">
        <v>1484</v>
      </c>
      <c r="BR2" s="1005"/>
      <c r="BS2" s="1005"/>
      <c r="BT2" s="1005"/>
      <c r="BU2" s="1005"/>
      <c r="BV2" s="1005"/>
      <c r="BW2" s="1005"/>
      <c r="BX2" s="1005"/>
      <c r="BY2" s="1005"/>
      <c r="BZ2" s="1006"/>
      <c r="CA2" s="1279"/>
      <c r="CB2" s="1007" t="s">
        <v>374</v>
      </c>
      <c r="CC2" s="1007"/>
      <c r="CD2" s="1007"/>
      <c r="CE2" s="1007"/>
      <c r="CF2" s="1007"/>
      <c r="CG2" s="1007"/>
      <c r="CH2" s="1007"/>
      <c r="CI2" s="1007"/>
      <c r="CJ2" s="1007"/>
      <c r="CK2" s="1007"/>
      <c r="CL2" s="1007"/>
      <c r="CM2" s="1007"/>
      <c r="CN2" s="1007"/>
      <c r="CO2" s="1007"/>
      <c r="CP2" s="1007"/>
      <c r="CQ2" s="1007"/>
      <c r="CR2" s="1007"/>
      <c r="CS2" s="1007"/>
      <c r="CT2" s="1007"/>
      <c r="CU2" s="1004"/>
      <c r="CV2" s="1007"/>
      <c r="CW2" s="1007"/>
      <c r="CX2" s="1007"/>
      <c r="CY2" s="1008"/>
      <c r="CZ2" s="2067" t="s">
        <v>375</v>
      </c>
      <c r="DA2" s="2068"/>
      <c r="DB2" s="2068"/>
      <c r="DC2" s="2068"/>
      <c r="DD2" s="2069"/>
      <c r="DE2" s="2067" t="s">
        <v>376</v>
      </c>
      <c r="DF2" s="2068"/>
      <c r="DG2" s="2068"/>
      <c r="DH2" s="2068"/>
      <c r="DI2" s="2069"/>
      <c r="DJ2" s="1279"/>
    </row>
    <row r="3" spans="1:119" s="1271" customFormat="1" ht="14.5" customHeight="1">
      <c r="A3" s="2066"/>
      <c r="B3" s="2066"/>
      <c r="C3" s="996"/>
      <c r="D3" s="1281"/>
      <c r="E3" s="1281"/>
      <c r="F3" s="1273"/>
      <c r="G3" s="1273"/>
      <c r="H3" s="1291"/>
      <c r="I3" s="1291"/>
      <c r="J3" s="1272" t="s">
        <v>377</v>
      </c>
      <c r="K3" s="1272"/>
      <c r="L3" s="1273"/>
      <c r="M3" s="1273"/>
      <c r="N3" s="1283" t="s">
        <v>2103</v>
      </c>
      <c r="O3" s="1283"/>
      <c r="P3" s="1292"/>
      <c r="Q3" s="1283" t="s">
        <v>2104</v>
      </c>
      <c r="R3" s="1283"/>
      <c r="S3" s="1283"/>
      <c r="T3" s="1285"/>
      <c r="U3" s="1004" t="s">
        <v>2105</v>
      </c>
      <c r="V3" s="1005"/>
      <c r="W3" s="1005"/>
      <c r="X3" s="1005"/>
      <c r="Y3" s="1006"/>
      <c r="Z3" s="1004" t="s">
        <v>2106</v>
      </c>
      <c r="AA3" s="1005"/>
      <c r="AB3" s="1006"/>
      <c r="AC3" s="1273"/>
      <c r="AD3" s="1009"/>
      <c r="AE3" s="1010"/>
      <c r="AF3" s="1010"/>
      <c r="AG3" s="1010"/>
      <c r="AH3" s="1010"/>
      <c r="AI3" s="1010"/>
      <c r="AJ3" s="1011"/>
      <c r="AK3" s="1285"/>
      <c r="AL3" s="1007" t="s">
        <v>2107</v>
      </c>
      <c r="AM3" s="1007"/>
      <c r="AN3" s="1007"/>
      <c r="AO3" s="1007"/>
      <c r="AP3" s="1007"/>
      <c r="AQ3" s="1004"/>
      <c r="AR3" s="1007" t="s">
        <v>2106</v>
      </c>
      <c r="AS3" s="1007"/>
      <c r="AT3" s="1007"/>
      <c r="AU3" s="1293" t="s">
        <v>1475</v>
      </c>
      <c r="AV3" s="1286"/>
      <c r="AW3" s="1294" t="s">
        <v>378</v>
      </c>
      <c r="AX3" s="1294"/>
      <c r="AY3" s="1294"/>
      <c r="AZ3" s="1294"/>
      <c r="BA3" s="1294"/>
      <c r="BB3" s="1294" t="s">
        <v>2108</v>
      </c>
      <c r="BC3" s="1295"/>
      <c r="BD3" s="1296"/>
      <c r="BE3" s="1297"/>
      <c r="BF3" s="1297"/>
      <c r="BG3" s="1297"/>
      <c r="BH3" s="1297"/>
      <c r="BI3" s="1297"/>
      <c r="BJ3" s="1298"/>
      <c r="BK3" s="1297"/>
      <c r="BL3" s="1012"/>
      <c r="BM3" s="1013"/>
      <c r="BN3" s="1013"/>
      <c r="BO3" s="1014"/>
      <c r="BP3" s="1003"/>
      <c r="BQ3" s="1015" t="s">
        <v>379</v>
      </c>
      <c r="BR3" s="1016"/>
      <c r="BS3" s="1299"/>
      <c r="BT3" s="1015" t="s">
        <v>2109</v>
      </c>
      <c r="BU3" s="1016"/>
      <c r="BV3" s="1017"/>
      <c r="BW3" s="1005" t="s">
        <v>380</v>
      </c>
      <c r="BX3" s="1005"/>
      <c r="BY3" s="1005"/>
      <c r="BZ3" s="1006"/>
      <c r="CA3" s="1279"/>
      <c r="CB3" s="1022" t="s">
        <v>381</v>
      </c>
      <c r="CC3" s="1023"/>
      <c r="CD3" s="1023"/>
      <c r="CE3" s="1007" t="s">
        <v>1488</v>
      </c>
      <c r="CF3" s="1006"/>
      <c r="CG3" s="1007"/>
      <c r="CH3" s="1007"/>
      <c r="CI3" s="1007"/>
      <c r="CJ3" s="1007"/>
      <c r="CK3" s="1007"/>
      <c r="CL3" s="1007"/>
      <c r="CM3" s="1007"/>
      <c r="CN3" s="1007"/>
      <c r="CO3" s="1007"/>
      <c r="CP3" s="1007"/>
      <c r="CQ3" s="1007"/>
      <c r="CR3" s="1007"/>
      <c r="CS3" s="1007"/>
      <c r="CT3" s="1007"/>
      <c r="CU3" s="1007"/>
      <c r="CV3" s="1006" t="s">
        <v>1489</v>
      </c>
      <c r="CW3" s="1007"/>
      <c r="CX3" s="1007"/>
      <c r="CY3" s="1008"/>
      <c r="CZ3" s="2070"/>
      <c r="DA3" s="2071"/>
      <c r="DB3" s="2071"/>
      <c r="DC3" s="2071"/>
      <c r="DD3" s="2072"/>
      <c r="DE3" s="2070"/>
      <c r="DF3" s="2071"/>
      <c r="DG3" s="2071"/>
      <c r="DH3" s="2071"/>
      <c r="DI3" s="2072"/>
      <c r="DJ3" s="1279"/>
    </row>
    <row r="4" spans="1:119" s="1271" customFormat="1" ht="17.5" customHeight="1">
      <c r="A4" s="2066"/>
      <c r="B4" s="2066"/>
      <c r="C4" s="996"/>
      <c r="D4" s="1281"/>
      <c r="E4" s="1281"/>
      <c r="F4" s="1273"/>
      <c r="G4" s="1273"/>
      <c r="H4" s="1300"/>
      <c r="I4" s="1300"/>
      <c r="J4" s="1272" t="s">
        <v>382</v>
      </c>
      <c r="K4" s="1272"/>
      <c r="L4" s="1273"/>
      <c r="M4" s="1273"/>
      <c r="N4" s="1301" t="s">
        <v>392</v>
      </c>
      <c r="O4" s="1302" t="s">
        <v>393</v>
      </c>
      <c r="P4" s="1303" t="s">
        <v>394</v>
      </c>
      <c r="Q4" s="1301" t="s">
        <v>395</v>
      </c>
      <c r="R4" s="1302" t="s">
        <v>396</v>
      </c>
      <c r="S4" s="1304" t="s">
        <v>397</v>
      </c>
      <c r="T4" s="1280"/>
      <c r="U4" s="1031" t="s">
        <v>387</v>
      </c>
      <c r="V4" s="1305" t="s">
        <v>388</v>
      </c>
      <c r="W4" s="1305" t="s">
        <v>1446</v>
      </c>
      <c r="X4" s="1032" t="s">
        <v>389</v>
      </c>
      <c r="Y4" s="1033" t="s">
        <v>390</v>
      </c>
      <c r="Z4" s="1305" t="s">
        <v>1412</v>
      </c>
      <c r="AA4" s="1032" t="s">
        <v>1449</v>
      </c>
      <c r="AB4" s="1033" t="s">
        <v>1450</v>
      </c>
      <c r="AC4" s="1273"/>
      <c r="AD4" s="1027" t="s">
        <v>391</v>
      </c>
      <c r="AE4" s="1028" t="s">
        <v>1789</v>
      </c>
      <c r="AF4" s="1029" t="s">
        <v>383</v>
      </c>
      <c r="AG4" s="1029" t="s">
        <v>384</v>
      </c>
      <c r="AH4" s="1029" t="s">
        <v>385</v>
      </c>
      <c r="AI4" s="1029" t="s">
        <v>386</v>
      </c>
      <c r="AJ4" s="1030" t="s">
        <v>2110</v>
      </c>
      <c r="AK4" s="1306"/>
      <c r="AL4" s="1031" t="s">
        <v>392</v>
      </c>
      <c r="AM4" s="1032" t="s">
        <v>393</v>
      </c>
      <c r="AN4" s="1032" t="s">
        <v>394</v>
      </c>
      <c r="AO4" s="1032" t="s">
        <v>395</v>
      </c>
      <c r="AP4" s="1032" t="s">
        <v>396</v>
      </c>
      <c r="AQ4" s="1307" t="s">
        <v>397</v>
      </c>
      <c r="AR4" s="1031" t="s">
        <v>398</v>
      </c>
      <c r="AS4" s="1032" t="s">
        <v>399</v>
      </c>
      <c r="AT4" s="1033" t="s">
        <v>1413</v>
      </c>
      <c r="AU4" s="1308" t="s">
        <v>1414</v>
      </c>
      <c r="AV4" s="1309"/>
      <c r="AW4" s="1024" t="s">
        <v>400</v>
      </c>
      <c r="AX4" s="1025" t="s">
        <v>401</v>
      </c>
      <c r="AY4" s="1025" t="s">
        <v>402</v>
      </c>
      <c r="AZ4" s="1025" t="s">
        <v>403</v>
      </c>
      <c r="BA4" s="1026" t="s">
        <v>404</v>
      </c>
      <c r="BB4" s="1310" t="s">
        <v>2111</v>
      </c>
      <c r="BC4" s="1311"/>
      <c r="BD4" s="1312" t="s">
        <v>400</v>
      </c>
      <c r="BE4" s="1313" t="s">
        <v>401</v>
      </c>
      <c r="BF4" s="1313" t="s">
        <v>402</v>
      </c>
      <c r="BG4" s="1313" t="s">
        <v>403</v>
      </c>
      <c r="BH4" s="1313" t="s">
        <v>404</v>
      </c>
      <c r="BI4" s="1313" t="s">
        <v>405</v>
      </c>
      <c r="BJ4" s="1314" t="s">
        <v>406</v>
      </c>
      <c r="BK4" s="1653" t="s">
        <v>2346</v>
      </c>
      <c r="BL4" s="1024" t="s">
        <v>408</v>
      </c>
      <c r="BM4" s="1025" t="s">
        <v>409</v>
      </c>
      <c r="BN4" s="1025" t="s">
        <v>1868</v>
      </c>
      <c r="BO4" s="1026" t="s">
        <v>2112</v>
      </c>
      <c r="BP4" s="1034"/>
      <c r="BQ4" s="1024" t="s">
        <v>1477</v>
      </c>
      <c r="BR4" s="1025" t="s">
        <v>1478</v>
      </c>
      <c r="BS4" s="1035" t="s">
        <v>1479</v>
      </c>
      <c r="BT4" s="1024" t="s">
        <v>2113</v>
      </c>
      <c r="BU4" s="1025" t="s">
        <v>411</v>
      </c>
      <c r="BV4" s="1026" t="s">
        <v>410</v>
      </c>
      <c r="BW4" s="1025" t="s">
        <v>412</v>
      </c>
      <c r="BX4" s="1025" t="s">
        <v>413</v>
      </c>
      <c r="BY4" s="1035" t="s">
        <v>1483</v>
      </c>
      <c r="BZ4" s="1026" t="s">
        <v>2345</v>
      </c>
      <c r="CA4" s="1279"/>
      <c r="CB4" s="1036" t="s">
        <v>2114</v>
      </c>
      <c r="CC4" s="1037" t="s">
        <v>2115</v>
      </c>
      <c r="CD4" s="1037" t="s">
        <v>2116</v>
      </c>
      <c r="CE4" s="1036" t="s">
        <v>414</v>
      </c>
      <c r="CF4" s="1037" t="s">
        <v>415</v>
      </c>
      <c r="CG4" s="1037" t="s">
        <v>416</v>
      </c>
      <c r="CH4" s="1037" t="s">
        <v>417</v>
      </c>
      <c r="CI4" s="1037" t="s">
        <v>418</v>
      </c>
      <c r="CJ4" s="1037" t="s">
        <v>419</v>
      </c>
      <c r="CK4" s="1037" t="s">
        <v>420</v>
      </c>
      <c r="CL4" s="1037" t="s">
        <v>421</v>
      </c>
      <c r="CM4" s="1037" t="s">
        <v>422</v>
      </c>
      <c r="CN4" s="1037" t="s">
        <v>423</v>
      </c>
      <c r="CO4" s="1037" t="s">
        <v>424</v>
      </c>
      <c r="CP4" s="1037" t="s">
        <v>425</v>
      </c>
      <c r="CQ4" s="1037" t="s">
        <v>426</v>
      </c>
      <c r="CR4" s="1037" t="s">
        <v>427</v>
      </c>
      <c r="CS4" s="1037" t="s">
        <v>428</v>
      </c>
      <c r="CT4" s="1037" t="s">
        <v>429</v>
      </c>
      <c r="CU4" s="1037" t="s">
        <v>430</v>
      </c>
      <c r="CV4" s="1036" t="s">
        <v>2117</v>
      </c>
      <c r="CW4" s="1037" t="s">
        <v>2118</v>
      </c>
      <c r="CX4" s="1039" t="s">
        <v>2119</v>
      </c>
      <c r="CY4" s="1038"/>
      <c r="CZ4" s="1036" t="s">
        <v>1790</v>
      </c>
      <c r="DA4" s="1037" t="s">
        <v>1791</v>
      </c>
      <c r="DB4" s="1037" t="s">
        <v>1792</v>
      </c>
      <c r="DC4" s="1037" t="s">
        <v>1793</v>
      </c>
      <c r="DD4" s="1039" t="s">
        <v>1794</v>
      </c>
      <c r="DE4" s="1036" t="s">
        <v>1795</v>
      </c>
      <c r="DF4" s="1037" t="s">
        <v>1796</v>
      </c>
      <c r="DG4" s="1037" t="s">
        <v>1797</v>
      </c>
      <c r="DH4" s="1037" t="s">
        <v>1798</v>
      </c>
      <c r="DI4" s="1039" t="s">
        <v>1799</v>
      </c>
      <c r="DJ4" s="1279"/>
    </row>
    <row r="5" spans="1:119" s="1271" customFormat="1" ht="13">
      <c r="A5" s="1280"/>
      <c r="B5" s="1315"/>
      <c r="C5" s="996"/>
      <c r="D5" s="1281"/>
      <c r="E5" s="1281"/>
      <c r="F5" s="1273"/>
      <c r="G5" s="1273"/>
      <c r="H5" s="1316"/>
      <c r="I5" s="1316"/>
      <c r="J5" s="1272" t="s">
        <v>431</v>
      </c>
      <c r="K5" s="1272"/>
      <c r="L5" s="1273"/>
      <c r="M5" s="1273"/>
      <c r="N5" s="1317" t="s">
        <v>432</v>
      </c>
      <c r="O5" s="1318" t="s">
        <v>432</v>
      </c>
      <c r="P5" s="1319" t="s">
        <v>432</v>
      </c>
      <c r="Q5" s="1317" t="s">
        <v>432</v>
      </c>
      <c r="R5" s="1318" t="s">
        <v>432</v>
      </c>
      <c r="S5" s="1320" t="s">
        <v>432</v>
      </c>
      <c r="T5" s="1280"/>
      <c r="U5" s="1040" t="s">
        <v>432</v>
      </c>
      <c r="V5" s="1041" t="s">
        <v>432</v>
      </c>
      <c r="W5" s="1041" t="s">
        <v>432</v>
      </c>
      <c r="X5" s="1041" t="s">
        <v>432</v>
      </c>
      <c r="Y5" s="1042" t="s">
        <v>432</v>
      </c>
      <c r="Z5" s="1041" t="s">
        <v>432</v>
      </c>
      <c r="AA5" s="1041" t="s">
        <v>432</v>
      </c>
      <c r="AB5" s="1042" t="s">
        <v>432</v>
      </c>
      <c r="AC5" s="1273"/>
      <c r="AD5" s="1040" t="s">
        <v>432</v>
      </c>
      <c r="AE5" s="1041" t="s">
        <v>432</v>
      </c>
      <c r="AF5" s="1043" t="s">
        <v>432</v>
      </c>
      <c r="AG5" s="1043" t="s">
        <v>432</v>
      </c>
      <c r="AH5" s="1043" t="s">
        <v>432</v>
      </c>
      <c r="AI5" s="1043" t="s">
        <v>432</v>
      </c>
      <c r="AJ5" s="1044" t="s">
        <v>432</v>
      </c>
      <c r="AK5" s="1306"/>
      <c r="AL5" s="1040" t="s">
        <v>432</v>
      </c>
      <c r="AM5" s="1043" t="s">
        <v>432</v>
      </c>
      <c r="AN5" s="1043" t="s">
        <v>432</v>
      </c>
      <c r="AO5" s="1043" t="s">
        <v>432</v>
      </c>
      <c r="AP5" s="1043" t="s">
        <v>432</v>
      </c>
      <c r="AQ5" s="1045" t="s">
        <v>432</v>
      </c>
      <c r="AR5" s="1040" t="s">
        <v>432</v>
      </c>
      <c r="AS5" s="1043" t="s">
        <v>432</v>
      </c>
      <c r="AT5" s="1044" t="s">
        <v>432</v>
      </c>
      <c r="AU5" s="1042" t="s">
        <v>432</v>
      </c>
      <c r="AV5" s="1309"/>
      <c r="AW5" s="1040" t="s">
        <v>432</v>
      </c>
      <c r="AX5" s="1043" t="s">
        <v>432</v>
      </c>
      <c r="AY5" s="1043" t="s">
        <v>432</v>
      </c>
      <c r="AZ5" s="1043" t="s">
        <v>432</v>
      </c>
      <c r="BA5" s="1044" t="s">
        <v>432</v>
      </c>
      <c r="BB5" s="1042" t="s">
        <v>432</v>
      </c>
      <c r="BC5" s="1311"/>
      <c r="BD5" s="1317" t="s">
        <v>432</v>
      </c>
      <c r="BE5" s="1318" t="s">
        <v>432</v>
      </c>
      <c r="BF5" s="1318" t="s">
        <v>432</v>
      </c>
      <c r="BG5" s="1318" t="s">
        <v>432</v>
      </c>
      <c r="BH5" s="1318" t="s">
        <v>432</v>
      </c>
      <c r="BI5" s="1319" t="s">
        <v>432</v>
      </c>
      <c r="BJ5" s="1320" t="s">
        <v>432</v>
      </c>
      <c r="BK5" s="1654" t="s">
        <v>432</v>
      </c>
      <c r="BL5" s="1040" t="s">
        <v>432</v>
      </c>
      <c r="BM5" s="1043" t="s">
        <v>432</v>
      </c>
      <c r="BN5" s="1043" t="s">
        <v>432</v>
      </c>
      <c r="BO5" s="1044" t="s">
        <v>432</v>
      </c>
      <c r="BP5" s="1034"/>
      <c r="BQ5" s="1040" t="s">
        <v>432</v>
      </c>
      <c r="BR5" s="1043" t="s">
        <v>432</v>
      </c>
      <c r="BS5" s="1045" t="s">
        <v>432</v>
      </c>
      <c r="BT5" s="1040" t="s">
        <v>432</v>
      </c>
      <c r="BU5" s="1043" t="s">
        <v>432</v>
      </c>
      <c r="BV5" s="1044" t="s">
        <v>432</v>
      </c>
      <c r="BW5" s="1043" t="s">
        <v>432</v>
      </c>
      <c r="BX5" s="1043" t="s">
        <v>432</v>
      </c>
      <c r="BY5" s="1045" t="s">
        <v>432</v>
      </c>
      <c r="BZ5" s="1044" t="s">
        <v>432</v>
      </c>
      <c r="CA5" s="1279"/>
      <c r="CB5" s="1046"/>
      <c r="CC5" s="1047"/>
      <c r="CD5" s="1047"/>
      <c r="CE5" s="1046"/>
      <c r="CF5" s="1047"/>
      <c r="CG5" s="1047"/>
      <c r="CH5" s="1047"/>
      <c r="CI5" s="1047"/>
      <c r="CJ5" s="1047"/>
      <c r="CK5" s="1047"/>
      <c r="CL5" s="1047"/>
      <c r="CM5" s="1047"/>
      <c r="CN5" s="1047"/>
      <c r="CO5" s="1047"/>
      <c r="CP5" s="1047"/>
      <c r="CQ5" s="1047"/>
      <c r="CR5" s="1047"/>
      <c r="CS5" s="1047"/>
      <c r="CT5" s="1047"/>
      <c r="CU5" s="1048"/>
      <c r="CV5" s="1321"/>
      <c r="CW5" s="1047"/>
      <c r="CX5" s="1047"/>
      <c r="CY5" s="1049"/>
      <c r="CZ5" s="1322"/>
      <c r="DA5" s="1323"/>
      <c r="DB5" s="1323"/>
      <c r="DC5" s="1323"/>
      <c r="DD5" s="1324"/>
      <c r="DE5" s="1322"/>
      <c r="DF5" s="1323"/>
      <c r="DG5" s="1323"/>
      <c r="DH5" s="1323"/>
      <c r="DI5" s="1324"/>
      <c r="DJ5" s="1279"/>
    </row>
    <row r="6" spans="1:119" ht="104.25" customHeight="1">
      <c r="A6" s="1325"/>
      <c r="B6" s="1326"/>
      <c r="C6" s="1050" t="s">
        <v>2120</v>
      </c>
      <c r="D6" s="1327"/>
      <c r="E6" s="1327"/>
      <c r="F6" s="1328"/>
      <c r="G6" s="1329"/>
      <c r="H6" s="1330"/>
      <c r="I6" s="1329"/>
      <c r="J6" s="1329"/>
      <c r="K6" s="1331"/>
      <c r="L6" s="1273"/>
      <c r="M6" s="1329"/>
      <c r="N6" s="1332" t="s">
        <v>1445</v>
      </c>
      <c r="O6" s="1333" t="s">
        <v>1442</v>
      </c>
      <c r="P6" s="1334" t="s">
        <v>1800</v>
      </c>
      <c r="Q6" s="1332" t="s">
        <v>976</v>
      </c>
      <c r="R6" s="1333" t="s">
        <v>434</v>
      </c>
      <c r="S6" s="1335" t="s">
        <v>1441</v>
      </c>
      <c r="T6" s="1336"/>
      <c r="U6" s="1051" t="s">
        <v>1451</v>
      </c>
      <c r="V6" s="1052" t="s">
        <v>1416</v>
      </c>
      <c r="W6" s="1053" t="s">
        <v>1447</v>
      </c>
      <c r="X6" s="1052" t="s">
        <v>1415</v>
      </c>
      <c r="Y6" s="1054" t="s">
        <v>981</v>
      </c>
      <c r="Z6" s="1053" t="s">
        <v>1448</v>
      </c>
      <c r="AA6" s="1052" t="s">
        <v>1416</v>
      </c>
      <c r="AB6" s="1054" t="s">
        <v>436</v>
      </c>
      <c r="AC6" s="1329"/>
      <c r="AD6" s="1055" t="s">
        <v>437</v>
      </c>
      <c r="AE6" s="1056" t="s">
        <v>268</v>
      </c>
      <c r="AF6" s="1056" t="s">
        <v>1417</v>
      </c>
      <c r="AG6" s="1056" t="s">
        <v>1418</v>
      </c>
      <c r="AH6" s="1056" t="s">
        <v>438</v>
      </c>
      <c r="AI6" s="1056" t="s">
        <v>1801</v>
      </c>
      <c r="AJ6" s="1057" t="s">
        <v>268</v>
      </c>
      <c r="AK6" s="1337"/>
      <c r="AL6" s="1058" t="s">
        <v>439</v>
      </c>
      <c r="AM6" s="1059" t="s">
        <v>440</v>
      </c>
      <c r="AN6" s="1059" t="s">
        <v>441</v>
      </c>
      <c r="AO6" s="1059" t="s">
        <v>1467</v>
      </c>
      <c r="AP6" s="1059" t="s">
        <v>442</v>
      </c>
      <c r="AQ6" s="1062" t="s">
        <v>443</v>
      </c>
      <c r="AR6" s="1058" t="s">
        <v>444</v>
      </c>
      <c r="AS6" s="1059" t="s">
        <v>1419</v>
      </c>
      <c r="AT6" s="1060" t="s">
        <v>445</v>
      </c>
      <c r="AU6" s="1338" t="s">
        <v>446</v>
      </c>
      <c r="AV6" s="1339"/>
      <c r="AW6" s="1051" t="s">
        <v>1802</v>
      </c>
      <c r="AX6" s="1052" t="s">
        <v>2121</v>
      </c>
      <c r="AY6" s="1052" t="s">
        <v>1420</v>
      </c>
      <c r="AZ6" s="1052" t="s">
        <v>1421</v>
      </c>
      <c r="BA6" s="1054" t="s">
        <v>447</v>
      </c>
      <c r="BB6" s="1340" t="s">
        <v>1813</v>
      </c>
      <c r="BC6" s="1336"/>
      <c r="BD6" s="1332" t="s">
        <v>1803</v>
      </c>
      <c r="BE6" s="1333" t="s">
        <v>2122</v>
      </c>
      <c r="BF6" s="1333" t="s">
        <v>448</v>
      </c>
      <c r="BG6" s="1333" t="s">
        <v>449</v>
      </c>
      <c r="BH6" s="1333" t="s">
        <v>450</v>
      </c>
      <c r="BI6" s="1334" t="s">
        <v>451</v>
      </c>
      <c r="BJ6" s="1335" t="s">
        <v>1422</v>
      </c>
      <c r="BK6" s="1655" t="s">
        <v>2347</v>
      </c>
      <c r="BL6" s="1051" t="s">
        <v>1423</v>
      </c>
      <c r="BM6" s="1052" t="s">
        <v>2123</v>
      </c>
      <c r="BN6" s="1052" t="s">
        <v>2124</v>
      </c>
      <c r="BO6" s="1054" t="s">
        <v>2125</v>
      </c>
      <c r="BP6" s="1061"/>
      <c r="BQ6" s="1051" t="s">
        <v>452</v>
      </c>
      <c r="BR6" s="1052" t="s">
        <v>1804</v>
      </c>
      <c r="BS6" s="1062" t="s">
        <v>1424</v>
      </c>
      <c r="BT6" s="1051" t="s">
        <v>1480</v>
      </c>
      <c r="BU6" s="1052" t="s">
        <v>1481</v>
      </c>
      <c r="BV6" s="1054" t="s">
        <v>1485</v>
      </c>
      <c r="BW6" s="1052" t="s">
        <v>1480</v>
      </c>
      <c r="BX6" s="1052" t="s">
        <v>1481</v>
      </c>
      <c r="BY6" s="1646" t="s">
        <v>2318</v>
      </c>
      <c r="BZ6" s="1054" t="s">
        <v>1482</v>
      </c>
      <c r="CB6" s="1051" t="s">
        <v>453</v>
      </c>
      <c r="CC6" s="1052" t="s">
        <v>1487</v>
      </c>
      <c r="CD6" s="1052" t="s">
        <v>1003</v>
      </c>
      <c r="CE6" s="1051" t="s">
        <v>1653</v>
      </c>
      <c r="CF6" s="1052" t="s">
        <v>1654</v>
      </c>
      <c r="CG6" s="1052" t="s">
        <v>454</v>
      </c>
      <c r="CH6" s="1052" t="s">
        <v>2126</v>
      </c>
      <c r="CI6" s="1052" t="s">
        <v>1425</v>
      </c>
      <c r="CJ6" s="1052" t="s">
        <v>1426</v>
      </c>
      <c r="CK6" s="1052" t="s">
        <v>1427</v>
      </c>
      <c r="CL6" s="1052" t="s">
        <v>455</v>
      </c>
      <c r="CM6" s="1052" t="s">
        <v>456</v>
      </c>
      <c r="CN6" s="1052" t="s">
        <v>1627</v>
      </c>
      <c r="CO6" s="1052" t="s">
        <v>1626</v>
      </c>
      <c r="CP6" s="1052" t="s">
        <v>457</v>
      </c>
      <c r="CQ6" s="1052" t="s">
        <v>1805</v>
      </c>
      <c r="CR6" s="1052" t="s">
        <v>1806</v>
      </c>
      <c r="CS6" s="1052" t="s">
        <v>2127</v>
      </c>
      <c r="CT6" s="1052" t="s">
        <v>1430</v>
      </c>
      <c r="CU6" s="1054" t="s">
        <v>459</v>
      </c>
      <c r="CV6" s="1053" t="s">
        <v>1428</v>
      </c>
      <c r="CW6" s="1052" t="s">
        <v>1429</v>
      </c>
      <c r="CX6" s="1052" t="s">
        <v>458</v>
      </c>
      <c r="CY6" s="1063"/>
      <c r="CZ6" s="1332" t="s">
        <v>460</v>
      </c>
      <c r="DA6" s="1333" t="s">
        <v>461</v>
      </c>
      <c r="DB6" s="1333" t="s">
        <v>1431</v>
      </c>
      <c r="DC6" s="1333" t="s">
        <v>462</v>
      </c>
      <c r="DD6" s="1335" t="s">
        <v>1432</v>
      </c>
      <c r="DE6" s="1332" t="s">
        <v>463</v>
      </c>
      <c r="DF6" s="1333" t="s">
        <v>464</v>
      </c>
      <c r="DG6" s="1333" t="s">
        <v>465</v>
      </c>
      <c r="DH6" s="1333" t="s">
        <v>466</v>
      </c>
      <c r="DI6" s="1335" t="s">
        <v>467</v>
      </c>
    </row>
    <row r="7" spans="1:119" s="1271" customFormat="1" ht="13">
      <c r="A7" s="1343" t="s">
        <v>468</v>
      </c>
      <c r="B7" s="1344" t="s">
        <v>469</v>
      </c>
      <c r="C7" s="1064" t="s">
        <v>470</v>
      </c>
      <c r="D7" s="1345" t="s">
        <v>215</v>
      </c>
      <c r="E7" s="1346" t="s">
        <v>471</v>
      </c>
      <c r="F7" s="1347" t="s">
        <v>472</v>
      </c>
      <c r="G7" s="1348" t="s">
        <v>473</v>
      </c>
      <c r="H7" s="1349" t="s">
        <v>474</v>
      </c>
      <c r="I7" s="1350" t="s">
        <v>475</v>
      </c>
      <c r="J7" s="1345" t="s">
        <v>476</v>
      </c>
      <c r="K7" s="1351" t="s">
        <v>477</v>
      </c>
      <c r="L7" s="1352" t="s">
        <v>478</v>
      </c>
      <c r="M7" s="1353"/>
      <c r="N7" s="1354" t="s">
        <v>4</v>
      </c>
      <c r="O7" s="1355" t="s">
        <v>4</v>
      </c>
      <c r="P7" s="1356" t="s">
        <v>4</v>
      </c>
      <c r="Q7" s="1354" t="s">
        <v>4</v>
      </c>
      <c r="R7" s="1357" t="s">
        <v>4</v>
      </c>
      <c r="S7" s="1358" t="s">
        <v>4</v>
      </c>
      <c r="T7" s="1280"/>
      <c r="U7" s="1065" t="s">
        <v>4</v>
      </c>
      <c r="V7" s="1066" t="s">
        <v>59</v>
      </c>
      <c r="W7" s="1066" t="s">
        <v>56</v>
      </c>
      <c r="X7" s="1067" t="s">
        <v>4</v>
      </c>
      <c r="Y7" s="1070" t="s">
        <v>4</v>
      </c>
      <c r="Z7" s="1066" t="s">
        <v>4</v>
      </c>
      <c r="AA7" s="1068" t="s">
        <v>59</v>
      </c>
      <c r="AB7" s="1069" t="s">
        <v>56</v>
      </c>
      <c r="AC7" s="1353"/>
      <c r="AD7" s="1018" t="s">
        <v>4</v>
      </c>
      <c r="AE7" s="1019" t="s">
        <v>59</v>
      </c>
      <c r="AF7" s="1020" t="s">
        <v>4</v>
      </c>
      <c r="AG7" s="1020" t="s">
        <v>4</v>
      </c>
      <c r="AH7" s="1020" t="s">
        <v>4</v>
      </c>
      <c r="AI7" s="1020" t="s">
        <v>4</v>
      </c>
      <c r="AJ7" s="1021" t="s">
        <v>59</v>
      </c>
      <c r="AK7" s="1359"/>
      <c r="AL7" s="1065" t="s">
        <v>4</v>
      </c>
      <c r="AM7" s="1067" t="s">
        <v>4</v>
      </c>
      <c r="AN7" s="1067" t="s">
        <v>59</v>
      </c>
      <c r="AO7" s="1067" t="s">
        <v>59</v>
      </c>
      <c r="AP7" s="1067" t="s">
        <v>59</v>
      </c>
      <c r="AQ7" s="1360" t="s">
        <v>59</v>
      </c>
      <c r="AR7" s="1065" t="s">
        <v>4</v>
      </c>
      <c r="AS7" s="1067" t="s">
        <v>59</v>
      </c>
      <c r="AT7" s="1070" t="s">
        <v>59</v>
      </c>
      <c r="AU7" s="1361" t="s">
        <v>4</v>
      </c>
      <c r="AV7" s="1362"/>
      <c r="AW7" s="1065" t="s">
        <v>72</v>
      </c>
      <c r="AX7" s="1067" t="s">
        <v>72</v>
      </c>
      <c r="AY7" s="1067" t="s">
        <v>72</v>
      </c>
      <c r="AZ7" s="1067" t="s">
        <v>72</v>
      </c>
      <c r="BA7" s="1070" t="s">
        <v>72</v>
      </c>
      <c r="BB7" s="1361" t="s">
        <v>72</v>
      </c>
      <c r="BC7" s="1363"/>
      <c r="BD7" s="1364" t="s">
        <v>4</v>
      </c>
      <c r="BE7" s="1365" t="s">
        <v>4</v>
      </c>
      <c r="BF7" s="1365" t="s">
        <v>4</v>
      </c>
      <c r="BG7" s="1365" t="s">
        <v>4</v>
      </c>
      <c r="BH7" s="1365" t="s">
        <v>4</v>
      </c>
      <c r="BI7" s="1366" t="s">
        <v>4</v>
      </c>
      <c r="BJ7" s="1367" t="s">
        <v>4</v>
      </c>
      <c r="BK7" s="1656" t="s">
        <v>59</v>
      </c>
      <c r="BL7" s="1071" t="s">
        <v>59</v>
      </c>
      <c r="BM7" s="1073" t="s">
        <v>59</v>
      </c>
      <c r="BN7" s="1073" t="s">
        <v>59</v>
      </c>
      <c r="BO7" s="1075" t="s">
        <v>59</v>
      </c>
      <c r="BP7" s="1072"/>
      <c r="BQ7" s="1071" t="s">
        <v>4</v>
      </c>
      <c r="BR7" s="1073" t="s">
        <v>4</v>
      </c>
      <c r="BS7" s="1074" t="s">
        <v>4</v>
      </c>
      <c r="BT7" s="1071" t="s">
        <v>4</v>
      </c>
      <c r="BU7" s="1073" t="s">
        <v>4</v>
      </c>
      <c r="BV7" s="1075" t="s">
        <v>4</v>
      </c>
      <c r="BW7" s="1073" t="s">
        <v>4</v>
      </c>
      <c r="BX7" s="1073" t="s">
        <v>4</v>
      </c>
      <c r="BY7" s="1074" t="s">
        <v>4</v>
      </c>
      <c r="BZ7" s="1075" t="s">
        <v>4</v>
      </c>
      <c r="CA7" s="1279"/>
      <c r="CB7" s="1065" t="s">
        <v>56</v>
      </c>
      <c r="CC7" s="1067" t="s">
        <v>56</v>
      </c>
      <c r="CD7" s="1067" t="s">
        <v>56</v>
      </c>
      <c r="CE7" s="1071" t="s">
        <v>56</v>
      </c>
      <c r="CF7" s="1067" t="s">
        <v>56</v>
      </c>
      <c r="CG7" s="1067" t="s">
        <v>56</v>
      </c>
      <c r="CH7" s="1067" t="s">
        <v>56</v>
      </c>
      <c r="CI7" s="1067" t="s">
        <v>56</v>
      </c>
      <c r="CJ7" s="1067" t="s">
        <v>56</v>
      </c>
      <c r="CK7" s="1067" t="s">
        <v>56</v>
      </c>
      <c r="CL7" s="1067" t="s">
        <v>56</v>
      </c>
      <c r="CM7" s="1067" t="s">
        <v>56</v>
      </c>
      <c r="CN7" s="1067" t="s">
        <v>56</v>
      </c>
      <c r="CO7" s="1067" t="s">
        <v>56</v>
      </c>
      <c r="CP7" s="1067" t="s">
        <v>56</v>
      </c>
      <c r="CQ7" s="1067" t="s">
        <v>56</v>
      </c>
      <c r="CR7" s="1067" t="s">
        <v>56</v>
      </c>
      <c r="CS7" s="1067" t="s">
        <v>56</v>
      </c>
      <c r="CT7" s="1067" t="s">
        <v>56</v>
      </c>
      <c r="CU7" s="1070" t="s">
        <v>56</v>
      </c>
      <c r="CV7" s="1066" t="s">
        <v>56</v>
      </c>
      <c r="CW7" s="1067" t="s">
        <v>56</v>
      </c>
      <c r="CX7" s="1067" t="s">
        <v>56</v>
      </c>
      <c r="CY7" s="1076"/>
      <c r="CZ7" s="1368" t="s">
        <v>56</v>
      </c>
      <c r="DA7" s="1369" t="s">
        <v>56</v>
      </c>
      <c r="DB7" s="1369" t="s">
        <v>56</v>
      </c>
      <c r="DC7" s="1369" t="s">
        <v>56</v>
      </c>
      <c r="DD7" s="1370" t="s">
        <v>56</v>
      </c>
      <c r="DE7" s="1368" t="s">
        <v>56</v>
      </c>
      <c r="DF7" s="1369" t="s">
        <v>56</v>
      </c>
      <c r="DG7" s="1369" t="s">
        <v>56</v>
      </c>
      <c r="DH7" s="1369" t="s">
        <v>56</v>
      </c>
      <c r="DI7" s="1370" t="s">
        <v>56</v>
      </c>
      <c r="DJ7" s="1279"/>
    </row>
    <row r="8" spans="1:119" s="1341" customFormat="1" ht="13">
      <c r="A8" s="1371" t="s">
        <v>479</v>
      </c>
      <c r="B8" s="1372">
        <v>1</v>
      </c>
      <c r="C8" s="1077" t="s">
        <v>1995</v>
      </c>
      <c r="D8" s="1373">
        <v>5</v>
      </c>
      <c r="E8" s="1374">
        <v>4.13</v>
      </c>
      <c r="F8" s="1375">
        <f>D8*E8</f>
        <v>20.65</v>
      </c>
      <c r="G8" s="1376">
        <f>+D8*2+E8*2</f>
        <v>18.259999999999998</v>
      </c>
      <c r="H8" s="1377"/>
      <c r="I8" s="1378">
        <f t="shared" ref="I8:I42" si="0">+G8-H8</f>
        <v>18.259999999999998</v>
      </c>
      <c r="J8" s="1379">
        <v>3.5</v>
      </c>
      <c r="K8" s="1380"/>
      <c r="L8" s="1381"/>
      <c r="M8" s="1382"/>
      <c r="N8" s="1383"/>
      <c r="O8" s="1384">
        <f>+F8</f>
        <v>20.65</v>
      </c>
      <c r="P8" s="1385"/>
      <c r="Q8" s="1383"/>
      <c r="R8" s="1384"/>
      <c r="S8" s="1386"/>
      <c r="T8" s="1382"/>
      <c r="U8" s="1078">
        <f>+I8*J8</f>
        <v>63.91</v>
      </c>
      <c r="V8" s="1079"/>
      <c r="W8" s="1079"/>
      <c r="X8" s="1080"/>
      <c r="Y8" s="1081"/>
      <c r="Z8" s="1079"/>
      <c r="AA8" s="1080"/>
      <c r="AB8" s="1081"/>
      <c r="AC8" s="1382"/>
      <c r="AD8" s="1110"/>
      <c r="AE8" s="1111"/>
      <c r="AF8" s="1083"/>
      <c r="AG8" s="1083"/>
      <c r="AH8" s="1083"/>
      <c r="AI8" s="1083"/>
      <c r="AJ8" s="1084"/>
      <c r="AK8" s="1363"/>
      <c r="AL8" s="1082"/>
      <c r="AM8" s="1083"/>
      <c r="AN8" s="1083"/>
      <c r="AO8" s="1083"/>
      <c r="AP8" s="1083"/>
      <c r="AQ8" s="1126"/>
      <c r="AR8" s="1082"/>
      <c r="AS8" s="1083"/>
      <c r="AT8" s="1084"/>
      <c r="AU8" s="1387">
        <f>+F8</f>
        <v>20.65</v>
      </c>
      <c r="AV8" s="1363"/>
      <c r="AW8" s="1078"/>
      <c r="AX8" s="1080"/>
      <c r="AY8" s="1080"/>
      <c r="AZ8" s="1080"/>
      <c r="BA8" s="1081"/>
      <c r="BB8" s="1388"/>
      <c r="BC8" s="1363"/>
      <c r="BD8" s="1389"/>
      <c r="BE8" s="1390"/>
      <c r="BF8" s="1390"/>
      <c r="BG8" s="1390"/>
      <c r="BH8" s="1390"/>
      <c r="BI8" s="1390"/>
      <c r="BJ8" s="1391"/>
      <c r="BK8" s="1657"/>
      <c r="BL8" s="1392"/>
      <c r="BM8" s="1393"/>
      <c r="BN8" s="1394"/>
      <c r="BO8" s="1144"/>
      <c r="BP8" s="1086"/>
      <c r="BQ8" s="1085"/>
      <c r="BR8" s="1087"/>
      <c r="BS8" s="1088"/>
      <c r="BT8" s="1085"/>
      <c r="BU8" s="1087"/>
      <c r="BV8" s="1089">
        <f>+I8*J8</f>
        <v>63.91</v>
      </c>
      <c r="BW8" s="1395"/>
      <c r="BX8" s="1395"/>
      <c r="BY8" s="1647"/>
      <c r="BZ8" s="1396">
        <f>+F8</f>
        <v>20.65</v>
      </c>
      <c r="CA8" s="1397"/>
      <c r="CB8" s="1085"/>
      <c r="CC8" s="1080"/>
      <c r="CD8" s="1124"/>
      <c r="CE8" s="1085"/>
      <c r="CF8" s="1090"/>
      <c r="CG8" s="1087"/>
      <c r="CH8" s="1087"/>
      <c r="CI8" s="1087"/>
      <c r="CJ8" s="1087"/>
      <c r="CK8" s="1087"/>
      <c r="CL8" s="1087"/>
      <c r="CM8" s="1087"/>
      <c r="CN8" s="1087"/>
      <c r="CO8" s="1087"/>
      <c r="CP8" s="1087"/>
      <c r="CQ8" s="1087"/>
      <c r="CR8" s="1087"/>
      <c r="CS8" s="1087"/>
      <c r="CT8" s="1087"/>
      <c r="CU8" s="1089"/>
      <c r="CV8" s="1090"/>
      <c r="CW8" s="1087"/>
      <c r="CX8" s="1087"/>
      <c r="CY8" s="1091"/>
      <c r="CZ8" s="1398"/>
      <c r="DA8" s="1399"/>
      <c r="DB8" s="1399"/>
      <c r="DC8" s="1399"/>
      <c r="DD8" s="1400"/>
      <c r="DE8" s="1398"/>
      <c r="DF8" s="1399"/>
      <c r="DG8" s="1399"/>
      <c r="DH8" s="1399"/>
      <c r="DI8" s="1400"/>
    </row>
    <row r="9" spans="1:119" s="1341" customFormat="1" ht="13">
      <c r="A9" s="2062" t="s">
        <v>18</v>
      </c>
      <c r="B9" s="1372">
        <v>2</v>
      </c>
      <c r="C9" s="1077" t="s">
        <v>482</v>
      </c>
      <c r="D9" s="1373">
        <v>8.1</v>
      </c>
      <c r="E9" s="1374">
        <v>3.2</v>
      </c>
      <c r="F9" s="1401">
        <f t="shared" ref="F9:F42" si="1">D9*E9</f>
        <v>25.92</v>
      </c>
      <c r="G9" s="1402">
        <f t="shared" ref="G9:G42" si="2">+D9*2+E9*2</f>
        <v>22.6</v>
      </c>
      <c r="H9" s="1403">
        <v>0</v>
      </c>
      <c r="I9" s="1404">
        <f t="shared" si="0"/>
        <v>22.6</v>
      </c>
      <c r="J9" s="1379"/>
      <c r="K9" s="1380"/>
      <c r="L9" s="1381">
        <f>7.5*1.4</f>
        <v>10.5</v>
      </c>
      <c r="M9" s="1382"/>
      <c r="N9" s="1383"/>
      <c r="O9" s="1384"/>
      <c r="P9" s="1385">
        <f>+F9</f>
        <v>25.92</v>
      </c>
      <c r="Q9" s="1383"/>
      <c r="R9" s="1384"/>
      <c r="S9" s="1386"/>
      <c r="T9" s="1382"/>
      <c r="U9" s="1085"/>
      <c r="V9" s="1087"/>
      <c r="W9" s="1087"/>
      <c r="X9" s="1087"/>
      <c r="Y9" s="1089"/>
      <c r="Z9" s="1090"/>
      <c r="AA9" s="1087"/>
      <c r="AB9" s="1089"/>
      <c r="AC9" s="1382"/>
      <c r="AD9" s="1110"/>
      <c r="AE9" s="1111"/>
      <c r="AF9" s="1083">
        <f>+F9</f>
        <v>25.92</v>
      </c>
      <c r="AG9" s="1083"/>
      <c r="AH9" s="1083"/>
      <c r="AI9" s="1083"/>
      <c r="AJ9" s="1084"/>
      <c r="AK9" s="1363"/>
      <c r="AL9" s="1082"/>
      <c r="AM9" s="1083"/>
      <c r="AN9" s="1083"/>
      <c r="AO9" s="1083"/>
      <c r="AP9" s="1083"/>
      <c r="AQ9" s="1126"/>
      <c r="AR9" s="1082"/>
      <c r="AS9" s="1083"/>
      <c r="AT9" s="1084"/>
      <c r="AU9" s="1387">
        <f>+L9</f>
        <v>10.5</v>
      </c>
      <c r="AV9" s="1363"/>
      <c r="AW9" s="1085"/>
      <c r="AX9" s="1087"/>
      <c r="AY9" s="1087"/>
      <c r="AZ9" s="1087"/>
      <c r="BA9" s="1089"/>
      <c r="BB9" s="1405"/>
      <c r="BC9" s="1363"/>
      <c r="BD9" s="1398"/>
      <c r="BE9" s="1399"/>
      <c r="BF9" s="1399"/>
      <c r="BG9" s="1399"/>
      <c r="BH9" s="1399"/>
      <c r="BI9" s="1399"/>
      <c r="BJ9" s="1400">
        <f>+F9</f>
        <v>25.92</v>
      </c>
      <c r="BK9" s="1658"/>
      <c r="BL9" s="1085"/>
      <c r="BM9" s="1087"/>
      <c r="BN9" s="1088"/>
      <c r="BO9" s="1089"/>
      <c r="BP9" s="1086"/>
      <c r="BQ9" s="1085"/>
      <c r="BR9" s="1087"/>
      <c r="BS9" s="1088"/>
      <c r="BT9" s="1085"/>
      <c r="BU9" s="1087"/>
      <c r="BV9" s="1089"/>
      <c r="BW9" s="1087"/>
      <c r="BX9" s="1087"/>
      <c r="BY9" s="1088"/>
      <c r="BZ9" s="1089">
        <f>+L9</f>
        <v>10.5</v>
      </c>
      <c r="CA9" s="1397"/>
      <c r="CB9" s="1085"/>
      <c r="CC9" s="1087">
        <v>3</v>
      </c>
      <c r="CD9" s="1087"/>
      <c r="CE9" s="1085"/>
      <c r="CF9" s="1090">
        <v>3</v>
      </c>
      <c r="CG9" s="1087"/>
      <c r="CH9" s="1087"/>
      <c r="CI9" s="1087"/>
      <c r="CJ9" s="1087"/>
      <c r="CK9" s="1087"/>
      <c r="CL9" s="1087"/>
      <c r="CM9" s="1087"/>
      <c r="CN9" s="1087"/>
      <c r="CO9" s="1087"/>
      <c r="CP9" s="1087"/>
      <c r="CQ9" s="1087"/>
      <c r="CR9" s="1087"/>
      <c r="CS9" s="1087"/>
      <c r="CT9" s="1087"/>
      <c r="CU9" s="1089"/>
      <c r="CV9" s="1090"/>
      <c r="CW9" s="1087"/>
      <c r="CX9" s="1087"/>
      <c r="CY9" s="1091"/>
      <c r="CZ9" s="1398"/>
      <c r="DA9" s="1399"/>
      <c r="DB9" s="1399"/>
      <c r="DC9" s="1399"/>
      <c r="DD9" s="1400"/>
      <c r="DE9" s="1398"/>
      <c r="DF9" s="1399"/>
      <c r="DG9" s="1399"/>
      <c r="DH9" s="1399"/>
      <c r="DI9" s="1400"/>
    </row>
    <row r="10" spans="1:119" s="1341" customFormat="1" ht="13">
      <c r="A10" s="2063"/>
      <c r="B10" s="1406">
        <v>3</v>
      </c>
      <c r="C10" s="1092" t="s">
        <v>2128</v>
      </c>
      <c r="D10" s="1407">
        <v>4.03</v>
      </c>
      <c r="E10" s="1408">
        <v>3</v>
      </c>
      <c r="F10" s="1375">
        <f t="shared" si="1"/>
        <v>12.09</v>
      </c>
      <c r="G10" s="1376">
        <f t="shared" si="2"/>
        <v>14.06</v>
      </c>
      <c r="H10" s="1377">
        <f>+D11+E10*2</f>
        <v>9.73</v>
      </c>
      <c r="I10" s="1378">
        <f t="shared" si="0"/>
        <v>4.33</v>
      </c>
      <c r="J10" s="1409">
        <v>3</v>
      </c>
      <c r="K10" s="1410"/>
      <c r="L10" s="1411"/>
      <c r="M10" s="1382"/>
      <c r="N10" s="1412"/>
      <c r="O10" s="1413"/>
      <c r="P10" s="1414">
        <f>+F10</f>
        <v>12.09</v>
      </c>
      <c r="Q10" s="1412"/>
      <c r="R10" s="1413"/>
      <c r="S10" s="1415"/>
      <c r="T10" s="1382"/>
      <c r="U10" s="1078"/>
      <c r="V10" s="1080"/>
      <c r="W10" s="1080"/>
      <c r="X10" s="1080"/>
      <c r="Y10" s="1081"/>
      <c r="Z10" s="1079"/>
      <c r="AA10" s="1080"/>
      <c r="AB10" s="1081"/>
      <c r="AC10" s="1382"/>
      <c r="AD10" s="1093"/>
      <c r="AE10" s="1094"/>
      <c r="AF10" s="1095">
        <f t="shared" ref="AF10:AF22" si="3">+F10</f>
        <v>12.09</v>
      </c>
      <c r="AG10" s="1095"/>
      <c r="AH10" s="1095"/>
      <c r="AI10" s="1095"/>
      <c r="AJ10" s="1098"/>
      <c r="AK10" s="1363"/>
      <c r="AL10" s="1097"/>
      <c r="AM10" s="1095"/>
      <c r="AN10" s="1095"/>
      <c r="AO10" s="1095"/>
      <c r="AP10" s="1095"/>
      <c r="AQ10" s="1096"/>
      <c r="AR10" s="1097"/>
      <c r="AS10" s="1095"/>
      <c r="AT10" s="1098"/>
      <c r="AU10" s="1416">
        <f>+F10</f>
        <v>12.09</v>
      </c>
      <c r="AV10" s="1363"/>
      <c r="AW10" s="1078"/>
      <c r="AX10" s="1080"/>
      <c r="AY10" s="1080"/>
      <c r="AZ10" s="1080"/>
      <c r="BA10" s="1081"/>
      <c r="BB10" s="1388"/>
      <c r="BC10" s="1363"/>
      <c r="BD10" s="1417"/>
      <c r="BE10" s="1418"/>
      <c r="BF10" s="1418"/>
      <c r="BG10" s="1418"/>
      <c r="BH10" s="1418"/>
      <c r="BI10" s="1418"/>
      <c r="BJ10" s="1419">
        <f>+F10</f>
        <v>12.09</v>
      </c>
      <c r="BK10" s="1659"/>
      <c r="BL10" s="1078"/>
      <c r="BM10" s="1080"/>
      <c r="BN10" s="1099"/>
      <c r="BO10" s="1081"/>
      <c r="BP10" s="1086"/>
      <c r="BQ10" s="1078"/>
      <c r="BR10" s="1080"/>
      <c r="BS10" s="1099"/>
      <c r="BT10" s="1078"/>
      <c r="BU10" s="1080"/>
      <c r="BV10" s="1081"/>
      <c r="BW10" s="1080"/>
      <c r="BX10" s="1080"/>
      <c r="BY10" s="1099"/>
      <c r="BZ10" s="1081">
        <f>+F10</f>
        <v>12.09</v>
      </c>
      <c r="CA10" s="1397"/>
      <c r="CB10" s="1078"/>
      <c r="CC10" s="1080">
        <v>1</v>
      </c>
      <c r="CD10" s="1080"/>
      <c r="CE10" s="1078">
        <v>1</v>
      </c>
      <c r="CF10" s="1079"/>
      <c r="CG10" s="1080"/>
      <c r="CH10" s="1080"/>
      <c r="CI10" s="1080"/>
      <c r="CJ10" s="1080"/>
      <c r="CK10" s="1080"/>
      <c r="CL10" s="1080"/>
      <c r="CM10" s="1080"/>
      <c r="CN10" s="1080"/>
      <c r="CO10" s="1080"/>
      <c r="CP10" s="1080"/>
      <c r="CQ10" s="1080"/>
      <c r="CR10" s="1080"/>
      <c r="CS10" s="1080"/>
      <c r="CT10" s="1080"/>
      <c r="CU10" s="1081"/>
      <c r="CV10" s="1079"/>
      <c r="CW10" s="1080"/>
      <c r="CX10" s="1080"/>
      <c r="CY10" s="1091"/>
      <c r="CZ10" s="1417"/>
      <c r="DA10" s="1418"/>
      <c r="DB10" s="1418"/>
      <c r="DC10" s="1418"/>
      <c r="DD10" s="1419"/>
      <c r="DE10" s="1417"/>
      <c r="DF10" s="1418"/>
      <c r="DG10" s="1418"/>
      <c r="DH10" s="1418"/>
      <c r="DI10" s="1419"/>
    </row>
    <row r="11" spans="1:119" s="1341" customFormat="1" ht="13">
      <c r="A11" s="2063"/>
      <c r="B11" s="1406">
        <v>4</v>
      </c>
      <c r="C11" s="1092" t="s">
        <v>2129</v>
      </c>
      <c r="D11" s="1407">
        <v>3.73</v>
      </c>
      <c r="E11" s="1408">
        <v>0.4</v>
      </c>
      <c r="F11" s="1420">
        <f t="shared" si="1"/>
        <v>1.492</v>
      </c>
      <c r="G11" s="1376">
        <f t="shared" si="2"/>
        <v>8.26</v>
      </c>
      <c r="H11" s="1421">
        <f>+D11</f>
        <v>3.73</v>
      </c>
      <c r="I11" s="1378">
        <f t="shared" si="0"/>
        <v>4.5299999999999994</v>
      </c>
      <c r="J11" s="1409">
        <v>3</v>
      </c>
      <c r="K11" s="1410"/>
      <c r="L11" s="1422"/>
      <c r="M11" s="1382"/>
      <c r="N11" s="1412"/>
      <c r="O11" s="1413"/>
      <c r="P11" s="1414">
        <f t="shared" ref="P11:P20" si="4">+F11</f>
        <v>1.492</v>
      </c>
      <c r="Q11" s="1412"/>
      <c r="R11" s="1413"/>
      <c r="S11" s="1415"/>
      <c r="T11" s="1382"/>
      <c r="U11" s="1078"/>
      <c r="V11" s="1080"/>
      <c r="W11" s="1080"/>
      <c r="X11" s="1080"/>
      <c r="Y11" s="1081"/>
      <c r="Z11" s="1079"/>
      <c r="AA11" s="1080"/>
      <c r="AB11" s="1081"/>
      <c r="AC11" s="1382"/>
      <c r="AD11" s="1093"/>
      <c r="AE11" s="1094"/>
      <c r="AF11" s="1095">
        <f t="shared" si="3"/>
        <v>1.492</v>
      </c>
      <c r="AG11" s="1095"/>
      <c r="AH11" s="1095"/>
      <c r="AI11" s="1095"/>
      <c r="AJ11" s="1098"/>
      <c r="AK11" s="1363"/>
      <c r="AL11" s="1097"/>
      <c r="AM11" s="1095"/>
      <c r="AN11" s="1095"/>
      <c r="AO11" s="1095"/>
      <c r="AP11" s="1095"/>
      <c r="AQ11" s="1096"/>
      <c r="AR11" s="1097"/>
      <c r="AS11" s="1095"/>
      <c r="AT11" s="1098"/>
      <c r="AU11" s="1416">
        <f>+F11</f>
        <v>1.492</v>
      </c>
      <c r="AV11" s="1363"/>
      <c r="AW11" s="1078"/>
      <c r="AX11" s="1080"/>
      <c r="AY11" s="1080"/>
      <c r="AZ11" s="1080"/>
      <c r="BA11" s="1081"/>
      <c r="BB11" s="1388"/>
      <c r="BC11" s="1363"/>
      <c r="BD11" s="1417"/>
      <c r="BE11" s="1418"/>
      <c r="BF11" s="1418"/>
      <c r="BG11" s="1418"/>
      <c r="BH11" s="1418">
        <f>+F11</f>
        <v>1.492</v>
      </c>
      <c r="BI11" s="1418"/>
      <c r="BJ11" s="1419"/>
      <c r="BK11" s="1659"/>
      <c r="BL11" s="1078"/>
      <c r="BM11" s="1080"/>
      <c r="BN11" s="1099"/>
      <c r="BO11" s="1081"/>
      <c r="BP11" s="1086"/>
      <c r="BQ11" s="1078"/>
      <c r="BR11" s="1080"/>
      <c r="BS11" s="1099"/>
      <c r="BT11" s="1078"/>
      <c r="BU11" s="1080"/>
      <c r="BV11" s="1081"/>
      <c r="BW11" s="1080"/>
      <c r="BX11" s="1080"/>
      <c r="BY11" s="1099"/>
      <c r="BZ11" s="1081">
        <f>+F11</f>
        <v>1.492</v>
      </c>
      <c r="CA11" s="1397"/>
      <c r="CB11" s="1078"/>
      <c r="CC11" s="1080"/>
      <c r="CD11" s="1080"/>
      <c r="CE11" s="1078"/>
      <c r="CF11" s="1079"/>
      <c r="CG11" s="1080"/>
      <c r="CH11" s="1080"/>
      <c r="CI11" s="1080"/>
      <c r="CJ11" s="1080"/>
      <c r="CK11" s="1080"/>
      <c r="CL11" s="1080"/>
      <c r="CM11" s="1080">
        <v>1</v>
      </c>
      <c r="CN11" s="1080"/>
      <c r="CO11" s="1080"/>
      <c r="CP11" s="1080"/>
      <c r="CQ11" s="1080"/>
      <c r="CR11" s="1080"/>
      <c r="CS11" s="1080"/>
      <c r="CT11" s="1080"/>
      <c r="CU11" s="1081"/>
      <c r="CV11" s="1079"/>
      <c r="CW11" s="1080"/>
      <c r="CX11" s="1080"/>
      <c r="CY11" s="1091"/>
      <c r="CZ11" s="1417"/>
      <c r="DA11" s="1418"/>
      <c r="DB11" s="1418"/>
      <c r="DC11" s="1418"/>
      <c r="DD11" s="1419"/>
      <c r="DE11" s="1417"/>
      <c r="DF11" s="1418"/>
      <c r="DG11" s="1418"/>
      <c r="DH11" s="1418"/>
      <c r="DI11" s="1419"/>
      <c r="DK11" s="1342"/>
      <c r="DL11" s="1342"/>
      <c r="DM11" s="1342"/>
      <c r="DN11" s="1342"/>
      <c r="DO11" s="1342"/>
    </row>
    <row r="12" spans="1:119" s="1341" customFormat="1" ht="13">
      <c r="A12" s="2063"/>
      <c r="B12" s="1406">
        <v>5</v>
      </c>
      <c r="C12" s="1092" t="s">
        <v>2130</v>
      </c>
      <c r="D12" s="1407">
        <f>13.04-D13</f>
        <v>6.8999999999999995</v>
      </c>
      <c r="E12" s="1408">
        <v>4.13</v>
      </c>
      <c r="F12" s="1420">
        <f t="shared" si="1"/>
        <v>28.496999999999996</v>
      </c>
      <c r="G12" s="1376">
        <f t="shared" si="2"/>
        <v>22.06</v>
      </c>
      <c r="H12" s="1377">
        <f>+E12*2</f>
        <v>8.26</v>
      </c>
      <c r="I12" s="1378">
        <f t="shared" si="0"/>
        <v>13.799999999999999</v>
      </c>
      <c r="J12" s="1409">
        <v>3</v>
      </c>
      <c r="K12" s="1410"/>
      <c r="L12" s="1422"/>
      <c r="M12" s="1382"/>
      <c r="N12" s="1412"/>
      <c r="O12" s="1413"/>
      <c r="P12" s="1414">
        <f t="shared" si="4"/>
        <v>28.496999999999996</v>
      </c>
      <c r="Q12" s="1412"/>
      <c r="R12" s="1413"/>
      <c r="S12" s="1415"/>
      <c r="T12" s="1382"/>
      <c r="U12" s="1078"/>
      <c r="V12" s="1080"/>
      <c r="W12" s="1080"/>
      <c r="X12" s="1080"/>
      <c r="Y12" s="1081"/>
      <c r="Z12" s="1079"/>
      <c r="AA12" s="1080"/>
      <c r="AB12" s="1081"/>
      <c r="AC12" s="1382"/>
      <c r="AD12" s="1093"/>
      <c r="AE12" s="1094"/>
      <c r="AF12" s="1095">
        <f t="shared" si="3"/>
        <v>28.496999999999996</v>
      </c>
      <c r="AG12" s="1095"/>
      <c r="AH12" s="1095"/>
      <c r="AI12" s="1095"/>
      <c r="AJ12" s="1098"/>
      <c r="AK12" s="1363"/>
      <c r="AL12" s="1097"/>
      <c r="AM12" s="1095"/>
      <c r="AN12" s="1095"/>
      <c r="AO12" s="1095"/>
      <c r="AP12" s="1095"/>
      <c r="AQ12" s="1096"/>
      <c r="AR12" s="1097"/>
      <c r="AS12" s="1095"/>
      <c r="AT12" s="1098"/>
      <c r="AU12" s="1416">
        <f>+F12</f>
        <v>28.496999999999996</v>
      </c>
      <c r="AV12" s="1363"/>
      <c r="AW12" s="1078"/>
      <c r="AX12" s="1080"/>
      <c r="AY12" s="1080"/>
      <c r="AZ12" s="1080"/>
      <c r="BA12" s="1081"/>
      <c r="BB12" s="1388"/>
      <c r="BC12" s="1363"/>
      <c r="BD12" s="1417"/>
      <c r="BE12" s="1418"/>
      <c r="BF12" s="1418"/>
      <c r="BG12" s="1418"/>
      <c r="BH12" s="1418"/>
      <c r="BI12" s="1418"/>
      <c r="BJ12" s="1419">
        <f>+F12</f>
        <v>28.496999999999996</v>
      </c>
      <c r="BK12" s="1659"/>
      <c r="BL12" s="1078"/>
      <c r="BM12" s="1080"/>
      <c r="BN12" s="1099"/>
      <c r="BO12" s="1081"/>
      <c r="BP12" s="1086"/>
      <c r="BQ12" s="1078"/>
      <c r="BR12" s="1080"/>
      <c r="BS12" s="1099"/>
      <c r="BT12" s="1078"/>
      <c r="BU12" s="1080"/>
      <c r="BV12" s="1081"/>
      <c r="BW12" s="1080"/>
      <c r="BX12" s="1080"/>
      <c r="BY12" s="1099"/>
      <c r="BZ12" s="1081">
        <f>+F12</f>
        <v>28.496999999999996</v>
      </c>
      <c r="CA12" s="1397"/>
      <c r="CB12" s="1078"/>
      <c r="CC12" s="1080">
        <v>2</v>
      </c>
      <c r="CD12" s="1080"/>
      <c r="CE12" s="1078">
        <v>2</v>
      </c>
      <c r="CF12" s="1079"/>
      <c r="CG12" s="1080"/>
      <c r="CH12" s="1080"/>
      <c r="CI12" s="1080"/>
      <c r="CJ12" s="1080"/>
      <c r="CK12" s="1080"/>
      <c r="CL12" s="1080"/>
      <c r="CM12" s="1080">
        <v>1</v>
      </c>
      <c r="CN12" s="1080"/>
      <c r="CO12" s="1080"/>
      <c r="CP12" s="1080"/>
      <c r="CQ12" s="1080"/>
      <c r="CR12" s="1080"/>
      <c r="CS12" s="1080">
        <v>1</v>
      </c>
      <c r="CT12" s="1080"/>
      <c r="CU12" s="1081"/>
      <c r="CV12" s="1079"/>
      <c r="CW12" s="1080"/>
      <c r="CX12" s="1080"/>
      <c r="CY12" s="1091"/>
      <c r="CZ12" s="1417"/>
      <c r="DA12" s="1418"/>
      <c r="DB12" s="1418"/>
      <c r="DC12" s="1418"/>
      <c r="DD12" s="1419"/>
      <c r="DE12" s="1417"/>
      <c r="DF12" s="1418"/>
      <c r="DG12" s="1418"/>
      <c r="DH12" s="1418"/>
      <c r="DI12" s="1419"/>
      <c r="DK12" s="1342"/>
      <c r="DL12" s="1342"/>
      <c r="DM12" s="1342"/>
      <c r="DN12" s="1342"/>
      <c r="DO12" s="1342"/>
    </row>
    <row r="13" spans="1:119" s="1341" customFormat="1" ht="13">
      <c r="A13" s="2063"/>
      <c r="B13" s="1406">
        <v>6</v>
      </c>
      <c r="C13" s="1092" t="s">
        <v>2131</v>
      </c>
      <c r="D13" s="1407">
        <v>6.14</v>
      </c>
      <c r="E13" s="1408">
        <v>4.13</v>
      </c>
      <c r="F13" s="1420">
        <f t="shared" si="1"/>
        <v>25.358199999999997</v>
      </c>
      <c r="G13" s="1376">
        <f t="shared" si="2"/>
        <v>20.54</v>
      </c>
      <c r="H13" s="1377">
        <f>+E13*2</f>
        <v>8.26</v>
      </c>
      <c r="I13" s="1378">
        <f t="shared" si="0"/>
        <v>12.28</v>
      </c>
      <c r="J13" s="1409">
        <v>3</v>
      </c>
      <c r="K13" s="1410"/>
      <c r="L13" s="1422"/>
      <c r="M13" s="1382"/>
      <c r="N13" s="1412"/>
      <c r="O13" s="1413"/>
      <c r="P13" s="1414">
        <f t="shared" si="4"/>
        <v>25.358199999999997</v>
      </c>
      <c r="Q13" s="1412"/>
      <c r="R13" s="1413"/>
      <c r="S13" s="1415"/>
      <c r="T13" s="1382"/>
      <c r="U13" s="1078"/>
      <c r="V13" s="1080"/>
      <c r="W13" s="1080"/>
      <c r="X13" s="1080"/>
      <c r="Y13" s="1081"/>
      <c r="Z13" s="1079"/>
      <c r="AA13" s="1080"/>
      <c r="AB13" s="1081"/>
      <c r="AC13" s="1382"/>
      <c r="AD13" s="1093"/>
      <c r="AE13" s="1094"/>
      <c r="AF13" s="1095">
        <f t="shared" si="3"/>
        <v>25.358199999999997</v>
      </c>
      <c r="AG13" s="1095"/>
      <c r="AH13" s="1095"/>
      <c r="AI13" s="1095"/>
      <c r="AJ13" s="1098"/>
      <c r="AK13" s="1363"/>
      <c r="AL13" s="1097"/>
      <c r="AM13" s="1095"/>
      <c r="AN13" s="1095"/>
      <c r="AO13" s="1095"/>
      <c r="AP13" s="1095"/>
      <c r="AQ13" s="1096"/>
      <c r="AR13" s="1097"/>
      <c r="AS13" s="1095"/>
      <c r="AT13" s="1098"/>
      <c r="AU13" s="1416"/>
      <c r="AV13" s="1363"/>
      <c r="AW13" s="1078"/>
      <c r="AX13" s="1080"/>
      <c r="AY13" s="1080"/>
      <c r="AZ13" s="1080"/>
      <c r="BA13" s="1081"/>
      <c r="BB13" s="1388"/>
      <c r="BC13" s="1363"/>
      <c r="BD13" s="1417"/>
      <c r="BE13" s="1418"/>
      <c r="BF13" s="1418"/>
      <c r="BG13" s="1418"/>
      <c r="BH13" s="1418"/>
      <c r="BI13" s="1418"/>
      <c r="BJ13" s="1419">
        <f>+F13</f>
        <v>25.358199999999997</v>
      </c>
      <c r="BK13" s="1659"/>
      <c r="BL13" s="1078"/>
      <c r="BM13" s="1080"/>
      <c r="BN13" s="1099"/>
      <c r="BO13" s="1081"/>
      <c r="BP13" s="1086"/>
      <c r="BQ13" s="1078"/>
      <c r="BR13" s="1080"/>
      <c r="BS13" s="1099"/>
      <c r="BT13" s="1078"/>
      <c r="BU13" s="1080"/>
      <c r="BV13" s="1081"/>
      <c r="BW13" s="1080"/>
      <c r="BX13" s="1080"/>
      <c r="BY13" s="1099"/>
      <c r="BZ13" s="1081"/>
      <c r="CA13" s="1397"/>
      <c r="CB13" s="1078"/>
      <c r="CC13" s="1080">
        <v>2</v>
      </c>
      <c r="CD13" s="1080"/>
      <c r="CE13" s="1078"/>
      <c r="CF13" s="1079">
        <v>2</v>
      </c>
      <c r="CG13" s="1080"/>
      <c r="CH13" s="1080"/>
      <c r="CI13" s="1080"/>
      <c r="CJ13" s="1080"/>
      <c r="CK13" s="1080"/>
      <c r="CL13" s="1080"/>
      <c r="CM13" s="1080">
        <v>1</v>
      </c>
      <c r="CN13" s="1080"/>
      <c r="CO13" s="1080"/>
      <c r="CP13" s="1080"/>
      <c r="CQ13" s="1080"/>
      <c r="CR13" s="1080"/>
      <c r="CS13" s="1080"/>
      <c r="CT13" s="1080"/>
      <c r="CU13" s="1081"/>
      <c r="CV13" s="1079"/>
      <c r="CW13" s="1080"/>
      <c r="CX13" s="1080"/>
      <c r="CY13" s="1091"/>
      <c r="CZ13" s="1417"/>
      <c r="DA13" s="1418"/>
      <c r="DB13" s="1418"/>
      <c r="DC13" s="1418"/>
      <c r="DD13" s="1419"/>
      <c r="DE13" s="1417"/>
      <c r="DF13" s="1418"/>
      <c r="DG13" s="1418"/>
      <c r="DH13" s="1418"/>
      <c r="DI13" s="1419"/>
      <c r="DK13" s="1342"/>
      <c r="DL13" s="1342"/>
      <c r="DM13" s="1342"/>
      <c r="DN13" s="1342"/>
      <c r="DO13" s="1342"/>
    </row>
    <row r="14" spans="1:119" s="1341" customFormat="1" ht="13">
      <c r="A14" s="2063"/>
      <c r="B14" s="1406">
        <v>7</v>
      </c>
      <c r="C14" s="1092" t="s">
        <v>2132</v>
      </c>
      <c r="D14" s="1407">
        <v>7.93</v>
      </c>
      <c r="E14" s="1408">
        <v>7.76</v>
      </c>
      <c r="F14" s="1420">
        <f t="shared" si="1"/>
        <v>61.536799999999999</v>
      </c>
      <c r="G14" s="1376">
        <f t="shared" si="2"/>
        <v>31.38</v>
      </c>
      <c r="H14" s="1377">
        <f>+E14+E12</f>
        <v>11.89</v>
      </c>
      <c r="I14" s="1378">
        <f t="shared" si="0"/>
        <v>19.489999999999998</v>
      </c>
      <c r="J14" s="1409">
        <v>3</v>
      </c>
      <c r="K14" s="1410"/>
      <c r="L14" s="1423">
        <f>7.45*1.5</f>
        <v>11.175000000000001</v>
      </c>
      <c r="M14" s="1382"/>
      <c r="N14" s="1412"/>
      <c r="O14" s="1413"/>
      <c r="P14" s="1414">
        <f t="shared" si="4"/>
        <v>61.536799999999999</v>
      </c>
      <c r="Q14" s="1412"/>
      <c r="R14" s="1413"/>
      <c r="S14" s="1415"/>
      <c r="T14" s="1382"/>
      <c r="U14" s="1078"/>
      <c r="V14" s="1080"/>
      <c r="W14" s="1080"/>
      <c r="X14" s="1080"/>
      <c r="Y14" s="1081"/>
      <c r="Z14" s="1079"/>
      <c r="AA14" s="1080"/>
      <c r="AB14" s="1081"/>
      <c r="AC14" s="1382"/>
      <c r="AD14" s="1093"/>
      <c r="AE14" s="1094"/>
      <c r="AF14" s="1095">
        <f t="shared" si="3"/>
        <v>61.536799999999999</v>
      </c>
      <c r="AG14" s="1095"/>
      <c r="AH14" s="1095"/>
      <c r="AI14" s="1095"/>
      <c r="AJ14" s="1098"/>
      <c r="AK14" s="1363"/>
      <c r="AL14" s="1097"/>
      <c r="AM14" s="1095"/>
      <c r="AN14" s="1095"/>
      <c r="AO14" s="1095"/>
      <c r="AP14" s="1095"/>
      <c r="AQ14" s="1096"/>
      <c r="AR14" s="1097"/>
      <c r="AS14" s="1095"/>
      <c r="AT14" s="1098"/>
      <c r="AU14" s="1416">
        <f>+F14+L14</f>
        <v>72.711799999999997</v>
      </c>
      <c r="AV14" s="1363"/>
      <c r="AW14" s="1078"/>
      <c r="AX14" s="1080"/>
      <c r="AY14" s="1080"/>
      <c r="AZ14" s="1080"/>
      <c r="BA14" s="1081"/>
      <c r="BB14" s="1388"/>
      <c r="BC14" s="1363"/>
      <c r="BD14" s="1417"/>
      <c r="BE14" s="1418"/>
      <c r="BF14" s="1418"/>
      <c r="BG14" s="1418"/>
      <c r="BH14" s="1418"/>
      <c r="BI14" s="1418"/>
      <c r="BJ14" s="1419">
        <f>+F14</f>
        <v>61.536799999999999</v>
      </c>
      <c r="BK14" s="1659"/>
      <c r="BL14" s="1078"/>
      <c r="BM14" s="1080"/>
      <c r="BN14" s="1099"/>
      <c r="BO14" s="1081"/>
      <c r="BP14" s="1086"/>
      <c r="BQ14" s="1078"/>
      <c r="BR14" s="1080"/>
      <c r="BS14" s="1099"/>
      <c r="BT14" s="1078"/>
      <c r="BU14" s="1080"/>
      <c r="BV14" s="1081"/>
      <c r="BW14" s="1080"/>
      <c r="BX14" s="1080"/>
      <c r="BY14" s="1099"/>
      <c r="BZ14" s="1081">
        <f>+F14+L14</f>
        <v>72.711799999999997</v>
      </c>
      <c r="CA14" s="1397"/>
      <c r="CB14" s="1078"/>
      <c r="CC14" s="1080">
        <v>4</v>
      </c>
      <c r="CD14" s="1080"/>
      <c r="CE14" s="1078">
        <v>4</v>
      </c>
      <c r="CF14" s="1079"/>
      <c r="CG14" s="1080"/>
      <c r="CH14" s="1080"/>
      <c r="CI14" s="1080"/>
      <c r="CJ14" s="1080"/>
      <c r="CK14" s="1080"/>
      <c r="CL14" s="1080"/>
      <c r="CM14" s="1080"/>
      <c r="CN14" s="1080"/>
      <c r="CO14" s="1080"/>
      <c r="CP14" s="1080"/>
      <c r="CQ14" s="1080"/>
      <c r="CR14" s="1080"/>
      <c r="CS14" s="1080"/>
      <c r="CT14" s="1080"/>
      <c r="CU14" s="1081"/>
      <c r="CV14" s="1079"/>
      <c r="CW14" s="1080"/>
      <c r="CX14" s="1080"/>
      <c r="CY14" s="1091"/>
      <c r="CZ14" s="1417"/>
      <c r="DA14" s="1418"/>
      <c r="DB14" s="1418"/>
      <c r="DC14" s="1418"/>
      <c r="DD14" s="1419"/>
      <c r="DE14" s="1417"/>
      <c r="DF14" s="1418"/>
      <c r="DG14" s="1418"/>
      <c r="DH14" s="1418"/>
      <c r="DI14" s="1419"/>
      <c r="DK14" s="1342"/>
      <c r="DL14" s="1342"/>
      <c r="DM14" s="1342"/>
      <c r="DN14" s="1342"/>
      <c r="DO14" s="1342"/>
    </row>
    <row r="15" spans="1:119" s="1341" customFormat="1" ht="13">
      <c r="A15" s="2063"/>
      <c r="B15" s="1406">
        <v>8</v>
      </c>
      <c r="C15" s="1092" t="s">
        <v>2133</v>
      </c>
      <c r="D15" s="1407"/>
      <c r="E15" s="1408"/>
      <c r="F15" s="1424">
        <v>48.35</v>
      </c>
      <c r="G15" s="1425">
        <v>27.98</v>
      </c>
      <c r="H15" s="1377">
        <f>+E14</f>
        <v>7.76</v>
      </c>
      <c r="I15" s="1378">
        <f t="shared" si="0"/>
        <v>20.22</v>
      </c>
      <c r="J15" s="1376">
        <v>3</v>
      </c>
      <c r="K15" s="1410"/>
      <c r="L15" s="1426"/>
      <c r="M15" s="1382"/>
      <c r="N15" s="1412"/>
      <c r="O15" s="1413"/>
      <c r="P15" s="1414"/>
      <c r="Q15" s="1412"/>
      <c r="R15" s="1413"/>
      <c r="S15" s="1415"/>
      <c r="T15" s="1382"/>
      <c r="U15" s="1078"/>
      <c r="V15" s="1080"/>
      <c r="W15" s="1080"/>
      <c r="X15" s="1080"/>
      <c r="Y15" s="1081"/>
      <c r="Z15" s="1079"/>
      <c r="AA15" s="1080"/>
      <c r="AB15" s="1081"/>
      <c r="AC15" s="1382"/>
      <c r="AD15" s="1093"/>
      <c r="AE15" s="1094"/>
      <c r="AF15" s="1095"/>
      <c r="AG15" s="1095"/>
      <c r="AH15" s="1095"/>
      <c r="AI15" s="1095"/>
      <c r="AJ15" s="1098"/>
      <c r="AK15" s="1363"/>
      <c r="AL15" s="1097"/>
      <c r="AM15" s="1095"/>
      <c r="AN15" s="1095"/>
      <c r="AO15" s="1095"/>
      <c r="AP15" s="1095"/>
      <c r="AQ15" s="1096"/>
      <c r="AR15" s="1097"/>
      <c r="AS15" s="1095"/>
      <c r="AT15" s="1098"/>
      <c r="AU15" s="1416"/>
      <c r="AV15" s="1363"/>
      <c r="AW15" s="1078"/>
      <c r="AX15" s="1080"/>
      <c r="AY15" s="1080"/>
      <c r="AZ15" s="1080"/>
      <c r="BA15" s="1081"/>
      <c r="BB15" s="1388"/>
      <c r="BC15" s="1363"/>
      <c r="BD15" s="1417"/>
      <c r="BE15" s="1418"/>
      <c r="BF15" s="1418"/>
      <c r="BG15" s="1418"/>
      <c r="BH15" s="1418"/>
      <c r="BI15" s="1418"/>
      <c r="BJ15" s="1419"/>
      <c r="BK15" s="1659"/>
      <c r="BL15" s="1078"/>
      <c r="BM15" s="1080"/>
      <c r="BN15" s="1099"/>
      <c r="BO15" s="1081"/>
      <c r="BP15" s="1086"/>
      <c r="BQ15" s="1078"/>
      <c r="BR15" s="1080"/>
      <c r="BS15" s="1099"/>
      <c r="BT15" s="1078"/>
      <c r="BU15" s="1080"/>
      <c r="BV15" s="1081"/>
      <c r="BW15" s="1080"/>
      <c r="BX15" s="1080"/>
      <c r="BY15" s="1099"/>
      <c r="BZ15" s="1081"/>
      <c r="CA15" s="1397"/>
      <c r="CB15" s="1078"/>
      <c r="CC15" s="1080">
        <v>2</v>
      </c>
      <c r="CD15" s="1080"/>
      <c r="CE15" s="1078"/>
      <c r="CF15" s="1079">
        <v>2</v>
      </c>
      <c r="CG15" s="1080"/>
      <c r="CH15" s="1080"/>
      <c r="CI15" s="1080"/>
      <c r="CJ15" s="1080"/>
      <c r="CK15" s="1080"/>
      <c r="CL15" s="1080"/>
      <c r="CM15" s="1080"/>
      <c r="CN15" s="1080"/>
      <c r="CO15" s="1080"/>
      <c r="CP15" s="1080"/>
      <c r="CQ15" s="1080"/>
      <c r="CR15" s="1080"/>
      <c r="CS15" s="1080"/>
      <c r="CT15" s="1080"/>
      <c r="CU15" s="1081"/>
      <c r="CV15" s="1079"/>
      <c r="CW15" s="1080"/>
      <c r="CX15" s="1080"/>
      <c r="CY15" s="1091"/>
      <c r="CZ15" s="1417"/>
      <c r="DA15" s="1418"/>
      <c r="DB15" s="1418"/>
      <c r="DC15" s="1418"/>
      <c r="DD15" s="1419"/>
      <c r="DE15" s="1417"/>
      <c r="DF15" s="1418"/>
      <c r="DG15" s="1418"/>
      <c r="DH15" s="1418"/>
      <c r="DI15" s="1419"/>
      <c r="DK15" s="1342"/>
      <c r="DL15" s="1342"/>
      <c r="DM15" s="1342"/>
      <c r="DN15" s="1342"/>
      <c r="DO15" s="1342"/>
    </row>
    <row r="16" spans="1:119" s="1341" customFormat="1" ht="13">
      <c r="A16" s="2063"/>
      <c r="B16" s="1406">
        <v>9</v>
      </c>
      <c r="C16" s="1092" t="s">
        <v>2134</v>
      </c>
      <c r="D16" s="1407">
        <v>1</v>
      </c>
      <c r="E16" s="1408">
        <v>0.6</v>
      </c>
      <c r="F16" s="1420">
        <f t="shared" si="1"/>
        <v>0.6</v>
      </c>
      <c r="G16" s="1376">
        <f t="shared" si="2"/>
        <v>3.2</v>
      </c>
      <c r="H16" s="1377">
        <f>+D16</f>
        <v>1</v>
      </c>
      <c r="I16" s="1378">
        <f t="shared" si="0"/>
        <v>2.2000000000000002</v>
      </c>
      <c r="J16" s="1409">
        <v>3</v>
      </c>
      <c r="K16" s="1410"/>
      <c r="L16" s="1411"/>
      <c r="M16" s="1427"/>
      <c r="N16" s="1412"/>
      <c r="O16" s="1413"/>
      <c r="P16" s="1414">
        <f t="shared" si="4"/>
        <v>0.6</v>
      </c>
      <c r="Q16" s="1412"/>
      <c r="R16" s="1413"/>
      <c r="S16" s="1415"/>
      <c r="T16" s="1382"/>
      <c r="U16" s="1078"/>
      <c r="V16" s="1080"/>
      <c r="W16" s="1080"/>
      <c r="X16" s="1080"/>
      <c r="Y16" s="1081"/>
      <c r="Z16" s="1079"/>
      <c r="AA16" s="1080"/>
      <c r="AB16" s="1081"/>
      <c r="AC16" s="1382"/>
      <c r="AD16" s="1093"/>
      <c r="AE16" s="1094"/>
      <c r="AF16" s="1095">
        <f t="shared" si="3"/>
        <v>0.6</v>
      </c>
      <c r="AG16" s="1095"/>
      <c r="AH16" s="1095"/>
      <c r="AI16" s="1095"/>
      <c r="AJ16" s="1098"/>
      <c r="AK16" s="1363"/>
      <c r="AL16" s="1097"/>
      <c r="AM16" s="1095"/>
      <c r="AN16" s="1095"/>
      <c r="AO16" s="1095"/>
      <c r="AP16" s="1095"/>
      <c r="AQ16" s="1096"/>
      <c r="AR16" s="1097"/>
      <c r="AS16" s="1095"/>
      <c r="AT16" s="1098"/>
      <c r="AU16" s="1416">
        <f>+F16</f>
        <v>0.6</v>
      </c>
      <c r="AV16" s="1363"/>
      <c r="AW16" s="1078"/>
      <c r="AX16" s="1080"/>
      <c r="AY16" s="1080"/>
      <c r="AZ16" s="1080"/>
      <c r="BA16" s="1081"/>
      <c r="BB16" s="1388"/>
      <c r="BC16" s="1363"/>
      <c r="BD16" s="1417"/>
      <c r="BE16" s="1418"/>
      <c r="BF16" s="1418"/>
      <c r="BG16" s="1418"/>
      <c r="BH16" s="1418">
        <f>+F16</f>
        <v>0.6</v>
      </c>
      <c r="BI16" s="1418"/>
      <c r="BJ16" s="1419"/>
      <c r="BK16" s="1659"/>
      <c r="BL16" s="1078"/>
      <c r="BM16" s="1080"/>
      <c r="BN16" s="1099"/>
      <c r="BO16" s="1081"/>
      <c r="BP16" s="1086"/>
      <c r="BQ16" s="1078"/>
      <c r="BR16" s="1080"/>
      <c r="BS16" s="1099"/>
      <c r="BT16" s="1078"/>
      <c r="BU16" s="1080"/>
      <c r="BV16" s="1081"/>
      <c r="BW16" s="1080"/>
      <c r="BX16" s="1080"/>
      <c r="BY16" s="1099"/>
      <c r="BZ16" s="1081"/>
      <c r="CA16" s="1397"/>
      <c r="CB16" s="1078"/>
      <c r="CC16" s="1080"/>
      <c r="CD16" s="1080"/>
      <c r="CE16" s="1078"/>
      <c r="CF16" s="1079"/>
      <c r="CG16" s="1080"/>
      <c r="CH16" s="1080"/>
      <c r="CI16" s="1080"/>
      <c r="CJ16" s="1080"/>
      <c r="CK16" s="1080"/>
      <c r="CL16" s="1080"/>
      <c r="CM16" s="1080"/>
      <c r="CN16" s="1080"/>
      <c r="CO16" s="1080"/>
      <c r="CP16" s="1080"/>
      <c r="CQ16" s="1080"/>
      <c r="CR16" s="1080"/>
      <c r="CS16" s="1080"/>
      <c r="CT16" s="1080"/>
      <c r="CU16" s="1081"/>
      <c r="CV16" s="1079"/>
      <c r="CW16" s="1080"/>
      <c r="CX16" s="1080"/>
      <c r="CY16" s="1091"/>
      <c r="CZ16" s="1417"/>
      <c r="DA16" s="1418"/>
      <c r="DB16" s="1418"/>
      <c r="DC16" s="1418"/>
      <c r="DD16" s="1419"/>
      <c r="DE16" s="1417"/>
      <c r="DF16" s="1418"/>
      <c r="DG16" s="1418"/>
      <c r="DH16" s="1418"/>
      <c r="DI16" s="1419"/>
      <c r="DK16" s="1342"/>
      <c r="DL16" s="1342"/>
      <c r="DM16" s="1342"/>
      <c r="DN16" s="1342"/>
      <c r="DO16" s="1342"/>
    </row>
    <row r="17" spans="1:119" s="1341" customFormat="1" ht="13">
      <c r="A17" s="2063"/>
      <c r="B17" s="1406">
        <v>10</v>
      </c>
      <c r="C17" s="1092" t="s">
        <v>2135</v>
      </c>
      <c r="D17" s="1407"/>
      <c r="E17" s="1408"/>
      <c r="F17" s="1424">
        <v>26.12</v>
      </c>
      <c r="G17" s="1425">
        <v>40.61</v>
      </c>
      <c r="H17" s="1377">
        <v>1.55</v>
      </c>
      <c r="I17" s="1378">
        <f t="shared" si="0"/>
        <v>39.06</v>
      </c>
      <c r="J17" s="1428">
        <v>3</v>
      </c>
      <c r="K17" s="1410"/>
      <c r="L17" s="1423">
        <v>4</v>
      </c>
      <c r="M17" s="1429"/>
      <c r="N17" s="1412"/>
      <c r="O17" s="1413"/>
      <c r="P17" s="1414">
        <f t="shared" si="4"/>
        <v>26.12</v>
      </c>
      <c r="Q17" s="1412"/>
      <c r="R17" s="1413"/>
      <c r="S17" s="1415"/>
      <c r="T17" s="1382"/>
      <c r="U17" s="1078"/>
      <c r="V17" s="1080"/>
      <c r="W17" s="1080"/>
      <c r="X17" s="1080"/>
      <c r="Y17" s="1081"/>
      <c r="Z17" s="1079"/>
      <c r="AA17" s="1080"/>
      <c r="AB17" s="1081"/>
      <c r="AC17" s="1382"/>
      <c r="AD17" s="1093"/>
      <c r="AE17" s="1094"/>
      <c r="AF17" s="1095">
        <f t="shared" si="3"/>
        <v>26.12</v>
      </c>
      <c r="AG17" s="1095"/>
      <c r="AH17" s="1095"/>
      <c r="AI17" s="1095"/>
      <c r="AJ17" s="1098"/>
      <c r="AK17" s="1363"/>
      <c r="AL17" s="1097"/>
      <c r="AM17" s="1095">
        <f>+L17</f>
        <v>4</v>
      </c>
      <c r="AN17" s="1100">
        <f>+AM17</f>
        <v>4</v>
      </c>
      <c r="AO17" s="1100">
        <f>+H17*2</f>
        <v>3.1</v>
      </c>
      <c r="AP17" s="1095"/>
      <c r="AQ17" s="1096"/>
      <c r="AR17" s="1097"/>
      <c r="AS17" s="1095"/>
      <c r="AT17" s="1098"/>
      <c r="AU17" s="1430">
        <f>+F17-AM17</f>
        <v>22.12</v>
      </c>
      <c r="AV17" s="1363"/>
      <c r="AW17" s="1078"/>
      <c r="AX17" s="1080"/>
      <c r="AY17" s="1080"/>
      <c r="AZ17" s="1080"/>
      <c r="BA17" s="1081">
        <v>1</v>
      </c>
      <c r="BB17" s="1388"/>
      <c r="BC17" s="1363"/>
      <c r="BD17" s="1417"/>
      <c r="BE17" s="1418"/>
      <c r="BF17" s="1418"/>
      <c r="BG17" s="1418"/>
      <c r="BH17" s="1418"/>
      <c r="BI17" s="1418"/>
      <c r="BJ17" s="1419">
        <f>+F17</f>
        <v>26.12</v>
      </c>
      <c r="BK17" s="1659"/>
      <c r="BL17" s="1078"/>
      <c r="BM17" s="1080"/>
      <c r="BN17" s="1099"/>
      <c r="BO17" s="1081"/>
      <c r="BP17" s="1086"/>
      <c r="BQ17" s="1078"/>
      <c r="BR17" s="1080"/>
      <c r="BS17" s="1099"/>
      <c r="BT17" s="1078"/>
      <c r="BU17" s="1080"/>
      <c r="BV17" s="1081"/>
      <c r="BW17" s="1080">
        <f>+L17</f>
        <v>4</v>
      </c>
      <c r="BX17" s="1080"/>
      <c r="BY17" s="1099"/>
      <c r="BZ17" s="1081">
        <f>+F17-BW17</f>
        <v>22.12</v>
      </c>
      <c r="CA17" s="1397"/>
      <c r="CB17" s="1078"/>
      <c r="CC17" s="1080">
        <v>7</v>
      </c>
      <c r="CD17" s="1080">
        <v>2</v>
      </c>
      <c r="CE17" s="1078">
        <v>9</v>
      </c>
      <c r="CF17" s="1079"/>
      <c r="CG17" s="1080"/>
      <c r="CH17" s="1080">
        <v>1</v>
      </c>
      <c r="CI17" s="1080"/>
      <c r="CJ17" s="1080"/>
      <c r="CK17" s="1080"/>
      <c r="CL17" s="1080"/>
      <c r="CM17" s="1080">
        <v>1</v>
      </c>
      <c r="CN17" s="1080"/>
      <c r="CO17" s="1080"/>
      <c r="CP17" s="1080"/>
      <c r="CQ17" s="1080"/>
      <c r="CR17" s="1080"/>
      <c r="CS17" s="1080"/>
      <c r="CT17" s="1080"/>
      <c r="CU17" s="1081"/>
      <c r="CV17" s="1079"/>
      <c r="CW17" s="1080"/>
      <c r="CX17" s="1080"/>
      <c r="CY17" s="1091"/>
      <c r="CZ17" s="1417"/>
      <c r="DA17" s="1418"/>
      <c r="DB17" s="1418"/>
      <c r="DC17" s="1418"/>
      <c r="DD17" s="1419"/>
      <c r="DE17" s="1417"/>
      <c r="DF17" s="1418"/>
      <c r="DG17" s="1418"/>
      <c r="DH17" s="1418"/>
      <c r="DI17" s="1419"/>
      <c r="DK17" s="1342"/>
      <c r="DL17" s="1342"/>
      <c r="DM17" s="1342"/>
      <c r="DN17" s="1342"/>
      <c r="DO17" s="1342"/>
    </row>
    <row r="18" spans="1:119" s="1341" customFormat="1" ht="13">
      <c r="A18" s="2063"/>
      <c r="B18" s="1406">
        <v>11</v>
      </c>
      <c r="C18" s="1092" t="s">
        <v>2136</v>
      </c>
      <c r="D18" s="1407"/>
      <c r="E18" s="1408"/>
      <c r="F18" s="1431">
        <v>6.09</v>
      </c>
      <c r="G18" s="1425">
        <v>11.1</v>
      </c>
      <c r="H18" s="1377">
        <v>0</v>
      </c>
      <c r="I18" s="1378">
        <f t="shared" si="0"/>
        <v>11.1</v>
      </c>
      <c r="J18" s="1409">
        <v>3</v>
      </c>
      <c r="K18" s="1410"/>
      <c r="L18" s="1423"/>
      <c r="M18" s="1429"/>
      <c r="N18" s="1412"/>
      <c r="O18" s="1413"/>
      <c r="P18" s="1414">
        <f t="shared" si="4"/>
        <v>6.09</v>
      </c>
      <c r="Q18" s="1412"/>
      <c r="R18" s="1413"/>
      <c r="S18" s="1415"/>
      <c r="T18" s="1382"/>
      <c r="U18" s="1078">
        <f>+I18*J18</f>
        <v>33.299999999999997</v>
      </c>
      <c r="V18" s="1080">
        <f>+W18*J18</f>
        <v>3</v>
      </c>
      <c r="W18" s="1080">
        <v>1</v>
      </c>
      <c r="X18" s="1080"/>
      <c r="Y18" s="1081"/>
      <c r="Z18" s="1079"/>
      <c r="AA18" s="1080"/>
      <c r="AB18" s="1081"/>
      <c r="AC18" s="1382"/>
      <c r="AD18" s="1093"/>
      <c r="AE18" s="1094"/>
      <c r="AF18" s="1095">
        <f t="shared" si="3"/>
        <v>6.09</v>
      </c>
      <c r="AG18" s="1095"/>
      <c r="AH18" s="1095"/>
      <c r="AI18" s="1095"/>
      <c r="AJ18" s="1098"/>
      <c r="AK18" s="1363"/>
      <c r="AL18" s="1097"/>
      <c r="AM18" s="1095"/>
      <c r="AN18" s="1095"/>
      <c r="AO18" s="1095"/>
      <c r="AP18" s="1095"/>
      <c r="AQ18" s="1096"/>
      <c r="AR18" s="1097"/>
      <c r="AS18" s="1095"/>
      <c r="AT18" s="1098"/>
      <c r="AU18" s="1416">
        <f t="shared" ref="AU18:AU23" si="5">+F18</f>
        <v>6.09</v>
      </c>
      <c r="AV18" s="1363"/>
      <c r="AW18" s="1078"/>
      <c r="AX18" s="1080"/>
      <c r="AY18" s="1080"/>
      <c r="AZ18" s="1080">
        <v>1</v>
      </c>
      <c r="BA18" s="1081"/>
      <c r="BB18" s="1388"/>
      <c r="BC18" s="1363"/>
      <c r="BD18" s="1417"/>
      <c r="BE18" s="1418"/>
      <c r="BF18" s="1418"/>
      <c r="BG18" s="1418"/>
      <c r="BH18" s="1418">
        <f>+F18</f>
        <v>6.09</v>
      </c>
      <c r="BI18" s="1418"/>
      <c r="BJ18" s="1419"/>
      <c r="BK18" s="1659"/>
      <c r="BL18" s="1078"/>
      <c r="BM18" s="1080">
        <f>+I18</f>
        <v>11.1</v>
      </c>
      <c r="BN18" s="1099"/>
      <c r="BO18" s="1081"/>
      <c r="BP18" s="1086"/>
      <c r="BQ18" s="1078"/>
      <c r="BR18" s="1080"/>
      <c r="BS18" s="1099"/>
      <c r="BT18" s="1078"/>
      <c r="BU18" s="1080"/>
      <c r="BV18" s="1081">
        <f>+I18*J18</f>
        <v>33.299999999999997</v>
      </c>
      <c r="BW18" s="1080"/>
      <c r="BX18" s="1080"/>
      <c r="BY18" s="1099"/>
      <c r="BZ18" s="1081">
        <f t="shared" ref="BZ18:BZ23" si="6">+F18</f>
        <v>6.09</v>
      </c>
      <c r="CA18" s="1397"/>
      <c r="CB18" s="1078"/>
      <c r="CC18" s="1080">
        <v>1</v>
      </c>
      <c r="CD18" s="1080"/>
      <c r="CE18" s="1078">
        <v>1</v>
      </c>
      <c r="CF18" s="1079"/>
      <c r="CG18" s="1080"/>
      <c r="CH18" s="1080"/>
      <c r="CI18" s="1080">
        <v>1</v>
      </c>
      <c r="CJ18" s="1080"/>
      <c r="CK18" s="1080"/>
      <c r="CL18" s="1080"/>
      <c r="CM18" s="1080">
        <v>2</v>
      </c>
      <c r="CN18" s="1080"/>
      <c r="CO18" s="1080"/>
      <c r="CP18" s="1080"/>
      <c r="CQ18" s="1080"/>
      <c r="CR18" s="1080"/>
      <c r="CS18" s="1080"/>
      <c r="CT18" s="1080"/>
      <c r="CU18" s="1081"/>
      <c r="CV18" s="1079"/>
      <c r="CW18" s="1080"/>
      <c r="CX18" s="1080"/>
      <c r="CY18" s="1091"/>
      <c r="CZ18" s="1417"/>
      <c r="DA18" s="1418"/>
      <c r="DB18" s="1418"/>
      <c r="DC18" s="1418"/>
      <c r="DD18" s="1419"/>
      <c r="DE18" s="1417"/>
      <c r="DF18" s="1418"/>
      <c r="DG18" s="1418"/>
      <c r="DH18" s="1418"/>
      <c r="DI18" s="1419"/>
      <c r="DK18" s="1342"/>
      <c r="DL18" s="1342"/>
      <c r="DM18" s="1342"/>
      <c r="DN18" s="1342"/>
      <c r="DO18" s="1342"/>
    </row>
    <row r="19" spans="1:119" s="1341" customFormat="1" ht="13">
      <c r="A19" s="2063"/>
      <c r="B19" s="1406">
        <v>12</v>
      </c>
      <c r="C19" s="1092" t="s">
        <v>2137</v>
      </c>
      <c r="D19" s="1407">
        <v>3.9</v>
      </c>
      <c r="E19" s="1408">
        <v>1.81</v>
      </c>
      <c r="F19" s="1375">
        <f t="shared" si="1"/>
        <v>7.0590000000000002</v>
      </c>
      <c r="G19" s="1376">
        <f t="shared" si="2"/>
        <v>11.42</v>
      </c>
      <c r="H19" s="1377">
        <v>0</v>
      </c>
      <c r="I19" s="1378">
        <f t="shared" si="0"/>
        <v>11.42</v>
      </c>
      <c r="J19" s="1409">
        <v>3</v>
      </c>
      <c r="K19" s="1410"/>
      <c r="L19" s="1423"/>
      <c r="M19" s="1429"/>
      <c r="N19" s="1412"/>
      <c r="O19" s="1413"/>
      <c r="P19" s="1414">
        <f t="shared" si="4"/>
        <v>7.0590000000000002</v>
      </c>
      <c r="Q19" s="1412"/>
      <c r="R19" s="1413"/>
      <c r="S19" s="1415"/>
      <c r="T19" s="1382"/>
      <c r="U19" s="1078">
        <f>+I19*J19</f>
        <v>34.26</v>
      </c>
      <c r="V19" s="1080">
        <f>+W19*J19</f>
        <v>0</v>
      </c>
      <c r="W19" s="1080">
        <v>0</v>
      </c>
      <c r="X19" s="1080"/>
      <c r="Y19" s="1081"/>
      <c r="Z19" s="1079"/>
      <c r="AA19" s="1080"/>
      <c r="AB19" s="1081"/>
      <c r="AC19" s="1382"/>
      <c r="AD19" s="1093"/>
      <c r="AE19" s="1094"/>
      <c r="AF19" s="1095">
        <f t="shared" si="3"/>
        <v>7.0590000000000002</v>
      </c>
      <c r="AG19" s="1095"/>
      <c r="AH19" s="1095"/>
      <c r="AI19" s="1095"/>
      <c r="AJ19" s="1098"/>
      <c r="AK19" s="1363"/>
      <c r="AL19" s="1097"/>
      <c r="AM19" s="1095"/>
      <c r="AN19" s="1095"/>
      <c r="AO19" s="1095"/>
      <c r="AP19" s="1095"/>
      <c r="AQ19" s="1096"/>
      <c r="AR19" s="1097"/>
      <c r="AS19" s="1095"/>
      <c r="AT19" s="1098"/>
      <c r="AU19" s="1416">
        <f t="shared" si="5"/>
        <v>7.0590000000000002</v>
      </c>
      <c r="AV19" s="1363"/>
      <c r="AW19" s="1078"/>
      <c r="AX19" s="1080">
        <v>1</v>
      </c>
      <c r="AY19" s="1080"/>
      <c r="AZ19" s="1080"/>
      <c r="BA19" s="1081"/>
      <c r="BB19" s="1388"/>
      <c r="BC19" s="1363"/>
      <c r="BD19" s="1417"/>
      <c r="BE19" s="1418"/>
      <c r="BF19" s="1418"/>
      <c r="BG19" s="1418"/>
      <c r="BH19" s="1418">
        <f>+F19</f>
        <v>7.0590000000000002</v>
      </c>
      <c r="BI19" s="1418"/>
      <c r="BJ19" s="1419"/>
      <c r="BK19" s="1659"/>
      <c r="BL19" s="1078"/>
      <c r="BM19" s="1080">
        <f>+I19</f>
        <v>11.42</v>
      </c>
      <c r="BN19" s="1099"/>
      <c r="BO19" s="1081"/>
      <c r="BP19" s="1086"/>
      <c r="BQ19" s="1078"/>
      <c r="BR19" s="1080"/>
      <c r="BS19" s="1099"/>
      <c r="BT19" s="1078"/>
      <c r="BU19" s="1080"/>
      <c r="BV19" s="1081">
        <f>+I19*J19</f>
        <v>34.26</v>
      </c>
      <c r="BW19" s="1080"/>
      <c r="BX19" s="1080"/>
      <c r="BY19" s="1099"/>
      <c r="BZ19" s="1081">
        <f t="shared" si="6"/>
        <v>7.0590000000000002</v>
      </c>
      <c r="CA19" s="1397"/>
      <c r="CB19" s="1078"/>
      <c r="CC19" s="1080">
        <v>1</v>
      </c>
      <c r="CD19" s="1080"/>
      <c r="CE19" s="1078">
        <v>1</v>
      </c>
      <c r="CF19" s="1079"/>
      <c r="CG19" s="1080"/>
      <c r="CH19" s="1080"/>
      <c r="CI19" s="1080">
        <v>1</v>
      </c>
      <c r="CJ19" s="1080"/>
      <c r="CK19" s="1080"/>
      <c r="CL19" s="1080"/>
      <c r="CM19" s="1080">
        <v>1</v>
      </c>
      <c r="CN19" s="1080"/>
      <c r="CO19" s="1080"/>
      <c r="CP19" s="1080"/>
      <c r="CQ19" s="1080"/>
      <c r="CR19" s="1080"/>
      <c r="CS19" s="1080"/>
      <c r="CT19" s="1080"/>
      <c r="CU19" s="1081">
        <v>1</v>
      </c>
      <c r="CV19" s="1079"/>
      <c r="CW19" s="1080"/>
      <c r="CX19" s="1080"/>
      <c r="CY19" s="1091"/>
      <c r="CZ19" s="1417"/>
      <c r="DA19" s="1418"/>
      <c r="DB19" s="1418"/>
      <c r="DC19" s="1418"/>
      <c r="DD19" s="1419"/>
      <c r="DE19" s="1417"/>
      <c r="DF19" s="1418"/>
      <c r="DG19" s="1418"/>
      <c r="DH19" s="1418"/>
      <c r="DI19" s="1419"/>
      <c r="DK19" s="1342"/>
      <c r="DL19" s="1342"/>
      <c r="DM19" s="1342"/>
      <c r="DN19" s="1342"/>
      <c r="DO19" s="1342"/>
    </row>
    <row r="20" spans="1:119" s="1341" customFormat="1" ht="13">
      <c r="A20" s="2073"/>
      <c r="B20" s="1406">
        <v>13</v>
      </c>
      <c r="C20" s="1092" t="s">
        <v>2138</v>
      </c>
      <c r="D20" s="1407"/>
      <c r="E20" s="1408"/>
      <c r="F20" s="1431">
        <v>2.89</v>
      </c>
      <c r="G20" s="1425">
        <v>7.9</v>
      </c>
      <c r="H20" s="1377">
        <v>0</v>
      </c>
      <c r="I20" s="1378">
        <f t="shared" si="0"/>
        <v>7.9</v>
      </c>
      <c r="J20" s="1409">
        <v>3</v>
      </c>
      <c r="K20" s="1410"/>
      <c r="L20" s="1423"/>
      <c r="M20" s="1429"/>
      <c r="N20" s="1412"/>
      <c r="O20" s="1413"/>
      <c r="P20" s="1414">
        <f t="shared" si="4"/>
        <v>2.89</v>
      </c>
      <c r="Q20" s="1412"/>
      <c r="R20" s="1413"/>
      <c r="S20" s="1415"/>
      <c r="T20" s="1382"/>
      <c r="U20" s="1078">
        <f>+I20*J20</f>
        <v>23.700000000000003</v>
      </c>
      <c r="V20" s="1080">
        <f>+W20*J20</f>
        <v>3</v>
      </c>
      <c r="W20" s="1080">
        <v>1</v>
      </c>
      <c r="X20" s="1080"/>
      <c r="Y20" s="1081"/>
      <c r="Z20" s="1079"/>
      <c r="AA20" s="1080"/>
      <c r="AB20" s="1081"/>
      <c r="AC20" s="1382"/>
      <c r="AD20" s="1093"/>
      <c r="AE20" s="1094"/>
      <c r="AF20" s="1095">
        <f t="shared" si="3"/>
        <v>2.89</v>
      </c>
      <c r="AG20" s="1095"/>
      <c r="AH20" s="1095"/>
      <c r="AI20" s="1095"/>
      <c r="AJ20" s="1098"/>
      <c r="AK20" s="1363"/>
      <c r="AL20" s="1097"/>
      <c r="AM20" s="1095"/>
      <c r="AN20" s="1095"/>
      <c r="AO20" s="1095"/>
      <c r="AP20" s="1095"/>
      <c r="AQ20" s="1096"/>
      <c r="AR20" s="1097"/>
      <c r="AS20" s="1095"/>
      <c r="AT20" s="1098"/>
      <c r="AU20" s="1416">
        <f t="shared" si="5"/>
        <v>2.89</v>
      </c>
      <c r="AV20" s="1363"/>
      <c r="AW20" s="1078"/>
      <c r="AX20" s="1080"/>
      <c r="AY20" s="1080"/>
      <c r="AZ20" s="1080">
        <v>1</v>
      </c>
      <c r="BA20" s="1081"/>
      <c r="BB20" s="1388"/>
      <c r="BC20" s="1363"/>
      <c r="BD20" s="1417"/>
      <c r="BE20" s="1418"/>
      <c r="BF20" s="1418"/>
      <c r="BG20" s="1418"/>
      <c r="BH20" s="1418">
        <f>+F20</f>
        <v>2.89</v>
      </c>
      <c r="BI20" s="1418"/>
      <c r="BJ20" s="1419"/>
      <c r="BK20" s="1659"/>
      <c r="BL20" s="1078"/>
      <c r="BM20" s="1080">
        <f>+I20</f>
        <v>7.9</v>
      </c>
      <c r="BN20" s="1099"/>
      <c r="BO20" s="1081"/>
      <c r="BP20" s="1086"/>
      <c r="BQ20" s="1078"/>
      <c r="BR20" s="1080"/>
      <c r="BS20" s="1099"/>
      <c r="BT20" s="1078"/>
      <c r="BU20" s="1080"/>
      <c r="BV20" s="1081">
        <f>+I20*J20</f>
        <v>23.700000000000003</v>
      </c>
      <c r="BW20" s="1080"/>
      <c r="BX20" s="1080"/>
      <c r="BY20" s="1099"/>
      <c r="BZ20" s="1081">
        <f t="shared" si="6"/>
        <v>2.89</v>
      </c>
      <c r="CA20" s="1397"/>
      <c r="CB20" s="1078"/>
      <c r="CC20" s="1080">
        <v>1</v>
      </c>
      <c r="CD20" s="1080"/>
      <c r="CE20" s="1078">
        <v>1</v>
      </c>
      <c r="CF20" s="1079"/>
      <c r="CG20" s="1080"/>
      <c r="CH20" s="1080"/>
      <c r="CI20" s="1080">
        <v>1</v>
      </c>
      <c r="CJ20" s="1080"/>
      <c r="CK20" s="1080"/>
      <c r="CL20" s="1080"/>
      <c r="CM20" s="1080">
        <v>1</v>
      </c>
      <c r="CN20" s="1080"/>
      <c r="CO20" s="1080"/>
      <c r="CP20" s="1080"/>
      <c r="CQ20" s="1080"/>
      <c r="CR20" s="1080"/>
      <c r="CS20" s="1080"/>
      <c r="CT20" s="1080"/>
      <c r="CU20" s="1081"/>
      <c r="CV20" s="1079"/>
      <c r="CW20" s="1080"/>
      <c r="CX20" s="1080"/>
      <c r="CY20" s="1091"/>
      <c r="CZ20" s="1417"/>
      <c r="DA20" s="1418"/>
      <c r="DB20" s="1418"/>
      <c r="DC20" s="1418"/>
      <c r="DD20" s="1419"/>
      <c r="DE20" s="1417"/>
      <c r="DF20" s="1418"/>
      <c r="DG20" s="1418"/>
      <c r="DH20" s="1418"/>
      <c r="DI20" s="1419"/>
      <c r="DK20" s="1342"/>
      <c r="DL20" s="1342"/>
      <c r="DM20" s="1342"/>
      <c r="DN20" s="1342"/>
      <c r="DO20" s="1342"/>
    </row>
    <row r="21" spans="1:119" s="1341" customFormat="1" ht="13">
      <c r="A21" s="2073"/>
      <c r="B21" s="1406">
        <v>14</v>
      </c>
      <c r="C21" s="1092" t="s">
        <v>2139</v>
      </c>
      <c r="D21" s="1407">
        <v>2.2400000000000002</v>
      </c>
      <c r="E21" s="1408">
        <v>1.2</v>
      </c>
      <c r="F21" s="1375">
        <f t="shared" si="1"/>
        <v>2.6880000000000002</v>
      </c>
      <c r="G21" s="1376">
        <f t="shared" si="2"/>
        <v>6.8800000000000008</v>
      </c>
      <c r="H21" s="1377">
        <v>0</v>
      </c>
      <c r="I21" s="1378">
        <f t="shared" si="0"/>
        <v>6.8800000000000008</v>
      </c>
      <c r="J21" s="1409">
        <v>3</v>
      </c>
      <c r="K21" s="1410">
        <v>2.2999999999999998</v>
      </c>
      <c r="L21" s="1423">
        <f>+J21-K21</f>
        <v>0.70000000000000018</v>
      </c>
      <c r="M21" s="1429"/>
      <c r="N21" s="1412"/>
      <c r="O21" s="1413"/>
      <c r="P21" s="1414">
        <f>+F21</f>
        <v>2.6880000000000002</v>
      </c>
      <c r="Q21" s="1412"/>
      <c r="R21" s="1413"/>
      <c r="S21" s="1415"/>
      <c r="T21" s="1382"/>
      <c r="U21" s="1078"/>
      <c r="V21" s="1080"/>
      <c r="W21" s="1080"/>
      <c r="X21" s="1080">
        <f>+I21*J21</f>
        <v>20.64</v>
      </c>
      <c r="Y21" s="1081"/>
      <c r="Z21" s="1079"/>
      <c r="AA21" s="1080"/>
      <c r="AB21" s="1081"/>
      <c r="AC21" s="1382"/>
      <c r="AD21" s="1093"/>
      <c r="AE21" s="1094"/>
      <c r="AF21" s="1095">
        <f t="shared" si="3"/>
        <v>2.6880000000000002</v>
      </c>
      <c r="AG21" s="1095"/>
      <c r="AH21" s="1095"/>
      <c r="AI21" s="1095"/>
      <c r="AJ21" s="1098"/>
      <c r="AK21" s="1363"/>
      <c r="AL21" s="1097"/>
      <c r="AM21" s="1095"/>
      <c r="AN21" s="1095"/>
      <c r="AO21" s="1095"/>
      <c r="AP21" s="1095"/>
      <c r="AQ21" s="1096"/>
      <c r="AR21" s="1097"/>
      <c r="AS21" s="1095"/>
      <c r="AT21" s="1098"/>
      <c r="AU21" s="1416">
        <f t="shared" si="5"/>
        <v>2.6880000000000002</v>
      </c>
      <c r="AV21" s="1363"/>
      <c r="AW21" s="1078"/>
      <c r="AX21" s="1080"/>
      <c r="AY21" s="1080"/>
      <c r="AZ21" s="1080">
        <v>1</v>
      </c>
      <c r="BA21" s="1081"/>
      <c r="BB21" s="1388"/>
      <c r="BC21" s="1363"/>
      <c r="BD21" s="1417"/>
      <c r="BE21" s="1418"/>
      <c r="BF21" s="1418"/>
      <c r="BG21" s="1418">
        <f>+F21</f>
        <v>2.6880000000000002</v>
      </c>
      <c r="BH21" s="1418"/>
      <c r="BI21" s="1418"/>
      <c r="BJ21" s="1419"/>
      <c r="BK21" s="1659"/>
      <c r="BL21" s="1078"/>
      <c r="BM21" s="1080"/>
      <c r="BN21" s="1099"/>
      <c r="BO21" s="1081"/>
      <c r="BP21" s="1086"/>
      <c r="BQ21" s="1078"/>
      <c r="BR21" s="1080">
        <f>+I21*K21</f>
        <v>15.824</v>
      </c>
      <c r="BS21" s="1099"/>
      <c r="BT21" s="1078"/>
      <c r="BU21" s="1080"/>
      <c r="BV21" s="1081">
        <f>+L21*I21</f>
        <v>4.8160000000000016</v>
      </c>
      <c r="BW21" s="1080"/>
      <c r="BX21" s="1080"/>
      <c r="BY21" s="1099"/>
      <c r="BZ21" s="1081">
        <f t="shared" si="6"/>
        <v>2.6880000000000002</v>
      </c>
      <c r="CA21" s="1397"/>
      <c r="CB21" s="1078"/>
      <c r="CC21" s="1080">
        <v>1</v>
      </c>
      <c r="CD21" s="1080"/>
      <c r="CE21" s="1078">
        <v>1</v>
      </c>
      <c r="CF21" s="1079"/>
      <c r="CG21" s="1080"/>
      <c r="CH21" s="1080"/>
      <c r="CI21" s="1080">
        <v>1</v>
      </c>
      <c r="CJ21" s="1080"/>
      <c r="CK21" s="1080"/>
      <c r="CL21" s="1080"/>
      <c r="CM21" s="1080">
        <v>1</v>
      </c>
      <c r="CN21" s="1080"/>
      <c r="CO21" s="1080"/>
      <c r="CP21" s="1080"/>
      <c r="CQ21" s="1080"/>
      <c r="CR21" s="1080"/>
      <c r="CS21" s="1080"/>
      <c r="CT21" s="1080"/>
      <c r="CU21" s="1081"/>
      <c r="CV21" s="1079"/>
      <c r="CW21" s="1080"/>
      <c r="CX21" s="1080"/>
      <c r="CY21" s="1091"/>
      <c r="CZ21" s="1417"/>
      <c r="DA21" s="1418"/>
      <c r="DB21" s="1418"/>
      <c r="DC21" s="1418"/>
      <c r="DD21" s="1419"/>
      <c r="DE21" s="1417"/>
      <c r="DF21" s="1418"/>
      <c r="DG21" s="1418"/>
      <c r="DH21" s="1418"/>
      <c r="DI21" s="1419"/>
      <c r="DK21" s="1342"/>
      <c r="DL21" s="1342"/>
      <c r="DM21" s="1342"/>
      <c r="DN21" s="1342"/>
      <c r="DO21" s="1342"/>
    </row>
    <row r="22" spans="1:119" s="1341" customFormat="1" ht="13">
      <c r="A22" s="2073"/>
      <c r="B22" s="1406">
        <v>15</v>
      </c>
      <c r="C22" s="1092" t="s">
        <v>483</v>
      </c>
      <c r="D22" s="1407"/>
      <c r="E22" s="1408"/>
      <c r="F22" s="1431">
        <v>6.39</v>
      </c>
      <c r="G22" s="1425">
        <v>13.48</v>
      </c>
      <c r="H22" s="1377">
        <v>0</v>
      </c>
      <c r="I22" s="1378">
        <f t="shared" si="0"/>
        <v>13.48</v>
      </c>
      <c r="J22" s="1409">
        <v>3</v>
      </c>
      <c r="K22" s="1410"/>
      <c r="L22" s="1423"/>
      <c r="M22" s="1432"/>
      <c r="N22" s="1412"/>
      <c r="O22" s="1413"/>
      <c r="P22" s="1414"/>
      <c r="Q22" s="1412"/>
      <c r="R22" s="1413"/>
      <c r="S22" s="1415"/>
      <c r="T22" s="1382"/>
      <c r="U22" s="1138">
        <f>+I22*J22</f>
        <v>40.44</v>
      </c>
      <c r="V22" s="1080">
        <f>+W22*J22</f>
        <v>3</v>
      </c>
      <c r="W22" s="1139">
        <v>1</v>
      </c>
      <c r="X22" s="1139"/>
      <c r="Y22" s="1140"/>
      <c r="Z22" s="1433"/>
      <c r="AA22" s="1139"/>
      <c r="AB22" s="1140"/>
      <c r="AC22" s="1382"/>
      <c r="AD22" s="1093"/>
      <c r="AE22" s="1094"/>
      <c r="AF22" s="1095">
        <f t="shared" si="3"/>
        <v>6.39</v>
      </c>
      <c r="AG22" s="1095"/>
      <c r="AH22" s="1095"/>
      <c r="AI22" s="1095"/>
      <c r="AJ22" s="1098"/>
      <c r="AK22" s="1363"/>
      <c r="AL22" s="1434"/>
      <c r="AM22" s="1435"/>
      <c r="AN22" s="1435"/>
      <c r="AO22" s="1435"/>
      <c r="AP22" s="1435"/>
      <c r="AQ22" s="1436"/>
      <c r="AR22" s="1434"/>
      <c r="AS22" s="1435"/>
      <c r="AT22" s="1437"/>
      <c r="AU22" s="1438">
        <f t="shared" si="5"/>
        <v>6.39</v>
      </c>
      <c r="AV22" s="1363"/>
      <c r="AW22" s="1138"/>
      <c r="AX22" s="1139">
        <v>1</v>
      </c>
      <c r="AY22" s="1139"/>
      <c r="AZ22" s="1139"/>
      <c r="BA22" s="1140"/>
      <c r="BB22" s="1439"/>
      <c r="BC22" s="1363"/>
      <c r="BD22" s="1417"/>
      <c r="BE22" s="1418"/>
      <c r="BF22" s="1418"/>
      <c r="BG22" s="1418"/>
      <c r="BH22" s="1418"/>
      <c r="BI22" s="1418"/>
      <c r="BJ22" s="1419"/>
      <c r="BK22" s="1659"/>
      <c r="BL22" s="1078"/>
      <c r="BM22" s="1080"/>
      <c r="BN22" s="1099"/>
      <c r="BO22" s="1081"/>
      <c r="BP22" s="1086"/>
      <c r="BQ22" s="1138"/>
      <c r="BR22" s="1139"/>
      <c r="BS22" s="1440"/>
      <c r="BT22" s="1138"/>
      <c r="BU22" s="1139"/>
      <c r="BV22" s="1140">
        <f>+I22*J22</f>
        <v>40.44</v>
      </c>
      <c r="BW22" s="1139"/>
      <c r="BX22" s="1139"/>
      <c r="BY22" s="1440"/>
      <c r="BZ22" s="1140">
        <f t="shared" si="6"/>
        <v>6.39</v>
      </c>
      <c r="CA22" s="1397"/>
      <c r="CB22" s="1078"/>
      <c r="CC22" s="1080">
        <v>2</v>
      </c>
      <c r="CD22" s="1080">
        <v>1</v>
      </c>
      <c r="CE22" s="1078">
        <v>2</v>
      </c>
      <c r="CF22" s="1079"/>
      <c r="CG22" s="1080"/>
      <c r="CH22" s="1080">
        <v>1</v>
      </c>
      <c r="CI22" s="1080"/>
      <c r="CJ22" s="1080"/>
      <c r="CK22" s="1080"/>
      <c r="CL22" s="1080"/>
      <c r="CM22" s="1080"/>
      <c r="CN22" s="1080"/>
      <c r="CO22" s="1080"/>
      <c r="CP22" s="1080"/>
      <c r="CQ22" s="1080"/>
      <c r="CR22" s="1080"/>
      <c r="CS22" s="1080"/>
      <c r="CT22" s="1080"/>
      <c r="CU22" s="1081"/>
      <c r="CV22" s="1079"/>
      <c r="CW22" s="1080"/>
      <c r="CX22" s="1080"/>
      <c r="CY22" s="1091"/>
      <c r="CZ22" s="1417"/>
      <c r="DA22" s="1418"/>
      <c r="DB22" s="1418"/>
      <c r="DC22" s="1418"/>
      <c r="DD22" s="1419"/>
      <c r="DE22" s="1417"/>
      <c r="DF22" s="1418"/>
      <c r="DG22" s="1418"/>
      <c r="DH22" s="1418"/>
      <c r="DI22" s="1419"/>
      <c r="DK22" s="1342"/>
      <c r="DL22" s="1342"/>
      <c r="DM22" s="1342"/>
      <c r="DN22" s="1342"/>
      <c r="DO22" s="1342"/>
    </row>
    <row r="23" spans="1:119" s="1341" customFormat="1" ht="13">
      <c r="A23" s="2074" t="s">
        <v>1434</v>
      </c>
      <c r="B23" s="1441">
        <v>16</v>
      </c>
      <c r="C23" s="1122" t="s">
        <v>483</v>
      </c>
      <c r="D23" s="1442"/>
      <c r="E23" s="1443"/>
      <c r="F23" s="1444">
        <v>9.89</v>
      </c>
      <c r="G23" s="1445">
        <v>13.1</v>
      </c>
      <c r="H23" s="1403">
        <v>0</v>
      </c>
      <c r="I23" s="1404">
        <f t="shared" si="0"/>
        <v>13.1</v>
      </c>
      <c r="J23" s="1402">
        <v>2.8</v>
      </c>
      <c r="K23" s="1380"/>
      <c r="L23" s="1381">
        <v>2</v>
      </c>
      <c r="M23" s="1382"/>
      <c r="N23" s="1383"/>
      <c r="O23" s="1384"/>
      <c r="P23" s="1385"/>
      <c r="Q23" s="1383">
        <f>+L23</f>
        <v>2</v>
      </c>
      <c r="R23" s="1384"/>
      <c r="S23" s="1386"/>
      <c r="T23" s="1382"/>
      <c r="U23" s="1085">
        <f>+I23*J23</f>
        <v>36.68</v>
      </c>
      <c r="V23" s="1090"/>
      <c r="W23" s="1090"/>
      <c r="X23" s="1087"/>
      <c r="Y23" s="1089"/>
      <c r="Z23" s="1090"/>
      <c r="AA23" s="1087"/>
      <c r="AB23" s="1089"/>
      <c r="AC23" s="1382"/>
      <c r="AD23" s="1110"/>
      <c r="AE23" s="1111"/>
      <c r="AF23" s="1083"/>
      <c r="AG23" s="1083"/>
      <c r="AH23" s="1083"/>
      <c r="AI23" s="1083"/>
      <c r="AJ23" s="1084"/>
      <c r="AK23" s="1363"/>
      <c r="AL23" s="1082"/>
      <c r="AM23" s="1083"/>
      <c r="AN23" s="1083"/>
      <c r="AO23" s="1083"/>
      <c r="AP23" s="1446"/>
      <c r="AQ23" s="1126"/>
      <c r="AR23" s="1082"/>
      <c r="AS23" s="1083"/>
      <c r="AT23" s="1084"/>
      <c r="AU23" s="1387">
        <f t="shared" si="5"/>
        <v>9.89</v>
      </c>
      <c r="AV23" s="1363"/>
      <c r="AW23" s="1085"/>
      <c r="AX23" s="1087">
        <v>1</v>
      </c>
      <c r="AY23" s="1087"/>
      <c r="AZ23" s="1087"/>
      <c r="BA23" s="1089"/>
      <c r="BB23" s="1447"/>
      <c r="BC23" s="1363"/>
      <c r="BD23" s="1398"/>
      <c r="BE23" s="1399"/>
      <c r="BF23" s="1399"/>
      <c r="BG23" s="1399"/>
      <c r="BH23" s="1399"/>
      <c r="BI23" s="1399"/>
      <c r="BJ23" s="1400"/>
      <c r="BK23" s="1658"/>
      <c r="BL23" s="1085"/>
      <c r="BM23" s="1087"/>
      <c r="BN23" s="1088"/>
      <c r="BO23" s="1089"/>
      <c r="BP23" s="1086"/>
      <c r="BQ23" s="1085"/>
      <c r="BR23" s="1087"/>
      <c r="BS23" s="1088"/>
      <c r="BT23" s="1085"/>
      <c r="BU23" s="1087"/>
      <c r="BV23" s="1089">
        <f>+I23*J23</f>
        <v>36.68</v>
      </c>
      <c r="BW23" s="1087"/>
      <c r="BX23" s="1087"/>
      <c r="BY23" s="1088"/>
      <c r="BZ23" s="1089">
        <f t="shared" si="6"/>
        <v>9.89</v>
      </c>
      <c r="CA23" s="1397"/>
      <c r="CB23" s="1085"/>
      <c r="CC23" s="1087">
        <v>2</v>
      </c>
      <c r="CD23" s="1087">
        <v>1</v>
      </c>
      <c r="CE23" s="1085">
        <v>3</v>
      </c>
      <c r="CF23" s="1090"/>
      <c r="CG23" s="1087"/>
      <c r="CH23" s="1087">
        <v>1</v>
      </c>
      <c r="CI23" s="1087"/>
      <c r="CJ23" s="1087"/>
      <c r="CK23" s="1087"/>
      <c r="CL23" s="1087"/>
      <c r="CM23" s="1087"/>
      <c r="CN23" s="1087"/>
      <c r="CO23" s="1087"/>
      <c r="CP23" s="1087"/>
      <c r="CQ23" s="1087"/>
      <c r="CR23" s="1087"/>
      <c r="CS23" s="1087"/>
      <c r="CT23" s="1087"/>
      <c r="CU23" s="1089"/>
      <c r="CV23" s="1090"/>
      <c r="CW23" s="1087"/>
      <c r="CX23" s="1087"/>
      <c r="CY23" s="1091"/>
      <c r="CZ23" s="1398"/>
      <c r="DA23" s="1399"/>
      <c r="DB23" s="1399"/>
      <c r="DC23" s="1399"/>
      <c r="DD23" s="1400"/>
      <c r="DE23" s="1398"/>
      <c r="DF23" s="1399"/>
      <c r="DG23" s="1399"/>
      <c r="DH23" s="1399"/>
      <c r="DI23" s="1400"/>
    </row>
    <row r="24" spans="1:119" s="1397" customFormat="1" ht="13">
      <c r="A24" s="2075"/>
      <c r="B24" s="1448">
        <v>17</v>
      </c>
      <c r="C24" s="1127" t="s">
        <v>1433</v>
      </c>
      <c r="D24" s="1449"/>
      <c r="E24" s="1450"/>
      <c r="F24" s="1451">
        <v>15.97</v>
      </c>
      <c r="G24" s="1452">
        <v>30.86</v>
      </c>
      <c r="H24" s="1453">
        <v>0</v>
      </c>
      <c r="I24" s="1454">
        <f t="shared" si="0"/>
        <v>30.86</v>
      </c>
      <c r="J24" s="1455">
        <v>2.4</v>
      </c>
      <c r="K24" s="1456"/>
      <c r="L24" s="1426">
        <v>1.1000000000000001</v>
      </c>
      <c r="M24" s="1382"/>
      <c r="N24" s="1457"/>
      <c r="O24" s="1458"/>
      <c r="P24" s="1459"/>
      <c r="Q24" s="1457">
        <f>+F24</f>
        <v>15.97</v>
      </c>
      <c r="R24" s="1458"/>
      <c r="S24" s="1460"/>
      <c r="T24" s="1382"/>
      <c r="U24" s="1105"/>
      <c r="V24" s="1109"/>
      <c r="W24" s="1109"/>
      <c r="X24" s="1106"/>
      <c r="Y24" s="1108"/>
      <c r="Z24" s="1109">
        <f>+I24*J24</f>
        <v>74.063999999999993</v>
      </c>
      <c r="AA24" s="1106">
        <f>+AB24*J24</f>
        <v>9.6</v>
      </c>
      <c r="AB24" s="1108">
        <v>4</v>
      </c>
      <c r="AC24" s="1382"/>
      <c r="AD24" s="1120"/>
      <c r="AE24" s="1121"/>
      <c r="AF24" s="1101"/>
      <c r="AG24" s="1101"/>
      <c r="AH24" s="1101"/>
      <c r="AI24" s="1101"/>
      <c r="AJ24" s="1104"/>
      <c r="AK24" s="1382"/>
      <c r="AL24" s="1103">
        <f>+F24</f>
        <v>15.97</v>
      </c>
      <c r="AM24" s="1101"/>
      <c r="AN24" s="1101">
        <f>+G24</f>
        <v>30.86</v>
      </c>
      <c r="AO24" s="1101">
        <f>+L24*2</f>
        <v>2.2000000000000002</v>
      </c>
      <c r="AP24" s="1101"/>
      <c r="AQ24" s="1102"/>
      <c r="AR24" s="1103"/>
      <c r="AS24" s="1101"/>
      <c r="AT24" s="1104"/>
      <c r="AU24" s="1461"/>
      <c r="AV24" s="1382"/>
      <c r="AW24" s="1105"/>
      <c r="AX24" s="1106"/>
      <c r="AY24" s="1106"/>
      <c r="AZ24" s="1106"/>
      <c r="BA24" s="1108">
        <v>1</v>
      </c>
      <c r="BB24" s="1462">
        <v>2</v>
      </c>
      <c r="BC24" s="1363"/>
      <c r="BD24" s="1463"/>
      <c r="BE24" s="1464">
        <f>+F24</f>
        <v>15.97</v>
      </c>
      <c r="BF24" s="1464"/>
      <c r="BG24" s="1464"/>
      <c r="BH24" s="1464"/>
      <c r="BI24" s="1464"/>
      <c r="BJ24" s="1465"/>
      <c r="BK24" s="1660"/>
      <c r="BL24" s="1105"/>
      <c r="BM24" s="1106"/>
      <c r="BN24" s="1107"/>
      <c r="BO24" s="1108">
        <f>+G24</f>
        <v>30.86</v>
      </c>
      <c r="BP24" s="1086"/>
      <c r="BQ24" s="1105"/>
      <c r="BR24" s="1106"/>
      <c r="BS24" s="1107"/>
      <c r="BT24" s="1105"/>
      <c r="BU24" s="1106">
        <f>+I24*J24</f>
        <v>74.063999999999993</v>
      </c>
      <c r="BV24" s="1108"/>
      <c r="BW24" s="1106">
        <f>+F24</f>
        <v>15.97</v>
      </c>
      <c r="BX24" s="1106"/>
      <c r="BY24" s="1107"/>
      <c r="BZ24" s="1108"/>
      <c r="CB24" s="1105"/>
      <c r="CC24" s="1106">
        <v>7</v>
      </c>
      <c r="CD24" s="1106">
        <v>2</v>
      </c>
      <c r="CE24" s="1105">
        <v>9</v>
      </c>
      <c r="CF24" s="1109"/>
      <c r="CG24" s="1106"/>
      <c r="CH24" s="1106">
        <v>3</v>
      </c>
      <c r="CI24" s="1106"/>
      <c r="CJ24" s="1106"/>
      <c r="CK24" s="1106"/>
      <c r="CL24" s="1106"/>
      <c r="CM24" s="1106">
        <v>1</v>
      </c>
      <c r="CN24" s="1106"/>
      <c r="CO24" s="1106"/>
      <c r="CP24" s="1106"/>
      <c r="CQ24" s="1106"/>
      <c r="CR24" s="1106"/>
      <c r="CS24" s="1106"/>
      <c r="CT24" s="1106"/>
      <c r="CU24" s="1108"/>
      <c r="CV24" s="1109"/>
      <c r="CW24" s="1106"/>
      <c r="CX24" s="1106"/>
      <c r="CY24" s="1091"/>
      <c r="CZ24" s="1463"/>
      <c r="DA24" s="1464"/>
      <c r="DB24" s="1464"/>
      <c r="DC24" s="1464"/>
      <c r="DD24" s="1465"/>
      <c r="DE24" s="1463"/>
      <c r="DF24" s="1464"/>
      <c r="DG24" s="1464"/>
      <c r="DH24" s="1464"/>
      <c r="DI24" s="1465"/>
    </row>
    <row r="25" spans="1:119" s="1341" customFormat="1" ht="13">
      <c r="A25" s="2075"/>
      <c r="B25" s="1441">
        <v>18</v>
      </c>
      <c r="C25" s="1128" t="s">
        <v>2140</v>
      </c>
      <c r="D25" s="1442">
        <v>2.35</v>
      </c>
      <c r="E25" s="1443">
        <v>1.5</v>
      </c>
      <c r="F25" s="1375">
        <f t="shared" si="1"/>
        <v>3.5250000000000004</v>
      </c>
      <c r="G25" s="1376">
        <f t="shared" si="2"/>
        <v>7.7</v>
      </c>
      <c r="H25" s="1403">
        <f>+E25+E26</f>
        <v>2.1</v>
      </c>
      <c r="I25" s="1404">
        <f t="shared" si="0"/>
        <v>5.6</v>
      </c>
      <c r="J25" s="1402">
        <v>2.2000000000000002</v>
      </c>
      <c r="K25" s="1380"/>
      <c r="L25" s="1381"/>
      <c r="M25" s="1382"/>
      <c r="N25" s="1383"/>
      <c r="O25" s="1384"/>
      <c r="P25" s="1385"/>
      <c r="Q25" s="1383">
        <f>+F25</f>
        <v>3.5250000000000004</v>
      </c>
      <c r="R25" s="1384"/>
      <c r="S25" s="1386"/>
      <c r="T25" s="1382"/>
      <c r="U25" s="1112"/>
      <c r="V25" s="1123"/>
      <c r="W25" s="1123"/>
      <c r="X25" s="1124"/>
      <c r="Y25" s="1125"/>
      <c r="Z25" s="1123">
        <f>+I25*J25</f>
        <v>12.32</v>
      </c>
      <c r="AA25" s="1087">
        <f>+AB25*J25</f>
        <v>2.2000000000000002</v>
      </c>
      <c r="AB25" s="1129">
        <v>1</v>
      </c>
      <c r="AC25" s="1382"/>
      <c r="AD25" s="1130"/>
      <c r="AE25" s="1131"/>
      <c r="AF25" s="1132"/>
      <c r="AG25" s="1132"/>
      <c r="AH25" s="1132"/>
      <c r="AI25" s="1132"/>
      <c r="AJ25" s="1134"/>
      <c r="AK25" s="1363"/>
      <c r="AL25" s="1135">
        <f>+F25</f>
        <v>3.5250000000000004</v>
      </c>
      <c r="AM25" s="1132"/>
      <c r="AN25" s="1132">
        <f>+G25</f>
        <v>7.7</v>
      </c>
      <c r="AO25" s="1132">
        <f>+E25</f>
        <v>1.5</v>
      </c>
      <c r="AP25" s="1132"/>
      <c r="AQ25" s="1133"/>
      <c r="AR25" s="1135"/>
      <c r="AS25" s="1132"/>
      <c r="AT25" s="1134"/>
      <c r="AU25" s="1466"/>
      <c r="AV25" s="1363"/>
      <c r="AW25" s="1112">
        <v>1</v>
      </c>
      <c r="AX25" s="1124"/>
      <c r="AY25" s="1124"/>
      <c r="AZ25" s="1124"/>
      <c r="BA25" s="1125"/>
      <c r="BB25" s="1467"/>
      <c r="BC25" s="1363"/>
      <c r="BD25" s="1398"/>
      <c r="BE25" s="1399"/>
      <c r="BF25" s="1399">
        <f>+F25</f>
        <v>3.5250000000000004</v>
      </c>
      <c r="BG25" s="1399"/>
      <c r="BH25" s="1399"/>
      <c r="BI25" s="1399"/>
      <c r="BJ25" s="1400"/>
      <c r="BK25" s="1658">
        <v>1</v>
      </c>
      <c r="BL25" s="1085">
        <f>+I25</f>
        <v>5.6</v>
      </c>
      <c r="BM25" s="1087"/>
      <c r="BN25" s="1088"/>
      <c r="BO25" s="1089"/>
      <c r="BP25" s="1086"/>
      <c r="BQ25" s="1112"/>
      <c r="BR25" s="1124"/>
      <c r="BS25" s="1136"/>
      <c r="BT25" s="1085"/>
      <c r="BU25" s="1087">
        <f>+I25*J25</f>
        <v>12.32</v>
      </c>
      <c r="BV25" s="1089"/>
      <c r="BW25" s="1087">
        <f>+F25</f>
        <v>3.5250000000000004</v>
      </c>
      <c r="BX25" s="1087"/>
      <c r="BY25" s="1088"/>
      <c r="BZ25" s="1089"/>
      <c r="CA25" s="1397"/>
      <c r="CB25" s="1112"/>
      <c r="CC25" s="1124"/>
      <c r="CD25" s="1124"/>
      <c r="CE25" s="1112">
        <v>1</v>
      </c>
      <c r="CF25" s="1123"/>
      <c r="CG25" s="1124"/>
      <c r="CH25" s="1124"/>
      <c r="CI25" s="1124"/>
      <c r="CJ25" s="1124"/>
      <c r="CK25" s="1124">
        <v>1</v>
      </c>
      <c r="CL25" s="1124"/>
      <c r="CM25" s="1124"/>
      <c r="CN25" s="1124"/>
      <c r="CO25" s="1124"/>
      <c r="CP25" s="1124"/>
      <c r="CQ25" s="1124"/>
      <c r="CR25" s="1124"/>
      <c r="CS25" s="1124"/>
      <c r="CT25" s="1124"/>
      <c r="CU25" s="1125"/>
      <c r="CV25" s="1123"/>
      <c r="CW25" s="1124"/>
      <c r="CX25" s="1124"/>
      <c r="CY25" s="1091"/>
      <c r="CZ25" s="1468"/>
      <c r="DA25" s="1469"/>
      <c r="DB25" s="1469"/>
      <c r="DC25" s="1469"/>
      <c r="DD25" s="1470"/>
      <c r="DE25" s="1468"/>
      <c r="DF25" s="1469"/>
      <c r="DG25" s="1469"/>
      <c r="DH25" s="1469"/>
      <c r="DI25" s="1470"/>
    </row>
    <row r="26" spans="1:119" s="1341" customFormat="1" ht="13">
      <c r="A26" s="2075"/>
      <c r="B26" s="1471">
        <v>19</v>
      </c>
      <c r="C26" s="1472" t="s">
        <v>2141</v>
      </c>
      <c r="D26" s="1473">
        <v>2.63</v>
      </c>
      <c r="E26" s="1474">
        <v>0.6</v>
      </c>
      <c r="F26" s="1375">
        <f t="shared" si="1"/>
        <v>1.5779999999999998</v>
      </c>
      <c r="G26" s="1376">
        <f t="shared" si="2"/>
        <v>6.46</v>
      </c>
      <c r="H26" s="1377">
        <f>+D26+E26</f>
        <v>3.23</v>
      </c>
      <c r="I26" s="1378">
        <f t="shared" si="0"/>
        <v>3.23</v>
      </c>
      <c r="J26" s="1376">
        <v>2.2000000000000002</v>
      </c>
      <c r="K26" s="1410">
        <v>0.9</v>
      </c>
      <c r="L26" s="1426">
        <v>4.25</v>
      </c>
      <c r="M26" s="1382"/>
      <c r="N26" s="1475"/>
      <c r="O26" s="1476"/>
      <c r="P26" s="1477"/>
      <c r="Q26" s="1475">
        <f>+F26</f>
        <v>1.5779999999999998</v>
      </c>
      <c r="R26" s="1476"/>
      <c r="S26" s="1478"/>
      <c r="T26" s="1382"/>
      <c r="U26" s="1112"/>
      <c r="V26" s="1123"/>
      <c r="W26" s="1123"/>
      <c r="X26" s="1124">
        <f>+I26*J26</f>
        <v>7.1060000000000008</v>
      </c>
      <c r="Y26" s="1125"/>
      <c r="Z26" s="1123"/>
      <c r="AA26" s="1124"/>
      <c r="AB26" s="1129"/>
      <c r="AC26" s="1382"/>
      <c r="AD26" s="1130"/>
      <c r="AE26" s="1131"/>
      <c r="AF26" s="1132"/>
      <c r="AG26" s="1132"/>
      <c r="AH26" s="1132"/>
      <c r="AI26" s="1132"/>
      <c r="AJ26" s="1134"/>
      <c r="AK26" s="1363"/>
      <c r="AL26" s="1135"/>
      <c r="AM26" s="1132"/>
      <c r="AN26" s="1132">
        <f>+G26</f>
        <v>6.46</v>
      </c>
      <c r="AO26" s="1132"/>
      <c r="AP26" s="1479">
        <f>+D26</f>
        <v>2.63</v>
      </c>
      <c r="AQ26" s="1133"/>
      <c r="AR26" s="1135"/>
      <c r="AS26" s="1132"/>
      <c r="AT26" s="1134"/>
      <c r="AU26" s="1466"/>
      <c r="AV26" s="1363"/>
      <c r="AW26" s="1112"/>
      <c r="AX26" s="1124"/>
      <c r="AY26" s="1124"/>
      <c r="AZ26" s="1124"/>
      <c r="BA26" s="1125"/>
      <c r="BB26" s="1467"/>
      <c r="BC26" s="1363"/>
      <c r="BD26" s="1417"/>
      <c r="BE26" s="1418"/>
      <c r="BF26" s="1418">
        <f>+F26</f>
        <v>1.5779999999999998</v>
      </c>
      <c r="BG26" s="1418"/>
      <c r="BH26" s="1418"/>
      <c r="BI26" s="1418"/>
      <c r="BJ26" s="1419"/>
      <c r="BK26" s="1659"/>
      <c r="BL26" s="1078">
        <f>+I26</f>
        <v>3.23</v>
      </c>
      <c r="BM26" s="1080"/>
      <c r="BN26" s="1099"/>
      <c r="BO26" s="1081"/>
      <c r="BP26" s="1086"/>
      <c r="BQ26" s="1112">
        <f>+K26*L26</f>
        <v>3.8250000000000002</v>
      </c>
      <c r="BR26" s="1124"/>
      <c r="BS26" s="1136"/>
      <c r="BT26" s="1078">
        <f>+(I26*J26)-BQ26</f>
        <v>3.2810000000000006</v>
      </c>
      <c r="BV26" s="1125"/>
      <c r="BW26" s="1480">
        <f>+AP26</f>
        <v>2.63</v>
      </c>
      <c r="BX26" s="1124"/>
      <c r="BY26" s="1136"/>
      <c r="BZ26" s="1125"/>
      <c r="CA26" s="1397"/>
      <c r="CB26" s="1112"/>
      <c r="CC26" s="1124"/>
      <c r="CD26" s="1124"/>
      <c r="CE26" s="1112"/>
      <c r="CF26" s="1123"/>
      <c r="CG26" s="1124">
        <v>1</v>
      </c>
      <c r="CH26" s="1124"/>
      <c r="CI26" s="1124">
        <v>1</v>
      </c>
      <c r="CJ26" s="1124"/>
      <c r="CK26" s="1124"/>
      <c r="CL26" s="1124">
        <v>3</v>
      </c>
      <c r="CM26" s="1124">
        <v>2</v>
      </c>
      <c r="CN26" s="1124"/>
      <c r="CO26" s="1124">
        <v>2</v>
      </c>
      <c r="CP26" s="1124"/>
      <c r="CQ26" s="1124"/>
      <c r="CR26" s="1124">
        <v>1</v>
      </c>
      <c r="CS26" s="1124"/>
      <c r="CT26" s="1124"/>
      <c r="CU26" s="1125"/>
      <c r="CV26" s="1123"/>
      <c r="CW26" s="1124"/>
      <c r="CX26" s="1124">
        <v>1</v>
      </c>
      <c r="CY26" s="1091"/>
      <c r="CZ26" s="1468"/>
      <c r="DA26" s="1469"/>
      <c r="DB26" s="1469"/>
      <c r="DC26" s="1469"/>
      <c r="DD26" s="1470"/>
      <c r="DE26" s="1468"/>
      <c r="DF26" s="1469"/>
      <c r="DG26" s="1469"/>
      <c r="DH26" s="1469"/>
      <c r="DI26" s="1470"/>
    </row>
    <row r="27" spans="1:119" s="1341" customFormat="1" ht="13">
      <c r="A27" s="2075"/>
      <c r="B27" s="1471">
        <v>20</v>
      </c>
      <c r="C27" s="1472" t="s">
        <v>2142</v>
      </c>
      <c r="D27" s="1473">
        <v>4.4000000000000004</v>
      </c>
      <c r="E27" s="1474">
        <v>4.13</v>
      </c>
      <c r="F27" s="1375">
        <f t="shared" si="1"/>
        <v>18.172000000000001</v>
      </c>
      <c r="G27" s="1376">
        <f t="shared" si="2"/>
        <v>17.060000000000002</v>
      </c>
      <c r="H27" s="1377">
        <f>+E27</f>
        <v>4.13</v>
      </c>
      <c r="I27" s="1378">
        <f t="shared" si="0"/>
        <v>12.930000000000003</v>
      </c>
      <c r="J27" s="1376">
        <v>2.6</v>
      </c>
      <c r="K27" s="1410"/>
      <c r="L27" s="1426"/>
      <c r="M27" s="1382"/>
      <c r="N27" s="1475"/>
      <c r="O27" s="1476"/>
      <c r="P27" s="1477"/>
      <c r="Q27" s="1475">
        <f>+F27</f>
        <v>18.172000000000001</v>
      </c>
      <c r="R27" s="1476"/>
      <c r="S27" s="1478"/>
      <c r="T27" s="1382"/>
      <c r="U27" s="1112"/>
      <c r="V27" s="1123"/>
      <c r="W27" s="1123"/>
      <c r="X27" s="1124"/>
      <c r="Y27" s="1125"/>
      <c r="Z27" s="1123">
        <f>+I27*J27</f>
        <v>33.618000000000009</v>
      </c>
      <c r="AA27" s="1124">
        <f>+AB27*J27</f>
        <v>0</v>
      </c>
      <c r="AB27" s="1129">
        <v>0</v>
      </c>
      <c r="AC27" s="1382"/>
      <c r="AD27" s="1130"/>
      <c r="AE27" s="1131"/>
      <c r="AF27" s="1132"/>
      <c r="AG27" s="1132"/>
      <c r="AH27" s="1132"/>
      <c r="AI27" s="1132"/>
      <c r="AJ27" s="1134"/>
      <c r="AK27" s="1363"/>
      <c r="AL27" s="1135"/>
      <c r="AM27" s="1132"/>
      <c r="AN27" s="1132"/>
      <c r="AO27" s="1132"/>
      <c r="AP27" s="1132"/>
      <c r="AQ27" s="1133"/>
      <c r="AR27" s="1135">
        <f>+F27</f>
        <v>18.172000000000001</v>
      </c>
      <c r="AS27" s="1132">
        <f>+G27</f>
        <v>17.060000000000002</v>
      </c>
      <c r="AT27" s="1134"/>
      <c r="AU27" s="1466"/>
      <c r="AV27" s="1363"/>
      <c r="AW27" s="1112"/>
      <c r="AX27" s="1124"/>
      <c r="AY27" s="1124"/>
      <c r="AZ27" s="1124"/>
      <c r="BA27" s="1125"/>
      <c r="BB27" s="1467">
        <v>1</v>
      </c>
      <c r="BC27" s="1363"/>
      <c r="BD27" s="1417"/>
      <c r="BE27" s="1418"/>
      <c r="BF27" s="1418">
        <f>+F27</f>
        <v>18.172000000000001</v>
      </c>
      <c r="BG27" s="1418"/>
      <c r="BH27" s="1418"/>
      <c r="BI27" s="1418"/>
      <c r="BJ27" s="1419"/>
      <c r="BK27" s="1659"/>
      <c r="BL27" s="1078">
        <f>+I27</f>
        <v>12.930000000000003</v>
      </c>
      <c r="BM27" s="1080"/>
      <c r="BN27" s="1099"/>
      <c r="BO27" s="1081"/>
      <c r="BP27" s="1086"/>
      <c r="BQ27" s="1112"/>
      <c r="BR27" s="1124"/>
      <c r="BS27" s="1136"/>
      <c r="BT27" s="1112"/>
      <c r="BU27" s="1080">
        <f>+I27*J27</f>
        <v>33.618000000000009</v>
      </c>
      <c r="BV27" s="1125"/>
      <c r="BW27" s="1124"/>
      <c r="BX27" s="1124">
        <f>+F27</f>
        <v>18.172000000000001</v>
      </c>
      <c r="BY27" s="1136"/>
      <c r="BZ27" s="1125"/>
      <c r="CA27" s="1397"/>
      <c r="CB27" s="1112"/>
      <c r="CC27" s="1124"/>
      <c r="CD27" s="1124"/>
      <c r="CE27" s="1112">
        <v>2</v>
      </c>
      <c r="CF27" s="1123"/>
      <c r="CG27" s="1124"/>
      <c r="CH27" s="1124"/>
      <c r="CI27" s="1124"/>
      <c r="CJ27" s="1124"/>
      <c r="CK27" s="1124">
        <v>1</v>
      </c>
      <c r="CL27" s="1124"/>
      <c r="CM27" s="1124">
        <v>4</v>
      </c>
      <c r="CN27" s="1124"/>
      <c r="CO27" s="1124"/>
      <c r="CP27" s="1124">
        <v>1</v>
      </c>
      <c r="CQ27" s="1124"/>
      <c r="CR27" s="1124"/>
      <c r="CS27" s="1124"/>
      <c r="CT27" s="1124"/>
      <c r="CU27" s="1125"/>
      <c r="CV27" s="1123"/>
      <c r="CW27" s="1124"/>
      <c r="CX27" s="1124"/>
      <c r="CY27" s="1091"/>
      <c r="CZ27" s="1468"/>
      <c r="DA27" s="1469"/>
      <c r="DB27" s="1469"/>
      <c r="DC27" s="1469"/>
      <c r="DD27" s="1470"/>
      <c r="DE27" s="1468"/>
      <c r="DF27" s="1469"/>
      <c r="DG27" s="1469"/>
      <c r="DH27" s="1469"/>
      <c r="DI27" s="1470"/>
    </row>
    <row r="28" spans="1:119" s="1341" customFormat="1" ht="13">
      <c r="A28" s="2075"/>
      <c r="B28" s="1471">
        <v>21</v>
      </c>
      <c r="C28" s="1115" t="s">
        <v>2143</v>
      </c>
      <c r="D28" s="1473">
        <v>3.98</v>
      </c>
      <c r="E28" s="1474">
        <v>2.5099999999999998</v>
      </c>
      <c r="F28" s="1375">
        <f t="shared" si="1"/>
        <v>9.9897999999999989</v>
      </c>
      <c r="G28" s="1376">
        <f t="shared" si="2"/>
        <v>12.98</v>
      </c>
      <c r="H28" s="1481">
        <v>0</v>
      </c>
      <c r="I28" s="1378">
        <f t="shared" si="0"/>
        <v>12.98</v>
      </c>
      <c r="J28" s="1376">
        <v>2.6</v>
      </c>
      <c r="K28" s="1410"/>
      <c r="L28" s="1426"/>
      <c r="M28" s="1382"/>
      <c r="N28" s="1412"/>
      <c r="O28" s="1413"/>
      <c r="P28" s="1414"/>
      <c r="Q28" s="1475">
        <f>+F28</f>
        <v>9.9897999999999989</v>
      </c>
      <c r="R28" s="1413"/>
      <c r="S28" s="1415"/>
      <c r="T28" s="1382"/>
      <c r="U28" s="1078"/>
      <c r="V28" s="1079"/>
      <c r="W28" s="1079"/>
      <c r="X28" s="1080"/>
      <c r="Y28" s="1081"/>
      <c r="Z28" s="1079">
        <f>+I28*J28</f>
        <v>33.748000000000005</v>
      </c>
      <c r="AA28" s="1124">
        <f>+AB28*J28</f>
        <v>2.6</v>
      </c>
      <c r="AB28" s="1129">
        <v>1</v>
      </c>
      <c r="AC28" s="1382"/>
      <c r="AD28" s="1093"/>
      <c r="AE28" s="1094"/>
      <c r="AF28" s="1095"/>
      <c r="AG28" s="1095"/>
      <c r="AH28" s="1095"/>
      <c r="AI28" s="1095"/>
      <c r="AJ28" s="1098"/>
      <c r="AK28" s="1363"/>
      <c r="AL28" s="1097"/>
      <c r="AM28" s="1095"/>
      <c r="AN28" s="1095"/>
      <c r="AO28" s="1095"/>
      <c r="AP28" s="1095"/>
      <c r="AQ28" s="1096"/>
      <c r="AR28" s="1135">
        <f>+F28</f>
        <v>9.9897999999999989</v>
      </c>
      <c r="AS28" s="1132">
        <f>+G28</f>
        <v>12.98</v>
      </c>
      <c r="AT28" s="1098"/>
      <c r="AU28" s="1416"/>
      <c r="AV28" s="1363"/>
      <c r="AW28" s="1078"/>
      <c r="AX28" s="1080"/>
      <c r="AY28" s="1080">
        <v>1</v>
      </c>
      <c r="AZ28" s="1080"/>
      <c r="BA28" s="1081"/>
      <c r="BB28" s="1388">
        <v>1</v>
      </c>
      <c r="BC28" s="1363"/>
      <c r="BD28" s="1417"/>
      <c r="BE28" s="1418"/>
      <c r="BF28" s="1418">
        <f>+F28</f>
        <v>9.9897999999999989</v>
      </c>
      <c r="BG28" s="1418"/>
      <c r="BH28" s="1418"/>
      <c r="BI28" s="1418"/>
      <c r="BJ28" s="1419"/>
      <c r="BK28" s="1659"/>
      <c r="BL28" s="1078">
        <f>+I28</f>
        <v>12.98</v>
      </c>
      <c r="BM28" s="1080"/>
      <c r="BN28" s="1099"/>
      <c r="BO28" s="1081"/>
      <c r="BP28" s="1086"/>
      <c r="BQ28" s="1078"/>
      <c r="BR28" s="1080"/>
      <c r="BS28" s="1099"/>
      <c r="BT28" s="1078"/>
      <c r="BU28" s="1080">
        <f>+I28*J28</f>
        <v>33.748000000000005</v>
      </c>
      <c r="BV28" s="1081"/>
      <c r="BW28" s="1080"/>
      <c r="BX28" s="1124">
        <f>+F28</f>
        <v>9.9897999999999989</v>
      </c>
      <c r="BY28" s="1136"/>
      <c r="BZ28" s="1081"/>
      <c r="CA28" s="1397"/>
      <c r="CB28" s="1078"/>
      <c r="CC28" s="1080"/>
      <c r="CD28" s="1080"/>
      <c r="CE28" s="1078">
        <v>1</v>
      </c>
      <c r="CF28" s="1079"/>
      <c r="CG28" s="1080"/>
      <c r="CH28" s="1080"/>
      <c r="CI28" s="1080">
        <v>1</v>
      </c>
      <c r="CJ28" s="1080"/>
      <c r="CK28" s="1080"/>
      <c r="CL28" s="1080"/>
      <c r="CM28" s="1080">
        <v>3</v>
      </c>
      <c r="CN28" s="1080"/>
      <c r="CO28" s="1080"/>
      <c r="CP28" s="1080">
        <v>1</v>
      </c>
      <c r="CQ28" s="1080"/>
      <c r="CR28" s="1080"/>
      <c r="CS28" s="1080"/>
      <c r="CT28" s="1080"/>
      <c r="CU28" s="1081"/>
      <c r="CV28" s="1079"/>
      <c r="CW28" s="1080"/>
      <c r="CX28" s="1080">
        <v>1</v>
      </c>
      <c r="CY28" s="1091"/>
      <c r="CZ28" s="1417"/>
      <c r="DA28" s="1418"/>
      <c r="DB28" s="1418"/>
      <c r="DC28" s="1418"/>
      <c r="DD28" s="1419"/>
      <c r="DE28" s="1417"/>
      <c r="DF28" s="1418"/>
      <c r="DG28" s="1418"/>
      <c r="DH28" s="1418"/>
      <c r="DI28" s="1419"/>
    </row>
    <row r="29" spans="1:119" s="1341" customFormat="1" ht="13">
      <c r="A29" s="2075"/>
      <c r="B29" s="1471">
        <v>22</v>
      </c>
      <c r="C29" s="1115" t="s">
        <v>2144</v>
      </c>
      <c r="D29" s="1473"/>
      <c r="E29" s="1474"/>
      <c r="F29" s="1431">
        <v>3.04</v>
      </c>
      <c r="G29" s="1425">
        <v>7.52</v>
      </c>
      <c r="H29" s="1377">
        <v>0</v>
      </c>
      <c r="I29" s="1378">
        <f t="shared" si="0"/>
        <v>7.52</v>
      </c>
      <c r="J29" s="1376">
        <v>2.2999999999999998</v>
      </c>
      <c r="K29" s="1410">
        <v>2.2999999999999998</v>
      </c>
      <c r="L29" s="1426"/>
      <c r="M29" s="1382"/>
      <c r="N29" s="1412"/>
      <c r="O29" s="1413"/>
      <c r="P29" s="1414"/>
      <c r="Q29" s="1412"/>
      <c r="R29" s="1413">
        <f>+F29</f>
        <v>3.04</v>
      </c>
      <c r="S29" s="1415">
        <f>+F29</f>
        <v>3.04</v>
      </c>
      <c r="T29" s="1382"/>
      <c r="U29" s="1078"/>
      <c r="V29" s="1079"/>
      <c r="W29" s="1079"/>
      <c r="X29" s="1080">
        <f>+I29*J29</f>
        <v>17.295999999999999</v>
      </c>
      <c r="Y29" s="1081"/>
      <c r="Z29" s="1079"/>
      <c r="AA29" s="1137"/>
      <c r="AB29" s="1129"/>
      <c r="AC29" s="1382"/>
      <c r="AD29" s="1093">
        <f>+F29</f>
        <v>3.04</v>
      </c>
      <c r="AE29" s="1094">
        <f>+G29</f>
        <v>7.52</v>
      </c>
      <c r="AF29" s="1095"/>
      <c r="AG29" s="1095"/>
      <c r="AH29" s="1095"/>
      <c r="AI29" s="1095"/>
      <c r="AJ29" s="1098"/>
      <c r="AK29" s="1363"/>
      <c r="AL29" s="1097"/>
      <c r="AM29" s="1095">
        <f>+F29</f>
        <v>3.04</v>
      </c>
      <c r="AN29" s="1095">
        <f>+G29</f>
        <v>7.52</v>
      </c>
      <c r="AO29" s="1095"/>
      <c r="AP29" s="1095"/>
      <c r="AQ29" s="1096"/>
      <c r="AR29" s="1097"/>
      <c r="AS29" s="1095"/>
      <c r="AT29" s="1098"/>
      <c r="AU29" s="1416"/>
      <c r="AV29" s="1363"/>
      <c r="AW29" s="1078"/>
      <c r="AX29" s="1080"/>
      <c r="AY29" s="1080">
        <v>1</v>
      </c>
      <c r="AZ29" s="1080"/>
      <c r="BA29" s="1081"/>
      <c r="BB29" s="1388">
        <v>1</v>
      </c>
      <c r="BC29" s="1363"/>
      <c r="BD29" s="1417"/>
      <c r="BE29" s="1418"/>
      <c r="BF29" s="1418"/>
      <c r="BG29" s="1418">
        <f>+F29</f>
        <v>3.04</v>
      </c>
      <c r="BH29" s="1418"/>
      <c r="BI29" s="1418"/>
      <c r="BJ29" s="1419"/>
      <c r="BK29" s="1659"/>
      <c r="BL29" s="1078"/>
      <c r="BM29" s="1080"/>
      <c r="BN29" s="1099"/>
      <c r="BO29" s="1081"/>
      <c r="BP29" s="1086"/>
      <c r="BQ29" s="1078"/>
      <c r="BR29" s="1080">
        <f>+I29*K29</f>
        <v>17.295999999999999</v>
      </c>
      <c r="BS29" s="1099"/>
      <c r="BT29" s="1078"/>
      <c r="BU29" s="1080"/>
      <c r="BV29" s="1081"/>
      <c r="BW29" s="1124">
        <f>+F29</f>
        <v>3.04</v>
      </c>
      <c r="BX29" s="1080"/>
      <c r="BY29" s="1080"/>
      <c r="BZ29" s="1081"/>
      <c r="CA29" s="1397"/>
      <c r="CB29" s="1078"/>
      <c r="CC29" s="1080"/>
      <c r="CD29" s="1080"/>
      <c r="CE29" s="1078">
        <v>1</v>
      </c>
      <c r="CF29" s="1079">
        <v>1</v>
      </c>
      <c r="CG29" s="1080"/>
      <c r="CH29" s="1080"/>
      <c r="CI29" s="1080"/>
      <c r="CJ29" s="1080">
        <v>1</v>
      </c>
      <c r="CK29" s="1080"/>
      <c r="CL29" s="1080"/>
      <c r="CM29" s="1080">
        <v>1</v>
      </c>
      <c r="CN29" s="1080"/>
      <c r="CO29" s="1080"/>
      <c r="CP29" s="1080"/>
      <c r="CQ29" s="1080"/>
      <c r="CR29" s="1080"/>
      <c r="CS29" s="1080"/>
      <c r="CT29" s="1080"/>
      <c r="CU29" s="1081"/>
      <c r="CV29" s="1079"/>
      <c r="CW29" s="1080"/>
      <c r="CX29" s="1080"/>
      <c r="CY29" s="1091"/>
      <c r="CZ29" s="1417"/>
      <c r="DA29" s="1418"/>
      <c r="DB29" s="1418"/>
      <c r="DC29" s="1418"/>
      <c r="DD29" s="1419"/>
      <c r="DE29" s="1417"/>
      <c r="DF29" s="1418"/>
      <c r="DG29" s="1418"/>
      <c r="DH29" s="1418"/>
      <c r="DI29" s="1419"/>
    </row>
    <row r="30" spans="1:119" s="1341" customFormat="1" ht="13">
      <c r="A30" s="2075"/>
      <c r="B30" s="1448">
        <v>23</v>
      </c>
      <c r="C30" s="1127" t="s">
        <v>2145</v>
      </c>
      <c r="D30" s="1449">
        <v>3.96</v>
      </c>
      <c r="E30" s="1450">
        <v>1.4</v>
      </c>
      <c r="F30" s="1482">
        <f t="shared" si="1"/>
        <v>5.5439999999999996</v>
      </c>
      <c r="G30" s="1455">
        <f t="shared" si="2"/>
        <v>10.719999999999999</v>
      </c>
      <c r="H30" s="1453">
        <f>+D30+(E30*2)</f>
        <v>6.76</v>
      </c>
      <c r="I30" s="1454">
        <f t="shared" si="0"/>
        <v>3.9599999999999991</v>
      </c>
      <c r="J30" s="1455">
        <v>2.6</v>
      </c>
      <c r="K30" s="1456"/>
      <c r="L30" s="1483"/>
      <c r="M30" s="1382"/>
      <c r="N30" s="1457"/>
      <c r="O30" s="1458"/>
      <c r="P30" s="1459"/>
      <c r="Q30" s="1457"/>
      <c r="R30" s="1458">
        <f>+F30</f>
        <v>5.5439999999999996</v>
      </c>
      <c r="S30" s="1460">
        <f>+F30</f>
        <v>5.5439999999999996</v>
      </c>
      <c r="T30" s="1382"/>
      <c r="U30" s="1105"/>
      <c r="V30" s="1109"/>
      <c r="W30" s="1109"/>
      <c r="X30" s="1106"/>
      <c r="Y30" s="1108"/>
      <c r="Z30" s="1109"/>
      <c r="AA30" s="1106"/>
      <c r="AB30" s="1108"/>
      <c r="AC30" s="1382"/>
      <c r="AD30" s="1120"/>
      <c r="AE30" s="1121"/>
      <c r="AF30" s="1101"/>
      <c r="AG30" s="1101"/>
      <c r="AH30" s="1101"/>
      <c r="AI30" s="1101">
        <f>+F30</f>
        <v>5.5439999999999996</v>
      </c>
      <c r="AJ30" s="1104">
        <f>+G30</f>
        <v>10.719999999999999</v>
      </c>
      <c r="AK30" s="1363"/>
      <c r="AL30" s="1103"/>
      <c r="AM30" s="1101"/>
      <c r="AN30" s="1101"/>
      <c r="AO30" s="1101"/>
      <c r="AP30" s="1101"/>
      <c r="AQ30" s="1102"/>
      <c r="AR30" s="1103"/>
      <c r="AS30" s="1101"/>
      <c r="AT30" s="1104"/>
      <c r="AU30" s="1461">
        <f>+F30</f>
        <v>5.5439999999999996</v>
      </c>
      <c r="AV30" s="1363"/>
      <c r="AW30" s="1138"/>
      <c r="AX30" s="1139"/>
      <c r="AY30" s="1139"/>
      <c r="AZ30" s="1139"/>
      <c r="BA30" s="1140"/>
      <c r="BB30" s="1439"/>
      <c r="BC30" s="1363"/>
      <c r="BD30" s="1463"/>
      <c r="BE30" s="1464"/>
      <c r="BF30" s="1464">
        <f>+F30</f>
        <v>5.5439999999999996</v>
      </c>
      <c r="BG30" s="1464"/>
      <c r="BH30" s="1464"/>
      <c r="BI30" s="1464"/>
      <c r="BJ30" s="1465"/>
      <c r="BK30" s="1660"/>
      <c r="BL30" s="1105"/>
      <c r="BM30" s="1106"/>
      <c r="BN30" s="1107">
        <f>+G30</f>
        <v>10.719999999999999</v>
      </c>
      <c r="BO30" s="1108"/>
      <c r="BP30" s="1086"/>
      <c r="BQ30" s="1105"/>
      <c r="BR30" s="1106"/>
      <c r="BS30" s="1107"/>
      <c r="BT30" s="1105"/>
      <c r="BU30" s="1106"/>
      <c r="BV30" s="1108"/>
      <c r="BW30" s="1106"/>
      <c r="BX30" s="1106"/>
      <c r="BY30" s="1106">
        <f>+F30</f>
        <v>5.5439999999999996</v>
      </c>
      <c r="BZ30" s="1108"/>
      <c r="CA30" s="1397"/>
      <c r="CB30" s="1105"/>
      <c r="CC30" s="1141">
        <v>1</v>
      </c>
      <c r="CD30" s="1141"/>
      <c r="CE30" s="1105"/>
      <c r="CF30" s="1109">
        <v>1</v>
      </c>
      <c r="CG30" s="1106"/>
      <c r="CH30" s="1106"/>
      <c r="CI30" s="1106"/>
      <c r="CJ30" s="1106"/>
      <c r="CK30" s="1106"/>
      <c r="CL30" s="1106"/>
      <c r="CM30" s="1106"/>
      <c r="CN30" s="1106"/>
      <c r="CO30" s="1106"/>
      <c r="CP30" s="1106"/>
      <c r="CQ30" s="1106"/>
      <c r="CR30" s="1106"/>
      <c r="CS30" s="1106"/>
      <c r="CT30" s="1106"/>
      <c r="CU30" s="1108"/>
      <c r="CV30" s="1109"/>
      <c r="CW30" s="1106"/>
      <c r="CX30" s="1106"/>
      <c r="CY30" s="1091"/>
      <c r="CZ30" s="1463"/>
      <c r="DA30" s="1464"/>
      <c r="DB30" s="1464"/>
      <c r="DC30" s="1464"/>
      <c r="DD30" s="1465"/>
      <c r="DE30" s="1463"/>
      <c r="DF30" s="1464"/>
      <c r="DG30" s="1464"/>
      <c r="DH30" s="1464"/>
      <c r="DI30" s="1465"/>
    </row>
    <row r="31" spans="1:119" s="1341" customFormat="1" ht="13">
      <c r="A31" s="2075"/>
      <c r="B31" s="1441">
        <v>24</v>
      </c>
      <c r="C31" s="1484" t="s">
        <v>2146</v>
      </c>
      <c r="D31" s="1442"/>
      <c r="E31" s="1443"/>
      <c r="F31" s="1485">
        <v>23.33</v>
      </c>
      <c r="G31" s="1486">
        <v>22.19</v>
      </c>
      <c r="H31" s="1487">
        <v>0</v>
      </c>
      <c r="I31" s="1488">
        <f t="shared" si="0"/>
        <v>22.19</v>
      </c>
      <c r="J31" s="1489">
        <v>2.6</v>
      </c>
      <c r="K31" s="1380">
        <v>0.9</v>
      </c>
      <c r="L31" s="1490">
        <v>3</v>
      </c>
      <c r="M31" s="1382"/>
      <c r="N31" s="1383"/>
      <c r="O31" s="1384"/>
      <c r="P31" s="1385"/>
      <c r="Q31" s="1491">
        <f>+F31</f>
        <v>23.33</v>
      </c>
      <c r="R31" s="1384"/>
      <c r="S31" s="1386"/>
      <c r="T31" s="1382"/>
      <c r="U31" s="1085"/>
      <c r="V31" s="1090"/>
      <c r="W31" s="1090"/>
      <c r="X31" s="1492">
        <f>+L31*J31</f>
        <v>7.8000000000000007</v>
      </c>
      <c r="Y31" s="1493"/>
      <c r="Z31" s="1494">
        <f>+(I31*J31)-X31</f>
        <v>49.894000000000005</v>
      </c>
      <c r="AA31" s="1492">
        <f>+AB31*J31</f>
        <v>5.2</v>
      </c>
      <c r="AB31" s="1493">
        <v>2</v>
      </c>
      <c r="AC31" s="1382"/>
      <c r="AD31" s="1110"/>
      <c r="AE31" s="1111"/>
      <c r="AF31" s="1083"/>
      <c r="AG31" s="1083"/>
      <c r="AH31" s="1083"/>
      <c r="AI31" s="1083"/>
      <c r="AJ31" s="1084"/>
      <c r="AK31" s="1363"/>
      <c r="AL31" s="1082"/>
      <c r="AM31" s="1083"/>
      <c r="AN31" s="1495">
        <f>(AP31*2)+(0.6*2)</f>
        <v>5.6000000000000005</v>
      </c>
      <c r="AO31" s="1083"/>
      <c r="AP31" s="1495">
        <v>2.2000000000000002</v>
      </c>
      <c r="AQ31" s="1126"/>
      <c r="AR31" s="1135">
        <f>+F31</f>
        <v>23.33</v>
      </c>
      <c r="AS31" s="1083"/>
      <c r="AT31" s="1084"/>
      <c r="AU31" s="1387"/>
      <c r="AV31" s="1363"/>
      <c r="AW31" s="1085">
        <v>1</v>
      </c>
      <c r="AX31" s="1087"/>
      <c r="AY31" s="1087"/>
      <c r="AZ31" s="1087"/>
      <c r="BA31" s="1089"/>
      <c r="BB31" s="1405">
        <v>1</v>
      </c>
      <c r="BC31" s="1363"/>
      <c r="BD31" s="1468"/>
      <c r="BE31" s="1469"/>
      <c r="BF31" s="1469">
        <f>+F31</f>
        <v>23.33</v>
      </c>
      <c r="BG31" s="1469"/>
      <c r="BH31" s="1469"/>
      <c r="BI31" s="1469"/>
      <c r="BJ31" s="1470"/>
      <c r="BK31" s="1661">
        <v>1</v>
      </c>
      <c r="BL31" s="1112">
        <f>+G31</f>
        <v>22.19</v>
      </c>
      <c r="BM31" s="1124"/>
      <c r="BN31" s="1136"/>
      <c r="BO31" s="1125"/>
      <c r="BP31" s="1086"/>
      <c r="BQ31" s="1112">
        <f>+K31*L31</f>
        <v>2.7</v>
      </c>
      <c r="BR31" s="1087"/>
      <c r="BS31" s="1088"/>
      <c r="BT31" s="1496">
        <f>(L31*J31)-BQ31</f>
        <v>5.1000000000000005</v>
      </c>
      <c r="BU31" s="1080">
        <f>+I31*J31-(BT31+BQ31)</f>
        <v>49.894000000000005</v>
      </c>
      <c r="BV31" s="1089"/>
      <c r="BW31" s="1497">
        <f>+AP31</f>
        <v>2.2000000000000002</v>
      </c>
      <c r="BX31" s="1087">
        <f>+F31</f>
        <v>23.33</v>
      </c>
      <c r="BY31" s="1088"/>
      <c r="BZ31" s="1089"/>
      <c r="CA31" s="1397"/>
      <c r="CB31" s="1112"/>
      <c r="CC31" s="1124"/>
      <c r="CD31" s="1124"/>
      <c r="CE31" s="1112">
        <v>3</v>
      </c>
      <c r="CF31" s="1123"/>
      <c r="CG31" s="1124">
        <v>1</v>
      </c>
      <c r="CH31" s="1124"/>
      <c r="CI31" s="1124">
        <v>1</v>
      </c>
      <c r="CJ31" s="1124"/>
      <c r="CK31" s="1124">
        <v>2</v>
      </c>
      <c r="CL31" s="1124">
        <v>3</v>
      </c>
      <c r="CM31" s="1124">
        <v>6</v>
      </c>
      <c r="CN31" s="1124"/>
      <c r="CO31" s="1124">
        <v>2</v>
      </c>
      <c r="CP31" s="1124">
        <v>1</v>
      </c>
      <c r="CQ31" s="1124">
        <v>1</v>
      </c>
      <c r="CR31" s="1124"/>
      <c r="CS31" s="1124"/>
      <c r="CT31" s="1124"/>
      <c r="CU31" s="1125"/>
      <c r="CV31" s="1123"/>
      <c r="CW31" s="1124"/>
      <c r="CX31" s="1124"/>
      <c r="CY31" s="1091"/>
      <c r="CZ31" s="1468"/>
      <c r="DA31" s="1469"/>
      <c r="DB31" s="1469"/>
      <c r="DC31" s="1469"/>
      <c r="DD31" s="1470"/>
      <c r="DE31" s="1468"/>
      <c r="DF31" s="1469"/>
      <c r="DG31" s="1469"/>
      <c r="DH31" s="1469"/>
      <c r="DI31" s="1470"/>
    </row>
    <row r="32" spans="1:119" s="1341" customFormat="1" ht="13">
      <c r="A32" s="2075"/>
      <c r="B32" s="1471">
        <v>25</v>
      </c>
      <c r="C32" s="1115" t="s">
        <v>2147</v>
      </c>
      <c r="D32" s="1473"/>
      <c r="E32" s="1474"/>
      <c r="F32" s="1498">
        <v>3.06</v>
      </c>
      <c r="G32" s="1428">
        <v>7.49</v>
      </c>
      <c r="H32" s="1377">
        <v>0</v>
      </c>
      <c r="I32" s="1378">
        <f t="shared" si="0"/>
        <v>7.49</v>
      </c>
      <c r="J32" s="1376">
        <v>2.2999999999999998</v>
      </c>
      <c r="K32" s="1410">
        <v>2.2999999999999998</v>
      </c>
      <c r="L32" s="1426"/>
      <c r="M32" s="1382"/>
      <c r="N32" s="1412"/>
      <c r="O32" s="1413"/>
      <c r="P32" s="1414"/>
      <c r="Q32" s="1412"/>
      <c r="R32" s="1413">
        <f>+F32</f>
        <v>3.06</v>
      </c>
      <c r="S32" s="1415">
        <f>+F32</f>
        <v>3.06</v>
      </c>
      <c r="T32" s="1382"/>
      <c r="U32" s="1078"/>
      <c r="V32" s="1079"/>
      <c r="W32" s="1079"/>
      <c r="X32" s="1080">
        <f>+I32*J32</f>
        <v>17.227</v>
      </c>
      <c r="Y32" s="1081"/>
      <c r="Z32" s="1079"/>
      <c r="AA32" s="1080"/>
      <c r="AB32" s="1081"/>
      <c r="AC32" s="1382"/>
      <c r="AD32" s="1093">
        <f>+F32</f>
        <v>3.06</v>
      </c>
      <c r="AE32" s="1094">
        <f>+G32</f>
        <v>7.49</v>
      </c>
      <c r="AF32" s="1095"/>
      <c r="AG32" s="1095"/>
      <c r="AH32" s="1095"/>
      <c r="AI32" s="1095"/>
      <c r="AJ32" s="1098"/>
      <c r="AK32" s="1363"/>
      <c r="AL32" s="1097"/>
      <c r="AM32" s="1095">
        <f>+F32</f>
        <v>3.06</v>
      </c>
      <c r="AN32" s="1095">
        <f>+G32</f>
        <v>7.49</v>
      </c>
      <c r="AO32" s="1095"/>
      <c r="AP32" s="1095"/>
      <c r="AQ32" s="1096"/>
      <c r="AR32" s="1097"/>
      <c r="AS32" s="1095"/>
      <c r="AT32" s="1098"/>
      <c r="AU32" s="1416"/>
      <c r="AV32" s="1363"/>
      <c r="AW32" s="1078"/>
      <c r="AX32" s="1080"/>
      <c r="AY32" s="1080">
        <v>1</v>
      </c>
      <c r="AZ32" s="1080"/>
      <c r="BA32" s="1081"/>
      <c r="BB32" s="1388"/>
      <c r="BC32" s="1363"/>
      <c r="BD32" s="1417"/>
      <c r="BE32" s="1469"/>
      <c r="BF32" s="1469"/>
      <c r="BG32" s="1418">
        <f>+F32</f>
        <v>3.06</v>
      </c>
      <c r="BH32" s="1418"/>
      <c r="BI32" s="1418"/>
      <c r="BJ32" s="1419"/>
      <c r="BK32" s="1659"/>
      <c r="BL32" s="1078"/>
      <c r="BM32" s="1080"/>
      <c r="BN32" s="1099"/>
      <c r="BO32" s="1081"/>
      <c r="BP32" s="1086"/>
      <c r="BQ32" s="1078"/>
      <c r="BR32" s="1080">
        <f>+I32*K32</f>
        <v>17.227</v>
      </c>
      <c r="BS32" s="1099"/>
      <c r="BT32" s="1078"/>
      <c r="BU32" s="1080"/>
      <c r="BV32" s="1081"/>
      <c r="BW32" s="1124">
        <f>+F32</f>
        <v>3.06</v>
      </c>
      <c r="BX32" s="1499"/>
      <c r="BY32" s="1648"/>
      <c r="BZ32" s="1500"/>
      <c r="CA32" s="1397"/>
      <c r="CB32" s="1078">
        <v>1</v>
      </c>
      <c r="CC32" s="1080"/>
      <c r="CD32" s="1080"/>
      <c r="CE32" s="1078">
        <v>1</v>
      </c>
      <c r="CF32" s="1079">
        <v>1</v>
      </c>
      <c r="CG32" s="1080"/>
      <c r="CH32" s="1080"/>
      <c r="CI32" s="1080"/>
      <c r="CJ32" s="1080"/>
      <c r="CK32" s="1080">
        <v>1</v>
      </c>
      <c r="CL32" s="1080"/>
      <c r="CM32" s="1080">
        <v>1</v>
      </c>
      <c r="CN32" s="1080"/>
      <c r="CO32" s="1080"/>
      <c r="CP32" s="1080"/>
      <c r="CQ32" s="1080"/>
      <c r="CR32" s="1080"/>
      <c r="CS32" s="1080"/>
      <c r="CT32" s="1080"/>
      <c r="CU32" s="1081"/>
      <c r="CV32" s="1079"/>
      <c r="CW32" s="1080"/>
      <c r="CX32" s="1080">
        <v>1</v>
      </c>
      <c r="CY32" s="1091"/>
      <c r="CZ32" s="1417"/>
      <c r="DA32" s="1418"/>
      <c r="DB32" s="1418"/>
      <c r="DC32" s="1418"/>
      <c r="DD32" s="1419"/>
      <c r="DE32" s="1417"/>
      <c r="DF32" s="1418"/>
      <c r="DG32" s="1418"/>
      <c r="DH32" s="1418"/>
      <c r="DI32" s="1419"/>
    </row>
    <row r="33" spans="1:113" s="1397" customFormat="1" ht="13">
      <c r="A33" s="2075"/>
      <c r="B33" s="1471">
        <v>26</v>
      </c>
      <c r="C33" s="1115" t="s">
        <v>2148</v>
      </c>
      <c r="D33" s="1449">
        <v>3.3</v>
      </c>
      <c r="E33" s="1450">
        <v>1.4</v>
      </c>
      <c r="F33" s="1501">
        <f t="shared" si="1"/>
        <v>4.6199999999999992</v>
      </c>
      <c r="G33" s="1455">
        <f t="shared" si="2"/>
        <v>9.3999999999999986</v>
      </c>
      <c r="H33" s="1453">
        <f>+D33+(E33*2)</f>
        <v>6.1</v>
      </c>
      <c r="I33" s="1454">
        <f t="shared" si="0"/>
        <v>3.2999999999999989</v>
      </c>
      <c r="J33" s="1455">
        <v>2.6</v>
      </c>
      <c r="K33" s="1456"/>
      <c r="L33" s="1483"/>
      <c r="M33" s="1382"/>
      <c r="N33" s="1412"/>
      <c r="O33" s="1413"/>
      <c r="P33" s="1414"/>
      <c r="Q33" s="1412"/>
      <c r="R33" s="1413">
        <f>+F33</f>
        <v>4.6199999999999992</v>
      </c>
      <c r="S33" s="1415">
        <f>+F33</f>
        <v>4.6199999999999992</v>
      </c>
      <c r="T33" s="1382"/>
      <c r="U33" s="1105"/>
      <c r="V33" s="1109"/>
      <c r="W33" s="1109"/>
      <c r="X33" s="1106"/>
      <c r="Y33" s="1108"/>
      <c r="Z33" s="1109"/>
      <c r="AA33" s="1106"/>
      <c r="AB33" s="1108"/>
      <c r="AC33" s="1382"/>
      <c r="AD33" s="1120"/>
      <c r="AE33" s="1121"/>
      <c r="AF33" s="1101"/>
      <c r="AG33" s="1101"/>
      <c r="AH33" s="1101"/>
      <c r="AI33" s="1101">
        <f>+F33</f>
        <v>4.6199999999999992</v>
      </c>
      <c r="AJ33" s="1104">
        <f>+G33</f>
        <v>9.3999999999999986</v>
      </c>
      <c r="AK33" s="1363"/>
      <c r="AL33" s="1103"/>
      <c r="AM33" s="1101"/>
      <c r="AN33" s="1101"/>
      <c r="AO33" s="1101"/>
      <c r="AP33" s="1101"/>
      <c r="AQ33" s="1102"/>
      <c r="AR33" s="1103"/>
      <c r="AS33" s="1101"/>
      <c r="AT33" s="1104"/>
      <c r="AU33" s="1461">
        <f>+F33</f>
        <v>4.6199999999999992</v>
      </c>
      <c r="AV33" s="1363"/>
      <c r="AW33" s="1138"/>
      <c r="AX33" s="1139"/>
      <c r="AY33" s="1139"/>
      <c r="AZ33" s="1139"/>
      <c r="BA33" s="1140"/>
      <c r="BB33" s="1439"/>
      <c r="BC33" s="1363"/>
      <c r="BD33" s="1463"/>
      <c r="BE33" s="1464"/>
      <c r="BF33" s="1464">
        <f>+F33</f>
        <v>4.6199999999999992</v>
      </c>
      <c r="BG33" s="1464"/>
      <c r="BH33" s="1464"/>
      <c r="BI33" s="1464"/>
      <c r="BJ33" s="1465"/>
      <c r="BK33" s="1660"/>
      <c r="BL33" s="1105"/>
      <c r="BM33" s="1106"/>
      <c r="BN33" s="1107">
        <f>+G33</f>
        <v>9.3999999999999986</v>
      </c>
      <c r="BO33" s="1108"/>
      <c r="BP33" s="1086"/>
      <c r="BQ33" s="1105"/>
      <c r="BR33" s="1106"/>
      <c r="BS33" s="1107"/>
      <c r="BT33" s="1105"/>
      <c r="BU33" s="1106"/>
      <c r="BV33" s="1108"/>
      <c r="BW33" s="1106"/>
      <c r="BX33" s="1106"/>
      <c r="BY33" s="1107">
        <f>+F33</f>
        <v>4.6199999999999992</v>
      </c>
      <c r="BZ33" s="1108"/>
      <c r="CB33" s="1105"/>
      <c r="CC33" s="1141">
        <v>1</v>
      </c>
      <c r="CD33" s="1141"/>
      <c r="CE33" s="1105"/>
      <c r="CF33" s="1109">
        <v>1</v>
      </c>
      <c r="CG33" s="1106"/>
      <c r="CH33" s="1106"/>
      <c r="CI33" s="1106"/>
      <c r="CJ33" s="1106"/>
      <c r="CK33" s="1106"/>
      <c r="CL33" s="1106"/>
      <c r="CM33" s="1106"/>
      <c r="CN33" s="1106"/>
      <c r="CO33" s="1106"/>
      <c r="CP33" s="1106"/>
      <c r="CQ33" s="1106"/>
      <c r="CR33" s="1106"/>
      <c r="CS33" s="1106"/>
      <c r="CT33" s="1106"/>
      <c r="CU33" s="1108"/>
      <c r="CV33" s="1109"/>
      <c r="CW33" s="1106"/>
      <c r="CX33" s="1106"/>
      <c r="CY33" s="1091"/>
      <c r="CZ33" s="1502"/>
      <c r="DA33" s="1503"/>
      <c r="DB33" s="1503"/>
      <c r="DC33" s="1503"/>
      <c r="DD33" s="1504"/>
      <c r="DE33" s="1502"/>
      <c r="DF33" s="1503"/>
      <c r="DG33" s="1503"/>
      <c r="DH33" s="1503"/>
      <c r="DI33" s="1504"/>
    </row>
    <row r="34" spans="1:113" s="1341" customFormat="1" ht="13">
      <c r="A34" s="2075"/>
      <c r="B34" s="1441">
        <v>27</v>
      </c>
      <c r="C34" s="1128" t="s">
        <v>2149</v>
      </c>
      <c r="D34" s="1442"/>
      <c r="E34" s="1443"/>
      <c r="F34" s="1401">
        <v>3.12</v>
      </c>
      <c r="G34" s="1402">
        <v>7.7</v>
      </c>
      <c r="H34" s="1403">
        <v>1.2</v>
      </c>
      <c r="I34" s="1404">
        <f t="shared" si="0"/>
        <v>6.5</v>
      </c>
      <c r="J34" s="1402">
        <v>2.2000000000000002</v>
      </c>
      <c r="K34" s="1380"/>
      <c r="L34" s="1381"/>
      <c r="M34" s="1382"/>
      <c r="N34" s="1383"/>
      <c r="O34" s="1384"/>
      <c r="P34" s="1385"/>
      <c r="Q34" s="1383">
        <f>+F34</f>
        <v>3.12</v>
      </c>
      <c r="R34" s="1384"/>
      <c r="S34" s="1386"/>
      <c r="T34" s="1382"/>
      <c r="U34" s="1112"/>
      <c r="V34" s="1123"/>
      <c r="W34" s="1123"/>
      <c r="X34" s="1124"/>
      <c r="Y34" s="1125"/>
      <c r="Z34" s="1123">
        <f>+I34*J34</f>
        <v>14.3</v>
      </c>
      <c r="AA34" s="1124">
        <f>+AB34*J34</f>
        <v>2.2000000000000002</v>
      </c>
      <c r="AB34" s="1142">
        <v>1</v>
      </c>
      <c r="AC34" s="1382"/>
      <c r="AD34" s="1130"/>
      <c r="AE34" s="1131"/>
      <c r="AF34" s="1132"/>
      <c r="AG34" s="1132"/>
      <c r="AH34" s="1132"/>
      <c r="AI34" s="1132"/>
      <c r="AJ34" s="1134"/>
      <c r="AK34" s="1363"/>
      <c r="AL34" s="1135">
        <f>+F34</f>
        <v>3.12</v>
      </c>
      <c r="AM34" s="1132"/>
      <c r="AN34" s="1132">
        <f>+G34</f>
        <v>7.7</v>
      </c>
      <c r="AO34" s="1132">
        <f>+H34</f>
        <v>1.2</v>
      </c>
      <c r="AP34" s="1132"/>
      <c r="AQ34" s="1133"/>
      <c r="AR34" s="1135"/>
      <c r="AS34" s="1132"/>
      <c r="AT34" s="1134"/>
      <c r="AU34" s="1466"/>
      <c r="AV34" s="1363"/>
      <c r="AW34" s="1085">
        <v>1</v>
      </c>
      <c r="AX34" s="1087"/>
      <c r="AY34" s="1087"/>
      <c r="AZ34" s="1087"/>
      <c r="BA34" s="1089"/>
      <c r="BB34" s="1405"/>
      <c r="BC34" s="1363"/>
      <c r="BD34" s="1468"/>
      <c r="BE34" s="1469"/>
      <c r="BF34" s="1469">
        <f>+F34</f>
        <v>3.12</v>
      </c>
      <c r="BG34" s="1469"/>
      <c r="BH34" s="1469"/>
      <c r="BI34" s="1469"/>
      <c r="BJ34" s="1470"/>
      <c r="BK34" s="1662">
        <v>1</v>
      </c>
      <c r="BL34" s="1138">
        <f>+G34</f>
        <v>7.7</v>
      </c>
      <c r="BM34" s="1124"/>
      <c r="BN34" s="1136"/>
      <c r="BO34" s="1125"/>
      <c r="BP34" s="1086"/>
      <c r="BQ34" s="1112"/>
      <c r="BR34" s="1124"/>
      <c r="BS34" s="1136"/>
      <c r="BT34" s="1112"/>
      <c r="BU34" s="1080">
        <f>+I34*J34</f>
        <v>14.3</v>
      </c>
      <c r="BV34" s="1125"/>
      <c r="BW34" s="1124">
        <f>+F34</f>
        <v>3.12</v>
      </c>
      <c r="BX34" s="1124"/>
      <c r="BY34" s="1136"/>
      <c r="BZ34" s="1125"/>
      <c r="CA34" s="1397"/>
      <c r="CB34" s="1085"/>
      <c r="CC34" s="1087"/>
      <c r="CD34" s="1087"/>
      <c r="CE34" s="1085">
        <v>1</v>
      </c>
      <c r="CF34" s="1090"/>
      <c r="CG34" s="1087"/>
      <c r="CH34" s="1087"/>
      <c r="CI34" s="1087"/>
      <c r="CJ34" s="1087"/>
      <c r="CK34" s="1087">
        <v>1</v>
      </c>
      <c r="CL34" s="1087"/>
      <c r="CM34" s="1087"/>
      <c r="CN34" s="1087"/>
      <c r="CO34" s="1087"/>
      <c r="CP34" s="1087"/>
      <c r="CQ34" s="1087"/>
      <c r="CR34" s="1087">
        <v>1</v>
      </c>
      <c r="CS34" s="1087"/>
      <c r="CT34" s="1087"/>
      <c r="CU34" s="1089"/>
      <c r="CV34" s="1090"/>
      <c r="CW34" s="1124"/>
      <c r="CX34" s="1087"/>
      <c r="CY34" s="1091"/>
      <c r="CZ34" s="1398"/>
      <c r="DA34" s="1399"/>
      <c r="DB34" s="1399"/>
      <c r="DC34" s="1399"/>
      <c r="DD34" s="1400"/>
      <c r="DE34" s="1398"/>
      <c r="DF34" s="1399"/>
      <c r="DG34" s="1399"/>
      <c r="DH34" s="1399"/>
      <c r="DI34" s="1400"/>
    </row>
    <row r="35" spans="1:113" s="1341" customFormat="1" ht="13">
      <c r="A35" s="2075"/>
      <c r="B35" s="1471">
        <v>28</v>
      </c>
      <c r="C35" s="1115" t="s">
        <v>2150</v>
      </c>
      <c r="D35" s="1473">
        <v>2.83</v>
      </c>
      <c r="E35" s="1474">
        <v>0.6</v>
      </c>
      <c r="F35" s="1375">
        <f t="shared" si="1"/>
        <v>1.698</v>
      </c>
      <c r="G35" s="1376">
        <f t="shared" si="2"/>
        <v>6.86</v>
      </c>
      <c r="H35" s="1481">
        <f>+D35</f>
        <v>2.83</v>
      </c>
      <c r="I35" s="1378">
        <f t="shared" si="0"/>
        <v>4.03</v>
      </c>
      <c r="J35" s="1376">
        <v>2.2000000000000002</v>
      </c>
      <c r="K35" s="1410">
        <v>0.9</v>
      </c>
      <c r="L35" s="1426"/>
      <c r="M35" s="1382"/>
      <c r="N35" s="1412"/>
      <c r="O35" s="1413"/>
      <c r="P35" s="1414"/>
      <c r="Q35" s="1412">
        <f>+F35</f>
        <v>1.698</v>
      </c>
      <c r="R35" s="1413"/>
      <c r="S35" s="1415"/>
      <c r="T35" s="1382"/>
      <c r="U35" s="1078"/>
      <c r="V35" s="1079"/>
      <c r="W35" s="1079"/>
      <c r="X35" s="1080">
        <f>+I35*J35</f>
        <v>8.8660000000000014</v>
      </c>
      <c r="Y35" s="1081"/>
      <c r="Z35" s="1079"/>
      <c r="AA35" s="1137"/>
      <c r="AB35" s="1129"/>
      <c r="AC35" s="1382"/>
      <c r="AD35" s="1093"/>
      <c r="AE35" s="1094"/>
      <c r="AF35" s="1095"/>
      <c r="AG35" s="1095"/>
      <c r="AH35" s="1095"/>
      <c r="AI35" s="1095"/>
      <c r="AJ35" s="1098"/>
      <c r="AK35" s="1363"/>
      <c r="AL35" s="1097"/>
      <c r="AM35" s="1095"/>
      <c r="AN35" s="1132">
        <f>+G35</f>
        <v>6.86</v>
      </c>
      <c r="AO35" s="1095"/>
      <c r="AP35" s="1100">
        <f>+H35</f>
        <v>2.83</v>
      </c>
      <c r="AQ35" s="1096"/>
      <c r="AR35" s="1097"/>
      <c r="AS35" s="1095"/>
      <c r="AT35" s="1098"/>
      <c r="AU35" s="1416"/>
      <c r="AV35" s="1363"/>
      <c r="AW35" s="1078"/>
      <c r="AX35" s="1080"/>
      <c r="AY35" s="1080"/>
      <c r="AZ35" s="1080"/>
      <c r="BA35" s="1081"/>
      <c r="BB35" s="1388"/>
      <c r="BC35" s="1363"/>
      <c r="BD35" s="1417"/>
      <c r="BE35" s="1469"/>
      <c r="BF35" s="1469">
        <f>+F35</f>
        <v>1.698</v>
      </c>
      <c r="BG35" s="1418"/>
      <c r="BH35" s="1418"/>
      <c r="BI35" s="1418"/>
      <c r="BJ35" s="1419"/>
      <c r="BK35" s="1663"/>
      <c r="BL35" s="1138">
        <f>+G35</f>
        <v>6.86</v>
      </c>
      <c r="BM35" s="1080"/>
      <c r="BN35" s="1099"/>
      <c r="BO35" s="1081"/>
      <c r="BP35" s="1086"/>
      <c r="BQ35" s="1078">
        <f>+I35*K35</f>
        <v>3.6270000000000002</v>
      </c>
      <c r="BR35" s="1080"/>
      <c r="BS35" s="1099"/>
      <c r="BT35" s="1114">
        <f>+(I35*J35)-BQ35</f>
        <v>5.2390000000000008</v>
      </c>
      <c r="BU35" s="1080"/>
      <c r="BV35" s="1081"/>
      <c r="BW35" s="1113">
        <f>+AP35</f>
        <v>2.83</v>
      </c>
      <c r="BX35" s="1080"/>
      <c r="BY35" s="1099"/>
      <c r="BZ35" s="1081"/>
      <c r="CA35" s="1397"/>
      <c r="CB35" s="1078"/>
      <c r="CC35" s="1080"/>
      <c r="CD35" s="1080"/>
      <c r="CE35" s="1078"/>
      <c r="CF35" s="1079"/>
      <c r="CG35" s="1080">
        <v>1</v>
      </c>
      <c r="CH35" s="1080"/>
      <c r="CI35" s="1080">
        <v>1</v>
      </c>
      <c r="CJ35" s="1080"/>
      <c r="CK35" s="1080"/>
      <c r="CL35" s="1080">
        <v>3</v>
      </c>
      <c r="CM35" s="1080">
        <v>2</v>
      </c>
      <c r="CN35" s="1080"/>
      <c r="CO35" s="1080">
        <v>2</v>
      </c>
      <c r="CP35" s="1080"/>
      <c r="CQ35" s="1080"/>
      <c r="CR35" s="1080"/>
      <c r="CS35" s="1080"/>
      <c r="CT35" s="1080"/>
      <c r="CU35" s="1081"/>
      <c r="CV35" s="1079"/>
      <c r="CW35" s="1080"/>
      <c r="CX35" s="1080"/>
      <c r="CY35" s="1091"/>
      <c r="CZ35" s="1417"/>
      <c r="DA35" s="1418"/>
      <c r="DB35" s="1418"/>
      <c r="DC35" s="1418"/>
      <c r="DD35" s="1419"/>
      <c r="DE35" s="1417"/>
      <c r="DF35" s="1418"/>
      <c r="DG35" s="1418"/>
      <c r="DH35" s="1418"/>
      <c r="DI35" s="1419"/>
    </row>
    <row r="36" spans="1:113" s="1341" customFormat="1" ht="13">
      <c r="A36" s="2075"/>
      <c r="B36" s="1471">
        <v>29</v>
      </c>
      <c r="C36" s="1115" t="s">
        <v>2151</v>
      </c>
      <c r="D36" s="1473">
        <v>4.4000000000000004</v>
      </c>
      <c r="E36" s="1474">
        <v>4.13</v>
      </c>
      <c r="F36" s="1375">
        <f t="shared" si="1"/>
        <v>18.172000000000001</v>
      </c>
      <c r="G36" s="1376">
        <f t="shared" si="2"/>
        <v>17.060000000000002</v>
      </c>
      <c r="H36" s="1377">
        <f>+E36</f>
        <v>4.13</v>
      </c>
      <c r="I36" s="1378">
        <f t="shared" si="0"/>
        <v>12.930000000000003</v>
      </c>
      <c r="J36" s="1376">
        <v>2.6</v>
      </c>
      <c r="K36" s="1410"/>
      <c r="L36" s="1426"/>
      <c r="M36" s="1382"/>
      <c r="N36" s="1412"/>
      <c r="O36" s="1413"/>
      <c r="P36" s="1414"/>
      <c r="Q36" s="1412">
        <f>+F36</f>
        <v>18.172000000000001</v>
      </c>
      <c r="R36" s="1413"/>
      <c r="S36" s="1415"/>
      <c r="T36" s="1382"/>
      <c r="U36" s="1078"/>
      <c r="V36" s="1079"/>
      <c r="W36" s="1079"/>
      <c r="X36" s="1080"/>
      <c r="Y36" s="1081"/>
      <c r="Z36" s="1079">
        <f>+I36*J36</f>
        <v>33.618000000000009</v>
      </c>
      <c r="AA36" s="1124">
        <f>+AB36*J36</f>
        <v>5.2</v>
      </c>
      <c r="AB36" s="1129">
        <v>2</v>
      </c>
      <c r="AC36" s="1382"/>
      <c r="AD36" s="1093"/>
      <c r="AE36" s="1094"/>
      <c r="AF36" s="1095"/>
      <c r="AG36" s="1095"/>
      <c r="AH36" s="1095"/>
      <c r="AI36" s="1095"/>
      <c r="AJ36" s="1098"/>
      <c r="AK36" s="1363"/>
      <c r="AL36" s="1097"/>
      <c r="AM36" s="1095"/>
      <c r="AN36" s="1095"/>
      <c r="AO36" s="1095"/>
      <c r="AP36" s="1095"/>
      <c r="AQ36" s="1096"/>
      <c r="AR36" s="1097">
        <f>+F36</f>
        <v>18.172000000000001</v>
      </c>
      <c r="AS36" s="1095">
        <f>+G36</f>
        <v>17.060000000000002</v>
      </c>
      <c r="AT36" s="1098"/>
      <c r="AU36" s="1416"/>
      <c r="AV36" s="1363"/>
      <c r="AW36" s="1078"/>
      <c r="AX36" s="1080"/>
      <c r="AY36" s="1080"/>
      <c r="AZ36" s="1080"/>
      <c r="BA36" s="1081"/>
      <c r="BB36" s="1388">
        <v>1</v>
      </c>
      <c r="BC36" s="1363"/>
      <c r="BD36" s="1417"/>
      <c r="BE36" s="1469"/>
      <c r="BF36" s="1469">
        <f>+F36</f>
        <v>18.172000000000001</v>
      </c>
      <c r="BG36" s="1418"/>
      <c r="BH36" s="1418"/>
      <c r="BI36" s="1418"/>
      <c r="BJ36" s="1419"/>
      <c r="BK36" s="1663"/>
      <c r="BL36" s="1138">
        <f>+G36</f>
        <v>17.060000000000002</v>
      </c>
      <c r="BM36" s="1080"/>
      <c r="BN36" s="1099"/>
      <c r="BO36" s="1081"/>
      <c r="BP36" s="1086"/>
      <c r="BQ36" s="1078"/>
      <c r="BR36" s="1080"/>
      <c r="BS36" s="1099"/>
      <c r="BT36" s="1078"/>
      <c r="BU36" s="1080">
        <f>+I36*J36</f>
        <v>33.618000000000009</v>
      </c>
      <c r="BV36" s="1081"/>
      <c r="BW36" s="1080"/>
      <c r="BX36" s="1080">
        <f>+F36</f>
        <v>18.172000000000001</v>
      </c>
      <c r="BY36" s="1099"/>
      <c r="BZ36" s="1081"/>
      <c r="CA36" s="1397"/>
      <c r="CB36" s="1078"/>
      <c r="CC36" s="1080"/>
      <c r="CD36" s="1080"/>
      <c r="CE36" s="1078">
        <v>2</v>
      </c>
      <c r="CF36" s="1079"/>
      <c r="CG36" s="1080"/>
      <c r="CH36" s="1080"/>
      <c r="CI36" s="1080"/>
      <c r="CJ36" s="1080"/>
      <c r="CK36" s="1080">
        <v>1</v>
      </c>
      <c r="CL36" s="1080"/>
      <c r="CM36" s="1080">
        <v>4</v>
      </c>
      <c r="CN36" s="1080"/>
      <c r="CO36" s="1080"/>
      <c r="CP36" s="1080">
        <v>1</v>
      </c>
      <c r="CQ36" s="1080"/>
      <c r="CR36" s="1080"/>
      <c r="CS36" s="1080"/>
      <c r="CT36" s="1080"/>
      <c r="CU36" s="1081"/>
      <c r="CV36" s="1079"/>
      <c r="CW36" s="1080"/>
      <c r="CX36" s="1080">
        <v>1</v>
      </c>
      <c r="CY36" s="1091"/>
      <c r="CZ36" s="1417"/>
      <c r="DA36" s="1418"/>
      <c r="DB36" s="1418"/>
      <c r="DC36" s="1418"/>
      <c r="DD36" s="1419"/>
      <c r="DE36" s="1417"/>
      <c r="DF36" s="1418"/>
      <c r="DG36" s="1418"/>
      <c r="DH36" s="1418"/>
      <c r="DI36" s="1419"/>
    </row>
    <row r="37" spans="1:113" s="1341" customFormat="1" ht="13">
      <c r="A37" s="2075"/>
      <c r="B37" s="1471">
        <v>30</v>
      </c>
      <c r="C37" s="1115" t="s">
        <v>2152</v>
      </c>
      <c r="D37" s="1473"/>
      <c r="E37" s="1474"/>
      <c r="F37" s="1431">
        <v>3.18</v>
      </c>
      <c r="G37" s="1425">
        <v>7.52</v>
      </c>
      <c r="H37" s="1377">
        <v>0</v>
      </c>
      <c r="I37" s="1378">
        <f t="shared" si="0"/>
        <v>7.52</v>
      </c>
      <c r="J37" s="1376">
        <v>2.2999999999999998</v>
      </c>
      <c r="K37" s="1410">
        <v>2.2999999999999998</v>
      </c>
      <c r="L37" s="1426"/>
      <c r="M37" s="1382"/>
      <c r="N37" s="1412"/>
      <c r="O37" s="1413"/>
      <c r="P37" s="1414"/>
      <c r="Q37" s="1412"/>
      <c r="R37" s="1413">
        <f>+F37</f>
        <v>3.18</v>
      </c>
      <c r="S37" s="1415">
        <f>+F37</f>
        <v>3.18</v>
      </c>
      <c r="T37" s="1382"/>
      <c r="U37" s="1078"/>
      <c r="V37" s="1079"/>
      <c r="W37" s="1079"/>
      <c r="X37" s="1080">
        <f>+I37*J37</f>
        <v>17.295999999999999</v>
      </c>
      <c r="Y37" s="1081"/>
      <c r="Z37" s="1079"/>
      <c r="AA37" s="1080"/>
      <c r="AB37" s="1081"/>
      <c r="AC37" s="1382"/>
      <c r="AD37" s="1093">
        <f>+F37</f>
        <v>3.18</v>
      </c>
      <c r="AE37" s="1094">
        <f>+G37</f>
        <v>7.52</v>
      </c>
      <c r="AF37" s="1095"/>
      <c r="AG37" s="1095"/>
      <c r="AH37" s="1095"/>
      <c r="AI37" s="1095"/>
      <c r="AJ37" s="1098"/>
      <c r="AK37" s="1363"/>
      <c r="AL37" s="1097"/>
      <c r="AM37" s="1095">
        <f>+F37</f>
        <v>3.18</v>
      </c>
      <c r="AN37" s="1095">
        <f>+G37</f>
        <v>7.52</v>
      </c>
      <c r="AO37" s="1095"/>
      <c r="AP37" s="1095"/>
      <c r="AQ37" s="1096"/>
      <c r="AR37" s="1097"/>
      <c r="AS37" s="1095"/>
      <c r="AT37" s="1098"/>
      <c r="AU37" s="1416"/>
      <c r="AV37" s="1363"/>
      <c r="AW37" s="1078"/>
      <c r="AX37" s="1080"/>
      <c r="AY37" s="1080">
        <v>1</v>
      </c>
      <c r="AZ37" s="1080"/>
      <c r="BA37" s="1081"/>
      <c r="BB37" s="1388">
        <v>1</v>
      </c>
      <c r="BC37" s="1363"/>
      <c r="BD37" s="1417"/>
      <c r="BE37" s="1469"/>
      <c r="BF37" s="1469"/>
      <c r="BG37" s="1418">
        <f>+F37</f>
        <v>3.18</v>
      </c>
      <c r="BH37" s="1418"/>
      <c r="BI37" s="1418"/>
      <c r="BJ37" s="1419"/>
      <c r="BK37" s="1659"/>
      <c r="BL37" s="1078"/>
      <c r="BM37" s="1080"/>
      <c r="BN37" s="1099"/>
      <c r="BO37" s="1081"/>
      <c r="BP37" s="1086"/>
      <c r="BQ37" s="1078"/>
      <c r="BR37" s="1080">
        <f>+I37*K37</f>
        <v>17.295999999999999</v>
      </c>
      <c r="BS37" s="1099"/>
      <c r="BT37" s="1078"/>
      <c r="BU37" s="1080"/>
      <c r="BV37" s="1081"/>
      <c r="BW37" s="1080">
        <f>+F37</f>
        <v>3.18</v>
      </c>
      <c r="BX37" s="1080"/>
      <c r="BY37" s="1099"/>
      <c r="BZ37" s="1081"/>
      <c r="CA37" s="1397"/>
      <c r="CB37" s="1078"/>
      <c r="CC37" s="1080"/>
      <c r="CD37" s="1080"/>
      <c r="CE37" s="1078">
        <v>1</v>
      </c>
      <c r="CF37" s="1079">
        <v>1</v>
      </c>
      <c r="CG37" s="1080"/>
      <c r="CH37" s="1080"/>
      <c r="CI37" s="1080"/>
      <c r="CJ37" s="1080">
        <v>1</v>
      </c>
      <c r="CK37" s="1080"/>
      <c r="CL37" s="1080"/>
      <c r="CM37" s="1080">
        <v>1</v>
      </c>
      <c r="CN37" s="1080"/>
      <c r="CO37" s="1080"/>
      <c r="CP37" s="1080"/>
      <c r="CQ37" s="1080"/>
      <c r="CR37" s="1080"/>
      <c r="CS37" s="1080"/>
      <c r="CT37" s="1080"/>
      <c r="CU37" s="1081"/>
      <c r="CV37" s="1079"/>
      <c r="CW37" s="1080"/>
      <c r="CX37" s="1080"/>
      <c r="CY37" s="1091"/>
      <c r="CZ37" s="1417"/>
      <c r="DA37" s="1418"/>
      <c r="DB37" s="1418"/>
      <c r="DC37" s="1418"/>
      <c r="DD37" s="1419"/>
      <c r="DE37" s="1417"/>
      <c r="DF37" s="1418"/>
      <c r="DG37" s="1418"/>
      <c r="DH37" s="1418"/>
      <c r="DI37" s="1419"/>
    </row>
    <row r="38" spans="1:113" s="1341" customFormat="1" ht="13">
      <c r="A38" s="2075"/>
      <c r="B38" s="1471">
        <v>31</v>
      </c>
      <c r="C38" s="1505" t="s">
        <v>2153</v>
      </c>
      <c r="D38" s="1506">
        <v>3.98</v>
      </c>
      <c r="E38" s="1507">
        <v>2.5099999999999998</v>
      </c>
      <c r="F38" s="1375">
        <f t="shared" ref="F38" si="7">D38*E38</f>
        <v>9.9897999999999989</v>
      </c>
      <c r="G38" s="1376">
        <f t="shared" ref="G38" si="8">+D38*2+E38*2</f>
        <v>12.98</v>
      </c>
      <c r="H38" s="1508"/>
      <c r="I38" s="1378">
        <f t="shared" si="0"/>
        <v>12.98</v>
      </c>
      <c r="J38" s="1376">
        <v>2.6</v>
      </c>
      <c r="K38" s="1509"/>
      <c r="L38" s="1510"/>
      <c r="M38" s="1382"/>
      <c r="N38" s="1511"/>
      <c r="O38" s="1512"/>
      <c r="P38" s="1513"/>
      <c r="Q38" s="1511">
        <f>+F38</f>
        <v>9.9897999999999989</v>
      </c>
      <c r="R38" s="1512"/>
      <c r="S38" s="1514"/>
      <c r="T38" s="1382"/>
      <c r="U38" s="1138"/>
      <c r="V38" s="1433"/>
      <c r="W38" s="1433"/>
      <c r="X38" s="1139"/>
      <c r="Y38" s="1140"/>
      <c r="Z38" s="1079">
        <f>+I38*J38</f>
        <v>33.748000000000005</v>
      </c>
      <c r="AA38" s="1124">
        <f>+AB38*J38</f>
        <v>2.6</v>
      </c>
      <c r="AB38" s="1129">
        <v>1</v>
      </c>
      <c r="AC38" s="1382"/>
      <c r="AD38" s="1515"/>
      <c r="AE38" s="1516"/>
      <c r="AF38" s="1435"/>
      <c r="AG38" s="1435"/>
      <c r="AH38" s="1435"/>
      <c r="AI38" s="1435"/>
      <c r="AJ38" s="1437"/>
      <c r="AK38" s="1363"/>
      <c r="AL38" s="1434"/>
      <c r="AM38" s="1435"/>
      <c r="AN38" s="1435"/>
      <c r="AO38" s="1435"/>
      <c r="AP38" s="1435"/>
      <c r="AQ38" s="1436"/>
      <c r="AR38" s="1434">
        <f>+F38</f>
        <v>9.9897999999999989</v>
      </c>
      <c r="AS38" s="1095">
        <f>+G38</f>
        <v>12.98</v>
      </c>
      <c r="AT38" s="1437"/>
      <c r="AU38" s="1438"/>
      <c r="AV38" s="1363"/>
      <c r="AW38" s="1138"/>
      <c r="AX38" s="1139"/>
      <c r="AY38" s="1139">
        <v>1</v>
      </c>
      <c r="AZ38" s="1139"/>
      <c r="BA38" s="1140"/>
      <c r="BB38" s="1439">
        <v>1</v>
      </c>
      <c r="BC38" s="1363"/>
      <c r="BD38" s="1502"/>
      <c r="BE38" s="1517"/>
      <c r="BF38" s="1517">
        <f>+F38</f>
        <v>9.9897999999999989</v>
      </c>
      <c r="BG38" s="1503"/>
      <c r="BH38" s="1503"/>
      <c r="BI38" s="1503"/>
      <c r="BJ38" s="1504"/>
      <c r="BK38" s="1663"/>
      <c r="BL38" s="1138">
        <f>+G38</f>
        <v>12.98</v>
      </c>
      <c r="BM38" s="1139"/>
      <c r="BN38" s="1440"/>
      <c r="BO38" s="1081"/>
      <c r="BP38" s="1086"/>
      <c r="BQ38" s="1138"/>
      <c r="BR38" s="1139"/>
      <c r="BS38" s="1440"/>
      <c r="BT38" s="1138"/>
      <c r="BU38" s="1080">
        <f>+I38*J38</f>
        <v>33.748000000000005</v>
      </c>
      <c r="BV38" s="1140"/>
      <c r="BW38" s="1139"/>
      <c r="BX38" s="1139">
        <f>+F38</f>
        <v>9.9897999999999989</v>
      </c>
      <c r="BY38" s="1440"/>
      <c r="BZ38" s="1140"/>
      <c r="CA38" s="1397"/>
      <c r="CB38" s="1078"/>
      <c r="CC38" s="1080"/>
      <c r="CD38" s="1080"/>
      <c r="CE38" s="1138">
        <v>1</v>
      </c>
      <c r="CF38" s="1433"/>
      <c r="CG38" s="1139"/>
      <c r="CH38" s="1139"/>
      <c r="CI38" s="1139">
        <v>1</v>
      </c>
      <c r="CJ38" s="1139"/>
      <c r="CK38" s="1139"/>
      <c r="CL38" s="1139"/>
      <c r="CM38" s="1139">
        <v>3</v>
      </c>
      <c r="CN38" s="1139"/>
      <c r="CO38" s="1139"/>
      <c r="CP38" s="1139">
        <v>1</v>
      </c>
      <c r="CQ38" s="1139"/>
      <c r="CR38" s="1139"/>
      <c r="CS38" s="1139"/>
      <c r="CT38" s="1139"/>
      <c r="CU38" s="1140"/>
      <c r="CV38" s="1433"/>
      <c r="CW38" s="1139"/>
      <c r="CX38" s="1139">
        <v>1</v>
      </c>
      <c r="CY38" s="1091"/>
      <c r="CZ38" s="1502"/>
      <c r="DA38" s="1503"/>
      <c r="DB38" s="1503"/>
      <c r="DC38" s="1503"/>
      <c r="DD38" s="1504"/>
      <c r="DE38" s="1502"/>
      <c r="DF38" s="1503"/>
      <c r="DG38" s="1503"/>
      <c r="DH38" s="1503"/>
      <c r="DI38" s="1504"/>
    </row>
    <row r="39" spans="1:113" s="1341" customFormat="1" ht="13">
      <c r="A39" s="2075"/>
      <c r="B39" s="1448">
        <v>32</v>
      </c>
      <c r="C39" s="1127" t="s">
        <v>2154</v>
      </c>
      <c r="D39" s="1449">
        <v>3.96</v>
      </c>
      <c r="E39" s="1450">
        <v>1.3</v>
      </c>
      <c r="F39" s="1482">
        <f t="shared" si="1"/>
        <v>5.1479999999999997</v>
      </c>
      <c r="G39" s="1455">
        <f t="shared" si="2"/>
        <v>10.52</v>
      </c>
      <c r="H39" s="1453">
        <f>+D39+(E39*2)</f>
        <v>6.5600000000000005</v>
      </c>
      <c r="I39" s="1454">
        <f t="shared" si="0"/>
        <v>3.9599999999999991</v>
      </c>
      <c r="J39" s="1455">
        <v>2.6</v>
      </c>
      <c r="K39" s="1456"/>
      <c r="L39" s="1483"/>
      <c r="M39" s="1382"/>
      <c r="N39" s="1457"/>
      <c r="O39" s="1458"/>
      <c r="P39" s="1459"/>
      <c r="Q39" s="1457"/>
      <c r="R39" s="1458">
        <f>+F39</f>
        <v>5.1479999999999997</v>
      </c>
      <c r="S39" s="1460">
        <f>+F39</f>
        <v>5.1479999999999997</v>
      </c>
      <c r="T39" s="1382"/>
      <c r="U39" s="1105"/>
      <c r="V39" s="1109"/>
      <c r="W39" s="1109"/>
      <c r="X39" s="1106"/>
      <c r="Y39" s="1108"/>
      <c r="Z39" s="1109"/>
      <c r="AA39" s="1106"/>
      <c r="AB39" s="1108"/>
      <c r="AC39" s="1382"/>
      <c r="AD39" s="1120"/>
      <c r="AE39" s="1121"/>
      <c r="AF39" s="1101"/>
      <c r="AG39" s="1101"/>
      <c r="AH39" s="1101"/>
      <c r="AI39" s="1101">
        <f>+F39</f>
        <v>5.1479999999999997</v>
      </c>
      <c r="AJ39" s="1104">
        <f>+G39</f>
        <v>10.52</v>
      </c>
      <c r="AK39" s="1363"/>
      <c r="AL39" s="1103"/>
      <c r="AM39" s="1101"/>
      <c r="AN39" s="1101"/>
      <c r="AO39" s="1101"/>
      <c r="AP39" s="1101"/>
      <c r="AQ39" s="1102"/>
      <c r="AR39" s="1103"/>
      <c r="AS39" s="1101"/>
      <c r="AT39" s="1104"/>
      <c r="AU39" s="1461">
        <f>+F39</f>
        <v>5.1479999999999997</v>
      </c>
      <c r="AV39" s="1363"/>
      <c r="AW39" s="1105"/>
      <c r="AX39" s="1106"/>
      <c r="AY39" s="1106"/>
      <c r="AZ39" s="1106"/>
      <c r="BA39" s="1108"/>
      <c r="BB39" s="1462"/>
      <c r="BC39" s="1363"/>
      <c r="BD39" s="1463"/>
      <c r="BE39" s="1464"/>
      <c r="BF39" s="1464">
        <f>+F39</f>
        <v>5.1479999999999997</v>
      </c>
      <c r="BG39" s="1464"/>
      <c r="BH39" s="1464"/>
      <c r="BI39" s="1464"/>
      <c r="BJ39" s="1465"/>
      <c r="BK39" s="1660"/>
      <c r="BL39" s="1105"/>
      <c r="BM39" s="1139"/>
      <c r="BN39" s="1440">
        <f>+G39</f>
        <v>10.52</v>
      </c>
      <c r="BO39" s="1081"/>
      <c r="BP39" s="1086"/>
      <c r="BQ39" s="1105"/>
      <c r="BR39" s="1106"/>
      <c r="BS39" s="1107"/>
      <c r="BT39" s="1105"/>
      <c r="BU39" s="1106"/>
      <c r="BV39" s="1108"/>
      <c r="BW39" s="1106"/>
      <c r="BX39" s="1106"/>
      <c r="BY39" s="1107">
        <f>+F39</f>
        <v>5.1479999999999997</v>
      </c>
      <c r="BZ39" s="1108"/>
      <c r="CA39" s="1397"/>
      <c r="CB39" s="1105"/>
      <c r="CC39" s="1106">
        <v>1</v>
      </c>
      <c r="CD39" s="1106"/>
      <c r="CE39" s="1105"/>
      <c r="CF39" s="1109">
        <v>1</v>
      </c>
      <c r="CG39" s="1106"/>
      <c r="CH39" s="1106"/>
      <c r="CI39" s="1106"/>
      <c r="CJ39" s="1106"/>
      <c r="CK39" s="1106"/>
      <c r="CL39" s="1106"/>
      <c r="CM39" s="1106"/>
      <c r="CN39" s="1106"/>
      <c r="CO39" s="1106"/>
      <c r="CP39" s="1106"/>
      <c r="CQ39" s="1106"/>
      <c r="CR39" s="1106"/>
      <c r="CS39" s="1106"/>
      <c r="CT39" s="1106"/>
      <c r="CU39" s="1108"/>
      <c r="CV39" s="1109"/>
      <c r="CW39" s="1106"/>
      <c r="CX39" s="1106"/>
      <c r="CY39" s="1091"/>
      <c r="CZ39" s="1463"/>
      <c r="DA39" s="1464"/>
      <c r="DB39" s="1464"/>
      <c r="DC39" s="1464"/>
      <c r="DD39" s="1465"/>
      <c r="DE39" s="1463"/>
      <c r="DF39" s="1464"/>
      <c r="DG39" s="1464"/>
      <c r="DH39" s="1464"/>
      <c r="DI39" s="1465"/>
    </row>
    <row r="40" spans="1:113" s="1341" customFormat="1" ht="13">
      <c r="A40" s="2075"/>
      <c r="B40" s="1518">
        <v>33</v>
      </c>
      <c r="C40" s="1519" t="s">
        <v>2155</v>
      </c>
      <c r="D40" s="1520"/>
      <c r="E40" s="1521"/>
      <c r="F40" s="1522">
        <v>23.53</v>
      </c>
      <c r="G40" s="1523">
        <v>22.25</v>
      </c>
      <c r="H40" s="1524">
        <v>0</v>
      </c>
      <c r="I40" s="1525">
        <f t="shared" si="0"/>
        <v>22.25</v>
      </c>
      <c r="J40" s="1526">
        <v>2.6</v>
      </c>
      <c r="K40" s="1527">
        <v>0.9</v>
      </c>
      <c r="L40" s="1490">
        <v>3</v>
      </c>
      <c r="M40" s="1382"/>
      <c r="N40" s="1383"/>
      <c r="O40" s="1384"/>
      <c r="P40" s="1385"/>
      <c r="Q40" s="1383">
        <f>+F40</f>
        <v>23.53</v>
      </c>
      <c r="R40" s="1384"/>
      <c r="S40" s="1386"/>
      <c r="T40" s="1382"/>
      <c r="U40" s="1085"/>
      <c r="V40" s="1090"/>
      <c r="W40" s="1090"/>
      <c r="X40" s="1492">
        <f>+L40*J40</f>
        <v>7.8000000000000007</v>
      </c>
      <c r="Y40" s="1089"/>
      <c r="Z40" s="1494">
        <f>(I40*J40)-X40</f>
        <v>50.05</v>
      </c>
      <c r="AA40" s="1528">
        <f>+AB40*J40</f>
        <v>5.2</v>
      </c>
      <c r="AB40" s="1529">
        <v>2</v>
      </c>
      <c r="AC40" s="1382"/>
      <c r="AD40" s="1130"/>
      <c r="AE40" s="1131"/>
      <c r="AF40" s="1132"/>
      <c r="AG40" s="1132"/>
      <c r="AH40" s="1132"/>
      <c r="AI40" s="1132"/>
      <c r="AJ40" s="1134"/>
      <c r="AK40" s="1363"/>
      <c r="AL40" s="1135"/>
      <c r="AM40" s="1132"/>
      <c r="AN40" s="1495">
        <f>(AP40*2)+(0.6*2)</f>
        <v>5.6000000000000005</v>
      </c>
      <c r="AO40" s="1083"/>
      <c r="AP40" s="1495">
        <v>2.2000000000000002</v>
      </c>
      <c r="AQ40" s="1133"/>
      <c r="AR40" s="1135">
        <f>+F40</f>
        <v>23.53</v>
      </c>
      <c r="AS40" s="1132"/>
      <c r="AT40" s="1134"/>
      <c r="AU40" s="1466"/>
      <c r="AV40" s="1363"/>
      <c r="AW40" s="1085">
        <v>1</v>
      </c>
      <c r="AX40" s="1087"/>
      <c r="AY40" s="1087"/>
      <c r="AZ40" s="1087"/>
      <c r="BA40" s="1089"/>
      <c r="BB40" s="1405"/>
      <c r="BC40" s="1363"/>
      <c r="BD40" s="1468"/>
      <c r="BE40" s="1469"/>
      <c r="BF40" s="1469">
        <f>+F40</f>
        <v>23.53</v>
      </c>
      <c r="BG40" s="1469"/>
      <c r="BH40" s="1469"/>
      <c r="BI40" s="1469"/>
      <c r="BJ40" s="1470"/>
      <c r="BK40" s="1661">
        <v>1</v>
      </c>
      <c r="BL40" s="1085">
        <f>+G40</f>
        <v>22.25</v>
      </c>
      <c r="BM40" s="1087"/>
      <c r="BN40" s="1088"/>
      <c r="BO40" s="1089"/>
      <c r="BP40" s="1086"/>
      <c r="BQ40" s="1112">
        <f>+K40*L40</f>
        <v>2.7</v>
      </c>
      <c r="BR40" s="1124"/>
      <c r="BS40" s="1136"/>
      <c r="BT40" s="1496">
        <f>(L40*J40)-BQ40</f>
        <v>5.1000000000000005</v>
      </c>
      <c r="BU40" s="1080">
        <f>+I40*J40-(BT40+BQ40)</f>
        <v>50.05</v>
      </c>
      <c r="BV40" s="1089"/>
      <c r="BW40" s="1497">
        <f>+AP40</f>
        <v>2.2000000000000002</v>
      </c>
      <c r="BX40" s="1087">
        <f>+F40</f>
        <v>23.53</v>
      </c>
      <c r="BY40" s="1088"/>
      <c r="BZ40" s="1089"/>
      <c r="CA40" s="1397"/>
      <c r="CB40" s="1085"/>
      <c r="CC40" s="1087"/>
      <c r="CD40" s="1087"/>
      <c r="CE40" s="1112">
        <v>3</v>
      </c>
      <c r="CF40" s="1123"/>
      <c r="CG40" s="1124">
        <v>1</v>
      </c>
      <c r="CH40" s="1124"/>
      <c r="CI40" s="1124">
        <v>1</v>
      </c>
      <c r="CJ40" s="1124"/>
      <c r="CK40" s="1124">
        <v>2</v>
      </c>
      <c r="CL40" s="1124">
        <v>3</v>
      </c>
      <c r="CM40" s="1124">
        <v>6</v>
      </c>
      <c r="CN40" s="1124"/>
      <c r="CO40" s="1124">
        <v>2</v>
      </c>
      <c r="CP40" s="1124">
        <v>1</v>
      </c>
      <c r="CQ40" s="1124">
        <v>1</v>
      </c>
      <c r="CR40" s="1124"/>
      <c r="CS40" s="1124"/>
      <c r="CT40" s="1124"/>
      <c r="CU40" s="1125"/>
      <c r="CV40" s="1123"/>
      <c r="CW40" s="1124"/>
      <c r="CX40" s="1124"/>
      <c r="CY40" s="1091"/>
      <c r="CZ40" s="1468"/>
      <c r="DA40" s="1469"/>
      <c r="DB40" s="1469"/>
      <c r="DC40" s="1469"/>
      <c r="DD40" s="1470"/>
      <c r="DE40" s="1468"/>
      <c r="DF40" s="1469"/>
      <c r="DG40" s="1469"/>
      <c r="DH40" s="1469"/>
      <c r="DI40" s="1470"/>
    </row>
    <row r="41" spans="1:113" s="1341" customFormat="1" ht="13">
      <c r="A41" s="2075"/>
      <c r="B41" s="1471">
        <v>34</v>
      </c>
      <c r="C41" s="1115" t="s">
        <v>2156</v>
      </c>
      <c r="D41" s="1473"/>
      <c r="E41" s="1474"/>
      <c r="F41" s="1431">
        <v>3.07</v>
      </c>
      <c r="G41" s="1425">
        <v>7.52</v>
      </c>
      <c r="H41" s="1377">
        <v>0</v>
      </c>
      <c r="I41" s="1378">
        <f t="shared" si="0"/>
        <v>7.52</v>
      </c>
      <c r="J41" s="1376">
        <v>2.2999999999999998</v>
      </c>
      <c r="K41" s="1410">
        <v>2.2999999999999998</v>
      </c>
      <c r="L41" s="1426"/>
      <c r="M41" s="1382"/>
      <c r="N41" s="1412"/>
      <c r="O41" s="1413"/>
      <c r="P41" s="1414"/>
      <c r="Q41" s="1412"/>
      <c r="R41" s="1413">
        <f>+F41</f>
        <v>3.07</v>
      </c>
      <c r="S41" s="1415">
        <f>+F41</f>
        <v>3.07</v>
      </c>
      <c r="T41" s="1382"/>
      <c r="U41" s="1078"/>
      <c r="V41" s="1079"/>
      <c r="W41" s="1079"/>
      <c r="X41" s="1080">
        <f>+I41*J41</f>
        <v>17.295999999999999</v>
      </c>
      <c r="Y41" s="1081"/>
      <c r="Z41" s="1079"/>
      <c r="AA41" s="1080"/>
      <c r="AB41" s="1081"/>
      <c r="AC41" s="1382"/>
      <c r="AD41" s="1093">
        <f>+F41</f>
        <v>3.07</v>
      </c>
      <c r="AE41" s="1094">
        <f>+G41</f>
        <v>7.52</v>
      </c>
      <c r="AF41" s="1095"/>
      <c r="AG41" s="1095"/>
      <c r="AH41" s="1095"/>
      <c r="AI41" s="1095"/>
      <c r="AJ41" s="1098"/>
      <c r="AK41" s="1363"/>
      <c r="AL41" s="1097"/>
      <c r="AM41" s="1095">
        <f>+F41</f>
        <v>3.07</v>
      </c>
      <c r="AN41" s="1095">
        <f>+G41</f>
        <v>7.52</v>
      </c>
      <c r="AO41" s="1095"/>
      <c r="AP41" s="1095"/>
      <c r="AQ41" s="1096"/>
      <c r="AR41" s="1097"/>
      <c r="AS41" s="1095"/>
      <c r="AT41" s="1098"/>
      <c r="AU41" s="1416"/>
      <c r="AV41" s="1363"/>
      <c r="AW41" s="1078"/>
      <c r="AX41" s="1080"/>
      <c r="AY41" s="1080">
        <v>1</v>
      </c>
      <c r="AZ41" s="1080"/>
      <c r="BA41" s="1081"/>
      <c r="BB41" s="1388">
        <v>1</v>
      </c>
      <c r="BC41" s="1363"/>
      <c r="BD41" s="1417"/>
      <c r="BE41" s="1469"/>
      <c r="BF41" s="1469"/>
      <c r="BG41" s="1418">
        <f>+F41</f>
        <v>3.07</v>
      </c>
      <c r="BH41" s="1418"/>
      <c r="BI41" s="1418"/>
      <c r="BJ41" s="1419"/>
      <c r="BK41" s="1659"/>
      <c r="BL41" s="1078"/>
      <c r="BM41" s="1080"/>
      <c r="BN41" s="1099"/>
      <c r="BO41" s="1081"/>
      <c r="BP41" s="1086"/>
      <c r="BQ41" s="1078"/>
      <c r="BR41" s="1080">
        <f>+I41*K41</f>
        <v>17.295999999999999</v>
      </c>
      <c r="BS41" s="1099"/>
      <c r="BT41" s="1078"/>
      <c r="BU41" s="1080"/>
      <c r="BV41" s="1081"/>
      <c r="BW41" s="1080">
        <f>+F41</f>
        <v>3.07</v>
      </c>
      <c r="BX41" s="1499"/>
      <c r="BY41" s="1648"/>
      <c r="BZ41" s="1500"/>
      <c r="CA41" s="1397"/>
      <c r="CB41" s="1078">
        <v>1</v>
      </c>
      <c r="CC41" s="1080"/>
      <c r="CD41" s="1080"/>
      <c r="CE41" s="1078">
        <v>1</v>
      </c>
      <c r="CF41" s="1079">
        <v>1</v>
      </c>
      <c r="CG41" s="1080"/>
      <c r="CH41" s="1080"/>
      <c r="CI41" s="1080"/>
      <c r="CJ41" s="1080"/>
      <c r="CK41" s="1080">
        <v>1</v>
      </c>
      <c r="CL41" s="1080"/>
      <c r="CM41" s="1080">
        <v>1</v>
      </c>
      <c r="CN41" s="1080"/>
      <c r="CO41" s="1080"/>
      <c r="CP41" s="1080"/>
      <c r="CQ41" s="1080"/>
      <c r="CR41" s="1080"/>
      <c r="CS41" s="1080"/>
      <c r="CT41" s="1080"/>
      <c r="CU41" s="1081"/>
      <c r="CV41" s="1079"/>
      <c r="CW41" s="1080"/>
      <c r="CX41" s="1080">
        <v>1</v>
      </c>
      <c r="CY41" s="1091"/>
      <c r="CZ41" s="1417"/>
      <c r="DA41" s="1418"/>
      <c r="DB41" s="1418"/>
      <c r="DC41" s="1418"/>
      <c r="DD41" s="1419"/>
      <c r="DE41" s="1417"/>
      <c r="DF41" s="1418"/>
      <c r="DG41" s="1418"/>
      <c r="DH41" s="1418"/>
      <c r="DI41" s="1419"/>
    </row>
    <row r="42" spans="1:113" s="1341" customFormat="1" ht="13">
      <c r="A42" s="2075"/>
      <c r="B42" s="1471">
        <v>35</v>
      </c>
      <c r="C42" s="1505" t="s">
        <v>2148</v>
      </c>
      <c r="D42" s="1506">
        <v>3.35</v>
      </c>
      <c r="E42" s="1507">
        <v>1.3</v>
      </c>
      <c r="F42" s="1530">
        <f t="shared" si="1"/>
        <v>4.3550000000000004</v>
      </c>
      <c r="G42" s="1531">
        <f t="shared" si="2"/>
        <v>9.3000000000000007</v>
      </c>
      <c r="H42" s="1508">
        <f>+D42+(E42*2)</f>
        <v>5.95</v>
      </c>
      <c r="I42" s="1532">
        <f t="shared" si="0"/>
        <v>3.3500000000000005</v>
      </c>
      <c r="J42" s="1531">
        <v>2.6</v>
      </c>
      <c r="K42" s="1509"/>
      <c r="L42" s="1510"/>
      <c r="M42" s="1533"/>
      <c r="N42" s="1511"/>
      <c r="O42" s="1512"/>
      <c r="P42" s="1513"/>
      <c r="Q42" s="1511"/>
      <c r="R42" s="1512">
        <f>+F42</f>
        <v>4.3550000000000004</v>
      </c>
      <c r="S42" s="1514">
        <f>+F42</f>
        <v>4.3550000000000004</v>
      </c>
      <c r="T42" s="1533"/>
      <c r="U42" s="1138"/>
      <c r="V42" s="1433"/>
      <c r="W42" s="1433"/>
      <c r="X42" s="1139"/>
      <c r="Y42" s="1140"/>
      <c r="Z42" s="1433"/>
      <c r="AA42" s="1139"/>
      <c r="AB42" s="1140"/>
      <c r="AC42" s="1533"/>
      <c r="AD42" s="1515"/>
      <c r="AE42" s="1516"/>
      <c r="AF42" s="1435"/>
      <c r="AG42" s="1435"/>
      <c r="AH42" s="1435"/>
      <c r="AI42" s="1101">
        <f>+F42</f>
        <v>4.3550000000000004</v>
      </c>
      <c r="AJ42" s="1104">
        <f>+G42</f>
        <v>9.3000000000000007</v>
      </c>
      <c r="AK42" s="1359"/>
      <c r="AL42" s="1434"/>
      <c r="AM42" s="1435"/>
      <c r="AN42" s="1435"/>
      <c r="AO42" s="1435"/>
      <c r="AP42" s="1435"/>
      <c r="AQ42" s="1436"/>
      <c r="AR42" s="1434"/>
      <c r="AS42" s="1435"/>
      <c r="AT42" s="1437"/>
      <c r="AU42" s="1461">
        <f>+F42</f>
        <v>4.3550000000000004</v>
      </c>
      <c r="AV42" s="1533"/>
      <c r="AW42" s="1138"/>
      <c r="AX42" s="1139"/>
      <c r="AY42" s="1139"/>
      <c r="AZ42" s="1139"/>
      <c r="BA42" s="1140"/>
      <c r="BB42" s="1439"/>
      <c r="BC42" s="1363"/>
      <c r="BD42" s="1502"/>
      <c r="BE42" s="1517"/>
      <c r="BF42" s="1517">
        <f>+F42</f>
        <v>4.3550000000000004</v>
      </c>
      <c r="BG42" s="1503"/>
      <c r="BH42" s="1503"/>
      <c r="BI42" s="1503"/>
      <c r="BJ42" s="1504"/>
      <c r="BK42" s="1663"/>
      <c r="BL42" s="1138"/>
      <c r="BM42" s="1139"/>
      <c r="BN42" s="1440">
        <f>+G42</f>
        <v>9.3000000000000007</v>
      </c>
      <c r="BO42" s="1140"/>
      <c r="BP42" s="1091"/>
      <c r="BQ42" s="1138"/>
      <c r="BR42" s="1139"/>
      <c r="BS42" s="1440"/>
      <c r="BT42" s="1138"/>
      <c r="BU42" s="1139"/>
      <c r="BV42" s="1140"/>
      <c r="BW42" s="1139"/>
      <c r="BX42" s="1534"/>
      <c r="BY42" s="1649">
        <f>+F42</f>
        <v>4.3550000000000004</v>
      </c>
      <c r="BZ42" s="1108"/>
      <c r="CA42" s="1091"/>
      <c r="CB42" s="1138"/>
      <c r="CC42" s="1139">
        <v>1</v>
      </c>
      <c r="CD42" s="1139"/>
      <c r="CE42" s="1105"/>
      <c r="CF42" s="1109">
        <v>1</v>
      </c>
      <c r="CG42" s="1106"/>
      <c r="CH42" s="1106"/>
      <c r="CI42" s="1106"/>
      <c r="CJ42" s="1106"/>
      <c r="CK42" s="1106"/>
      <c r="CL42" s="1106"/>
      <c r="CM42" s="1106"/>
      <c r="CN42" s="1106"/>
      <c r="CO42" s="1106"/>
      <c r="CP42" s="1106"/>
      <c r="CQ42" s="1106"/>
      <c r="CR42" s="1106"/>
      <c r="CS42" s="1106"/>
      <c r="CT42" s="1106"/>
      <c r="CU42" s="1108"/>
      <c r="CV42" s="1109"/>
      <c r="CW42" s="1106"/>
      <c r="CX42" s="1106"/>
      <c r="CY42" s="1091"/>
      <c r="CZ42" s="1502"/>
      <c r="DA42" s="1503"/>
      <c r="DB42" s="1503"/>
      <c r="DC42" s="1503"/>
      <c r="DD42" s="1504"/>
      <c r="DE42" s="1502"/>
      <c r="DF42" s="1503"/>
      <c r="DG42" s="1503"/>
      <c r="DH42" s="1503"/>
      <c r="DI42" s="1504"/>
    </row>
    <row r="43" spans="1:113" s="1341" customFormat="1" ht="13">
      <c r="A43" s="1535"/>
      <c r="B43" s="1536"/>
      <c r="C43" s="1537" t="s">
        <v>2157</v>
      </c>
      <c r="D43" s="1538"/>
      <c r="E43" s="1538"/>
      <c r="F43" s="1539"/>
      <c r="G43" s="1540"/>
      <c r="H43" s="1541"/>
      <c r="I43" s="1540"/>
      <c r="J43" s="1540"/>
      <c r="K43" s="1542"/>
      <c r="L43" s="1543">
        <v>3</v>
      </c>
      <c r="M43" s="1544"/>
      <c r="N43" s="1545">
        <f t="shared" ref="N43" si="9">+SUM(N23:N42)*$L$43</f>
        <v>0</v>
      </c>
      <c r="O43" s="1545">
        <f t="shared" ref="O43" si="10">+SUM(O23:O42)*$L$43</f>
        <v>0</v>
      </c>
      <c r="P43" s="1546">
        <f t="shared" ref="P43:S43" si="11">+SUM(P23:P42)*$L$43</f>
        <v>0</v>
      </c>
      <c r="Q43" s="1547">
        <f t="shared" si="11"/>
        <v>393.22379999999993</v>
      </c>
      <c r="R43" s="1545">
        <f t="shared" si="11"/>
        <v>96.050999999999988</v>
      </c>
      <c r="S43" s="1548">
        <f t="shared" si="11"/>
        <v>96.050999999999988</v>
      </c>
      <c r="T43" s="1544"/>
      <c r="U43" s="1547">
        <f t="shared" ref="U43:AB43" si="12">+SUM(U23:U42)*$L$43</f>
        <v>110.03999999999999</v>
      </c>
      <c r="V43" s="1545">
        <f t="shared" si="12"/>
        <v>0</v>
      </c>
      <c r="W43" s="1545">
        <f t="shared" si="12"/>
        <v>0</v>
      </c>
      <c r="X43" s="1545">
        <f t="shared" si="12"/>
        <v>302.06100000000004</v>
      </c>
      <c r="Y43" s="1548">
        <f t="shared" si="12"/>
        <v>0</v>
      </c>
      <c r="Z43" s="1549">
        <f t="shared" si="12"/>
        <v>1006.08</v>
      </c>
      <c r="AA43" s="1545">
        <f t="shared" si="12"/>
        <v>104.4</v>
      </c>
      <c r="AB43" s="1545">
        <f t="shared" si="12"/>
        <v>42</v>
      </c>
      <c r="AC43" s="1544"/>
      <c r="AD43" s="1547">
        <f>+SUM(AD23:AD42)*$L$43</f>
        <v>37.049999999999997</v>
      </c>
      <c r="AE43" s="1545">
        <f t="shared" ref="AE43:AJ43" si="13">+SUM(AE23:AE42)*$L$43</f>
        <v>90.15</v>
      </c>
      <c r="AF43" s="1545">
        <f t="shared" si="13"/>
        <v>0</v>
      </c>
      <c r="AG43" s="1545">
        <f>+SUM(AG23:AG42)*$L$43</f>
        <v>0</v>
      </c>
      <c r="AH43" s="1545">
        <f t="shared" si="13"/>
        <v>0</v>
      </c>
      <c r="AI43" s="1545">
        <f t="shared" si="13"/>
        <v>59.000999999999991</v>
      </c>
      <c r="AJ43" s="1548">
        <f t="shared" si="13"/>
        <v>119.82</v>
      </c>
      <c r="AK43" s="1550"/>
      <c r="AL43" s="1547">
        <f>+SUM(AL23:AL42)*$L$43</f>
        <v>67.844999999999999</v>
      </c>
      <c r="AM43" s="1545">
        <f t="shared" ref="AM43:AU43" si="14">+SUM(AM23:AM42)*$L$43</f>
        <v>37.049999999999997</v>
      </c>
      <c r="AN43" s="1545">
        <f t="shared" si="14"/>
        <v>302.49</v>
      </c>
      <c r="AO43" s="1545">
        <f t="shared" si="14"/>
        <v>14.700000000000001</v>
      </c>
      <c r="AP43" s="1545">
        <f t="shared" si="14"/>
        <v>29.58</v>
      </c>
      <c r="AQ43" s="1546">
        <f t="shared" si="14"/>
        <v>0</v>
      </c>
      <c r="AR43" s="1547">
        <f t="shared" si="14"/>
        <v>309.55079999999998</v>
      </c>
      <c r="AS43" s="1545">
        <f t="shared" si="14"/>
        <v>180.24000000000004</v>
      </c>
      <c r="AT43" s="1548">
        <f t="shared" si="14"/>
        <v>0</v>
      </c>
      <c r="AU43" s="1551">
        <f t="shared" si="14"/>
        <v>88.671000000000006</v>
      </c>
      <c r="AV43" s="1544"/>
      <c r="AW43" s="1547">
        <f t="shared" ref="AW43:BB43" si="15">+SUM(AW23:AW42)*$L$43</f>
        <v>12</v>
      </c>
      <c r="AX43" s="1545">
        <f t="shared" si="15"/>
        <v>3</v>
      </c>
      <c r="AY43" s="1545">
        <f t="shared" si="15"/>
        <v>18</v>
      </c>
      <c r="AZ43" s="1545">
        <f t="shared" si="15"/>
        <v>0</v>
      </c>
      <c r="BA43" s="1548">
        <f t="shared" si="15"/>
        <v>3</v>
      </c>
      <c r="BB43" s="1548">
        <f t="shared" si="15"/>
        <v>30</v>
      </c>
      <c r="BC43" s="1552"/>
      <c r="BD43" s="1553">
        <f t="shared" ref="BD43:BO43" si="16">+SUM(BD23:BD42)*$L$43</f>
        <v>0</v>
      </c>
      <c r="BE43" s="1554">
        <f t="shared" si="16"/>
        <v>47.910000000000004</v>
      </c>
      <c r="BF43" s="1554">
        <f t="shared" si="16"/>
        <v>398.31479999999993</v>
      </c>
      <c r="BG43" s="1554">
        <f t="shared" si="16"/>
        <v>37.049999999999997</v>
      </c>
      <c r="BH43" s="1554">
        <f t="shared" si="16"/>
        <v>0</v>
      </c>
      <c r="BI43" s="1554">
        <f t="shared" si="16"/>
        <v>0</v>
      </c>
      <c r="BJ43" s="1555">
        <f t="shared" si="16"/>
        <v>0</v>
      </c>
      <c r="BK43" s="1555">
        <f t="shared" si="16"/>
        <v>12</v>
      </c>
      <c r="BL43" s="1553">
        <f t="shared" si="16"/>
        <v>371.34000000000003</v>
      </c>
      <c r="BM43" s="1554">
        <f t="shared" si="16"/>
        <v>0</v>
      </c>
      <c r="BN43" s="1554">
        <f t="shared" si="16"/>
        <v>119.82</v>
      </c>
      <c r="BO43" s="1554">
        <f t="shared" si="16"/>
        <v>92.58</v>
      </c>
      <c r="BP43" s="1544"/>
      <c r="BQ43" s="1547">
        <f>+SUM(BQ23:BQ42)*$L$43</f>
        <v>38.555999999999997</v>
      </c>
      <c r="BR43" s="1545">
        <f t="shared" ref="BR43:BW43" si="17">+SUM(BR23:BR42)*$L$43</f>
        <v>207.34499999999997</v>
      </c>
      <c r="BS43" s="1546">
        <f t="shared" si="17"/>
        <v>0</v>
      </c>
      <c r="BT43" s="1547">
        <f>+SUM(BT23:BT42)*$L$43</f>
        <v>56.160000000000011</v>
      </c>
      <c r="BU43" s="1545">
        <f>+SUM(BU23:BU42)*$L$43</f>
        <v>1006.08</v>
      </c>
      <c r="BV43" s="1548">
        <f t="shared" si="17"/>
        <v>110.03999999999999</v>
      </c>
      <c r="BW43" s="1545">
        <f t="shared" si="17"/>
        <v>134.47499999999999</v>
      </c>
      <c r="BX43" s="1545">
        <f>+SUM(BX23:BX42)*$L$43</f>
        <v>309.55079999999998</v>
      </c>
      <c r="BY43" s="1545">
        <f>+SUM(BY23:BY42)*$L$43</f>
        <v>59.000999999999991</v>
      </c>
      <c r="BZ43" s="1545">
        <f>+SUM(BZ23:BZ42)*$L$43</f>
        <v>29.67</v>
      </c>
      <c r="CA43" s="1544"/>
      <c r="CB43" s="1546">
        <f t="shared" ref="CB43:CX43" si="18">+SUM(CB23:CB42)*$L$43</f>
        <v>6</v>
      </c>
      <c r="CC43" s="1546">
        <f t="shared" si="18"/>
        <v>39</v>
      </c>
      <c r="CD43" s="1546">
        <f t="shared" si="18"/>
        <v>9</v>
      </c>
      <c r="CE43" s="1547">
        <f t="shared" si="18"/>
        <v>90</v>
      </c>
      <c r="CF43" s="1545">
        <f t="shared" si="18"/>
        <v>24</v>
      </c>
      <c r="CG43" s="1545">
        <f t="shared" si="18"/>
        <v>12</v>
      </c>
      <c r="CH43" s="1545"/>
      <c r="CI43" s="1545">
        <f t="shared" si="18"/>
        <v>18</v>
      </c>
      <c r="CJ43" s="1545">
        <f t="shared" si="18"/>
        <v>6</v>
      </c>
      <c r="CK43" s="1545">
        <f t="shared" si="18"/>
        <v>30</v>
      </c>
      <c r="CL43" s="1545">
        <f t="shared" si="18"/>
        <v>36</v>
      </c>
      <c r="CM43" s="1545">
        <f t="shared" si="18"/>
        <v>105</v>
      </c>
      <c r="CN43" s="1545">
        <f t="shared" si="18"/>
        <v>0</v>
      </c>
      <c r="CO43" s="1545">
        <f t="shared" si="18"/>
        <v>24</v>
      </c>
      <c r="CP43" s="1545">
        <f t="shared" si="18"/>
        <v>18</v>
      </c>
      <c r="CQ43" s="1545">
        <f t="shared" si="18"/>
        <v>6</v>
      </c>
      <c r="CR43" s="1545">
        <f t="shared" si="18"/>
        <v>6</v>
      </c>
      <c r="CS43" s="1545">
        <f t="shared" si="18"/>
        <v>0</v>
      </c>
      <c r="CT43" s="1545">
        <f t="shared" si="18"/>
        <v>0</v>
      </c>
      <c r="CU43" s="1548">
        <f t="shared" si="18"/>
        <v>0</v>
      </c>
      <c r="CV43" s="1549">
        <f t="shared" si="18"/>
        <v>0</v>
      </c>
      <c r="CW43" s="1545">
        <f t="shared" si="18"/>
        <v>0</v>
      </c>
      <c r="CX43" s="1545">
        <f t="shared" si="18"/>
        <v>18</v>
      </c>
      <c r="CY43" s="1544"/>
      <c r="CZ43" s="1556">
        <f t="shared" ref="CZ43:DI43" si="19">+SUM(CZ8:CZ42)*$L$43</f>
        <v>0</v>
      </c>
      <c r="DA43" s="1557">
        <f t="shared" si="19"/>
        <v>0</v>
      </c>
      <c r="DB43" s="1557">
        <f t="shared" si="19"/>
        <v>0</v>
      </c>
      <c r="DC43" s="1557">
        <f t="shared" si="19"/>
        <v>0</v>
      </c>
      <c r="DD43" s="1558">
        <f t="shared" si="19"/>
        <v>0</v>
      </c>
      <c r="DE43" s="1556">
        <f t="shared" si="19"/>
        <v>0</v>
      </c>
      <c r="DF43" s="1557">
        <f t="shared" si="19"/>
        <v>0</v>
      </c>
      <c r="DG43" s="1557">
        <f t="shared" si="19"/>
        <v>0</v>
      </c>
      <c r="DH43" s="1557">
        <f t="shared" si="19"/>
        <v>0</v>
      </c>
      <c r="DI43" s="1558">
        <f t="shared" si="19"/>
        <v>0</v>
      </c>
    </row>
    <row r="44" spans="1:113" s="1341" customFormat="1" ht="13">
      <c r="A44" s="2074" t="s">
        <v>404</v>
      </c>
      <c r="B44" s="1441">
        <v>35</v>
      </c>
      <c r="C44" s="1122" t="s">
        <v>483</v>
      </c>
      <c r="D44" s="1442"/>
      <c r="E44" s="1443"/>
      <c r="F44" s="1444">
        <v>9.89</v>
      </c>
      <c r="G44" s="1445">
        <v>13.1</v>
      </c>
      <c r="H44" s="1403">
        <v>0</v>
      </c>
      <c r="I44" s="1404">
        <f t="shared" ref="I44:I98" si="20">+G44-H44</f>
        <v>13.1</v>
      </c>
      <c r="J44" s="1402">
        <v>2.8</v>
      </c>
      <c r="K44" s="1380"/>
      <c r="L44" s="1381">
        <v>2</v>
      </c>
      <c r="M44" s="1382"/>
      <c r="N44" s="1383"/>
      <c r="O44" s="1384"/>
      <c r="P44" s="1385"/>
      <c r="Q44" s="1383">
        <f>+L44</f>
        <v>2</v>
      </c>
      <c r="R44" s="1384"/>
      <c r="S44" s="1386"/>
      <c r="T44" s="1382"/>
      <c r="U44" s="1085">
        <f>+I44*J44</f>
        <v>36.68</v>
      </c>
      <c r="V44" s="1090"/>
      <c r="W44" s="1090"/>
      <c r="X44" s="1087"/>
      <c r="Y44" s="1089"/>
      <c r="Z44" s="1090"/>
      <c r="AA44" s="1087"/>
      <c r="AB44" s="1089"/>
      <c r="AC44" s="1382"/>
      <c r="AD44" s="1110"/>
      <c r="AE44" s="1111"/>
      <c r="AF44" s="1083"/>
      <c r="AG44" s="1083"/>
      <c r="AH44" s="1083"/>
      <c r="AI44" s="1083"/>
      <c r="AJ44" s="1084"/>
      <c r="AK44" s="1363"/>
      <c r="AL44" s="1082"/>
      <c r="AM44" s="1083"/>
      <c r="AN44" s="1083"/>
      <c r="AO44" s="1083"/>
      <c r="AP44" s="1446"/>
      <c r="AQ44" s="1126"/>
      <c r="AR44" s="1082"/>
      <c r="AS44" s="1083"/>
      <c r="AT44" s="1084"/>
      <c r="AU44" s="1387">
        <f>+F44</f>
        <v>9.89</v>
      </c>
      <c r="AV44" s="1363"/>
      <c r="AW44" s="1085"/>
      <c r="AX44" s="1087">
        <v>1</v>
      </c>
      <c r="AY44" s="1087"/>
      <c r="AZ44" s="1087"/>
      <c r="BA44" s="1089"/>
      <c r="BB44" s="1447"/>
      <c r="BC44" s="1363"/>
      <c r="BD44" s="1398"/>
      <c r="BE44" s="1399"/>
      <c r="BF44" s="1399"/>
      <c r="BG44" s="1399"/>
      <c r="BH44" s="1399"/>
      <c r="BI44" s="1399"/>
      <c r="BJ44" s="1400"/>
      <c r="BK44" s="1658"/>
      <c r="BL44" s="1085"/>
      <c r="BM44" s="1087"/>
      <c r="BN44" s="1088"/>
      <c r="BO44" s="1089"/>
      <c r="BP44" s="1086"/>
      <c r="BQ44" s="1085"/>
      <c r="BR44" s="1087"/>
      <c r="BS44" s="1088"/>
      <c r="BT44" s="1085"/>
      <c r="BU44" s="1087"/>
      <c r="BV44" s="1089">
        <f>+I44*J44</f>
        <v>36.68</v>
      </c>
      <c r="BW44" s="1087"/>
      <c r="BX44" s="1087"/>
      <c r="BY44" s="1088"/>
      <c r="BZ44" s="1089">
        <f>+F44</f>
        <v>9.89</v>
      </c>
      <c r="CA44" s="1397"/>
      <c r="CB44" s="1085"/>
      <c r="CC44" s="1087">
        <v>2</v>
      </c>
      <c r="CD44" s="1087">
        <v>1</v>
      </c>
      <c r="CE44" s="1085">
        <v>3</v>
      </c>
      <c r="CF44" s="1090"/>
      <c r="CG44" s="1087"/>
      <c r="CH44" s="1087">
        <v>1</v>
      </c>
      <c r="CI44" s="1087"/>
      <c r="CJ44" s="1087"/>
      <c r="CK44" s="1087"/>
      <c r="CL44" s="1087"/>
      <c r="CM44" s="1087"/>
      <c r="CN44" s="1087"/>
      <c r="CO44" s="1087"/>
      <c r="CP44" s="1087"/>
      <c r="CQ44" s="1087"/>
      <c r="CR44" s="1087"/>
      <c r="CS44" s="1087"/>
      <c r="CT44" s="1087"/>
      <c r="CU44" s="1089"/>
      <c r="CV44" s="1090"/>
      <c r="CW44" s="1087"/>
      <c r="CX44" s="1087"/>
      <c r="CY44" s="1091"/>
      <c r="CZ44" s="1398"/>
      <c r="DA44" s="1399"/>
      <c r="DB44" s="1399"/>
      <c r="DC44" s="1399"/>
      <c r="DD44" s="1400"/>
      <c r="DE44" s="1398"/>
      <c r="DF44" s="1399"/>
      <c r="DG44" s="1399"/>
      <c r="DH44" s="1399"/>
      <c r="DI44" s="1400"/>
    </row>
    <row r="45" spans="1:113" s="1397" customFormat="1" ht="13">
      <c r="A45" s="2075"/>
      <c r="B45" s="1448">
        <v>36</v>
      </c>
      <c r="C45" s="1127" t="s">
        <v>1433</v>
      </c>
      <c r="D45" s="1449"/>
      <c r="E45" s="1450"/>
      <c r="F45" s="1451">
        <v>15.97</v>
      </c>
      <c r="G45" s="1452">
        <v>30.86</v>
      </c>
      <c r="H45" s="1453">
        <v>0</v>
      </c>
      <c r="I45" s="1454">
        <f t="shared" si="20"/>
        <v>30.86</v>
      </c>
      <c r="J45" s="1455">
        <v>2.4</v>
      </c>
      <c r="K45" s="1456"/>
      <c r="L45" s="1426">
        <v>1.1000000000000001</v>
      </c>
      <c r="M45" s="1382"/>
      <c r="N45" s="1457"/>
      <c r="O45" s="1458"/>
      <c r="P45" s="1459"/>
      <c r="Q45" s="1457">
        <f>+F45</f>
        <v>15.97</v>
      </c>
      <c r="R45" s="1458"/>
      <c r="S45" s="1460"/>
      <c r="T45" s="1382"/>
      <c r="U45" s="1105"/>
      <c r="V45" s="1109"/>
      <c r="W45" s="1109"/>
      <c r="X45" s="1106"/>
      <c r="Y45" s="1108"/>
      <c r="Z45" s="1109">
        <f>+I45*J45</f>
        <v>74.063999999999993</v>
      </c>
      <c r="AA45" s="1106">
        <f>+AB45*J45</f>
        <v>9.6</v>
      </c>
      <c r="AB45" s="1108">
        <v>4</v>
      </c>
      <c r="AC45" s="1382"/>
      <c r="AD45" s="1120"/>
      <c r="AE45" s="1121"/>
      <c r="AF45" s="1101"/>
      <c r="AG45" s="1101"/>
      <c r="AH45" s="1101"/>
      <c r="AI45" s="1101"/>
      <c r="AJ45" s="1104"/>
      <c r="AK45" s="1382"/>
      <c r="AL45" s="1103">
        <f>+F45</f>
        <v>15.97</v>
      </c>
      <c r="AM45" s="1101"/>
      <c r="AN45" s="1101">
        <f>+G45</f>
        <v>30.86</v>
      </c>
      <c r="AO45" s="1101">
        <f>+L45*2</f>
        <v>2.2000000000000002</v>
      </c>
      <c r="AP45" s="1101"/>
      <c r="AQ45" s="1102"/>
      <c r="AR45" s="1103"/>
      <c r="AS45" s="1101"/>
      <c r="AT45" s="1104"/>
      <c r="AU45" s="1461"/>
      <c r="AV45" s="1382"/>
      <c r="AW45" s="1105"/>
      <c r="AX45" s="1106"/>
      <c r="AY45" s="1106"/>
      <c r="AZ45" s="1106"/>
      <c r="BA45" s="1108">
        <v>1</v>
      </c>
      <c r="BB45" s="1462">
        <v>2</v>
      </c>
      <c r="BC45" s="1363"/>
      <c r="BD45" s="1463"/>
      <c r="BE45" s="1464">
        <f>+F45</f>
        <v>15.97</v>
      </c>
      <c r="BF45" s="1464"/>
      <c r="BG45" s="1464"/>
      <c r="BH45" s="1464"/>
      <c r="BI45" s="1464"/>
      <c r="BJ45" s="1465"/>
      <c r="BK45" s="1660"/>
      <c r="BL45" s="1105"/>
      <c r="BM45" s="1106"/>
      <c r="BN45" s="1107"/>
      <c r="BO45" s="1108">
        <f>+G45</f>
        <v>30.86</v>
      </c>
      <c r="BP45" s="1086"/>
      <c r="BQ45" s="1105"/>
      <c r="BR45" s="1106"/>
      <c r="BS45" s="1107"/>
      <c r="BT45" s="1105"/>
      <c r="BU45" s="1106">
        <f>+I45*J45</f>
        <v>74.063999999999993</v>
      </c>
      <c r="BV45" s="1108"/>
      <c r="BW45" s="1106">
        <f>+F45</f>
        <v>15.97</v>
      </c>
      <c r="BX45" s="1106"/>
      <c r="BY45" s="1107"/>
      <c r="BZ45" s="1108"/>
      <c r="CB45" s="1105"/>
      <c r="CC45" s="1106">
        <v>7</v>
      </c>
      <c r="CD45" s="1106">
        <v>2</v>
      </c>
      <c r="CE45" s="1105">
        <v>9</v>
      </c>
      <c r="CF45" s="1109"/>
      <c r="CG45" s="1106"/>
      <c r="CH45" s="1106">
        <v>3</v>
      </c>
      <c r="CI45" s="1106"/>
      <c r="CJ45" s="1106"/>
      <c r="CK45" s="1106"/>
      <c r="CL45" s="1106"/>
      <c r="CM45" s="1106">
        <v>1</v>
      </c>
      <c r="CN45" s="1106"/>
      <c r="CO45" s="1106"/>
      <c r="CP45" s="1106"/>
      <c r="CQ45" s="1106"/>
      <c r="CR45" s="1106"/>
      <c r="CS45" s="1106"/>
      <c r="CT45" s="1106"/>
      <c r="CU45" s="1108"/>
      <c r="CV45" s="1109"/>
      <c r="CW45" s="1106"/>
      <c r="CX45" s="1106"/>
      <c r="CY45" s="1091"/>
      <c r="CZ45" s="1463"/>
      <c r="DA45" s="1464"/>
      <c r="DB45" s="1464"/>
      <c r="DC45" s="1464"/>
      <c r="DD45" s="1465"/>
      <c r="DE45" s="1463"/>
      <c r="DF45" s="1464"/>
      <c r="DG45" s="1464"/>
      <c r="DH45" s="1464"/>
      <c r="DI45" s="1465"/>
    </row>
    <row r="46" spans="1:113" s="1341" customFormat="1" ht="13">
      <c r="A46" s="2075"/>
      <c r="B46" s="1441">
        <v>37</v>
      </c>
      <c r="C46" s="1128" t="s">
        <v>2140</v>
      </c>
      <c r="D46" s="1442">
        <v>2.35</v>
      </c>
      <c r="E46" s="1443">
        <v>1.5</v>
      </c>
      <c r="F46" s="1375">
        <f t="shared" ref="F46:F49" si="21">D46*E46</f>
        <v>3.5250000000000004</v>
      </c>
      <c r="G46" s="1376">
        <f t="shared" ref="G46:G49" si="22">+D46*2+E46*2</f>
        <v>7.7</v>
      </c>
      <c r="H46" s="1403">
        <f>+E46+E47</f>
        <v>2.1</v>
      </c>
      <c r="I46" s="1404">
        <f t="shared" si="20"/>
        <v>5.6</v>
      </c>
      <c r="J46" s="1402">
        <v>2.2000000000000002</v>
      </c>
      <c r="K46" s="1380"/>
      <c r="L46" s="1381"/>
      <c r="M46" s="1382"/>
      <c r="N46" s="1383"/>
      <c r="O46" s="1384"/>
      <c r="P46" s="1385"/>
      <c r="Q46" s="1383">
        <f>+F46</f>
        <v>3.5250000000000004</v>
      </c>
      <c r="R46" s="1384"/>
      <c r="S46" s="1386"/>
      <c r="T46" s="1382"/>
      <c r="U46" s="1112"/>
      <c r="V46" s="1123"/>
      <c r="W46" s="1123"/>
      <c r="X46" s="1124"/>
      <c r="Y46" s="1125"/>
      <c r="Z46" s="1123">
        <f>+I46*J46</f>
        <v>12.32</v>
      </c>
      <c r="AA46" s="1087">
        <f>+AB46*J46</f>
        <v>2.2000000000000002</v>
      </c>
      <c r="AB46" s="1129">
        <v>1</v>
      </c>
      <c r="AC46" s="1382"/>
      <c r="AD46" s="1130"/>
      <c r="AE46" s="1131"/>
      <c r="AF46" s="1132"/>
      <c r="AG46" s="1132"/>
      <c r="AH46" s="1132"/>
      <c r="AI46" s="1132"/>
      <c r="AJ46" s="1134"/>
      <c r="AK46" s="1363"/>
      <c r="AL46" s="1135">
        <f>+F46</f>
        <v>3.5250000000000004</v>
      </c>
      <c r="AM46" s="1132"/>
      <c r="AN46" s="1132">
        <f>+G46</f>
        <v>7.7</v>
      </c>
      <c r="AO46" s="1132">
        <f>+E46</f>
        <v>1.5</v>
      </c>
      <c r="AP46" s="1132"/>
      <c r="AQ46" s="1133"/>
      <c r="AR46" s="1135"/>
      <c r="AS46" s="1132"/>
      <c r="AT46" s="1134"/>
      <c r="AU46" s="1466"/>
      <c r="AV46" s="1363"/>
      <c r="AW46" s="1112">
        <v>1</v>
      </c>
      <c r="AX46" s="1124"/>
      <c r="AY46" s="1124"/>
      <c r="AZ46" s="1124"/>
      <c r="BA46" s="1125"/>
      <c r="BB46" s="1467"/>
      <c r="BC46" s="1363"/>
      <c r="BD46" s="1398"/>
      <c r="BE46" s="1399"/>
      <c r="BF46" s="1399">
        <f>+F46</f>
        <v>3.5250000000000004</v>
      </c>
      <c r="BG46" s="1399"/>
      <c r="BH46" s="1399"/>
      <c r="BI46" s="1399"/>
      <c r="BJ46" s="1400"/>
      <c r="BK46" s="1658">
        <v>1</v>
      </c>
      <c r="BL46" s="1085">
        <f>+I46</f>
        <v>5.6</v>
      </c>
      <c r="BM46" s="1087"/>
      <c r="BN46" s="1088"/>
      <c r="BO46" s="1089"/>
      <c r="BP46" s="1086"/>
      <c r="BQ46" s="1112"/>
      <c r="BR46" s="1124"/>
      <c r="BS46" s="1136"/>
      <c r="BT46" s="1112"/>
      <c r="BU46" s="1080">
        <f>+I46*J46</f>
        <v>12.32</v>
      </c>
      <c r="BV46" s="1125"/>
      <c r="BW46" s="1087">
        <f>+F46</f>
        <v>3.5250000000000004</v>
      </c>
      <c r="BX46" s="1087"/>
      <c r="BY46" s="1088"/>
      <c r="BZ46" s="1089"/>
      <c r="CA46" s="1397"/>
      <c r="CB46" s="1112"/>
      <c r="CC46" s="1124"/>
      <c r="CD46" s="1124"/>
      <c r="CE46" s="1112">
        <v>1</v>
      </c>
      <c r="CF46" s="1123"/>
      <c r="CG46" s="1124"/>
      <c r="CH46" s="1124"/>
      <c r="CI46" s="1124"/>
      <c r="CJ46" s="1124"/>
      <c r="CK46" s="1124">
        <v>1</v>
      </c>
      <c r="CL46" s="1124"/>
      <c r="CM46" s="1124"/>
      <c r="CN46" s="1124"/>
      <c r="CO46" s="1124"/>
      <c r="CP46" s="1124"/>
      <c r="CQ46" s="1124"/>
      <c r="CR46" s="1124"/>
      <c r="CS46" s="1124"/>
      <c r="CT46" s="1124"/>
      <c r="CU46" s="1125"/>
      <c r="CV46" s="1123"/>
      <c r="CW46" s="1124"/>
      <c r="CX46" s="1124"/>
      <c r="CY46" s="1091"/>
      <c r="CZ46" s="1468"/>
      <c r="DA46" s="1469"/>
      <c r="DB46" s="1469"/>
      <c r="DC46" s="1469"/>
      <c r="DD46" s="1470"/>
      <c r="DE46" s="1468"/>
      <c r="DF46" s="1469"/>
      <c r="DG46" s="1469"/>
      <c r="DH46" s="1469"/>
      <c r="DI46" s="1470"/>
    </row>
    <row r="47" spans="1:113" s="1341" customFormat="1" ht="13">
      <c r="A47" s="2075"/>
      <c r="B47" s="1471">
        <v>38</v>
      </c>
      <c r="C47" s="1472" t="s">
        <v>2141</v>
      </c>
      <c r="D47" s="1473">
        <v>2.63</v>
      </c>
      <c r="E47" s="1474">
        <v>0.6</v>
      </c>
      <c r="F47" s="1375">
        <f t="shared" si="21"/>
        <v>1.5779999999999998</v>
      </c>
      <c r="G47" s="1376">
        <f t="shared" si="22"/>
        <v>6.46</v>
      </c>
      <c r="H47" s="1377">
        <f>+D47+E47</f>
        <v>3.23</v>
      </c>
      <c r="I47" s="1378">
        <f t="shared" si="20"/>
        <v>3.23</v>
      </c>
      <c r="J47" s="1376">
        <v>2.2000000000000002</v>
      </c>
      <c r="K47" s="1410">
        <v>0.9</v>
      </c>
      <c r="L47" s="1426">
        <v>4.25</v>
      </c>
      <c r="M47" s="1382"/>
      <c r="N47" s="1475"/>
      <c r="O47" s="1476"/>
      <c r="P47" s="1477"/>
      <c r="Q47" s="1475">
        <f>+F47</f>
        <v>1.5779999999999998</v>
      </c>
      <c r="R47" s="1476"/>
      <c r="S47" s="1478"/>
      <c r="T47" s="1382"/>
      <c r="U47" s="1112"/>
      <c r="V47" s="1123"/>
      <c r="W47" s="1123"/>
      <c r="X47" s="1124">
        <f>+I47*J47</f>
        <v>7.1060000000000008</v>
      </c>
      <c r="Y47" s="1125"/>
      <c r="Z47" s="1123"/>
      <c r="AA47" s="1124"/>
      <c r="AB47" s="1129"/>
      <c r="AC47" s="1382"/>
      <c r="AD47" s="1130"/>
      <c r="AE47" s="1131"/>
      <c r="AF47" s="1132"/>
      <c r="AG47" s="1132"/>
      <c r="AH47" s="1132"/>
      <c r="AI47" s="1132"/>
      <c r="AJ47" s="1134"/>
      <c r="AK47" s="1363"/>
      <c r="AL47" s="1135"/>
      <c r="AM47" s="1132"/>
      <c r="AN47" s="1132">
        <f>+G47</f>
        <v>6.46</v>
      </c>
      <c r="AO47" s="1132"/>
      <c r="AP47" s="1479">
        <f>+D47</f>
        <v>2.63</v>
      </c>
      <c r="AQ47" s="1133"/>
      <c r="AR47" s="1135"/>
      <c r="AS47" s="1132"/>
      <c r="AT47" s="1134"/>
      <c r="AU47" s="1466"/>
      <c r="AV47" s="1363"/>
      <c r="AW47" s="1112"/>
      <c r="AX47" s="1124"/>
      <c r="AY47" s="1124"/>
      <c r="AZ47" s="1124"/>
      <c r="BA47" s="1125"/>
      <c r="BB47" s="1467"/>
      <c r="BC47" s="1363"/>
      <c r="BD47" s="1417"/>
      <c r="BE47" s="1418"/>
      <c r="BF47" s="1418">
        <f>+F47</f>
        <v>1.5779999999999998</v>
      </c>
      <c r="BG47" s="1418"/>
      <c r="BH47" s="1418"/>
      <c r="BI47" s="1418"/>
      <c r="BJ47" s="1419"/>
      <c r="BK47" s="1659"/>
      <c r="BL47" s="1078">
        <f>+I47</f>
        <v>3.23</v>
      </c>
      <c r="BM47" s="1080"/>
      <c r="BN47" s="1099"/>
      <c r="BO47" s="1081"/>
      <c r="BP47" s="1086"/>
      <c r="BQ47" s="1112">
        <f>+K47*L47</f>
        <v>3.8250000000000002</v>
      </c>
      <c r="BR47" s="1124"/>
      <c r="BS47" s="1136"/>
      <c r="BT47" s="1114">
        <f>+(I47*J47)-BQ47</f>
        <v>3.2810000000000006</v>
      </c>
      <c r="BU47" s="1080"/>
      <c r="BV47" s="1125"/>
      <c r="BW47" s="1480">
        <f>+AP47</f>
        <v>2.63</v>
      </c>
      <c r="BX47" s="1124"/>
      <c r="BY47" s="1136"/>
      <c r="BZ47" s="1125"/>
      <c r="CA47" s="1397"/>
      <c r="CB47" s="1112"/>
      <c r="CC47" s="1124"/>
      <c r="CD47" s="1124"/>
      <c r="CE47" s="1112"/>
      <c r="CF47" s="1123"/>
      <c r="CG47" s="1124">
        <v>1</v>
      </c>
      <c r="CH47" s="1124"/>
      <c r="CI47" s="1124">
        <v>1</v>
      </c>
      <c r="CJ47" s="1124"/>
      <c r="CK47" s="1124"/>
      <c r="CL47" s="1124">
        <v>3</v>
      </c>
      <c r="CM47" s="1124">
        <v>2</v>
      </c>
      <c r="CN47" s="1124"/>
      <c r="CO47" s="1124">
        <v>2</v>
      </c>
      <c r="CP47" s="1124"/>
      <c r="CQ47" s="1124"/>
      <c r="CR47" s="1124">
        <v>1</v>
      </c>
      <c r="CS47" s="1124"/>
      <c r="CT47" s="1124"/>
      <c r="CU47" s="1125"/>
      <c r="CV47" s="1123"/>
      <c r="CW47" s="1124"/>
      <c r="CX47" s="1124">
        <v>1</v>
      </c>
      <c r="CY47" s="1091"/>
      <c r="CZ47" s="1468"/>
      <c r="DA47" s="1469"/>
      <c r="DB47" s="1469"/>
      <c r="DC47" s="1469"/>
      <c r="DD47" s="1470"/>
      <c r="DE47" s="1468"/>
      <c r="DF47" s="1469"/>
      <c r="DG47" s="1469"/>
      <c r="DH47" s="1469"/>
      <c r="DI47" s="1470"/>
    </row>
    <row r="48" spans="1:113" s="1341" customFormat="1" ht="13">
      <c r="A48" s="2075"/>
      <c r="B48" s="1471">
        <v>39</v>
      </c>
      <c r="C48" s="1472" t="s">
        <v>2142</v>
      </c>
      <c r="D48" s="1473">
        <v>4.4000000000000004</v>
      </c>
      <c r="E48" s="1474">
        <v>4.13</v>
      </c>
      <c r="F48" s="1375">
        <f t="shared" si="21"/>
        <v>18.172000000000001</v>
      </c>
      <c r="G48" s="1376">
        <f t="shared" si="22"/>
        <v>17.060000000000002</v>
      </c>
      <c r="H48" s="1377">
        <f>+E48</f>
        <v>4.13</v>
      </c>
      <c r="I48" s="1378">
        <f t="shared" si="20"/>
        <v>12.930000000000003</v>
      </c>
      <c r="J48" s="1376">
        <v>2.6</v>
      </c>
      <c r="K48" s="1410"/>
      <c r="L48" s="1426"/>
      <c r="M48" s="1382"/>
      <c r="N48" s="1475"/>
      <c r="O48" s="1476"/>
      <c r="P48" s="1477"/>
      <c r="Q48" s="1475">
        <f>+F48</f>
        <v>18.172000000000001</v>
      </c>
      <c r="R48" s="1476"/>
      <c r="S48" s="1478"/>
      <c r="T48" s="1382"/>
      <c r="U48" s="1112"/>
      <c r="V48" s="1123"/>
      <c r="W48" s="1123"/>
      <c r="X48" s="1124"/>
      <c r="Y48" s="1125"/>
      <c r="Z48" s="1123">
        <f>+I48*J48</f>
        <v>33.618000000000009</v>
      </c>
      <c r="AA48" s="1124">
        <f>+AB48*J48</f>
        <v>2.6</v>
      </c>
      <c r="AB48" s="1129">
        <v>1</v>
      </c>
      <c r="AC48" s="1382"/>
      <c r="AD48" s="1130"/>
      <c r="AE48" s="1131"/>
      <c r="AF48" s="1132"/>
      <c r="AG48" s="1132"/>
      <c r="AH48" s="1132"/>
      <c r="AI48" s="1132"/>
      <c r="AJ48" s="1134"/>
      <c r="AK48" s="1363"/>
      <c r="AL48" s="1135"/>
      <c r="AM48" s="1132"/>
      <c r="AN48" s="1132"/>
      <c r="AO48" s="1132"/>
      <c r="AP48" s="1132"/>
      <c r="AQ48" s="1133"/>
      <c r="AR48" s="1135">
        <f>+F48</f>
        <v>18.172000000000001</v>
      </c>
      <c r="AS48" s="1132">
        <f>+G48</f>
        <v>17.060000000000002</v>
      </c>
      <c r="AT48" s="1134"/>
      <c r="AU48" s="1466"/>
      <c r="AV48" s="1363"/>
      <c r="AW48" s="1112"/>
      <c r="AX48" s="1124"/>
      <c r="AY48" s="1124"/>
      <c r="AZ48" s="1124"/>
      <c r="BA48" s="1125"/>
      <c r="BB48" s="1467">
        <v>1</v>
      </c>
      <c r="BC48" s="1363"/>
      <c r="BD48" s="1417"/>
      <c r="BE48" s="1418"/>
      <c r="BF48" s="1418">
        <f>+F48</f>
        <v>18.172000000000001</v>
      </c>
      <c r="BG48" s="1418"/>
      <c r="BH48" s="1418"/>
      <c r="BI48" s="1418"/>
      <c r="BJ48" s="1419"/>
      <c r="BK48" s="1659"/>
      <c r="BL48" s="1078">
        <f>+I48</f>
        <v>12.930000000000003</v>
      </c>
      <c r="BM48" s="1080"/>
      <c r="BN48" s="1099"/>
      <c r="BO48" s="1081"/>
      <c r="BP48" s="1086"/>
      <c r="BQ48" s="1112"/>
      <c r="BR48" s="1124"/>
      <c r="BS48" s="1136"/>
      <c r="BT48" s="1112"/>
      <c r="BU48" s="1080">
        <f>+I48*J48</f>
        <v>33.618000000000009</v>
      </c>
      <c r="BV48" s="1125"/>
      <c r="BW48" s="1124"/>
      <c r="BX48" s="1124">
        <f>+F48</f>
        <v>18.172000000000001</v>
      </c>
      <c r="BY48" s="1136"/>
      <c r="BZ48" s="1125"/>
      <c r="CA48" s="1397"/>
      <c r="CB48" s="1112"/>
      <c r="CC48" s="1124"/>
      <c r="CD48" s="1124"/>
      <c r="CE48" s="1112">
        <v>2</v>
      </c>
      <c r="CF48" s="1123"/>
      <c r="CG48" s="1124"/>
      <c r="CH48" s="1124"/>
      <c r="CI48" s="1124"/>
      <c r="CJ48" s="1124"/>
      <c r="CK48" s="1124">
        <v>1</v>
      </c>
      <c r="CL48" s="1124"/>
      <c r="CM48" s="1124">
        <v>4</v>
      </c>
      <c r="CN48" s="1124"/>
      <c r="CO48" s="1124"/>
      <c r="CP48" s="1124">
        <v>1</v>
      </c>
      <c r="CQ48" s="1124"/>
      <c r="CR48" s="1124"/>
      <c r="CS48" s="1124"/>
      <c r="CT48" s="1124"/>
      <c r="CU48" s="1125"/>
      <c r="CV48" s="1123"/>
      <c r="CW48" s="1124"/>
      <c r="CX48" s="1124"/>
      <c r="CY48" s="1091"/>
      <c r="CZ48" s="1468"/>
      <c r="DA48" s="1469"/>
      <c r="DB48" s="1469"/>
      <c r="DC48" s="1469"/>
      <c r="DD48" s="1470"/>
      <c r="DE48" s="1468"/>
      <c r="DF48" s="1469"/>
      <c r="DG48" s="1469"/>
      <c r="DH48" s="1469"/>
      <c r="DI48" s="1470"/>
    </row>
    <row r="49" spans="1:113" s="1341" customFormat="1" ht="13">
      <c r="A49" s="2075"/>
      <c r="B49" s="1471">
        <v>40</v>
      </c>
      <c r="C49" s="1115" t="s">
        <v>2143</v>
      </c>
      <c r="D49" s="1473">
        <v>3.98</v>
      </c>
      <c r="E49" s="1474">
        <v>2.5099999999999998</v>
      </c>
      <c r="F49" s="1375">
        <f t="shared" si="21"/>
        <v>9.9897999999999989</v>
      </c>
      <c r="G49" s="1376">
        <f t="shared" si="22"/>
        <v>12.98</v>
      </c>
      <c r="H49" s="1481">
        <v>0</v>
      </c>
      <c r="I49" s="1378">
        <f t="shared" si="20"/>
        <v>12.98</v>
      </c>
      <c r="J49" s="1376">
        <v>2.6</v>
      </c>
      <c r="K49" s="1410"/>
      <c r="L49" s="1426"/>
      <c r="M49" s="1382"/>
      <c r="N49" s="1412"/>
      <c r="O49" s="1413"/>
      <c r="P49" s="1414"/>
      <c r="Q49" s="1475">
        <f>+F49</f>
        <v>9.9897999999999989</v>
      </c>
      <c r="R49" s="1413"/>
      <c r="S49" s="1415"/>
      <c r="T49" s="1382"/>
      <c r="U49" s="1078"/>
      <c r="V49" s="1079"/>
      <c r="W49" s="1079"/>
      <c r="X49" s="1080"/>
      <c r="Y49" s="1081"/>
      <c r="Z49" s="1079">
        <f>+I49*J49</f>
        <v>33.748000000000005</v>
      </c>
      <c r="AA49" s="1137"/>
      <c r="AB49" s="1129"/>
      <c r="AC49" s="1382"/>
      <c r="AD49" s="1093"/>
      <c r="AE49" s="1094"/>
      <c r="AF49" s="1095"/>
      <c r="AG49" s="1095"/>
      <c r="AH49" s="1095"/>
      <c r="AI49" s="1095"/>
      <c r="AJ49" s="1098"/>
      <c r="AK49" s="1363"/>
      <c r="AL49" s="1097"/>
      <c r="AM49" s="1095"/>
      <c r="AN49" s="1095"/>
      <c r="AO49" s="1095"/>
      <c r="AP49" s="1095"/>
      <c r="AQ49" s="1096"/>
      <c r="AR49" s="1135">
        <f>+F49</f>
        <v>9.9897999999999989</v>
      </c>
      <c r="AS49" s="1132">
        <f>+G49</f>
        <v>12.98</v>
      </c>
      <c r="AT49" s="1098"/>
      <c r="AU49" s="1416"/>
      <c r="AV49" s="1363"/>
      <c r="AW49" s="1078"/>
      <c r="AX49" s="1080"/>
      <c r="AY49" s="1080">
        <v>1</v>
      </c>
      <c r="AZ49" s="1080"/>
      <c r="BA49" s="1081"/>
      <c r="BB49" s="1388">
        <v>1</v>
      </c>
      <c r="BC49" s="1363"/>
      <c r="BD49" s="1417"/>
      <c r="BE49" s="1418"/>
      <c r="BF49" s="1418">
        <f>+F49</f>
        <v>9.9897999999999989</v>
      </c>
      <c r="BG49" s="1418"/>
      <c r="BH49" s="1418"/>
      <c r="BI49" s="1418"/>
      <c r="BJ49" s="1419"/>
      <c r="BK49" s="1659"/>
      <c r="BL49" s="1078">
        <f>+I49</f>
        <v>12.98</v>
      </c>
      <c r="BM49" s="1080"/>
      <c r="BN49" s="1099"/>
      <c r="BO49" s="1081"/>
      <c r="BP49" s="1086"/>
      <c r="BQ49" s="1078"/>
      <c r="BR49" s="1080"/>
      <c r="BS49" s="1099"/>
      <c r="BT49" s="1078"/>
      <c r="BU49" s="1080">
        <f>+I49*J49</f>
        <v>33.748000000000005</v>
      </c>
      <c r="BV49" s="1081"/>
      <c r="BW49" s="1080"/>
      <c r="BX49" s="1080">
        <f>+F49</f>
        <v>9.9897999999999989</v>
      </c>
      <c r="BY49" s="1099"/>
      <c r="BZ49" s="1081"/>
      <c r="CA49" s="1397"/>
      <c r="CB49" s="1078"/>
      <c r="CC49" s="1080"/>
      <c r="CD49" s="1080"/>
      <c r="CE49" s="1078">
        <v>1</v>
      </c>
      <c r="CF49" s="1079"/>
      <c r="CG49" s="1080"/>
      <c r="CH49" s="1080"/>
      <c r="CI49" s="1080">
        <v>1</v>
      </c>
      <c r="CJ49" s="1080"/>
      <c r="CK49" s="1080"/>
      <c r="CL49" s="1080"/>
      <c r="CM49" s="1080">
        <v>3</v>
      </c>
      <c r="CN49" s="1080"/>
      <c r="CO49" s="1080"/>
      <c r="CP49" s="1080">
        <v>1</v>
      </c>
      <c r="CQ49" s="1080"/>
      <c r="CR49" s="1080"/>
      <c r="CS49" s="1080"/>
      <c r="CT49" s="1080"/>
      <c r="CU49" s="1081"/>
      <c r="CV49" s="1079"/>
      <c r="CW49" s="1080"/>
      <c r="CX49" s="1080">
        <v>1</v>
      </c>
      <c r="CY49" s="1091"/>
      <c r="CZ49" s="1417"/>
      <c r="DA49" s="1418"/>
      <c r="DB49" s="1418"/>
      <c r="DC49" s="1418"/>
      <c r="DD49" s="1419"/>
      <c r="DE49" s="1417"/>
      <c r="DF49" s="1418"/>
      <c r="DG49" s="1418"/>
      <c r="DH49" s="1418"/>
      <c r="DI49" s="1419"/>
    </row>
    <row r="50" spans="1:113" s="1341" customFormat="1" ht="13">
      <c r="A50" s="2075"/>
      <c r="B50" s="1471">
        <v>41</v>
      </c>
      <c r="C50" s="1115" t="s">
        <v>2144</v>
      </c>
      <c r="D50" s="1473"/>
      <c r="E50" s="1474"/>
      <c r="F50" s="1431">
        <v>3.04</v>
      </c>
      <c r="G50" s="1425">
        <v>7.52</v>
      </c>
      <c r="H50" s="1377">
        <v>0</v>
      </c>
      <c r="I50" s="1378">
        <f t="shared" si="20"/>
        <v>7.52</v>
      </c>
      <c r="J50" s="1376">
        <v>2.2999999999999998</v>
      </c>
      <c r="K50" s="1410">
        <v>2.2999999999999998</v>
      </c>
      <c r="L50" s="1426"/>
      <c r="M50" s="1382"/>
      <c r="N50" s="1412"/>
      <c r="O50" s="1413"/>
      <c r="P50" s="1414"/>
      <c r="Q50" s="1412"/>
      <c r="R50" s="1413">
        <f>+F50</f>
        <v>3.04</v>
      </c>
      <c r="S50" s="1415">
        <f>+F50</f>
        <v>3.04</v>
      </c>
      <c r="T50" s="1382"/>
      <c r="U50" s="1078"/>
      <c r="V50" s="1079"/>
      <c r="W50" s="1079"/>
      <c r="X50" s="1080">
        <f>+I50*J50</f>
        <v>17.295999999999999</v>
      </c>
      <c r="Y50" s="1081"/>
      <c r="Z50" s="1079"/>
      <c r="AA50" s="1137"/>
      <c r="AB50" s="1129"/>
      <c r="AC50" s="1382"/>
      <c r="AD50" s="1093">
        <f>+F50</f>
        <v>3.04</v>
      </c>
      <c r="AE50" s="1094">
        <f>+G50</f>
        <v>7.52</v>
      </c>
      <c r="AF50" s="1095"/>
      <c r="AG50" s="1095"/>
      <c r="AH50" s="1095"/>
      <c r="AI50" s="1095"/>
      <c r="AJ50" s="1098"/>
      <c r="AK50" s="1363"/>
      <c r="AL50" s="1097"/>
      <c r="AM50" s="1095">
        <f>+F50</f>
        <v>3.04</v>
      </c>
      <c r="AN50" s="1095">
        <f>+G50</f>
        <v>7.52</v>
      </c>
      <c r="AO50" s="1095"/>
      <c r="AP50" s="1095"/>
      <c r="AQ50" s="1096"/>
      <c r="AR50" s="1097"/>
      <c r="AS50" s="1095"/>
      <c r="AT50" s="1098"/>
      <c r="AU50" s="1416"/>
      <c r="AV50" s="1363"/>
      <c r="AW50" s="1078"/>
      <c r="AX50" s="1080"/>
      <c r="AY50" s="1080">
        <v>1</v>
      </c>
      <c r="AZ50" s="1080"/>
      <c r="BA50" s="1081"/>
      <c r="BB50" s="1388">
        <v>1</v>
      </c>
      <c r="BC50" s="1363"/>
      <c r="BD50" s="1417"/>
      <c r="BE50" s="1418"/>
      <c r="BF50" s="1418"/>
      <c r="BG50" s="1418">
        <f>+F50</f>
        <v>3.04</v>
      </c>
      <c r="BH50" s="1418"/>
      <c r="BI50" s="1418"/>
      <c r="BJ50" s="1419"/>
      <c r="BK50" s="1659"/>
      <c r="BL50" s="1078"/>
      <c r="BM50" s="1080"/>
      <c r="BN50" s="1099"/>
      <c r="BO50" s="1081"/>
      <c r="BP50" s="1086"/>
      <c r="BQ50" s="1078"/>
      <c r="BR50" s="1080">
        <f>+I50*K50</f>
        <v>17.295999999999999</v>
      </c>
      <c r="BS50" s="1099"/>
      <c r="BT50" s="1078"/>
      <c r="BU50" s="1080"/>
      <c r="BV50" s="1081"/>
      <c r="BW50" s="1080">
        <f>+F50</f>
        <v>3.04</v>
      </c>
      <c r="BX50" s="1080"/>
      <c r="BY50" s="1099"/>
      <c r="BZ50" s="1081"/>
      <c r="CA50" s="1397"/>
      <c r="CB50" s="1078"/>
      <c r="CC50" s="1080"/>
      <c r="CD50" s="1080"/>
      <c r="CE50" s="1078">
        <v>1</v>
      </c>
      <c r="CF50" s="1079">
        <v>1</v>
      </c>
      <c r="CG50" s="1080"/>
      <c r="CH50" s="1080"/>
      <c r="CI50" s="1080"/>
      <c r="CJ50" s="1080">
        <v>1</v>
      </c>
      <c r="CK50" s="1080"/>
      <c r="CL50" s="1080"/>
      <c r="CM50" s="1080">
        <v>1</v>
      </c>
      <c r="CN50" s="1080"/>
      <c r="CO50" s="1080"/>
      <c r="CP50" s="1080"/>
      <c r="CQ50" s="1080"/>
      <c r="CR50" s="1080"/>
      <c r="CS50" s="1080"/>
      <c r="CT50" s="1080"/>
      <c r="CU50" s="1081"/>
      <c r="CV50" s="1079"/>
      <c r="CW50" s="1080"/>
      <c r="CX50" s="1080"/>
      <c r="CY50" s="1091"/>
      <c r="CZ50" s="1417"/>
      <c r="DA50" s="1418"/>
      <c r="DB50" s="1418"/>
      <c r="DC50" s="1418"/>
      <c r="DD50" s="1419"/>
      <c r="DE50" s="1417"/>
      <c r="DF50" s="1418"/>
      <c r="DG50" s="1418"/>
      <c r="DH50" s="1418"/>
      <c r="DI50" s="1419"/>
    </row>
    <row r="51" spans="1:113" s="1341" customFormat="1" ht="13">
      <c r="A51" s="2075"/>
      <c r="B51" s="1448">
        <v>42</v>
      </c>
      <c r="C51" s="1127" t="s">
        <v>2145</v>
      </c>
      <c r="D51" s="1449">
        <v>3.96</v>
      </c>
      <c r="E51" s="1450">
        <v>1.4</v>
      </c>
      <c r="F51" s="1482">
        <f t="shared" ref="F51" si="23">D51*E51</f>
        <v>5.5439999999999996</v>
      </c>
      <c r="G51" s="1455">
        <f t="shared" ref="G51" si="24">+D51*2+E51*2</f>
        <v>10.719999999999999</v>
      </c>
      <c r="H51" s="1453">
        <f>+D51+(E51*2)</f>
        <v>6.76</v>
      </c>
      <c r="I51" s="1454">
        <f t="shared" si="20"/>
        <v>3.9599999999999991</v>
      </c>
      <c r="J51" s="1455">
        <v>2.6</v>
      </c>
      <c r="K51" s="1456"/>
      <c r="L51" s="1483"/>
      <c r="M51" s="1382"/>
      <c r="N51" s="1457"/>
      <c r="O51" s="1458"/>
      <c r="P51" s="1459"/>
      <c r="Q51" s="1457"/>
      <c r="R51" s="1458">
        <f>+F51</f>
        <v>5.5439999999999996</v>
      </c>
      <c r="S51" s="1514">
        <f>+F51</f>
        <v>5.5439999999999996</v>
      </c>
      <c r="T51" s="1382"/>
      <c r="U51" s="1105"/>
      <c r="V51" s="1109"/>
      <c r="W51" s="1109"/>
      <c r="X51" s="1106"/>
      <c r="Y51" s="1108"/>
      <c r="Z51" s="1109"/>
      <c r="AA51" s="1106"/>
      <c r="AB51" s="1108"/>
      <c r="AC51" s="1382"/>
      <c r="AD51" s="1120"/>
      <c r="AE51" s="1121"/>
      <c r="AF51" s="1101"/>
      <c r="AG51" s="1101"/>
      <c r="AH51" s="1101"/>
      <c r="AI51" s="1101">
        <f>+F51</f>
        <v>5.5439999999999996</v>
      </c>
      <c r="AJ51" s="1104">
        <f>+G51</f>
        <v>10.719999999999999</v>
      </c>
      <c r="AK51" s="1363"/>
      <c r="AL51" s="1103"/>
      <c r="AM51" s="1101"/>
      <c r="AN51" s="1101"/>
      <c r="AO51" s="1101"/>
      <c r="AP51" s="1101"/>
      <c r="AQ51" s="1102"/>
      <c r="AR51" s="1103"/>
      <c r="AS51" s="1101"/>
      <c r="AT51" s="1104"/>
      <c r="AU51" s="1461">
        <f>+F51</f>
        <v>5.5439999999999996</v>
      </c>
      <c r="AV51" s="1363"/>
      <c r="AW51" s="1138"/>
      <c r="AX51" s="1139"/>
      <c r="AY51" s="1139"/>
      <c r="AZ51" s="1139"/>
      <c r="BA51" s="1140"/>
      <c r="BB51" s="1439"/>
      <c r="BC51" s="1363"/>
      <c r="BD51" s="1463"/>
      <c r="BE51" s="1464"/>
      <c r="BF51" s="1464">
        <f>+F51</f>
        <v>5.5439999999999996</v>
      </c>
      <c r="BG51" s="1464"/>
      <c r="BH51" s="1464"/>
      <c r="BI51" s="1464"/>
      <c r="BJ51" s="1465"/>
      <c r="BK51" s="1660"/>
      <c r="BL51" s="1105"/>
      <c r="BM51" s="1106"/>
      <c r="BN51" s="1107">
        <f>+G51</f>
        <v>10.719999999999999</v>
      </c>
      <c r="BO51" s="1108"/>
      <c r="BP51" s="1086"/>
      <c r="BQ51" s="1105"/>
      <c r="BR51" s="1106"/>
      <c r="BS51" s="1107"/>
      <c r="BT51" s="1105"/>
      <c r="BU51" s="1106"/>
      <c r="BV51" s="1108"/>
      <c r="BW51" s="1106"/>
      <c r="BX51" s="1106"/>
      <c r="BY51" s="1107">
        <f>+F51</f>
        <v>5.5439999999999996</v>
      </c>
      <c r="BZ51" s="1108"/>
      <c r="CA51" s="1397"/>
      <c r="CB51" s="1105"/>
      <c r="CC51" s="1141">
        <v>1</v>
      </c>
      <c r="CD51" s="1141"/>
      <c r="CE51" s="1105"/>
      <c r="CF51" s="1109">
        <v>1</v>
      </c>
      <c r="CG51" s="1106"/>
      <c r="CH51" s="1106"/>
      <c r="CI51" s="1106"/>
      <c r="CJ51" s="1106"/>
      <c r="CK51" s="1106"/>
      <c r="CL51" s="1106"/>
      <c r="CM51" s="1106"/>
      <c r="CN51" s="1106"/>
      <c r="CO51" s="1106"/>
      <c r="CP51" s="1106"/>
      <c r="CQ51" s="1106"/>
      <c r="CR51" s="1106"/>
      <c r="CS51" s="1106"/>
      <c r="CT51" s="1106"/>
      <c r="CU51" s="1108"/>
      <c r="CV51" s="1109"/>
      <c r="CW51" s="1106"/>
      <c r="CX51" s="1106"/>
      <c r="CY51" s="1091"/>
      <c r="CZ51" s="1463"/>
      <c r="DA51" s="1464"/>
      <c r="DB51" s="1464"/>
      <c r="DC51" s="1464"/>
      <c r="DD51" s="1465"/>
      <c r="DE51" s="1463"/>
      <c r="DF51" s="1464"/>
      <c r="DG51" s="1464"/>
      <c r="DH51" s="1464"/>
      <c r="DI51" s="1465"/>
    </row>
    <row r="52" spans="1:113" s="1341" customFormat="1" ht="13">
      <c r="A52" s="2075"/>
      <c r="B52" s="1441">
        <v>43</v>
      </c>
      <c r="C52" s="1484" t="s">
        <v>2146</v>
      </c>
      <c r="D52" s="1442"/>
      <c r="E52" s="1443"/>
      <c r="F52" s="1485">
        <v>23.33</v>
      </c>
      <c r="G52" s="1486">
        <v>22.19</v>
      </c>
      <c r="H52" s="1487">
        <v>0</v>
      </c>
      <c r="I52" s="1488">
        <f t="shared" si="20"/>
        <v>22.19</v>
      </c>
      <c r="J52" s="1489">
        <v>2.6</v>
      </c>
      <c r="K52" s="1380">
        <v>0.9</v>
      </c>
      <c r="L52" s="1490">
        <v>3</v>
      </c>
      <c r="M52" s="1382"/>
      <c r="N52" s="1383"/>
      <c r="O52" s="1384"/>
      <c r="P52" s="1385"/>
      <c r="Q52" s="1383">
        <f>+F52</f>
        <v>23.33</v>
      </c>
      <c r="R52" s="1384"/>
      <c r="S52" s="1386"/>
      <c r="T52" s="1382"/>
      <c r="U52" s="1085"/>
      <c r="V52" s="1090"/>
      <c r="W52" s="1090"/>
      <c r="X52" s="1492">
        <f>+L52*J52</f>
        <v>7.8000000000000007</v>
      </c>
      <c r="Y52" s="1089"/>
      <c r="Z52" s="1494">
        <f>(I52*J52)-X52</f>
        <v>49.894000000000005</v>
      </c>
      <c r="AA52" s="1559">
        <f>+AB52*J52</f>
        <v>5.2</v>
      </c>
      <c r="AB52" s="1560">
        <v>2</v>
      </c>
      <c r="AC52" s="1382"/>
      <c r="AD52" s="1110"/>
      <c r="AE52" s="1111"/>
      <c r="AF52" s="1083"/>
      <c r="AG52" s="1083"/>
      <c r="AH52" s="1083"/>
      <c r="AI52" s="1083"/>
      <c r="AJ52" s="1084"/>
      <c r="AK52" s="1363"/>
      <c r="AL52" s="1082"/>
      <c r="AM52" s="1083"/>
      <c r="AN52" s="1495">
        <f>(AP52*2)+(0.6*2)</f>
        <v>5.6000000000000005</v>
      </c>
      <c r="AO52" s="1083"/>
      <c r="AP52" s="1495">
        <v>2.2000000000000002</v>
      </c>
      <c r="AQ52" s="1126"/>
      <c r="AR52" s="1082">
        <f>+F52</f>
        <v>23.33</v>
      </c>
      <c r="AS52" s="1083"/>
      <c r="AT52" s="1084"/>
      <c r="AU52" s="1387"/>
      <c r="AV52" s="1363"/>
      <c r="AW52" s="1085">
        <v>1</v>
      </c>
      <c r="AX52" s="1087"/>
      <c r="AY52" s="1087"/>
      <c r="AZ52" s="1087"/>
      <c r="BA52" s="1089"/>
      <c r="BB52" s="1405">
        <v>1</v>
      </c>
      <c r="BC52" s="1363"/>
      <c r="BD52" s="1468"/>
      <c r="BE52" s="1469"/>
      <c r="BF52" s="1469">
        <f>+F52</f>
        <v>23.33</v>
      </c>
      <c r="BG52" s="1469"/>
      <c r="BH52" s="1469"/>
      <c r="BI52" s="1469"/>
      <c r="BJ52" s="1470"/>
      <c r="BK52" s="1661">
        <v>1</v>
      </c>
      <c r="BL52" s="1112">
        <f>+G52</f>
        <v>22.19</v>
      </c>
      <c r="BM52" s="1124"/>
      <c r="BN52" s="1136"/>
      <c r="BO52" s="1125"/>
      <c r="BP52" s="1086"/>
      <c r="BQ52" s="1085">
        <f>+K52*L52</f>
        <v>2.7</v>
      </c>
      <c r="BR52" s="1087"/>
      <c r="BS52" s="1088"/>
      <c r="BT52" s="1496">
        <f>(L52*J52)-BQ52</f>
        <v>5.1000000000000005</v>
      </c>
      <c r="BU52" s="1080">
        <f>+I52*J52-(BT52+BQ52)</f>
        <v>49.894000000000005</v>
      </c>
      <c r="BV52" s="1089"/>
      <c r="BW52" s="1497">
        <f>+AP52</f>
        <v>2.2000000000000002</v>
      </c>
      <c r="BX52" s="1087">
        <f>+F52</f>
        <v>23.33</v>
      </c>
      <c r="BY52" s="1088"/>
      <c r="BZ52" s="1089"/>
      <c r="CA52" s="1397"/>
      <c r="CB52" s="1112"/>
      <c r="CC52" s="1124"/>
      <c r="CD52" s="1124"/>
      <c r="CE52" s="1112">
        <v>3</v>
      </c>
      <c r="CF52" s="1123"/>
      <c r="CG52" s="1124">
        <v>1</v>
      </c>
      <c r="CH52" s="1124"/>
      <c r="CI52" s="1124">
        <v>1</v>
      </c>
      <c r="CJ52" s="1124"/>
      <c r="CK52" s="1124">
        <v>2</v>
      </c>
      <c r="CL52" s="1124">
        <v>3</v>
      </c>
      <c r="CM52" s="1124">
        <v>6</v>
      </c>
      <c r="CN52" s="1124"/>
      <c r="CO52" s="1124">
        <v>2</v>
      </c>
      <c r="CP52" s="1124">
        <v>1</v>
      </c>
      <c r="CQ52" s="1124">
        <v>1</v>
      </c>
      <c r="CR52" s="1124"/>
      <c r="CS52" s="1124"/>
      <c r="CT52" s="1124"/>
      <c r="CU52" s="1125"/>
      <c r="CV52" s="1123"/>
      <c r="CW52" s="1124"/>
      <c r="CX52" s="1124"/>
      <c r="CY52" s="1091"/>
      <c r="CZ52" s="1468"/>
      <c r="DA52" s="1469"/>
      <c r="DB52" s="1469"/>
      <c r="DC52" s="1469"/>
      <c r="DD52" s="1470"/>
      <c r="DE52" s="1468"/>
      <c r="DF52" s="1469"/>
      <c r="DG52" s="1469"/>
      <c r="DH52" s="1469"/>
      <c r="DI52" s="1470"/>
    </row>
    <row r="53" spans="1:113" s="1341" customFormat="1" ht="13">
      <c r="A53" s="2075"/>
      <c r="B53" s="1471">
        <v>44</v>
      </c>
      <c r="C53" s="1115" t="s">
        <v>2147</v>
      </c>
      <c r="D53" s="1473"/>
      <c r="E53" s="1474"/>
      <c r="F53" s="1498">
        <v>3.06</v>
      </c>
      <c r="G53" s="1428">
        <v>7.49</v>
      </c>
      <c r="H53" s="1377">
        <v>0</v>
      </c>
      <c r="I53" s="1378">
        <f t="shared" si="20"/>
        <v>7.49</v>
      </c>
      <c r="J53" s="1376">
        <v>2.2999999999999998</v>
      </c>
      <c r="K53" s="1410">
        <v>2.2999999999999998</v>
      </c>
      <c r="L53" s="1426"/>
      <c r="M53" s="1382"/>
      <c r="N53" s="1412"/>
      <c r="O53" s="1413"/>
      <c r="P53" s="1414"/>
      <c r="Q53" s="1412"/>
      <c r="R53" s="1413">
        <f>+F53</f>
        <v>3.06</v>
      </c>
      <c r="S53" s="1415">
        <f>+F53</f>
        <v>3.06</v>
      </c>
      <c r="T53" s="1382"/>
      <c r="U53" s="1078"/>
      <c r="V53" s="1079"/>
      <c r="W53" s="1079"/>
      <c r="X53" s="1080">
        <f>+I53*J53</f>
        <v>17.227</v>
      </c>
      <c r="Y53" s="1081"/>
      <c r="Z53" s="1079"/>
      <c r="AA53" s="1080"/>
      <c r="AB53" s="1081"/>
      <c r="AC53" s="1382"/>
      <c r="AD53" s="1093">
        <f>+F53</f>
        <v>3.06</v>
      </c>
      <c r="AE53" s="1094">
        <f>+G53</f>
        <v>7.49</v>
      </c>
      <c r="AF53" s="1095"/>
      <c r="AG53" s="1095"/>
      <c r="AH53" s="1095"/>
      <c r="AI53" s="1095"/>
      <c r="AJ53" s="1098"/>
      <c r="AK53" s="1363"/>
      <c r="AL53" s="1097"/>
      <c r="AM53" s="1095">
        <f>+F53</f>
        <v>3.06</v>
      </c>
      <c r="AN53" s="1095">
        <f>+G53</f>
        <v>7.49</v>
      </c>
      <c r="AO53" s="1095"/>
      <c r="AP53" s="1095"/>
      <c r="AQ53" s="1096"/>
      <c r="AR53" s="1097"/>
      <c r="AS53" s="1095"/>
      <c r="AT53" s="1098"/>
      <c r="AU53" s="1416"/>
      <c r="AV53" s="1363"/>
      <c r="AW53" s="1078"/>
      <c r="AX53" s="1080"/>
      <c r="AY53" s="1080">
        <v>1</v>
      </c>
      <c r="AZ53" s="1080"/>
      <c r="BA53" s="1081"/>
      <c r="BB53" s="1388"/>
      <c r="BC53" s="1363"/>
      <c r="BD53" s="1417"/>
      <c r="BE53" s="1469"/>
      <c r="BF53" s="1469"/>
      <c r="BG53" s="1418">
        <f>+F53</f>
        <v>3.06</v>
      </c>
      <c r="BH53" s="1418"/>
      <c r="BI53" s="1418"/>
      <c r="BJ53" s="1419"/>
      <c r="BK53" s="1659"/>
      <c r="BL53" s="1078"/>
      <c r="BM53" s="1080"/>
      <c r="BN53" s="1099"/>
      <c r="BO53" s="1081"/>
      <c r="BP53" s="1086"/>
      <c r="BQ53" s="1078"/>
      <c r="BR53" s="1080">
        <f>+I53*K53</f>
        <v>17.227</v>
      </c>
      <c r="BS53" s="1099"/>
      <c r="BT53" s="1078"/>
      <c r="BU53" s="1080"/>
      <c r="BV53" s="1081"/>
      <c r="BW53" s="1499">
        <f>+F53</f>
        <v>3.06</v>
      </c>
      <c r="BX53" s="1499"/>
      <c r="BY53" s="1648"/>
      <c r="BZ53" s="1500"/>
      <c r="CA53" s="1397"/>
      <c r="CB53" s="1078">
        <v>1</v>
      </c>
      <c r="CC53" s="1080"/>
      <c r="CD53" s="1080"/>
      <c r="CE53" s="1078">
        <v>1</v>
      </c>
      <c r="CF53" s="1079">
        <v>1</v>
      </c>
      <c r="CG53" s="1080"/>
      <c r="CH53" s="1080"/>
      <c r="CI53" s="1080"/>
      <c r="CJ53" s="1080"/>
      <c r="CK53" s="1080">
        <v>1</v>
      </c>
      <c r="CL53" s="1080"/>
      <c r="CM53" s="1080">
        <v>1</v>
      </c>
      <c r="CN53" s="1080"/>
      <c r="CO53" s="1080"/>
      <c r="CP53" s="1080"/>
      <c r="CQ53" s="1080"/>
      <c r="CR53" s="1080"/>
      <c r="CS53" s="1080"/>
      <c r="CT53" s="1080"/>
      <c r="CU53" s="1081"/>
      <c r="CV53" s="1079"/>
      <c r="CW53" s="1080"/>
      <c r="CX53" s="1080">
        <v>1</v>
      </c>
      <c r="CY53" s="1091"/>
      <c r="CZ53" s="1417"/>
      <c r="DA53" s="1418"/>
      <c r="DB53" s="1418"/>
      <c r="DC53" s="1418"/>
      <c r="DD53" s="1419"/>
      <c r="DE53" s="1417"/>
      <c r="DF53" s="1418"/>
      <c r="DG53" s="1418"/>
      <c r="DH53" s="1418"/>
      <c r="DI53" s="1419"/>
    </row>
    <row r="54" spans="1:113" s="1397" customFormat="1" ht="13">
      <c r="A54" s="2075"/>
      <c r="B54" s="1471">
        <v>45</v>
      </c>
      <c r="C54" s="1115" t="s">
        <v>2148</v>
      </c>
      <c r="D54" s="1449">
        <v>3.3</v>
      </c>
      <c r="E54" s="1450">
        <v>1.4</v>
      </c>
      <c r="F54" s="1501">
        <f t="shared" ref="F54" si="25">D54*E54</f>
        <v>4.6199999999999992</v>
      </c>
      <c r="G54" s="1455">
        <f t="shared" ref="G54" si="26">+D54*2+E54*2</f>
        <v>9.3999999999999986</v>
      </c>
      <c r="H54" s="1453">
        <f>+D54+(E54*2)</f>
        <v>6.1</v>
      </c>
      <c r="I54" s="1454">
        <f t="shared" si="20"/>
        <v>3.2999999999999989</v>
      </c>
      <c r="J54" s="1455">
        <v>2.6</v>
      </c>
      <c r="K54" s="1456"/>
      <c r="L54" s="1483"/>
      <c r="M54" s="1382"/>
      <c r="N54" s="1412"/>
      <c r="O54" s="1413"/>
      <c r="P54" s="1414"/>
      <c r="Q54" s="1412"/>
      <c r="R54" s="1413">
        <f>+F54</f>
        <v>4.6199999999999992</v>
      </c>
      <c r="S54" s="1415">
        <f>+F54</f>
        <v>4.6199999999999992</v>
      </c>
      <c r="T54" s="1382"/>
      <c r="U54" s="1105"/>
      <c r="V54" s="1109"/>
      <c r="W54" s="1109"/>
      <c r="X54" s="1106"/>
      <c r="Y54" s="1108"/>
      <c r="Z54" s="1109"/>
      <c r="AA54" s="1106"/>
      <c r="AB54" s="1108"/>
      <c r="AC54" s="1382"/>
      <c r="AD54" s="1120"/>
      <c r="AE54" s="1121"/>
      <c r="AF54" s="1101"/>
      <c r="AG54" s="1101"/>
      <c r="AH54" s="1101"/>
      <c r="AI54" s="1101">
        <f>+F54</f>
        <v>4.6199999999999992</v>
      </c>
      <c r="AJ54" s="1104">
        <f>+G54</f>
        <v>9.3999999999999986</v>
      </c>
      <c r="AK54" s="1363"/>
      <c r="AL54" s="1103"/>
      <c r="AM54" s="1101"/>
      <c r="AN54" s="1101"/>
      <c r="AO54" s="1101"/>
      <c r="AP54" s="1101"/>
      <c r="AQ54" s="1102"/>
      <c r="AR54" s="1103"/>
      <c r="AS54" s="1101"/>
      <c r="AT54" s="1104"/>
      <c r="AU54" s="1461">
        <f>+F54</f>
        <v>4.6199999999999992</v>
      </c>
      <c r="AV54" s="1363"/>
      <c r="AW54" s="1138"/>
      <c r="AX54" s="1139"/>
      <c r="AY54" s="1139"/>
      <c r="AZ54" s="1139"/>
      <c r="BA54" s="1140"/>
      <c r="BB54" s="1439"/>
      <c r="BC54" s="1363"/>
      <c r="BD54" s="1463"/>
      <c r="BE54" s="1464"/>
      <c r="BF54" s="1464">
        <f>+F54</f>
        <v>4.6199999999999992</v>
      </c>
      <c r="BG54" s="1464"/>
      <c r="BH54" s="1464"/>
      <c r="BI54" s="1464"/>
      <c r="BJ54" s="1465"/>
      <c r="BK54" s="1660"/>
      <c r="BL54" s="1105"/>
      <c r="BM54" s="1106"/>
      <c r="BN54" s="1107">
        <f>+G54</f>
        <v>9.3999999999999986</v>
      </c>
      <c r="BO54" s="1108"/>
      <c r="BP54" s="1086"/>
      <c r="BQ54" s="1105"/>
      <c r="BR54" s="1106"/>
      <c r="BS54" s="1107"/>
      <c r="BT54" s="1105"/>
      <c r="BU54" s="1106"/>
      <c r="BV54" s="1108"/>
      <c r="BW54" s="1106"/>
      <c r="BX54" s="1106"/>
      <c r="BY54" s="1107">
        <f>+F54</f>
        <v>4.6199999999999992</v>
      </c>
      <c r="BZ54" s="1108"/>
      <c r="CB54" s="1105"/>
      <c r="CC54" s="1141">
        <v>1</v>
      </c>
      <c r="CD54" s="1141"/>
      <c r="CE54" s="1105"/>
      <c r="CF54" s="1109">
        <v>1</v>
      </c>
      <c r="CG54" s="1106"/>
      <c r="CH54" s="1106"/>
      <c r="CI54" s="1106"/>
      <c r="CJ54" s="1106"/>
      <c r="CK54" s="1106"/>
      <c r="CL54" s="1106"/>
      <c r="CM54" s="1106"/>
      <c r="CN54" s="1106"/>
      <c r="CO54" s="1106"/>
      <c r="CP54" s="1106"/>
      <c r="CQ54" s="1106"/>
      <c r="CR54" s="1106"/>
      <c r="CS54" s="1106"/>
      <c r="CT54" s="1106"/>
      <c r="CU54" s="1108"/>
      <c r="CV54" s="1109"/>
      <c r="CW54" s="1106"/>
      <c r="CX54" s="1106"/>
      <c r="CY54" s="1091"/>
      <c r="CZ54" s="1502"/>
      <c r="DA54" s="1503"/>
      <c r="DB54" s="1503"/>
      <c r="DC54" s="1503"/>
      <c r="DD54" s="1504"/>
      <c r="DE54" s="1502"/>
      <c r="DF54" s="1503"/>
      <c r="DG54" s="1503"/>
      <c r="DH54" s="1503"/>
      <c r="DI54" s="1504"/>
    </row>
    <row r="55" spans="1:113" s="1341" customFormat="1" ht="13">
      <c r="A55" s="2075"/>
      <c r="B55" s="1441">
        <v>46</v>
      </c>
      <c r="C55" s="1128" t="s">
        <v>2149</v>
      </c>
      <c r="D55" s="1442"/>
      <c r="E55" s="1443"/>
      <c r="F55" s="1401">
        <v>3.12</v>
      </c>
      <c r="G55" s="1402">
        <v>7.7</v>
      </c>
      <c r="H55" s="1403">
        <v>1.2</v>
      </c>
      <c r="I55" s="1404">
        <f t="shared" si="20"/>
        <v>6.5</v>
      </c>
      <c r="J55" s="1402">
        <v>2.2000000000000002</v>
      </c>
      <c r="K55" s="1380"/>
      <c r="L55" s="1381"/>
      <c r="M55" s="1382"/>
      <c r="N55" s="1383"/>
      <c r="O55" s="1384"/>
      <c r="P55" s="1385"/>
      <c r="Q55" s="1383">
        <f>+F55</f>
        <v>3.12</v>
      </c>
      <c r="R55" s="1384"/>
      <c r="S55" s="1386"/>
      <c r="T55" s="1382"/>
      <c r="U55" s="1112"/>
      <c r="V55" s="1123"/>
      <c r="W55" s="1123"/>
      <c r="X55" s="1124"/>
      <c r="Y55" s="1125"/>
      <c r="Z55" s="1123">
        <f>+I55*J55</f>
        <v>14.3</v>
      </c>
      <c r="AA55" s="1124">
        <f>+AB55*J55</f>
        <v>2.2000000000000002</v>
      </c>
      <c r="AB55" s="1142">
        <v>1</v>
      </c>
      <c r="AC55" s="1382"/>
      <c r="AD55" s="1130"/>
      <c r="AE55" s="1131"/>
      <c r="AF55" s="1132"/>
      <c r="AG55" s="1132"/>
      <c r="AH55" s="1132"/>
      <c r="AI55" s="1132"/>
      <c r="AJ55" s="1134"/>
      <c r="AK55" s="1363"/>
      <c r="AL55" s="1135">
        <f>+F55</f>
        <v>3.12</v>
      </c>
      <c r="AM55" s="1132"/>
      <c r="AN55" s="1132">
        <f>+G55</f>
        <v>7.7</v>
      </c>
      <c r="AO55" s="1132">
        <f>+H55</f>
        <v>1.2</v>
      </c>
      <c r="AP55" s="1132"/>
      <c r="AQ55" s="1133"/>
      <c r="AR55" s="1135"/>
      <c r="AS55" s="1132"/>
      <c r="AT55" s="1134"/>
      <c r="AU55" s="1466"/>
      <c r="AV55" s="1363"/>
      <c r="AW55" s="1085">
        <v>1</v>
      </c>
      <c r="AX55" s="1087"/>
      <c r="AY55" s="1087"/>
      <c r="AZ55" s="1087"/>
      <c r="BA55" s="1089"/>
      <c r="BB55" s="1405"/>
      <c r="BC55" s="1363"/>
      <c r="BD55" s="1398"/>
      <c r="BE55" s="1399"/>
      <c r="BF55" s="1399">
        <f>+F55</f>
        <v>3.12</v>
      </c>
      <c r="BG55" s="1399"/>
      <c r="BH55" s="1399"/>
      <c r="BI55" s="1399"/>
      <c r="BJ55" s="1400"/>
      <c r="BK55" s="1658">
        <v>1</v>
      </c>
      <c r="BL55" s="1085">
        <f>+I55</f>
        <v>6.5</v>
      </c>
      <c r="BM55" s="1087"/>
      <c r="BN55" s="1088"/>
      <c r="BO55" s="1089"/>
      <c r="BP55" s="1086"/>
      <c r="BQ55" s="1112"/>
      <c r="BR55" s="1124"/>
      <c r="BS55" s="1136"/>
      <c r="BT55" s="1112"/>
      <c r="BU55" s="1080">
        <f>+I55*J55</f>
        <v>14.3</v>
      </c>
      <c r="BV55" s="1125"/>
      <c r="BW55" s="1124">
        <f>+F55</f>
        <v>3.12</v>
      </c>
      <c r="BX55" s="1124"/>
      <c r="BY55" s="1136"/>
      <c r="BZ55" s="1125"/>
      <c r="CA55" s="1397"/>
      <c r="CB55" s="1085"/>
      <c r="CC55" s="1087"/>
      <c r="CD55" s="1087"/>
      <c r="CE55" s="1085">
        <v>1</v>
      </c>
      <c r="CF55" s="1090"/>
      <c r="CG55" s="1087"/>
      <c r="CH55" s="1087"/>
      <c r="CI55" s="1087"/>
      <c r="CJ55" s="1087"/>
      <c r="CK55" s="1087">
        <v>1</v>
      </c>
      <c r="CL55" s="1087"/>
      <c r="CM55" s="1087"/>
      <c r="CN55" s="1087"/>
      <c r="CO55" s="1087"/>
      <c r="CP55" s="1087"/>
      <c r="CQ55" s="1087"/>
      <c r="CR55" s="1087">
        <v>1</v>
      </c>
      <c r="CS55" s="1087"/>
      <c r="CT55" s="1087"/>
      <c r="CU55" s="1089"/>
      <c r="CV55" s="1090"/>
      <c r="CW55" s="1124"/>
      <c r="CX55" s="1087"/>
      <c r="CY55" s="1091"/>
      <c r="CZ55" s="1398"/>
      <c r="DA55" s="1399"/>
      <c r="DB55" s="1399"/>
      <c r="DC55" s="1399"/>
      <c r="DD55" s="1400"/>
      <c r="DE55" s="1398"/>
      <c r="DF55" s="1399"/>
      <c r="DG55" s="1399"/>
      <c r="DH55" s="1399"/>
      <c r="DI55" s="1400"/>
    </row>
    <row r="56" spans="1:113" s="1341" customFormat="1" ht="13">
      <c r="A56" s="2075"/>
      <c r="B56" s="1471">
        <v>47</v>
      </c>
      <c r="C56" s="1115" t="s">
        <v>2150</v>
      </c>
      <c r="D56" s="1473">
        <v>2.83</v>
      </c>
      <c r="E56" s="1474">
        <v>0.6</v>
      </c>
      <c r="F56" s="1375">
        <f t="shared" ref="F56:F57" si="27">D56*E56</f>
        <v>1.698</v>
      </c>
      <c r="G56" s="1376">
        <f t="shared" ref="G56:G57" si="28">+D56*2+E56*2</f>
        <v>6.86</v>
      </c>
      <c r="H56" s="1481">
        <f>+D56</f>
        <v>2.83</v>
      </c>
      <c r="I56" s="1378">
        <f t="shared" si="20"/>
        <v>4.03</v>
      </c>
      <c r="J56" s="1376">
        <v>2.2000000000000002</v>
      </c>
      <c r="K56" s="1410">
        <v>0.9</v>
      </c>
      <c r="L56" s="1426">
        <v>3</v>
      </c>
      <c r="M56" s="1382"/>
      <c r="N56" s="1412"/>
      <c r="O56" s="1413"/>
      <c r="P56" s="1414"/>
      <c r="Q56" s="1412">
        <f>+F56</f>
        <v>1.698</v>
      </c>
      <c r="R56" s="1413"/>
      <c r="S56" s="1415"/>
      <c r="T56" s="1382"/>
      <c r="U56" s="1078"/>
      <c r="V56" s="1079"/>
      <c r="W56" s="1079"/>
      <c r="X56" s="1080">
        <f>+I56*J56</f>
        <v>8.8660000000000014</v>
      </c>
      <c r="Y56" s="1081"/>
      <c r="Z56" s="1079"/>
      <c r="AA56" s="1137"/>
      <c r="AB56" s="1129"/>
      <c r="AC56" s="1382"/>
      <c r="AD56" s="1093"/>
      <c r="AE56" s="1094"/>
      <c r="AF56" s="1095"/>
      <c r="AG56" s="1095"/>
      <c r="AH56" s="1095"/>
      <c r="AI56" s="1095"/>
      <c r="AJ56" s="1098"/>
      <c r="AK56" s="1363"/>
      <c r="AL56" s="1097"/>
      <c r="AM56" s="1095"/>
      <c r="AN56" s="1132">
        <f>+G56</f>
        <v>6.86</v>
      </c>
      <c r="AO56" s="1095"/>
      <c r="AP56" s="1095">
        <f>+H56</f>
        <v>2.83</v>
      </c>
      <c r="AQ56" s="1096"/>
      <c r="AR56" s="1097"/>
      <c r="AS56" s="1095"/>
      <c r="AT56" s="1098"/>
      <c r="AU56" s="1416"/>
      <c r="AV56" s="1363"/>
      <c r="AW56" s="1078"/>
      <c r="AX56" s="1080"/>
      <c r="AY56" s="1080"/>
      <c r="AZ56" s="1080"/>
      <c r="BA56" s="1081"/>
      <c r="BB56" s="1388"/>
      <c r="BC56" s="1363"/>
      <c r="BD56" s="1417"/>
      <c r="BE56" s="1418"/>
      <c r="BF56" s="1418">
        <f>+F56</f>
        <v>1.698</v>
      </c>
      <c r="BG56" s="1418"/>
      <c r="BH56" s="1418"/>
      <c r="BI56" s="1418"/>
      <c r="BJ56" s="1419"/>
      <c r="BK56" s="1659"/>
      <c r="BL56" s="1078">
        <f>+I56</f>
        <v>4.03</v>
      </c>
      <c r="BM56" s="1080"/>
      <c r="BN56" s="1099"/>
      <c r="BO56" s="1081"/>
      <c r="BP56" s="1086"/>
      <c r="BQ56" s="1078">
        <f>+K56*L56</f>
        <v>2.7</v>
      </c>
      <c r="BR56" s="1080"/>
      <c r="BS56" s="1099"/>
      <c r="BT56" s="1114">
        <f>(I56*J56)-BQ56</f>
        <v>6.1660000000000013</v>
      </c>
      <c r="BU56" s="1080"/>
      <c r="BV56" s="1081"/>
      <c r="BW56" s="1113">
        <f>+AP56</f>
        <v>2.83</v>
      </c>
      <c r="BX56" s="1080"/>
      <c r="BY56" s="1099"/>
      <c r="BZ56" s="1081"/>
      <c r="CA56" s="1397"/>
      <c r="CB56" s="1078"/>
      <c r="CC56" s="1080"/>
      <c r="CD56" s="1080"/>
      <c r="CE56" s="1078"/>
      <c r="CF56" s="1079"/>
      <c r="CG56" s="1080">
        <v>1</v>
      </c>
      <c r="CH56" s="1080"/>
      <c r="CI56" s="1080">
        <v>1</v>
      </c>
      <c r="CJ56" s="1080"/>
      <c r="CK56" s="1080"/>
      <c r="CL56" s="1080">
        <v>3</v>
      </c>
      <c r="CM56" s="1080">
        <v>2</v>
      </c>
      <c r="CN56" s="1080"/>
      <c r="CO56" s="1080">
        <v>2</v>
      </c>
      <c r="CP56" s="1080"/>
      <c r="CQ56" s="1080"/>
      <c r="CR56" s="1080"/>
      <c r="CS56" s="1080"/>
      <c r="CT56" s="1080"/>
      <c r="CU56" s="1081"/>
      <c r="CV56" s="1079"/>
      <c r="CW56" s="1080"/>
      <c r="CX56" s="1080"/>
      <c r="CY56" s="1091"/>
      <c r="CZ56" s="1417"/>
      <c r="DA56" s="1418"/>
      <c r="DB56" s="1418"/>
      <c r="DC56" s="1418"/>
      <c r="DD56" s="1419"/>
      <c r="DE56" s="1417"/>
      <c r="DF56" s="1418"/>
      <c r="DG56" s="1418"/>
      <c r="DH56" s="1418"/>
      <c r="DI56" s="1419"/>
    </row>
    <row r="57" spans="1:113" s="1341" customFormat="1" ht="13">
      <c r="A57" s="2075"/>
      <c r="B57" s="1471">
        <v>48</v>
      </c>
      <c r="C57" s="1115" t="s">
        <v>2158</v>
      </c>
      <c r="D57" s="1473">
        <v>4.4000000000000004</v>
      </c>
      <c r="E57" s="1474">
        <v>4.13</v>
      </c>
      <c r="F57" s="1375">
        <f t="shared" si="27"/>
        <v>18.172000000000001</v>
      </c>
      <c r="G57" s="1376">
        <f t="shared" si="28"/>
        <v>17.060000000000002</v>
      </c>
      <c r="H57" s="1377">
        <f>+E57</f>
        <v>4.13</v>
      </c>
      <c r="I57" s="1378">
        <f t="shared" si="20"/>
        <v>12.930000000000003</v>
      </c>
      <c r="J57" s="1376">
        <v>2.6</v>
      </c>
      <c r="K57" s="1410"/>
      <c r="L57" s="1426">
        <v>4.4000000000000004</v>
      </c>
      <c r="M57" s="1382"/>
      <c r="N57" s="1412"/>
      <c r="O57" s="1413"/>
      <c r="P57" s="1414"/>
      <c r="Q57" s="1412">
        <f>+F57</f>
        <v>18.172000000000001</v>
      </c>
      <c r="R57" s="1413"/>
      <c r="S57" s="1415"/>
      <c r="T57" s="1382"/>
      <c r="U57" s="1078"/>
      <c r="V57" s="1079"/>
      <c r="W57" s="1079"/>
      <c r="X57" s="1080"/>
      <c r="Y57" s="1081"/>
      <c r="Z57" s="1079">
        <f>+I57*J57</f>
        <v>33.618000000000009</v>
      </c>
      <c r="AA57" s="1137">
        <f>+AB57*J57</f>
        <v>5.2</v>
      </c>
      <c r="AB57" s="1129">
        <v>2</v>
      </c>
      <c r="AC57" s="1382"/>
      <c r="AD57" s="1093"/>
      <c r="AE57" s="1094"/>
      <c r="AF57" s="1095"/>
      <c r="AG57" s="1095"/>
      <c r="AH57" s="1095"/>
      <c r="AI57" s="1095"/>
      <c r="AJ57" s="1098"/>
      <c r="AK57" s="1363"/>
      <c r="AL57" s="1097"/>
      <c r="AM57" s="1095"/>
      <c r="AN57" s="1095"/>
      <c r="AO57" s="1095"/>
      <c r="AP57" s="1100">
        <f>+L57</f>
        <v>4.4000000000000004</v>
      </c>
      <c r="AQ57" s="1096"/>
      <c r="AR57" s="1097">
        <f>+F57</f>
        <v>18.172000000000001</v>
      </c>
      <c r="AS57" s="1095">
        <f>+G57</f>
        <v>17.060000000000002</v>
      </c>
      <c r="AT57" s="1098"/>
      <c r="AU57" s="1416"/>
      <c r="AV57" s="1363"/>
      <c r="AW57" s="1078"/>
      <c r="AX57" s="1080"/>
      <c r="AY57" s="1080"/>
      <c r="AZ57" s="1080"/>
      <c r="BA57" s="1081"/>
      <c r="BB57" s="1388">
        <v>1</v>
      </c>
      <c r="BC57" s="1363"/>
      <c r="BD57" s="1417"/>
      <c r="BE57" s="1418"/>
      <c r="BF57" s="1418">
        <f>+F57</f>
        <v>18.172000000000001</v>
      </c>
      <c r="BG57" s="1418"/>
      <c r="BH57" s="1418"/>
      <c r="BI57" s="1418"/>
      <c r="BJ57" s="1419"/>
      <c r="BK57" s="1659"/>
      <c r="BL57" s="1078">
        <f>+I57</f>
        <v>12.930000000000003</v>
      </c>
      <c r="BM57" s="1080"/>
      <c r="BN57" s="1099"/>
      <c r="BO57" s="1081"/>
      <c r="BP57" s="1086"/>
      <c r="BQ57" s="1078"/>
      <c r="BR57" s="1080"/>
      <c r="BS57" s="1099"/>
      <c r="BT57" s="1078"/>
      <c r="BU57" s="1080">
        <f>+I57*J57</f>
        <v>33.618000000000009</v>
      </c>
      <c r="BV57" s="1081"/>
      <c r="BW57" s="1113">
        <f>+AP57</f>
        <v>4.4000000000000004</v>
      </c>
      <c r="BX57" s="1080">
        <f>+F57</f>
        <v>18.172000000000001</v>
      </c>
      <c r="BY57" s="1099"/>
      <c r="BZ57" s="1081"/>
      <c r="CA57" s="1397"/>
      <c r="CB57" s="1078"/>
      <c r="CC57" s="1080"/>
      <c r="CD57" s="1080"/>
      <c r="CE57" s="1078">
        <v>2</v>
      </c>
      <c r="CF57" s="1079"/>
      <c r="CG57" s="1080"/>
      <c r="CH57" s="1080"/>
      <c r="CI57" s="1080"/>
      <c r="CJ57" s="1080"/>
      <c r="CK57" s="1080">
        <v>1</v>
      </c>
      <c r="CL57" s="1080"/>
      <c r="CM57" s="1080">
        <v>4</v>
      </c>
      <c r="CN57" s="1080"/>
      <c r="CO57" s="1080"/>
      <c r="CP57" s="1080">
        <v>1</v>
      </c>
      <c r="CQ57" s="1080"/>
      <c r="CR57" s="1080"/>
      <c r="CS57" s="1080"/>
      <c r="CT57" s="1080"/>
      <c r="CU57" s="1081"/>
      <c r="CV57" s="1079"/>
      <c r="CW57" s="1080"/>
      <c r="CX57" s="1080">
        <v>1</v>
      </c>
      <c r="CY57" s="1091"/>
      <c r="CZ57" s="1417"/>
      <c r="DA57" s="1418"/>
      <c r="DB57" s="1418"/>
      <c r="DC57" s="1418"/>
      <c r="DD57" s="1419"/>
      <c r="DE57" s="1417"/>
      <c r="DF57" s="1418"/>
      <c r="DG57" s="1418"/>
      <c r="DH57" s="1418"/>
      <c r="DI57" s="1419"/>
    </row>
    <row r="58" spans="1:113" s="1341" customFormat="1" ht="13">
      <c r="A58" s="2075"/>
      <c r="B58" s="1471">
        <v>49</v>
      </c>
      <c r="C58" s="1115" t="s">
        <v>2152</v>
      </c>
      <c r="D58" s="1473"/>
      <c r="E58" s="1474"/>
      <c r="F58" s="1431">
        <v>3.18</v>
      </c>
      <c r="G58" s="1425">
        <v>7.52</v>
      </c>
      <c r="H58" s="1377">
        <v>0</v>
      </c>
      <c r="I58" s="1378">
        <f t="shared" si="20"/>
        <v>7.52</v>
      </c>
      <c r="J58" s="1376">
        <v>2.2999999999999998</v>
      </c>
      <c r="K58" s="1410">
        <v>2.2999999999999998</v>
      </c>
      <c r="L58" s="1426"/>
      <c r="M58" s="1382"/>
      <c r="N58" s="1412"/>
      <c r="O58" s="1413"/>
      <c r="P58" s="1414"/>
      <c r="Q58" s="1412"/>
      <c r="R58" s="1413">
        <f>+F58</f>
        <v>3.18</v>
      </c>
      <c r="S58" s="1415">
        <f>+F58</f>
        <v>3.18</v>
      </c>
      <c r="T58" s="1382"/>
      <c r="U58" s="1078"/>
      <c r="V58" s="1079"/>
      <c r="W58" s="1079"/>
      <c r="X58" s="1080">
        <f>+I58*J58</f>
        <v>17.295999999999999</v>
      </c>
      <c r="Y58" s="1081"/>
      <c r="Z58" s="1079"/>
      <c r="AA58" s="1080"/>
      <c r="AB58" s="1081"/>
      <c r="AC58" s="1382"/>
      <c r="AD58" s="1093">
        <f>+F58</f>
        <v>3.18</v>
      </c>
      <c r="AE58" s="1094">
        <f>+G58</f>
        <v>7.52</v>
      </c>
      <c r="AF58" s="1095"/>
      <c r="AG58" s="1095"/>
      <c r="AH58" s="1095"/>
      <c r="AI58" s="1095"/>
      <c r="AJ58" s="1098"/>
      <c r="AK58" s="1363"/>
      <c r="AL58" s="1097"/>
      <c r="AM58" s="1095">
        <f>+F58</f>
        <v>3.18</v>
      </c>
      <c r="AN58" s="1095">
        <f>+G58</f>
        <v>7.52</v>
      </c>
      <c r="AO58" s="1095"/>
      <c r="AP58" s="1095"/>
      <c r="AQ58" s="1096"/>
      <c r="AR58" s="1097"/>
      <c r="AS58" s="1095"/>
      <c r="AT58" s="1098"/>
      <c r="AU58" s="1416"/>
      <c r="AV58" s="1363"/>
      <c r="AW58" s="1078"/>
      <c r="AX58" s="1080"/>
      <c r="AY58" s="1080">
        <v>1</v>
      </c>
      <c r="AZ58" s="1080"/>
      <c r="BA58" s="1081"/>
      <c r="BB58" s="1388">
        <v>1</v>
      </c>
      <c r="BC58" s="1363"/>
      <c r="BD58" s="1417"/>
      <c r="BE58" s="1418"/>
      <c r="BF58" s="1418"/>
      <c r="BG58" s="1418">
        <f>+F58</f>
        <v>3.18</v>
      </c>
      <c r="BH58" s="1418"/>
      <c r="BI58" s="1418"/>
      <c r="BJ58" s="1419"/>
      <c r="BK58" s="1659"/>
      <c r="BL58" s="1078"/>
      <c r="BM58" s="1080"/>
      <c r="BN58" s="1099"/>
      <c r="BO58" s="1081"/>
      <c r="BP58" s="1086"/>
      <c r="BQ58" s="1078"/>
      <c r="BR58" s="1080">
        <f>+I58*K58</f>
        <v>17.295999999999999</v>
      </c>
      <c r="BS58" s="1099"/>
      <c r="BT58" s="1078"/>
      <c r="BU58" s="1080"/>
      <c r="BV58" s="1081"/>
      <c r="BW58" s="1080">
        <f>+F58</f>
        <v>3.18</v>
      </c>
      <c r="BX58" s="1080"/>
      <c r="BY58" s="1099"/>
      <c r="BZ58" s="1081"/>
      <c r="CA58" s="1397"/>
      <c r="CB58" s="1078"/>
      <c r="CC58" s="1080"/>
      <c r="CD58" s="1080"/>
      <c r="CE58" s="1078">
        <v>1</v>
      </c>
      <c r="CF58" s="1079">
        <v>1</v>
      </c>
      <c r="CG58" s="1080"/>
      <c r="CH58" s="1080"/>
      <c r="CI58" s="1080"/>
      <c r="CJ58" s="1080">
        <v>1</v>
      </c>
      <c r="CK58" s="1080"/>
      <c r="CL58" s="1080"/>
      <c r="CM58" s="1080">
        <v>1</v>
      </c>
      <c r="CN58" s="1080"/>
      <c r="CO58" s="1080"/>
      <c r="CP58" s="1080"/>
      <c r="CQ58" s="1080"/>
      <c r="CR58" s="1080"/>
      <c r="CS58" s="1080"/>
      <c r="CT58" s="1080"/>
      <c r="CU58" s="1081"/>
      <c r="CV58" s="1079"/>
      <c r="CW58" s="1080"/>
      <c r="CX58" s="1080"/>
      <c r="CY58" s="1091"/>
      <c r="CZ58" s="1417"/>
      <c r="DA58" s="1418"/>
      <c r="DB58" s="1418"/>
      <c r="DC58" s="1418"/>
      <c r="DD58" s="1419"/>
      <c r="DE58" s="1417"/>
      <c r="DF58" s="1418"/>
      <c r="DG58" s="1418"/>
      <c r="DH58" s="1418"/>
      <c r="DI58" s="1419"/>
    </row>
    <row r="59" spans="1:113" s="1341" customFormat="1" ht="13">
      <c r="A59" s="2075"/>
      <c r="B59" s="1561">
        <v>50</v>
      </c>
      <c r="C59" s="1115" t="s">
        <v>2159</v>
      </c>
      <c r="D59" s="1506">
        <v>3.98</v>
      </c>
      <c r="E59" s="1507">
        <v>2.5099999999999998</v>
      </c>
      <c r="F59" s="1375">
        <f t="shared" ref="F59:F60" si="29">D59*E59</f>
        <v>9.9897999999999989</v>
      </c>
      <c r="G59" s="1376">
        <f t="shared" ref="G59:G60" si="30">+D59*2+E59*2</f>
        <v>12.98</v>
      </c>
      <c r="H59" s="1508">
        <v>0</v>
      </c>
      <c r="I59" s="1378">
        <f t="shared" si="20"/>
        <v>12.98</v>
      </c>
      <c r="J59" s="1376">
        <v>2.6</v>
      </c>
      <c r="K59" s="1509"/>
      <c r="L59" s="1510"/>
      <c r="M59" s="1382"/>
      <c r="N59" s="1511"/>
      <c r="O59" s="1512"/>
      <c r="P59" s="1513"/>
      <c r="Q59" s="1511">
        <f>+F59</f>
        <v>9.9897999999999989</v>
      </c>
      <c r="R59" s="1512"/>
      <c r="S59" s="1415"/>
      <c r="T59" s="1382"/>
      <c r="U59" s="1138"/>
      <c r="V59" s="1433"/>
      <c r="W59" s="1433"/>
      <c r="X59" s="1139"/>
      <c r="Y59" s="1140"/>
      <c r="Z59" s="1433">
        <f>+I59*J59</f>
        <v>33.748000000000005</v>
      </c>
      <c r="AA59" s="1139">
        <f>+AB59*J59</f>
        <v>2.6</v>
      </c>
      <c r="AB59" s="1140">
        <v>1</v>
      </c>
      <c r="AC59" s="1382"/>
      <c r="AD59" s="1515"/>
      <c r="AE59" s="1516"/>
      <c r="AF59" s="1435"/>
      <c r="AG59" s="1435"/>
      <c r="AH59" s="1435"/>
      <c r="AI59" s="1435"/>
      <c r="AJ59" s="1437"/>
      <c r="AK59" s="1363"/>
      <c r="AL59" s="1434"/>
      <c r="AM59" s="1435"/>
      <c r="AN59" s="1435"/>
      <c r="AO59" s="1435"/>
      <c r="AP59" s="1435"/>
      <c r="AQ59" s="1436"/>
      <c r="AR59" s="1434">
        <f>+F59</f>
        <v>9.9897999999999989</v>
      </c>
      <c r="AS59" s="1095">
        <f>+G59</f>
        <v>12.98</v>
      </c>
      <c r="AT59" s="1437"/>
      <c r="AU59" s="1438"/>
      <c r="AV59" s="1363"/>
      <c r="AW59" s="1138"/>
      <c r="AX59" s="1139"/>
      <c r="AY59" s="1139">
        <v>1</v>
      </c>
      <c r="AZ59" s="1139"/>
      <c r="BA59" s="1140"/>
      <c r="BB59" s="1439">
        <v>1</v>
      </c>
      <c r="BC59" s="1363"/>
      <c r="BD59" s="1417"/>
      <c r="BE59" s="1418"/>
      <c r="BF59" s="1418">
        <f>+F59</f>
        <v>9.9897999999999989</v>
      </c>
      <c r="BG59" s="1418"/>
      <c r="BH59" s="1418"/>
      <c r="BI59" s="1418"/>
      <c r="BJ59" s="1419"/>
      <c r="BK59" s="1659"/>
      <c r="BL59" s="1078">
        <f>+I59</f>
        <v>12.98</v>
      </c>
      <c r="BM59" s="1080"/>
      <c r="BN59" s="1099"/>
      <c r="BO59" s="1081"/>
      <c r="BP59" s="1086"/>
      <c r="BQ59" s="1138"/>
      <c r="BR59" s="1139"/>
      <c r="BS59" s="1440"/>
      <c r="BT59" s="1138"/>
      <c r="BU59" s="1080">
        <f>+I59*J59</f>
        <v>33.748000000000005</v>
      </c>
      <c r="BV59" s="1140"/>
      <c r="BW59" s="1139"/>
      <c r="BX59" s="1080">
        <f>+F59</f>
        <v>9.9897999999999989</v>
      </c>
      <c r="BY59" s="1440"/>
      <c r="BZ59" s="1140"/>
      <c r="CA59" s="1397"/>
      <c r="CB59" s="1078"/>
      <c r="CC59" s="1080"/>
      <c r="CD59" s="1080"/>
      <c r="CE59" s="1138">
        <v>1</v>
      </c>
      <c r="CF59" s="1433"/>
      <c r="CG59" s="1139"/>
      <c r="CH59" s="1139"/>
      <c r="CI59" s="1139">
        <v>1</v>
      </c>
      <c r="CJ59" s="1139"/>
      <c r="CK59" s="1139"/>
      <c r="CL59" s="1139"/>
      <c r="CM59" s="1139">
        <v>3</v>
      </c>
      <c r="CN59" s="1139"/>
      <c r="CO59" s="1139"/>
      <c r="CP59" s="1139">
        <v>1</v>
      </c>
      <c r="CQ59" s="1139"/>
      <c r="CR59" s="1139"/>
      <c r="CS59" s="1139"/>
      <c r="CT59" s="1139"/>
      <c r="CU59" s="1140"/>
      <c r="CV59" s="1433"/>
      <c r="CW59" s="1139"/>
      <c r="CX59" s="1139">
        <v>1</v>
      </c>
      <c r="CY59" s="1091"/>
      <c r="CZ59" s="1502"/>
      <c r="DA59" s="1503"/>
      <c r="DB59" s="1503"/>
      <c r="DC59" s="1503"/>
      <c r="DD59" s="1504"/>
      <c r="DE59" s="1502"/>
      <c r="DF59" s="1503"/>
      <c r="DG59" s="1503"/>
      <c r="DH59" s="1503"/>
      <c r="DI59" s="1504"/>
    </row>
    <row r="60" spans="1:113" s="1341" customFormat="1" ht="13">
      <c r="A60" s="2075"/>
      <c r="B60" s="1448">
        <v>51</v>
      </c>
      <c r="C60" s="1127" t="s">
        <v>2154</v>
      </c>
      <c r="D60" s="1449">
        <v>3.96</v>
      </c>
      <c r="E60" s="1450">
        <v>1.3</v>
      </c>
      <c r="F60" s="1482">
        <f t="shared" si="29"/>
        <v>5.1479999999999997</v>
      </c>
      <c r="G60" s="1455">
        <f t="shared" si="30"/>
        <v>10.52</v>
      </c>
      <c r="H60" s="1453">
        <f>+D60+(E60*2)</f>
        <v>6.5600000000000005</v>
      </c>
      <c r="I60" s="1454">
        <f t="shared" si="20"/>
        <v>3.9599999999999991</v>
      </c>
      <c r="J60" s="1455">
        <v>2.6</v>
      </c>
      <c r="K60" s="1456"/>
      <c r="L60" s="1483"/>
      <c r="M60" s="1382"/>
      <c r="N60" s="1457"/>
      <c r="O60" s="1458"/>
      <c r="P60" s="1459"/>
      <c r="Q60" s="1457"/>
      <c r="R60" s="1458">
        <f>+F60</f>
        <v>5.1479999999999997</v>
      </c>
      <c r="S60" s="1415">
        <f>+F60</f>
        <v>5.1479999999999997</v>
      </c>
      <c r="T60" s="1382"/>
      <c r="U60" s="1105"/>
      <c r="V60" s="1109"/>
      <c r="W60" s="1109"/>
      <c r="X60" s="1106"/>
      <c r="Y60" s="1108"/>
      <c r="Z60" s="1109"/>
      <c r="AA60" s="1106"/>
      <c r="AB60" s="1108"/>
      <c r="AC60" s="1382"/>
      <c r="AD60" s="1120"/>
      <c r="AE60" s="1121"/>
      <c r="AF60" s="1101"/>
      <c r="AG60" s="1101"/>
      <c r="AH60" s="1101"/>
      <c r="AI60" s="1101">
        <f>+F60</f>
        <v>5.1479999999999997</v>
      </c>
      <c r="AJ60" s="1104">
        <f>+G60</f>
        <v>10.52</v>
      </c>
      <c r="AK60" s="1363"/>
      <c r="AL60" s="1103"/>
      <c r="AM60" s="1101"/>
      <c r="AN60" s="1101"/>
      <c r="AO60" s="1101"/>
      <c r="AP60" s="1101"/>
      <c r="AQ60" s="1102"/>
      <c r="AR60" s="1103"/>
      <c r="AS60" s="1101"/>
      <c r="AT60" s="1104"/>
      <c r="AU60" s="1461"/>
      <c r="AV60" s="1363"/>
      <c r="AW60" s="1105"/>
      <c r="AX60" s="1106"/>
      <c r="AY60" s="1106"/>
      <c r="AZ60" s="1106"/>
      <c r="BA60" s="1108"/>
      <c r="BB60" s="1462"/>
      <c r="BC60" s="1363"/>
      <c r="BD60" s="1463"/>
      <c r="BE60" s="1464"/>
      <c r="BF60" s="1464">
        <f>+F60</f>
        <v>5.1479999999999997</v>
      </c>
      <c r="BG60" s="1464"/>
      <c r="BH60" s="1464"/>
      <c r="BI60" s="1464"/>
      <c r="BJ60" s="1465"/>
      <c r="BK60" s="1660"/>
      <c r="BL60" s="1105"/>
      <c r="BM60" s="1106"/>
      <c r="BN60" s="1107">
        <f>+G60</f>
        <v>10.52</v>
      </c>
      <c r="BO60" s="1108"/>
      <c r="BP60" s="1086"/>
      <c r="BQ60" s="1105"/>
      <c r="BR60" s="1106"/>
      <c r="BS60" s="1107"/>
      <c r="BT60" s="1105"/>
      <c r="BU60" s="1106"/>
      <c r="BV60" s="1108"/>
      <c r="BW60" s="1106"/>
      <c r="BX60" s="1106"/>
      <c r="BY60" s="1107">
        <v>0</v>
      </c>
      <c r="BZ60" s="1108"/>
      <c r="CA60" s="1397"/>
      <c r="CB60" s="1105"/>
      <c r="CC60" s="1106">
        <v>1</v>
      </c>
      <c r="CD60" s="1106"/>
      <c r="CE60" s="1105"/>
      <c r="CF60" s="1109">
        <v>1</v>
      </c>
      <c r="CG60" s="1106"/>
      <c r="CH60" s="1106"/>
      <c r="CI60" s="1106"/>
      <c r="CJ60" s="1106"/>
      <c r="CK60" s="1106"/>
      <c r="CL60" s="1106"/>
      <c r="CM60" s="1106"/>
      <c r="CN60" s="1106"/>
      <c r="CO60" s="1106"/>
      <c r="CP60" s="1106"/>
      <c r="CQ60" s="1106"/>
      <c r="CR60" s="1106"/>
      <c r="CS60" s="1106"/>
      <c r="CT60" s="1106"/>
      <c r="CU60" s="1108"/>
      <c r="CV60" s="1109"/>
      <c r="CW60" s="1106"/>
      <c r="CX60" s="1106"/>
      <c r="CY60" s="1091"/>
      <c r="CZ60" s="1463"/>
      <c r="DA60" s="1464"/>
      <c r="DB60" s="1464"/>
      <c r="DC60" s="1464"/>
      <c r="DD60" s="1465"/>
      <c r="DE60" s="1463"/>
      <c r="DF60" s="1464"/>
      <c r="DG60" s="1464"/>
      <c r="DH60" s="1464"/>
      <c r="DI60" s="1465"/>
    </row>
    <row r="61" spans="1:113" s="1341" customFormat="1" ht="13">
      <c r="A61" s="2075"/>
      <c r="B61" s="1441">
        <v>52</v>
      </c>
      <c r="C61" s="1562" t="s">
        <v>2155</v>
      </c>
      <c r="D61" s="1442"/>
      <c r="E61" s="1443"/>
      <c r="F61" s="1485">
        <v>23.53</v>
      </c>
      <c r="G61" s="1486">
        <v>22.25</v>
      </c>
      <c r="H61" s="1563">
        <v>0</v>
      </c>
      <c r="I61" s="1564">
        <f t="shared" si="20"/>
        <v>22.25</v>
      </c>
      <c r="J61" s="1489">
        <v>2.6</v>
      </c>
      <c r="K61" s="1380">
        <v>0.9</v>
      </c>
      <c r="L61" s="1381">
        <v>3</v>
      </c>
      <c r="M61" s="1382"/>
      <c r="N61" s="1383"/>
      <c r="O61" s="1384"/>
      <c r="P61" s="1385"/>
      <c r="Q61" s="1383">
        <f>+F61</f>
        <v>23.53</v>
      </c>
      <c r="R61" s="1384"/>
      <c r="S61" s="1386"/>
      <c r="T61" s="1382"/>
      <c r="U61" s="1085"/>
      <c r="V61" s="1090"/>
      <c r="W61" s="1090"/>
      <c r="X61" s="1492">
        <f>+L61*J61</f>
        <v>7.8000000000000007</v>
      </c>
      <c r="Y61" s="1089"/>
      <c r="Z61" s="1494">
        <f>(I61*J61)-X61</f>
        <v>50.05</v>
      </c>
      <c r="AA61" s="1559">
        <f>+AB61*J61</f>
        <v>5.2</v>
      </c>
      <c r="AB61" s="1560">
        <v>2</v>
      </c>
      <c r="AC61" s="1382"/>
      <c r="AD61" s="1130"/>
      <c r="AE61" s="1131"/>
      <c r="AF61" s="1132"/>
      <c r="AG61" s="1132"/>
      <c r="AH61" s="1132"/>
      <c r="AI61" s="1132"/>
      <c r="AJ61" s="1134"/>
      <c r="AK61" s="1363"/>
      <c r="AL61" s="1135"/>
      <c r="AM61" s="1132"/>
      <c r="AN61" s="1495">
        <f>(AP61*2)+(0.6*2)</f>
        <v>5.6000000000000005</v>
      </c>
      <c r="AO61" s="1083"/>
      <c r="AP61" s="1495">
        <v>2.2000000000000002</v>
      </c>
      <c r="AQ61" s="1133"/>
      <c r="AR61" s="1135">
        <f>+F61</f>
        <v>23.53</v>
      </c>
      <c r="AS61" s="1132"/>
      <c r="AT61" s="1134"/>
      <c r="AU61" s="1466"/>
      <c r="AV61" s="1363"/>
      <c r="AW61" s="1085">
        <v>1</v>
      </c>
      <c r="AX61" s="1087"/>
      <c r="AY61" s="1087"/>
      <c r="AZ61" s="1087"/>
      <c r="BA61" s="1089"/>
      <c r="BB61" s="1405">
        <v>1</v>
      </c>
      <c r="BC61" s="1363"/>
      <c r="BD61" s="1468"/>
      <c r="BE61" s="1469"/>
      <c r="BF61" s="1469">
        <f>+F61</f>
        <v>23.53</v>
      </c>
      <c r="BG61" s="1469"/>
      <c r="BH61" s="1469"/>
      <c r="BI61" s="1469"/>
      <c r="BJ61" s="1470"/>
      <c r="BK61" s="1661">
        <v>1</v>
      </c>
      <c r="BL61" s="1112">
        <f>+G61</f>
        <v>22.25</v>
      </c>
      <c r="BM61" s="1124"/>
      <c r="BN61" s="1136"/>
      <c r="BO61" s="1125"/>
      <c r="BP61" s="1086"/>
      <c r="BQ61" s="1112">
        <f>+L61*K61</f>
        <v>2.7</v>
      </c>
      <c r="BR61" s="1124"/>
      <c r="BS61" s="1136"/>
      <c r="BT61" s="1496">
        <f>(L61*J61)-BQ61</f>
        <v>5.1000000000000005</v>
      </c>
      <c r="BU61" s="1080">
        <f>+I61*J61-(BT61+BQ61)</f>
        <v>50.05</v>
      </c>
      <c r="BV61" s="1089"/>
      <c r="BW61" s="1497">
        <f>+AP61</f>
        <v>2.2000000000000002</v>
      </c>
      <c r="BX61" s="1087">
        <f>+F61</f>
        <v>23.53</v>
      </c>
      <c r="BY61" s="1088"/>
      <c r="BZ61" s="1089"/>
      <c r="CA61" s="1397"/>
      <c r="CB61" s="1085"/>
      <c r="CC61" s="1087"/>
      <c r="CD61" s="1087"/>
      <c r="CE61" s="1112">
        <v>3</v>
      </c>
      <c r="CF61" s="1123"/>
      <c r="CG61" s="1124">
        <v>1</v>
      </c>
      <c r="CH61" s="1124"/>
      <c r="CI61" s="1124">
        <v>1</v>
      </c>
      <c r="CJ61" s="1124"/>
      <c r="CK61" s="1124">
        <v>2</v>
      </c>
      <c r="CL61" s="1124">
        <v>3</v>
      </c>
      <c r="CM61" s="1124">
        <v>6</v>
      </c>
      <c r="CN61" s="1124"/>
      <c r="CO61" s="1124">
        <v>2</v>
      </c>
      <c r="CP61" s="1124">
        <v>1</v>
      </c>
      <c r="CQ61" s="1124">
        <v>1</v>
      </c>
      <c r="CR61" s="1124"/>
      <c r="CS61" s="1124"/>
      <c r="CT61" s="1124"/>
      <c r="CU61" s="1125"/>
      <c r="CV61" s="1123"/>
      <c r="CW61" s="1124"/>
      <c r="CX61" s="1124"/>
      <c r="CY61" s="1091"/>
      <c r="CZ61" s="1468"/>
      <c r="DA61" s="1469"/>
      <c r="DB61" s="1469"/>
      <c r="DC61" s="1469"/>
      <c r="DD61" s="1470"/>
      <c r="DE61" s="1468"/>
      <c r="DF61" s="1469"/>
      <c r="DG61" s="1469"/>
      <c r="DH61" s="1469"/>
      <c r="DI61" s="1470"/>
    </row>
    <row r="62" spans="1:113" s="1341" customFormat="1" ht="13">
      <c r="A62" s="2075"/>
      <c r="B62" s="1471">
        <v>53</v>
      </c>
      <c r="C62" s="1115" t="s">
        <v>2156</v>
      </c>
      <c r="D62" s="1473"/>
      <c r="E62" s="1474"/>
      <c r="F62" s="1431">
        <v>3.07</v>
      </c>
      <c r="G62" s="1425">
        <v>7.52</v>
      </c>
      <c r="H62" s="1377">
        <v>0</v>
      </c>
      <c r="I62" s="1378">
        <f t="shared" si="20"/>
        <v>7.52</v>
      </c>
      <c r="J62" s="1376">
        <v>2.2999999999999998</v>
      </c>
      <c r="K62" s="1410">
        <v>2.2999999999999998</v>
      </c>
      <c r="L62" s="1426"/>
      <c r="M62" s="1382"/>
      <c r="N62" s="1412"/>
      <c r="O62" s="1413"/>
      <c r="P62" s="1414"/>
      <c r="Q62" s="1412"/>
      <c r="R62" s="1413">
        <f>+F62</f>
        <v>3.07</v>
      </c>
      <c r="S62" s="1415">
        <f>+F62</f>
        <v>3.07</v>
      </c>
      <c r="T62" s="1382"/>
      <c r="U62" s="1078"/>
      <c r="V62" s="1079"/>
      <c r="W62" s="1079"/>
      <c r="X62" s="1080">
        <f>+I62*J62</f>
        <v>17.295999999999999</v>
      </c>
      <c r="Y62" s="1081"/>
      <c r="Z62" s="1079"/>
      <c r="AA62" s="1080"/>
      <c r="AB62" s="1081"/>
      <c r="AC62" s="1382"/>
      <c r="AD62" s="1093">
        <f>+F62</f>
        <v>3.07</v>
      </c>
      <c r="AE62" s="1094">
        <f>+G62</f>
        <v>7.52</v>
      </c>
      <c r="AF62" s="1095"/>
      <c r="AG62" s="1095"/>
      <c r="AH62" s="1095"/>
      <c r="AI62" s="1095"/>
      <c r="AJ62" s="1098"/>
      <c r="AK62" s="1363"/>
      <c r="AL62" s="1097"/>
      <c r="AM62" s="1095">
        <f>+F62</f>
        <v>3.07</v>
      </c>
      <c r="AN62" s="1095">
        <f>+G62</f>
        <v>7.52</v>
      </c>
      <c r="AO62" s="1095"/>
      <c r="AP62" s="1095"/>
      <c r="AQ62" s="1096"/>
      <c r="AR62" s="1097"/>
      <c r="AS62" s="1095"/>
      <c r="AT62" s="1098"/>
      <c r="AU62" s="1416"/>
      <c r="AV62" s="1363"/>
      <c r="AW62" s="1078"/>
      <c r="AX62" s="1080"/>
      <c r="AY62" s="1080">
        <v>1</v>
      </c>
      <c r="AZ62" s="1080"/>
      <c r="BA62" s="1081"/>
      <c r="BB62" s="1388"/>
      <c r="BC62" s="1363"/>
      <c r="BD62" s="1417"/>
      <c r="BE62" s="1469"/>
      <c r="BF62" s="1469"/>
      <c r="BG62" s="1418">
        <f>+F62</f>
        <v>3.07</v>
      </c>
      <c r="BH62" s="1418"/>
      <c r="BI62" s="1418"/>
      <c r="BJ62" s="1419"/>
      <c r="BK62" s="1659"/>
      <c r="BL62" s="1078"/>
      <c r="BM62" s="1080"/>
      <c r="BN62" s="1099"/>
      <c r="BO62" s="1081"/>
      <c r="BP62" s="1086"/>
      <c r="BQ62" s="1078"/>
      <c r="BR62" s="1080">
        <f>+I62*K62</f>
        <v>17.295999999999999</v>
      </c>
      <c r="BS62" s="1099"/>
      <c r="BT62" s="1078"/>
      <c r="BU62" s="1080"/>
      <c r="BV62" s="1081"/>
      <c r="BW62" s="1080">
        <f>+F62</f>
        <v>3.07</v>
      </c>
      <c r="BX62" s="1499"/>
      <c r="BY62" s="1648"/>
      <c r="BZ62" s="1500"/>
      <c r="CA62" s="1397"/>
      <c r="CB62" s="1078">
        <v>1</v>
      </c>
      <c r="CC62" s="1080"/>
      <c r="CD62" s="1080"/>
      <c r="CE62" s="1078">
        <v>1</v>
      </c>
      <c r="CF62" s="1079">
        <v>1</v>
      </c>
      <c r="CG62" s="1080"/>
      <c r="CH62" s="1080"/>
      <c r="CI62" s="1080"/>
      <c r="CJ62" s="1080"/>
      <c r="CK62" s="1080">
        <v>1</v>
      </c>
      <c r="CL62" s="1080"/>
      <c r="CM62" s="1080">
        <v>1</v>
      </c>
      <c r="CN62" s="1080"/>
      <c r="CO62" s="1080"/>
      <c r="CP62" s="1080"/>
      <c r="CQ62" s="1080"/>
      <c r="CR62" s="1080"/>
      <c r="CS62" s="1080"/>
      <c r="CT62" s="1080"/>
      <c r="CU62" s="1081"/>
      <c r="CV62" s="1079"/>
      <c r="CW62" s="1080"/>
      <c r="CX62" s="1080">
        <v>1</v>
      </c>
      <c r="CY62" s="1091"/>
      <c r="CZ62" s="1417"/>
      <c r="DA62" s="1418"/>
      <c r="DB62" s="1418"/>
      <c r="DC62" s="1418"/>
      <c r="DD62" s="1419"/>
      <c r="DE62" s="1417"/>
      <c r="DF62" s="1418"/>
      <c r="DG62" s="1418"/>
      <c r="DH62" s="1418"/>
      <c r="DI62" s="1419"/>
    </row>
    <row r="63" spans="1:113" s="1341" customFormat="1" ht="13">
      <c r="A63" s="2075"/>
      <c r="B63" s="1561">
        <v>54</v>
      </c>
      <c r="C63" s="1505" t="s">
        <v>2160</v>
      </c>
      <c r="D63" s="1449">
        <v>3.35</v>
      </c>
      <c r="E63" s="1450">
        <v>1.3</v>
      </c>
      <c r="F63" s="1482">
        <f t="shared" ref="F63:F74" si="31">D63*E63</f>
        <v>4.3550000000000004</v>
      </c>
      <c r="G63" s="1455">
        <f t="shared" ref="G63" si="32">+D63*2+E63*2</f>
        <v>9.3000000000000007</v>
      </c>
      <c r="H63" s="1453">
        <f>+D63+(E63*2)</f>
        <v>5.95</v>
      </c>
      <c r="I63" s="1454">
        <f t="shared" si="20"/>
        <v>3.3500000000000005</v>
      </c>
      <c r="J63" s="1455">
        <v>2.6</v>
      </c>
      <c r="K63" s="1456"/>
      <c r="L63" s="1483"/>
      <c r="M63" s="1533"/>
      <c r="N63" s="1511"/>
      <c r="O63" s="1512"/>
      <c r="P63" s="1513"/>
      <c r="Q63" s="1511"/>
      <c r="R63" s="1512">
        <f>+F63</f>
        <v>4.3550000000000004</v>
      </c>
      <c r="S63" s="1415">
        <f>+F63</f>
        <v>4.3550000000000004</v>
      </c>
      <c r="T63" s="1533"/>
      <c r="U63" s="1105"/>
      <c r="V63" s="1109"/>
      <c r="W63" s="1109"/>
      <c r="X63" s="1106"/>
      <c r="Y63" s="1108"/>
      <c r="Z63" s="1109"/>
      <c r="AA63" s="1106"/>
      <c r="AB63" s="1108"/>
      <c r="AC63" s="1533"/>
      <c r="AD63" s="1515"/>
      <c r="AE63" s="1516"/>
      <c r="AF63" s="1435"/>
      <c r="AG63" s="1435"/>
      <c r="AH63" s="1435"/>
      <c r="AI63" s="1101">
        <f>+F63</f>
        <v>4.3550000000000004</v>
      </c>
      <c r="AJ63" s="1104">
        <f>+G63</f>
        <v>9.3000000000000007</v>
      </c>
      <c r="AK63" s="1359"/>
      <c r="AL63" s="1434"/>
      <c r="AM63" s="1435"/>
      <c r="AN63" s="1435"/>
      <c r="AO63" s="1435"/>
      <c r="AP63" s="1435"/>
      <c r="AQ63" s="1436"/>
      <c r="AR63" s="1434"/>
      <c r="AS63" s="1435"/>
      <c r="AT63" s="1437"/>
      <c r="AU63" s="1461"/>
      <c r="AV63" s="1533"/>
      <c r="AW63" s="1138"/>
      <c r="AX63" s="1139"/>
      <c r="AY63" s="1139"/>
      <c r="AZ63" s="1139"/>
      <c r="BA63" s="1140"/>
      <c r="BB63" s="1439"/>
      <c r="BC63" s="1363"/>
      <c r="BD63" s="1502"/>
      <c r="BE63" s="1517"/>
      <c r="BF63" s="1517">
        <f>+F63</f>
        <v>4.3550000000000004</v>
      </c>
      <c r="BG63" s="1503"/>
      <c r="BH63" s="1503"/>
      <c r="BI63" s="1503"/>
      <c r="BJ63" s="1504"/>
      <c r="BK63" s="1663"/>
      <c r="BL63" s="1138"/>
      <c r="BM63" s="1139"/>
      <c r="BN63" s="1440">
        <f>+G63</f>
        <v>9.3000000000000007</v>
      </c>
      <c r="BO63" s="1140"/>
      <c r="BP63" s="1091"/>
      <c r="BQ63" s="1138"/>
      <c r="BR63" s="1139"/>
      <c r="BS63" s="1440"/>
      <c r="BT63" s="1138"/>
      <c r="BU63" s="1139"/>
      <c r="BV63" s="1140"/>
      <c r="BW63" s="1139"/>
      <c r="BX63" s="1534"/>
      <c r="BY63" s="1649">
        <v>0</v>
      </c>
      <c r="BZ63" s="1565"/>
      <c r="CA63" s="1091"/>
      <c r="CB63" s="1138"/>
      <c r="CC63" s="1139">
        <v>1</v>
      </c>
      <c r="CD63" s="1139"/>
      <c r="CE63" s="1105"/>
      <c r="CF63" s="1109">
        <v>1</v>
      </c>
      <c r="CG63" s="1106"/>
      <c r="CH63" s="1106"/>
      <c r="CI63" s="1106"/>
      <c r="CJ63" s="1106"/>
      <c r="CK63" s="1106"/>
      <c r="CL63" s="1106"/>
      <c r="CM63" s="1106"/>
      <c r="CN63" s="1106"/>
      <c r="CO63" s="1106"/>
      <c r="CP63" s="1106"/>
      <c r="CQ63" s="1106"/>
      <c r="CR63" s="1106"/>
      <c r="CS63" s="1106"/>
      <c r="CT63" s="1106"/>
      <c r="CU63" s="1108"/>
      <c r="CV63" s="1109"/>
      <c r="CW63" s="1106"/>
      <c r="CX63" s="1106"/>
      <c r="CY63" s="1091"/>
      <c r="CZ63" s="1502"/>
      <c r="DA63" s="1503"/>
      <c r="DB63" s="1503"/>
      <c r="DC63" s="1503"/>
      <c r="DD63" s="1504"/>
      <c r="DE63" s="1502"/>
      <c r="DF63" s="1503"/>
      <c r="DG63" s="1503"/>
      <c r="DH63" s="1503"/>
      <c r="DI63" s="1504"/>
    </row>
    <row r="64" spans="1:113" s="1341" customFormat="1" ht="13">
      <c r="A64" s="2062" t="s">
        <v>405</v>
      </c>
      <c r="B64" s="1441">
        <v>55</v>
      </c>
      <c r="C64" s="1122" t="s">
        <v>483</v>
      </c>
      <c r="D64" s="1520"/>
      <c r="E64" s="1521"/>
      <c r="F64" s="1566">
        <v>9.89</v>
      </c>
      <c r="G64" s="1567">
        <v>13.1</v>
      </c>
      <c r="H64" s="1568">
        <v>0</v>
      </c>
      <c r="I64" s="1569">
        <f t="shared" si="20"/>
        <v>13.1</v>
      </c>
      <c r="J64" s="1570">
        <v>2.8</v>
      </c>
      <c r="K64" s="1527"/>
      <c r="L64" s="1490">
        <v>2</v>
      </c>
      <c r="M64" s="1382"/>
      <c r="N64" s="1383"/>
      <c r="O64" s="1384"/>
      <c r="P64" s="1385"/>
      <c r="Q64" s="1383">
        <f>+L64</f>
        <v>2</v>
      </c>
      <c r="R64" s="1384"/>
      <c r="S64" s="1386"/>
      <c r="T64" s="1382"/>
      <c r="U64" s="1085">
        <f>+I64*J64</f>
        <v>36.68</v>
      </c>
      <c r="V64" s="1090"/>
      <c r="W64" s="1090"/>
      <c r="X64" s="1087"/>
      <c r="Y64" s="1089"/>
      <c r="Z64" s="1090"/>
      <c r="AA64" s="1087"/>
      <c r="AB64" s="1089"/>
      <c r="AC64" s="1382"/>
      <c r="AD64" s="1110"/>
      <c r="AE64" s="1111"/>
      <c r="AF64" s="1083"/>
      <c r="AG64" s="1083"/>
      <c r="AH64" s="1083"/>
      <c r="AI64" s="1083"/>
      <c r="AJ64" s="1084"/>
      <c r="AK64" s="1363"/>
      <c r="AL64" s="1082"/>
      <c r="AM64" s="1083"/>
      <c r="AN64" s="1083"/>
      <c r="AO64" s="1083"/>
      <c r="AP64" s="1446"/>
      <c r="AQ64" s="1126"/>
      <c r="AR64" s="1082"/>
      <c r="AS64" s="1083"/>
      <c r="AT64" s="1084"/>
      <c r="AU64" s="1387">
        <f>+F64</f>
        <v>9.89</v>
      </c>
      <c r="AV64" s="1363"/>
      <c r="AW64" s="1085"/>
      <c r="AX64" s="1087">
        <v>1</v>
      </c>
      <c r="AY64" s="1087"/>
      <c r="AZ64" s="1087"/>
      <c r="BA64" s="1089"/>
      <c r="BB64" s="1447"/>
      <c r="BC64" s="1363"/>
      <c r="BD64" s="1398"/>
      <c r="BE64" s="1399"/>
      <c r="BF64" s="1399"/>
      <c r="BG64" s="1399"/>
      <c r="BH64" s="1399"/>
      <c r="BI64" s="1399"/>
      <c r="BJ64" s="1400"/>
      <c r="BK64" s="1658"/>
      <c r="BL64" s="1085"/>
      <c r="BM64" s="1087"/>
      <c r="BN64" s="1088"/>
      <c r="BO64" s="1089"/>
      <c r="BP64" s="1086"/>
      <c r="BQ64" s="1085"/>
      <c r="BR64" s="1087"/>
      <c r="BS64" s="1088"/>
      <c r="BT64" s="1085"/>
      <c r="BU64" s="1087"/>
      <c r="BV64" s="1089">
        <f>+I64*J64</f>
        <v>36.68</v>
      </c>
      <c r="BW64" s="1087"/>
      <c r="BX64" s="1087"/>
      <c r="BY64" s="1088"/>
      <c r="BZ64" s="1089">
        <f>+F64</f>
        <v>9.89</v>
      </c>
      <c r="CA64" s="1397"/>
      <c r="CB64" s="1085"/>
      <c r="CC64" s="1087">
        <v>2</v>
      </c>
      <c r="CD64" s="1087">
        <v>1</v>
      </c>
      <c r="CE64" s="1085">
        <v>3</v>
      </c>
      <c r="CF64" s="1090"/>
      <c r="CG64" s="1087"/>
      <c r="CH64" s="1087">
        <v>1</v>
      </c>
      <c r="CI64" s="1087"/>
      <c r="CJ64" s="1087"/>
      <c r="CK64" s="1087"/>
      <c r="CL64" s="1087"/>
      <c r="CM64" s="1087"/>
      <c r="CN64" s="1087"/>
      <c r="CO64" s="1087"/>
      <c r="CP64" s="1087"/>
      <c r="CQ64" s="1087"/>
      <c r="CR64" s="1087"/>
      <c r="CS64" s="1087"/>
      <c r="CT64" s="1087"/>
      <c r="CU64" s="1089"/>
      <c r="CV64" s="1090"/>
      <c r="CW64" s="1087"/>
      <c r="CX64" s="1087"/>
      <c r="CY64" s="1091"/>
      <c r="CZ64" s="1398"/>
      <c r="DA64" s="1399"/>
      <c r="DB64" s="1399"/>
      <c r="DC64" s="1399"/>
      <c r="DD64" s="1400"/>
      <c r="DE64" s="1398"/>
      <c r="DF64" s="1399"/>
      <c r="DG64" s="1399"/>
      <c r="DH64" s="1399"/>
      <c r="DI64" s="1400"/>
    </row>
    <row r="65" spans="1:113" s="1397" customFormat="1" ht="13">
      <c r="A65" s="2063"/>
      <c r="B65" s="1561">
        <v>56</v>
      </c>
      <c r="C65" s="1505" t="s">
        <v>1433</v>
      </c>
      <c r="D65" s="1571"/>
      <c r="E65" s="1572"/>
      <c r="F65" s="1451">
        <v>12.25</v>
      </c>
      <c r="G65" s="1452">
        <v>24.04</v>
      </c>
      <c r="H65" s="1508">
        <v>0</v>
      </c>
      <c r="I65" s="1532">
        <f t="shared" si="20"/>
        <v>24.04</v>
      </c>
      <c r="J65" s="1455">
        <v>2.4</v>
      </c>
      <c r="K65" s="1509"/>
      <c r="L65" s="1510">
        <v>1.1000000000000001</v>
      </c>
      <c r="M65" s="1382"/>
      <c r="N65" s="1457"/>
      <c r="O65" s="1458"/>
      <c r="P65" s="1459"/>
      <c r="Q65" s="1457">
        <f>+F65</f>
        <v>12.25</v>
      </c>
      <c r="R65" s="1458"/>
      <c r="S65" s="1460"/>
      <c r="T65" s="1382"/>
      <c r="U65" s="1105"/>
      <c r="V65" s="1109"/>
      <c r="W65" s="1109"/>
      <c r="X65" s="1106"/>
      <c r="Y65" s="1108"/>
      <c r="Z65" s="1109">
        <f>+I65*J65</f>
        <v>57.695999999999998</v>
      </c>
      <c r="AA65" s="1106">
        <f>+AB65*J65</f>
        <v>7.1999999999999993</v>
      </c>
      <c r="AB65" s="1108">
        <v>3</v>
      </c>
      <c r="AC65" s="1382"/>
      <c r="AD65" s="1120"/>
      <c r="AE65" s="1121"/>
      <c r="AF65" s="1101"/>
      <c r="AG65" s="1101"/>
      <c r="AH65" s="1101"/>
      <c r="AI65" s="1101"/>
      <c r="AJ65" s="1104"/>
      <c r="AK65" s="1382"/>
      <c r="AL65" s="1103">
        <f>+F65</f>
        <v>12.25</v>
      </c>
      <c r="AM65" s="1101"/>
      <c r="AN65" s="1101">
        <f>+G65</f>
        <v>24.04</v>
      </c>
      <c r="AO65" s="1101">
        <f>+L65*2</f>
        <v>2.2000000000000002</v>
      </c>
      <c r="AP65" s="1101"/>
      <c r="AQ65" s="1102"/>
      <c r="AR65" s="1103"/>
      <c r="AS65" s="1101"/>
      <c r="AT65" s="1104"/>
      <c r="AU65" s="1461"/>
      <c r="AV65" s="1382"/>
      <c r="AW65" s="1105"/>
      <c r="AX65" s="1106"/>
      <c r="AY65" s="1106"/>
      <c r="AZ65" s="1106"/>
      <c r="BA65" s="1108">
        <v>1</v>
      </c>
      <c r="BB65" s="1462">
        <v>2</v>
      </c>
      <c r="BC65" s="1363"/>
      <c r="BD65" s="1463"/>
      <c r="BE65" s="1464">
        <f>+F65</f>
        <v>12.25</v>
      </c>
      <c r="BF65" s="1464"/>
      <c r="BG65" s="1464"/>
      <c r="BH65" s="1464"/>
      <c r="BI65" s="1464"/>
      <c r="BJ65" s="1465"/>
      <c r="BK65" s="1660"/>
      <c r="BL65" s="1105"/>
      <c r="BM65" s="1106"/>
      <c r="BN65" s="1107"/>
      <c r="BO65" s="1108">
        <f>+G65</f>
        <v>24.04</v>
      </c>
      <c r="BP65" s="1086"/>
      <c r="BQ65" s="1105"/>
      <c r="BR65" s="1106"/>
      <c r="BS65" s="1107"/>
      <c r="BT65" s="1105"/>
      <c r="BU65" s="1106">
        <f>+I65*J65</f>
        <v>57.695999999999998</v>
      </c>
      <c r="BV65" s="1108"/>
      <c r="BW65" s="1106">
        <f>+F65</f>
        <v>12.25</v>
      </c>
      <c r="BX65" s="1106"/>
      <c r="BY65" s="1107"/>
      <c r="BZ65" s="1108"/>
      <c r="CB65" s="1105"/>
      <c r="CC65" s="1106">
        <v>5</v>
      </c>
      <c r="CD65" s="1106">
        <v>2</v>
      </c>
      <c r="CE65" s="1105">
        <v>7</v>
      </c>
      <c r="CF65" s="1109"/>
      <c r="CG65" s="1106"/>
      <c r="CH65" s="1106">
        <v>2</v>
      </c>
      <c r="CI65" s="1106"/>
      <c r="CJ65" s="1106"/>
      <c r="CK65" s="1106"/>
      <c r="CL65" s="1106"/>
      <c r="CM65" s="1106">
        <v>1</v>
      </c>
      <c r="CN65" s="1106"/>
      <c r="CO65" s="1106"/>
      <c r="CP65" s="1106"/>
      <c r="CQ65" s="1106"/>
      <c r="CR65" s="1106"/>
      <c r="CS65" s="1106"/>
      <c r="CT65" s="1106"/>
      <c r="CU65" s="1108"/>
      <c r="CV65" s="1109"/>
      <c r="CW65" s="1106"/>
      <c r="CX65" s="1106"/>
      <c r="CY65" s="1091"/>
      <c r="CZ65" s="1463"/>
      <c r="DA65" s="1464"/>
      <c r="DB65" s="1464"/>
      <c r="DC65" s="1464"/>
      <c r="DD65" s="1465"/>
      <c r="DE65" s="1463"/>
      <c r="DF65" s="1464"/>
      <c r="DG65" s="1464"/>
      <c r="DH65" s="1464"/>
      <c r="DI65" s="1465"/>
    </row>
    <row r="66" spans="1:113" s="1341" customFormat="1" ht="13">
      <c r="A66" s="2063"/>
      <c r="B66" s="1441">
        <v>57</v>
      </c>
      <c r="C66" s="1128" t="s">
        <v>2161</v>
      </c>
      <c r="D66" s="1442"/>
      <c r="E66" s="1443"/>
      <c r="F66" s="1573">
        <v>3.15</v>
      </c>
      <c r="G66" s="1445">
        <v>7.72</v>
      </c>
      <c r="H66" s="1403">
        <v>1.2</v>
      </c>
      <c r="I66" s="1404">
        <f t="shared" si="20"/>
        <v>6.52</v>
      </c>
      <c r="J66" s="1402">
        <v>2.2000000000000002</v>
      </c>
      <c r="K66" s="1380"/>
      <c r="L66" s="1381"/>
      <c r="M66" s="1382"/>
      <c r="N66" s="1383"/>
      <c r="O66" s="1384"/>
      <c r="P66" s="1385"/>
      <c r="Q66" s="1383">
        <f>+F66</f>
        <v>3.15</v>
      </c>
      <c r="R66" s="1384"/>
      <c r="S66" s="1386"/>
      <c r="T66" s="1382"/>
      <c r="U66" s="1112"/>
      <c r="V66" s="1123"/>
      <c r="W66" s="1123"/>
      <c r="X66" s="1124"/>
      <c r="Y66" s="1125"/>
      <c r="Z66" s="1123">
        <f>+I66*J66</f>
        <v>14.343999999999999</v>
      </c>
      <c r="AA66" s="1087">
        <f>+AB66*J66</f>
        <v>2.2000000000000002</v>
      </c>
      <c r="AB66" s="1129">
        <v>1</v>
      </c>
      <c r="AC66" s="1382"/>
      <c r="AD66" s="1130"/>
      <c r="AE66" s="1131"/>
      <c r="AF66" s="1132"/>
      <c r="AG66" s="1132"/>
      <c r="AH66" s="1132"/>
      <c r="AI66" s="1132"/>
      <c r="AJ66" s="1134"/>
      <c r="AK66" s="1363"/>
      <c r="AL66" s="1135">
        <f>+F66</f>
        <v>3.15</v>
      </c>
      <c r="AM66" s="1132"/>
      <c r="AN66" s="1132">
        <f>+G66</f>
        <v>7.72</v>
      </c>
      <c r="AO66" s="1132">
        <f>+H66</f>
        <v>1.2</v>
      </c>
      <c r="AP66" s="1132"/>
      <c r="AQ66" s="1133"/>
      <c r="AR66" s="1135"/>
      <c r="AS66" s="1132"/>
      <c r="AT66" s="1134"/>
      <c r="AU66" s="1466"/>
      <c r="AV66" s="1363"/>
      <c r="AW66" s="1112">
        <v>1</v>
      </c>
      <c r="AX66" s="1124"/>
      <c r="AY66" s="1124"/>
      <c r="AZ66" s="1124"/>
      <c r="BA66" s="1125"/>
      <c r="BB66" s="1467"/>
      <c r="BC66" s="1363"/>
      <c r="BD66" s="1398"/>
      <c r="BE66" s="1399"/>
      <c r="BF66" s="1399">
        <f>+F66</f>
        <v>3.15</v>
      </c>
      <c r="BG66" s="1399"/>
      <c r="BH66" s="1399"/>
      <c r="BI66" s="1399"/>
      <c r="BJ66" s="1400"/>
      <c r="BK66" s="1661">
        <v>1</v>
      </c>
      <c r="BL66" s="1112">
        <f>+I66</f>
        <v>6.52</v>
      </c>
      <c r="BM66" s="1124"/>
      <c r="BN66" s="1136"/>
      <c r="BO66" s="1125"/>
      <c r="BP66" s="1086"/>
      <c r="BQ66" s="1112"/>
      <c r="BR66" s="1124"/>
      <c r="BS66" s="1136"/>
      <c r="BT66" s="1112"/>
      <c r="BU66" s="1080">
        <f>+I66*J66</f>
        <v>14.343999999999999</v>
      </c>
      <c r="BV66" s="1125"/>
      <c r="BW66" s="1087">
        <f>+F66</f>
        <v>3.15</v>
      </c>
      <c r="BX66" s="1087"/>
      <c r="BY66" s="1088"/>
      <c r="BZ66" s="1089"/>
      <c r="CA66" s="1397"/>
      <c r="CB66" s="1112"/>
      <c r="CC66" s="1124"/>
      <c r="CD66" s="1124"/>
      <c r="CE66" s="1112">
        <v>1</v>
      </c>
      <c r="CF66" s="1123"/>
      <c r="CG66" s="1124"/>
      <c r="CH66" s="1124"/>
      <c r="CI66" s="1124"/>
      <c r="CJ66" s="1124"/>
      <c r="CK66" s="1124">
        <v>1</v>
      </c>
      <c r="CL66" s="1124"/>
      <c r="CM66" s="1124"/>
      <c r="CN66" s="1124"/>
      <c r="CO66" s="1124"/>
      <c r="CP66" s="1124"/>
      <c r="CQ66" s="1124"/>
      <c r="CR66" s="1124"/>
      <c r="CS66" s="1124"/>
      <c r="CT66" s="1124"/>
      <c r="CU66" s="1125"/>
      <c r="CV66" s="1123"/>
      <c r="CW66" s="1124"/>
      <c r="CX66" s="1124"/>
      <c r="CY66" s="1091"/>
      <c r="CZ66" s="1468"/>
      <c r="DA66" s="1469"/>
      <c r="DB66" s="1469"/>
      <c r="DC66" s="1469"/>
      <c r="DD66" s="1470"/>
      <c r="DE66" s="1468"/>
      <c r="DF66" s="1469"/>
      <c r="DG66" s="1469"/>
      <c r="DH66" s="1469"/>
      <c r="DI66" s="1470"/>
    </row>
    <row r="67" spans="1:113" s="1341" customFormat="1" ht="13">
      <c r="A67" s="2063"/>
      <c r="B67" s="1471">
        <v>58</v>
      </c>
      <c r="C67" s="1472" t="s">
        <v>2162</v>
      </c>
      <c r="D67" s="1473">
        <v>2.83</v>
      </c>
      <c r="E67" s="1474">
        <v>0.6</v>
      </c>
      <c r="F67" s="1375">
        <f t="shared" si="31"/>
        <v>1.698</v>
      </c>
      <c r="G67" s="1376">
        <f t="shared" ref="G67:G82" si="33">+D67*2+E67*2</f>
        <v>6.86</v>
      </c>
      <c r="H67" s="1377">
        <f>+D67</f>
        <v>2.83</v>
      </c>
      <c r="I67" s="1378">
        <f t="shared" si="20"/>
        <v>4.03</v>
      </c>
      <c r="J67" s="1376">
        <v>2.2000000000000002</v>
      </c>
      <c r="K67" s="1410">
        <v>0.9</v>
      </c>
      <c r="L67" s="1426"/>
      <c r="M67" s="1382"/>
      <c r="N67" s="1475"/>
      <c r="O67" s="1476"/>
      <c r="P67" s="1477"/>
      <c r="Q67" s="1475">
        <f>+F67</f>
        <v>1.698</v>
      </c>
      <c r="R67" s="1476"/>
      <c r="S67" s="1478"/>
      <c r="T67" s="1382"/>
      <c r="U67" s="1112"/>
      <c r="V67" s="1123"/>
      <c r="W67" s="1123"/>
      <c r="X67" s="1124">
        <f>+I67*J67</f>
        <v>8.8660000000000014</v>
      </c>
      <c r="Y67" s="1125"/>
      <c r="Z67" s="1123"/>
      <c r="AA67" s="1124"/>
      <c r="AB67" s="1129"/>
      <c r="AC67" s="1382"/>
      <c r="AD67" s="1130"/>
      <c r="AE67" s="1131"/>
      <c r="AF67" s="1132"/>
      <c r="AG67" s="1132"/>
      <c r="AH67" s="1132"/>
      <c r="AI67" s="1132"/>
      <c r="AJ67" s="1134"/>
      <c r="AK67" s="1363"/>
      <c r="AL67" s="1135"/>
      <c r="AM67" s="1132"/>
      <c r="AN67" s="1132">
        <f>+G67</f>
        <v>6.86</v>
      </c>
      <c r="AO67" s="1132"/>
      <c r="AP67" s="1132">
        <f>+H67</f>
        <v>2.83</v>
      </c>
      <c r="AQ67" s="1133"/>
      <c r="AR67" s="1135"/>
      <c r="AS67" s="1132"/>
      <c r="AT67" s="1134"/>
      <c r="AU67" s="1466"/>
      <c r="AV67" s="1363"/>
      <c r="AW67" s="1112"/>
      <c r="AX67" s="1124"/>
      <c r="AY67" s="1124"/>
      <c r="AZ67" s="1124"/>
      <c r="BA67" s="1125"/>
      <c r="BB67" s="1467"/>
      <c r="BC67" s="1363"/>
      <c r="BD67" s="1417"/>
      <c r="BE67" s="1418"/>
      <c r="BF67" s="1418">
        <f>+F67</f>
        <v>1.698</v>
      </c>
      <c r="BG67" s="1418"/>
      <c r="BH67" s="1418"/>
      <c r="BI67" s="1418"/>
      <c r="BJ67" s="1419"/>
      <c r="BK67" s="1661"/>
      <c r="BL67" s="1112">
        <f>+I67</f>
        <v>4.03</v>
      </c>
      <c r="BM67" s="1124"/>
      <c r="BN67" s="1136"/>
      <c r="BO67" s="1125"/>
      <c r="BP67" s="1086"/>
      <c r="BQ67" s="1112">
        <f>+I67*K67</f>
        <v>3.6270000000000002</v>
      </c>
      <c r="BR67" s="1124"/>
      <c r="BS67" s="1136"/>
      <c r="BT67" s="1496">
        <f>(I67*J67)-BQ67</f>
        <v>5.2390000000000008</v>
      </c>
      <c r="BU67" s="1080"/>
      <c r="BV67" s="1125"/>
      <c r="BW67" s="1480">
        <f>+AP67</f>
        <v>2.83</v>
      </c>
      <c r="BX67" s="1124"/>
      <c r="BY67" s="1136"/>
      <c r="BZ67" s="1125"/>
      <c r="CA67" s="1397"/>
      <c r="CB67" s="1112"/>
      <c r="CC67" s="1124"/>
      <c r="CD67" s="1124"/>
      <c r="CE67" s="1112"/>
      <c r="CF67" s="1123"/>
      <c r="CG67" s="1124">
        <v>1</v>
      </c>
      <c r="CH67" s="1124"/>
      <c r="CI67" s="1124">
        <v>1</v>
      </c>
      <c r="CJ67" s="1124"/>
      <c r="CK67" s="1124"/>
      <c r="CL67" s="1124">
        <v>3</v>
      </c>
      <c r="CM67" s="1124">
        <v>2</v>
      </c>
      <c r="CN67" s="1124"/>
      <c r="CO67" s="1124">
        <v>2</v>
      </c>
      <c r="CP67" s="1124"/>
      <c r="CQ67" s="1124"/>
      <c r="CR67" s="1124">
        <v>1</v>
      </c>
      <c r="CS67" s="1124"/>
      <c r="CT67" s="1124"/>
      <c r="CU67" s="1125"/>
      <c r="CV67" s="1123"/>
      <c r="CW67" s="1124"/>
      <c r="CX67" s="1124">
        <v>1</v>
      </c>
      <c r="CY67" s="1091"/>
      <c r="CZ67" s="1468"/>
      <c r="DA67" s="1469"/>
      <c r="DB67" s="1469"/>
      <c r="DC67" s="1469"/>
      <c r="DD67" s="1470"/>
      <c r="DE67" s="1468"/>
      <c r="DF67" s="1469"/>
      <c r="DG67" s="1469"/>
      <c r="DH67" s="1469"/>
      <c r="DI67" s="1470"/>
    </row>
    <row r="68" spans="1:113" s="1341" customFormat="1" ht="13">
      <c r="A68" s="2063"/>
      <c r="B68" s="1471">
        <v>59</v>
      </c>
      <c r="C68" s="1472" t="s">
        <v>2163</v>
      </c>
      <c r="D68" s="1473">
        <v>4.4000000000000004</v>
      </c>
      <c r="E68" s="1474">
        <v>4.13</v>
      </c>
      <c r="F68" s="1375">
        <f t="shared" si="31"/>
        <v>18.172000000000001</v>
      </c>
      <c r="G68" s="1376">
        <f t="shared" si="33"/>
        <v>17.060000000000002</v>
      </c>
      <c r="H68" s="1377">
        <f>+E68</f>
        <v>4.13</v>
      </c>
      <c r="I68" s="1378">
        <f t="shared" si="20"/>
        <v>12.930000000000003</v>
      </c>
      <c r="J68" s="1376">
        <v>2.6</v>
      </c>
      <c r="K68" s="1410"/>
      <c r="L68" s="1426"/>
      <c r="M68" s="1382"/>
      <c r="N68" s="1475"/>
      <c r="O68" s="1476"/>
      <c r="P68" s="1477"/>
      <c r="Q68" s="1475">
        <f>+F68</f>
        <v>18.172000000000001</v>
      </c>
      <c r="R68" s="1476"/>
      <c r="S68" s="1478"/>
      <c r="T68" s="1382"/>
      <c r="U68" s="1112"/>
      <c r="V68" s="1123"/>
      <c r="W68" s="1123"/>
      <c r="X68" s="1124"/>
      <c r="Y68" s="1125"/>
      <c r="Z68" s="1123">
        <f>+I68*J68</f>
        <v>33.618000000000009</v>
      </c>
      <c r="AA68" s="1124">
        <f>+AB68*J68</f>
        <v>5.2</v>
      </c>
      <c r="AB68" s="1129">
        <v>2</v>
      </c>
      <c r="AC68" s="1382"/>
      <c r="AD68" s="1130"/>
      <c r="AE68" s="1131"/>
      <c r="AF68" s="1132"/>
      <c r="AG68" s="1132"/>
      <c r="AH68" s="1132"/>
      <c r="AI68" s="1132"/>
      <c r="AJ68" s="1134"/>
      <c r="AK68" s="1363"/>
      <c r="AL68" s="1135"/>
      <c r="AM68" s="1132"/>
      <c r="AN68" s="1132"/>
      <c r="AO68" s="1132"/>
      <c r="AP68" s="1132"/>
      <c r="AQ68" s="1133"/>
      <c r="AR68" s="1135">
        <f>+F68</f>
        <v>18.172000000000001</v>
      </c>
      <c r="AS68" s="1132">
        <f>+G68</f>
        <v>17.060000000000002</v>
      </c>
      <c r="AT68" s="1134"/>
      <c r="AU68" s="1466"/>
      <c r="AV68" s="1363"/>
      <c r="AW68" s="1112"/>
      <c r="AX68" s="1124"/>
      <c r="AY68" s="1124"/>
      <c r="AZ68" s="1124"/>
      <c r="BA68" s="1125"/>
      <c r="BB68" s="1467">
        <v>1</v>
      </c>
      <c r="BC68" s="1363"/>
      <c r="BD68" s="1417"/>
      <c r="BE68" s="1418"/>
      <c r="BF68" s="1418">
        <f>+F68</f>
        <v>18.172000000000001</v>
      </c>
      <c r="BG68" s="1418"/>
      <c r="BH68" s="1418"/>
      <c r="BI68" s="1418"/>
      <c r="BJ68" s="1419"/>
      <c r="BK68" s="1661"/>
      <c r="BL68" s="1112">
        <f>+I68</f>
        <v>12.930000000000003</v>
      </c>
      <c r="BM68" s="1124"/>
      <c r="BN68" s="1136"/>
      <c r="BO68" s="1125"/>
      <c r="BP68" s="1086"/>
      <c r="BQ68" s="1112"/>
      <c r="BR68" s="1124"/>
      <c r="BS68" s="1136"/>
      <c r="BT68" s="1112"/>
      <c r="BU68" s="1080">
        <f>+I68*J68</f>
        <v>33.618000000000009</v>
      </c>
      <c r="BV68" s="1125"/>
      <c r="BW68" s="1124"/>
      <c r="BX68" s="1124">
        <f>+F68</f>
        <v>18.172000000000001</v>
      </c>
      <c r="BY68" s="1136"/>
      <c r="BZ68" s="1125"/>
      <c r="CA68" s="1397"/>
      <c r="CB68" s="1112"/>
      <c r="CC68" s="1124"/>
      <c r="CD68" s="1124"/>
      <c r="CE68" s="1112">
        <v>2</v>
      </c>
      <c r="CF68" s="1123"/>
      <c r="CG68" s="1124"/>
      <c r="CH68" s="1124"/>
      <c r="CI68" s="1124"/>
      <c r="CJ68" s="1124"/>
      <c r="CK68" s="1124">
        <v>1</v>
      </c>
      <c r="CL68" s="1124"/>
      <c r="CM68" s="1124">
        <v>4</v>
      </c>
      <c r="CN68" s="1124"/>
      <c r="CO68" s="1124"/>
      <c r="CP68" s="1124">
        <v>1</v>
      </c>
      <c r="CQ68" s="1124"/>
      <c r="CR68" s="1124"/>
      <c r="CS68" s="1124"/>
      <c r="CT68" s="1124"/>
      <c r="CU68" s="1125"/>
      <c r="CV68" s="1123"/>
      <c r="CW68" s="1124"/>
      <c r="CX68" s="1124"/>
      <c r="CY68" s="1091"/>
      <c r="CZ68" s="1468"/>
      <c r="DA68" s="1469"/>
      <c r="DB68" s="1469"/>
      <c r="DC68" s="1469"/>
      <c r="DD68" s="1470"/>
      <c r="DE68" s="1468"/>
      <c r="DF68" s="1469"/>
      <c r="DG68" s="1469"/>
      <c r="DH68" s="1469"/>
      <c r="DI68" s="1470"/>
    </row>
    <row r="69" spans="1:113" s="1341" customFormat="1" ht="13">
      <c r="A69" s="2063"/>
      <c r="B69" s="1471">
        <v>60</v>
      </c>
      <c r="C69" s="1115" t="s">
        <v>2164</v>
      </c>
      <c r="D69" s="1473">
        <v>3.98</v>
      </c>
      <c r="E69" s="1474">
        <v>2.5099999999999998</v>
      </c>
      <c r="F69" s="1375">
        <f t="shared" si="31"/>
        <v>9.9897999999999989</v>
      </c>
      <c r="G69" s="1376">
        <f t="shared" si="33"/>
        <v>12.98</v>
      </c>
      <c r="H69" s="1481">
        <v>0</v>
      </c>
      <c r="I69" s="1378">
        <f t="shared" si="20"/>
        <v>12.98</v>
      </c>
      <c r="J69" s="1376">
        <v>2.6</v>
      </c>
      <c r="K69" s="1410"/>
      <c r="L69" s="1426"/>
      <c r="M69" s="1382"/>
      <c r="N69" s="1412"/>
      <c r="O69" s="1413"/>
      <c r="P69" s="1414"/>
      <c r="Q69" s="1412">
        <f>+F69</f>
        <v>9.9897999999999989</v>
      </c>
      <c r="R69" s="1413"/>
      <c r="S69" s="1415"/>
      <c r="T69" s="1382"/>
      <c r="U69" s="1078"/>
      <c r="V69" s="1079"/>
      <c r="W69" s="1079"/>
      <c r="X69" s="1080"/>
      <c r="Y69" s="1081"/>
      <c r="Z69" s="1079">
        <f>+I69*J69</f>
        <v>33.748000000000005</v>
      </c>
      <c r="AA69" s="1124">
        <f>+AB69*J69</f>
        <v>0</v>
      </c>
      <c r="AB69" s="1129">
        <v>0</v>
      </c>
      <c r="AC69" s="1382"/>
      <c r="AD69" s="1093"/>
      <c r="AE69" s="1094"/>
      <c r="AF69" s="1095"/>
      <c r="AG69" s="1095"/>
      <c r="AH69" s="1095"/>
      <c r="AI69" s="1095"/>
      <c r="AJ69" s="1098"/>
      <c r="AK69" s="1363"/>
      <c r="AL69" s="1097"/>
      <c r="AM69" s="1095"/>
      <c r="AN69" s="1095"/>
      <c r="AO69" s="1095"/>
      <c r="AP69" s="1095"/>
      <c r="AQ69" s="1096"/>
      <c r="AR69" s="1097">
        <f>+F69</f>
        <v>9.9897999999999989</v>
      </c>
      <c r="AS69" s="1132">
        <f>+G69</f>
        <v>12.98</v>
      </c>
      <c r="AT69" s="1098"/>
      <c r="AU69" s="1416"/>
      <c r="AV69" s="1363"/>
      <c r="AW69" s="1078"/>
      <c r="AX69" s="1080"/>
      <c r="AY69" s="1080">
        <v>1</v>
      </c>
      <c r="AZ69" s="1080"/>
      <c r="BA69" s="1081"/>
      <c r="BB69" s="1388">
        <v>1</v>
      </c>
      <c r="BC69" s="1363"/>
      <c r="BD69" s="1417"/>
      <c r="BE69" s="1418"/>
      <c r="BF69" s="1418">
        <f>+F69</f>
        <v>9.9897999999999989</v>
      </c>
      <c r="BG69" s="1418"/>
      <c r="BH69" s="1418"/>
      <c r="BI69" s="1418"/>
      <c r="BJ69" s="1419"/>
      <c r="BK69" s="1661"/>
      <c r="BL69" s="1112">
        <f>+I69</f>
        <v>12.98</v>
      </c>
      <c r="BM69" s="1124"/>
      <c r="BN69" s="1136"/>
      <c r="BO69" s="1081"/>
      <c r="BP69" s="1086"/>
      <c r="BQ69" s="1078"/>
      <c r="BR69" s="1080"/>
      <c r="BS69" s="1099"/>
      <c r="BT69" s="1078"/>
      <c r="BU69" s="1080">
        <f>+I69*J69</f>
        <v>33.748000000000005</v>
      </c>
      <c r="BV69" s="1081"/>
      <c r="BW69" s="1080"/>
      <c r="BX69" s="1124">
        <f>+F69</f>
        <v>9.9897999999999989</v>
      </c>
      <c r="BY69" s="1136"/>
      <c r="BZ69" s="1081"/>
      <c r="CA69" s="1397"/>
      <c r="CB69" s="1078"/>
      <c r="CC69" s="1080"/>
      <c r="CD69" s="1080"/>
      <c r="CE69" s="1078">
        <v>1</v>
      </c>
      <c r="CF69" s="1079"/>
      <c r="CG69" s="1080"/>
      <c r="CH69" s="1080"/>
      <c r="CI69" s="1080">
        <v>1</v>
      </c>
      <c r="CJ69" s="1080"/>
      <c r="CK69" s="1080"/>
      <c r="CL69" s="1080"/>
      <c r="CM69" s="1080">
        <v>3</v>
      </c>
      <c r="CN69" s="1080"/>
      <c r="CO69" s="1080"/>
      <c r="CP69" s="1080">
        <v>1</v>
      </c>
      <c r="CQ69" s="1080"/>
      <c r="CR69" s="1080"/>
      <c r="CS69" s="1080"/>
      <c r="CT69" s="1080"/>
      <c r="CU69" s="1081"/>
      <c r="CV69" s="1079"/>
      <c r="CW69" s="1080"/>
      <c r="CX69" s="1080">
        <v>1</v>
      </c>
      <c r="CY69" s="1091"/>
      <c r="CZ69" s="1417"/>
      <c r="DA69" s="1418"/>
      <c r="DB69" s="1418"/>
      <c r="DC69" s="1418"/>
      <c r="DD69" s="1419"/>
      <c r="DE69" s="1417"/>
      <c r="DF69" s="1418"/>
      <c r="DG69" s="1418"/>
      <c r="DH69" s="1418"/>
      <c r="DI69" s="1419"/>
    </row>
    <row r="70" spans="1:113" s="1341" customFormat="1" ht="13">
      <c r="A70" s="2063"/>
      <c r="B70" s="1471">
        <v>61</v>
      </c>
      <c r="C70" s="1115" t="s">
        <v>2165</v>
      </c>
      <c r="D70" s="1473"/>
      <c r="E70" s="1474"/>
      <c r="F70" s="1431">
        <v>3.04</v>
      </c>
      <c r="G70" s="1425">
        <v>7.52</v>
      </c>
      <c r="H70" s="1377">
        <v>0</v>
      </c>
      <c r="I70" s="1378">
        <f t="shared" si="20"/>
        <v>7.52</v>
      </c>
      <c r="J70" s="1376">
        <v>2.2999999999999998</v>
      </c>
      <c r="K70" s="1410">
        <v>2.2999999999999998</v>
      </c>
      <c r="L70" s="1426"/>
      <c r="M70" s="1382"/>
      <c r="N70" s="1412"/>
      <c r="O70" s="1413"/>
      <c r="P70" s="1414"/>
      <c r="Q70" s="1412"/>
      <c r="R70" s="1413">
        <f>+F70</f>
        <v>3.04</v>
      </c>
      <c r="S70" s="1415">
        <f>+F70</f>
        <v>3.04</v>
      </c>
      <c r="T70" s="1382"/>
      <c r="U70" s="1078"/>
      <c r="V70" s="1079"/>
      <c r="W70" s="1079"/>
      <c r="X70" s="1080">
        <f>+I70*J70</f>
        <v>17.295999999999999</v>
      </c>
      <c r="Y70" s="1081"/>
      <c r="Z70" s="1079"/>
      <c r="AA70" s="1137"/>
      <c r="AB70" s="1129"/>
      <c r="AC70" s="1382"/>
      <c r="AD70" s="1093">
        <f>+F70</f>
        <v>3.04</v>
      </c>
      <c r="AE70" s="1094">
        <f>+G70</f>
        <v>7.52</v>
      </c>
      <c r="AF70" s="1095"/>
      <c r="AG70" s="1095"/>
      <c r="AH70" s="1095"/>
      <c r="AI70" s="1095"/>
      <c r="AJ70" s="1098"/>
      <c r="AK70" s="1363"/>
      <c r="AL70" s="1097"/>
      <c r="AM70" s="1095">
        <f>+F70</f>
        <v>3.04</v>
      </c>
      <c r="AN70" s="1095">
        <f>+G70</f>
        <v>7.52</v>
      </c>
      <c r="AO70" s="1095"/>
      <c r="AP70" s="1095"/>
      <c r="AQ70" s="1096"/>
      <c r="AR70" s="1097"/>
      <c r="AS70" s="1095"/>
      <c r="AT70" s="1098"/>
      <c r="AU70" s="1416"/>
      <c r="AV70" s="1363"/>
      <c r="AW70" s="1078"/>
      <c r="AX70" s="1080"/>
      <c r="AY70" s="1080">
        <v>1</v>
      </c>
      <c r="AZ70" s="1080"/>
      <c r="BA70" s="1081"/>
      <c r="BB70" s="1388">
        <v>1</v>
      </c>
      <c r="BC70" s="1363"/>
      <c r="BD70" s="1417"/>
      <c r="BE70" s="1418"/>
      <c r="BF70" s="1418"/>
      <c r="BG70" s="1418">
        <f>+F70</f>
        <v>3.04</v>
      </c>
      <c r="BH70" s="1418"/>
      <c r="BI70" s="1418"/>
      <c r="BJ70" s="1419"/>
      <c r="BK70" s="1661"/>
      <c r="BL70" s="1112"/>
      <c r="BM70" s="1124"/>
      <c r="BN70" s="1136"/>
      <c r="BO70" s="1081"/>
      <c r="BP70" s="1086"/>
      <c r="BQ70" s="1078"/>
      <c r="BR70" s="1080">
        <f>+I70*K70</f>
        <v>17.295999999999999</v>
      </c>
      <c r="BS70" s="1099"/>
      <c r="BT70" s="1078"/>
      <c r="BU70" s="1080"/>
      <c r="BV70" s="1081"/>
      <c r="BW70" s="1124">
        <f>+F70</f>
        <v>3.04</v>
      </c>
      <c r="BX70" s="1080"/>
      <c r="BY70" s="1099"/>
      <c r="BZ70" s="1081"/>
      <c r="CA70" s="1397"/>
      <c r="CB70" s="1078"/>
      <c r="CC70" s="1080"/>
      <c r="CD70" s="1080"/>
      <c r="CE70" s="1078">
        <v>1</v>
      </c>
      <c r="CF70" s="1079">
        <v>1</v>
      </c>
      <c r="CG70" s="1080"/>
      <c r="CH70" s="1080"/>
      <c r="CI70" s="1080"/>
      <c r="CJ70" s="1080">
        <v>1</v>
      </c>
      <c r="CK70" s="1080"/>
      <c r="CL70" s="1080"/>
      <c r="CM70" s="1080">
        <v>1</v>
      </c>
      <c r="CN70" s="1080"/>
      <c r="CO70" s="1080"/>
      <c r="CP70" s="1080"/>
      <c r="CQ70" s="1080"/>
      <c r="CR70" s="1080"/>
      <c r="CS70" s="1080"/>
      <c r="CT70" s="1080"/>
      <c r="CU70" s="1081"/>
      <c r="CV70" s="1079"/>
      <c r="CW70" s="1080"/>
      <c r="CX70" s="1080"/>
      <c r="CY70" s="1091"/>
      <c r="CZ70" s="1417"/>
      <c r="DA70" s="1418"/>
      <c r="DB70" s="1418"/>
      <c r="DC70" s="1418"/>
      <c r="DD70" s="1419"/>
      <c r="DE70" s="1417"/>
      <c r="DF70" s="1418"/>
      <c r="DG70" s="1418"/>
      <c r="DH70" s="1418"/>
      <c r="DI70" s="1419"/>
    </row>
    <row r="71" spans="1:113" s="1341" customFormat="1" ht="13">
      <c r="A71" s="2063"/>
      <c r="B71" s="1448">
        <v>62</v>
      </c>
      <c r="C71" s="1127" t="s">
        <v>2145</v>
      </c>
      <c r="D71" s="1449">
        <v>3.96</v>
      </c>
      <c r="E71" s="1450">
        <v>1.4</v>
      </c>
      <c r="F71" s="1482">
        <f t="shared" si="31"/>
        <v>5.5439999999999996</v>
      </c>
      <c r="G71" s="1455">
        <f t="shared" si="33"/>
        <v>10.719999999999999</v>
      </c>
      <c r="H71" s="1453">
        <f>+D71+(E71*2)</f>
        <v>6.76</v>
      </c>
      <c r="I71" s="1454">
        <f t="shared" si="20"/>
        <v>3.9599999999999991</v>
      </c>
      <c r="J71" s="1455">
        <v>2.6</v>
      </c>
      <c r="K71" s="1456"/>
      <c r="L71" s="1483"/>
      <c r="M71" s="1382"/>
      <c r="N71" s="1457"/>
      <c r="O71" s="1458"/>
      <c r="P71" s="1459"/>
      <c r="Q71" s="1457"/>
      <c r="R71" s="1458">
        <f>+F71</f>
        <v>5.5439999999999996</v>
      </c>
      <c r="S71" s="1415">
        <f>+F71</f>
        <v>5.5439999999999996</v>
      </c>
      <c r="T71" s="1382"/>
      <c r="U71" s="1105"/>
      <c r="V71" s="1109"/>
      <c r="W71" s="1109"/>
      <c r="X71" s="1106"/>
      <c r="Y71" s="1108"/>
      <c r="Z71" s="1109"/>
      <c r="AA71" s="1106"/>
      <c r="AB71" s="1108"/>
      <c r="AC71" s="1382"/>
      <c r="AD71" s="1120"/>
      <c r="AE71" s="1121"/>
      <c r="AF71" s="1101"/>
      <c r="AG71" s="1101"/>
      <c r="AH71" s="1101"/>
      <c r="AI71" s="1101">
        <f>+F71</f>
        <v>5.5439999999999996</v>
      </c>
      <c r="AJ71" s="1104">
        <f>+G71</f>
        <v>10.719999999999999</v>
      </c>
      <c r="AK71" s="1363"/>
      <c r="AL71" s="1103"/>
      <c r="AM71" s="1101"/>
      <c r="AN71" s="1101"/>
      <c r="AO71" s="1101"/>
      <c r="AP71" s="1101"/>
      <c r="AQ71" s="1102"/>
      <c r="AR71" s="1103"/>
      <c r="AS71" s="1101"/>
      <c r="AT71" s="1104"/>
      <c r="AU71" s="1461"/>
      <c r="AV71" s="1363"/>
      <c r="AW71" s="1138"/>
      <c r="AX71" s="1139"/>
      <c r="AY71" s="1139"/>
      <c r="AZ71" s="1139"/>
      <c r="BA71" s="1140"/>
      <c r="BB71" s="1439"/>
      <c r="BC71" s="1363"/>
      <c r="BD71" s="1463"/>
      <c r="BE71" s="1464"/>
      <c r="BF71" s="1464">
        <f>+F71</f>
        <v>5.5439999999999996</v>
      </c>
      <c r="BG71" s="1464"/>
      <c r="BH71" s="1464"/>
      <c r="BI71" s="1464"/>
      <c r="BJ71" s="1465"/>
      <c r="BK71" s="1660"/>
      <c r="BL71" s="1105"/>
      <c r="BM71" s="1139"/>
      <c r="BN71" s="1440">
        <f>+G71</f>
        <v>10.719999999999999</v>
      </c>
      <c r="BO71" s="1081"/>
      <c r="BP71" s="1086"/>
      <c r="BQ71" s="1105"/>
      <c r="BR71" s="1106"/>
      <c r="BS71" s="1107"/>
      <c r="BT71" s="1105"/>
      <c r="BU71" s="1106"/>
      <c r="BV71" s="1108"/>
      <c r="BW71" s="1106"/>
      <c r="BX71" s="1106"/>
      <c r="BY71" s="1107"/>
      <c r="BZ71" s="1108"/>
      <c r="CA71" s="1397"/>
      <c r="CB71" s="1105"/>
      <c r="CC71" s="1141">
        <v>1</v>
      </c>
      <c r="CD71" s="1141"/>
      <c r="CE71" s="1105"/>
      <c r="CF71" s="1109">
        <v>1</v>
      </c>
      <c r="CG71" s="1106"/>
      <c r="CH71" s="1106"/>
      <c r="CI71" s="1106"/>
      <c r="CJ71" s="1106"/>
      <c r="CK71" s="1106"/>
      <c r="CL71" s="1106"/>
      <c r="CM71" s="1106"/>
      <c r="CN71" s="1106"/>
      <c r="CO71" s="1106"/>
      <c r="CP71" s="1106"/>
      <c r="CQ71" s="1106"/>
      <c r="CR71" s="1106"/>
      <c r="CS71" s="1106"/>
      <c r="CT71" s="1106"/>
      <c r="CU71" s="1108"/>
      <c r="CV71" s="1109"/>
      <c r="CW71" s="1106"/>
      <c r="CX71" s="1106"/>
      <c r="CY71" s="1091"/>
      <c r="CZ71" s="1463"/>
      <c r="DA71" s="1464"/>
      <c r="DB71" s="1464"/>
      <c r="DC71" s="1464"/>
      <c r="DD71" s="1465"/>
      <c r="DE71" s="1463"/>
      <c r="DF71" s="1464"/>
      <c r="DG71" s="1464"/>
      <c r="DH71" s="1464"/>
      <c r="DI71" s="1465"/>
    </row>
    <row r="72" spans="1:113" s="1341" customFormat="1" ht="13">
      <c r="A72" s="2063"/>
      <c r="B72" s="1518">
        <v>63</v>
      </c>
      <c r="C72" s="1574" t="s">
        <v>2166</v>
      </c>
      <c r="D72" s="1520"/>
      <c r="E72" s="1521"/>
      <c r="F72" s="1522">
        <v>23.33</v>
      </c>
      <c r="G72" s="1523">
        <v>22.19</v>
      </c>
      <c r="H72" s="1575">
        <v>0</v>
      </c>
      <c r="I72" s="1576">
        <f t="shared" si="20"/>
        <v>22.19</v>
      </c>
      <c r="J72" s="1526">
        <v>2.6</v>
      </c>
      <c r="K72" s="1527">
        <v>0.9</v>
      </c>
      <c r="L72" s="1490">
        <v>3</v>
      </c>
      <c r="M72" s="1382"/>
      <c r="N72" s="1383"/>
      <c r="O72" s="1384"/>
      <c r="P72" s="1385"/>
      <c r="Q72" s="1491">
        <f>+F72</f>
        <v>23.33</v>
      </c>
      <c r="R72" s="1384"/>
      <c r="S72" s="1386"/>
      <c r="T72" s="1382"/>
      <c r="U72" s="1085"/>
      <c r="V72" s="1090"/>
      <c r="W72" s="1090"/>
      <c r="X72" s="1087">
        <f>+L72*J72</f>
        <v>7.8000000000000007</v>
      </c>
      <c r="Y72" s="1089"/>
      <c r="Z72" s="1494">
        <f>(I72*J72)-X72</f>
        <v>49.894000000000005</v>
      </c>
      <c r="AA72" s="1492">
        <f>+AB72*J72</f>
        <v>5.2</v>
      </c>
      <c r="AB72" s="1493">
        <v>2</v>
      </c>
      <c r="AC72" s="1382"/>
      <c r="AD72" s="1110"/>
      <c r="AE72" s="1111"/>
      <c r="AF72" s="1083"/>
      <c r="AG72" s="1083"/>
      <c r="AH72" s="1083"/>
      <c r="AI72" s="1083"/>
      <c r="AJ72" s="1084"/>
      <c r="AK72" s="1363"/>
      <c r="AL72" s="1082"/>
      <c r="AM72" s="1083"/>
      <c r="AN72" s="1495">
        <f>(AP72*2)+(0.6*2)</f>
        <v>5.6000000000000005</v>
      </c>
      <c r="AO72" s="1083"/>
      <c r="AP72" s="1495">
        <v>2.2000000000000002</v>
      </c>
      <c r="AQ72" s="1126"/>
      <c r="AR72" s="1082">
        <f>+F72</f>
        <v>23.33</v>
      </c>
      <c r="AS72" s="1083"/>
      <c r="AT72" s="1084"/>
      <c r="AU72" s="1387"/>
      <c r="AV72" s="1363"/>
      <c r="AW72" s="1085">
        <v>1</v>
      </c>
      <c r="AX72" s="1087"/>
      <c r="AY72" s="1087"/>
      <c r="AZ72" s="1087"/>
      <c r="BA72" s="1089"/>
      <c r="BB72" s="1405">
        <v>1</v>
      </c>
      <c r="BC72" s="1363"/>
      <c r="BD72" s="1468"/>
      <c r="BE72" s="1469"/>
      <c r="BF72" s="1469">
        <f>+F72</f>
        <v>23.33</v>
      </c>
      <c r="BG72" s="1469"/>
      <c r="BH72" s="1469"/>
      <c r="BI72" s="1469"/>
      <c r="BJ72" s="1470"/>
      <c r="BK72" s="1661">
        <v>1</v>
      </c>
      <c r="BL72" s="1085">
        <f>+I72</f>
        <v>22.19</v>
      </c>
      <c r="BM72" s="1087"/>
      <c r="BN72" s="1088"/>
      <c r="BO72" s="1089"/>
      <c r="BP72" s="1086"/>
      <c r="BQ72" s="1085">
        <f>+L72*K72</f>
        <v>2.7</v>
      </c>
      <c r="BR72" s="1087"/>
      <c r="BS72" s="1088"/>
      <c r="BT72" s="1496">
        <f>(L72*J72)-BQ72</f>
        <v>5.1000000000000005</v>
      </c>
      <c r="BU72" s="1080">
        <f>+I72*J72-(BT72+BQ72)</f>
        <v>49.894000000000005</v>
      </c>
      <c r="BV72" s="1089"/>
      <c r="BW72" s="1497">
        <f>+AP72</f>
        <v>2.2000000000000002</v>
      </c>
      <c r="BX72" s="1087">
        <f>+F72</f>
        <v>23.33</v>
      </c>
      <c r="BY72" s="1088"/>
      <c r="BZ72" s="1089"/>
      <c r="CA72" s="1397"/>
      <c r="CB72" s="1112"/>
      <c r="CC72" s="1124"/>
      <c r="CD72" s="1124"/>
      <c r="CE72" s="1112">
        <v>3</v>
      </c>
      <c r="CF72" s="1123"/>
      <c r="CG72" s="1124">
        <v>1</v>
      </c>
      <c r="CH72" s="1124"/>
      <c r="CI72" s="1124">
        <v>1</v>
      </c>
      <c r="CJ72" s="1124"/>
      <c r="CK72" s="1124">
        <v>2</v>
      </c>
      <c r="CL72" s="1124">
        <v>3</v>
      </c>
      <c r="CM72" s="1124">
        <v>6</v>
      </c>
      <c r="CN72" s="1124"/>
      <c r="CO72" s="1124">
        <v>2</v>
      </c>
      <c r="CP72" s="1124">
        <v>1</v>
      </c>
      <c r="CQ72" s="1124">
        <v>1</v>
      </c>
      <c r="CR72" s="1124"/>
      <c r="CS72" s="1124"/>
      <c r="CT72" s="1124"/>
      <c r="CU72" s="1125"/>
      <c r="CV72" s="1123"/>
      <c r="CW72" s="1124"/>
      <c r="CX72" s="1124"/>
      <c r="CY72" s="1091"/>
      <c r="CZ72" s="1468"/>
      <c r="DA72" s="1469"/>
      <c r="DB72" s="1469"/>
      <c r="DC72" s="1469"/>
      <c r="DD72" s="1470"/>
      <c r="DE72" s="1468"/>
      <c r="DF72" s="1469"/>
      <c r="DG72" s="1469"/>
      <c r="DH72" s="1469"/>
      <c r="DI72" s="1470"/>
    </row>
    <row r="73" spans="1:113" s="1341" customFormat="1" ht="13">
      <c r="A73" s="2063"/>
      <c r="B73" s="1471">
        <v>64</v>
      </c>
      <c r="C73" s="1115" t="s">
        <v>2167</v>
      </c>
      <c r="D73" s="1473"/>
      <c r="E73" s="1474"/>
      <c r="F73" s="1431">
        <v>3.05</v>
      </c>
      <c r="G73" s="1425">
        <v>7.49</v>
      </c>
      <c r="H73" s="1377">
        <v>0</v>
      </c>
      <c r="I73" s="1378">
        <f t="shared" si="20"/>
        <v>7.49</v>
      </c>
      <c r="J73" s="1376">
        <v>2.2999999999999998</v>
      </c>
      <c r="K73" s="1410">
        <v>2.2999999999999998</v>
      </c>
      <c r="L73" s="1426"/>
      <c r="M73" s="1382"/>
      <c r="N73" s="1412"/>
      <c r="O73" s="1413"/>
      <c r="P73" s="1414"/>
      <c r="Q73" s="1412"/>
      <c r="R73" s="1413">
        <f>+F73</f>
        <v>3.05</v>
      </c>
      <c r="S73" s="1415">
        <f>+F73</f>
        <v>3.05</v>
      </c>
      <c r="T73" s="1382"/>
      <c r="U73" s="1078"/>
      <c r="V73" s="1079"/>
      <c r="W73" s="1079"/>
      <c r="X73" s="1080">
        <f>+I73*J73</f>
        <v>17.227</v>
      </c>
      <c r="Y73" s="1081"/>
      <c r="Z73" s="1079"/>
      <c r="AA73" s="1080"/>
      <c r="AB73" s="1081"/>
      <c r="AC73" s="1382"/>
      <c r="AD73" s="1093">
        <f>+F73</f>
        <v>3.05</v>
      </c>
      <c r="AE73" s="1094">
        <f>+G73</f>
        <v>7.49</v>
      </c>
      <c r="AF73" s="1095"/>
      <c r="AG73" s="1095"/>
      <c r="AH73" s="1095"/>
      <c r="AI73" s="1095"/>
      <c r="AJ73" s="1098"/>
      <c r="AK73" s="1363"/>
      <c r="AL73" s="1097"/>
      <c r="AM73" s="1095">
        <f>+F73</f>
        <v>3.05</v>
      </c>
      <c r="AN73" s="1095">
        <f>+G73</f>
        <v>7.49</v>
      </c>
      <c r="AO73" s="1095"/>
      <c r="AP73" s="1095"/>
      <c r="AQ73" s="1096"/>
      <c r="AR73" s="1097"/>
      <c r="AS73" s="1095"/>
      <c r="AT73" s="1098"/>
      <c r="AU73" s="1416"/>
      <c r="AV73" s="1363"/>
      <c r="AW73" s="1078"/>
      <c r="AX73" s="1080"/>
      <c r="AY73" s="1080">
        <v>1</v>
      </c>
      <c r="AZ73" s="1080"/>
      <c r="BA73" s="1081"/>
      <c r="BB73" s="1388"/>
      <c r="BC73" s="1363"/>
      <c r="BD73" s="1417"/>
      <c r="BE73" s="1469"/>
      <c r="BF73" s="1469"/>
      <c r="BG73" s="1418">
        <f>+F73</f>
        <v>3.05</v>
      </c>
      <c r="BH73" s="1418"/>
      <c r="BI73" s="1418"/>
      <c r="BJ73" s="1419"/>
      <c r="BK73" s="1659"/>
      <c r="BL73" s="1078"/>
      <c r="BM73" s="1080"/>
      <c r="BN73" s="1099"/>
      <c r="BO73" s="1081"/>
      <c r="BP73" s="1086"/>
      <c r="BQ73" s="1078"/>
      <c r="BR73" s="1080">
        <f>+I73*K73</f>
        <v>17.227</v>
      </c>
      <c r="BS73" s="1099"/>
      <c r="BT73" s="1078"/>
      <c r="BU73" s="1080"/>
      <c r="BV73" s="1081"/>
      <c r="BW73" s="1124">
        <f>+F73</f>
        <v>3.05</v>
      </c>
      <c r="BX73" s="1499"/>
      <c r="BY73" s="1648"/>
      <c r="BZ73" s="1500"/>
      <c r="CA73" s="1397"/>
      <c r="CB73" s="1078">
        <v>1</v>
      </c>
      <c r="CC73" s="1080"/>
      <c r="CD73" s="1080"/>
      <c r="CE73" s="1078">
        <v>1</v>
      </c>
      <c r="CF73" s="1079">
        <v>1</v>
      </c>
      <c r="CG73" s="1080"/>
      <c r="CH73" s="1080"/>
      <c r="CI73" s="1080"/>
      <c r="CJ73" s="1080"/>
      <c r="CK73" s="1080">
        <v>1</v>
      </c>
      <c r="CL73" s="1080"/>
      <c r="CM73" s="1080">
        <v>1</v>
      </c>
      <c r="CN73" s="1080"/>
      <c r="CO73" s="1080"/>
      <c r="CP73" s="1080"/>
      <c r="CQ73" s="1080"/>
      <c r="CR73" s="1080"/>
      <c r="CS73" s="1080"/>
      <c r="CT73" s="1080"/>
      <c r="CU73" s="1081"/>
      <c r="CV73" s="1079"/>
      <c r="CW73" s="1080"/>
      <c r="CX73" s="1080">
        <v>1</v>
      </c>
      <c r="CY73" s="1091"/>
      <c r="CZ73" s="1417"/>
      <c r="DA73" s="1418"/>
      <c r="DB73" s="1418"/>
      <c r="DC73" s="1418"/>
      <c r="DD73" s="1419"/>
      <c r="DE73" s="1417"/>
      <c r="DF73" s="1418"/>
      <c r="DG73" s="1418"/>
      <c r="DH73" s="1418"/>
      <c r="DI73" s="1419"/>
    </row>
    <row r="74" spans="1:113" s="1397" customFormat="1" ht="13">
      <c r="A74" s="2063"/>
      <c r="B74" s="1561">
        <v>65</v>
      </c>
      <c r="C74" s="1505" t="s">
        <v>2148</v>
      </c>
      <c r="D74" s="1506">
        <v>3.3</v>
      </c>
      <c r="E74" s="1507">
        <v>1.4</v>
      </c>
      <c r="F74" s="1530">
        <f t="shared" si="31"/>
        <v>4.6199999999999992</v>
      </c>
      <c r="G74" s="1531">
        <f t="shared" si="33"/>
        <v>9.3999999999999986</v>
      </c>
      <c r="H74" s="1508">
        <f>+D74+(E74*2)</f>
        <v>6.1</v>
      </c>
      <c r="I74" s="1532">
        <f t="shared" si="20"/>
        <v>3.2999999999999989</v>
      </c>
      <c r="J74" s="1531">
        <v>2.6</v>
      </c>
      <c r="K74" s="1509"/>
      <c r="L74" s="1510"/>
      <c r="M74" s="1382"/>
      <c r="N74" s="1412"/>
      <c r="O74" s="1413"/>
      <c r="P74" s="1414"/>
      <c r="Q74" s="1412"/>
      <c r="R74" s="1413">
        <f>+F74</f>
        <v>4.6199999999999992</v>
      </c>
      <c r="S74" s="1415">
        <f>+F74</f>
        <v>4.6199999999999992</v>
      </c>
      <c r="T74" s="1382"/>
      <c r="U74" s="1105"/>
      <c r="V74" s="1109"/>
      <c r="W74" s="1109"/>
      <c r="X74" s="1106"/>
      <c r="Y74" s="1108"/>
      <c r="Z74" s="1109"/>
      <c r="AA74" s="1106"/>
      <c r="AB74" s="1108"/>
      <c r="AC74" s="1382"/>
      <c r="AD74" s="1120"/>
      <c r="AE74" s="1121"/>
      <c r="AF74" s="1101"/>
      <c r="AG74" s="1101"/>
      <c r="AH74" s="1101"/>
      <c r="AI74" s="1101">
        <f>+F74</f>
        <v>4.6199999999999992</v>
      </c>
      <c r="AJ74" s="1104">
        <f>+G74</f>
        <v>9.3999999999999986</v>
      </c>
      <c r="AK74" s="1363"/>
      <c r="AL74" s="1103"/>
      <c r="AM74" s="1101"/>
      <c r="AN74" s="1101"/>
      <c r="AO74" s="1101"/>
      <c r="AP74" s="1101"/>
      <c r="AQ74" s="1102"/>
      <c r="AR74" s="1103"/>
      <c r="AS74" s="1101"/>
      <c r="AT74" s="1104"/>
      <c r="AU74" s="1461"/>
      <c r="AV74" s="1363"/>
      <c r="AW74" s="1138"/>
      <c r="AX74" s="1139"/>
      <c r="AY74" s="1139"/>
      <c r="AZ74" s="1139"/>
      <c r="BA74" s="1140"/>
      <c r="BB74" s="1439"/>
      <c r="BC74" s="1363"/>
      <c r="BD74" s="1463"/>
      <c r="BE74" s="1464"/>
      <c r="BF74" s="1464">
        <f>+F74</f>
        <v>4.6199999999999992</v>
      </c>
      <c r="BG74" s="1464"/>
      <c r="BH74" s="1464"/>
      <c r="BI74" s="1464"/>
      <c r="BJ74" s="1465"/>
      <c r="BK74" s="1660"/>
      <c r="BL74" s="1105"/>
      <c r="BM74" s="1106"/>
      <c r="BN74" s="1107">
        <f>+G74</f>
        <v>9.3999999999999986</v>
      </c>
      <c r="BO74" s="1108"/>
      <c r="BP74" s="1086"/>
      <c r="BQ74" s="1105"/>
      <c r="BR74" s="1106"/>
      <c r="BS74" s="1107"/>
      <c r="BT74" s="1105"/>
      <c r="BU74" s="1106"/>
      <c r="BV74" s="1108"/>
      <c r="BW74" s="1106"/>
      <c r="BX74" s="1106"/>
      <c r="BY74" s="1107"/>
      <c r="BZ74" s="1108"/>
      <c r="CB74" s="1105"/>
      <c r="CC74" s="1141">
        <v>1</v>
      </c>
      <c r="CD74" s="1141"/>
      <c r="CE74" s="1105"/>
      <c r="CF74" s="1109">
        <v>1</v>
      </c>
      <c r="CG74" s="1106"/>
      <c r="CH74" s="1106"/>
      <c r="CI74" s="1106"/>
      <c r="CJ74" s="1106"/>
      <c r="CK74" s="1106"/>
      <c r="CL74" s="1106"/>
      <c r="CM74" s="1106"/>
      <c r="CN74" s="1106"/>
      <c r="CO74" s="1106"/>
      <c r="CP74" s="1106"/>
      <c r="CQ74" s="1106"/>
      <c r="CR74" s="1106"/>
      <c r="CS74" s="1106"/>
      <c r="CT74" s="1106"/>
      <c r="CU74" s="1108"/>
      <c r="CV74" s="1109"/>
      <c r="CW74" s="1106"/>
      <c r="CX74" s="1106"/>
      <c r="CY74" s="1091"/>
      <c r="CZ74" s="1502"/>
      <c r="DA74" s="1503"/>
      <c r="DB74" s="1503"/>
      <c r="DC74" s="1503"/>
      <c r="DD74" s="1504"/>
      <c r="DE74" s="1502"/>
      <c r="DF74" s="1503"/>
      <c r="DG74" s="1503"/>
      <c r="DH74" s="1503"/>
      <c r="DI74" s="1504"/>
    </row>
    <row r="75" spans="1:113" s="1341" customFormat="1" ht="13">
      <c r="A75" s="2063"/>
      <c r="B75" s="1441">
        <v>66</v>
      </c>
      <c r="C75" s="1128" t="s">
        <v>2168</v>
      </c>
      <c r="D75" s="1442"/>
      <c r="E75" s="1443"/>
      <c r="F75" s="1573">
        <v>6.58</v>
      </c>
      <c r="G75" s="1445">
        <v>11.58</v>
      </c>
      <c r="H75" s="1403">
        <f>+E76</f>
        <v>3.51</v>
      </c>
      <c r="I75" s="1404">
        <f t="shared" si="20"/>
        <v>8.07</v>
      </c>
      <c r="J75" s="1402">
        <v>2.2000000000000002</v>
      </c>
      <c r="K75" s="1410">
        <v>0.9</v>
      </c>
      <c r="L75" s="1426">
        <v>3.65</v>
      </c>
      <c r="M75" s="1382"/>
      <c r="N75" s="1383"/>
      <c r="O75" s="1384"/>
      <c r="P75" s="1385"/>
      <c r="Q75" s="1383">
        <f t="shared" ref="Q75:Q80" si="34">+F75</f>
        <v>6.58</v>
      </c>
      <c r="R75" s="1384"/>
      <c r="S75" s="1386"/>
      <c r="T75" s="1382"/>
      <c r="U75" s="1112"/>
      <c r="V75" s="1123"/>
      <c r="W75" s="1123"/>
      <c r="X75" s="1124">
        <f>+I75*J75</f>
        <v>17.754000000000001</v>
      </c>
      <c r="Y75" s="1125"/>
      <c r="Z75" s="1123"/>
      <c r="AA75" s="1124">
        <f>+AB75*J75</f>
        <v>6.6000000000000005</v>
      </c>
      <c r="AB75" s="1142">
        <v>3</v>
      </c>
      <c r="AC75" s="1382"/>
      <c r="AD75" s="1130"/>
      <c r="AE75" s="1131"/>
      <c r="AF75" s="1132"/>
      <c r="AG75" s="1132"/>
      <c r="AH75" s="1132"/>
      <c r="AI75" s="1132"/>
      <c r="AJ75" s="1134"/>
      <c r="AK75" s="1363"/>
      <c r="AL75" s="1135">
        <f>+F75</f>
        <v>6.58</v>
      </c>
      <c r="AM75" s="1132"/>
      <c r="AN75" s="1132">
        <f>+G75</f>
        <v>11.58</v>
      </c>
      <c r="AO75" s="1132">
        <f>+H75</f>
        <v>3.51</v>
      </c>
      <c r="AP75" s="1132"/>
      <c r="AQ75" s="1133"/>
      <c r="AR75" s="1135"/>
      <c r="AS75" s="1132"/>
      <c r="AT75" s="1134"/>
      <c r="AU75" s="1466"/>
      <c r="AV75" s="1363"/>
      <c r="AW75" s="1085">
        <v>1</v>
      </c>
      <c r="AX75" s="1087"/>
      <c r="AY75" s="1087"/>
      <c r="AZ75" s="1087"/>
      <c r="BA75" s="1089"/>
      <c r="BB75" s="1405"/>
      <c r="BC75" s="1363"/>
      <c r="BD75" s="1398"/>
      <c r="BE75" s="1399"/>
      <c r="BF75" s="1399">
        <f>+F75</f>
        <v>6.58</v>
      </c>
      <c r="BG75" s="1399"/>
      <c r="BH75" s="1399"/>
      <c r="BI75" s="1399"/>
      <c r="BJ75" s="1400"/>
      <c r="BK75" s="1658">
        <v>1</v>
      </c>
      <c r="BL75" s="1085">
        <f>+I75</f>
        <v>8.07</v>
      </c>
      <c r="BM75" s="1087"/>
      <c r="BN75" s="1088"/>
      <c r="BO75" s="1089"/>
      <c r="BP75" s="1086"/>
      <c r="BQ75" s="1078">
        <f>+L75*K75</f>
        <v>3.2850000000000001</v>
      </c>
      <c r="BR75" s="1124"/>
      <c r="BS75" s="1136"/>
      <c r="BT75" s="1112">
        <f>(I75*J75)-BQ75</f>
        <v>14.469000000000001</v>
      </c>
      <c r="BU75" s="1080"/>
      <c r="BV75" s="1125"/>
      <c r="BW75" s="1124">
        <f>+F75</f>
        <v>6.58</v>
      </c>
      <c r="BX75" s="1124"/>
      <c r="BY75" s="1136"/>
      <c r="BZ75" s="1125"/>
      <c r="CA75" s="1397"/>
      <c r="CB75" s="1085"/>
      <c r="CC75" s="1087"/>
      <c r="CD75" s="1087"/>
      <c r="CE75" s="1112">
        <v>1</v>
      </c>
      <c r="CF75" s="1123"/>
      <c r="CG75" s="1124">
        <v>1</v>
      </c>
      <c r="CH75" s="1124"/>
      <c r="CI75" s="1124">
        <v>1</v>
      </c>
      <c r="CJ75" s="1124"/>
      <c r="CK75" s="1124">
        <v>1</v>
      </c>
      <c r="CL75" s="1124">
        <v>3</v>
      </c>
      <c r="CM75" s="1124">
        <v>2</v>
      </c>
      <c r="CN75" s="1124"/>
      <c r="CO75" s="1124">
        <v>2</v>
      </c>
      <c r="CP75" s="1124"/>
      <c r="CQ75" s="1124"/>
      <c r="CR75" s="1124">
        <v>1</v>
      </c>
      <c r="CS75" s="1124"/>
      <c r="CT75" s="1124"/>
      <c r="CU75" s="1125"/>
      <c r="CV75" s="1090"/>
      <c r="CW75" s="1087"/>
      <c r="CX75" s="1089"/>
      <c r="CY75" s="1091"/>
      <c r="CZ75" s="1398"/>
      <c r="DA75" s="1399"/>
      <c r="DB75" s="1399"/>
      <c r="DC75" s="1399"/>
      <c r="DD75" s="1400"/>
      <c r="DE75" s="1398"/>
      <c r="DF75" s="1399"/>
      <c r="DG75" s="1399"/>
      <c r="DH75" s="1399"/>
      <c r="DI75" s="1400"/>
    </row>
    <row r="76" spans="1:113" s="1341" customFormat="1" ht="13">
      <c r="A76" s="2063"/>
      <c r="B76" s="1471">
        <v>67</v>
      </c>
      <c r="C76" s="1115" t="s">
        <v>2169</v>
      </c>
      <c r="D76" s="1473">
        <v>5</v>
      </c>
      <c r="E76" s="1474">
        <v>3.51</v>
      </c>
      <c r="F76" s="1375">
        <f t="shared" ref="F76:F82" si="35">D76*E76</f>
        <v>17.549999999999997</v>
      </c>
      <c r="G76" s="1376">
        <f t="shared" si="33"/>
        <v>17.02</v>
      </c>
      <c r="H76" s="1481">
        <f>+E76+H77</f>
        <v>4.68</v>
      </c>
      <c r="I76" s="1378">
        <f t="shared" si="20"/>
        <v>12.34</v>
      </c>
      <c r="J76" s="1376">
        <v>2.6</v>
      </c>
      <c r="K76" s="1410"/>
      <c r="L76" s="1426"/>
      <c r="M76" s="1382"/>
      <c r="N76" s="1412"/>
      <c r="O76" s="1413"/>
      <c r="P76" s="1414"/>
      <c r="Q76" s="1412">
        <f t="shared" si="34"/>
        <v>17.549999999999997</v>
      </c>
      <c r="R76" s="1413"/>
      <c r="S76" s="1415"/>
      <c r="T76" s="1382"/>
      <c r="U76" s="1078"/>
      <c r="V76" s="1079"/>
      <c r="W76" s="1079"/>
      <c r="X76" s="1080"/>
      <c r="Y76" s="1081"/>
      <c r="Z76" s="1079">
        <f>+I76*J76</f>
        <v>32.084000000000003</v>
      </c>
      <c r="AA76" s="1137">
        <f>+AB76*J76</f>
        <v>5.2</v>
      </c>
      <c r="AB76" s="1129">
        <v>2</v>
      </c>
      <c r="AC76" s="1382"/>
      <c r="AD76" s="1093"/>
      <c r="AE76" s="1094"/>
      <c r="AF76" s="1095"/>
      <c r="AG76" s="1095"/>
      <c r="AH76" s="1095"/>
      <c r="AI76" s="1095"/>
      <c r="AJ76" s="1098"/>
      <c r="AK76" s="1363"/>
      <c r="AL76" s="1097"/>
      <c r="AM76" s="1095"/>
      <c r="AN76" s="1132"/>
      <c r="AO76" s="1095"/>
      <c r="AP76" s="1095"/>
      <c r="AQ76" s="1096"/>
      <c r="AR76" s="1097">
        <f>+F76</f>
        <v>17.549999999999997</v>
      </c>
      <c r="AS76" s="1095">
        <f>+G76</f>
        <v>17.02</v>
      </c>
      <c r="AT76" s="1098">
        <f>+H77</f>
        <v>1.17</v>
      </c>
      <c r="AU76" s="1416"/>
      <c r="AV76" s="1363"/>
      <c r="AW76" s="1078"/>
      <c r="AX76" s="1080"/>
      <c r="AY76" s="1080"/>
      <c r="AZ76" s="1080"/>
      <c r="BA76" s="1081"/>
      <c r="BB76" s="1388">
        <v>1</v>
      </c>
      <c r="BC76" s="1363"/>
      <c r="BD76" s="1417"/>
      <c r="BE76" s="1418"/>
      <c r="BF76" s="1418">
        <f>+F76</f>
        <v>17.549999999999997</v>
      </c>
      <c r="BG76" s="1418"/>
      <c r="BH76" s="1418"/>
      <c r="BI76" s="1418"/>
      <c r="BJ76" s="1419"/>
      <c r="BK76" s="1659"/>
      <c r="BL76" s="1078">
        <f>+I76</f>
        <v>12.34</v>
      </c>
      <c r="BM76" s="1080"/>
      <c r="BN76" s="1099"/>
      <c r="BO76" s="1081"/>
      <c r="BP76" s="1086"/>
      <c r="BQ76" s="1078"/>
      <c r="BR76" s="1080"/>
      <c r="BS76" s="1099"/>
      <c r="BT76" s="1078"/>
      <c r="BU76" s="1080">
        <f>+I76*J76</f>
        <v>32.084000000000003</v>
      </c>
      <c r="BV76" s="1081"/>
      <c r="BW76" s="1080"/>
      <c r="BX76" s="1080">
        <f>+F76</f>
        <v>17.549999999999997</v>
      </c>
      <c r="BY76" s="1099"/>
      <c r="BZ76" s="1081"/>
      <c r="CA76" s="1397"/>
      <c r="CB76" s="1078"/>
      <c r="CC76" s="1080"/>
      <c r="CD76" s="1080"/>
      <c r="CE76" s="1078">
        <v>2</v>
      </c>
      <c r="CF76" s="1079"/>
      <c r="CG76" s="1080"/>
      <c r="CH76" s="1080"/>
      <c r="CI76" s="1080">
        <v>1</v>
      </c>
      <c r="CJ76" s="1080"/>
      <c r="CK76" s="1080"/>
      <c r="CL76" s="1080"/>
      <c r="CM76" s="1080">
        <v>3</v>
      </c>
      <c r="CN76" s="1080"/>
      <c r="CO76" s="1080"/>
      <c r="CP76" s="1080">
        <v>1</v>
      </c>
      <c r="CQ76" s="1080"/>
      <c r="CR76" s="1080"/>
      <c r="CS76" s="1080"/>
      <c r="CT76" s="1080"/>
      <c r="CU76" s="1081"/>
      <c r="CV76" s="1079"/>
      <c r="CW76" s="1080"/>
      <c r="CX76" s="1081">
        <v>1</v>
      </c>
      <c r="CY76" s="1091"/>
      <c r="CZ76" s="1417"/>
      <c r="DA76" s="1418"/>
      <c r="DB76" s="1418"/>
      <c r="DC76" s="1418"/>
      <c r="DD76" s="1419"/>
      <c r="DE76" s="1417"/>
      <c r="DF76" s="1418"/>
      <c r="DG76" s="1418"/>
      <c r="DH76" s="1418"/>
      <c r="DI76" s="1419"/>
    </row>
    <row r="77" spans="1:113" s="1341" customFormat="1" ht="13">
      <c r="A77" s="2063"/>
      <c r="B77" s="1471">
        <v>68</v>
      </c>
      <c r="C77" s="1115" t="s">
        <v>2170</v>
      </c>
      <c r="D77" s="1473"/>
      <c r="E77" s="1474"/>
      <c r="F77" s="1431">
        <v>1.8</v>
      </c>
      <c r="G77" s="1425">
        <v>5.64</v>
      </c>
      <c r="H77" s="1377">
        <v>1.17</v>
      </c>
      <c r="I77" s="1378">
        <f t="shared" si="20"/>
        <v>4.47</v>
      </c>
      <c r="J77" s="1376">
        <v>2.2000000000000002</v>
      </c>
      <c r="K77" s="1410"/>
      <c r="L77" s="1426"/>
      <c r="M77" s="1382"/>
      <c r="N77" s="1412"/>
      <c r="O77" s="1413"/>
      <c r="P77" s="1414"/>
      <c r="Q77" s="1412">
        <f t="shared" si="34"/>
        <v>1.8</v>
      </c>
      <c r="R77" s="1413"/>
      <c r="S77" s="1415"/>
      <c r="T77" s="1382"/>
      <c r="U77" s="1078"/>
      <c r="V77" s="1079"/>
      <c r="W77" s="1079"/>
      <c r="X77" s="1080"/>
      <c r="Y77" s="1081"/>
      <c r="Z77" s="1079">
        <f>+I77*J77</f>
        <v>9.8339999999999996</v>
      </c>
      <c r="AA77" s="1137">
        <f>+AB77*J77</f>
        <v>2.2000000000000002</v>
      </c>
      <c r="AB77" s="1129">
        <v>1</v>
      </c>
      <c r="AC77" s="1382"/>
      <c r="AD77" s="1093"/>
      <c r="AE77" s="1094"/>
      <c r="AF77" s="1095"/>
      <c r="AG77" s="1095"/>
      <c r="AH77" s="1095"/>
      <c r="AI77" s="1095"/>
      <c r="AJ77" s="1098"/>
      <c r="AK77" s="1363"/>
      <c r="AL77" s="1097">
        <f>+F77</f>
        <v>1.8</v>
      </c>
      <c r="AM77" s="1095"/>
      <c r="AN77" s="1095">
        <f>+G77</f>
        <v>5.64</v>
      </c>
      <c r="AO77" s="1095"/>
      <c r="AP77" s="1095"/>
      <c r="AQ77" s="1096"/>
      <c r="AR77" s="1097"/>
      <c r="AS77" s="1095"/>
      <c r="AT77" s="1098"/>
      <c r="AU77" s="1416"/>
      <c r="AV77" s="1363"/>
      <c r="AW77" s="1078"/>
      <c r="AX77" s="1080"/>
      <c r="AY77" s="1080"/>
      <c r="AZ77" s="1080"/>
      <c r="BA77" s="1081"/>
      <c r="BB77" s="1388"/>
      <c r="BC77" s="1363"/>
      <c r="BD77" s="1417"/>
      <c r="BE77" s="1418"/>
      <c r="BF77" s="1418">
        <f>+F77</f>
        <v>1.8</v>
      </c>
      <c r="BG77" s="1418"/>
      <c r="BH77" s="1418"/>
      <c r="BI77" s="1418"/>
      <c r="BJ77" s="1419"/>
      <c r="BK77" s="1659"/>
      <c r="BL77" s="1078">
        <f>+I77</f>
        <v>4.47</v>
      </c>
      <c r="BM77" s="1080"/>
      <c r="BN77" s="1099"/>
      <c r="BO77" s="1081"/>
      <c r="BP77" s="1086"/>
      <c r="BQ77" s="1078"/>
      <c r="BR77" s="1080"/>
      <c r="BS77" s="1099"/>
      <c r="BT77" s="1078"/>
      <c r="BU77" s="1080">
        <f>+I77*J77</f>
        <v>9.8339999999999996</v>
      </c>
      <c r="BV77" s="1081"/>
      <c r="BW77" s="1080">
        <f>+F77</f>
        <v>1.8</v>
      </c>
      <c r="BX77" s="1080"/>
      <c r="BY77" s="1099"/>
      <c r="BZ77" s="1081"/>
      <c r="CA77" s="1397"/>
      <c r="CB77" s="1078"/>
      <c r="CC77" s="1080"/>
      <c r="CD77" s="1080"/>
      <c r="CE77" s="1078">
        <v>1</v>
      </c>
      <c r="CF77" s="1079"/>
      <c r="CG77" s="1080"/>
      <c r="CH77" s="1080"/>
      <c r="CI77" s="1080">
        <v>1</v>
      </c>
      <c r="CJ77" s="1080"/>
      <c r="CK77" s="1080"/>
      <c r="CL77" s="1080"/>
      <c r="CM77" s="1080"/>
      <c r="CN77" s="1080"/>
      <c r="CO77" s="1080"/>
      <c r="CP77" s="1080"/>
      <c r="CQ77" s="1080"/>
      <c r="CR77" s="1080"/>
      <c r="CS77" s="1080"/>
      <c r="CT77" s="1080"/>
      <c r="CU77" s="1081"/>
      <c r="CV77" s="1079"/>
      <c r="CW77" s="1080"/>
      <c r="CX77" s="1081"/>
      <c r="CY77" s="1091"/>
      <c r="CZ77" s="1417"/>
      <c r="DA77" s="1418"/>
      <c r="DB77" s="1418"/>
      <c r="DC77" s="1418"/>
      <c r="DD77" s="1419"/>
      <c r="DE77" s="1417"/>
      <c r="DF77" s="1418"/>
      <c r="DG77" s="1418"/>
      <c r="DH77" s="1418"/>
      <c r="DI77" s="1419"/>
    </row>
    <row r="78" spans="1:113" s="1341" customFormat="1" ht="13">
      <c r="A78" s="2063"/>
      <c r="B78" s="1471">
        <v>69</v>
      </c>
      <c r="C78" s="1115" t="s">
        <v>2171</v>
      </c>
      <c r="D78" s="1473"/>
      <c r="E78" s="1474"/>
      <c r="F78" s="1431">
        <v>11.49</v>
      </c>
      <c r="G78" s="1425">
        <v>15.14</v>
      </c>
      <c r="H78" s="1377">
        <v>0</v>
      </c>
      <c r="I78" s="1378">
        <f t="shared" si="20"/>
        <v>15.14</v>
      </c>
      <c r="J78" s="1376">
        <v>2.6</v>
      </c>
      <c r="K78" s="1410"/>
      <c r="L78" s="1426">
        <v>2.81</v>
      </c>
      <c r="M78" s="1382"/>
      <c r="N78" s="1412"/>
      <c r="O78" s="1413"/>
      <c r="P78" s="1414"/>
      <c r="Q78" s="1412">
        <f t="shared" si="34"/>
        <v>11.49</v>
      </c>
      <c r="R78" s="1413"/>
      <c r="S78" s="1415"/>
      <c r="T78" s="1382"/>
      <c r="U78" s="1078"/>
      <c r="V78" s="1079"/>
      <c r="W78" s="1079"/>
      <c r="X78" s="1080"/>
      <c r="Y78" s="1081"/>
      <c r="Z78" s="1079">
        <f>+I78*J78</f>
        <v>39.364000000000004</v>
      </c>
      <c r="AA78" s="1137">
        <f>+AB78*J78</f>
        <v>2.6</v>
      </c>
      <c r="AB78" s="1081">
        <v>1</v>
      </c>
      <c r="AC78" s="1382"/>
      <c r="AD78" s="1093"/>
      <c r="AE78" s="1094"/>
      <c r="AF78" s="1095"/>
      <c r="AG78" s="1095"/>
      <c r="AH78" s="1095"/>
      <c r="AI78" s="1095"/>
      <c r="AJ78" s="1098"/>
      <c r="AK78" s="1363"/>
      <c r="AL78" s="1097"/>
      <c r="AM78" s="1095"/>
      <c r="AN78" s="1100">
        <f>(AP78*2)+(2*0.6)</f>
        <v>6.82</v>
      </c>
      <c r="AO78" s="1095"/>
      <c r="AP78" s="1100">
        <f>+L78</f>
        <v>2.81</v>
      </c>
      <c r="AQ78" s="1096"/>
      <c r="AR78" s="1097">
        <f>+F78</f>
        <v>11.49</v>
      </c>
      <c r="AS78" s="1095">
        <f>+G78</f>
        <v>15.14</v>
      </c>
      <c r="AT78" s="1098"/>
      <c r="AU78" s="1416"/>
      <c r="AV78" s="1363"/>
      <c r="AW78" s="1078"/>
      <c r="AX78" s="1080"/>
      <c r="AY78" s="1080">
        <v>1</v>
      </c>
      <c r="AZ78" s="1080"/>
      <c r="BA78" s="1081"/>
      <c r="BB78" s="1388">
        <v>1</v>
      </c>
      <c r="BC78" s="1363"/>
      <c r="BD78" s="1417"/>
      <c r="BE78" s="1418"/>
      <c r="BF78" s="1418">
        <f>+F78</f>
        <v>11.49</v>
      </c>
      <c r="BG78" s="1418"/>
      <c r="BH78" s="1418"/>
      <c r="BI78" s="1418"/>
      <c r="BJ78" s="1419"/>
      <c r="BK78" s="1659"/>
      <c r="BL78" s="1078">
        <f>+I78</f>
        <v>15.14</v>
      </c>
      <c r="BM78" s="1080"/>
      <c r="BN78" s="1099"/>
      <c r="BO78" s="1081"/>
      <c r="BP78" s="1086"/>
      <c r="BQ78" s="1078"/>
      <c r="BR78" s="1080"/>
      <c r="BS78" s="1099"/>
      <c r="BT78" s="1078"/>
      <c r="BU78" s="1080">
        <f>+I78*J78</f>
        <v>39.364000000000004</v>
      </c>
      <c r="BV78" s="1081"/>
      <c r="BW78" s="1113">
        <f>+AP78</f>
        <v>2.81</v>
      </c>
      <c r="BX78" s="1080">
        <f>+F78</f>
        <v>11.49</v>
      </c>
      <c r="BY78" s="1099"/>
      <c r="BZ78" s="1081"/>
      <c r="CA78" s="1397"/>
      <c r="CB78" s="1078"/>
      <c r="CC78" s="1080"/>
      <c r="CD78" s="1080"/>
      <c r="CE78" s="1078">
        <v>1</v>
      </c>
      <c r="CF78" s="1079"/>
      <c r="CG78" s="1080"/>
      <c r="CH78" s="1080"/>
      <c r="CI78" s="1080"/>
      <c r="CJ78" s="1080"/>
      <c r="CK78" s="1080"/>
      <c r="CL78" s="1080"/>
      <c r="CM78" s="1080">
        <v>3</v>
      </c>
      <c r="CN78" s="1080"/>
      <c r="CO78" s="1080"/>
      <c r="CP78" s="1080">
        <v>1</v>
      </c>
      <c r="CQ78" s="1080"/>
      <c r="CR78" s="1080"/>
      <c r="CS78" s="1080"/>
      <c r="CT78" s="1080"/>
      <c r="CU78" s="1081"/>
      <c r="CV78" s="1079"/>
      <c r="CW78" s="1080"/>
      <c r="CX78" s="1081">
        <v>1</v>
      </c>
      <c r="CY78" s="1091"/>
      <c r="CZ78" s="1417"/>
      <c r="DA78" s="1418"/>
      <c r="DB78" s="1418"/>
      <c r="DC78" s="1418"/>
      <c r="DD78" s="1419"/>
      <c r="DE78" s="1417"/>
      <c r="DF78" s="1418"/>
      <c r="DG78" s="1418"/>
      <c r="DH78" s="1418"/>
      <c r="DI78" s="1419"/>
    </row>
    <row r="79" spans="1:113" s="1341" customFormat="1" ht="13">
      <c r="A79" s="2063"/>
      <c r="B79" s="1471">
        <v>70</v>
      </c>
      <c r="C79" s="1115" t="s">
        <v>2172</v>
      </c>
      <c r="D79" s="1506"/>
      <c r="E79" s="1507"/>
      <c r="F79" s="1431">
        <v>2.0499999999999998</v>
      </c>
      <c r="G79" s="1425">
        <v>6.16</v>
      </c>
      <c r="H79" s="1377">
        <v>0</v>
      </c>
      <c r="I79" s="1378">
        <f t="shared" si="20"/>
        <v>6.16</v>
      </c>
      <c r="J79" s="1376">
        <v>2.2999999999999998</v>
      </c>
      <c r="K79" s="1509">
        <v>2.2999999999999998</v>
      </c>
      <c r="L79" s="1510"/>
      <c r="M79" s="1382"/>
      <c r="N79" s="1511"/>
      <c r="O79" s="1512"/>
      <c r="P79" s="1513"/>
      <c r="Q79" s="1511">
        <f t="shared" si="34"/>
        <v>2.0499999999999998</v>
      </c>
      <c r="R79" s="1512"/>
      <c r="S79" s="1514"/>
      <c r="T79" s="1382"/>
      <c r="U79" s="1138"/>
      <c r="V79" s="1433"/>
      <c r="W79" s="1433"/>
      <c r="X79" s="1139">
        <f>+I79*J79</f>
        <v>14.167999999999999</v>
      </c>
      <c r="Y79" s="1140"/>
      <c r="Z79" s="1433"/>
      <c r="AA79" s="1137"/>
      <c r="AB79" s="1140"/>
      <c r="AC79" s="1382"/>
      <c r="AD79" s="1515"/>
      <c r="AE79" s="1516"/>
      <c r="AF79" s="1435"/>
      <c r="AG79" s="1435"/>
      <c r="AH79" s="1435"/>
      <c r="AI79" s="1435"/>
      <c r="AJ79" s="1437"/>
      <c r="AK79" s="1363"/>
      <c r="AL79" s="1434"/>
      <c r="AM79" s="1435">
        <f>+F79</f>
        <v>2.0499999999999998</v>
      </c>
      <c r="AN79" s="1435">
        <f>+G79</f>
        <v>6.16</v>
      </c>
      <c r="AO79" s="1435"/>
      <c r="AP79" s="1435"/>
      <c r="AQ79" s="1436"/>
      <c r="AR79" s="1434"/>
      <c r="AS79" s="1435"/>
      <c r="AT79" s="1437"/>
      <c r="AU79" s="1438"/>
      <c r="AV79" s="1363"/>
      <c r="AW79" s="1138"/>
      <c r="AX79" s="1139"/>
      <c r="AY79" s="1139">
        <v>1</v>
      </c>
      <c r="AZ79" s="1139"/>
      <c r="BA79" s="1140"/>
      <c r="BB79" s="1439">
        <v>1</v>
      </c>
      <c r="BC79" s="1363"/>
      <c r="BD79" s="1417"/>
      <c r="BE79" s="1418"/>
      <c r="BF79" s="1418"/>
      <c r="BG79" s="1418">
        <f>+F79</f>
        <v>2.0499999999999998</v>
      </c>
      <c r="BH79" s="1418"/>
      <c r="BI79" s="1418"/>
      <c r="BJ79" s="1419"/>
      <c r="BK79" s="1659"/>
      <c r="BL79" s="1078"/>
      <c r="BM79" s="1080"/>
      <c r="BN79" s="1099"/>
      <c r="BO79" s="1081"/>
      <c r="BP79" s="1086"/>
      <c r="BQ79" s="1138"/>
      <c r="BR79" s="1080">
        <f>+I79*K79</f>
        <v>14.167999999999999</v>
      </c>
      <c r="BS79" s="1440"/>
      <c r="BT79" s="1138"/>
      <c r="BU79" s="1139"/>
      <c r="BV79" s="1140"/>
      <c r="BW79" s="1139">
        <f>+F79</f>
        <v>2.0499999999999998</v>
      </c>
      <c r="BX79" s="1139"/>
      <c r="BY79" s="1440"/>
      <c r="BZ79" s="1140"/>
      <c r="CA79" s="1397"/>
      <c r="CB79" s="1078"/>
      <c r="CC79" s="1080"/>
      <c r="CD79" s="1080"/>
      <c r="CE79" s="1078"/>
      <c r="CF79" s="1079">
        <v>1</v>
      </c>
      <c r="CG79" s="1080"/>
      <c r="CH79" s="1080"/>
      <c r="CI79" s="1080">
        <v>1</v>
      </c>
      <c r="CJ79" s="1080"/>
      <c r="CK79" s="1080"/>
      <c r="CL79" s="1080"/>
      <c r="CM79" s="1080">
        <v>1</v>
      </c>
      <c r="CN79" s="1080"/>
      <c r="CO79" s="1080"/>
      <c r="CP79" s="1080"/>
      <c r="CQ79" s="1080"/>
      <c r="CR79" s="1080"/>
      <c r="CS79" s="1080"/>
      <c r="CT79" s="1080"/>
      <c r="CU79" s="1081"/>
      <c r="CV79" s="1079"/>
      <c r="CW79" s="1080"/>
      <c r="CX79" s="1081"/>
      <c r="CY79" s="1091"/>
      <c r="CZ79" s="1502"/>
      <c r="DA79" s="1503"/>
      <c r="DB79" s="1503"/>
      <c r="DC79" s="1503"/>
      <c r="DD79" s="1504"/>
      <c r="DE79" s="1502"/>
      <c r="DF79" s="1503"/>
      <c r="DG79" s="1503"/>
      <c r="DH79" s="1503"/>
      <c r="DI79" s="1504"/>
    </row>
    <row r="80" spans="1:113" s="1341" customFormat="1" ht="13">
      <c r="A80" s="2063"/>
      <c r="B80" s="1471">
        <v>71</v>
      </c>
      <c r="C80" s="1115" t="s">
        <v>2173</v>
      </c>
      <c r="D80" s="1506">
        <v>3.6</v>
      </c>
      <c r="E80" s="1507">
        <v>2.5099999999999998</v>
      </c>
      <c r="F80" s="1375">
        <f t="shared" ref="F80:F81" si="36">D80*E80</f>
        <v>9.0359999999999996</v>
      </c>
      <c r="G80" s="1376">
        <f t="shared" ref="G80:G81" si="37">+D80*2+E80*2</f>
        <v>12.219999999999999</v>
      </c>
      <c r="H80" s="1377">
        <v>0</v>
      </c>
      <c r="I80" s="1378">
        <f t="shared" si="20"/>
        <v>12.219999999999999</v>
      </c>
      <c r="J80" s="1376">
        <v>2.6</v>
      </c>
      <c r="K80" s="1509"/>
      <c r="L80" s="1510"/>
      <c r="M80" s="1382"/>
      <c r="N80" s="1511"/>
      <c r="O80" s="1512"/>
      <c r="P80" s="1513"/>
      <c r="Q80" s="1511">
        <f t="shared" si="34"/>
        <v>9.0359999999999996</v>
      </c>
      <c r="R80" s="1512"/>
      <c r="S80" s="1514"/>
      <c r="T80" s="1382"/>
      <c r="U80" s="1138"/>
      <c r="V80" s="1433"/>
      <c r="W80" s="1433"/>
      <c r="X80" s="1139"/>
      <c r="Y80" s="1140"/>
      <c r="Z80" s="1433">
        <f>+I80*J80</f>
        <v>31.771999999999998</v>
      </c>
      <c r="AA80" s="1137">
        <f>+AB80*J80</f>
        <v>0</v>
      </c>
      <c r="AB80" s="1140">
        <v>0</v>
      </c>
      <c r="AC80" s="1382"/>
      <c r="AD80" s="1515"/>
      <c r="AE80" s="1577"/>
      <c r="AF80" s="1095"/>
      <c r="AG80" s="1095"/>
      <c r="AH80" s="1095"/>
      <c r="AI80" s="1095"/>
      <c r="AJ80" s="1098"/>
      <c r="AK80" s="1363"/>
      <c r="AL80" s="1434"/>
      <c r="AM80" s="1435"/>
      <c r="AN80" s="1435"/>
      <c r="AO80" s="1435"/>
      <c r="AP80" s="1435"/>
      <c r="AQ80" s="1436"/>
      <c r="AR80" s="1434">
        <f>+F80</f>
        <v>9.0359999999999996</v>
      </c>
      <c r="AS80" s="1435">
        <f>+G80</f>
        <v>12.219999999999999</v>
      </c>
      <c r="AT80" s="1437"/>
      <c r="AU80" s="1438"/>
      <c r="AV80" s="1363"/>
      <c r="AW80" s="1138"/>
      <c r="AX80" s="1139"/>
      <c r="AY80" s="1139">
        <v>1</v>
      </c>
      <c r="AZ80" s="1139"/>
      <c r="BA80" s="1140"/>
      <c r="BB80" s="1439">
        <v>1</v>
      </c>
      <c r="BC80" s="1363"/>
      <c r="BD80" s="1417"/>
      <c r="BE80" s="1418"/>
      <c r="BF80" s="1418">
        <f>+F80</f>
        <v>9.0359999999999996</v>
      </c>
      <c r="BG80" s="1418"/>
      <c r="BH80" s="1418"/>
      <c r="BI80" s="1418"/>
      <c r="BJ80" s="1419"/>
      <c r="BK80" s="1659"/>
      <c r="BL80" s="1078">
        <f>+I80</f>
        <v>12.219999999999999</v>
      </c>
      <c r="BM80" s="1080"/>
      <c r="BN80" s="1099"/>
      <c r="BO80" s="1081"/>
      <c r="BP80" s="1086"/>
      <c r="BQ80" s="1138"/>
      <c r="BR80" s="1139"/>
      <c r="BS80" s="1440"/>
      <c r="BT80" s="1138"/>
      <c r="BU80" s="1080">
        <f>+I80*J80</f>
        <v>31.771999999999998</v>
      </c>
      <c r="BV80" s="1140"/>
      <c r="BW80" s="1139"/>
      <c r="BX80" s="1139">
        <f>+F80</f>
        <v>9.0359999999999996</v>
      </c>
      <c r="BY80" s="1440"/>
      <c r="BZ80" s="1140"/>
      <c r="CA80" s="1397"/>
      <c r="CB80" s="1078"/>
      <c r="CC80" s="1080"/>
      <c r="CD80" s="1080"/>
      <c r="CE80" s="1078">
        <v>1</v>
      </c>
      <c r="CF80" s="1079"/>
      <c r="CG80" s="1080"/>
      <c r="CH80" s="1080"/>
      <c r="CI80" s="1080"/>
      <c r="CJ80" s="1080"/>
      <c r="CK80" s="1080"/>
      <c r="CL80" s="1080"/>
      <c r="CM80" s="1080">
        <v>3</v>
      </c>
      <c r="CN80" s="1080"/>
      <c r="CO80" s="1080"/>
      <c r="CP80" s="1080">
        <v>1</v>
      </c>
      <c r="CQ80" s="1080"/>
      <c r="CR80" s="1080"/>
      <c r="CS80" s="1080"/>
      <c r="CT80" s="1080"/>
      <c r="CU80" s="1081"/>
      <c r="CV80" s="1079"/>
      <c r="CW80" s="1080"/>
      <c r="CX80" s="1081">
        <v>1</v>
      </c>
      <c r="CY80" s="1091"/>
      <c r="CZ80" s="1502"/>
      <c r="DA80" s="1503"/>
      <c r="DB80" s="1503"/>
      <c r="DC80" s="1503"/>
      <c r="DD80" s="1504"/>
      <c r="DE80" s="1502"/>
      <c r="DF80" s="1503"/>
      <c r="DG80" s="1503"/>
      <c r="DH80" s="1503"/>
      <c r="DI80" s="1504"/>
    </row>
    <row r="81" spans="1:113" s="1341" customFormat="1" ht="13">
      <c r="A81" s="2063"/>
      <c r="B81" s="1471">
        <v>72</v>
      </c>
      <c r="C81" s="1505" t="s">
        <v>2174</v>
      </c>
      <c r="D81" s="1506">
        <v>2.31</v>
      </c>
      <c r="E81" s="1507">
        <v>1.5</v>
      </c>
      <c r="F81" s="1375">
        <f t="shared" si="36"/>
        <v>3.4649999999999999</v>
      </c>
      <c r="G81" s="1376">
        <f t="shared" si="37"/>
        <v>7.62</v>
      </c>
      <c r="H81" s="1377">
        <v>0</v>
      </c>
      <c r="I81" s="1378">
        <f t="shared" si="20"/>
        <v>7.62</v>
      </c>
      <c r="J81" s="1376">
        <v>2.2999999999999998</v>
      </c>
      <c r="K81" s="1509">
        <v>2.2999999999999998</v>
      </c>
      <c r="L81" s="1510"/>
      <c r="M81" s="1382"/>
      <c r="N81" s="1511"/>
      <c r="O81" s="1512"/>
      <c r="P81" s="1513"/>
      <c r="Q81" s="1511"/>
      <c r="R81" s="1512">
        <f>+F81</f>
        <v>3.4649999999999999</v>
      </c>
      <c r="S81" s="1415">
        <f>+F81</f>
        <v>3.4649999999999999</v>
      </c>
      <c r="T81" s="1382"/>
      <c r="U81" s="1138"/>
      <c r="V81" s="1433"/>
      <c r="W81" s="1433"/>
      <c r="X81" s="1139">
        <f>+I81*J81</f>
        <v>17.526</v>
      </c>
      <c r="Y81" s="1140"/>
      <c r="Z81" s="1433"/>
      <c r="AA81" s="1139"/>
      <c r="AB81" s="1140"/>
      <c r="AC81" s="1382"/>
      <c r="AD81" s="1093">
        <f>+F81</f>
        <v>3.4649999999999999</v>
      </c>
      <c r="AE81" s="1577">
        <f>+G81</f>
        <v>7.62</v>
      </c>
      <c r="AF81" s="1095"/>
      <c r="AG81" s="1095"/>
      <c r="AH81" s="1095"/>
      <c r="AI81" s="1095"/>
      <c r="AJ81" s="1098"/>
      <c r="AK81" s="1363"/>
      <c r="AL81" s="1434"/>
      <c r="AM81" s="1435">
        <f>+F81</f>
        <v>3.4649999999999999</v>
      </c>
      <c r="AN81" s="1435">
        <f>+G81</f>
        <v>7.62</v>
      </c>
      <c r="AO81" s="1435"/>
      <c r="AP81" s="1435"/>
      <c r="AQ81" s="1436"/>
      <c r="AR81" s="1434"/>
      <c r="AS81" s="1435"/>
      <c r="AT81" s="1437"/>
      <c r="AU81" s="1438"/>
      <c r="AV81" s="1363"/>
      <c r="AW81" s="1138"/>
      <c r="AX81" s="1139"/>
      <c r="AY81" s="1139">
        <v>1</v>
      </c>
      <c r="AZ81" s="1139"/>
      <c r="BA81" s="1140"/>
      <c r="BB81" s="1439">
        <v>1</v>
      </c>
      <c r="BC81" s="1363"/>
      <c r="BD81" s="1417"/>
      <c r="BE81" s="1418"/>
      <c r="BF81" s="1418"/>
      <c r="BG81" s="1418">
        <f>+F81</f>
        <v>3.4649999999999999</v>
      </c>
      <c r="BH81" s="1418"/>
      <c r="BI81" s="1418"/>
      <c r="BJ81" s="1419"/>
      <c r="BK81" s="1659"/>
      <c r="BL81" s="1078"/>
      <c r="BM81" s="1080"/>
      <c r="BN81" s="1099"/>
      <c r="BO81" s="1081"/>
      <c r="BP81" s="1086"/>
      <c r="BQ81" s="1138"/>
      <c r="BR81" s="1080">
        <f>+I81*K81</f>
        <v>17.526</v>
      </c>
      <c r="BS81" s="1440"/>
      <c r="BT81" s="1138"/>
      <c r="BU81" s="1139"/>
      <c r="BV81" s="1140"/>
      <c r="BW81" s="1139">
        <f>+F81</f>
        <v>3.4649999999999999</v>
      </c>
      <c r="BX81" s="1139"/>
      <c r="BY81" s="1440"/>
      <c r="BZ81" s="1140"/>
      <c r="CA81" s="1397"/>
      <c r="CB81" s="1078"/>
      <c r="CC81" s="1080"/>
      <c r="CD81" s="1080"/>
      <c r="CE81" s="1078">
        <v>1</v>
      </c>
      <c r="CF81" s="1079">
        <v>1</v>
      </c>
      <c r="CG81" s="1080"/>
      <c r="CH81" s="1080"/>
      <c r="CI81" s="1080"/>
      <c r="CJ81" s="1080">
        <v>1</v>
      </c>
      <c r="CK81" s="1080"/>
      <c r="CL81" s="1080"/>
      <c r="CM81" s="1080">
        <v>1</v>
      </c>
      <c r="CN81" s="1080"/>
      <c r="CO81" s="1080"/>
      <c r="CP81" s="1080"/>
      <c r="CQ81" s="1080"/>
      <c r="CR81" s="1080"/>
      <c r="CS81" s="1080"/>
      <c r="CT81" s="1080"/>
      <c r="CU81" s="1081"/>
      <c r="CV81" s="1079"/>
      <c r="CW81" s="1080"/>
      <c r="CX81" s="1081"/>
      <c r="CY81" s="1091"/>
      <c r="CZ81" s="1502"/>
      <c r="DA81" s="1503"/>
      <c r="DB81" s="1503"/>
      <c r="DC81" s="1503"/>
      <c r="DD81" s="1504"/>
      <c r="DE81" s="1502"/>
      <c r="DF81" s="1503"/>
      <c r="DG81" s="1503"/>
      <c r="DH81" s="1503"/>
      <c r="DI81" s="1504"/>
    </row>
    <row r="82" spans="1:113" s="1341" customFormat="1" ht="13">
      <c r="A82" s="2064"/>
      <c r="B82" s="1471">
        <v>73</v>
      </c>
      <c r="C82" s="1127" t="s">
        <v>1887</v>
      </c>
      <c r="D82" s="1449">
        <v>7.8</v>
      </c>
      <c r="E82" s="1450">
        <v>1.85</v>
      </c>
      <c r="F82" s="1482">
        <f t="shared" si="35"/>
        <v>14.43</v>
      </c>
      <c r="G82" s="1455">
        <f t="shared" si="33"/>
        <v>19.3</v>
      </c>
      <c r="H82" s="1453">
        <f>+D82+(E82*2)</f>
        <v>11.5</v>
      </c>
      <c r="I82" s="1454">
        <f t="shared" si="20"/>
        <v>7.8000000000000007</v>
      </c>
      <c r="J82" s="1455">
        <v>0</v>
      </c>
      <c r="K82" s="1456"/>
      <c r="L82" s="1483"/>
      <c r="M82" s="1382"/>
      <c r="N82" s="1457"/>
      <c r="O82" s="1458"/>
      <c r="P82" s="1459"/>
      <c r="Q82" s="1457"/>
      <c r="R82" s="1458">
        <f>+F82</f>
        <v>14.43</v>
      </c>
      <c r="S82" s="1415">
        <f>+F82</f>
        <v>14.43</v>
      </c>
      <c r="T82" s="1382"/>
      <c r="U82" s="1105"/>
      <c r="V82" s="1109"/>
      <c r="W82" s="1109"/>
      <c r="X82" s="1106"/>
      <c r="Y82" s="1108"/>
      <c r="Z82" s="1109"/>
      <c r="AA82" s="1106"/>
      <c r="AB82" s="1108"/>
      <c r="AC82" s="1382"/>
      <c r="AD82" s="1120"/>
      <c r="AE82" s="1578"/>
      <c r="AF82" s="1101"/>
      <c r="AG82" s="1101">
        <f>+F82</f>
        <v>14.43</v>
      </c>
      <c r="AH82" s="1101">
        <f>+F82</f>
        <v>14.43</v>
      </c>
      <c r="AI82" s="1101">
        <f>+F82</f>
        <v>14.43</v>
      </c>
      <c r="AJ82" s="1104">
        <f>+G82</f>
        <v>19.3</v>
      </c>
      <c r="AK82" s="1363"/>
      <c r="AL82" s="1103"/>
      <c r="AM82" s="1101"/>
      <c r="AN82" s="1101"/>
      <c r="AO82" s="1101"/>
      <c r="AP82" s="1101"/>
      <c r="AQ82" s="1102"/>
      <c r="AR82" s="1103"/>
      <c r="AS82" s="1101"/>
      <c r="AT82" s="1104"/>
      <c r="AU82" s="1461"/>
      <c r="AV82" s="1363"/>
      <c r="AW82" s="1105"/>
      <c r="AX82" s="1106"/>
      <c r="AY82" s="1106"/>
      <c r="AZ82" s="1106"/>
      <c r="BA82" s="1108"/>
      <c r="BB82" s="1462"/>
      <c r="BC82" s="1363"/>
      <c r="BD82" s="1463"/>
      <c r="BE82" s="1464"/>
      <c r="BF82" s="1418">
        <f>+F82</f>
        <v>14.43</v>
      </c>
      <c r="BG82" s="1464"/>
      <c r="BH82" s="1464"/>
      <c r="BI82" s="1464"/>
      <c r="BJ82" s="1465"/>
      <c r="BK82" s="1660"/>
      <c r="BL82" s="1105"/>
      <c r="BM82" s="1106"/>
      <c r="BN82" s="1107">
        <f>+G82</f>
        <v>19.3</v>
      </c>
      <c r="BO82" s="1108"/>
      <c r="BP82" s="1086"/>
      <c r="BQ82" s="1105"/>
      <c r="BR82" s="1106"/>
      <c r="BS82" s="1107"/>
      <c r="BT82" s="1105"/>
      <c r="BU82" s="1106"/>
      <c r="BV82" s="1108"/>
      <c r="BW82" s="1106"/>
      <c r="BX82" s="1106"/>
      <c r="BY82" s="1107"/>
      <c r="BZ82" s="1108"/>
      <c r="CA82" s="1397"/>
      <c r="CB82" s="1105"/>
      <c r="CC82" s="1106">
        <v>2</v>
      </c>
      <c r="CD82" s="1106"/>
      <c r="CE82" s="1105"/>
      <c r="CF82" s="1109">
        <v>2</v>
      </c>
      <c r="CG82" s="1106"/>
      <c r="CH82" s="1106"/>
      <c r="CI82" s="1106"/>
      <c r="CJ82" s="1106"/>
      <c r="CK82" s="1106"/>
      <c r="CL82" s="1106"/>
      <c r="CM82" s="1106"/>
      <c r="CN82" s="1106"/>
      <c r="CO82" s="1106"/>
      <c r="CP82" s="1106"/>
      <c r="CQ82" s="1106"/>
      <c r="CR82" s="1106"/>
      <c r="CS82" s="1106"/>
      <c r="CT82" s="1106"/>
      <c r="CU82" s="1108"/>
      <c r="CV82" s="1109"/>
      <c r="CW82" s="1106"/>
      <c r="CX82" s="1108"/>
      <c r="CY82" s="1091"/>
      <c r="CZ82" s="1463"/>
      <c r="DA82" s="1464"/>
      <c r="DB82" s="1464"/>
      <c r="DC82" s="1464"/>
      <c r="DD82" s="1465"/>
      <c r="DE82" s="1463"/>
      <c r="DF82" s="1464"/>
      <c r="DG82" s="1464"/>
      <c r="DH82" s="1464"/>
      <c r="DI82" s="1465"/>
    </row>
    <row r="83" spans="1:113" s="1341" customFormat="1" ht="13">
      <c r="A83" s="2062" t="s">
        <v>406</v>
      </c>
      <c r="B83" s="1441">
        <v>74</v>
      </c>
      <c r="C83" s="1122" t="s">
        <v>483</v>
      </c>
      <c r="D83" s="1442"/>
      <c r="E83" s="1443"/>
      <c r="F83" s="1573">
        <v>9.89</v>
      </c>
      <c r="G83" s="1445">
        <v>13.1</v>
      </c>
      <c r="H83" s="1403"/>
      <c r="I83" s="1404">
        <f t="shared" si="20"/>
        <v>13.1</v>
      </c>
      <c r="J83" s="1402">
        <v>2.8</v>
      </c>
      <c r="K83" s="1380"/>
      <c r="L83" s="1381">
        <v>2</v>
      </c>
      <c r="M83" s="1382"/>
      <c r="N83" s="1383"/>
      <c r="O83" s="1384"/>
      <c r="P83" s="1385"/>
      <c r="Q83" s="1383">
        <f>+L83</f>
        <v>2</v>
      </c>
      <c r="R83" s="1384"/>
      <c r="S83" s="1386"/>
      <c r="T83" s="1382"/>
      <c r="U83" s="1085">
        <f>+I83*J83</f>
        <v>36.68</v>
      </c>
      <c r="V83" s="1090"/>
      <c r="W83" s="1090"/>
      <c r="X83" s="1087"/>
      <c r="Y83" s="1089"/>
      <c r="Z83" s="1090"/>
      <c r="AA83" s="1087"/>
      <c r="AB83" s="1089"/>
      <c r="AC83" s="1382"/>
      <c r="AD83" s="1110"/>
      <c r="AE83" s="1111"/>
      <c r="AF83" s="1083"/>
      <c r="AG83" s="1083"/>
      <c r="AH83" s="1083"/>
      <c r="AI83" s="1083"/>
      <c r="AJ83" s="1084"/>
      <c r="AK83" s="1363"/>
      <c r="AL83" s="1082"/>
      <c r="AM83" s="1083"/>
      <c r="AN83" s="1083"/>
      <c r="AO83" s="1083"/>
      <c r="AP83" s="1446"/>
      <c r="AQ83" s="1126"/>
      <c r="AR83" s="1082"/>
      <c r="AS83" s="1083"/>
      <c r="AT83" s="1084"/>
      <c r="AU83" s="1387">
        <f>+F83</f>
        <v>9.89</v>
      </c>
      <c r="AV83" s="1363"/>
      <c r="AW83" s="1085"/>
      <c r="AX83" s="1087">
        <v>1</v>
      </c>
      <c r="AY83" s="1087"/>
      <c r="AZ83" s="1087"/>
      <c r="BA83" s="1089"/>
      <c r="BB83" s="1447"/>
      <c r="BC83" s="1363"/>
      <c r="BD83" s="1398"/>
      <c r="BE83" s="1399"/>
      <c r="BF83" s="1399"/>
      <c r="BG83" s="1399"/>
      <c r="BH83" s="1399"/>
      <c r="BI83" s="1399"/>
      <c r="BJ83" s="1400"/>
      <c r="BK83" s="1658"/>
      <c r="BL83" s="1085"/>
      <c r="BM83" s="1087"/>
      <c r="BN83" s="1088"/>
      <c r="BO83" s="1089"/>
      <c r="BP83" s="1086"/>
      <c r="BQ83" s="1085"/>
      <c r="BR83" s="1087"/>
      <c r="BS83" s="1088"/>
      <c r="BT83" s="1085"/>
      <c r="BU83" s="1087"/>
      <c r="BV83" s="1089">
        <f>+I83*J83</f>
        <v>36.68</v>
      </c>
      <c r="BW83" s="1087"/>
      <c r="BX83" s="1087"/>
      <c r="BY83" s="1088"/>
      <c r="BZ83" s="1089">
        <f>+F83</f>
        <v>9.89</v>
      </c>
      <c r="CA83" s="1397"/>
      <c r="CB83" s="1085"/>
      <c r="CC83" s="1087">
        <v>3</v>
      </c>
      <c r="CD83" s="1087">
        <v>2</v>
      </c>
      <c r="CE83" s="1085">
        <v>5</v>
      </c>
      <c r="CF83" s="1090"/>
      <c r="CG83" s="1087"/>
      <c r="CH83" s="1087">
        <v>1</v>
      </c>
      <c r="CI83" s="1087"/>
      <c r="CJ83" s="1087"/>
      <c r="CK83" s="1087"/>
      <c r="CL83" s="1087"/>
      <c r="CM83" s="1087"/>
      <c r="CN83" s="1087"/>
      <c r="CO83" s="1087"/>
      <c r="CP83" s="1087"/>
      <c r="CQ83" s="1087"/>
      <c r="CR83" s="1087"/>
      <c r="CS83" s="1087"/>
      <c r="CT83" s="1087"/>
      <c r="CU83" s="1089"/>
      <c r="CV83" s="1090"/>
      <c r="CW83" s="1087"/>
      <c r="CX83" s="1087"/>
      <c r="CY83" s="1091"/>
      <c r="CZ83" s="1398"/>
      <c r="DA83" s="1399"/>
      <c r="DB83" s="1399"/>
      <c r="DC83" s="1399"/>
      <c r="DD83" s="1400"/>
      <c r="DE83" s="1398"/>
      <c r="DF83" s="1399"/>
      <c r="DG83" s="1399"/>
      <c r="DH83" s="1399"/>
      <c r="DI83" s="1400"/>
    </row>
    <row r="84" spans="1:113" s="1397" customFormat="1" ht="13">
      <c r="A84" s="2063"/>
      <c r="B84" s="1561">
        <v>75</v>
      </c>
      <c r="C84" s="1505" t="s">
        <v>1433</v>
      </c>
      <c r="D84" s="1506"/>
      <c r="E84" s="1507"/>
      <c r="F84" s="1579">
        <v>8.7899999999999991</v>
      </c>
      <c r="G84" s="1580">
        <v>17.78</v>
      </c>
      <c r="H84" s="1508"/>
      <c r="I84" s="1532">
        <f t="shared" si="20"/>
        <v>17.78</v>
      </c>
      <c r="J84" s="1455">
        <v>2.4</v>
      </c>
      <c r="K84" s="1509"/>
      <c r="L84" s="1510">
        <v>1.1000000000000001</v>
      </c>
      <c r="M84" s="1382"/>
      <c r="N84" s="1457"/>
      <c r="O84" s="1458"/>
      <c r="P84" s="1459"/>
      <c r="Q84" s="1457">
        <f>+F84</f>
        <v>8.7899999999999991</v>
      </c>
      <c r="R84" s="1458"/>
      <c r="S84" s="1460"/>
      <c r="T84" s="1382"/>
      <c r="U84" s="1105"/>
      <c r="V84" s="1109"/>
      <c r="W84" s="1109"/>
      <c r="X84" s="1106"/>
      <c r="Y84" s="1108"/>
      <c r="Z84" s="1109">
        <f>+I84*J84</f>
        <v>42.672000000000004</v>
      </c>
      <c r="AA84" s="1137">
        <f>+AB84*J84</f>
        <v>4.8</v>
      </c>
      <c r="AB84" s="1108">
        <v>2</v>
      </c>
      <c r="AC84" s="1382"/>
      <c r="AD84" s="1120"/>
      <c r="AE84" s="1121"/>
      <c r="AF84" s="1101"/>
      <c r="AG84" s="1101"/>
      <c r="AH84" s="1101"/>
      <c r="AI84" s="1101"/>
      <c r="AJ84" s="1104"/>
      <c r="AK84" s="1382"/>
      <c r="AL84" s="1103">
        <f>+F84</f>
        <v>8.7899999999999991</v>
      </c>
      <c r="AM84" s="1101"/>
      <c r="AN84" s="1101">
        <f>+G84</f>
        <v>17.78</v>
      </c>
      <c r="AO84" s="1101">
        <f>+L84*2</f>
        <v>2.2000000000000002</v>
      </c>
      <c r="AP84" s="1101"/>
      <c r="AQ84" s="1102"/>
      <c r="AR84" s="1103"/>
      <c r="AS84" s="1101"/>
      <c r="AT84" s="1104"/>
      <c r="AU84" s="1461"/>
      <c r="AV84" s="1382"/>
      <c r="AW84" s="1105"/>
      <c r="AX84" s="1106"/>
      <c r="AY84" s="1106"/>
      <c r="AZ84" s="1106"/>
      <c r="BA84" s="1108">
        <v>1</v>
      </c>
      <c r="BB84" s="1462">
        <v>2</v>
      </c>
      <c r="BC84" s="1363"/>
      <c r="BD84" s="1463"/>
      <c r="BE84" s="1464">
        <f>+F84</f>
        <v>8.7899999999999991</v>
      </c>
      <c r="BF84" s="1464"/>
      <c r="BG84" s="1464"/>
      <c r="BH84" s="1464"/>
      <c r="BI84" s="1464"/>
      <c r="BJ84" s="1465"/>
      <c r="BK84" s="1660"/>
      <c r="BL84" s="1105"/>
      <c r="BM84" s="1106"/>
      <c r="BN84" s="1107"/>
      <c r="BO84" s="1108">
        <f>+G84</f>
        <v>17.78</v>
      </c>
      <c r="BP84" s="1086"/>
      <c r="BQ84" s="1105"/>
      <c r="BR84" s="1106"/>
      <c r="BS84" s="1107"/>
      <c r="BT84" s="1105"/>
      <c r="BU84" s="1106">
        <f>+I84*J84</f>
        <v>42.672000000000004</v>
      </c>
      <c r="BV84" s="1108"/>
      <c r="BW84" s="1106">
        <f>+F84</f>
        <v>8.7899999999999991</v>
      </c>
      <c r="BX84" s="1106"/>
      <c r="BY84" s="1107"/>
      <c r="BZ84" s="1108"/>
      <c r="CB84" s="1105"/>
      <c r="CC84" s="1106">
        <v>2</v>
      </c>
      <c r="CD84" s="1106">
        <v>1</v>
      </c>
      <c r="CE84" s="1105">
        <v>3</v>
      </c>
      <c r="CF84" s="1109"/>
      <c r="CG84" s="1106"/>
      <c r="CH84" s="1106">
        <v>1</v>
      </c>
      <c r="CI84" s="1106"/>
      <c r="CJ84" s="1106"/>
      <c r="CK84" s="1106"/>
      <c r="CL84" s="1106">
        <v>1</v>
      </c>
      <c r="CM84" s="1106"/>
      <c r="CN84" s="1106"/>
      <c r="CO84" s="1106"/>
      <c r="CP84" s="1106"/>
      <c r="CQ84" s="1106"/>
      <c r="CR84" s="1106"/>
      <c r="CS84" s="1106"/>
      <c r="CT84" s="1106"/>
      <c r="CU84" s="1108"/>
      <c r="CV84" s="1109"/>
      <c r="CW84" s="1106"/>
      <c r="CX84" s="1106"/>
      <c r="CY84" s="1091"/>
      <c r="CZ84" s="1463"/>
      <c r="DA84" s="1464"/>
      <c r="DB84" s="1464"/>
      <c r="DC84" s="1464"/>
      <c r="DD84" s="1465"/>
      <c r="DE84" s="1463"/>
      <c r="DF84" s="1464"/>
      <c r="DG84" s="1464"/>
      <c r="DH84" s="1464"/>
      <c r="DI84" s="1465"/>
    </row>
    <row r="85" spans="1:113" s="1341" customFormat="1" ht="13">
      <c r="A85" s="2063"/>
      <c r="B85" s="1441">
        <v>76</v>
      </c>
      <c r="C85" s="1128" t="s">
        <v>1887</v>
      </c>
      <c r="D85" s="1442">
        <v>3.85</v>
      </c>
      <c r="E85" s="1443">
        <v>7.76</v>
      </c>
      <c r="F85" s="1401">
        <f t="shared" ref="F85:F94" si="38">D85*E85</f>
        <v>29.876000000000001</v>
      </c>
      <c r="G85" s="1402">
        <f t="shared" ref="G85:G94" si="39">+D85*2+E85*2</f>
        <v>23.22</v>
      </c>
      <c r="H85" s="1403"/>
      <c r="I85" s="1404">
        <f t="shared" si="20"/>
        <v>23.22</v>
      </c>
      <c r="J85" s="1402"/>
      <c r="K85" s="1380"/>
      <c r="L85" s="1381"/>
      <c r="M85" s="1382"/>
      <c r="N85" s="1383"/>
      <c r="O85" s="1384"/>
      <c r="P85" s="1385"/>
      <c r="Q85" s="1383"/>
      <c r="R85" s="1384">
        <f>+F85</f>
        <v>29.876000000000001</v>
      </c>
      <c r="S85" s="1415">
        <f>+F85</f>
        <v>29.876000000000001</v>
      </c>
      <c r="T85" s="1382"/>
      <c r="U85" s="1112"/>
      <c r="V85" s="1123"/>
      <c r="W85" s="1123"/>
      <c r="X85" s="1124"/>
      <c r="Y85" s="1125"/>
      <c r="Z85" s="1123"/>
      <c r="AA85" s="1087"/>
      <c r="AB85" s="1129"/>
      <c r="AC85" s="1382"/>
      <c r="AD85" s="1110"/>
      <c r="AE85" s="1111"/>
      <c r="AF85" s="1083"/>
      <c r="AG85" s="1083">
        <f>+F85</f>
        <v>29.876000000000001</v>
      </c>
      <c r="AH85" s="1083">
        <f>+F85</f>
        <v>29.876000000000001</v>
      </c>
      <c r="AI85" s="1083">
        <f>+F85</f>
        <v>29.876000000000001</v>
      </c>
      <c r="AJ85" s="1084">
        <f>+G85</f>
        <v>23.22</v>
      </c>
      <c r="AK85" s="1363"/>
      <c r="AL85" s="1135"/>
      <c r="AM85" s="1132"/>
      <c r="AN85" s="1132"/>
      <c r="AO85" s="1132"/>
      <c r="AP85" s="1132"/>
      <c r="AQ85" s="1133"/>
      <c r="AR85" s="1135"/>
      <c r="AS85" s="1132"/>
      <c r="AT85" s="1134"/>
      <c r="AU85" s="1466"/>
      <c r="AV85" s="1363"/>
      <c r="AW85" s="1112"/>
      <c r="AX85" s="1124"/>
      <c r="AY85" s="1124"/>
      <c r="AZ85" s="1124"/>
      <c r="BA85" s="1125"/>
      <c r="BB85" s="1467"/>
      <c r="BC85" s="1363"/>
      <c r="BD85" s="1468"/>
      <c r="BE85" s="1469"/>
      <c r="BF85" s="1469">
        <f>+F85</f>
        <v>29.876000000000001</v>
      </c>
      <c r="BG85" s="1469"/>
      <c r="BH85" s="1469"/>
      <c r="BI85" s="1469"/>
      <c r="BJ85" s="1470"/>
      <c r="BK85" s="1661"/>
      <c r="BL85" s="1112"/>
      <c r="BM85" s="1124"/>
      <c r="BN85" s="1136">
        <f>+G85</f>
        <v>23.22</v>
      </c>
      <c r="BO85" s="1125"/>
      <c r="BP85" s="1086"/>
      <c r="BQ85" s="1085"/>
      <c r="BR85" s="1087"/>
      <c r="BS85" s="1088"/>
      <c r="BT85" s="1085"/>
      <c r="BU85" s="1087"/>
      <c r="BV85" s="1089"/>
      <c r="BW85" s="1087"/>
      <c r="BX85" s="1087"/>
      <c r="BY85" s="1088"/>
      <c r="BZ85" s="1089"/>
      <c r="CA85" s="1397"/>
      <c r="CB85" s="1112"/>
      <c r="CC85" s="1124">
        <v>2</v>
      </c>
      <c r="CD85" s="1124"/>
      <c r="CE85" s="1112"/>
      <c r="CF85" s="1123">
        <v>2</v>
      </c>
      <c r="CG85" s="1124"/>
      <c r="CH85" s="1124"/>
      <c r="CI85" s="1124"/>
      <c r="CJ85" s="1124"/>
      <c r="CK85" s="1124"/>
      <c r="CL85" s="1124"/>
      <c r="CM85" s="1124"/>
      <c r="CN85" s="1124"/>
      <c r="CO85" s="1124"/>
      <c r="CP85" s="1124"/>
      <c r="CQ85" s="1124"/>
      <c r="CR85" s="1124"/>
      <c r="CS85" s="1124"/>
      <c r="CT85" s="1124"/>
      <c r="CU85" s="1125"/>
      <c r="CV85" s="1085"/>
      <c r="CW85" s="1087"/>
      <c r="CX85" s="1089"/>
      <c r="CY85" s="1091"/>
      <c r="CZ85" s="1468"/>
      <c r="DA85" s="1469"/>
      <c r="DB85" s="1469"/>
      <c r="DC85" s="1469"/>
      <c r="DD85" s="1470"/>
      <c r="DE85" s="1468"/>
      <c r="DF85" s="1469"/>
      <c r="DG85" s="1469"/>
      <c r="DH85" s="1469"/>
      <c r="DI85" s="1470"/>
    </row>
    <row r="86" spans="1:113" s="1341" customFormat="1" ht="13">
      <c r="A86" s="2063"/>
      <c r="B86" s="1471">
        <v>77</v>
      </c>
      <c r="C86" s="1472" t="s">
        <v>2175</v>
      </c>
      <c r="D86" s="1473"/>
      <c r="E86" s="1474"/>
      <c r="F86" s="1431">
        <v>10.61</v>
      </c>
      <c r="G86" s="1425">
        <v>15.64</v>
      </c>
      <c r="H86" s="1377"/>
      <c r="I86" s="1378">
        <f t="shared" si="20"/>
        <v>15.64</v>
      </c>
      <c r="J86" s="1376">
        <v>2.6</v>
      </c>
      <c r="K86" s="1410"/>
      <c r="L86" s="1426"/>
      <c r="M86" s="1382"/>
      <c r="N86" s="1475"/>
      <c r="O86" s="1476"/>
      <c r="P86" s="1477"/>
      <c r="Q86" s="1475">
        <f>+F86</f>
        <v>10.61</v>
      </c>
      <c r="R86" s="1476"/>
      <c r="S86" s="1478"/>
      <c r="T86" s="1382"/>
      <c r="U86" s="1112"/>
      <c r="V86" s="1123"/>
      <c r="W86" s="1123"/>
      <c r="X86" s="1124"/>
      <c r="Y86" s="1125"/>
      <c r="Z86" s="1123">
        <f>I86*J86</f>
        <v>40.664000000000001</v>
      </c>
      <c r="AA86" s="1124">
        <f>+AB86*J86</f>
        <v>10.4</v>
      </c>
      <c r="AB86" s="1129">
        <v>4</v>
      </c>
      <c r="AC86" s="1382"/>
      <c r="AD86" s="1093"/>
      <c r="AE86" s="1094"/>
      <c r="AF86" s="1095"/>
      <c r="AG86" s="1095"/>
      <c r="AH86" s="1095"/>
      <c r="AI86" s="1095"/>
      <c r="AJ86" s="1098"/>
      <c r="AK86" s="1363"/>
      <c r="AL86" s="1135"/>
      <c r="AM86" s="1132"/>
      <c r="AN86" s="1132"/>
      <c r="AO86" s="1132"/>
      <c r="AP86" s="1132"/>
      <c r="AQ86" s="1133"/>
      <c r="AR86" s="1135">
        <f>+F86</f>
        <v>10.61</v>
      </c>
      <c r="AS86" s="1132">
        <f>+G86</f>
        <v>15.64</v>
      </c>
      <c r="AT86" s="1134"/>
      <c r="AU86" s="1466"/>
      <c r="AV86" s="1363"/>
      <c r="AW86" s="1112"/>
      <c r="AX86" s="1124"/>
      <c r="AY86" s="1124">
        <v>1</v>
      </c>
      <c r="AZ86" s="1124"/>
      <c r="BA86" s="1125"/>
      <c r="BB86" s="1467">
        <v>1</v>
      </c>
      <c r="BC86" s="1363"/>
      <c r="BD86" s="1468"/>
      <c r="BE86" s="1469"/>
      <c r="BF86" s="1469">
        <f>+F86</f>
        <v>10.61</v>
      </c>
      <c r="BG86" s="1469"/>
      <c r="BH86" s="1469"/>
      <c r="BI86" s="1469"/>
      <c r="BJ86" s="1470"/>
      <c r="BK86" s="1661"/>
      <c r="BL86" s="1112">
        <f>+G86</f>
        <v>15.64</v>
      </c>
      <c r="BM86" s="1124"/>
      <c r="BN86" s="1136"/>
      <c r="BO86" s="1125"/>
      <c r="BP86" s="1086"/>
      <c r="BQ86" s="1078"/>
      <c r="BR86" s="1080"/>
      <c r="BS86" s="1099"/>
      <c r="BT86" s="1078"/>
      <c r="BU86" s="1080">
        <f>+I86*J86</f>
        <v>40.664000000000001</v>
      </c>
      <c r="BV86" s="1081"/>
      <c r="BW86" s="1080"/>
      <c r="BX86" s="1080">
        <f>+F86</f>
        <v>10.61</v>
      </c>
      <c r="BY86" s="1099"/>
      <c r="BZ86" s="1081"/>
      <c r="CA86" s="1397"/>
      <c r="CB86" s="1112"/>
      <c r="CC86" s="1124"/>
      <c r="CD86" s="1124"/>
      <c r="CE86" s="1112">
        <v>1</v>
      </c>
      <c r="CF86" s="1123"/>
      <c r="CG86" s="1124"/>
      <c r="CH86" s="1124"/>
      <c r="CI86" s="1124"/>
      <c r="CJ86" s="1124">
        <v>1</v>
      </c>
      <c r="CK86" s="1124"/>
      <c r="CL86" s="1124"/>
      <c r="CM86" s="1124">
        <v>3</v>
      </c>
      <c r="CN86" s="1124"/>
      <c r="CO86" s="1124"/>
      <c r="CP86" s="1124">
        <v>1</v>
      </c>
      <c r="CQ86" s="1124"/>
      <c r="CR86" s="1124"/>
      <c r="CS86" s="1124"/>
      <c r="CT86" s="1124"/>
      <c r="CU86" s="1125"/>
      <c r="CV86" s="1112"/>
      <c r="CW86" s="1124"/>
      <c r="CX86" s="1125">
        <v>1</v>
      </c>
      <c r="CY86" s="1091"/>
      <c r="CZ86" s="1468"/>
      <c r="DA86" s="1469"/>
      <c r="DB86" s="1469"/>
      <c r="DC86" s="1469"/>
      <c r="DD86" s="1470"/>
      <c r="DE86" s="1468"/>
      <c r="DF86" s="1469"/>
      <c r="DG86" s="1469"/>
      <c r="DH86" s="1469"/>
      <c r="DI86" s="1470"/>
    </row>
    <row r="87" spans="1:113" s="1341" customFormat="1" ht="13">
      <c r="A87" s="2063"/>
      <c r="B87" s="1471">
        <v>78</v>
      </c>
      <c r="C87" s="1472" t="s">
        <v>2176</v>
      </c>
      <c r="D87" s="1473"/>
      <c r="E87" s="1474"/>
      <c r="F87" s="1431">
        <v>20.34</v>
      </c>
      <c r="G87" s="1425">
        <v>19.34</v>
      </c>
      <c r="H87" s="1377"/>
      <c r="I87" s="1378">
        <f t="shared" si="20"/>
        <v>19.34</v>
      </c>
      <c r="J87" s="1376">
        <v>2.6</v>
      </c>
      <c r="K87" s="1410">
        <v>0.9</v>
      </c>
      <c r="L87" s="1426">
        <v>4.8</v>
      </c>
      <c r="M87" s="1382"/>
      <c r="N87" s="1475"/>
      <c r="O87" s="1476"/>
      <c r="P87" s="1477"/>
      <c r="Q87" s="1475">
        <f>+F87</f>
        <v>20.34</v>
      </c>
      <c r="R87" s="1476"/>
      <c r="S87" s="1478"/>
      <c r="T87" s="1382"/>
      <c r="U87" s="1112"/>
      <c r="V87" s="1123"/>
      <c r="W87" s="1123"/>
      <c r="X87" s="1124">
        <f>+L87*J87</f>
        <v>12.48</v>
      </c>
      <c r="Y87" s="1125"/>
      <c r="Z87" s="1581">
        <f>(I87*J87)-X87</f>
        <v>37.804000000000002</v>
      </c>
      <c r="AA87" s="1124">
        <f>+AB87*J87</f>
        <v>7.8000000000000007</v>
      </c>
      <c r="AB87" s="1129">
        <v>3</v>
      </c>
      <c r="AC87" s="1382"/>
      <c r="AD87" s="1093"/>
      <c r="AE87" s="1094"/>
      <c r="AF87" s="1095"/>
      <c r="AG87" s="1095"/>
      <c r="AH87" s="1095"/>
      <c r="AI87" s="1095"/>
      <c r="AJ87" s="1098"/>
      <c r="AK87" s="1363"/>
      <c r="AL87" s="1135"/>
      <c r="AM87" s="1132"/>
      <c r="AN87" s="1132"/>
      <c r="AO87" s="1132"/>
      <c r="AP87" s="1132"/>
      <c r="AQ87" s="1133"/>
      <c r="AR87" s="1135">
        <f>+F87</f>
        <v>20.34</v>
      </c>
      <c r="AS87" s="1132">
        <f>+G87</f>
        <v>19.34</v>
      </c>
      <c r="AT87" s="1134"/>
      <c r="AU87" s="1466"/>
      <c r="AV87" s="1363"/>
      <c r="AW87" s="1112">
        <v>1</v>
      </c>
      <c r="AX87" s="1124"/>
      <c r="AY87" s="1124"/>
      <c r="AZ87" s="1124"/>
      <c r="BA87" s="1125"/>
      <c r="BB87" s="1467">
        <v>2</v>
      </c>
      <c r="BC87" s="1363"/>
      <c r="BD87" s="1468"/>
      <c r="BE87" s="1469"/>
      <c r="BF87" s="1469">
        <f>+F87</f>
        <v>20.34</v>
      </c>
      <c r="BG87" s="1469"/>
      <c r="BH87" s="1469"/>
      <c r="BI87" s="1469"/>
      <c r="BJ87" s="1470"/>
      <c r="BK87" s="1661">
        <v>1</v>
      </c>
      <c r="BL87" s="1112">
        <f>+G87</f>
        <v>19.34</v>
      </c>
      <c r="BM87" s="1124"/>
      <c r="BN87" s="1136"/>
      <c r="BO87" s="1125"/>
      <c r="BP87" s="1086"/>
      <c r="BQ87" s="1078">
        <f>+K87*L87</f>
        <v>4.32</v>
      </c>
      <c r="BR87" s="1080"/>
      <c r="BS87" s="1099"/>
      <c r="BT87" s="1496">
        <f>+L87*J87-BQ87</f>
        <v>8.16</v>
      </c>
      <c r="BU87" s="1080">
        <f>+I87*J87-(BT87+BQ87)</f>
        <v>37.804000000000002</v>
      </c>
      <c r="BV87" s="1081"/>
      <c r="BW87" s="1080"/>
      <c r="BX87" s="1080">
        <f>+F87</f>
        <v>20.34</v>
      </c>
      <c r="BY87" s="1099"/>
      <c r="BZ87" s="1081"/>
      <c r="CA87" s="1397"/>
      <c r="CB87" s="1112"/>
      <c r="CC87" s="1124"/>
      <c r="CD87" s="1124"/>
      <c r="CE87" s="1112">
        <v>4</v>
      </c>
      <c r="CF87" s="1123"/>
      <c r="CG87" s="1124"/>
      <c r="CH87" s="1124"/>
      <c r="CI87" s="1124">
        <v>1</v>
      </c>
      <c r="CJ87" s="1124"/>
      <c r="CK87" s="1124">
        <v>1</v>
      </c>
      <c r="CL87" s="1124">
        <v>3</v>
      </c>
      <c r="CM87" s="1124">
        <f>3+2</f>
        <v>5</v>
      </c>
      <c r="CN87" s="1124"/>
      <c r="CO87" s="1124">
        <v>2</v>
      </c>
      <c r="CP87" s="1124">
        <v>1</v>
      </c>
      <c r="CQ87" s="1124"/>
      <c r="CR87" s="1124">
        <v>1</v>
      </c>
      <c r="CS87" s="1124"/>
      <c r="CT87" s="1124"/>
      <c r="CU87" s="1125"/>
      <c r="CV87" s="1112"/>
      <c r="CW87" s="1124"/>
      <c r="CX87" s="1125">
        <v>1</v>
      </c>
      <c r="CY87" s="1091"/>
      <c r="CZ87" s="1468"/>
      <c r="DA87" s="1469"/>
      <c r="DB87" s="1469"/>
      <c r="DC87" s="1469"/>
      <c r="DD87" s="1470"/>
      <c r="DE87" s="1468"/>
      <c r="DF87" s="1469"/>
      <c r="DG87" s="1469"/>
      <c r="DH87" s="1469"/>
      <c r="DI87" s="1470"/>
    </row>
    <row r="88" spans="1:113" s="1341" customFormat="1" ht="13">
      <c r="A88" s="2063"/>
      <c r="B88" s="1471">
        <v>79</v>
      </c>
      <c r="C88" s="1115" t="s">
        <v>2177</v>
      </c>
      <c r="D88" s="1473">
        <v>1.5</v>
      </c>
      <c r="E88" s="1474">
        <v>2.31</v>
      </c>
      <c r="F88" s="1375">
        <f t="shared" si="38"/>
        <v>3.4649999999999999</v>
      </c>
      <c r="G88" s="1376">
        <f t="shared" si="39"/>
        <v>7.62</v>
      </c>
      <c r="H88" s="1481"/>
      <c r="I88" s="1378">
        <f t="shared" si="20"/>
        <v>7.62</v>
      </c>
      <c r="J88" s="1376">
        <v>2.2999999999999998</v>
      </c>
      <c r="K88" s="1410">
        <v>2.2999999999999998</v>
      </c>
      <c r="L88" s="1426"/>
      <c r="M88" s="1382"/>
      <c r="N88" s="1412"/>
      <c r="O88" s="1413"/>
      <c r="P88" s="1414"/>
      <c r="Q88" s="1412"/>
      <c r="R88" s="1413">
        <f>+F88</f>
        <v>3.4649999999999999</v>
      </c>
      <c r="S88" s="1415">
        <f>+F88</f>
        <v>3.4649999999999999</v>
      </c>
      <c r="T88" s="1382"/>
      <c r="U88" s="1078"/>
      <c r="V88" s="1079"/>
      <c r="W88" s="1079"/>
      <c r="X88" s="1080">
        <f>+I88*J88</f>
        <v>17.526</v>
      </c>
      <c r="Y88" s="1081"/>
      <c r="Z88" s="1079"/>
      <c r="AA88" s="1137"/>
      <c r="AB88" s="1129"/>
      <c r="AC88" s="1382"/>
      <c r="AD88" s="1093">
        <f>+F88</f>
        <v>3.4649999999999999</v>
      </c>
      <c r="AE88" s="1094">
        <f>+G88</f>
        <v>7.62</v>
      </c>
      <c r="AF88" s="1095"/>
      <c r="AG88" s="1095"/>
      <c r="AH88" s="1095"/>
      <c r="AI88" s="1095"/>
      <c r="AJ88" s="1098"/>
      <c r="AK88" s="1363"/>
      <c r="AL88" s="1097"/>
      <c r="AM88" s="1095">
        <f t="shared" ref="AM88:AN91" si="40">+F88</f>
        <v>3.4649999999999999</v>
      </c>
      <c r="AN88" s="1095">
        <f t="shared" si="40"/>
        <v>7.62</v>
      </c>
      <c r="AO88" s="1095"/>
      <c r="AP88" s="1095"/>
      <c r="AQ88" s="1096"/>
      <c r="AR88" s="1097"/>
      <c r="AS88" s="1095"/>
      <c r="AT88" s="1098"/>
      <c r="AU88" s="1416"/>
      <c r="AV88" s="1363"/>
      <c r="AW88" s="1078"/>
      <c r="AX88" s="1080"/>
      <c r="AY88" s="1080">
        <v>1</v>
      </c>
      <c r="AZ88" s="1080"/>
      <c r="BA88" s="1081"/>
      <c r="BB88" s="1388">
        <v>1</v>
      </c>
      <c r="BC88" s="1363"/>
      <c r="BD88" s="1417"/>
      <c r="BE88" s="1469"/>
      <c r="BF88" s="1469"/>
      <c r="BG88" s="1418">
        <f>+F88</f>
        <v>3.4649999999999999</v>
      </c>
      <c r="BH88" s="1418"/>
      <c r="BI88" s="1418"/>
      <c r="BJ88" s="1419"/>
      <c r="BK88" s="1661"/>
      <c r="BL88" s="1112"/>
      <c r="BM88" s="1124"/>
      <c r="BN88" s="1136"/>
      <c r="BO88" s="1081"/>
      <c r="BP88" s="1086"/>
      <c r="BQ88" s="1078"/>
      <c r="BR88" s="1080">
        <f>+I88*K88</f>
        <v>17.526</v>
      </c>
      <c r="BS88" s="1099"/>
      <c r="BT88" s="1078"/>
      <c r="BU88" s="1080"/>
      <c r="BV88" s="1081"/>
      <c r="BW88" s="1080">
        <f>+F88</f>
        <v>3.4649999999999999</v>
      </c>
      <c r="BX88" s="1080"/>
      <c r="BY88" s="1099"/>
      <c r="BZ88" s="1081"/>
      <c r="CA88" s="1397"/>
      <c r="CB88" s="1078"/>
      <c r="CC88" s="1080"/>
      <c r="CD88" s="1080"/>
      <c r="CE88" s="1078">
        <v>1</v>
      </c>
      <c r="CF88" s="1079">
        <v>1</v>
      </c>
      <c r="CG88" s="1080"/>
      <c r="CH88" s="1080"/>
      <c r="CI88" s="1080"/>
      <c r="CJ88" s="1080">
        <v>1</v>
      </c>
      <c r="CK88" s="1080"/>
      <c r="CL88" s="1080"/>
      <c r="CM88" s="1080">
        <v>1</v>
      </c>
      <c r="CN88" s="1080"/>
      <c r="CO88" s="1080"/>
      <c r="CP88" s="1080"/>
      <c r="CQ88" s="1080"/>
      <c r="CR88" s="1080"/>
      <c r="CS88" s="1080"/>
      <c r="CT88" s="1080"/>
      <c r="CU88" s="1081"/>
      <c r="CV88" s="1078"/>
      <c r="CW88" s="1080"/>
      <c r="CX88" s="1081"/>
      <c r="CY88" s="1091"/>
      <c r="CZ88" s="1417"/>
      <c r="DA88" s="1418"/>
      <c r="DB88" s="1418"/>
      <c r="DC88" s="1418"/>
      <c r="DD88" s="1419"/>
      <c r="DE88" s="1417"/>
      <c r="DF88" s="1418"/>
      <c r="DG88" s="1418"/>
      <c r="DH88" s="1418"/>
      <c r="DI88" s="1419"/>
    </row>
    <row r="89" spans="1:113" s="1341" customFormat="1" ht="13">
      <c r="A89" s="2063"/>
      <c r="B89" s="1471">
        <v>80</v>
      </c>
      <c r="C89" s="1115" t="s">
        <v>2178</v>
      </c>
      <c r="D89" s="1473"/>
      <c r="E89" s="1474"/>
      <c r="F89" s="1431">
        <v>2.1800000000000002</v>
      </c>
      <c r="G89" s="1425">
        <v>6.4</v>
      </c>
      <c r="H89" s="1377"/>
      <c r="I89" s="1378">
        <f t="shared" si="20"/>
        <v>6.4</v>
      </c>
      <c r="J89" s="1376">
        <v>2.2999999999999998</v>
      </c>
      <c r="K89" s="1410">
        <v>2.2999999999999998</v>
      </c>
      <c r="L89" s="1426"/>
      <c r="M89" s="1382"/>
      <c r="N89" s="1511"/>
      <c r="O89" s="1512"/>
      <c r="P89" s="1513"/>
      <c r="Q89" s="1511"/>
      <c r="R89" s="1512">
        <f>+F89</f>
        <v>2.1800000000000002</v>
      </c>
      <c r="S89" s="1514">
        <f>+F89</f>
        <v>2.1800000000000002</v>
      </c>
      <c r="T89" s="1382"/>
      <c r="U89" s="1105"/>
      <c r="V89" s="1109"/>
      <c r="W89" s="1109"/>
      <c r="X89" s="1106">
        <f>+I89*J89</f>
        <v>14.719999999999999</v>
      </c>
      <c r="Y89" s="1108"/>
      <c r="Z89" s="1109"/>
      <c r="AA89" s="1582"/>
      <c r="AB89" s="1583"/>
      <c r="AC89" s="1382"/>
      <c r="AD89" s="1120"/>
      <c r="AE89" s="1121"/>
      <c r="AF89" s="1101"/>
      <c r="AG89" s="1101"/>
      <c r="AH89" s="1101"/>
      <c r="AI89" s="1101"/>
      <c r="AJ89" s="1104"/>
      <c r="AK89" s="1363"/>
      <c r="AL89" s="1434"/>
      <c r="AM89" s="1435">
        <f t="shared" si="40"/>
        <v>2.1800000000000002</v>
      </c>
      <c r="AN89" s="1435">
        <f t="shared" si="40"/>
        <v>6.4</v>
      </c>
      <c r="AO89" s="1435"/>
      <c r="AP89" s="1435"/>
      <c r="AQ89" s="1436"/>
      <c r="AR89" s="1434"/>
      <c r="AS89" s="1435"/>
      <c r="AT89" s="1437"/>
      <c r="AU89" s="1438"/>
      <c r="AV89" s="1363"/>
      <c r="AW89" s="1078"/>
      <c r="AX89" s="1080"/>
      <c r="AY89" s="1080">
        <v>1</v>
      </c>
      <c r="AZ89" s="1080"/>
      <c r="BA89" s="1081"/>
      <c r="BB89" s="1388">
        <v>1</v>
      </c>
      <c r="BC89" s="1363"/>
      <c r="BD89" s="1463"/>
      <c r="BE89" s="1464"/>
      <c r="BF89" s="1469"/>
      <c r="BG89" s="1464">
        <f>+F89</f>
        <v>2.1800000000000002</v>
      </c>
      <c r="BH89" s="1464"/>
      <c r="BI89" s="1464"/>
      <c r="BJ89" s="1465"/>
      <c r="BK89" s="1660"/>
      <c r="BL89" s="1105"/>
      <c r="BM89" s="1106"/>
      <c r="BN89" s="1107"/>
      <c r="BO89" s="1108"/>
      <c r="BP89" s="1086"/>
      <c r="BQ89" s="1105"/>
      <c r="BR89" s="1106">
        <f>+I89*K89</f>
        <v>14.719999999999999</v>
      </c>
      <c r="BS89" s="1107"/>
      <c r="BT89" s="1105"/>
      <c r="BU89" s="1106"/>
      <c r="BV89" s="1108"/>
      <c r="BW89" s="1106">
        <f>+F89</f>
        <v>2.1800000000000002</v>
      </c>
      <c r="BX89" s="1106"/>
      <c r="BY89" s="1107"/>
      <c r="BZ89" s="1108"/>
      <c r="CA89" s="1397"/>
      <c r="CB89" s="1138"/>
      <c r="CC89" s="1139"/>
      <c r="CD89" s="1139"/>
      <c r="CE89" s="1138"/>
      <c r="CF89" s="1433">
        <v>1</v>
      </c>
      <c r="CG89" s="1139"/>
      <c r="CH89" s="1139"/>
      <c r="CI89" s="1139">
        <v>1</v>
      </c>
      <c r="CJ89" s="1139"/>
      <c r="CK89" s="1139"/>
      <c r="CL89" s="1139"/>
      <c r="CM89" s="1139">
        <v>1</v>
      </c>
      <c r="CN89" s="1139"/>
      <c r="CO89" s="1139"/>
      <c r="CP89" s="1139"/>
      <c r="CQ89" s="1139"/>
      <c r="CR89" s="1139"/>
      <c r="CS89" s="1139"/>
      <c r="CT89" s="1139"/>
      <c r="CU89" s="1140"/>
      <c r="CV89" s="1138"/>
      <c r="CW89" s="1139"/>
      <c r="CX89" s="1140"/>
      <c r="CY89" s="1091"/>
      <c r="CZ89" s="1417"/>
      <c r="DA89" s="1418"/>
      <c r="DB89" s="1418"/>
      <c r="DC89" s="1418"/>
      <c r="DD89" s="1419"/>
      <c r="DE89" s="1417"/>
      <c r="DF89" s="1418"/>
      <c r="DG89" s="1418"/>
      <c r="DH89" s="1418"/>
      <c r="DI89" s="1419"/>
    </row>
    <row r="90" spans="1:113" s="1341" customFormat="1" ht="13">
      <c r="A90" s="2063"/>
      <c r="B90" s="1441">
        <v>81</v>
      </c>
      <c r="C90" s="1128" t="s">
        <v>2179</v>
      </c>
      <c r="D90" s="1442">
        <v>1.5</v>
      </c>
      <c r="E90" s="1443">
        <v>2.31</v>
      </c>
      <c r="F90" s="1401">
        <f t="shared" si="38"/>
        <v>3.4649999999999999</v>
      </c>
      <c r="G90" s="1402">
        <f t="shared" si="39"/>
        <v>7.62</v>
      </c>
      <c r="H90" s="1403"/>
      <c r="I90" s="1404">
        <f t="shared" si="20"/>
        <v>7.62</v>
      </c>
      <c r="J90" s="1402">
        <v>2.2999999999999998</v>
      </c>
      <c r="K90" s="1380">
        <v>2.2999999999999998</v>
      </c>
      <c r="L90" s="1381"/>
      <c r="M90" s="1382"/>
      <c r="N90" s="1383"/>
      <c r="O90" s="1384"/>
      <c r="P90" s="1385"/>
      <c r="Q90" s="1383"/>
      <c r="R90" s="1384">
        <f>+F90</f>
        <v>3.4649999999999999</v>
      </c>
      <c r="S90" s="1386">
        <f>+F90</f>
        <v>3.4649999999999999</v>
      </c>
      <c r="T90" s="1382"/>
      <c r="U90" s="1085"/>
      <c r="V90" s="1090"/>
      <c r="W90" s="1090"/>
      <c r="X90" s="1087">
        <f>+I90*J90</f>
        <v>17.526</v>
      </c>
      <c r="Y90" s="1089"/>
      <c r="Z90" s="1090"/>
      <c r="AA90" s="1087"/>
      <c r="AB90" s="1584"/>
      <c r="AC90" s="1382"/>
      <c r="AD90" s="1130">
        <f>+F90</f>
        <v>3.4649999999999999</v>
      </c>
      <c r="AE90" s="1131">
        <f>+G90</f>
        <v>7.62</v>
      </c>
      <c r="AF90" s="1132"/>
      <c r="AG90" s="1132"/>
      <c r="AH90" s="1132"/>
      <c r="AI90" s="1132"/>
      <c r="AJ90" s="1134"/>
      <c r="AK90" s="1363"/>
      <c r="AL90" s="1082"/>
      <c r="AM90" s="1083">
        <f t="shared" si="40"/>
        <v>3.4649999999999999</v>
      </c>
      <c r="AN90" s="1083">
        <f t="shared" si="40"/>
        <v>7.62</v>
      </c>
      <c r="AO90" s="1083"/>
      <c r="AP90" s="1083"/>
      <c r="AQ90" s="1126"/>
      <c r="AR90" s="1082"/>
      <c r="AS90" s="1083"/>
      <c r="AT90" s="1084"/>
      <c r="AU90" s="1387"/>
      <c r="AV90" s="1363"/>
      <c r="AW90" s="1085"/>
      <c r="AX90" s="1087"/>
      <c r="AY90" s="1087">
        <v>1</v>
      </c>
      <c r="AZ90" s="1087"/>
      <c r="BA90" s="1089"/>
      <c r="BB90" s="1405">
        <v>1</v>
      </c>
      <c r="BC90" s="1363"/>
      <c r="BD90" s="1398"/>
      <c r="BE90" s="1399"/>
      <c r="BF90" s="1399"/>
      <c r="BG90" s="1399">
        <f>+F90</f>
        <v>3.4649999999999999</v>
      </c>
      <c r="BH90" s="1399"/>
      <c r="BI90" s="1399"/>
      <c r="BJ90" s="1400"/>
      <c r="BK90" s="1658"/>
      <c r="BL90" s="1085"/>
      <c r="BM90" s="1087"/>
      <c r="BN90" s="1088"/>
      <c r="BO90" s="1089"/>
      <c r="BP90" s="1086"/>
      <c r="BQ90" s="1112"/>
      <c r="BR90" s="1124">
        <f>+I90*K90</f>
        <v>17.526</v>
      </c>
      <c r="BS90" s="1136"/>
      <c r="BT90" s="1112"/>
      <c r="BU90" s="1124"/>
      <c r="BV90" s="1125"/>
      <c r="BW90" s="1124">
        <f>+F90</f>
        <v>3.4649999999999999</v>
      </c>
      <c r="BX90" s="1124"/>
      <c r="BY90" s="1136"/>
      <c r="BZ90" s="1125"/>
      <c r="CA90" s="1397"/>
      <c r="CB90" s="1085"/>
      <c r="CC90" s="1087"/>
      <c r="CD90" s="1087"/>
      <c r="CE90" s="1085">
        <v>1</v>
      </c>
      <c r="CF90" s="1090">
        <v>1</v>
      </c>
      <c r="CG90" s="1087"/>
      <c r="CH90" s="1087"/>
      <c r="CI90" s="1087"/>
      <c r="CJ90" s="1087">
        <v>1</v>
      </c>
      <c r="CK90" s="1087"/>
      <c r="CL90" s="1087"/>
      <c r="CM90" s="1087">
        <v>1</v>
      </c>
      <c r="CN90" s="1087"/>
      <c r="CO90" s="1087"/>
      <c r="CP90" s="1087"/>
      <c r="CQ90" s="1087"/>
      <c r="CR90" s="1087"/>
      <c r="CS90" s="1087"/>
      <c r="CT90" s="1087"/>
      <c r="CU90" s="1089"/>
      <c r="CV90" s="1085"/>
      <c r="CW90" s="1087"/>
      <c r="CX90" s="1089"/>
      <c r="CY90" s="1091"/>
      <c r="CZ90" s="1398"/>
      <c r="DA90" s="1399"/>
      <c r="DB90" s="1399"/>
      <c r="DC90" s="1399"/>
      <c r="DD90" s="1400"/>
      <c r="DE90" s="1398"/>
      <c r="DF90" s="1399"/>
      <c r="DG90" s="1399"/>
      <c r="DH90" s="1399"/>
      <c r="DI90" s="1400"/>
    </row>
    <row r="91" spans="1:113" s="1341" customFormat="1" ht="13">
      <c r="A91" s="2063"/>
      <c r="B91" s="1471">
        <v>82</v>
      </c>
      <c r="C91" s="1115" t="s">
        <v>2180</v>
      </c>
      <c r="D91" s="1473"/>
      <c r="E91" s="1474"/>
      <c r="F91" s="1431">
        <v>2.3199999999999998</v>
      </c>
      <c r="G91" s="1425">
        <v>6.4</v>
      </c>
      <c r="H91" s="1481"/>
      <c r="I91" s="1378">
        <f t="shared" si="20"/>
        <v>6.4</v>
      </c>
      <c r="J91" s="1376">
        <v>2.2999999999999998</v>
      </c>
      <c r="K91" s="1410">
        <v>2.2999999999999998</v>
      </c>
      <c r="L91" s="1426"/>
      <c r="M91" s="1382"/>
      <c r="N91" s="1412"/>
      <c r="O91" s="1413"/>
      <c r="P91" s="1414"/>
      <c r="Q91" s="1412"/>
      <c r="R91" s="1413">
        <f>+F91</f>
        <v>2.3199999999999998</v>
      </c>
      <c r="S91" s="1415">
        <f>+F91</f>
        <v>2.3199999999999998</v>
      </c>
      <c r="T91" s="1382"/>
      <c r="U91" s="1078"/>
      <c r="V91" s="1079"/>
      <c r="W91" s="1079"/>
      <c r="X91" s="1080">
        <f>+I91*J91</f>
        <v>14.719999999999999</v>
      </c>
      <c r="Y91" s="1081"/>
      <c r="Z91" s="1079"/>
      <c r="AA91" s="1137"/>
      <c r="AB91" s="1129"/>
      <c r="AC91" s="1382"/>
      <c r="AD91" s="1093"/>
      <c r="AE91" s="1094"/>
      <c r="AF91" s="1095"/>
      <c r="AG91" s="1095"/>
      <c r="AH91" s="1095"/>
      <c r="AI91" s="1095"/>
      <c r="AJ91" s="1098"/>
      <c r="AK91" s="1363"/>
      <c r="AL91" s="1097"/>
      <c r="AM91" s="1095">
        <f t="shared" si="40"/>
        <v>2.3199999999999998</v>
      </c>
      <c r="AN91" s="1095">
        <f t="shared" si="40"/>
        <v>6.4</v>
      </c>
      <c r="AO91" s="1095"/>
      <c r="AP91" s="1095"/>
      <c r="AQ91" s="1096"/>
      <c r="AR91" s="1097"/>
      <c r="AS91" s="1095"/>
      <c r="AT91" s="1098"/>
      <c r="AU91" s="1416"/>
      <c r="AV91" s="1363"/>
      <c r="AW91" s="1078"/>
      <c r="AX91" s="1080"/>
      <c r="AY91" s="1080">
        <v>1</v>
      </c>
      <c r="AZ91" s="1080"/>
      <c r="BA91" s="1081"/>
      <c r="BB91" s="1388">
        <v>1</v>
      </c>
      <c r="BC91" s="1363"/>
      <c r="BD91" s="1417"/>
      <c r="BE91" s="1469"/>
      <c r="BF91" s="1469"/>
      <c r="BG91" s="1418">
        <f>+F91</f>
        <v>2.3199999999999998</v>
      </c>
      <c r="BH91" s="1418"/>
      <c r="BI91" s="1418"/>
      <c r="BJ91" s="1419"/>
      <c r="BK91" s="1659"/>
      <c r="BL91" s="1078"/>
      <c r="BM91" s="1080"/>
      <c r="BN91" s="1099"/>
      <c r="BO91" s="1081"/>
      <c r="BP91" s="1086"/>
      <c r="BQ91" s="1078"/>
      <c r="BR91" s="1080">
        <f>+I91*K91</f>
        <v>14.719999999999999</v>
      </c>
      <c r="BS91" s="1099"/>
      <c r="BT91" s="1078"/>
      <c r="BU91" s="1080"/>
      <c r="BV91" s="1081"/>
      <c r="BW91" s="1080">
        <f>+F91</f>
        <v>2.3199999999999998</v>
      </c>
      <c r="BX91" s="1080"/>
      <c r="BY91" s="1099"/>
      <c r="BZ91" s="1081"/>
      <c r="CA91" s="1397"/>
      <c r="CB91" s="1078"/>
      <c r="CC91" s="1080"/>
      <c r="CD91" s="1080"/>
      <c r="CE91" s="1078"/>
      <c r="CF91" s="1079">
        <v>1</v>
      </c>
      <c r="CG91" s="1080"/>
      <c r="CH91" s="1080"/>
      <c r="CI91" s="1080">
        <v>1</v>
      </c>
      <c r="CJ91" s="1080"/>
      <c r="CK91" s="1080"/>
      <c r="CL91" s="1080"/>
      <c r="CM91" s="1080">
        <v>1</v>
      </c>
      <c r="CN91" s="1080"/>
      <c r="CO91" s="1080"/>
      <c r="CP91" s="1080"/>
      <c r="CQ91" s="1080"/>
      <c r="CR91" s="1080"/>
      <c r="CS91" s="1080"/>
      <c r="CT91" s="1080"/>
      <c r="CU91" s="1081"/>
      <c r="CV91" s="1078"/>
      <c r="CW91" s="1080"/>
      <c r="CX91" s="1081"/>
      <c r="CY91" s="1091"/>
      <c r="CZ91" s="1417"/>
      <c r="DA91" s="1418"/>
      <c r="DB91" s="1418"/>
      <c r="DC91" s="1418"/>
      <c r="DD91" s="1419"/>
      <c r="DE91" s="1417"/>
      <c r="DF91" s="1418"/>
      <c r="DG91" s="1418"/>
      <c r="DH91" s="1418"/>
      <c r="DI91" s="1419"/>
    </row>
    <row r="92" spans="1:113" s="1341" customFormat="1" ht="13">
      <c r="A92" s="2063"/>
      <c r="B92" s="1471">
        <v>83</v>
      </c>
      <c r="C92" s="1115" t="s">
        <v>2181</v>
      </c>
      <c r="D92" s="1473"/>
      <c r="E92" s="1474"/>
      <c r="F92" s="1431">
        <v>10.6</v>
      </c>
      <c r="G92" s="1425">
        <v>15.64</v>
      </c>
      <c r="H92" s="1377"/>
      <c r="I92" s="1378">
        <f t="shared" si="20"/>
        <v>15.64</v>
      </c>
      <c r="J92" s="1376">
        <v>2.6</v>
      </c>
      <c r="K92" s="1410"/>
      <c r="L92" s="1426"/>
      <c r="M92" s="1382"/>
      <c r="N92" s="1412"/>
      <c r="O92" s="1413"/>
      <c r="P92" s="1414"/>
      <c r="Q92" s="1412">
        <f>+F92</f>
        <v>10.6</v>
      </c>
      <c r="R92" s="1413"/>
      <c r="S92" s="1415"/>
      <c r="T92" s="1382"/>
      <c r="U92" s="1078"/>
      <c r="V92" s="1079"/>
      <c r="W92" s="1079"/>
      <c r="X92" s="1080"/>
      <c r="Y92" s="1081"/>
      <c r="Z92" s="1079">
        <f>+I92*J92</f>
        <v>40.664000000000001</v>
      </c>
      <c r="AA92" s="1137">
        <f>+AB92*J92</f>
        <v>10.4</v>
      </c>
      <c r="AB92" s="1129">
        <v>4</v>
      </c>
      <c r="AC92" s="1382"/>
      <c r="AD92" s="1093"/>
      <c r="AE92" s="1094"/>
      <c r="AF92" s="1095"/>
      <c r="AG92" s="1095"/>
      <c r="AH92" s="1095"/>
      <c r="AI92" s="1095"/>
      <c r="AJ92" s="1098"/>
      <c r="AK92" s="1363"/>
      <c r="AL92" s="1097"/>
      <c r="AM92" s="1095"/>
      <c r="AN92" s="1095"/>
      <c r="AO92" s="1095"/>
      <c r="AP92" s="1095"/>
      <c r="AQ92" s="1096"/>
      <c r="AR92" s="1097">
        <f>+F92</f>
        <v>10.6</v>
      </c>
      <c r="AS92" s="1132">
        <f>+G92</f>
        <v>15.64</v>
      </c>
      <c r="AT92" s="1098"/>
      <c r="AU92" s="1416"/>
      <c r="AV92" s="1363"/>
      <c r="AW92" s="1078"/>
      <c r="AX92" s="1080"/>
      <c r="AY92" s="1080">
        <v>1</v>
      </c>
      <c r="AZ92" s="1080"/>
      <c r="BA92" s="1081"/>
      <c r="BB92" s="1388">
        <v>1</v>
      </c>
      <c r="BC92" s="1363"/>
      <c r="BD92" s="1417"/>
      <c r="BE92" s="1469"/>
      <c r="BF92" s="1469">
        <f>+F92</f>
        <v>10.6</v>
      </c>
      <c r="BG92" s="1418"/>
      <c r="BH92" s="1418"/>
      <c r="BI92" s="1418"/>
      <c r="BJ92" s="1419"/>
      <c r="BK92" s="1659"/>
      <c r="BL92" s="1078">
        <f>+G92</f>
        <v>15.64</v>
      </c>
      <c r="BM92" s="1080"/>
      <c r="BN92" s="1099"/>
      <c r="BO92" s="1081"/>
      <c r="BP92" s="1086"/>
      <c r="BQ92" s="1078"/>
      <c r="BR92" s="1080"/>
      <c r="BS92" s="1099"/>
      <c r="BT92" s="1078"/>
      <c r="BU92" s="1080">
        <f>+I92*J92</f>
        <v>40.664000000000001</v>
      </c>
      <c r="BV92" s="1081"/>
      <c r="BW92" s="1080"/>
      <c r="BX92" s="1080">
        <f>+F92</f>
        <v>10.6</v>
      </c>
      <c r="BY92" s="1099"/>
      <c r="BZ92" s="1081"/>
      <c r="CA92" s="1397"/>
      <c r="CB92" s="1078"/>
      <c r="CC92" s="1080"/>
      <c r="CD92" s="1080"/>
      <c r="CE92" s="1078">
        <v>1</v>
      </c>
      <c r="CF92" s="1079"/>
      <c r="CG92" s="1080"/>
      <c r="CH92" s="1080"/>
      <c r="CI92" s="1080"/>
      <c r="CJ92" s="1080">
        <v>1</v>
      </c>
      <c r="CK92" s="1080"/>
      <c r="CL92" s="1080"/>
      <c r="CM92" s="1080">
        <v>3</v>
      </c>
      <c r="CN92" s="1080"/>
      <c r="CO92" s="1080"/>
      <c r="CP92" s="1080">
        <v>1</v>
      </c>
      <c r="CQ92" s="1080"/>
      <c r="CR92" s="1080"/>
      <c r="CS92" s="1080"/>
      <c r="CT92" s="1080"/>
      <c r="CU92" s="1081"/>
      <c r="CV92" s="1078"/>
      <c r="CW92" s="1080"/>
      <c r="CX92" s="1081">
        <v>1</v>
      </c>
      <c r="CY92" s="1091"/>
      <c r="CZ92" s="1417"/>
      <c r="DA92" s="1418"/>
      <c r="DB92" s="1418"/>
      <c r="DC92" s="1418"/>
      <c r="DD92" s="1419"/>
      <c r="DE92" s="1417"/>
      <c r="DF92" s="1418"/>
      <c r="DG92" s="1418"/>
      <c r="DH92" s="1418"/>
      <c r="DI92" s="1419"/>
    </row>
    <row r="93" spans="1:113" s="1341" customFormat="1" ht="13">
      <c r="A93" s="2063"/>
      <c r="B93" s="1471">
        <v>84</v>
      </c>
      <c r="C93" s="1115" t="s">
        <v>2182</v>
      </c>
      <c r="D93" s="1473"/>
      <c r="E93" s="1474"/>
      <c r="F93" s="1431">
        <v>20.8</v>
      </c>
      <c r="G93" s="1425">
        <v>19.690000000000001</v>
      </c>
      <c r="H93" s="1377"/>
      <c r="I93" s="1378">
        <f t="shared" si="20"/>
        <v>19.690000000000001</v>
      </c>
      <c r="J93" s="1376">
        <v>2.6</v>
      </c>
      <c r="K93" s="1410">
        <v>0.9</v>
      </c>
      <c r="L93" s="1426">
        <v>4.8</v>
      </c>
      <c r="M93" s="1382"/>
      <c r="N93" s="1412"/>
      <c r="O93" s="1413"/>
      <c r="P93" s="1414"/>
      <c r="Q93" s="1412">
        <f>+F93</f>
        <v>20.8</v>
      </c>
      <c r="R93" s="1413"/>
      <c r="S93" s="1415"/>
      <c r="T93" s="1382"/>
      <c r="U93" s="1078"/>
      <c r="V93" s="1079"/>
      <c r="W93" s="1079"/>
      <c r="X93" s="1124">
        <f>+L93*J93</f>
        <v>12.48</v>
      </c>
      <c r="Y93" s="1081"/>
      <c r="Z93" s="1581">
        <f>(I93*J93)-X93</f>
        <v>38.713999999999999</v>
      </c>
      <c r="AA93" s="1137">
        <f>+AB93*J93</f>
        <v>10.4</v>
      </c>
      <c r="AB93" s="1081">
        <v>4</v>
      </c>
      <c r="AC93" s="1382"/>
      <c r="AD93" s="1093"/>
      <c r="AE93" s="1094"/>
      <c r="AF93" s="1095"/>
      <c r="AG93" s="1095"/>
      <c r="AH93" s="1095"/>
      <c r="AI93" s="1095"/>
      <c r="AJ93" s="1098"/>
      <c r="AK93" s="1363"/>
      <c r="AL93" s="1097"/>
      <c r="AM93" s="1095"/>
      <c r="AN93" s="1095"/>
      <c r="AO93" s="1095"/>
      <c r="AP93" s="1095"/>
      <c r="AQ93" s="1096"/>
      <c r="AR93" s="1097">
        <f>+F93</f>
        <v>20.8</v>
      </c>
      <c r="AS93" s="1132">
        <f>+G93</f>
        <v>19.690000000000001</v>
      </c>
      <c r="AT93" s="1098"/>
      <c r="AU93" s="1416"/>
      <c r="AV93" s="1363"/>
      <c r="AW93" s="1078"/>
      <c r="AX93" s="1080"/>
      <c r="AY93" s="1080"/>
      <c r="AZ93" s="1080"/>
      <c r="BA93" s="1081"/>
      <c r="BB93" s="1388">
        <v>1</v>
      </c>
      <c r="BC93" s="1363"/>
      <c r="BD93" s="1417"/>
      <c r="BE93" s="1469"/>
      <c r="BF93" s="1469">
        <f>+F93</f>
        <v>20.8</v>
      </c>
      <c r="BG93" s="1418"/>
      <c r="BH93" s="1418"/>
      <c r="BI93" s="1418"/>
      <c r="BJ93" s="1419"/>
      <c r="BK93" s="1659">
        <v>1</v>
      </c>
      <c r="BL93" s="1078">
        <f>+G93</f>
        <v>19.690000000000001</v>
      </c>
      <c r="BM93" s="1080"/>
      <c r="BN93" s="1099"/>
      <c r="BO93" s="1081"/>
      <c r="BP93" s="1086"/>
      <c r="BQ93" s="1078">
        <f>+K93*L93</f>
        <v>4.32</v>
      </c>
      <c r="BR93" s="1080"/>
      <c r="BS93" s="1099"/>
      <c r="BT93" s="1496">
        <f>+L93*J93-BQ93</f>
        <v>8.16</v>
      </c>
      <c r="BU93" s="1080">
        <f>+I93*J93-(BT93+BQ93)</f>
        <v>38.713999999999999</v>
      </c>
      <c r="BV93" s="1081"/>
      <c r="BW93" s="1080"/>
      <c r="BX93" s="1080">
        <f>+F93</f>
        <v>20.8</v>
      </c>
      <c r="BY93" s="1099"/>
      <c r="BZ93" s="1081"/>
      <c r="CA93" s="1397"/>
      <c r="CB93" s="1078"/>
      <c r="CC93" s="1080"/>
      <c r="CD93" s="1080"/>
      <c r="CE93" s="1078">
        <v>4</v>
      </c>
      <c r="CF93" s="1079"/>
      <c r="CG93" s="1080"/>
      <c r="CH93" s="1080"/>
      <c r="CI93" s="1080">
        <v>1</v>
      </c>
      <c r="CJ93" s="1080"/>
      <c r="CK93" s="1080">
        <v>1</v>
      </c>
      <c r="CL93" s="1080">
        <v>3</v>
      </c>
      <c r="CM93" s="1080">
        <f>3+2</f>
        <v>5</v>
      </c>
      <c r="CN93" s="1080"/>
      <c r="CO93" s="1080">
        <v>2</v>
      </c>
      <c r="CP93" s="1080">
        <v>1</v>
      </c>
      <c r="CQ93" s="1080"/>
      <c r="CR93" s="1080">
        <v>1</v>
      </c>
      <c r="CS93" s="1080"/>
      <c r="CT93" s="1080"/>
      <c r="CU93" s="1081"/>
      <c r="CV93" s="1078"/>
      <c r="CW93" s="1080"/>
      <c r="CX93" s="1081">
        <v>1</v>
      </c>
      <c r="CY93" s="1091"/>
      <c r="CZ93" s="1417"/>
      <c r="DA93" s="1418"/>
      <c r="DB93" s="1418"/>
      <c r="DC93" s="1418"/>
      <c r="DD93" s="1419"/>
      <c r="DE93" s="1417"/>
      <c r="DF93" s="1418"/>
      <c r="DG93" s="1418"/>
      <c r="DH93" s="1418"/>
      <c r="DI93" s="1419"/>
    </row>
    <row r="94" spans="1:113" s="1341" customFormat="1" ht="13">
      <c r="A94" s="2064"/>
      <c r="B94" s="1448">
        <v>85</v>
      </c>
      <c r="C94" s="1127" t="s">
        <v>1887</v>
      </c>
      <c r="D94" s="1449">
        <v>7.8</v>
      </c>
      <c r="E94" s="1450">
        <v>1.85</v>
      </c>
      <c r="F94" s="1482">
        <f t="shared" si="38"/>
        <v>14.43</v>
      </c>
      <c r="G94" s="1455">
        <f t="shared" si="39"/>
        <v>19.3</v>
      </c>
      <c r="H94" s="1453"/>
      <c r="I94" s="1454">
        <f t="shared" si="20"/>
        <v>19.3</v>
      </c>
      <c r="J94" s="1455"/>
      <c r="K94" s="1456"/>
      <c r="L94" s="1483"/>
      <c r="M94" s="1382"/>
      <c r="N94" s="1457"/>
      <c r="O94" s="1458"/>
      <c r="P94" s="1459"/>
      <c r="Q94" s="1457"/>
      <c r="R94" s="1458">
        <f>+F94</f>
        <v>14.43</v>
      </c>
      <c r="S94" s="1460">
        <f>+F94</f>
        <v>14.43</v>
      </c>
      <c r="T94" s="1382"/>
      <c r="U94" s="1138"/>
      <c r="V94" s="1433"/>
      <c r="W94" s="1433"/>
      <c r="X94" s="1139"/>
      <c r="Y94" s="1140"/>
      <c r="Z94" s="1433"/>
      <c r="AA94" s="1139"/>
      <c r="AB94" s="1140"/>
      <c r="AC94" s="1382"/>
      <c r="AD94" s="1515"/>
      <c r="AE94" s="1516"/>
      <c r="AF94" s="1435"/>
      <c r="AG94" s="1101">
        <f>+F94</f>
        <v>14.43</v>
      </c>
      <c r="AH94" s="1101">
        <f>+F94</f>
        <v>14.43</v>
      </c>
      <c r="AI94" s="1101">
        <f>+F94</f>
        <v>14.43</v>
      </c>
      <c r="AJ94" s="1104">
        <f>+G94</f>
        <v>19.3</v>
      </c>
      <c r="AK94" s="1363"/>
      <c r="AL94" s="1103"/>
      <c r="AM94" s="1101"/>
      <c r="AN94" s="1101"/>
      <c r="AO94" s="1101"/>
      <c r="AP94" s="1101"/>
      <c r="AQ94" s="1102"/>
      <c r="AR94" s="1103"/>
      <c r="AS94" s="1101"/>
      <c r="AT94" s="1104"/>
      <c r="AU94" s="1461"/>
      <c r="AV94" s="1363"/>
      <c r="AW94" s="1138"/>
      <c r="AX94" s="1139"/>
      <c r="AY94" s="1139"/>
      <c r="AZ94" s="1139"/>
      <c r="BA94" s="1140"/>
      <c r="BB94" s="1439"/>
      <c r="BC94" s="1363"/>
      <c r="BD94" s="1502"/>
      <c r="BE94" s="1517"/>
      <c r="BF94" s="1469">
        <f>+F94</f>
        <v>14.43</v>
      </c>
      <c r="BG94" s="1503"/>
      <c r="BH94" s="1503"/>
      <c r="BI94" s="1503"/>
      <c r="BJ94" s="1504"/>
      <c r="BK94" s="1663"/>
      <c r="BL94" s="1138"/>
      <c r="BM94" s="1139"/>
      <c r="BN94" s="1440">
        <f>+G94</f>
        <v>19.3</v>
      </c>
      <c r="BO94" s="1081"/>
      <c r="BP94" s="1086"/>
      <c r="BQ94" s="1138"/>
      <c r="BR94" s="1139"/>
      <c r="BS94" s="1440"/>
      <c r="BT94" s="1138"/>
      <c r="BU94" s="1139"/>
      <c r="BV94" s="1140"/>
      <c r="BW94" s="1139"/>
      <c r="BX94" s="1139"/>
      <c r="BY94" s="1440"/>
      <c r="BZ94" s="1140"/>
      <c r="CA94" s="1397"/>
      <c r="CB94" s="1105"/>
      <c r="CC94" s="1106">
        <v>2</v>
      </c>
      <c r="CD94" s="1106"/>
      <c r="CE94" s="1105"/>
      <c r="CF94" s="1109">
        <v>2</v>
      </c>
      <c r="CG94" s="1106"/>
      <c r="CH94" s="1106"/>
      <c r="CI94" s="1106"/>
      <c r="CJ94" s="1106"/>
      <c r="CK94" s="1106"/>
      <c r="CL94" s="1106"/>
      <c r="CM94" s="1106"/>
      <c r="CN94" s="1106"/>
      <c r="CO94" s="1106"/>
      <c r="CP94" s="1106"/>
      <c r="CQ94" s="1106"/>
      <c r="CR94" s="1106"/>
      <c r="CS94" s="1106"/>
      <c r="CT94" s="1106"/>
      <c r="CU94" s="1108"/>
      <c r="CV94" s="1105"/>
      <c r="CW94" s="1106"/>
      <c r="CX94" s="1108"/>
      <c r="CY94" s="1091"/>
      <c r="CZ94" s="1502"/>
      <c r="DA94" s="1503"/>
      <c r="DB94" s="1503"/>
      <c r="DC94" s="1503"/>
      <c r="DD94" s="1504"/>
      <c r="DE94" s="1502"/>
      <c r="DF94" s="1503"/>
      <c r="DG94" s="1503"/>
      <c r="DH94" s="1503"/>
      <c r="DI94" s="1504"/>
    </row>
    <row r="95" spans="1:113" s="1341" customFormat="1" ht="13">
      <c r="A95" s="2062" t="s">
        <v>1819</v>
      </c>
      <c r="B95" s="1441">
        <v>86</v>
      </c>
      <c r="C95" s="1122" t="s">
        <v>483</v>
      </c>
      <c r="D95" s="1442"/>
      <c r="E95" s="1443"/>
      <c r="F95" s="1573">
        <v>9.89</v>
      </c>
      <c r="G95" s="1445">
        <v>13.1</v>
      </c>
      <c r="H95" s="1403"/>
      <c r="I95" s="1404">
        <f t="shared" si="20"/>
        <v>13.1</v>
      </c>
      <c r="J95" s="1445">
        <v>3.2</v>
      </c>
      <c r="K95" s="1380"/>
      <c r="L95" s="1381">
        <v>2</v>
      </c>
      <c r="M95" s="1382"/>
      <c r="N95" s="1383"/>
      <c r="O95" s="1384"/>
      <c r="P95" s="1385"/>
      <c r="Q95" s="1383">
        <f>+L95</f>
        <v>2</v>
      </c>
      <c r="R95" s="1384"/>
      <c r="S95" s="1386"/>
      <c r="T95" s="1382"/>
      <c r="U95" s="1085">
        <f>+I95*J95</f>
        <v>41.92</v>
      </c>
      <c r="V95" s="1090"/>
      <c r="W95" s="1090"/>
      <c r="X95" s="1087"/>
      <c r="Y95" s="1089"/>
      <c r="Z95" s="1090"/>
      <c r="AA95" s="1087"/>
      <c r="AB95" s="1089"/>
      <c r="AC95" s="1382"/>
      <c r="AD95" s="1110"/>
      <c r="AE95" s="1111"/>
      <c r="AF95" s="1083"/>
      <c r="AG95" s="1083"/>
      <c r="AH95" s="1083"/>
      <c r="AI95" s="1083"/>
      <c r="AJ95" s="1084"/>
      <c r="AK95" s="1363"/>
      <c r="AL95" s="1082"/>
      <c r="AM95" s="1083"/>
      <c r="AN95" s="1083"/>
      <c r="AO95" s="1083"/>
      <c r="AP95" s="1446"/>
      <c r="AQ95" s="1126"/>
      <c r="AR95" s="1082"/>
      <c r="AS95" s="1083"/>
      <c r="AT95" s="1084"/>
      <c r="AU95" s="1387">
        <f>+F95</f>
        <v>9.89</v>
      </c>
      <c r="AV95" s="1363"/>
      <c r="AW95" s="1085"/>
      <c r="AX95" s="1087">
        <v>1</v>
      </c>
      <c r="AY95" s="1087"/>
      <c r="AZ95" s="1087"/>
      <c r="BA95" s="1089"/>
      <c r="BB95" s="1447"/>
      <c r="BC95" s="1363"/>
      <c r="BD95" s="1398"/>
      <c r="BE95" s="1399"/>
      <c r="BF95" s="1399"/>
      <c r="BG95" s="1399"/>
      <c r="BH95" s="1399"/>
      <c r="BI95" s="1399"/>
      <c r="BJ95" s="1400"/>
      <c r="BK95" s="1658"/>
      <c r="BL95" s="1085"/>
      <c r="BM95" s="1087"/>
      <c r="BN95" s="1088"/>
      <c r="BO95" s="1089"/>
      <c r="BP95" s="1086"/>
      <c r="BQ95" s="1085"/>
      <c r="BR95" s="1087"/>
      <c r="BS95" s="1088"/>
      <c r="BT95" s="1085"/>
      <c r="BU95" s="1087"/>
      <c r="BV95" s="1089">
        <f>+I95*J95</f>
        <v>41.92</v>
      </c>
      <c r="BW95" s="1087"/>
      <c r="BX95" s="1087"/>
      <c r="BY95" s="1088"/>
      <c r="BZ95" s="1089">
        <f>+F95</f>
        <v>9.89</v>
      </c>
      <c r="CA95" s="1397"/>
      <c r="CB95" s="1085"/>
      <c r="CC95" s="1087">
        <v>2</v>
      </c>
      <c r="CD95" s="1087">
        <v>1</v>
      </c>
      <c r="CE95" s="1085">
        <v>3</v>
      </c>
      <c r="CF95" s="1090"/>
      <c r="CG95" s="1087"/>
      <c r="CH95" s="1087">
        <v>1</v>
      </c>
      <c r="CI95" s="1087"/>
      <c r="CJ95" s="1087"/>
      <c r="CK95" s="1087"/>
      <c r="CL95" s="1087"/>
      <c r="CM95" s="1087"/>
      <c r="CN95" s="1087"/>
      <c r="CO95" s="1087"/>
      <c r="CP95" s="1087"/>
      <c r="CQ95" s="1087"/>
      <c r="CR95" s="1087"/>
      <c r="CS95" s="1087"/>
      <c r="CT95" s="1087"/>
      <c r="CU95" s="1089"/>
      <c r="CV95" s="1090"/>
      <c r="CW95" s="1087"/>
      <c r="CX95" s="1087"/>
      <c r="CY95" s="1091"/>
      <c r="CZ95" s="1398"/>
      <c r="DA95" s="1399"/>
      <c r="DB95" s="1399"/>
      <c r="DC95" s="1399"/>
      <c r="DD95" s="1400"/>
      <c r="DE95" s="1398"/>
      <c r="DF95" s="1399"/>
      <c r="DG95" s="1399"/>
      <c r="DH95" s="1399"/>
      <c r="DI95" s="1400"/>
    </row>
    <row r="96" spans="1:113" s="1397" customFormat="1" ht="13">
      <c r="A96" s="2063"/>
      <c r="B96" s="1561">
        <v>87</v>
      </c>
      <c r="C96" s="1505" t="s">
        <v>2183</v>
      </c>
      <c r="D96" s="1506">
        <v>3.6</v>
      </c>
      <c r="E96" s="1507">
        <v>2.2599999999999998</v>
      </c>
      <c r="F96" s="1482">
        <f t="shared" ref="F96:F99" si="41">D96*E96</f>
        <v>8.1359999999999992</v>
      </c>
      <c r="G96" s="1455">
        <f t="shared" ref="G96:G99" si="42">+D96*2+E96*2</f>
        <v>11.719999999999999</v>
      </c>
      <c r="H96" s="1508"/>
      <c r="I96" s="1532">
        <f t="shared" si="20"/>
        <v>11.719999999999999</v>
      </c>
      <c r="J96" s="1580">
        <v>2.2000000000000002</v>
      </c>
      <c r="K96" s="1509"/>
      <c r="L96" s="1510"/>
      <c r="M96" s="1382"/>
      <c r="N96" s="1457"/>
      <c r="O96" s="1458"/>
      <c r="P96" s="1459"/>
      <c r="Q96" s="1457"/>
      <c r="R96" s="1458">
        <f>+F96</f>
        <v>8.1359999999999992</v>
      </c>
      <c r="S96" s="1460"/>
      <c r="T96" s="1382"/>
      <c r="U96" s="1105">
        <f>+I96*J96</f>
        <v>25.783999999999999</v>
      </c>
      <c r="V96" s="1109">
        <f>+W96*J96</f>
        <v>4.4000000000000004</v>
      </c>
      <c r="W96" s="1109">
        <v>2</v>
      </c>
      <c r="X96" s="1106"/>
      <c r="Y96" s="1108"/>
      <c r="Z96" s="1109"/>
      <c r="AA96" s="1106"/>
      <c r="AB96" s="1108"/>
      <c r="AC96" s="1382"/>
      <c r="AD96" s="1120"/>
      <c r="AE96" s="1121"/>
      <c r="AF96" s="1101"/>
      <c r="AG96" s="1101"/>
      <c r="AH96" s="1101"/>
      <c r="AI96" s="1101"/>
      <c r="AJ96" s="1104"/>
      <c r="AK96" s="1382"/>
      <c r="AL96" s="1103"/>
      <c r="AM96" s="1101"/>
      <c r="AN96" s="1101"/>
      <c r="AO96" s="1101"/>
      <c r="AP96" s="1101"/>
      <c r="AQ96" s="1102"/>
      <c r="AR96" s="1103"/>
      <c r="AS96" s="1101"/>
      <c r="AT96" s="1104"/>
      <c r="AU96" s="1461">
        <f>+F96</f>
        <v>8.1359999999999992</v>
      </c>
      <c r="AV96" s="1382"/>
      <c r="AW96" s="1105"/>
      <c r="AX96" s="1106">
        <v>1</v>
      </c>
      <c r="AY96" s="1106"/>
      <c r="AZ96" s="1106"/>
      <c r="BA96" s="1108"/>
      <c r="BB96" s="1462"/>
      <c r="BC96" s="1363"/>
      <c r="BD96" s="1463"/>
      <c r="BE96" s="1464"/>
      <c r="BF96" s="1464"/>
      <c r="BG96" s="1464"/>
      <c r="BH96" s="1464">
        <f>+F96</f>
        <v>8.1359999999999992</v>
      </c>
      <c r="BI96" s="1464"/>
      <c r="BJ96" s="1465"/>
      <c r="BK96" s="1660"/>
      <c r="BL96" s="1105"/>
      <c r="BM96" s="1106">
        <f>+I96</f>
        <v>11.719999999999999</v>
      </c>
      <c r="BN96" s="1107"/>
      <c r="BO96" s="1108"/>
      <c r="BP96" s="1086"/>
      <c r="BQ96" s="1105"/>
      <c r="BR96" s="1106"/>
      <c r="BS96" s="1107"/>
      <c r="BT96" s="1105"/>
      <c r="BU96" s="1106"/>
      <c r="BV96" s="1108">
        <f>+I96*J96</f>
        <v>25.783999999999999</v>
      </c>
      <c r="BW96" s="1106"/>
      <c r="BX96" s="1106"/>
      <c r="BY96" s="1107"/>
      <c r="BZ96" s="1108">
        <f>+F96</f>
        <v>8.1359999999999992</v>
      </c>
      <c r="CB96" s="1105"/>
      <c r="CC96" s="1106">
        <f>+CE96</f>
        <v>1</v>
      </c>
      <c r="CD96" s="1106"/>
      <c r="CE96" s="1105">
        <v>1</v>
      </c>
      <c r="CF96" s="1109"/>
      <c r="CG96" s="1106"/>
      <c r="CH96" s="1106"/>
      <c r="CI96" s="1106"/>
      <c r="CJ96" s="1106"/>
      <c r="CK96" s="1106"/>
      <c r="CL96" s="1106"/>
      <c r="CM96" s="1106">
        <v>1</v>
      </c>
      <c r="CN96" s="1106"/>
      <c r="CO96" s="1106"/>
      <c r="CP96" s="1106"/>
      <c r="CQ96" s="1106"/>
      <c r="CR96" s="1106"/>
      <c r="CS96" s="1106"/>
      <c r="CT96" s="1106">
        <v>1</v>
      </c>
      <c r="CU96" s="1108"/>
      <c r="CV96" s="1109"/>
      <c r="CW96" s="1106"/>
      <c r="CX96" s="1106"/>
      <c r="CY96" s="1091"/>
      <c r="CZ96" s="1463"/>
      <c r="DA96" s="1464"/>
      <c r="DB96" s="1464"/>
      <c r="DC96" s="1464"/>
      <c r="DD96" s="1465"/>
      <c r="DE96" s="1463"/>
      <c r="DF96" s="1464"/>
      <c r="DG96" s="1464"/>
      <c r="DH96" s="1464"/>
      <c r="DI96" s="1465"/>
    </row>
    <row r="97" spans="1:119" s="1341" customFormat="1" ht="13">
      <c r="A97" s="2063"/>
      <c r="B97" s="1441">
        <v>88</v>
      </c>
      <c r="C97" s="1122" t="s">
        <v>1887</v>
      </c>
      <c r="D97" s="1442"/>
      <c r="E97" s="1443"/>
      <c r="F97" s="1401">
        <f>87-F98</f>
        <v>62.3</v>
      </c>
      <c r="G97" s="1402">
        <v>66.010000000000005</v>
      </c>
      <c r="H97" s="1403"/>
      <c r="I97" s="1404">
        <f t="shared" si="20"/>
        <v>66.010000000000005</v>
      </c>
      <c r="J97" s="1402"/>
      <c r="K97" s="1380"/>
      <c r="L97" s="1381"/>
      <c r="M97" s="1382"/>
      <c r="N97" s="1383">
        <f>+F97</f>
        <v>62.3</v>
      </c>
      <c r="O97" s="1384"/>
      <c r="P97" s="1385"/>
      <c r="Q97" s="1383"/>
      <c r="R97" s="1384">
        <f>+F97</f>
        <v>62.3</v>
      </c>
      <c r="S97" s="1386">
        <f>+F97</f>
        <v>62.3</v>
      </c>
      <c r="T97" s="1382"/>
      <c r="U97" s="1085"/>
      <c r="V97" s="1087"/>
      <c r="W97" s="1087"/>
      <c r="X97" s="1087"/>
      <c r="Y97" s="1089"/>
      <c r="Z97" s="1090"/>
      <c r="AA97" s="1087"/>
      <c r="AB97" s="1584"/>
      <c r="AC97" s="1382"/>
      <c r="AD97" s="1110"/>
      <c r="AE97" s="1585"/>
      <c r="AF97" s="1083"/>
      <c r="AG97" s="1083">
        <f>+F97</f>
        <v>62.3</v>
      </c>
      <c r="AH97" s="1083">
        <f>+F97</f>
        <v>62.3</v>
      </c>
      <c r="AI97" s="1083">
        <f>+F97</f>
        <v>62.3</v>
      </c>
      <c r="AJ97" s="1084">
        <f>+G97</f>
        <v>66.010000000000005</v>
      </c>
      <c r="AK97" s="1363"/>
      <c r="AL97" s="1135"/>
      <c r="AM97" s="1132"/>
      <c r="AN97" s="1132"/>
      <c r="AO97" s="1132"/>
      <c r="AP97" s="1132"/>
      <c r="AQ97" s="1133"/>
      <c r="AR97" s="1135"/>
      <c r="AS97" s="1132"/>
      <c r="AT97" s="1134"/>
      <c r="AU97" s="1466"/>
      <c r="AV97" s="1363"/>
      <c r="AW97" s="1085"/>
      <c r="AX97" s="1087"/>
      <c r="AY97" s="1087"/>
      <c r="AZ97" s="1087"/>
      <c r="BA97" s="1089"/>
      <c r="BB97" s="1405"/>
      <c r="BC97" s="1363"/>
      <c r="BD97" s="1398">
        <f>+F97</f>
        <v>62.3</v>
      </c>
      <c r="BE97" s="1399"/>
      <c r="BF97" s="1399"/>
      <c r="BG97" s="1399"/>
      <c r="BH97" s="1399"/>
      <c r="BI97" s="1399"/>
      <c r="BJ97" s="1400"/>
      <c r="BK97" s="1658"/>
      <c r="BL97" s="1085"/>
      <c r="BM97" s="1087"/>
      <c r="BN97" s="1088"/>
      <c r="BO97" s="1089">
        <f>+I97</f>
        <v>66.010000000000005</v>
      </c>
      <c r="BP97" s="1086"/>
      <c r="BQ97" s="1085"/>
      <c r="BR97" s="1087"/>
      <c r="BS97" s="1088"/>
      <c r="BT97" s="1085"/>
      <c r="BU97" s="1087"/>
      <c r="BV97" s="1089"/>
      <c r="BW97" s="1087"/>
      <c r="BX97" s="1087"/>
      <c r="BY97" s="1088"/>
      <c r="BZ97" s="1089"/>
      <c r="CA97" s="1397"/>
      <c r="CB97" s="1085"/>
      <c r="CC97" s="1087">
        <f>+CF97</f>
        <v>4</v>
      </c>
      <c r="CD97" s="1087"/>
      <c r="CE97" s="1085"/>
      <c r="CF97" s="1090">
        <v>4</v>
      </c>
      <c r="CG97" s="1087"/>
      <c r="CH97" s="1087"/>
      <c r="CI97" s="1087"/>
      <c r="CJ97" s="1087"/>
      <c r="CK97" s="1087"/>
      <c r="CL97" s="1087"/>
      <c r="CM97" s="1087"/>
      <c r="CN97" s="1087">
        <v>1</v>
      </c>
      <c r="CO97" s="1087"/>
      <c r="CP97" s="1087"/>
      <c r="CQ97" s="1087"/>
      <c r="CR97" s="1087"/>
      <c r="CS97" s="1087"/>
      <c r="CT97" s="1087"/>
      <c r="CU97" s="1089"/>
      <c r="CV97" s="1090"/>
      <c r="CW97" s="1087"/>
      <c r="CX97" s="1089"/>
      <c r="CY97" s="1091"/>
      <c r="CZ97" s="1398"/>
      <c r="DA97" s="1399"/>
      <c r="DB97" s="1399"/>
      <c r="DC97" s="1399"/>
      <c r="DD97" s="1586"/>
      <c r="DE97" s="1398"/>
      <c r="DF97" s="1399"/>
      <c r="DG97" s="1399"/>
      <c r="DH97" s="1399"/>
      <c r="DI97" s="1400"/>
    </row>
    <row r="98" spans="1:119" s="1341" customFormat="1" ht="13">
      <c r="A98" s="2064"/>
      <c r="B98" s="1448">
        <v>89</v>
      </c>
      <c r="C98" s="1127" t="s">
        <v>2184</v>
      </c>
      <c r="D98" s="1449"/>
      <c r="E98" s="1450"/>
      <c r="F98" s="1482">
        <v>24.7</v>
      </c>
      <c r="G98" s="1455">
        <v>23.43</v>
      </c>
      <c r="H98" s="1453"/>
      <c r="I98" s="1532">
        <f t="shared" si="20"/>
        <v>23.43</v>
      </c>
      <c r="J98" s="1455"/>
      <c r="K98" s="1456"/>
      <c r="L98" s="1483"/>
      <c r="M98" s="1382"/>
      <c r="N98" s="1457">
        <f>+F98</f>
        <v>24.7</v>
      </c>
      <c r="O98" s="1458"/>
      <c r="P98" s="1459"/>
      <c r="Q98" s="1457"/>
      <c r="R98" s="1458">
        <f>+F98</f>
        <v>24.7</v>
      </c>
      <c r="S98" s="1460">
        <f>+F98</f>
        <v>24.7</v>
      </c>
      <c r="T98" s="1382"/>
      <c r="U98" s="1105"/>
      <c r="V98" s="1106"/>
      <c r="W98" s="1106"/>
      <c r="X98" s="1106"/>
      <c r="Y98" s="1108"/>
      <c r="Z98" s="1109"/>
      <c r="AA98" s="1106"/>
      <c r="AB98" s="1583"/>
      <c r="AC98" s="1382"/>
      <c r="AD98" s="1120"/>
      <c r="AE98" s="1578"/>
      <c r="AF98" s="1101"/>
      <c r="AG98" s="1101">
        <f>+F98</f>
        <v>24.7</v>
      </c>
      <c r="AH98" s="1101">
        <f>+F98</f>
        <v>24.7</v>
      </c>
      <c r="AI98" s="1101">
        <f>+F98</f>
        <v>24.7</v>
      </c>
      <c r="AJ98" s="1104"/>
      <c r="AK98" s="1363"/>
      <c r="AL98" s="1103"/>
      <c r="AM98" s="1101"/>
      <c r="AN98" s="1101"/>
      <c r="AO98" s="1101"/>
      <c r="AP98" s="1101"/>
      <c r="AQ98" s="1102"/>
      <c r="AR98" s="1103"/>
      <c r="AS98" s="1101"/>
      <c r="AT98" s="1104"/>
      <c r="AU98" s="1461"/>
      <c r="AV98" s="1363"/>
      <c r="AW98" s="1105"/>
      <c r="AX98" s="1106"/>
      <c r="AY98" s="1106"/>
      <c r="AZ98" s="1106"/>
      <c r="BA98" s="1108"/>
      <c r="BB98" s="1462"/>
      <c r="BC98" s="1363"/>
      <c r="BD98" s="1463"/>
      <c r="BE98" s="1464"/>
      <c r="BF98" s="1464"/>
      <c r="BG98" s="1464"/>
      <c r="BH98" s="1464"/>
      <c r="BI98" s="1464">
        <f>+F98</f>
        <v>24.7</v>
      </c>
      <c r="BJ98" s="1465"/>
      <c r="BK98" s="1660"/>
      <c r="BL98" s="1105"/>
      <c r="BM98" s="1106"/>
      <c r="BN98" s="1107"/>
      <c r="BO98" s="1108"/>
      <c r="BP98" s="1086"/>
      <c r="BQ98" s="1105"/>
      <c r="BR98" s="1106"/>
      <c r="BS98" s="1107"/>
      <c r="BT98" s="1105"/>
      <c r="BU98" s="1106"/>
      <c r="BV98" s="1108"/>
      <c r="BW98" s="1106"/>
      <c r="BX98" s="1106"/>
      <c r="BY98" s="1107"/>
      <c r="BZ98" s="1108"/>
      <c r="CA98" s="1397"/>
      <c r="CB98" s="1105"/>
      <c r="CC98" s="1106"/>
      <c r="CD98" s="1106"/>
      <c r="CE98" s="1105"/>
      <c r="CF98" s="1109"/>
      <c r="CG98" s="1106"/>
      <c r="CH98" s="1106"/>
      <c r="CI98" s="1106"/>
      <c r="CJ98" s="1106"/>
      <c r="CK98" s="1106"/>
      <c r="CL98" s="1106"/>
      <c r="CM98" s="1106"/>
      <c r="CN98" s="1106"/>
      <c r="CO98" s="1106"/>
      <c r="CP98" s="1106"/>
      <c r="CQ98" s="1106"/>
      <c r="CR98" s="1106"/>
      <c r="CS98" s="1106"/>
      <c r="CT98" s="1106"/>
      <c r="CU98" s="1108"/>
      <c r="CV98" s="1109"/>
      <c r="CW98" s="1106"/>
      <c r="CX98" s="1108"/>
      <c r="CY98" s="1091"/>
      <c r="CZ98" s="1463"/>
      <c r="DA98" s="1464"/>
      <c r="DB98" s="1464"/>
      <c r="DC98" s="1464"/>
      <c r="DD98" s="1587"/>
      <c r="DE98" s="1463"/>
      <c r="DF98" s="1464"/>
      <c r="DG98" s="1464"/>
      <c r="DH98" s="1464"/>
      <c r="DI98" s="1465"/>
    </row>
    <row r="99" spans="1:119" s="1341" customFormat="1" ht="13">
      <c r="A99" s="1588"/>
      <c r="B99" s="1589">
        <v>90</v>
      </c>
      <c r="C99" s="1590" t="s">
        <v>2017</v>
      </c>
      <c r="D99" s="1591">
        <v>8.2899999999999991</v>
      </c>
      <c r="E99" s="1592">
        <v>2.2999999999999998</v>
      </c>
      <c r="F99" s="1593">
        <f t="shared" si="41"/>
        <v>19.066999999999997</v>
      </c>
      <c r="G99" s="1594">
        <f t="shared" si="42"/>
        <v>21.18</v>
      </c>
      <c r="H99" s="1595"/>
      <c r="I99" s="1596"/>
      <c r="J99" s="1594"/>
      <c r="K99" s="1597"/>
      <c r="L99" s="1598"/>
      <c r="M99" s="1382"/>
      <c r="N99" s="1599">
        <f>+F99</f>
        <v>19.066999999999997</v>
      </c>
      <c r="O99" s="1600"/>
      <c r="P99" s="1601"/>
      <c r="Q99" s="1599"/>
      <c r="R99" s="1600">
        <f>+F99</f>
        <v>19.066999999999997</v>
      </c>
      <c r="S99" s="1602">
        <f>+F99</f>
        <v>19.066999999999997</v>
      </c>
      <c r="T99" s="1382"/>
      <c r="U99" s="1116"/>
      <c r="V99" s="1117"/>
      <c r="W99" s="1117"/>
      <c r="X99" s="1118"/>
      <c r="Y99" s="1119"/>
      <c r="Z99" s="1117"/>
      <c r="AA99" s="1118"/>
      <c r="AB99" s="1603"/>
      <c r="AC99" s="1382"/>
      <c r="AD99" s="1604"/>
      <c r="AE99" s="1605"/>
      <c r="AF99" s="1606"/>
      <c r="AG99" s="1101">
        <f>+F99</f>
        <v>19.066999999999997</v>
      </c>
      <c r="AH99" s="1101">
        <f>+F99</f>
        <v>19.066999999999997</v>
      </c>
      <c r="AI99" s="1101">
        <f>+F99</f>
        <v>19.066999999999997</v>
      </c>
      <c r="AJ99" s="1104">
        <f>+G99</f>
        <v>21.18</v>
      </c>
      <c r="AK99" s="1363"/>
      <c r="AL99" s="1607"/>
      <c r="AM99" s="1608"/>
      <c r="AN99" s="1608"/>
      <c r="AO99" s="1608"/>
      <c r="AP99" s="1608"/>
      <c r="AQ99" s="1609"/>
      <c r="AR99" s="1607"/>
      <c r="AS99" s="1608"/>
      <c r="AT99" s="1610"/>
      <c r="AU99" s="1611"/>
      <c r="AV99" s="1363"/>
      <c r="AW99" s="1116"/>
      <c r="AX99" s="1118"/>
      <c r="AY99" s="1118"/>
      <c r="AZ99" s="1118"/>
      <c r="BA99" s="1119"/>
      <c r="BB99" s="1612"/>
      <c r="BC99" s="1363"/>
      <c r="BD99" s="1613"/>
      <c r="BE99" s="1517"/>
      <c r="BF99" s="1517"/>
      <c r="BG99" s="1517"/>
      <c r="BH99" s="1517"/>
      <c r="BI99" s="1517"/>
      <c r="BJ99" s="1614"/>
      <c r="BK99" s="1662"/>
      <c r="BL99" s="1116"/>
      <c r="BM99" s="1118"/>
      <c r="BN99" s="1615"/>
      <c r="BO99" s="1119"/>
      <c r="BP99" s="1086"/>
      <c r="BQ99" s="1116"/>
      <c r="BR99" s="1118"/>
      <c r="BS99" s="1615"/>
      <c r="BT99" s="1116"/>
      <c r="BU99" s="1118"/>
      <c r="BV99" s="1119"/>
      <c r="BW99" s="1118"/>
      <c r="BX99" s="1118"/>
      <c r="BY99" s="1615"/>
      <c r="BZ99" s="1119"/>
      <c r="CA99" s="1397"/>
      <c r="CB99" s="1392"/>
      <c r="CC99" s="1393"/>
      <c r="CD99" s="1393"/>
      <c r="CE99" s="1392"/>
      <c r="CF99" s="1616"/>
      <c r="CG99" s="1393"/>
      <c r="CH99" s="1393"/>
      <c r="CI99" s="1393"/>
      <c r="CJ99" s="1393"/>
      <c r="CK99" s="1393"/>
      <c r="CL99" s="1393"/>
      <c r="CM99" s="1393"/>
      <c r="CN99" s="1393"/>
      <c r="CO99" s="1393"/>
      <c r="CP99" s="1393"/>
      <c r="CQ99" s="1393"/>
      <c r="CR99" s="1393"/>
      <c r="CS99" s="1393"/>
      <c r="CT99" s="1393"/>
      <c r="CU99" s="1144"/>
      <c r="CV99" s="1616"/>
      <c r="CW99" s="1393"/>
      <c r="CX99" s="1144"/>
      <c r="CY99" s="1091"/>
      <c r="CZ99" s="1613"/>
      <c r="DA99" s="1517"/>
      <c r="DB99" s="1517"/>
      <c r="DC99" s="1517"/>
      <c r="DD99" s="1617"/>
      <c r="DE99" s="1613"/>
      <c r="DF99" s="1517"/>
      <c r="DG99" s="1517"/>
      <c r="DH99" s="1517"/>
      <c r="DI99" s="1614"/>
    </row>
    <row r="100" spans="1:119" s="1341" customFormat="1" ht="13">
      <c r="A100" s="1618"/>
      <c r="B100" s="1619"/>
      <c r="C100" s="1145"/>
      <c r="D100" s="1342"/>
      <c r="E100" s="1342"/>
      <c r="F100" s="1342"/>
      <c r="G100" s="1342"/>
      <c r="H100" s="1620"/>
      <c r="I100" s="1342"/>
      <c r="J100" s="1342"/>
      <c r="K100" s="1621"/>
      <c r="L100" s="1622"/>
      <c r="M100" s="1623"/>
      <c r="N100" s="1624">
        <f>ROUNDUP(SUM(N8:N99),0)</f>
        <v>107</v>
      </c>
      <c r="O100" s="1625">
        <f t="shared" ref="O100:S100" si="43">ROUNDUP(SUM(O8:O99),0)</f>
        <v>21</v>
      </c>
      <c r="P100" s="1626">
        <f t="shared" si="43"/>
        <v>201</v>
      </c>
      <c r="Q100" s="1624">
        <f t="shared" si="43"/>
        <v>850</v>
      </c>
      <c r="R100" s="1625">
        <f t="shared" si="43"/>
        <v>365</v>
      </c>
      <c r="S100" s="1627">
        <f t="shared" si="43"/>
        <v>357</v>
      </c>
      <c r="T100" s="1623"/>
      <c r="U100" s="1624">
        <f>ROUNDUP(SUM(U8:U99),0)</f>
        <v>521</v>
      </c>
      <c r="V100" s="1625">
        <f t="shared" ref="V100:AB100" si="44">ROUNDUP(SUM(V8:V99),0)</f>
        <v>14</v>
      </c>
      <c r="W100" s="1625">
        <f t="shared" si="44"/>
        <v>5</v>
      </c>
      <c r="X100" s="1625">
        <f t="shared" si="44"/>
        <v>715</v>
      </c>
      <c r="Y100" s="1627">
        <f t="shared" si="44"/>
        <v>0</v>
      </c>
      <c r="Z100" s="1628">
        <f t="shared" si="44"/>
        <v>2180</v>
      </c>
      <c r="AA100" s="1625">
        <f t="shared" si="44"/>
        <v>255</v>
      </c>
      <c r="AB100" s="1627">
        <f t="shared" si="44"/>
        <v>102</v>
      </c>
      <c r="AC100" s="1629"/>
      <c r="AD100" s="1624">
        <f t="shared" ref="AD100:AI100" si="45">ROUNDUP(SUM(AD8:AD99),0)</f>
        <v>79</v>
      </c>
      <c r="AE100" s="1625">
        <f t="shared" si="45"/>
        <v>189</v>
      </c>
      <c r="AF100" s="1625">
        <f>ROUNDUP(SUM(AF8:AF99),0)</f>
        <v>207</v>
      </c>
      <c r="AG100" s="1625">
        <f t="shared" si="45"/>
        <v>165</v>
      </c>
      <c r="AH100" s="1625">
        <f t="shared" si="45"/>
        <v>165</v>
      </c>
      <c r="AI100" s="1625">
        <f t="shared" si="45"/>
        <v>274</v>
      </c>
      <c r="AJ100" s="1627">
        <f>ROUNDUP(SUM(AJ8:AJ99),0)</f>
        <v>369</v>
      </c>
      <c r="AK100" s="1629"/>
      <c r="AL100" s="1624">
        <f t="shared" ref="AL100:AU100" si="46">ROUNDUP(SUM(AL8:AL99),0)</f>
        <v>146</v>
      </c>
      <c r="AM100" s="1625">
        <f t="shared" si="46"/>
        <v>89</v>
      </c>
      <c r="AN100" s="1625">
        <f t="shared" si="46"/>
        <v>652</v>
      </c>
      <c r="AO100" s="1625">
        <f t="shared" si="46"/>
        <v>37</v>
      </c>
      <c r="AP100" s="1625">
        <f t="shared" si="46"/>
        <v>62</v>
      </c>
      <c r="AQ100" s="1626">
        <f t="shared" si="46"/>
        <v>0</v>
      </c>
      <c r="AR100" s="1624">
        <f t="shared" si="46"/>
        <v>668</v>
      </c>
      <c r="AS100" s="1625">
        <f t="shared" si="46"/>
        <v>446</v>
      </c>
      <c r="AT100" s="1627">
        <f t="shared" si="46"/>
        <v>2</v>
      </c>
      <c r="AU100" s="1630">
        <f t="shared" si="46"/>
        <v>370</v>
      </c>
      <c r="AV100" s="1629"/>
      <c r="AW100" s="1624">
        <f t="shared" ref="AW100:BA100" si="47">ROUNDUP(SUM(AW8:AW99),0)</f>
        <v>24</v>
      </c>
      <c r="AX100" s="1625">
        <f t="shared" si="47"/>
        <v>11</v>
      </c>
      <c r="AY100" s="1625">
        <f t="shared" si="47"/>
        <v>43</v>
      </c>
      <c r="AZ100" s="1625">
        <f t="shared" si="47"/>
        <v>3</v>
      </c>
      <c r="BA100" s="1627">
        <f t="shared" si="47"/>
        <v>8</v>
      </c>
      <c r="BB100" s="1627">
        <f>ROUNDUP(SUM(BB8:BB99),0)</f>
        <v>72</v>
      </c>
      <c r="BC100" s="1629"/>
      <c r="BD100" s="1624">
        <f t="shared" ref="BD100:BO100" si="48">ROUNDUP(SUM(BD8:BD99),0)</f>
        <v>63</v>
      </c>
      <c r="BE100" s="1625">
        <f t="shared" si="48"/>
        <v>101</v>
      </c>
      <c r="BF100" s="1625">
        <f t="shared" si="48"/>
        <v>898</v>
      </c>
      <c r="BG100" s="1625">
        <f t="shared" si="48"/>
        <v>88</v>
      </c>
      <c r="BH100" s="1625">
        <f t="shared" si="48"/>
        <v>27</v>
      </c>
      <c r="BI100" s="1625">
        <f t="shared" si="48"/>
        <v>25</v>
      </c>
      <c r="BJ100" s="1627">
        <f t="shared" si="48"/>
        <v>180</v>
      </c>
      <c r="BK100" s="1627">
        <f t="shared" si="48"/>
        <v>25</v>
      </c>
      <c r="BL100" s="1624">
        <f t="shared" si="48"/>
        <v>792</v>
      </c>
      <c r="BM100" s="1625">
        <f t="shared" si="48"/>
        <v>43</v>
      </c>
      <c r="BN100" s="1625">
        <f t="shared" si="48"/>
        <v>282</v>
      </c>
      <c r="BO100" s="1627">
        <f t="shared" si="48"/>
        <v>263</v>
      </c>
      <c r="BP100" s="1629"/>
      <c r="BQ100" s="1624">
        <f>ROUNDUP(SUM(BQ8:BQ99),0)</f>
        <v>82</v>
      </c>
      <c r="BR100" s="1625">
        <f>ROUNDUP(SUM(BR8:BR99),0)</f>
        <v>493</v>
      </c>
      <c r="BS100" s="1626">
        <f t="shared" ref="BS100:BZ100" si="49">ROUNDUP(SUM(BS8:BS99),0)</f>
        <v>0</v>
      </c>
      <c r="BT100" s="1624">
        <f>ROUNDUP(SUM(BT8:BT99),0)</f>
        <v>136</v>
      </c>
      <c r="BU100" s="1625">
        <f t="shared" si="49"/>
        <v>2180</v>
      </c>
      <c r="BV100" s="1627">
        <f>ROUNDUP(SUM(BV8:BV99),0)</f>
        <v>525</v>
      </c>
      <c r="BW100" s="1625">
        <f>ROUNDUP(SUM(BW8:BW99),0)</f>
        <v>296</v>
      </c>
      <c r="BX100" s="1625">
        <f>ROUNDUP(SUM(BX8:BX99),0)</f>
        <v>668</v>
      </c>
      <c r="BY100" s="1625">
        <f>ROUNDUP(SUM(BY8:BY99),0)</f>
        <v>89</v>
      </c>
      <c r="BZ100" s="1627">
        <f t="shared" si="49"/>
        <v>281</v>
      </c>
      <c r="CA100" s="1629"/>
      <c r="CB100" s="1624">
        <f t="shared" ref="CB100:CL100" si="50">ROUNDUP(SUM(CB8:CB99),0)</f>
        <v>11</v>
      </c>
      <c r="CC100" s="1625">
        <f t="shared" si="50"/>
        <v>119</v>
      </c>
      <c r="CD100" s="1625">
        <f t="shared" si="50"/>
        <v>25</v>
      </c>
      <c r="CE100" s="1624">
        <f t="shared" si="50"/>
        <v>222</v>
      </c>
      <c r="CF100" s="1625">
        <f t="shared" si="50"/>
        <v>67</v>
      </c>
      <c r="CG100" s="1625">
        <f t="shared" si="50"/>
        <v>23</v>
      </c>
      <c r="CH100" s="1625">
        <f t="shared" si="50"/>
        <v>16</v>
      </c>
      <c r="CI100" s="1625">
        <f t="shared" si="50"/>
        <v>45</v>
      </c>
      <c r="CJ100" s="1625">
        <f t="shared" si="50"/>
        <v>16</v>
      </c>
      <c r="CK100" s="1625">
        <f t="shared" si="50"/>
        <v>58</v>
      </c>
      <c r="CL100" s="1625">
        <f t="shared" si="50"/>
        <v>76</v>
      </c>
      <c r="CM100" s="1625">
        <f>ROUNDUP(SUM(CM8:CM99),0)</f>
        <v>236</v>
      </c>
      <c r="CN100" s="1625">
        <f t="shared" ref="CN100:CX100" si="51">ROUNDUP(SUM(CN8:CN99),0)</f>
        <v>1</v>
      </c>
      <c r="CO100" s="1625">
        <f t="shared" si="51"/>
        <v>50</v>
      </c>
      <c r="CP100" s="1625">
        <f t="shared" si="51"/>
        <v>40</v>
      </c>
      <c r="CQ100" s="1625">
        <f t="shared" si="51"/>
        <v>11</v>
      </c>
      <c r="CR100" s="1625">
        <f t="shared" si="51"/>
        <v>14</v>
      </c>
      <c r="CS100" s="1625">
        <f t="shared" si="51"/>
        <v>1</v>
      </c>
      <c r="CT100" s="1625">
        <f t="shared" si="51"/>
        <v>1</v>
      </c>
      <c r="CU100" s="1627">
        <f t="shared" si="51"/>
        <v>1</v>
      </c>
      <c r="CV100" s="1628">
        <f t="shared" si="51"/>
        <v>0</v>
      </c>
      <c r="CW100" s="1625">
        <f>ROUNDUP(SUM(CW8:CW99),0)</f>
        <v>0</v>
      </c>
      <c r="CX100" s="1627">
        <f t="shared" si="51"/>
        <v>40</v>
      </c>
      <c r="CY100" s="1091"/>
      <c r="CZ100" s="1624">
        <f t="shared" ref="CZ100:DI100" si="52">ROUNDUP(SUM(CZ8:CZ82),0)</f>
        <v>0</v>
      </c>
      <c r="DA100" s="1625">
        <f t="shared" si="52"/>
        <v>0</v>
      </c>
      <c r="DB100" s="1625">
        <f t="shared" si="52"/>
        <v>0</v>
      </c>
      <c r="DC100" s="1625">
        <f t="shared" si="52"/>
        <v>0</v>
      </c>
      <c r="DD100" s="1626">
        <f t="shared" si="52"/>
        <v>0</v>
      </c>
      <c r="DE100" s="1624">
        <f t="shared" si="52"/>
        <v>0</v>
      </c>
      <c r="DF100" s="1625">
        <f t="shared" si="52"/>
        <v>0</v>
      </c>
      <c r="DG100" s="1625">
        <f t="shared" si="52"/>
        <v>0</v>
      </c>
      <c r="DH100" s="1625">
        <f t="shared" si="52"/>
        <v>0</v>
      </c>
      <c r="DI100" s="1627">
        <f t="shared" si="52"/>
        <v>0</v>
      </c>
      <c r="DK100" s="1342"/>
      <c r="DL100" s="1342"/>
      <c r="DM100" s="1342"/>
      <c r="DN100" s="1342"/>
      <c r="DO100" s="1342"/>
    </row>
    <row r="101" spans="1:119" s="1341" customFormat="1">
      <c r="A101" s="1618"/>
      <c r="B101" s="1619"/>
      <c r="C101" s="1145"/>
      <c r="D101" s="1342"/>
      <c r="E101" s="1342"/>
      <c r="F101" s="1342"/>
      <c r="G101" s="1342"/>
      <c r="H101" s="1620"/>
      <c r="I101" s="1342"/>
      <c r="J101" s="1342"/>
      <c r="K101" s="1621"/>
      <c r="L101" s="1622"/>
      <c r="M101" s="1623"/>
      <c r="N101" s="1631"/>
      <c r="O101" s="1631"/>
      <c r="P101" s="1631"/>
      <c r="Q101" s="1631"/>
      <c r="R101" s="1631"/>
      <c r="S101" s="1631"/>
      <c r="T101" s="1623"/>
      <c r="U101" s="1146"/>
      <c r="V101" s="1146"/>
      <c r="W101" s="1146"/>
      <c r="X101" s="1146"/>
      <c r="Y101" s="1146"/>
      <c r="Z101" s="1146"/>
      <c r="AA101" s="1146"/>
      <c r="AB101" s="1146"/>
      <c r="AC101" s="1623"/>
      <c r="AD101" s="1147"/>
      <c r="AE101" s="1632">
        <v>0.15</v>
      </c>
      <c r="AF101" s="1147"/>
      <c r="AG101" s="1147"/>
      <c r="AH101" s="1147"/>
      <c r="AI101" s="1147"/>
      <c r="AJ101" s="1632">
        <v>0.15</v>
      </c>
      <c r="AK101" s="1633"/>
      <c r="AL101" s="1147"/>
      <c r="AM101" s="1147"/>
      <c r="AN101" s="1147"/>
      <c r="AO101" s="1147"/>
      <c r="AP101" s="1147"/>
      <c r="AQ101" s="1147"/>
      <c r="AR101" s="1147"/>
      <c r="AS101" s="1147"/>
      <c r="AT101" s="1147"/>
      <c r="AU101" s="1147"/>
      <c r="AV101" s="1623"/>
      <c r="AW101" s="1149"/>
      <c r="AX101" s="1149"/>
      <c r="AY101" s="1149"/>
      <c r="AZ101" s="1149"/>
      <c r="BA101" s="1149"/>
      <c r="BB101" s="1149"/>
      <c r="BD101" s="1619"/>
      <c r="BE101" s="1619"/>
      <c r="BF101" s="1619"/>
      <c r="BG101" s="1619"/>
      <c r="BH101" s="1619"/>
      <c r="BI101" s="1619"/>
      <c r="BJ101" s="1619"/>
      <c r="BK101" s="1619"/>
      <c r="BL101" s="1149"/>
      <c r="BM101" s="1149"/>
      <c r="BN101" s="1149"/>
      <c r="BO101" s="1149"/>
      <c r="BP101" s="1143"/>
      <c r="BQ101" s="1149"/>
      <c r="BR101" s="1149"/>
      <c r="BS101" s="1150"/>
      <c r="BT101" s="1150"/>
      <c r="BU101" s="1149"/>
      <c r="BV101" s="1149"/>
      <c r="BW101" s="1149"/>
      <c r="BX101" s="1149"/>
      <c r="BY101" s="1149"/>
      <c r="BZ101" s="1149"/>
      <c r="CB101" s="1147"/>
      <c r="CC101" s="1147"/>
      <c r="CD101" s="1147"/>
      <c r="CE101" s="1147"/>
      <c r="CF101" s="1147"/>
      <c r="CG101" s="1147"/>
      <c r="CH101" s="1147"/>
      <c r="CI101" s="1147"/>
      <c r="CJ101" s="1147"/>
      <c r="CK101" s="1147"/>
      <c r="CL101" s="1147"/>
      <c r="CM101" s="1147"/>
      <c r="CN101" s="1147"/>
      <c r="CO101" s="1147"/>
      <c r="CP101" s="1147"/>
      <c r="CQ101" s="1147"/>
      <c r="CR101" s="1147"/>
      <c r="CS101" s="1147"/>
      <c r="CT101" s="1147"/>
      <c r="CU101" s="1147"/>
      <c r="CV101" s="1147"/>
      <c r="CW101" s="1147"/>
      <c r="CX101" s="1147"/>
      <c r="CY101" s="1086"/>
      <c r="CZ101" s="1631"/>
      <c r="DA101" s="1631"/>
      <c r="DB101" s="1619"/>
      <c r="DC101" s="1619"/>
      <c r="DD101" s="1619"/>
      <c r="DE101" s="1619"/>
      <c r="DF101" s="1619"/>
      <c r="DG101" s="1619"/>
      <c r="DH101" s="1619"/>
      <c r="DI101" s="1619"/>
      <c r="DK101" s="1342"/>
      <c r="DL101" s="1342"/>
      <c r="DM101" s="1342"/>
      <c r="DN101" s="1342"/>
      <c r="DO101" s="1342"/>
    </row>
    <row r="102" spans="1:119" s="1341" customFormat="1">
      <c r="A102" s="1271"/>
      <c r="B102" s="1619"/>
      <c r="C102" s="1145"/>
      <c r="D102" s="1342"/>
      <c r="E102" s="1342"/>
      <c r="F102" s="1342"/>
      <c r="G102" s="1342"/>
      <c r="H102" s="1620"/>
      <c r="I102" s="1342"/>
      <c r="J102" s="1342"/>
      <c r="K102" s="1621"/>
      <c r="L102" s="1622"/>
      <c r="M102" s="1623"/>
      <c r="N102" s="1631"/>
      <c r="O102" s="1631"/>
      <c r="P102" s="1631"/>
      <c r="Q102" s="1631"/>
      <c r="R102" s="1631"/>
      <c r="S102" s="1631"/>
      <c r="T102" s="1623"/>
      <c r="U102" s="1146"/>
      <c r="V102" s="1146"/>
      <c r="W102" s="1146"/>
      <c r="X102" s="1146"/>
      <c r="Y102" s="1146"/>
      <c r="Z102" s="994">
        <f>+U100+X100+Z100</f>
        <v>3416</v>
      </c>
      <c r="AA102" s="1634" t="s">
        <v>46</v>
      </c>
      <c r="AB102" s="1146"/>
      <c r="AC102" s="1623"/>
      <c r="AD102" s="1147"/>
      <c r="AE102" s="1632">
        <f>+AE100*AE101</f>
        <v>28.349999999999998</v>
      </c>
      <c r="AF102" s="1147"/>
      <c r="AG102" s="1147"/>
      <c r="AH102" s="1147"/>
      <c r="AI102" s="1147"/>
      <c r="AJ102" s="1632">
        <f>+AJ100*AJ101</f>
        <v>55.35</v>
      </c>
      <c r="AK102" s="1633"/>
      <c r="AL102" s="1147"/>
      <c r="AM102" s="1147"/>
      <c r="AN102" s="1147"/>
      <c r="AO102" s="1151">
        <f>+AN100+AO100</f>
        <v>689</v>
      </c>
      <c r="AP102" s="1151">
        <f>+AO100+AP100</f>
        <v>99</v>
      </c>
      <c r="AQ102" s="1147"/>
      <c r="AR102" s="1147"/>
      <c r="AS102" s="1147"/>
      <c r="AT102" s="1635" t="s">
        <v>46</v>
      </c>
      <c r="AU102" s="1148">
        <f>+AU100+AR100+AP100+AM100+AL100</f>
        <v>1335</v>
      </c>
      <c r="AV102" s="1623"/>
      <c r="AW102" s="1149"/>
      <c r="AX102" s="1149"/>
      <c r="AY102" s="1643" t="s">
        <v>2187</v>
      </c>
      <c r="AZ102" s="994">
        <f>+AW100+AX100+AZ100</f>
        <v>38</v>
      </c>
      <c r="BA102" s="1149"/>
      <c r="BB102" s="1149"/>
      <c r="BD102" s="1619"/>
      <c r="BE102" s="1619"/>
      <c r="BF102" s="1619"/>
      <c r="BG102" s="1619"/>
      <c r="BH102" s="1619"/>
      <c r="BI102" s="1619"/>
      <c r="BJ102" s="1619"/>
      <c r="BK102" s="1619"/>
      <c r="BL102" s="1149"/>
      <c r="BM102" s="1149"/>
      <c r="BN102" s="1149"/>
      <c r="BO102" s="1149"/>
      <c r="BP102" s="1143"/>
      <c r="BQ102" s="1149"/>
      <c r="BR102" s="1149"/>
      <c r="BS102" s="1150"/>
      <c r="BT102" s="1150"/>
      <c r="BU102" s="1149"/>
      <c r="BV102" s="994">
        <f>+SUM(BQ100:BV100)</f>
        <v>3416</v>
      </c>
      <c r="BW102" s="1634" t="s">
        <v>46</v>
      </c>
      <c r="BX102" s="1635" t="s">
        <v>46</v>
      </c>
      <c r="BY102" s="1635"/>
      <c r="BZ102" s="994">
        <f>+SUM(BW100:BZ100)</f>
        <v>1334</v>
      </c>
      <c r="CB102" s="1147"/>
      <c r="CC102" s="1147"/>
      <c r="CD102" s="1147"/>
      <c r="CE102" s="1147"/>
      <c r="CF102" s="1147"/>
      <c r="CG102" s="1147"/>
      <c r="CH102" s="1147"/>
      <c r="CI102" s="1147"/>
      <c r="CJ102" s="1147" t="s">
        <v>1629</v>
      </c>
      <c r="CK102" s="1148">
        <f>+SUM(CI100:CK100)</f>
        <v>119</v>
      </c>
      <c r="CM102" s="1148">
        <f>+SUM(CL100:CN100)</f>
        <v>313</v>
      </c>
      <c r="CN102" s="1147" t="s">
        <v>1630</v>
      </c>
      <c r="CO102" s="1147"/>
      <c r="CP102" s="1147"/>
      <c r="CQ102" s="1147"/>
      <c r="CR102" s="1147"/>
      <c r="CS102" s="1147"/>
      <c r="CT102" s="1147"/>
      <c r="CU102" s="1147"/>
      <c r="CV102" s="1147"/>
      <c r="CW102" s="1147"/>
      <c r="CX102" s="1147"/>
      <c r="CY102" s="1086"/>
      <c r="CZ102" s="1631"/>
      <c r="DA102" s="1631"/>
      <c r="DB102" s="1619"/>
      <c r="DC102" s="1619"/>
      <c r="DD102" s="1619"/>
      <c r="DE102" s="1619"/>
      <c r="DF102" s="1619"/>
      <c r="DG102" s="1619"/>
      <c r="DH102" s="1619"/>
      <c r="DI102" s="1619"/>
      <c r="DK102" s="1342"/>
      <c r="DL102" s="1342"/>
      <c r="DM102" s="1342"/>
      <c r="DN102" s="1342"/>
      <c r="DO102" s="1342"/>
    </row>
    <row r="103" spans="1:119" s="1341" customFormat="1">
      <c r="A103" s="1271"/>
      <c r="B103" s="1619"/>
      <c r="C103" s="1145"/>
      <c r="D103" s="1342"/>
      <c r="E103" s="1342"/>
      <c r="F103" s="1342"/>
      <c r="G103" s="1342"/>
      <c r="H103" s="1620"/>
      <c r="I103" s="1342"/>
      <c r="J103" s="1342"/>
      <c r="K103" s="1621"/>
      <c r="L103" s="1622"/>
      <c r="M103" s="1623"/>
      <c r="N103" s="1631"/>
      <c r="O103" s="1631"/>
      <c r="P103" s="1631"/>
      <c r="Q103" s="1631"/>
      <c r="R103" s="1631"/>
      <c r="S103" s="1631"/>
      <c r="T103" s="1623"/>
      <c r="U103" s="1146"/>
      <c r="V103" s="1146"/>
      <c r="W103" s="1146"/>
      <c r="X103" s="1146"/>
      <c r="Y103" s="1146"/>
      <c r="Z103" s="994">
        <f>+U100+X100</f>
        <v>1236</v>
      </c>
      <c r="AA103" s="1634" t="s">
        <v>2185</v>
      </c>
      <c r="AB103" s="1146"/>
      <c r="AC103" s="1623"/>
      <c r="AD103" s="1147"/>
      <c r="AE103" s="1277">
        <f>+ROUNDUP(AD100+AE102,0)</f>
        <v>108</v>
      </c>
      <c r="AF103" s="1147"/>
      <c r="AG103" s="1147"/>
      <c r="AH103" s="1147"/>
      <c r="AI103" s="1147"/>
      <c r="AJ103" s="1277">
        <f>+ROUNDUP(AI100+AJ102,0)</f>
        <v>330</v>
      </c>
      <c r="AK103" s="1633"/>
      <c r="AL103" s="1147"/>
      <c r="AO103" s="1147"/>
      <c r="AP103" s="1147"/>
      <c r="AQ103" s="1147"/>
      <c r="AR103" s="1147"/>
      <c r="AS103" s="1147"/>
      <c r="AT103" s="1635" t="s">
        <v>2186</v>
      </c>
      <c r="AU103" s="1148">
        <f>+AL100+AM100+AP100</f>
        <v>297</v>
      </c>
      <c r="AV103" s="1623"/>
      <c r="AW103" s="1149"/>
      <c r="AX103" s="1149"/>
      <c r="AY103" s="1152" t="s">
        <v>2190</v>
      </c>
      <c r="AZ103" s="994">
        <f>+SUM(AW100:AZ100)</f>
        <v>81</v>
      </c>
      <c r="BA103" s="1149"/>
      <c r="BB103" s="1149"/>
      <c r="BD103" s="1619"/>
      <c r="BE103" s="1619"/>
      <c r="BF103" s="1619"/>
      <c r="BG103" s="1619"/>
      <c r="BH103" s="1619"/>
      <c r="BI103" s="1619"/>
      <c r="BJ103" s="1619"/>
      <c r="BK103" s="1619"/>
      <c r="BL103" s="1149"/>
      <c r="BM103" s="1149"/>
      <c r="BN103" s="1149"/>
      <c r="BO103" s="1149"/>
      <c r="BP103" s="1143"/>
      <c r="BS103" s="1150"/>
      <c r="BT103" s="1150"/>
      <c r="BU103" s="1149"/>
      <c r="BV103" s="994">
        <f>+BQ100+BR100+BT100+BV100</f>
        <v>1236</v>
      </c>
      <c r="BW103" s="1634" t="s">
        <v>2185</v>
      </c>
      <c r="BX103" s="1635" t="s">
        <v>2186</v>
      </c>
      <c r="BY103" s="1635"/>
      <c r="BZ103" s="994">
        <f>+BW100</f>
        <v>296</v>
      </c>
      <c r="CB103" s="1147"/>
      <c r="CC103" s="1147"/>
      <c r="CD103" s="1147"/>
      <c r="CE103" s="1147"/>
      <c r="CF103" s="1147"/>
      <c r="CG103" s="1147"/>
      <c r="CH103" s="1147"/>
      <c r="CI103" s="1147"/>
      <c r="CJ103" s="1147"/>
      <c r="CK103" s="1147"/>
      <c r="CM103" s="1148">
        <f>+SUM(CL100:CO100)</f>
        <v>363</v>
      </c>
      <c r="CN103" s="1147" t="s">
        <v>1631</v>
      </c>
      <c r="CO103" s="1147"/>
      <c r="CP103" s="1147"/>
      <c r="CQ103" s="1147"/>
      <c r="CR103" s="1147"/>
      <c r="CS103" s="1147"/>
      <c r="CT103" s="1147"/>
      <c r="CU103" s="1147"/>
      <c r="CV103" s="1147"/>
      <c r="CW103" s="1147"/>
      <c r="CX103" s="1147"/>
      <c r="CY103" s="1147"/>
      <c r="CZ103" s="1631"/>
      <c r="DA103" s="1631"/>
      <c r="DB103" s="1619"/>
      <c r="DC103" s="1619"/>
      <c r="DD103" s="1619"/>
      <c r="DE103" s="1619"/>
      <c r="DF103" s="1619"/>
      <c r="DG103" s="1619"/>
      <c r="DH103" s="1619"/>
      <c r="DI103" s="1619"/>
      <c r="DK103" s="1342"/>
      <c r="DL103" s="1342"/>
      <c r="DM103" s="1342"/>
      <c r="DN103" s="1342"/>
      <c r="DO103" s="1342"/>
    </row>
    <row r="104" spans="1:119">
      <c r="AE104" s="1636">
        <f>+AE103/AD100</f>
        <v>1.3670886075949367</v>
      </c>
      <c r="AJ104" s="1636">
        <f>+AJ103/AI100</f>
        <v>1.2043795620437956</v>
      </c>
      <c r="BA104" s="1149">
        <f>+SUM(AW100:BA100)-1</f>
        <v>88</v>
      </c>
    </row>
    <row r="105" spans="1:119" s="1341" customFormat="1">
      <c r="A105" s="1271"/>
      <c r="B105" s="1619"/>
      <c r="C105" s="1145"/>
      <c r="D105" s="1342"/>
      <c r="E105" s="1342"/>
      <c r="F105" s="1342"/>
      <c r="G105" s="1342"/>
      <c r="H105" s="1620"/>
      <c r="I105" s="1342"/>
      <c r="J105" s="1342"/>
      <c r="K105" s="1621"/>
      <c r="L105" s="1622"/>
      <c r="M105" s="1623"/>
      <c r="N105" s="1631"/>
      <c r="O105" s="1631"/>
      <c r="P105" s="1631"/>
      <c r="Q105" s="1631"/>
      <c r="R105" s="1631"/>
      <c r="S105" s="1631"/>
      <c r="T105" s="1623"/>
      <c r="U105" s="1146"/>
      <c r="V105" s="1146"/>
      <c r="W105" s="1146"/>
      <c r="X105" s="1146"/>
      <c r="Y105" s="1146"/>
      <c r="Z105" s="1146"/>
      <c r="AA105" s="1146"/>
      <c r="AB105" s="1146"/>
      <c r="AC105" s="1623"/>
      <c r="AD105" s="1147"/>
      <c r="AE105" s="1147"/>
      <c r="AF105" s="1147"/>
      <c r="AG105" s="1147"/>
      <c r="AH105" s="1147"/>
      <c r="AI105" s="1147"/>
      <c r="AJ105" s="1147"/>
      <c r="AK105" s="1633"/>
      <c r="AL105" s="1147"/>
      <c r="AM105" s="1147"/>
      <c r="AN105" s="1147"/>
      <c r="AO105" s="1147"/>
      <c r="AP105" s="1147"/>
      <c r="AQ105" s="1147"/>
      <c r="AR105" s="1147"/>
      <c r="AS105" s="1147"/>
      <c r="AT105" s="1147"/>
      <c r="AU105" s="1147"/>
      <c r="AV105" s="1623"/>
      <c r="AW105" s="1149"/>
      <c r="AX105" s="1149"/>
      <c r="AY105" s="1149"/>
      <c r="AZ105" s="1149"/>
      <c r="BA105" s="1149"/>
      <c r="BB105" s="1149"/>
      <c r="BD105" s="1619"/>
      <c r="BE105" s="1619"/>
      <c r="BF105" s="1619"/>
      <c r="BG105" s="1619"/>
      <c r="BH105" s="1619"/>
      <c r="BI105" s="1619"/>
      <c r="BJ105" s="1619"/>
      <c r="BK105" s="1619"/>
      <c r="BL105" s="1149"/>
      <c r="BM105" s="1149"/>
      <c r="BN105" s="1149"/>
      <c r="BO105" s="1149"/>
      <c r="BP105" s="1143"/>
      <c r="BQ105" s="1149"/>
      <c r="BR105" s="1149"/>
      <c r="BS105" s="1150"/>
      <c r="BT105" s="1150"/>
      <c r="BU105" s="1149"/>
      <c r="BV105" s="1149"/>
      <c r="BW105" s="1149"/>
      <c r="BX105" s="1149"/>
      <c r="BY105" s="1149"/>
      <c r="BZ105" s="1149"/>
      <c r="CB105" s="1147"/>
      <c r="CC105" s="1147"/>
      <c r="CD105" s="1147"/>
      <c r="CE105" s="1147"/>
      <c r="CF105" s="1147"/>
      <c r="CG105" s="1147"/>
      <c r="CH105" s="1147"/>
      <c r="CI105" s="1147"/>
      <c r="CJ105" s="1147"/>
      <c r="CK105" s="1147"/>
      <c r="CL105" s="1147"/>
      <c r="CM105" s="1147"/>
      <c r="CN105" s="1147"/>
      <c r="CO105" s="1147"/>
      <c r="CP105" s="1147"/>
      <c r="CQ105" s="1147"/>
      <c r="CR105" s="1147"/>
      <c r="CS105" s="1147"/>
      <c r="CT105" s="1147"/>
      <c r="CU105" s="1147"/>
      <c r="CV105" s="1147"/>
      <c r="CW105" s="1147"/>
      <c r="CX105" s="1147"/>
      <c r="CY105" s="1147"/>
      <c r="CZ105" s="1631"/>
      <c r="DA105" s="1631"/>
      <c r="DB105" s="1619"/>
      <c r="DC105" s="1619"/>
      <c r="DD105" s="1619"/>
      <c r="DE105" s="1619"/>
      <c r="DF105" s="1619"/>
      <c r="DG105" s="1619"/>
      <c r="DH105" s="1619"/>
      <c r="DI105" s="1619"/>
      <c r="DK105" s="1342"/>
      <c r="DL105" s="1342"/>
      <c r="DM105" s="1342"/>
      <c r="DN105" s="1342"/>
      <c r="DO105" s="1342"/>
    </row>
    <row r="125" spans="2:6">
      <c r="B125" s="1637"/>
      <c r="C125" s="1638"/>
      <c r="D125" s="1397"/>
      <c r="E125" s="1397"/>
      <c r="F125" s="1397"/>
    </row>
    <row r="126" spans="2:6">
      <c r="B126" s="1637"/>
      <c r="C126" s="1638"/>
      <c r="D126" s="1397"/>
      <c r="E126" s="1397"/>
      <c r="F126" s="1397"/>
    </row>
    <row r="127" spans="2:6">
      <c r="B127" s="1637"/>
      <c r="C127" s="1639"/>
      <c r="D127" s="1640"/>
      <c r="E127" s="1640"/>
      <c r="F127" s="1397"/>
    </row>
    <row r="128" spans="2:6">
      <c r="B128" s="1637"/>
      <c r="C128" s="1638"/>
      <c r="D128" s="1641"/>
      <c r="E128" s="1637"/>
      <c r="F128" s="1397"/>
    </row>
    <row r="129" spans="2:6">
      <c r="B129" s="1637"/>
      <c r="C129" s="1638"/>
      <c r="D129" s="1641"/>
      <c r="E129" s="1637"/>
      <c r="F129" s="1397"/>
    </row>
    <row r="130" spans="2:6">
      <c r="B130" s="1637"/>
      <c r="C130" s="1638"/>
      <c r="D130" s="1641"/>
      <c r="E130" s="1637"/>
      <c r="F130" s="1397"/>
    </row>
    <row r="131" spans="2:6">
      <c r="B131" s="1637"/>
      <c r="C131" s="1638"/>
      <c r="D131" s="1641"/>
      <c r="E131" s="1637"/>
      <c r="F131" s="1397"/>
    </row>
    <row r="132" spans="2:6">
      <c r="B132" s="1637"/>
      <c r="C132" s="1638"/>
      <c r="D132" s="1641"/>
      <c r="E132" s="1637"/>
      <c r="F132" s="1397"/>
    </row>
    <row r="133" spans="2:6">
      <c r="B133" s="1637"/>
      <c r="C133" s="1638"/>
      <c r="D133" s="1641"/>
      <c r="E133" s="1637"/>
      <c r="F133" s="1397"/>
    </row>
    <row r="134" spans="2:6">
      <c r="B134" s="1637"/>
      <c r="C134" s="1638"/>
      <c r="D134" s="1641"/>
      <c r="E134" s="1637"/>
      <c r="F134" s="1397"/>
    </row>
    <row r="135" spans="2:6">
      <c r="B135" s="1637"/>
      <c r="C135" s="1638"/>
      <c r="D135" s="1641"/>
      <c r="E135" s="1637"/>
      <c r="F135" s="1397"/>
    </row>
    <row r="136" spans="2:6">
      <c r="B136" s="1637"/>
      <c r="C136" s="1638"/>
      <c r="D136" s="1641"/>
      <c r="E136" s="1637"/>
      <c r="F136" s="1397"/>
    </row>
    <row r="137" spans="2:6">
      <c r="B137" s="1637"/>
      <c r="C137" s="1638"/>
      <c r="D137" s="1641"/>
      <c r="E137" s="1637"/>
      <c r="F137" s="1397"/>
    </row>
    <row r="138" spans="2:6">
      <c r="B138" s="1637"/>
      <c r="C138" s="1638"/>
      <c r="D138" s="1641"/>
      <c r="E138" s="1637"/>
      <c r="F138" s="1397"/>
    </row>
    <row r="139" spans="2:6">
      <c r="B139" s="1637"/>
      <c r="C139" s="1638"/>
      <c r="D139" s="1641"/>
      <c r="E139" s="1637"/>
      <c r="F139" s="1397"/>
    </row>
    <row r="140" spans="2:6">
      <c r="B140" s="1637"/>
      <c r="C140" s="1638"/>
      <c r="D140" s="1641"/>
      <c r="E140" s="1637"/>
      <c r="F140" s="1397"/>
    </row>
    <row r="141" spans="2:6">
      <c r="B141" s="1637"/>
      <c r="C141" s="1638"/>
      <c r="D141" s="1641"/>
      <c r="E141" s="1637"/>
      <c r="F141" s="1397"/>
    </row>
    <row r="142" spans="2:6">
      <c r="B142" s="1637"/>
      <c r="C142" s="1638"/>
      <c r="D142" s="1641"/>
      <c r="E142" s="1637"/>
      <c r="F142" s="1397"/>
    </row>
    <row r="143" spans="2:6">
      <c r="B143" s="1637"/>
      <c r="C143" s="1638"/>
      <c r="D143" s="1641"/>
      <c r="E143" s="1637"/>
      <c r="F143" s="1397"/>
    </row>
    <row r="144" spans="2:6">
      <c r="B144" s="1637"/>
      <c r="C144" s="1638"/>
      <c r="D144" s="1641"/>
      <c r="E144" s="1637"/>
      <c r="F144" s="1397"/>
    </row>
    <row r="145" spans="2:6">
      <c r="B145" s="1637"/>
      <c r="C145" s="1638"/>
      <c r="D145" s="1641"/>
      <c r="E145" s="1637"/>
      <c r="F145" s="1397"/>
    </row>
    <row r="146" spans="2:6">
      <c r="B146" s="1637"/>
      <c r="C146" s="1638"/>
      <c r="D146" s="1641"/>
      <c r="E146" s="1637"/>
      <c r="F146" s="1397"/>
    </row>
    <row r="147" spans="2:6">
      <c r="B147" s="1637"/>
      <c r="C147" s="1638"/>
      <c r="D147" s="1641"/>
      <c r="E147" s="1637"/>
      <c r="F147" s="1397"/>
    </row>
    <row r="148" spans="2:6">
      <c r="B148" s="1637"/>
      <c r="C148" s="1638"/>
      <c r="D148" s="1641"/>
      <c r="E148" s="1637"/>
      <c r="F148" s="1397"/>
    </row>
    <row r="149" spans="2:6">
      <c r="B149" s="1637"/>
      <c r="C149" s="1638"/>
      <c r="D149" s="1641"/>
      <c r="E149" s="1637"/>
      <c r="F149" s="1397"/>
    </row>
    <row r="150" spans="2:6">
      <c r="B150" s="1637"/>
      <c r="C150" s="1638"/>
      <c r="D150" s="1641"/>
      <c r="E150" s="1637"/>
      <c r="F150" s="1397"/>
    </row>
    <row r="151" spans="2:6">
      <c r="B151" s="1637"/>
      <c r="C151" s="1638"/>
      <c r="D151" s="1641"/>
      <c r="E151" s="1637"/>
      <c r="F151" s="1397"/>
    </row>
    <row r="152" spans="2:6">
      <c r="B152" s="1637"/>
      <c r="C152" s="1638"/>
      <c r="D152" s="1397"/>
      <c r="E152" s="1642"/>
      <c r="F152" s="1397"/>
    </row>
  </sheetData>
  <mergeCells count="12">
    <mergeCell ref="A95:A98"/>
    <mergeCell ref="A1:B1"/>
    <mergeCell ref="A2:B2"/>
    <mergeCell ref="CZ2:DD3"/>
    <mergeCell ref="DE2:DI3"/>
    <mergeCell ref="A3:B3"/>
    <mergeCell ref="A4:B4"/>
    <mergeCell ref="A9:A22"/>
    <mergeCell ref="A23:A42"/>
    <mergeCell ref="A44:A63"/>
    <mergeCell ref="A64:A82"/>
    <mergeCell ref="A83:A94"/>
  </mergeCells>
  <pageMargins left="0.7" right="0.7" top="0.75" bottom="0.75" header="0.3" footer="0.3"/>
  <pageSetup paperSize="6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7E693-E46C-4E9C-B4E5-3D8DB8491751}">
  <sheetPr>
    <tabColor rgb="FF92D050"/>
  </sheetPr>
  <dimension ref="A2:O257"/>
  <sheetViews>
    <sheetView topLeftCell="A142" workbookViewId="0">
      <selection activeCell="G163" sqref="G163"/>
    </sheetView>
  </sheetViews>
  <sheetFormatPr defaultColWidth="11.54296875" defaultRowHeight="13" outlineLevelRow="1"/>
  <cols>
    <col min="1" max="1" width="17.26953125" style="1" bestFit="1" customWidth="1"/>
    <col min="2" max="2" width="28.1796875" style="1" bestFit="1" customWidth="1"/>
    <col min="3" max="3" width="10.54296875" style="103" bestFit="1" customWidth="1"/>
    <col min="4" max="4" width="7.54296875" style="103" bestFit="1" customWidth="1"/>
    <col min="5" max="5" width="8.7265625" style="103" bestFit="1" customWidth="1"/>
    <col min="6" max="6" width="8.7265625" style="1" bestFit="1" customWidth="1"/>
    <col min="7" max="7" width="9.26953125" style="1" bestFit="1" customWidth="1"/>
    <col min="8" max="8" width="9.1796875" style="1" customWidth="1"/>
    <col min="9" max="9" width="9.26953125" style="1" bestFit="1" customWidth="1"/>
    <col min="10" max="10" width="11" style="1" bestFit="1" customWidth="1"/>
    <col min="11" max="11" width="12.26953125" style="1" bestFit="1" customWidth="1"/>
    <col min="12" max="12" width="12" style="1" bestFit="1" customWidth="1"/>
    <col min="13" max="13" width="6.54296875" style="1" bestFit="1" customWidth="1"/>
    <col min="14" max="15" width="7.54296875" style="1" bestFit="1" customWidth="1"/>
    <col min="16" max="16384" width="11.54296875" style="1"/>
  </cols>
  <sheetData>
    <row r="2" spans="2:14">
      <c r="H2" s="1">
        <v>1.25</v>
      </c>
    </row>
    <row r="3" spans="2:14" ht="13.5" thickBot="1">
      <c r="B3" s="3" t="s">
        <v>2238</v>
      </c>
      <c r="C3" s="105" t="s">
        <v>215</v>
      </c>
      <c r="D3" s="105" t="s">
        <v>471</v>
      </c>
      <c r="E3" s="105" t="s">
        <v>1320</v>
      </c>
      <c r="F3" s="105" t="s">
        <v>66</v>
      </c>
      <c r="G3" s="105" t="s">
        <v>1475</v>
      </c>
      <c r="H3" s="105" t="s">
        <v>2245</v>
      </c>
    </row>
    <row r="4" spans="2:14" hidden="1" outlineLevel="1">
      <c r="B4" s="3" t="s">
        <v>18</v>
      </c>
      <c r="G4" s="1">
        <f>+SUM(F5:F11)</f>
        <v>2.1734999999999998</v>
      </c>
      <c r="H4" s="1">
        <f>+G4*H2</f>
        <v>2.7168749999999999</v>
      </c>
    </row>
    <row r="5" spans="2:14" hidden="1" outlineLevel="1">
      <c r="B5" s="1" t="s">
        <v>2239</v>
      </c>
      <c r="C5" s="103">
        <v>1.5</v>
      </c>
      <c r="D5" s="103">
        <v>0.3</v>
      </c>
      <c r="E5" s="103">
        <v>0.3</v>
      </c>
      <c r="F5" s="1">
        <f t="shared" ref="F5:F11" si="0">+C5*D5*E5</f>
        <v>0.13499999999999998</v>
      </c>
    </row>
    <row r="6" spans="2:14" hidden="1" outlineLevel="1">
      <c r="B6" s="1" t="s">
        <v>2239</v>
      </c>
      <c r="C6" s="103">
        <v>4.5999999999999996</v>
      </c>
      <c r="D6" s="103">
        <v>0.3</v>
      </c>
      <c r="E6" s="103">
        <v>0.3</v>
      </c>
      <c r="F6" s="1">
        <f t="shared" si="0"/>
        <v>0.41399999999999998</v>
      </c>
    </row>
    <row r="7" spans="2:14" hidden="1" outlineLevel="1">
      <c r="B7" s="1" t="s">
        <v>2240</v>
      </c>
      <c r="C7" s="103">
        <v>5.8</v>
      </c>
      <c r="D7" s="103">
        <v>0.3</v>
      </c>
      <c r="E7" s="103">
        <v>0.3</v>
      </c>
      <c r="F7" s="1">
        <f t="shared" si="0"/>
        <v>0.52200000000000002</v>
      </c>
    </row>
    <row r="8" spans="2:14" hidden="1" outlineLevel="1">
      <c r="B8" s="1" t="s">
        <v>2241</v>
      </c>
      <c r="C8" s="103">
        <v>4</v>
      </c>
      <c r="D8" s="103">
        <v>0.3</v>
      </c>
      <c r="E8" s="103">
        <v>0.3</v>
      </c>
      <c r="F8" s="1">
        <f t="shared" si="0"/>
        <v>0.36</v>
      </c>
    </row>
    <row r="9" spans="2:14" hidden="1" outlineLevel="1">
      <c r="B9" s="1" t="s">
        <v>2242</v>
      </c>
      <c r="C9" s="103">
        <v>4.3499999999999996</v>
      </c>
      <c r="D9" s="103">
        <v>0.3</v>
      </c>
      <c r="E9" s="103">
        <v>0.3</v>
      </c>
      <c r="F9" s="1">
        <f t="shared" si="0"/>
        <v>0.39149999999999996</v>
      </c>
    </row>
    <row r="10" spans="2:14" hidden="1" outlineLevel="1">
      <c r="B10" s="1" t="s">
        <v>2243</v>
      </c>
      <c r="C10" s="103">
        <v>3.3</v>
      </c>
      <c r="D10" s="103">
        <v>0.3</v>
      </c>
      <c r="E10" s="103">
        <v>0.3</v>
      </c>
      <c r="F10" s="1">
        <f t="shared" si="0"/>
        <v>0.29699999999999993</v>
      </c>
    </row>
    <row r="11" spans="2:14" hidden="1" outlineLevel="1">
      <c r="B11" s="1" t="s">
        <v>2244</v>
      </c>
      <c r="C11" s="103">
        <v>0.6</v>
      </c>
      <c r="D11" s="103">
        <v>0.3</v>
      </c>
      <c r="E11" s="103">
        <v>0.3</v>
      </c>
      <c r="F11" s="1">
        <f t="shared" si="0"/>
        <v>5.3999999999999999E-2</v>
      </c>
    </row>
    <row r="12" spans="2:14" hidden="1" outlineLevel="1">
      <c r="C12" s="1">
        <f>+SUM(C4:C11)</f>
        <v>24.150000000000002</v>
      </c>
      <c r="F12" s="1">
        <f>+SUM(F4:F11)</f>
        <v>2.1734999999999998</v>
      </c>
      <c r="G12" s="1">
        <f>+SUM(G4:G11)</f>
        <v>2.1734999999999998</v>
      </c>
      <c r="H12" s="1">
        <f>+SUM(H4:H11)</f>
        <v>2.7168749999999999</v>
      </c>
    </row>
    <row r="13" spans="2:14" hidden="1" outlineLevel="1">
      <c r="C13" s="281">
        <f>+ROUND(C12,0)</f>
        <v>24</v>
      </c>
      <c r="F13" s="103"/>
      <c r="G13" s="281">
        <f>+ROUND(G12,0)</f>
        <v>2</v>
      </c>
      <c r="H13" s="281">
        <f>+ROUND(H12,0)</f>
        <v>3</v>
      </c>
    </row>
    <row r="14" spans="2:14" ht="13.5" hidden="1" outlineLevel="1" thickBot="1">
      <c r="B14" s="412"/>
      <c r="C14" s="413"/>
      <c r="D14" s="413"/>
      <c r="E14" s="413"/>
      <c r="F14" s="412"/>
      <c r="G14" s="412"/>
      <c r="H14" s="412"/>
      <c r="I14" s="412"/>
    </row>
    <row r="15" spans="2:14" collapsed="1">
      <c r="B15" s="414"/>
      <c r="C15" s="415"/>
      <c r="D15" s="415"/>
      <c r="E15" s="415"/>
      <c r="F15" s="414"/>
      <c r="G15" s="414"/>
      <c r="H15" s="414"/>
      <c r="I15" s="414"/>
    </row>
    <row r="16" spans="2:14" ht="13.5" thickBot="1">
      <c r="B16" s="3" t="s">
        <v>484</v>
      </c>
      <c r="C16" s="105" t="s">
        <v>215</v>
      </c>
      <c r="D16" s="105" t="s">
        <v>218</v>
      </c>
      <c r="E16" s="105" t="s">
        <v>4</v>
      </c>
      <c r="F16" s="105" t="s">
        <v>1838</v>
      </c>
      <c r="G16" s="105" t="s">
        <v>4</v>
      </c>
      <c r="H16" s="410" t="s">
        <v>485</v>
      </c>
      <c r="J16" s="358"/>
      <c r="K16" s="104"/>
      <c r="L16" s="104"/>
      <c r="M16" s="104"/>
      <c r="N16" s="358"/>
    </row>
    <row r="17" spans="2:14" hidden="1" outlineLevel="1">
      <c r="B17" s="3" t="s">
        <v>18</v>
      </c>
      <c r="C17" s="105"/>
      <c r="D17" s="105"/>
      <c r="E17" s="105"/>
      <c r="H17" s="3">
        <f>+SUM(G18:G38)</f>
        <v>48.64800000000001</v>
      </c>
      <c r="J17" s="358"/>
      <c r="K17" s="358"/>
      <c r="L17" s="358"/>
      <c r="M17" s="358"/>
      <c r="N17" s="357"/>
    </row>
    <row r="18" spans="2:14" hidden="1" outlineLevel="1">
      <c r="B18" s="1" t="s">
        <v>486</v>
      </c>
      <c r="C18" s="103">
        <v>0.7</v>
      </c>
      <c r="D18" s="103">
        <v>3.2</v>
      </c>
      <c r="E18" s="103">
        <f>+C18*D18</f>
        <v>2.2399999999999998</v>
      </c>
      <c r="F18" s="1">
        <v>1</v>
      </c>
      <c r="G18" s="1">
        <f>+E18*F18</f>
        <v>2.2399999999999998</v>
      </c>
      <c r="J18" s="358"/>
      <c r="K18" s="358"/>
      <c r="L18" s="358"/>
      <c r="M18" s="358"/>
      <c r="N18" s="358"/>
    </row>
    <row r="19" spans="2:14" hidden="1" outlineLevel="1">
      <c r="B19" s="1" t="s">
        <v>2249</v>
      </c>
      <c r="C19" s="103">
        <v>0.7</v>
      </c>
      <c r="D19" s="103">
        <v>3.2</v>
      </c>
      <c r="E19" s="103">
        <f t="shared" ref="E19:E38" si="1">+C19*D19</f>
        <v>2.2399999999999998</v>
      </c>
      <c r="F19" s="1">
        <v>1</v>
      </c>
      <c r="G19" s="1">
        <f t="shared" ref="G19:G47" si="2">+E19*F19</f>
        <v>2.2399999999999998</v>
      </c>
      <c r="J19" s="358"/>
      <c r="K19" s="358"/>
      <c r="L19" s="358"/>
      <c r="M19" s="358"/>
      <c r="N19" s="358"/>
    </row>
    <row r="20" spans="2:14" hidden="1" outlineLevel="1">
      <c r="B20" s="1" t="s">
        <v>2250</v>
      </c>
      <c r="C20" s="103">
        <v>0.7</v>
      </c>
      <c r="D20" s="103">
        <v>3.2</v>
      </c>
      <c r="E20" s="103">
        <f t="shared" si="1"/>
        <v>2.2399999999999998</v>
      </c>
      <c r="F20" s="1">
        <v>1</v>
      </c>
      <c r="G20" s="1">
        <f t="shared" si="2"/>
        <v>2.2399999999999998</v>
      </c>
      <c r="J20" s="358"/>
      <c r="K20" s="358"/>
      <c r="L20" s="358"/>
      <c r="M20" s="358"/>
      <c r="N20" s="358"/>
    </row>
    <row r="21" spans="2:14" hidden="1" outlineLevel="1">
      <c r="B21" s="1" t="s">
        <v>487</v>
      </c>
      <c r="C21" s="103">
        <v>0.7</v>
      </c>
      <c r="D21" s="103">
        <v>3.2</v>
      </c>
      <c r="E21" s="103">
        <f t="shared" si="1"/>
        <v>2.2399999999999998</v>
      </c>
      <c r="F21" s="1">
        <v>1</v>
      </c>
      <c r="G21" s="1">
        <f t="shared" si="2"/>
        <v>2.2399999999999998</v>
      </c>
      <c r="J21" s="358"/>
      <c r="K21" s="358"/>
      <c r="L21" s="358"/>
      <c r="M21" s="358"/>
      <c r="N21" s="357"/>
    </row>
    <row r="22" spans="2:14" hidden="1" outlineLevel="1">
      <c r="B22" s="1" t="s">
        <v>1476</v>
      </c>
      <c r="C22" s="103">
        <v>0.7</v>
      </c>
      <c r="D22" s="103">
        <v>3.2</v>
      </c>
      <c r="E22" s="103">
        <f t="shared" si="1"/>
        <v>2.2399999999999998</v>
      </c>
      <c r="F22" s="1">
        <v>1</v>
      </c>
      <c r="G22" s="1">
        <f t="shared" si="2"/>
        <v>2.2399999999999998</v>
      </c>
      <c r="J22" s="358"/>
      <c r="K22" s="358"/>
      <c r="L22" s="358"/>
      <c r="M22" s="358"/>
      <c r="N22" s="358"/>
    </row>
    <row r="23" spans="2:14" hidden="1" outlineLevel="1">
      <c r="B23" s="1" t="s">
        <v>1678</v>
      </c>
      <c r="C23" s="103">
        <v>1.8</v>
      </c>
      <c r="D23" s="103">
        <v>3.2</v>
      </c>
      <c r="E23" s="103">
        <f t="shared" si="1"/>
        <v>5.7600000000000007</v>
      </c>
      <c r="F23" s="1">
        <v>1</v>
      </c>
      <c r="G23" s="1">
        <f t="shared" si="2"/>
        <v>5.7600000000000007</v>
      </c>
      <c r="J23" s="358"/>
      <c r="K23" s="358"/>
      <c r="L23" s="358"/>
      <c r="M23" s="358"/>
      <c r="N23" s="358"/>
    </row>
    <row r="24" spans="2:14" hidden="1" outlineLevel="1">
      <c r="B24" s="1" t="s">
        <v>489</v>
      </c>
      <c r="C24" s="103">
        <v>1.3</v>
      </c>
      <c r="D24" s="103">
        <v>3.2</v>
      </c>
      <c r="E24" s="103">
        <f t="shared" si="1"/>
        <v>4.16</v>
      </c>
      <c r="F24" s="1">
        <v>1</v>
      </c>
      <c r="G24" s="1">
        <f t="shared" si="2"/>
        <v>4.16</v>
      </c>
      <c r="J24" s="358"/>
      <c r="K24" s="358"/>
      <c r="L24" s="358"/>
      <c r="M24" s="358"/>
      <c r="N24" s="358"/>
    </row>
    <row r="25" spans="2:14" hidden="1" outlineLevel="1">
      <c r="B25" s="1" t="s">
        <v>2251</v>
      </c>
      <c r="C25" s="103">
        <v>0.7</v>
      </c>
      <c r="D25" s="103">
        <v>3.2</v>
      </c>
      <c r="E25" s="103">
        <f t="shared" si="1"/>
        <v>2.2399999999999998</v>
      </c>
      <c r="F25" s="1">
        <v>1</v>
      </c>
      <c r="G25" s="1">
        <f t="shared" si="2"/>
        <v>2.2399999999999998</v>
      </c>
      <c r="J25" s="358"/>
      <c r="K25" s="358"/>
      <c r="L25" s="358"/>
      <c r="M25" s="357"/>
      <c r="N25" s="357"/>
    </row>
    <row r="26" spans="2:14" hidden="1" outlineLevel="1">
      <c r="B26" s="1" t="s">
        <v>2252</v>
      </c>
      <c r="C26" s="103">
        <v>0.8</v>
      </c>
      <c r="D26" s="103">
        <v>3.2</v>
      </c>
      <c r="E26" s="103">
        <f t="shared" si="1"/>
        <v>2.5600000000000005</v>
      </c>
      <c r="F26" s="1">
        <v>1</v>
      </c>
      <c r="G26" s="1">
        <f t="shared" si="2"/>
        <v>2.5600000000000005</v>
      </c>
    </row>
    <row r="27" spans="2:14" hidden="1" outlineLevel="1">
      <c r="B27" s="1" t="s">
        <v>2253</v>
      </c>
      <c r="C27" s="103">
        <v>0.8</v>
      </c>
      <c r="D27" s="103">
        <v>3.2</v>
      </c>
      <c r="E27" s="103">
        <f t="shared" si="1"/>
        <v>2.5600000000000005</v>
      </c>
      <c r="F27" s="1">
        <v>1</v>
      </c>
      <c r="G27" s="1">
        <f t="shared" si="2"/>
        <v>2.5600000000000005</v>
      </c>
    </row>
    <row r="28" spans="2:14" hidden="1" outlineLevel="1">
      <c r="B28" s="1" t="s">
        <v>2254</v>
      </c>
      <c r="C28" s="103">
        <v>0.8</v>
      </c>
      <c r="D28" s="103">
        <v>3.2</v>
      </c>
      <c r="E28" s="103">
        <f t="shared" si="1"/>
        <v>2.5600000000000005</v>
      </c>
      <c r="F28" s="1">
        <v>1</v>
      </c>
      <c r="G28" s="1">
        <f t="shared" si="2"/>
        <v>2.5600000000000005</v>
      </c>
    </row>
    <row r="29" spans="2:14" hidden="1" outlineLevel="1">
      <c r="B29" s="1" t="s">
        <v>2255</v>
      </c>
      <c r="C29" s="103">
        <v>0.8</v>
      </c>
      <c r="D29" s="103">
        <v>3.2</v>
      </c>
      <c r="E29" s="103">
        <f t="shared" si="1"/>
        <v>2.5600000000000005</v>
      </c>
      <c r="F29" s="1">
        <v>1</v>
      </c>
      <c r="G29" s="1">
        <f t="shared" si="2"/>
        <v>2.5600000000000005</v>
      </c>
    </row>
    <row r="30" spans="2:14" hidden="1" outlineLevel="1">
      <c r="B30" s="1" t="s">
        <v>2257</v>
      </c>
      <c r="C30" s="103">
        <v>3.21</v>
      </c>
      <c r="D30" s="103">
        <v>0.45</v>
      </c>
      <c r="E30" s="103">
        <f t="shared" si="1"/>
        <v>1.4445000000000001</v>
      </c>
      <c r="F30" s="1">
        <v>1</v>
      </c>
      <c r="G30" s="1">
        <f t="shared" si="2"/>
        <v>1.4445000000000001</v>
      </c>
    </row>
    <row r="31" spans="2:14" hidden="1" outlineLevel="1">
      <c r="B31" s="1" t="s">
        <v>2258</v>
      </c>
      <c r="C31" s="103">
        <v>4.1500000000000004</v>
      </c>
      <c r="D31" s="103">
        <v>0.45</v>
      </c>
      <c r="E31" s="103">
        <f t="shared" si="1"/>
        <v>1.8675000000000002</v>
      </c>
      <c r="F31" s="1">
        <v>1</v>
      </c>
      <c r="G31" s="1">
        <f t="shared" si="2"/>
        <v>1.8675000000000002</v>
      </c>
    </row>
    <row r="32" spans="2:14" hidden="1" outlineLevel="1">
      <c r="B32" s="1" t="s">
        <v>2259</v>
      </c>
      <c r="C32" s="103">
        <v>3.82</v>
      </c>
      <c r="D32" s="103">
        <v>0.45</v>
      </c>
      <c r="E32" s="103">
        <f t="shared" si="1"/>
        <v>1.7189999999999999</v>
      </c>
      <c r="F32" s="1">
        <v>1</v>
      </c>
      <c r="G32" s="1">
        <f t="shared" si="2"/>
        <v>1.7189999999999999</v>
      </c>
    </row>
    <row r="33" spans="2:8" hidden="1" outlineLevel="1">
      <c r="B33" s="1" t="s">
        <v>2260</v>
      </c>
      <c r="C33" s="103">
        <v>3.33</v>
      </c>
      <c r="D33" s="103">
        <v>0.45</v>
      </c>
      <c r="E33" s="103">
        <f t="shared" si="1"/>
        <v>1.4985000000000002</v>
      </c>
      <c r="F33" s="1">
        <v>1</v>
      </c>
      <c r="G33" s="1">
        <f t="shared" si="2"/>
        <v>1.4985000000000002</v>
      </c>
    </row>
    <row r="34" spans="2:8" hidden="1" outlineLevel="1">
      <c r="B34" s="1" t="s">
        <v>2261</v>
      </c>
      <c r="C34" s="103">
        <v>3.22</v>
      </c>
      <c r="D34" s="103">
        <v>0.45</v>
      </c>
      <c r="E34" s="103">
        <f t="shared" si="1"/>
        <v>1.4490000000000001</v>
      </c>
      <c r="F34" s="1">
        <v>1</v>
      </c>
      <c r="G34" s="1">
        <f t="shared" si="2"/>
        <v>1.4490000000000001</v>
      </c>
    </row>
    <row r="35" spans="2:8" hidden="1" outlineLevel="1">
      <c r="B35" s="1" t="s">
        <v>2262</v>
      </c>
      <c r="C35" s="103">
        <v>4.68</v>
      </c>
      <c r="D35" s="103">
        <v>0.45</v>
      </c>
      <c r="E35" s="103">
        <f t="shared" si="1"/>
        <v>2.1059999999999999</v>
      </c>
      <c r="F35" s="1">
        <v>1</v>
      </c>
      <c r="G35" s="1">
        <f t="shared" si="2"/>
        <v>2.1059999999999999</v>
      </c>
    </row>
    <row r="36" spans="2:8" hidden="1" outlineLevel="1">
      <c r="B36" s="1" t="s">
        <v>2263</v>
      </c>
      <c r="C36" s="103">
        <v>3.36</v>
      </c>
      <c r="D36" s="103">
        <v>0.45</v>
      </c>
      <c r="E36" s="103">
        <f t="shared" si="1"/>
        <v>1.512</v>
      </c>
      <c r="F36" s="1">
        <v>1</v>
      </c>
      <c r="G36" s="1">
        <f t="shared" si="2"/>
        <v>1.512</v>
      </c>
    </row>
    <row r="37" spans="2:8" hidden="1" outlineLevel="1">
      <c r="B37" s="1" t="s">
        <v>2264</v>
      </c>
      <c r="C37" s="103">
        <v>4.3499999999999996</v>
      </c>
      <c r="D37" s="103">
        <v>0.45</v>
      </c>
      <c r="E37" s="103">
        <f t="shared" si="1"/>
        <v>1.9574999999999998</v>
      </c>
      <c r="F37" s="1">
        <v>1</v>
      </c>
      <c r="G37" s="1">
        <f t="shared" si="2"/>
        <v>1.9574999999999998</v>
      </c>
    </row>
    <row r="38" spans="2:8" hidden="1" outlineLevel="1">
      <c r="B38" s="1" t="s">
        <v>2265</v>
      </c>
      <c r="C38" s="103">
        <v>3.32</v>
      </c>
      <c r="D38" s="103">
        <v>0.45</v>
      </c>
      <c r="E38" s="103">
        <f t="shared" si="1"/>
        <v>1.494</v>
      </c>
      <c r="F38" s="1">
        <v>1</v>
      </c>
      <c r="G38" s="1">
        <f t="shared" si="2"/>
        <v>1.494</v>
      </c>
    </row>
    <row r="39" spans="2:8" hidden="1" outlineLevel="1">
      <c r="B39" s="3" t="s">
        <v>2256</v>
      </c>
      <c r="C39" s="105"/>
      <c r="D39" s="105"/>
      <c r="E39" s="105"/>
      <c r="H39" s="3">
        <f>+SUM(G40:G47)</f>
        <v>15.89</v>
      </c>
    </row>
    <row r="40" spans="2:8" hidden="1" outlineLevel="1">
      <c r="B40" s="1" t="s">
        <v>2250</v>
      </c>
      <c r="C40" s="103">
        <v>0.7</v>
      </c>
      <c r="D40" s="1644">
        <v>1.5</v>
      </c>
      <c r="E40" s="103">
        <f t="shared" ref="E40" si="3">+C40*D40</f>
        <v>1.0499999999999998</v>
      </c>
      <c r="F40" s="1">
        <v>1</v>
      </c>
      <c r="G40" s="1">
        <f t="shared" ref="G40" si="4">+E40*F40</f>
        <v>1.0499999999999998</v>
      </c>
    </row>
    <row r="41" spans="2:8" hidden="1" outlineLevel="1">
      <c r="B41" s="1" t="s">
        <v>1476</v>
      </c>
      <c r="C41" s="103">
        <v>0.7</v>
      </c>
      <c r="D41" s="1644">
        <v>1.5</v>
      </c>
      <c r="E41" s="103">
        <f t="shared" ref="E41:E47" si="5">+C41*D41</f>
        <v>1.0499999999999998</v>
      </c>
      <c r="F41" s="1">
        <v>1</v>
      </c>
      <c r="G41" s="1">
        <f t="shared" si="2"/>
        <v>1.0499999999999998</v>
      </c>
    </row>
    <row r="42" spans="2:8" hidden="1" outlineLevel="1">
      <c r="B42" s="1" t="s">
        <v>2254</v>
      </c>
      <c r="C42" s="103">
        <v>0.7</v>
      </c>
      <c r="D42" s="1644">
        <v>1.5</v>
      </c>
      <c r="E42" s="103">
        <f t="shared" si="5"/>
        <v>1.0499999999999998</v>
      </c>
      <c r="F42" s="1">
        <v>1</v>
      </c>
      <c r="G42" s="1">
        <f t="shared" si="2"/>
        <v>1.0499999999999998</v>
      </c>
    </row>
    <row r="43" spans="2:8" hidden="1" outlineLevel="1">
      <c r="B43" s="1" t="s">
        <v>487</v>
      </c>
      <c r="C43" s="103">
        <v>0.7</v>
      </c>
      <c r="D43" s="103">
        <v>2.8</v>
      </c>
      <c r="E43" s="103">
        <f t="shared" si="5"/>
        <v>1.9599999999999997</v>
      </c>
      <c r="F43" s="1">
        <v>1</v>
      </c>
      <c r="G43" s="1">
        <f t="shared" si="2"/>
        <v>1.9599999999999997</v>
      </c>
    </row>
    <row r="44" spans="2:8" hidden="1" outlineLevel="1">
      <c r="B44" s="1" t="s">
        <v>1678</v>
      </c>
      <c r="C44" s="103">
        <v>1.8</v>
      </c>
      <c r="D44" s="103">
        <v>2.8</v>
      </c>
      <c r="E44" s="103">
        <f t="shared" si="5"/>
        <v>5.04</v>
      </c>
      <c r="F44" s="1">
        <v>1</v>
      </c>
      <c r="G44" s="1">
        <f t="shared" si="2"/>
        <v>5.04</v>
      </c>
    </row>
    <row r="45" spans="2:8" hidden="1" outlineLevel="1">
      <c r="B45" s="1" t="s">
        <v>489</v>
      </c>
      <c r="C45" s="103">
        <v>1.3</v>
      </c>
      <c r="D45" s="103">
        <v>2.8</v>
      </c>
      <c r="E45" s="103">
        <f t="shared" si="5"/>
        <v>3.6399999999999997</v>
      </c>
      <c r="F45" s="1">
        <v>1</v>
      </c>
      <c r="G45" s="1">
        <f t="shared" si="2"/>
        <v>3.6399999999999997</v>
      </c>
    </row>
    <row r="46" spans="2:8" hidden="1" outlineLevel="1">
      <c r="B46" s="1" t="s">
        <v>2253</v>
      </c>
      <c r="C46" s="103">
        <v>0.7</v>
      </c>
      <c r="D46" s="1644">
        <v>1.5</v>
      </c>
      <c r="E46" s="103">
        <f t="shared" si="5"/>
        <v>1.0499999999999998</v>
      </c>
      <c r="F46" s="1">
        <v>1</v>
      </c>
      <c r="G46" s="1">
        <f t="shared" si="2"/>
        <v>1.0499999999999998</v>
      </c>
    </row>
    <row r="47" spans="2:8" hidden="1" outlineLevel="1">
      <c r="B47" s="1" t="s">
        <v>2255</v>
      </c>
      <c r="C47" s="103">
        <v>0.7</v>
      </c>
      <c r="D47" s="1644">
        <v>1.5</v>
      </c>
      <c r="E47" s="103">
        <f t="shared" si="5"/>
        <v>1.0499999999999998</v>
      </c>
      <c r="F47" s="1">
        <v>1</v>
      </c>
      <c r="G47" s="1">
        <f t="shared" si="2"/>
        <v>1.0499999999999998</v>
      </c>
    </row>
    <row r="48" spans="2:8" hidden="1" outlineLevel="1">
      <c r="H48" s="357">
        <f>SUM(H17:H47)</f>
        <v>64.538000000000011</v>
      </c>
    </row>
    <row r="49" spans="2:15" hidden="1" outlineLevel="1">
      <c r="H49" s="411">
        <f>+ROUNDUP(H48,0)</f>
        <v>65</v>
      </c>
    </row>
    <row r="50" spans="2:15" ht="13.5" hidden="1" outlineLevel="1" thickBot="1">
      <c r="B50" s="412"/>
      <c r="C50" s="413"/>
      <c r="D50" s="413"/>
      <c r="E50" s="413"/>
      <c r="F50" s="412"/>
      <c r="G50" s="412"/>
      <c r="H50" s="412"/>
      <c r="I50" s="412"/>
    </row>
    <row r="51" spans="2:15" collapsed="1">
      <c r="B51" s="414"/>
      <c r="C51" s="415"/>
      <c r="D51" s="415"/>
      <c r="E51" s="415"/>
      <c r="F51" s="414"/>
      <c r="G51" s="414"/>
      <c r="H51" s="414"/>
      <c r="I51" s="414"/>
    </row>
    <row r="52" spans="2:15" ht="13.5" thickBot="1">
      <c r="B52" s="3" t="s">
        <v>492</v>
      </c>
    </row>
    <row r="53" spans="2:15" hidden="1" outlineLevel="1">
      <c r="B53" s="3"/>
      <c r="H53" s="1">
        <v>2</v>
      </c>
    </row>
    <row r="54" spans="2:15" hidden="1" outlineLevel="1">
      <c r="B54" s="3" t="s">
        <v>41</v>
      </c>
      <c r="C54" s="105" t="s">
        <v>43</v>
      </c>
      <c r="D54" s="105" t="s">
        <v>471</v>
      </c>
      <c r="E54" s="105" t="s">
        <v>218</v>
      </c>
      <c r="F54" s="410" t="s">
        <v>493</v>
      </c>
      <c r="G54" s="410" t="s">
        <v>494</v>
      </c>
      <c r="H54" s="410" t="s">
        <v>495</v>
      </c>
      <c r="I54" s="410" t="s">
        <v>496</v>
      </c>
      <c r="J54" s="410" t="s">
        <v>497</v>
      </c>
      <c r="K54" s="410" t="s">
        <v>4</v>
      </c>
      <c r="L54" s="410" t="s">
        <v>17</v>
      </c>
    </row>
    <row r="55" spans="2:15" hidden="1" outlineLevel="1">
      <c r="B55" s="1" t="s">
        <v>498</v>
      </c>
      <c r="C55" s="104">
        <f>+Locales!AY100</f>
        <v>43</v>
      </c>
      <c r="D55" s="103">
        <v>0.8</v>
      </c>
      <c r="E55" s="103">
        <v>2.0499999999999998</v>
      </c>
      <c r="F55" s="2">
        <v>2</v>
      </c>
      <c r="G55" s="2">
        <f>+D55*E55*F55</f>
        <v>3.28</v>
      </c>
      <c r="H55" s="2">
        <f>+(E55*$H$53)+D55</f>
        <v>4.8999999999999995</v>
      </c>
      <c r="I55" s="2">
        <f>0.15+0.04+0.04</f>
        <v>0.23</v>
      </c>
      <c r="J55" s="2">
        <f>+H55*I55</f>
        <v>1.127</v>
      </c>
      <c r="K55" s="2">
        <f>+G55+J55</f>
        <v>4.407</v>
      </c>
      <c r="L55" s="2">
        <f>+C55*K55</f>
        <v>189.501</v>
      </c>
      <c r="N55" s="1">
        <f>+C55*J55</f>
        <v>48.460999999999999</v>
      </c>
    </row>
    <row r="56" spans="2:15" hidden="1" outlineLevel="1">
      <c r="B56" s="1" t="s">
        <v>499</v>
      </c>
      <c r="C56" s="104">
        <f>+Locales!AX100</f>
        <v>11</v>
      </c>
      <c r="D56" s="103">
        <v>0.9</v>
      </c>
      <c r="E56" s="103">
        <v>2.0499999999999998</v>
      </c>
      <c r="F56" s="1">
        <v>2</v>
      </c>
      <c r="G56" s="1">
        <f>+D56*E56*F56</f>
        <v>3.69</v>
      </c>
      <c r="H56" s="1">
        <f>+(E56*$H$53)+D56</f>
        <v>5</v>
      </c>
      <c r="I56" s="2">
        <f>0.15+0.04+0.04</f>
        <v>0.23</v>
      </c>
      <c r="J56" s="1">
        <f>+H56*I56</f>
        <v>1.1500000000000001</v>
      </c>
      <c r="K56" s="1">
        <f>+G56+J56</f>
        <v>4.84</v>
      </c>
      <c r="L56" s="1">
        <f>+C56*K56</f>
        <v>53.239999999999995</v>
      </c>
      <c r="N56" s="1">
        <f>+C56*J56</f>
        <v>12.650000000000002</v>
      </c>
    </row>
    <row r="57" spans="2:15" hidden="1" outlineLevel="1">
      <c r="B57" s="1" t="s">
        <v>500</v>
      </c>
      <c r="C57" s="104">
        <f>+Locales!AW100</f>
        <v>24</v>
      </c>
      <c r="D57" s="103">
        <v>0.9</v>
      </c>
      <c r="E57" s="103">
        <v>2.0499999999999998</v>
      </c>
      <c r="F57" s="1">
        <v>2</v>
      </c>
      <c r="G57" s="1">
        <f>+D57*E57*F57</f>
        <v>3.69</v>
      </c>
      <c r="H57" s="1">
        <f>+(E57*$H$53)+D57</f>
        <v>5</v>
      </c>
      <c r="I57" s="1">
        <f>0.15+0.04+0.04</f>
        <v>0.23</v>
      </c>
      <c r="J57" s="1">
        <f>+H57*I57</f>
        <v>1.1500000000000001</v>
      </c>
      <c r="K57" s="1">
        <f>+G57+J57</f>
        <v>4.84</v>
      </c>
      <c r="L57" s="1">
        <f>+C57*K57</f>
        <v>116.16</v>
      </c>
      <c r="N57" s="1">
        <f>+C57*J57</f>
        <v>27.6</v>
      </c>
    </row>
    <row r="58" spans="2:15" hidden="1" outlineLevel="1">
      <c r="B58" s="1" t="s">
        <v>501</v>
      </c>
      <c r="C58" s="104">
        <f>+Locales!AZ100</f>
        <v>3</v>
      </c>
      <c r="D58" s="103">
        <v>0.8</v>
      </c>
      <c r="E58" s="103">
        <v>2.0499999999999998</v>
      </c>
      <c r="F58" s="1">
        <v>2</v>
      </c>
      <c r="G58" s="1">
        <f>+D58*E58*F58</f>
        <v>3.28</v>
      </c>
      <c r="H58" s="1">
        <f>+(E58*$H$53)+D58</f>
        <v>4.8999999999999995</v>
      </c>
      <c r="I58" s="1">
        <f>0.15+0.04+0.04</f>
        <v>0.23</v>
      </c>
      <c r="J58" s="1">
        <f>+H58*I58</f>
        <v>1.127</v>
      </c>
      <c r="K58" s="1">
        <f>+G58+J58</f>
        <v>4.407</v>
      </c>
      <c r="L58" s="1">
        <f>+C58*K58</f>
        <v>13.221</v>
      </c>
      <c r="N58" s="1">
        <f>+C58*J58</f>
        <v>3.3810000000000002</v>
      </c>
    </row>
    <row r="59" spans="2:15" hidden="1" outlineLevel="1">
      <c r="B59" s="1" t="s">
        <v>502</v>
      </c>
      <c r="C59" s="104">
        <f>+Locales!BA100-1</f>
        <v>7</v>
      </c>
      <c r="D59" s="103">
        <v>0.9</v>
      </c>
      <c r="E59" s="103">
        <v>2.0499999999999998</v>
      </c>
      <c r="F59" s="1">
        <v>1</v>
      </c>
      <c r="G59" s="1">
        <f>+D59*E59*F59</f>
        <v>1.845</v>
      </c>
      <c r="H59" s="1">
        <f>+(E59*$H$53)+D59</f>
        <v>5</v>
      </c>
      <c r="I59" s="1">
        <f>0.15+0.04+0.04</f>
        <v>0.23</v>
      </c>
      <c r="J59" s="1">
        <f>+H59*I59</f>
        <v>1.1500000000000001</v>
      </c>
      <c r="K59" s="1">
        <f>+G59+J59</f>
        <v>2.9950000000000001</v>
      </c>
      <c r="L59" s="1">
        <f>+C59*K59</f>
        <v>20.965</v>
      </c>
      <c r="N59" s="1">
        <f>+C59*J59</f>
        <v>8.0500000000000007</v>
      </c>
    </row>
    <row r="60" spans="2:15" hidden="1" outlineLevel="1">
      <c r="C60" s="281">
        <f>SUM(C55:C59)</f>
        <v>88</v>
      </c>
      <c r="L60" s="357">
        <f>SUM(L55:L59)</f>
        <v>393.08699999999993</v>
      </c>
      <c r="M60" s="358"/>
      <c r="N60" s="357">
        <f>SUM(N55:N59)</f>
        <v>100.14200000000001</v>
      </c>
      <c r="O60" s="411">
        <f>+SUM(L60:N60)</f>
        <v>493.22899999999993</v>
      </c>
    </row>
    <row r="61" spans="2:15" s="358" customFormat="1" ht="13.5" hidden="1" outlineLevel="1" thickBot="1">
      <c r="C61" s="879"/>
      <c r="D61" s="104"/>
      <c r="E61" s="104"/>
      <c r="L61" s="357"/>
      <c r="N61" s="357"/>
      <c r="O61" s="357"/>
    </row>
    <row r="62" spans="2:15" collapsed="1">
      <c r="B62" s="414"/>
      <c r="C62" s="415"/>
      <c r="D62" s="415"/>
      <c r="E62" s="415"/>
      <c r="F62" s="414"/>
      <c r="G62" s="414"/>
      <c r="H62" s="414"/>
      <c r="I62" s="414"/>
    </row>
    <row r="63" spans="2:15">
      <c r="B63" s="3" t="s">
        <v>503</v>
      </c>
    </row>
    <row r="64" spans="2:15" hidden="1" outlineLevel="1">
      <c r="C64" s="105" t="s">
        <v>43</v>
      </c>
      <c r="D64" s="105" t="s">
        <v>471</v>
      </c>
      <c r="E64" s="105" t="s">
        <v>218</v>
      </c>
      <c r="F64" s="410" t="s">
        <v>4</v>
      </c>
      <c r="G64" s="410" t="s">
        <v>493</v>
      </c>
      <c r="H64" s="410" t="s">
        <v>504</v>
      </c>
      <c r="I64" s="410" t="s">
        <v>46</v>
      </c>
    </row>
    <row r="65" spans="2:10" hidden="1" outlineLevel="1">
      <c r="B65" s="3" t="s">
        <v>1714</v>
      </c>
      <c r="J65" s="410">
        <f>+SUM(I66)</f>
        <v>22.4</v>
      </c>
    </row>
    <row r="66" spans="2:10" hidden="1" outlineLevel="1">
      <c r="B66" s="1" t="s">
        <v>1922</v>
      </c>
      <c r="C66" s="103">
        <v>4</v>
      </c>
      <c r="D66" s="103">
        <v>4</v>
      </c>
      <c r="E66" s="103">
        <v>0.7</v>
      </c>
      <c r="F66" s="1">
        <f>+D66*E66</f>
        <v>2.8</v>
      </c>
      <c r="G66" s="1">
        <v>2</v>
      </c>
      <c r="H66" s="1">
        <f>+F66*G66</f>
        <v>5.6</v>
      </c>
      <c r="I66" s="1">
        <f>+H66*C66</f>
        <v>22.4</v>
      </c>
    </row>
    <row r="67" spans="2:10" hidden="1" outlineLevel="1">
      <c r="B67" s="3" t="s">
        <v>505</v>
      </c>
      <c r="J67" s="410">
        <f>+SUM(I68:I70)</f>
        <v>75.7</v>
      </c>
    </row>
    <row r="68" spans="2:10" hidden="1" outlineLevel="1">
      <c r="B68" s="1" t="s">
        <v>2307</v>
      </c>
      <c r="C68" s="103">
        <v>4</v>
      </c>
      <c r="D68" s="103">
        <v>10.3</v>
      </c>
      <c r="E68" s="103">
        <v>0.6</v>
      </c>
      <c r="F68" s="1">
        <f>+D68*E68</f>
        <v>6.1800000000000006</v>
      </c>
      <c r="G68" s="1">
        <v>2</v>
      </c>
      <c r="H68" s="1">
        <f>+F68*G68</f>
        <v>12.360000000000001</v>
      </c>
      <c r="I68" s="1">
        <f>+H68*C68</f>
        <v>49.440000000000005</v>
      </c>
    </row>
    <row r="69" spans="2:10" hidden="1" outlineLevel="1">
      <c r="B69" s="1" t="s">
        <v>2308</v>
      </c>
      <c r="C69" s="103">
        <v>1</v>
      </c>
      <c r="D69" s="103">
        <v>7.8</v>
      </c>
      <c r="E69" s="103">
        <v>0.6</v>
      </c>
      <c r="F69" s="1">
        <f>+D69*E69</f>
        <v>4.68</v>
      </c>
      <c r="G69" s="1">
        <v>2</v>
      </c>
      <c r="H69" s="1">
        <f>+F69*G69</f>
        <v>9.36</v>
      </c>
      <c r="I69" s="1">
        <f>+H69*C69</f>
        <v>9.36</v>
      </c>
    </row>
    <row r="70" spans="2:10" hidden="1" outlineLevel="1">
      <c r="B70" s="1" t="s">
        <v>2312</v>
      </c>
      <c r="C70" s="103">
        <v>5</v>
      </c>
      <c r="D70" s="103">
        <v>1.3</v>
      </c>
      <c r="E70" s="103">
        <v>2.6</v>
      </c>
      <c r="F70" s="1">
        <f>+D70*E70</f>
        <v>3.3800000000000003</v>
      </c>
      <c r="G70" s="1">
        <v>1</v>
      </c>
      <c r="H70" s="1">
        <f>+F70*G70</f>
        <v>3.3800000000000003</v>
      </c>
      <c r="I70" s="1">
        <f>+H70*C70</f>
        <v>16.900000000000002</v>
      </c>
    </row>
    <row r="71" spans="2:10" hidden="1" outlineLevel="1">
      <c r="B71" s="3" t="s">
        <v>506</v>
      </c>
      <c r="J71" s="410">
        <f>+SUM(I72:I74)</f>
        <v>40.072000000000003</v>
      </c>
    </row>
    <row r="72" spans="2:10" hidden="1" outlineLevel="1">
      <c r="B72" s="1" t="s">
        <v>2309</v>
      </c>
      <c r="C72" s="103">
        <v>1</v>
      </c>
      <c r="D72" s="103">
        <v>3.73</v>
      </c>
      <c r="E72" s="103">
        <v>2.2000000000000002</v>
      </c>
      <c r="F72" s="1">
        <f>+D72*E72</f>
        <v>8.2060000000000013</v>
      </c>
      <c r="G72" s="1">
        <v>2</v>
      </c>
      <c r="H72" s="1">
        <f>+F72*G72</f>
        <v>16.412000000000003</v>
      </c>
      <c r="I72" s="1">
        <f>+H72*C72</f>
        <v>16.412000000000003</v>
      </c>
      <c r="J72" s="410"/>
    </row>
    <row r="73" spans="2:10" hidden="1" outlineLevel="1">
      <c r="B73" s="1" t="s">
        <v>2310</v>
      </c>
      <c r="C73" s="103">
        <v>1</v>
      </c>
      <c r="D73" s="103">
        <v>3</v>
      </c>
      <c r="E73" s="103">
        <v>2.6</v>
      </c>
      <c r="F73" s="1">
        <f>+D73*E73</f>
        <v>7.8000000000000007</v>
      </c>
      <c r="G73" s="1">
        <v>2</v>
      </c>
      <c r="H73" s="1">
        <f t="shared" ref="H73:H74" si="6">+F73*G73</f>
        <v>15.600000000000001</v>
      </c>
      <c r="I73" s="1">
        <f t="shared" ref="I73:I74" si="7">+H73*C73</f>
        <v>15.600000000000001</v>
      </c>
      <c r="J73" s="410"/>
    </row>
    <row r="74" spans="2:10" hidden="1" outlineLevel="1">
      <c r="B74" s="1" t="s">
        <v>18</v>
      </c>
      <c r="C74" s="103">
        <v>1</v>
      </c>
      <c r="D74" s="103">
        <v>1.55</v>
      </c>
      <c r="E74" s="103">
        <v>2.6</v>
      </c>
      <c r="F74" s="1">
        <f>+D74*E74</f>
        <v>4.03</v>
      </c>
      <c r="G74" s="1">
        <v>2</v>
      </c>
      <c r="H74" s="1">
        <f t="shared" si="6"/>
        <v>8.06</v>
      </c>
      <c r="I74" s="1">
        <f t="shared" si="7"/>
        <v>8.06</v>
      </c>
    </row>
    <row r="75" spans="2:10" hidden="1" outlineLevel="1">
      <c r="B75" s="3" t="s">
        <v>1923</v>
      </c>
      <c r="J75" s="410">
        <f>+SUM(I76:I78)</f>
        <v>119.03999999999999</v>
      </c>
    </row>
    <row r="76" spans="2:10" hidden="1" outlineLevel="1">
      <c r="B76" s="1" t="s">
        <v>2311</v>
      </c>
      <c r="C76" s="103">
        <v>6</v>
      </c>
      <c r="D76" s="103">
        <v>10.5</v>
      </c>
      <c r="E76" s="103">
        <v>0.7</v>
      </c>
      <c r="F76" s="1">
        <f>+D76*E76</f>
        <v>7.35</v>
      </c>
      <c r="G76" s="1">
        <v>2</v>
      </c>
      <c r="H76" s="1">
        <f>+F76*G76</f>
        <v>14.7</v>
      </c>
      <c r="I76" s="1">
        <f>+H76*C76</f>
        <v>88.199999999999989</v>
      </c>
    </row>
    <row r="77" spans="2:10" hidden="1" outlineLevel="1">
      <c r="B77" s="1" t="s">
        <v>1924</v>
      </c>
      <c r="C77" s="103">
        <v>1</v>
      </c>
      <c r="D77" s="103">
        <v>9</v>
      </c>
      <c r="E77" s="103">
        <v>0.5</v>
      </c>
      <c r="F77" s="1">
        <f>+D77*E77</f>
        <v>4.5</v>
      </c>
      <c r="G77" s="1">
        <v>2</v>
      </c>
      <c r="H77" s="1">
        <f>+F77*G77</f>
        <v>9</v>
      </c>
      <c r="I77" s="1">
        <f>+H77*C77</f>
        <v>9</v>
      </c>
    </row>
    <row r="78" spans="2:10" hidden="1" outlineLevel="1">
      <c r="B78" s="1" t="s">
        <v>2312</v>
      </c>
      <c r="C78" s="103">
        <v>6</v>
      </c>
      <c r="D78" s="103">
        <v>1.4</v>
      </c>
      <c r="E78" s="103">
        <v>2.6</v>
      </c>
      <c r="F78" s="1">
        <f>+D78*E78</f>
        <v>3.6399999999999997</v>
      </c>
      <c r="G78" s="1">
        <v>1</v>
      </c>
      <c r="H78" s="1">
        <f>+F78*G78</f>
        <v>3.6399999999999997</v>
      </c>
      <c r="I78" s="1">
        <f>+H78*C78</f>
        <v>21.839999999999996</v>
      </c>
    </row>
    <row r="79" spans="2:10" hidden="1" outlineLevel="1">
      <c r="B79" s="3" t="s">
        <v>481</v>
      </c>
      <c r="J79" s="410">
        <f>+SUM(I80:I83)</f>
        <v>216</v>
      </c>
    </row>
    <row r="80" spans="2:10" hidden="1" outlineLevel="1">
      <c r="B80" s="358" t="s">
        <v>1925</v>
      </c>
      <c r="C80" s="104">
        <v>8</v>
      </c>
      <c r="D80" s="104">
        <v>1</v>
      </c>
      <c r="E80" s="104">
        <v>10</v>
      </c>
      <c r="F80" s="358">
        <f>+D80*E80</f>
        <v>10</v>
      </c>
      <c r="G80" s="358">
        <v>1</v>
      </c>
      <c r="H80" s="358">
        <f>+F80*G80</f>
        <v>10</v>
      </c>
      <c r="I80" s="358">
        <f>+H80*C80</f>
        <v>80</v>
      </c>
    </row>
    <row r="81" spans="2:10" hidden="1" outlineLevel="1">
      <c r="B81" s="358" t="s">
        <v>1926</v>
      </c>
      <c r="C81" s="104">
        <v>8</v>
      </c>
      <c r="D81" s="104">
        <v>1</v>
      </c>
      <c r="E81" s="104">
        <v>5</v>
      </c>
      <c r="F81" s="358">
        <f>+D81*E81</f>
        <v>5</v>
      </c>
      <c r="G81" s="358">
        <v>1</v>
      </c>
      <c r="H81" s="358">
        <f>+F81*G81</f>
        <v>5</v>
      </c>
      <c r="I81" s="358">
        <f>+H81*C81</f>
        <v>40</v>
      </c>
    </row>
    <row r="82" spans="2:10" hidden="1" outlineLevel="1">
      <c r="B82" s="358" t="s">
        <v>1928</v>
      </c>
      <c r="C82" s="104">
        <v>8</v>
      </c>
      <c r="D82" s="104">
        <v>1</v>
      </c>
      <c r="E82" s="104">
        <v>8</v>
      </c>
      <c r="F82" s="358">
        <f>+D82*E82</f>
        <v>8</v>
      </c>
      <c r="G82" s="358">
        <v>1</v>
      </c>
      <c r="H82" s="358">
        <f>+F82*G82</f>
        <v>8</v>
      </c>
      <c r="I82" s="358">
        <f>+H82*C82</f>
        <v>64</v>
      </c>
    </row>
    <row r="83" spans="2:10" hidden="1" outlineLevel="1">
      <c r="B83" s="358" t="s">
        <v>1927</v>
      </c>
      <c r="C83" s="104">
        <v>8</v>
      </c>
      <c r="D83" s="104">
        <v>1</v>
      </c>
      <c r="E83" s="104">
        <v>4</v>
      </c>
      <c r="F83" s="358">
        <f>+D83*E83</f>
        <v>4</v>
      </c>
      <c r="G83" s="358">
        <v>1</v>
      </c>
      <c r="H83" s="358">
        <f>+F83*G83</f>
        <v>4</v>
      </c>
      <c r="I83" s="358">
        <f>+H83*C83</f>
        <v>32</v>
      </c>
    </row>
    <row r="84" spans="2:10" hidden="1" outlineLevel="1">
      <c r="I84" s="357">
        <f>SUM(I65:I83)</f>
        <v>473.21199999999999</v>
      </c>
      <c r="J84" s="411">
        <f>SUM(J65:J83)</f>
        <v>473.21199999999999</v>
      </c>
    </row>
    <row r="85" spans="2:10" ht="13.5" collapsed="1" thickBot="1">
      <c r="B85" s="412"/>
      <c r="C85" s="413"/>
      <c r="D85" s="413"/>
      <c r="E85" s="413"/>
      <c r="F85" s="412"/>
      <c r="G85" s="412"/>
      <c r="H85" s="412"/>
      <c r="I85" s="412"/>
    </row>
    <row r="86" spans="2:10">
      <c r="B86" s="414"/>
      <c r="C86" s="415"/>
      <c r="D86" s="415"/>
      <c r="E86" s="415"/>
      <c r="F86" s="414"/>
      <c r="G86" s="414"/>
      <c r="H86" s="414"/>
      <c r="I86" s="414"/>
    </row>
    <row r="87" spans="2:10" ht="13.5" thickBot="1">
      <c r="B87" s="3" t="s">
        <v>2330</v>
      </c>
    </row>
    <row r="88" spans="2:10" hidden="1" outlineLevel="1"/>
    <row r="89" spans="2:10" hidden="1" outlineLevel="1">
      <c r="B89" s="1" t="s">
        <v>508</v>
      </c>
    </row>
    <row r="90" spans="2:10" hidden="1" outlineLevel="1">
      <c r="C90" s="103" t="s">
        <v>509</v>
      </c>
      <c r="D90" s="103" t="s">
        <v>43</v>
      </c>
      <c r="E90" s="103" t="s">
        <v>17</v>
      </c>
    </row>
    <row r="91" spans="2:10" hidden="1" outlineLevel="1">
      <c r="B91" s="1" t="s">
        <v>510</v>
      </c>
      <c r="C91" s="103">
        <v>10</v>
      </c>
      <c r="D91" s="103">
        <v>2</v>
      </c>
      <c r="E91" s="103">
        <f>+C91*D91</f>
        <v>20</v>
      </c>
    </row>
    <row r="92" spans="2:10" hidden="1" outlineLevel="1">
      <c r="B92" s="1" t="s">
        <v>511</v>
      </c>
      <c r="C92" s="103">
        <v>10</v>
      </c>
      <c r="D92" s="103">
        <v>2</v>
      </c>
      <c r="E92" s="103">
        <f>+C92*D92</f>
        <v>20</v>
      </c>
    </row>
    <row r="93" spans="2:10" hidden="1" outlineLevel="1">
      <c r="B93" s="1" t="s">
        <v>512</v>
      </c>
      <c r="C93" s="103">
        <v>25</v>
      </c>
      <c r="D93" s="103">
        <v>4</v>
      </c>
      <c r="E93" s="103">
        <f>+C93*D93</f>
        <v>100</v>
      </c>
    </row>
    <row r="94" spans="2:10" hidden="1" outlineLevel="1">
      <c r="D94" s="105">
        <f>SUM(D91:D93)</f>
        <v>8</v>
      </c>
      <c r="E94" s="281">
        <f>+SUM(E91:E93)</f>
        <v>140</v>
      </c>
    </row>
    <row r="95" spans="2:10" hidden="1" outlineLevel="1"/>
    <row r="96" spans="2:10" hidden="1" outlineLevel="1">
      <c r="B96" s="3" t="s">
        <v>513</v>
      </c>
    </row>
    <row r="97" spans="2:9" hidden="1" outlineLevel="1">
      <c r="B97" s="3" t="s">
        <v>505</v>
      </c>
    </row>
    <row r="98" spans="2:9" hidden="1" outlineLevel="1">
      <c r="B98" s="1" t="s">
        <v>514</v>
      </c>
      <c r="C98" s="103">
        <v>10</v>
      </c>
      <c r="D98" s="103">
        <v>6</v>
      </c>
      <c r="E98" s="103">
        <f>+D98*C98</f>
        <v>60</v>
      </c>
    </row>
    <row r="99" spans="2:9" hidden="1" outlineLevel="1">
      <c r="B99" s="3" t="s">
        <v>1890</v>
      </c>
    </row>
    <row r="100" spans="2:9" hidden="1" outlineLevel="1">
      <c r="B100" s="1" t="s">
        <v>514</v>
      </c>
      <c r="C100" s="103">
        <v>10</v>
      </c>
      <c r="D100" s="103">
        <v>7</v>
      </c>
      <c r="E100" s="103">
        <f>+D100*C100</f>
        <v>70</v>
      </c>
    </row>
    <row r="101" spans="2:9" hidden="1" outlineLevel="1">
      <c r="E101" s="281">
        <f>+SUM(E98:E100)</f>
        <v>130</v>
      </c>
    </row>
    <row r="102" spans="2:9" ht="13.5" hidden="1" outlineLevel="1" thickBot="1">
      <c r="B102" s="412"/>
      <c r="C102" s="413"/>
      <c r="D102" s="413"/>
      <c r="E102" s="413"/>
      <c r="F102" s="412"/>
      <c r="G102" s="412"/>
      <c r="H102" s="412"/>
      <c r="I102" s="412"/>
    </row>
    <row r="103" spans="2:9" collapsed="1">
      <c r="B103" s="414"/>
      <c r="C103" s="415"/>
      <c r="D103" s="415"/>
      <c r="E103" s="415"/>
      <c r="F103" s="414"/>
      <c r="G103" s="414"/>
      <c r="H103" s="414"/>
      <c r="I103" s="414"/>
    </row>
    <row r="104" spans="2:9" ht="13.5" thickBot="1">
      <c r="B104" s="3" t="s">
        <v>516</v>
      </c>
    </row>
    <row r="105" spans="2:9" hidden="1" outlineLevel="1"/>
    <row r="106" spans="2:9" hidden="1" outlineLevel="1">
      <c r="B106" s="3" t="s">
        <v>41</v>
      </c>
      <c r="C106" s="105" t="s">
        <v>59</v>
      </c>
      <c r="D106" s="105" t="s">
        <v>515</v>
      </c>
      <c r="E106" s="105" t="s">
        <v>17</v>
      </c>
    </row>
    <row r="107" spans="2:9" hidden="1" outlineLevel="1">
      <c r="B107" s="3" t="s">
        <v>517</v>
      </c>
      <c r="F107" s="3">
        <f>+SUM(E108:E115)</f>
        <v>109</v>
      </c>
    </row>
    <row r="108" spans="2:9" hidden="1" outlineLevel="1">
      <c r="B108" s="1" t="s">
        <v>2334</v>
      </c>
      <c r="C108" s="103">
        <v>0</v>
      </c>
      <c r="D108" s="103">
        <v>5</v>
      </c>
      <c r="E108" s="103">
        <f t="shared" ref="E108:E115" si="8">+C108*D108</f>
        <v>0</v>
      </c>
    </row>
    <row r="109" spans="2:9" hidden="1" outlineLevel="1">
      <c r="B109" s="1" t="s">
        <v>2335</v>
      </c>
      <c r="C109" s="103">
        <v>0</v>
      </c>
      <c r="D109" s="103">
        <v>5</v>
      </c>
      <c r="E109" s="103">
        <f t="shared" si="8"/>
        <v>0</v>
      </c>
    </row>
    <row r="110" spans="2:9" hidden="1" outlineLevel="1">
      <c r="B110" s="1" t="s">
        <v>518</v>
      </c>
      <c r="C110" s="103">
        <v>0</v>
      </c>
      <c r="D110" s="103">
        <v>5</v>
      </c>
      <c r="E110" s="103">
        <f t="shared" si="8"/>
        <v>0</v>
      </c>
    </row>
    <row r="111" spans="2:9" hidden="1" outlineLevel="1">
      <c r="B111" s="1" t="s">
        <v>2331</v>
      </c>
      <c r="C111" s="103">
        <v>0</v>
      </c>
      <c r="D111" s="103">
        <v>5</v>
      </c>
      <c r="E111" s="103">
        <f t="shared" si="8"/>
        <v>0</v>
      </c>
    </row>
    <row r="112" spans="2:9" hidden="1" outlineLevel="1">
      <c r="B112" s="1" t="s">
        <v>2336</v>
      </c>
      <c r="C112" s="103">
        <f>2.2+2.2+1</f>
        <v>5.4</v>
      </c>
      <c r="D112" s="103">
        <v>5</v>
      </c>
      <c r="E112" s="103">
        <f t="shared" si="8"/>
        <v>27</v>
      </c>
    </row>
    <row r="113" spans="2:6" hidden="1" outlineLevel="1">
      <c r="B113" s="1" t="s">
        <v>2337</v>
      </c>
      <c r="C113" s="103">
        <f>2.2+2.2+1</f>
        <v>5.4</v>
      </c>
      <c r="D113" s="103">
        <v>5</v>
      </c>
      <c r="E113" s="103">
        <f t="shared" si="8"/>
        <v>27</v>
      </c>
    </row>
    <row r="114" spans="2:6" hidden="1" outlineLevel="1">
      <c r="B114" s="1" t="s">
        <v>2332</v>
      </c>
      <c r="C114" s="103">
        <f>2.2+2.2+1</f>
        <v>5.4</v>
      </c>
      <c r="D114" s="103">
        <v>5</v>
      </c>
      <c r="E114" s="103">
        <f t="shared" si="8"/>
        <v>27</v>
      </c>
    </row>
    <row r="115" spans="2:6" hidden="1" outlineLevel="1">
      <c r="B115" s="1" t="s">
        <v>2333</v>
      </c>
      <c r="C115" s="103">
        <f>2.2+2.2+1.2</f>
        <v>5.6000000000000005</v>
      </c>
      <c r="D115" s="103">
        <v>5</v>
      </c>
      <c r="E115" s="103">
        <f t="shared" si="8"/>
        <v>28.000000000000004</v>
      </c>
    </row>
    <row r="116" spans="2:6" hidden="1" outlineLevel="1">
      <c r="B116" s="3" t="s">
        <v>519</v>
      </c>
      <c r="F116" s="3">
        <f>+SUM(E117:E123)</f>
        <v>21.5</v>
      </c>
    </row>
    <row r="117" spans="2:6" hidden="1" outlineLevel="1">
      <c r="B117" s="1" t="s">
        <v>2334</v>
      </c>
      <c r="C117" s="103">
        <v>0</v>
      </c>
      <c r="D117" s="103">
        <v>1</v>
      </c>
      <c r="E117" s="103">
        <f t="shared" ref="E117:E123" si="9">+C117*D117</f>
        <v>0</v>
      </c>
    </row>
    <row r="118" spans="2:6" hidden="1" outlineLevel="1">
      <c r="B118" s="1" t="s">
        <v>2335</v>
      </c>
      <c r="C118" s="103">
        <v>0</v>
      </c>
      <c r="D118" s="103">
        <v>1</v>
      </c>
      <c r="E118" s="103">
        <f t="shared" si="9"/>
        <v>0</v>
      </c>
    </row>
    <row r="119" spans="2:6" hidden="1" outlineLevel="1">
      <c r="B119" s="1" t="s">
        <v>2338</v>
      </c>
      <c r="C119" s="103">
        <v>2.6</v>
      </c>
      <c r="D119" s="103">
        <v>1</v>
      </c>
      <c r="E119" s="103">
        <f t="shared" si="9"/>
        <v>2.6</v>
      </c>
    </row>
    <row r="120" spans="2:6" hidden="1" outlineLevel="1">
      <c r="B120" s="1" t="s">
        <v>2336</v>
      </c>
      <c r="C120" s="103">
        <f>2.2+2.2+1</f>
        <v>5.4</v>
      </c>
      <c r="D120" s="103">
        <v>1</v>
      </c>
      <c r="E120" s="103">
        <f t="shared" si="9"/>
        <v>5.4</v>
      </c>
    </row>
    <row r="121" spans="2:6" hidden="1" outlineLevel="1">
      <c r="B121" s="1" t="s">
        <v>2337</v>
      </c>
      <c r="C121" s="103">
        <f>2.2+2.2+1</f>
        <v>5.4</v>
      </c>
      <c r="D121" s="103">
        <v>1</v>
      </c>
      <c r="E121" s="103">
        <f t="shared" si="9"/>
        <v>5.4</v>
      </c>
    </row>
    <row r="122" spans="2:6" hidden="1" outlineLevel="1">
      <c r="B122" s="1" t="s">
        <v>2339</v>
      </c>
      <c r="C122" s="103">
        <v>2.2000000000000002</v>
      </c>
      <c r="D122" s="103">
        <v>1</v>
      </c>
      <c r="E122" s="103">
        <f t="shared" si="9"/>
        <v>2.2000000000000002</v>
      </c>
    </row>
    <row r="123" spans="2:6" hidden="1" outlineLevel="1">
      <c r="B123" s="1" t="s">
        <v>2339</v>
      </c>
      <c r="C123" s="103">
        <f>2.2+2.2+1.5</f>
        <v>5.9</v>
      </c>
      <c r="D123" s="103">
        <v>1</v>
      </c>
      <c r="E123" s="103">
        <f t="shared" si="9"/>
        <v>5.9</v>
      </c>
    </row>
    <row r="124" spans="2:6" hidden="1" outlineLevel="1">
      <c r="B124" s="3" t="s">
        <v>520</v>
      </c>
      <c r="F124" s="3">
        <f>+SUM(E125:E130)</f>
        <v>21</v>
      </c>
    </row>
    <row r="125" spans="2:6" hidden="1" outlineLevel="1">
      <c r="B125" s="1" t="s">
        <v>2340</v>
      </c>
      <c r="C125" s="103">
        <v>2.4</v>
      </c>
      <c r="D125" s="103">
        <v>1</v>
      </c>
      <c r="E125" s="103">
        <f t="shared" ref="E125:E130" si="10">+C125*D125</f>
        <v>2.4</v>
      </c>
    </row>
    <row r="126" spans="2:6" hidden="1" outlineLevel="1">
      <c r="B126" s="1" t="s">
        <v>2341</v>
      </c>
      <c r="C126" s="103">
        <v>2.4</v>
      </c>
      <c r="D126" s="103">
        <v>1</v>
      </c>
      <c r="E126" s="103">
        <f t="shared" si="10"/>
        <v>2.4</v>
      </c>
    </row>
    <row r="127" spans="2:6" hidden="1" outlineLevel="1">
      <c r="B127" s="1" t="s">
        <v>2342</v>
      </c>
      <c r="C127" s="103">
        <v>2.2000000000000002</v>
      </c>
      <c r="D127" s="103">
        <v>1</v>
      </c>
      <c r="E127" s="103">
        <f t="shared" si="10"/>
        <v>2.2000000000000002</v>
      </c>
    </row>
    <row r="128" spans="2:6" hidden="1" outlineLevel="1">
      <c r="B128" s="1" t="s">
        <v>2342</v>
      </c>
      <c r="C128" s="103">
        <f>2.2+2.2+1.5</f>
        <v>5.9</v>
      </c>
      <c r="D128" s="103">
        <v>1</v>
      </c>
      <c r="E128" s="103">
        <f t="shared" si="10"/>
        <v>5.9</v>
      </c>
    </row>
    <row r="129" spans="1:12" hidden="1" outlineLevel="1">
      <c r="B129" s="1" t="s">
        <v>2343</v>
      </c>
      <c r="C129" s="103">
        <v>2.2000000000000002</v>
      </c>
      <c r="D129" s="103">
        <v>1</v>
      </c>
      <c r="E129" s="103">
        <f t="shared" si="10"/>
        <v>2.2000000000000002</v>
      </c>
    </row>
    <row r="130" spans="1:12" hidden="1" outlineLevel="1">
      <c r="B130" s="1" t="s">
        <v>2343</v>
      </c>
      <c r="C130" s="103">
        <f>2.2+2.2+1.5</f>
        <v>5.9</v>
      </c>
      <c r="D130" s="103">
        <v>1</v>
      </c>
      <c r="E130" s="103">
        <f t="shared" si="10"/>
        <v>5.9</v>
      </c>
    </row>
    <row r="131" spans="1:12" hidden="1" outlineLevel="1">
      <c r="B131" s="3"/>
      <c r="E131" s="879">
        <f>SUM(E107:E130)</f>
        <v>151.5</v>
      </c>
      <c r="F131" s="879">
        <f>SUM(F107:F130)</f>
        <v>151.5</v>
      </c>
    </row>
    <row r="132" spans="1:12" hidden="1" outlineLevel="1">
      <c r="F132" s="411">
        <f>+ROUNDUP(F131,0)</f>
        <v>152</v>
      </c>
    </row>
    <row r="133" spans="1:12" ht="13.5" hidden="1" outlineLevel="1" thickBot="1">
      <c r="B133" s="412"/>
      <c r="C133" s="413"/>
      <c r="D133" s="413"/>
      <c r="E133" s="413"/>
      <c r="F133" s="412"/>
      <c r="G133" s="412"/>
      <c r="H133" s="412"/>
      <c r="I133" s="412"/>
    </row>
    <row r="134" spans="1:12" collapsed="1">
      <c r="B134" s="414"/>
      <c r="C134" s="415"/>
      <c r="D134" s="415"/>
      <c r="E134" s="415"/>
      <c r="F134" s="414"/>
      <c r="G134" s="414"/>
      <c r="H134" s="414"/>
      <c r="I134" s="414"/>
    </row>
    <row r="135" spans="1:12">
      <c r="B135" s="3" t="s">
        <v>2431</v>
      </c>
    </row>
    <row r="136" spans="1:12" s="811" customFormat="1" outlineLevel="1">
      <c r="B136" s="1664" t="s">
        <v>1708</v>
      </c>
      <c r="C136" s="810" t="s">
        <v>1576</v>
      </c>
      <c r="D136" s="810" t="s">
        <v>1290</v>
      </c>
      <c r="E136" s="810" t="s">
        <v>1577</v>
      </c>
      <c r="F136" s="810" t="s">
        <v>1578</v>
      </c>
      <c r="G136" s="810" t="s">
        <v>1579</v>
      </c>
      <c r="H136" s="810" t="s">
        <v>1580</v>
      </c>
      <c r="I136" s="810" t="s">
        <v>1581</v>
      </c>
      <c r="J136" s="810" t="s">
        <v>1582</v>
      </c>
      <c r="K136" s="810" t="s">
        <v>1583</v>
      </c>
      <c r="L136" s="810" t="s">
        <v>1584</v>
      </c>
    </row>
    <row r="137" spans="1:12" s="811" customFormat="1" outlineLevel="1">
      <c r="B137" s="1664" t="s">
        <v>18</v>
      </c>
      <c r="C137" s="1664"/>
      <c r="D137" s="1664"/>
      <c r="E137" s="1664"/>
      <c r="F137" s="1664"/>
      <c r="G137" s="1664"/>
      <c r="H137" s="1664"/>
      <c r="I137" s="1664"/>
      <c r="J137" s="1664"/>
      <c r="K137" s="1664"/>
      <c r="L137" s="1664"/>
    </row>
    <row r="138" spans="1:12" s="811" customFormat="1" outlineLevel="1">
      <c r="B138" s="811" t="s">
        <v>2419</v>
      </c>
      <c r="C138" s="811">
        <v>3</v>
      </c>
      <c r="D138" s="811">
        <v>1</v>
      </c>
      <c r="E138" s="811">
        <v>0</v>
      </c>
      <c r="F138" s="811">
        <f>+SUM(C138:E138)</f>
        <v>4</v>
      </c>
      <c r="G138" s="811">
        <v>1</v>
      </c>
      <c r="H138" s="811">
        <v>0</v>
      </c>
      <c r="I138" s="811">
        <v>1</v>
      </c>
      <c r="J138" s="811">
        <v>0</v>
      </c>
      <c r="K138" s="811">
        <v>3</v>
      </c>
      <c r="L138" s="811">
        <v>0</v>
      </c>
    </row>
    <row r="139" spans="1:12" s="811" customFormat="1" outlineLevel="1">
      <c r="B139" s="1664" t="s">
        <v>2420</v>
      </c>
      <c r="C139" s="1664"/>
      <c r="D139" s="1664"/>
      <c r="E139" s="1664"/>
      <c r="F139" s="1664"/>
      <c r="G139" s="1664"/>
      <c r="H139" s="1664"/>
      <c r="I139" s="1664"/>
      <c r="J139" s="1664"/>
      <c r="K139" s="1664"/>
      <c r="L139" s="1664"/>
    </row>
    <row r="140" spans="1:12" s="811" customFormat="1" outlineLevel="1">
      <c r="B140" s="811" t="s">
        <v>2421</v>
      </c>
      <c r="C140" s="811">
        <v>5</v>
      </c>
      <c r="D140" s="811">
        <v>0</v>
      </c>
      <c r="E140" s="811">
        <v>1</v>
      </c>
      <c r="F140" s="811">
        <f>+SUM(C140:E140)</f>
        <v>6</v>
      </c>
      <c r="G140" s="811">
        <v>1</v>
      </c>
      <c r="H140" s="811">
        <v>0</v>
      </c>
      <c r="I140" s="811">
        <v>1</v>
      </c>
      <c r="J140" s="811">
        <v>1</v>
      </c>
      <c r="K140" s="811">
        <v>2</v>
      </c>
      <c r="L140" s="811">
        <v>1</v>
      </c>
    </row>
    <row r="141" spans="1:12" s="811" customFormat="1" outlineLevel="1">
      <c r="B141" s="811" t="s">
        <v>2423</v>
      </c>
      <c r="C141" s="811">
        <v>5</v>
      </c>
      <c r="D141" s="811">
        <v>0</v>
      </c>
      <c r="E141" s="811">
        <v>0</v>
      </c>
      <c r="F141" s="811">
        <f>+SUM(C141:E141)</f>
        <v>5</v>
      </c>
      <c r="G141" s="811">
        <v>1</v>
      </c>
      <c r="H141" s="811">
        <v>0</v>
      </c>
      <c r="I141" s="811">
        <v>1</v>
      </c>
      <c r="J141" s="811">
        <v>1</v>
      </c>
      <c r="K141" s="811">
        <v>2</v>
      </c>
      <c r="L141" s="811">
        <v>1</v>
      </c>
    </row>
    <row r="142" spans="1:12" s="811" customFormat="1" outlineLevel="1">
      <c r="B142" s="811" t="s">
        <v>2422</v>
      </c>
      <c r="C142" s="811">
        <v>5</v>
      </c>
      <c r="D142" s="811">
        <v>0</v>
      </c>
      <c r="E142" s="811">
        <v>1</v>
      </c>
      <c r="F142" s="811">
        <f>+SUM(C142:E142)</f>
        <v>6</v>
      </c>
      <c r="G142" s="811">
        <v>1</v>
      </c>
      <c r="H142" s="811">
        <v>0</v>
      </c>
      <c r="I142" s="811">
        <v>1</v>
      </c>
      <c r="J142" s="811">
        <v>1</v>
      </c>
      <c r="K142" s="811">
        <v>2</v>
      </c>
      <c r="L142" s="811">
        <v>1</v>
      </c>
    </row>
    <row r="143" spans="1:12" s="811" customFormat="1" outlineLevel="1">
      <c r="B143" s="811" t="s">
        <v>2424</v>
      </c>
      <c r="C143" s="811">
        <v>5</v>
      </c>
      <c r="D143" s="811">
        <v>0</v>
      </c>
      <c r="E143" s="811">
        <v>0</v>
      </c>
      <c r="F143" s="811">
        <f>+SUM(C143:E143)</f>
        <v>5</v>
      </c>
      <c r="G143" s="811">
        <v>1</v>
      </c>
      <c r="H143" s="811">
        <v>0</v>
      </c>
      <c r="I143" s="811">
        <v>1</v>
      </c>
      <c r="J143" s="811">
        <v>1</v>
      </c>
      <c r="K143" s="811">
        <v>2</v>
      </c>
      <c r="L143" s="811">
        <v>1</v>
      </c>
    </row>
    <row r="144" spans="1:12" s="811" customFormat="1" outlineLevel="1">
      <c r="A144" s="811">
        <v>4</v>
      </c>
      <c r="B144" s="811" t="s">
        <v>1452</v>
      </c>
      <c r="C144" s="1664">
        <f>+SUM(C140:C143)*$A$144</f>
        <v>80</v>
      </c>
      <c r="D144" s="1664">
        <f>+SUM(D140:D143)*$A$144</f>
        <v>0</v>
      </c>
      <c r="E144" s="1664">
        <f t="shared" ref="E144:L144" si="11">+SUM(E140:E143)*$A$144</f>
        <v>8</v>
      </c>
      <c r="F144" s="1664">
        <f t="shared" si="11"/>
        <v>88</v>
      </c>
      <c r="G144" s="1664">
        <f t="shared" si="11"/>
        <v>16</v>
      </c>
      <c r="H144" s="1664">
        <f t="shared" si="11"/>
        <v>0</v>
      </c>
      <c r="I144" s="1664">
        <f t="shared" si="11"/>
        <v>16</v>
      </c>
      <c r="J144" s="1664">
        <f t="shared" si="11"/>
        <v>16</v>
      </c>
      <c r="K144" s="1664">
        <f t="shared" si="11"/>
        <v>32</v>
      </c>
      <c r="L144" s="1664">
        <f t="shared" si="11"/>
        <v>16</v>
      </c>
    </row>
    <row r="145" spans="1:13" s="811" customFormat="1" outlineLevel="1">
      <c r="B145" s="1664" t="s">
        <v>2425</v>
      </c>
    </row>
    <row r="146" spans="1:13" s="811" customFormat="1" outlineLevel="1">
      <c r="B146" s="811" t="s">
        <v>2426</v>
      </c>
      <c r="C146" s="811">
        <v>5</v>
      </c>
      <c r="D146" s="811">
        <v>0</v>
      </c>
      <c r="E146" s="811">
        <v>1</v>
      </c>
      <c r="F146" s="811">
        <f>+SUM(C146:E146)</f>
        <v>6</v>
      </c>
      <c r="G146" s="811">
        <v>1</v>
      </c>
      <c r="H146" s="811">
        <v>0</v>
      </c>
      <c r="I146" s="811">
        <v>1</v>
      </c>
      <c r="J146" s="811">
        <v>1</v>
      </c>
      <c r="K146" s="811">
        <v>2</v>
      </c>
      <c r="L146" s="811">
        <v>1</v>
      </c>
    </row>
    <row r="147" spans="1:13" s="811" customFormat="1" outlineLevel="1">
      <c r="B147" s="811" t="s">
        <v>2427</v>
      </c>
      <c r="C147" s="811">
        <v>5</v>
      </c>
      <c r="D147" s="811">
        <v>0</v>
      </c>
      <c r="E147" s="811">
        <v>0</v>
      </c>
      <c r="F147" s="811">
        <f>+SUM(C147:E147)</f>
        <v>5</v>
      </c>
      <c r="G147" s="811">
        <v>1</v>
      </c>
      <c r="H147" s="811">
        <v>0</v>
      </c>
      <c r="I147" s="811">
        <v>1</v>
      </c>
      <c r="J147" s="811">
        <v>1</v>
      </c>
      <c r="K147" s="811">
        <v>2</v>
      </c>
      <c r="L147" s="811">
        <v>1</v>
      </c>
    </row>
    <row r="148" spans="1:13" s="811" customFormat="1" outlineLevel="1">
      <c r="B148" s="811" t="s">
        <v>2428</v>
      </c>
      <c r="C148" s="811">
        <v>8</v>
      </c>
      <c r="D148" s="811">
        <v>1</v>
      </c>
      <c r="E148" s="811">
        <v>1</v>
      </c>
      <c r="F148" s="811">
        <f>+SUM(C148:E148)</f>
        <v>10</v>
      </c>
      <c r="G148" s="811">
        <v>2</v>
      </c>
      <c r="H148" s="811">
        <v>0</v>
      </c>
      <c r="I148" s="811">
        <v>2</v>
      </c>
      <c r="J148" s="811">
        <v>1</v>
      </c>
      <c r="K148" s="811">
        <v>3</v>
      </c>
      <c r="L148" s="811">
        <v>1</v>
      </c>
    </row>
    <row r="149" spans="1:13" s="811" customFormat="1" outlineLevel="1">
      <c r="B149" s="1664" t="s">
        <v>2414</v>
      </c>
    </row>
    <row r="150" spans="1:13" s="811" customFormat="1" outlineLevel="1">
      <c r="B150" s="811" t="s">
        <v>2429</v>
      </c>
      <c r="C150" s="811">
        <v>8</v>
      </c>
      <c r="D150" s="811">
        <v>1</v>
      </c>
      <c r="E150" s="811">
        <v>1</v>
      </c>
      <c r="F150" s="811">
        <f>+SUM(C150:E150)</f>
        <v>10</v>
      </c>
      <c r="G150" s="811">
        <v>2</v>
      </c>
      <c r="H150" s="811">
        <v>0</v>
      </c>
      <c r="I150" s="811">
        <v>2</v>
      </c>
      <c r="J150" s="811">
        <v>1</v>
      </c>
      <c r="K150" s="811">
        <v>3</v>
      </c>
      <c r="L150" s="811">
        <v>1</v>
      </c>
    </row>
    <row r="151" spans="1:13" s="811" customFormat="1" outlineLevel="1">
      <c r="B151" s="811" t="s">
        <v>2430</v>
      </c>
      <c r="C151" s="811">
        <v>8</v>
      </c>
      <c r="D151" s="811">
        <v>1</v>
      </c>
      <c r="E151" s="811">
        <v>1</v>
      </c>
      <c r="F151" s="811">
        <f>+SUM(C151:E151)</f>
        <v>10</v>
      </c>
      <c r="G151" s="811">
        <v>2</v>
      </c>
      <c r="H151" s="811">
        <v>0</v>
      </c>
      <c r="I151" s="811">
        <v>2</v>
      </c>
      <c r="J151" s="811">
        <v>1</v>
      </c>
      <c r="K151" s="811">
        <v>3</v>
      </c>
      <c r="L151" s="811">
        <v>1</v>
      </c>
    </row>
    <row r="152" spans="1:13" s="811" customFormat="1" outlineLevel="1">
      <c r="B152" s="1664" t="s">
        <v>522</v>
      </c>
    </row>
    <row r="153" spans="1:13" s="811" customFormat="1" outlineLevel="1">
      <c r="C153" s="811">
        <v>0</v>
      </c>
      <c r="D153" s="811">
        <v>2</v>
      </c>
      <c r="E153" s="811">
        <v>0</v>
      </c>
      <c r="F153" s="811">
        <f>+SUM(C153:E153)</f>
        <v>2</v>
      </c>
      <c r="G153" s="811">
        <v>0</v>
      </c>
      <c r="H153" s="811">
        <v>0</v>
      </c>
      <c r="I153" s="811">
        <v>0</v>
      </c>
      <c r="J153" s="811">
        <v>0</v>
      </c>
      <c r="K153" s="811">
        <v>1</v>
      </c>
      <c r="L153" s="811">
        <v>0</v>
      </c>
    </row>
    <row r="154" spans="1:13" s="811" customFormat="1" outlineLevel="1"/>
    <row r="155" spans="1:13" s="811" customFormat="1" ht="14.5" outlineLevel="1">
      <c r="C155" s="908">
        <f t="shared" ref="C155:L155" si="12">SUM(C137:C154)</f>
        <v>137</v>
      </c>
      <c r="D155" s="908">
        <f t="shared" si="12"/>
        <v>6</v>
      </c>
      <c r="E155" s="908">
        <f t="shared" si="12"/>
        <v>14</v>
      </c>
      <c r="F155" s="908">
        <f t="shared" si="12"/>
        <v>157</v>
      </c>
      <c r="G155" s="908">
        <f t="shared" si="12"/>
        <v>29</v>
      </c>
      <c r="H155" s="908">
        <f t="shared" si="12"/>
        <v>0</v>
      </c>
      <c r="I155" s="908">
        <f t="shared" si="12"/>
        <v>29</v>
      </c>
      <c r="J155" s="908">
        <f t="shared" si="12"/>
        <v>25</v>
      </c>
      <c r="K155" s="908">
        <f t="shared" si="12"/>
        <v>57</v>
      </c>
      <c r="L155" s="908">
        <f t="shared" si="12"/>
        <v>25</v>
      </c>
    </row>
    <row r="156" spans="1:13" outlineLevel="1">
      <c r="A156" s="241"/>
      <c r="B156" s="241"/>
      <c r="C156" s="241"/>
      <c r="D156" s="241"/>
      <c r="E156" s="241"/>
      <c r="F156" s="241"/>
      <c r="G156" s="241"/>
      <c r="H156" s="241"/>
      <c r="I156" s="241"/>
      <c r="J156" s="241"/>
      <c r="K156" s="241"/>
      <c r="L156" s="241"/>
      <c r="M156" s="241"/>
    </row>
    <row r="157" spans="1:13" outlineLevel="1"/>
    <row r="158" spans="1:13" ht="13.5" outlineLevel="1" thickBot="1"/>
    <row r="159" spans="1:13">
      <c r="B159" s="414"/>
      <c r="C159" s="415"/>
      <c r="D159" s="415"/>
      <c r="E159" s="415"/>
      <c r="F159" s="414"/>
      <c r="G159" s="414"/>
      <c r="H159" s="414"/>
      <c r="I159" s="414"/>
    </row>
    <row r="160" spans="1:13">
      <c r="B160" s="3" t="s">
        <v>481</v>
      </c>
    </row>
    <row r="161" spans="2:9" outlineLevel="1">
      <c r="C161" s="105" t="s">
        <v>365</v>
      </c>
      <c r="D161" s="3" t="s">
        <v>368</v>
      </c>
      <c r="E161" s="105" t="s">
        <v>43</v>
      </c>
      <c r="F161" s="105" t="s">
        <v>4</v>
      </c>
      <c r="G161" s="105" t="s">
        <v>515</v>
      </c>
      <c r="H161" s="105" t="s">
        <v>17</v>
      </c>
    </row>
    <row r="162" spans="2:9" outlineLevel="1">
      <c r="B162" s="3" t="s">
        <v>18</v>
      </c>
      <c r="I162" s="3">
        <f>+SUM(H163:H168)</f>
        <v>11.636800000000001</v>
      </c>
    </row>
    <row r="163" spans="2:9" outlineLevel="1">
      <c r="B163" s="1" t="s">
        <v>2357</v>
      </c>
      <c r="C163" s="103">
        <v>1.1000000000000001</v>
      </c>
      <c r="D163" s="103">
        <v>0.18</v>
      </c>
      <c r="E163" s="103">
        <v>16</v>
      </c>
      <c r="F163" s="1">
        <f t="shared" ref="F163:F168" si="13">+C163*D163*E163</f>
        <v>3.1680000000000001</v>
      </c>
      <c r="G163" s="1">
        <v>1</v>
      </c>
      <c r="H163" s="1">
        <f t="shared" ref="H163:H168" si="14">+F163*G163</f>
        <v>3.1680000000000001</v>
      </c>
    </row>
    <row r="164" spans="2:9" outlineLevel="1">
      <c r="B164" s="1" t="s">
        <v>2358</v>
      </c>
      <c r="C164" s="103">
        <v>1.1499999999999999</v>
      </c>
      <c r="D164" s="103">
        <v>0.18</v>
      </c>
      <c r="E164" s="103">
        <v>1</v>
      </c>
      <c r="F164" s="1">
        <f t="shared" si="13"/>
        <v>0.20699999999999999</v>
      </c>
      <c r="G164" s="1">
        <v>1</v>
      </c>
      <c r="H164" s="1">
        <f t="shared" si="14"/>
        <v>0.20699999999999999</v>
      </c>
    </row>
    <row r="165" spans="2:9" outlineLevel="1">
      <c r="B165" s="1" t="s">
        <v>2359</v>
      </c>
      <c r="C165" s="103">
        <v>1.26</v>
      </c>
      <c r="D165" s="103">
        <v>0.18</v>
      </c>
      <c r="E165" s="103">
        <v>1</v>
      </c>
      <c r="F165" s="1">
        <f t="shared" si="13"/>
        <v>0.2268</v>
      </c>
      <c r="G165" s="1">
        <v>1</v>
      </c>
      <c r="H165" s="1">
        <f t="shared" si="14"/>
        <v>0.2268</v>
      </c>
    </row>
    <row r="166" spans="2:9" outlineLevel="1">
      <c r="B166" s="1" t="s">
        <v>2354</v>
      </c>
      <c r="C166" s="103">
        <v>1.1000000000000001</v>
      </c>
      <c r="D166" s="103">
        <v>0.26</v>
      </c>
      <c r="E166" s="103">
        <v>14</v>
      </c>
      <c r="F166" s="1">
        <f t="shared" si="13"/>
        <v>4.0040000000000004</v>
      </c>
      <c r="G166" s="1">
        <v>1</v>
      </c>
      <c r="H166" s="1">
        <f t="shared" si="14"/>
        <v>4.0040000000000004</v>
      </c>
    </row>
    <row r="167" spans="2:9" outlineLevel="1">
      <c r="B167" s="1" t="s">
        <v>2355</v>
      </c>
      <c r="C167" s="103">
        <v>1.1000000000000001</v>
      </c>
      <c r="D167" s="103">
        <v>1.26</v>
      </c>
      <c r="E167" s="103">
        <v>1</v>
      </c>
      <c r="F167" s="1">
        <f t="shared" si="13"/>
        <v>1.3860000000000001</v>
      </c>
      <c r="G167" s="1">
        <v>1</v>
      </c>
      <c r="H167" s="1">
        <f t="shared" si="14"/>
        <v>1.3860000000000001</v>
      </c>
    </row>
    <row r="168" spans="2:9" outlineLevel="1">
      <c r="B168" s="1" t="s">
        <v>2356</v>
      </c>
      <c r="C168" s="103">
        <v>1.1499999999999999</v>
      </c>
      <c r="D168" s="103">
        <v>1.1499999999999999</v>
      </c>
      <c r="E168" s="103">
        <v>2</v>
      </c>
      <c r="F168" s="1">
        <f t="shared" si="13"/>
        <v>2.6449999999999996</v>
      </c>
      <c r="G168" s="1">
        <v>1</v>
      </c>
      <c r="H168" s="1">
        <f t="shared" si="14"/>
        <v>2.6449999999999996</v>
      </c>
    </row>
    <row r="169" spans="2:9" outlineLevel="1">
      <c r="B169" s="3" t="s">
        <v>2360</v>
      </c>
      <c r="I169" s="3">
        <f>+SUM(H170:H175)</f>
        <v>97.05080000000001</v>
      </c>
    </row>
    <row r="170" spans="2:9" outlineLevel="1">
      <c r="B170" s="1" t="s">
        <v>2357</v>
      </c>
      <c r="C170" s="103">
        <v>1.1000000000000001</v>
      </c>
      <c r="D170" s="103">
        <v>0.18</v>
      </c>
      <c r="E170" s="103">
        <v>14</v>
      </c>
      <c r="F170" s="1">
        <f t="shared" ref="F170:F175" si="15">+C170*D170*E170</f>
        <v>2.7720000000000002</v>
      </c>
      <c r="G170" s="1">
        <v>7</v>
      </c>
      <c r="H170" s="1">
        <f t="shared" ref="H170:H175" si="16">+F170*G170</f>
        <v>19.404000000000003</v>
      </c>
    </row>
    <row r="171" spans="2:9" outlineLevel="1">
      <c r="B171" s="1" t="s">
        <v>2358</v>
      </c>
      <c r="C171" s="103">
        <v>1.1499999999999999</v>
      </c>
      <c r="D171" s="103">
        <v>0.18</v>
      </c>
      <c r="E171" s="103">
        <v>1</v>
      </c>
      <c r="F171" s="1">
        <f t="shared" si="15"/>
        <v>0.20699999999999999</v>
      </c>
      <c r="G171" s="1">
        <v>7</v>
      </c>
      <c r="H171" s="1">
        <f t="shared" si="16"/>
        <v>1.4489999999999998</v>
      </c>
    </row>
    <row r="172" spans="2:9" outlineLevel="1">
      <c r="B172" s="1" t="s">
        <v>2361</v>
      </c>
      <c r="C172" s="103">
        <v>1.78</v>
      </c>
      <c r="D172" s="103">
        <v>0.18</v>
      </c>
      <c r="E172" s="103">
        <v>1</v>
      </c>
      <c r="F172" s="1">
        <f t="shared" si="15"/>
        <v>0.32040000000000002</v>
      </c>
      <c r="G172" s="1">
        <v>7</v>
      </c>
      <c r="H172" s="1">
        <f t="shared" si="16"/>
        <v>2.2427999999999999</v>
      </c>
    </row>
    <row r="173" spans="2:9" outlineLevel="1">
      <c r="B173" s="1" t="s">
        <v>2354</v>
      </c>
      <c r="C173" s="103">
        <v>1.1000000000000001</v>
      </c>
      <c r="D173" s="103">
        <v>0.26</v>
      </c>
      <c r="E173" s="103">
        <v>14</v>
      </c>
      <c r="F173" s="1">
        <f t="shared" si="15"/>
        <v>4.0040000000000004</v>
      </c>
      <c r="G173" s="1">
        <v>7</v>
      </c>
      <c r="H173" s="1">
        <f t="shared" si="16"/>
        <v>28.028000000000002</v>
      </c>
    </row>
    <row r="174" spans="2:9" outlineLevel="1">
      <c r="B174" s="1" t="s">
        <v>2355</v>
      </c>
      <c r="C174" s="103">
        <v>1.78</v>
      </c>
      <c r="D174" s="103">
        <v>1.1000000000000001</v>
      </c>
      <c r="E174" s="103">
        <v>2</v>
      </c>
      <c r="F174" s="1">
        <f t="shared" si="15"/>
        <v>3.9160000000000004</v>
      </c>
      <c r="G174" s="1">
        <v>7</v>
      </c>
      <c r="H174" s="1">
        <f t="shared" si="16"/>
        <v>27.412000000000003</v>
      </c>
    </row>
    <row r="175" spans="2:9" outlineLevel="1">
      <c r="B175" s="1" t="s">
        <v>2356</v>
      </c>
      <c r="C175" s="103">
        <v>1.1499999999999999</v>
      </c>
      <c r="D175" s="103">
        <v>1.1499999999999999</v>
      </c>
      <c r="E175" s="103">
        <v>2</v>
      </c>
      <c r="F175" s="1">
        <f t="shared" si="15"/>
        <v>2.6449999999999996</v>
      </c>
      <c r="G175" s="1">
        <v>7</v>
      </c>
      <c r="H175" s="1">
        <f t="shared" si="16"/>
        <v>18.514999999999997</v>
      </c>
    </row>
    <row r="176" spans="2:9" outlineLevel="1">
      <c r="H176" s="3">
        <f>+SUM(H162:H175)</f>
        <v>108.68760000000002</v>
      </c>
      <c r="I176" s="3">
        <f>+SUM(I162:I175)</f>
        <v>108.6876</v>
      </c>
    </row>
    <row r="177" spans="2:9" outlineLevel="1"/>
    <row r="178" spans="2:9" outlineLevel="1"/>
    <row r="179" spans="2:9" outlineLevel="1">
      <c r="B179" s="3" t="s">
        <v>2362</v>
      </c>
      <c r="C179" s="105" t="s">
        <v>215</v>
      </c>
      <c r="D179" s="105" t="s">
        <v>43</v>
      </c>
      <c r="E179" s="105" t="s">
        <v>515</v>
      </c>
      <c r="F179" s="3" t="s">
        <v>17</v>
      </c>
    </row>
    <row r="180" spans="2:9" outlineLevel="1">
      <c r="B180" s="3" t="s">
        <v>18</v>
      </c>
      <c r="G180" s="3">
        <f>+SUM(F181:F183)</f>
        <v>20.100000000000001</v>
      </c>
    </row>
    <row r="181" spans="2:9" outlineLevel="1">
      <c r="B181" s="1" t="s">
        <v>2364</v>
      </c>
      <c r="C181" s="103">
        <v>1.3</v>
      </c>
      <c r="D181" s="103">
        <v>1</v>
      </c>
      <c r="E181" s="103">
        <v>1</v>
      </c>
      <c r="F181" s="1">
        <f>+C181*D181*E181</f>
        <v>1.3</v>
      </c>
    </row>
    <row r="182" spans="2:9" outlineLevel="1">
      <c r="B182" s="1" t="s">
        <v>2363</v>
      </c>
      <c r="C182" s="103">
        <v>1.1000000000000001</v>
      </c>
      <c r="D182" s="103">
        <v>16</v>
      </c>
      <c r="E182" s="103">
        <v>1</v>
      </c>
      <c r="F182" s="1">
        <f>+C182*D182*E182</f>
        <v>17.600000000000001</v>
      </c>
    </row>
    <row r="183" spans="2:9" outlineLevel="1">
      <c r="B183" s="1" t="s">
        <v>2365</v>
      </c>
      <c r="C183" s="103">
        <v>1.2</v>
      </c>
      <c r="D183" s="103">
        <v>1</v>
      </c>
      <c r="E183" s="103">
        <v>1</v>
      </c>
      <c r="F183" s="1">
        <f>+C183*D183*E183</f>
        <v>1.2</v>
      </c>
    </row>
    <row r="184" spans="2:9" outlineLevel="1">
      <c r="B184" s="3" t="s">
        <v>2360</v>
      </c>
      <c r="G184" s="3">
        <f>+SUM(F185:F187)</f>
        <v>128.80000000000001</v>
      </c>
      <c r="I184" s="3"/>
    </row>
    <row r="185" spans="2:9" outlineLevel="1">
      <c r="B185" s="1" t="s">
        <v>2366</v>
      </c>
      <c r="C185" s="103">
        <v>1.8</v>
      </c>
      <c r="D185" s="103">
        <v>1</v>
      </c>
      <c r="E185" s="103">
        <v>7</v>
      </c>
      <c r="F185" s="1">
        <f>+C185*D185*E185</f>
        <v>12.6</v>
      </c>
      <c r="G185" s="3"/>
    </row>
    <row r="186" spans="2:9" outlineLevel="1">
      <c r="B186" s="1" t="s">
        <v>2363</v>
      </c>
      <c r="C186" s="103">
        <v>1.1000000000000001</v>
      </c>
      <c r="D186" s="103">
        <v>14</v>
      </c>
      <c r="E186" s="103">
        <v>7</v>
      </c>
      <c r="F186" s="1">
        <f>+C186*D186*E186</f>
        <v>107.80000000000001</v>
      </c>
    </row>
    <row r="187" spans="2:9" outlineLevel="1">
      <c r="B187" s="1" t="s">
        <v>2365</v>
      </c>
      <c r="C187" s="103">
        <v>1.2</v>
      </c>
      <c r="D187" s="103">
        <v>1</v>
      </c>
      <c r="E187" s="103">
        <v>7</v>
      </c>
      <c r="F187" s="1">
        <f>+C187*D187*E187</f>
        <v>8.4</v>
      </c>
    </row>
    <row r="188" spans="2:9" outlineLevel="1">
      <c r="F188" s="3">
        <f>+SUM(F180:F187)</f>
        <v>148.9</v>
      </c>
      <c r="G188" s="3">
        <f>+SUM(G180:G187)</f>
        <v>148.9</v>
      </c>
    </row>
    <row r="189" spans="2:9" outlineLevel="1">
      <c r="G189" s="411">
        <f>+ROUNDUP(G188,0)</f>
        <v>149</v>
      </c>
    </row>
    <row r="190" spans="2:9" outlineLevel="1"/>
    <row r="191" spans="2:9" outlineLevel="1">
      <c r="B191" s="3" t="s">
        <v>2370</v>
      </c>
      <c r="C191" s="103" t="s">
        <v>215</v>
      </c>
      <c r="D191" s="103" t="s">
        <v>43</v>
      </c>
      <c r="E191" s="103" t="s">
        <v>515</v>
      </c>
      <c r="F191" s="1" t="s">
        <v>17</v>
      </c>
    </row>
    <row r="192" spans="2:9" outlineLevel="1">
      <c r="B192" s="1" t="s">
        <v>18</v>
      </c>
      <c r="G192" s="3">
        <f>+SUM(F193:F195)</f>
        <v>16</v>
      </c>
    </row>
    <row r="193" spans="2:15" outlineLevel="1">
      <c r="B193" s="1" t="s">
        <v>2371</v>
      </c>
      <c r="C193" s="103">
        <v>2</v>
      </c>
      <c r="D193" s="103">
        <v>3</v>
      </c>
      <c r="E193" s="103">
        <v>1</v>
      </c>
      <c r="F193" s="1">
        <f>+C193*D193*E193</f>
        <v>6</v>
      </c>
      <c r="G193" s="3"/>
    </row>
    <row r="194" spans="2:15" outlineLevel="1">
      <c r="B194" s="1" t="s">
        <v>2372</v>
      </c>
      <c r="C194" s="103">
        <v>5.8</v>
      </c>
      <c r="D194" s="103">
        <v>1</v>
      </c>
      <c r="E194" s="103">
        <v>1</v>
      </c>
      <c r="F194" s="1">
        <f>+C194*D194*E194</f>
        <v>5.8</v>
      </c>
      <c r="G194" s="3"/>
    </row>
    <row r="195" spans="2:15" outlineLevel="1">
      <c r="B195" s="1" t="s">
        <v>2356</v>
      </c>
      <c r="C195" s="103">
        <v>4.2</v>
      </c>
      <c r="D195" s="103">
        <v>1</v>
      </c>
      <c r="E195" s="103">
        <v>1</v>
      </c>
      <c r="F195" s="1">
        <f>+C195*D195*E195</f>
        <v>4.2</v>
      </c>
    </row>
    <row r="196" spans="2:15" outlineLevel="1">
      <c r="B196" s="1" t="s">
        <v>2360</v>
      </c>
      <c r="G196" s="3">
        <f>+SUM(F197:F199)</f>
        <v>98</v>
      </c>
    </row>
    <row r="197" spans="2:15" outlineLevel="1">
      <c r="B197" s="1" t="s">
        <v>2371</v>
      </c>
      <c r="C197" s="103">
        <v>2</v>
      </c>
      <c r="D197" s="103">
        <v>2</v>
      </c>
      <c r="E197" s="103">
        <v>7</v>
      </c>
      <c r="F197" s="1">
        <f>+C197*D197*E197</f>
        <v>28</v>
      </c>
    </row>
    <row r="198" spans="2:15" outlineLevel="1">
      <c r="B198" s="1" t="s">
        <v>2372</v>
      </c>
      <c r="C198" s="103">
        <v>5.8</v>
      </c>
      <c r="D198" s="103">
        <v>1</v>
      </c>
      <c r="E198" s="103">
        <v>7</v>
      </c>
      <c r="F198" s="1">
        <f>+C198*D198*E198</f>
        <v>40.6</v>
      </c>
    </row>
    <row r="199" spans="2:15" outlineLevel="1">
      <c r="B199" s="1" t="s">
        <v>2356</v>
      </c>
      <c r="C199" s="103">
        <v>4.2</v>
      </c>
      <c r="D199" s="103">
        <v>1</v>
      </c>
      <c r="E199" s="103">
        <v>7</v>
      </c>
      <c r="F199" s="1">
        <f>+C199*D199*E199</f>
        <v>29.400000000000002</v>
      </c>
    </row>
    <row r="200" spans="2:15" outlineLevel="1">
      <c r="G200" s="3">
        <f>+SUM(G192:G199)</f>
        <v>114</v>
      </c>
    </row>
    <row r="201" spans="2:15" outlineLevel="1">
      <c r="G201" s="411">
        <f>+ROUNDUP(G200,0)</f>
        <v>114</v>
      </c>
    </row>
    <row r="202" spans="2:15" outlineLevel="1"/>
    <row r="205" spans="2:15">
      <c r="B205" s="3" t="s">
        <v>2376</v>
      </c>
      <c r="K205" s="105" t="s">
        <v>365</v>
      </c>
      <c r="L205" s="105" t="s">
        <v>368</v>
      </c>
      <c r="M205" s="105" t="s">
        <v>33</v>
      </c>
      <c r="N205" s="105" t="s">
        <v>1677</v>
      </c>
      <c r="O205" s="105" t="s">
        <v>51</v>
      </c>
    </row>
    <row r="206" spans="2:15">
      <c r="C206" s="105" t="s">
        <v>1844</v>
      </c>
      <c r="D206" s="105" t="s">
        <v>18</v>
      </c>
      <c r="E206" s="105" t="s">
        <v>2402</v>
      </c>
      <c r="F206" s="105" t="s">
        <v>218</v>
      </c>
      <c r="G206" s="105" t="s">
        <v>59</v>
      </c>
      <c r="H206" s="105" t="s">
        <v>2398</v>
      </c>
      <c r="I206" s="105" t="s">
        <v>17</v>
      </c>
      <c r="K206" s="105" t="s">
        <v>2406</v>
      </c>
      <c r="L206" s="105" t="s">
        <v>2403</v>
      </c>
      <c r="M206" s="410" t="s">
        <v>2404</v>
      </c>
      <c r="N206" s="105" t="s">
        <v>2407</v>
      </c>
      <c r="O206" s="105" t="s">
        <v>2409</v>
      </c>
    </row>
    <row r="207" spans="2:15">
      <c r="B207" s="1" t="s">
        <v>2377</v>
      </c>
      <c r="C207" s="103" t="s">
        <v>33</v>
      </c>
      <c r="D207" s="103">
        <v>11</v>
      </c>
      <c r="E207" s="103">
        <v>0</v>
      </c>
      <c r="F207" s="1">
        <v>2</v>
      </c>
      <c r="G207" s="1">
        <f t="shared" ref="G207:G233" si="17">+SUM(D207:F207)</f>
        <v>13</v>
      </c>
      <c r="H207" s="1">
        <v>1.2</v>
      </c>
      <c r="I207" s="1">
        <f t="shared" ref="I207:I233" si="18">+ROUNDUP(G207*H207,0)</f>
        <v>16</v>
      </c>
      <c r="K207" s="1">
        <f>IF(C207=$K$205,I207,0)</f>
        <v>0</v>
      </c>
      <c r="L207" s="1">
        <f>IF(C207=$L$205,I207,0)</f>
        <v>0</v>
      </c>
      <c r="M207" s="1">
        <f>IF(C207=$M$205,I207,0)</f>
        <v>16</v>
      </c>
      <c r="N207" s="1">
        <f>IF(C207=$N$205,I207,0)</f>
        <v>0</v>
      </c>
      <c r="O207" s="1">
        <f t="shared" ref="O207:O232" si="19">IF(C207=$O$205,I207,0)</f>
        <v>0</v>
      </c>
    </row>
    <row r="208" spans="2:15">
      <c r="B208" s="1" t="s">
        <v>2378</v>
      </c>
      <c r="C208" s="103" t="s">
        <v>368</v>
      </c>
      <c r="D208" s="103">
        <v>11</v>
      </c>
      <c r="E208" s="103">
        <v>12</v>
      </c>
      <c r="F208" s="1">
        <v>5</v>
      </c>
      <c r="G208" s="1">
        <f t="shared" si="17"/>
        <v>28</v>
      </c>
      <c r="H208" s="1">
        <v>1.2</v>
      </c>
      <c r="I208" s="1">
        <f t="shared" si="18"/>
        <v>34</v>
      </c>
      <c r="K208" s="1">
        <f>IF(C208=$K$205,I208,0)</f>
        <v>0</v>
      </c>
      <c r="L208" s="1">
        <f>IF(C208=$L$205,I208,0)</f>
        <v>34</v>
      </c>
      <c r="M208" s="1">
        <f>IF(C208=$M$205,I208,0)</f>
        <v>0</v>
      </c>
      <c r="N208" s="1">
        <f t="shared" ref="N208:N233" si="20">IF(C208=$N$205,I208,0)</f>
        <v>0</v>
      </c>
      <c r="O208" s="1">
        <f t="shared" si="19"/>
        <v>0</v>
      </c>
    </row>
    <row r="209" spans="2:15">
      <c r="B209" s="1" t="s">
        <v>2379</v>
      </c>
      <c r="C209" s="103" t="s">
        <v>365</v>
      </c>
      <c r="D209" s="103">
        <v>11</v>
      </c>
      <c r="E209" s="103">
        <v>11</v>
      </c>
      <c r="F209" s="1">
        <v>5</v>
      </c>
      <c r="G209" s="1">
        <f t="shared" si="17"/>
        <v>27</v>
      </c>
      <c r="H209" s="1">
        <v>1.2</v>
      </c>
      <c r="I209" s="1">
        <f t="shared" si="18"/>
        <v>33</v>
      </c>
      <c r="K209" s="1">
        <f t="shared" ref="K209" si="21">IF(C209=$K$205,I209,0)</f>
        <v>33</v>
      </c>
      <c r="L209" s="1">
        <f t="shared" ref="L209" si="22">IF(C209=$L$205,I209,0)</f>
        <v>0</v>
      </c>
      <c r="M209" s="1">
        <f t="shared" ref="M209" si="23">IF(C209=$M$205,I209,0)</f>
        <v>0</v>
      </c>
      <c r="N209" s="1">
        <f t="shared" si="20"/>
        <v>0</v>
      </c>
      <c r="O209" s="1">
        <f t="shared" si="19"/>
        <v>0</v>
      </c>
    </row>
    <row r="210" spans="2:15">
      <c r="B210" s="1" t="s">
        <v>2380</v>
      </c>
      <c r="C210" s="103" t="s">
        <v>368</v>
      </c>
      <c r="D210" s="103">
        <v>11</v>
      </c>
      <c r="E210" s="103">
        <v>4</v>
      </c>
      <c r="F210" s="1">
        <v>5</v>
      </c>
      <c r="G210" s="1">
        <f t="shared" si="17"/>
        <v>20</v>
      </c>
      <c r="H210" s="1">
        <v>1.2</v>
      </c>
      <c r="I210" s="1">
        <f t="shared" si="18"/>
        <v>24</v>
      </c>
      <c r="K210" s="1">
        <f t="shared" ref="K210:K233" si="24">IF(C210=$K$205,I210,0)</f>
        <v>0</v>
      </c>
      <c r="L210" s="1">
        <f t="shared" ref="L210:L233" si="25">IF(C210=$L$205,I210,0)</f>
        <v>24</v>
      </c>
      <c r="M210" s="1">
        <f t="shared" ref="M210:M233" si="26">IF(C210=$M$205,I210,0)</f>
        <v>0</v>
      </c>
      <c r="N210" s="1">
        <f t="shared" si="20"/>
        <v>0</v>
      </c>
      <c r="O210" s="1">
        <f t="shared" si="19"/>
        <v>0</v>
      </c>
    </row>
    <row r="211" spans="2:15">
      <c r="B211" s="1" t="s">
        <v>2381</v>
      </c>
      <c r="C211" s="103" t="s">
        <v>365</v>
      </c>
      <c r="D211" s="103">
        <v>11</v>
      </c>
      <c r="E211" s="103">
        <v>4</v>
      </c>
      <c r="F211" s="1">
        <v>5</v>
      </c>
      <c r="G211" s="1">
        <f t="shared" si="17"/>
        <v>20</v>
      </c>
      <c r="H211" s="1">
        <v>1.2</v>
      </c>
      <c r="I211" s="1">
        <f t="shared" si="18"/>
        <v>24</v>
      </c>
      <c r="K211" s="1">
        <f t="shared" si="24"/>
        <v>24</v>
      </c>
      <c r="L211" s="1">
        <f t="shared" si="25"/>
        <v>0</v>
      </c>
      <c r="M211" s="1">
        <f t="shared" si="26"/>
        <v>0</v>
      </c>
      <c r="N211" s="1">
        <f t="shared" si="20"/>
        <v>0</v>
      </c>
      <c r="O211" s="1">
        <f t="shared" si="19"/>
        <v>0</v>
      </c>
    </row>
    <row r="212" spans="2:15">
      <c r="B212" s="1" t="s">
        <v>2382</v>
      </c>
      <c r="C212" s="103" t="s">
        <v>368</v>
      </c>
      <c r="D212" s="103">
        <v>11</v>
      </c>
      <c r="E212" s="103">
        <v>12</v>
      </c>
      <c r="F212" s="1">
        <v>8</v>
      </c>
      <c r="G212" s="1">
        <f t="shared" si="17"/>
        <v>31</v>
      </c>
      <c r="H212" s="1">
        <v>1.2</v>
      </c>
      <c r="I212" s="1">
        <f t="shared" si="18"/>
        <v>38</v>
      </c>
      <c r="K212" s="1">
        <f t="shared" si="24"/>
        <v>0</v>
      </c>
      <c r="L212" s="1">
        <f t="shared" si="25"/>
        <v>38</v>
      </c>
      <c r="M212" s="1">
        <f t="shared" si="26"/>
        <v>0</v>
      </c>
      <c r="N212" s="1">
        <f t="shared" si="20"/>
        <v>0</v>
      </c>
      <c r="O212" s="1">
        <f t="shared" si="19"/>
        <v>0</v>
      </c>
    </row>
    <row r="213" spans="2:15">
      <c r="B213" s="1" t="s">
        <v>2383</v>
      </c>
      <c r="C213" s="103" t="s">
        <v>365</v>
      </c>
      <c r="D213" s="103">
        <v>11</v>
      </c>
      <c r="E213" s="103">
        <v>11</v>
      </c>
      <c r="F213" s="1">
        <v>8</v>
      </c>
      <c r="G213" s="1">
        <f t="shared" si="17"/>
        <v>30</v>
      </c>
      <c r="H213" s="1">
        <v>1.2</v>
      </c>
      <c r="I213" s="1">
        <f t="shared" si="18"/>
        <v>36</v>
      </c>
      <c r="K213" s="1">
        <f t="shared" si="24"/>
        <v>36</v>
      </c>
      <c r="L213" s="1">
        <f t="shared" si="25"/>
        <v>0</v>
      </c>
      <c r="M213" s="1">
        <f t="shared" si="26"/>
        <v>0</v>
      </c>
      <c r="N213" s="1">
        <f t="shared" si="20"/>
        <v>0</v>
      </c>
      <c r="O213" s="1">
        <f t="shared" si="19"/>
        <v>0</v>
      </c>
    </row>
    <row r="214" spans="2:15">
      <c r="B214" s="1" t="s">
        <v>2384</v>
      </c>
      <c r="C214" s="103" t="s">
        <v>368</v>
      </c>
      <c r="D214" s="103">
        <v>11</v>
      </c>
      <c r="E214" s="103">
        <v>4</v>
      </c>
      <c r="F214" s="1">
        <v>8</v>
      </c>
      <c r="G214" s="1">
        <f t="shared" si="17"/>
        <v>23</v>
      </c>
      <c r="H214" s="1">
        <v>1.2</v>
      </c>
      <c r="I214" s="1">
        <f t="shared" si="18"/>
        <v>28</v>
      </c>
      <c r="K214" s="1">
        <f t="shared" si="24"/>
        <v>0</v>
      </c>
      <c r="L214" s="1">
        <f t="shared" si="25"/>
        <v>28</v>
      </c>
      <c r="M214" s="1">
        <f t="shared" si="26"/>
        <v>0</v>
      </c>
      <c r="N214" s="1">
        <f t="shared" si="20"/>
        <v>0</v>
      </c>
      <c r="O214" s="1">
        <f t="shared" si="19"/>
        <v>0</v>
      </c>
    </row>
    <row r="215" spans="2:15">
      <c r="B215" s="1" t="s">
        <v>2385</v>
      </c>
      <c r="C215" s="103" t="s">
        <v>365</v>
      </c>
      <c r="D215" s="103">
        <v>11</v>
      </c>
      <c r="E215" s="103">
        <v>4</v>
      </c>
      <c r="F215" s="1">
        <v>8</v>
      </c>
      <c r="G215" s="1">
        <f t="shared" si="17"/>
        <v>23</v>
      </c>
      <c r="H215" s="1">
        <v>1.2</v>
      </c>
      <c r="I215" s="1">
        <f t="shared" si="18"/>
        <v>28</v>
      </c>
      <c r="K215" s="1">
        <f t="shared" si="24"/>
        <v>28</v>
      </c>
      <c r="L215" s="1">
        <f t="shared" si="25"/>
        <v>0</v>
      </c>
      <c r="M215" s="1">
        <f t="shared" si="26"/>
        <v>0</v>
      </c>
      <c r="N215" s="1">
        <f t="shared" si="20"/>
        <v>0</v>
      </c>
      <c r="O215" s="1">
        <f t="shared" si="19"/>
        <v>0</v>
      </c>
    </row>
    <row r="216" spans="2:15">
      <c r="B216" s="1" t="s">
        <v>2386</v>
      </c>
      <c r="C216" s="103" t="s">
        <v>368</v>
      </c>
      <c r="D216" s="103">
        <v>11</v>
      </c>
      <c r="E216" s="103">
        <v>12</v>
      </c>
      <c r="F216" s="1">
        <v>11</v>
      </c>
      <c r="G216" s="1">
        <f t="shared" si="17"/>
        <v>34</v>
      </c>
      <c r="H216" s="1">
        <v>1.2</v>
      </c>
      <c r="I216" s="1">
        <f t="shared" si="18"/>
        <v>41</v>
      </c>
      <c r="K216" s="1">
        <f t="shared" si="24"/>
        <v>0</v>
      </c>
      <c r="L216" s="1">
        <f t="shared" si="25"/>
        <v>41</v>
      </c>
      <c r="M216" s="1">
        <f t="shared" si="26"/>
        <v>0</v>
      </c>
      <c r="N216" s="1">
        <f t="shared" si="20"/>
        <v>0</v>
      </c>
      <c r="O216" s="1">
        <f t="shared" si="19"/>
        <v>0</v>
      </c>
    </row>
    <row r="217" spans="2:15">
      <c r="B217" s="1" t="s">
        <v>2387</v>
      </c>
      <c r="C217" s="103" t="s">
        <v>365</v>
      </c>
      <c r="D217" s="103">
        <v>11</v>
      </c>
      <c r="E217" s="103">
        <v>11</v>
      </c>
      <c r="F217" s="1">
        <v>11</v>
      </c>
      <c r="G217" s="1">
        <f t="shared" si="17"/>
        <v>33</v>
      </c>
      <c r="H217" s="1">
        <v>1.2</v>
      </c>
      <c r="I217" s="1">
        <f t="shared" si="18"/>
        <v>40</v>
      </c>
      <c r="K217" s="1">
        <f t="shared" si="24"/>
        <v>40</v>
      </c>
      <c r="L217" s="1">
        <f t="shared" si="25"/>
        <v>0</v>
      </c>
      <c r="M217" s="1">
        <f t="shared" si="26"/>
        <v>0</v>
      </c>
      <c r="N217" s="1">
        <f t="shared" si="20"/>
        <v>0</v>
      </c>
      <c r="O217" s="1">
        <f t="shared" si="19"/>
        <v>0</v>
      </c>
    </row>
    <row r="218" spans="2:15">
      <c r="B218" s="1" t="s">
        <v>2388</v>
      </c>
      <c r="C218" s="103" t="s">
        <v>368</v>
      </c>
      <c r="D218" s="103">
        <v>11</v>
      </c>
      <c r="E218" s="103">
        <v>4</v>
      </c>
      <c r="F218" s="1">
        <v>11</v>
      </c>
      <c r="G218" s="1">
        <f t="shared" si="17"/>
        <v>26</v>
      </c>
      <c r="H218" s="1">
        <v>1.2</v>
      </c>
      <c r="I218" s="1">
        <f t="shared" si="18"/>
        <v>32</v>
      </c>
      <c r="K218" s="1">
        <f t="shared" si="24"/>
        <v>0</v>
      </c>
      <c r="L218" s="1">
        <f t="shared" si="25"/>
        <v>32</v>
      </c>
      <c r="M218" s="1">
        <f t="shared" si="26"/>
        <v>0</v>
      </c>
      <c r="N218" s="1">
        <f t="shared" si="20"/>
        <v>0</v>
      </c>
      <c r="O218" s="1">
        <f t="shared" si="19"/>
        <v>0</v>
      </c>
    </row>
    <row r="219" spans="2:15">
      <c r="B219" s="1" t="s">
        <v>2389</v>
      </c>
      <c r="C219" s="103" t="s">
        <v>365</v>
      </c>
      <c r="D219" s="103">
        <v>11</v>
      </c>
      <c r="E219" s="103">
        <v>4</v>
      </c>
      <c r="F219" s="1">
        <v>11</v>
      </c>
      <c r="G219" s="1">
        <f t="shared" si="17"/>
        <v>26</v>
      </c>
      <c r="H219" s="1">
        <v>1.2</v>
      </c>
      <c r="I219" s="1">
        <f t="shared" si="18"/>
        <v>32</v>
      </c>
      <c r="K219" s="1">
        <f t="shared" si="24"/>
        <v>32</v>
      </c>
      <c r="L219" s="1">
        <f t="shared" si="25"/>
        <v>0</v>
      </c>
      <c r="M219" s="1">
        <f t="shared" si="26"/>
        <v>0</v>
      </c>
      <c r="N219" s="1">
        <f t="shared" si="20"/>
        <v>0</v>
      </c>
      <c r="O219" s="1">
        <f t="shared" si="19"/>
        <v>0</v>
      </c>
    </row>
    <row r="220" spans="2:15">
      <c r="B220" s="1" t="s">
        <v>2390</v>
      </c>
      <c r="C220" s="103" t="s">
        <v>368</v>
      </c>
      <c r="D220" s="103">
        <v>11</v>
      </c>
      <c r="E220" s="103">
        <v>12</v>
      </c>
      <c r="F220" s="1">
        <v>13.5</v>
      </c>
      <c r="G220" s="1">
        <f t="shared" si="17"/>
        <v>36.5</v>
      </c>
      <c r="H220" s="1">
        <v>1.2</v>
      </c>
      <c r="I220" s="1">
        <f t="shared" si="18"/>
        <v>44</v>
      </c>
      <c r="K220" s="1">
        <f t="shared" si="24"/>
        <v>0</v>
      </c>
      <c r="L220" s="1">
        <f t="shared" si="25"/>
        <v>44</v>
      </c>
      <c r="M220" s="1">
        <f t="shared" si="26"/>
        <v>0</v>
      </c>
      <c r="N220" s="1">
        <f t="shared" si="20"/>
        <v>0</v>
      </c>
      <c r="O220" s="1">
        <f t="shared" si="19"/>
        <v>0</v>
      </c>
    </row>
    <row r="221" spans="2:15">
      <c r="B221" s="1" t="s">
        <v>2391</v>
      </c>
      <c r="C221" s="103" t="s">
        <v>365</v>
      </c>
      <c r="D221" s="103">
        <v>11</v>
      </c>
      <c r="E221" s="103">
        <v>11</v>
      </c>
      <c r="F221" s="1">
        <v>13.5</v>
      </c>
      <c r="G221" s="1">
        <f t="shared" si="17"/>
        <v>35.5</v>
      </c>
      <c r="H221" s="1">
        <v>1.2</v>
      </c>
      <c r="I221" s="1">
        <f t="shared" si="18"/>
        <v>43</v>
      </c>
      <c r="K221" s="1">
        <f t="shared" si="24"/>
        <v>43</v>
      </c>
      <c r="L221" s="1">
        <f t="shared" si="25"/>
        <v>0</v>
      </c>
      <c r="M221" s="1">
        <f t="shared" si="26"/>
        <v>0</v>
      </c>
      <c r="N221" s="1">
        <f t="shared" si="20"/>
        <v>0</v>
      </c>
      <c r="O221" s="1">
        <f t="shared" si="19"/>
        <v>0</v>
      </c>
    </row>
    <row r="222" spans="2:15">
      <c r="B222" s="1" t="s">
        <v>2392</v>
      </c>
      <c r="C222" s="103" t="s">
        <v>368</v>
      </c>
      <c r="D222" s="103">
        <v>11</v>
      </c>
      <c r="E222" s="103">
        <v>4</v>
      </c>
      <c r="F222" s="1">
        <v>13.5</v>
      </c>
      <c r="G222" s="1">
        <f t="shared" si="17"/>
        <v>28.5</v>
      </c>
      <c r="H222" s="1">
        <v>1.2</v>
      </c>
      <c r="I222" s="1">
        <f t="shared" si="18"/>
        <v>35</v>
      </c>
      <c r="K222" s="1">
        <f t="shared" si="24"/>
        <v>0</v>
      </c>
      <c r="L222" s="1">
        <f t="shared" si="25"/>
        <v>35</v>
      </c>
      <c r="M222" s="1">
        <f t="shared" si="26"/>
        <v>0</v>
      </c>
      <c r="N222" s="1">
        <f t="shared" si="20"/>
        <v>0</v>
      </c>
      <c r="O222" s="1">
        <f t="shared" si="19"/>
        <v>0</v>
      </c>
    </row>
    <row r="223" spans="2:15">
      <c r="B223" s="1" t="s">
        <v>2393</v>
      </c>
      <c r="C223" s="103" t="s">
        <v>365</v>
      </c>
      <c r="D223" s="103">
        <v>11</v>
      </c>
      <c r="E223" s="103">
        <v>4</v>
      </c>
      <c r="F223" s="1">
        <v>13.5</v>
      </c>
      <c r="G223" s="1">
        <f t="shared" si="17"/>
        <v>28.5</v>
      </c>
      <c r="H223" s="1">
        <v>1.2</v>
      </c>
      <c r="I223" s="1">
        <f t="shared" si="18"/>
        <v>35</v>
      </c>
      <c r="K223" s="1">
        <f t="shared" si="24"/>
        <v>35</v>
      </c>
      <c r="L223" s="1">
        <f t="shared" si="25"/>
        <v>0</v>
      </c>
      <c r="M223" s="1">
        <f t="shared" si="26"/>
        <v>0</v>
      </c>
      <c r="N223" s="1">
        <f t="shared" si="20"/>
        <v>0</v>
      </c>
      <c r="O223" s="1">
        <f t="shared" si="19"/>
        <v>0</v>
      </c>
    </row>
    <row r="224" spans="2:15">
      <c r="B224" s="1" t="s">
        <v>2394</v>
      </c>
      <c r="C224" s="103" t="s">
        <v>368</v>
      </c>
      <c r="D224" s="103">
        <v>11</v>
      </c>
      <c r="E224" s="103">
        <v>12</v>
      </c>
      <c r="F224" s="1">
        <v>16.5</v>
      </c>
      <c r="G224" s="1">
        <f t="shared" si="17"/>
        <v>39.5</v>
      </c>
      <c r="H224" s="1">
        <v>1.2</v>
      </c>
      <c r="I224" s="1">
        <f t="shared" si="18"/>
        <v>48</v>
      </c>
      <c r="K224" s="1">
        <f t="shared" si="24"/>
        <v>0</v>
      </c>
      <c r="L224" s="1">
        <f t="shared" si="25"/>
        <v>48</v>
      </c>
      <c r="M224" s="1">
        <f t="shared" si="26"/>
        <v>0</v>
      </c>
      <c r="N224" s="1">
        <f t="shared" si="20"/>
        <v>0</v>
      </c>
      <c r="O224" s="1">
        <f t="shared" si="19"/>
        <v>0</v>
      </c>
    </row>
    <row r="225" spans="2:15">
      <c r="B225" s="1" t="s">
        <v>2395</v>
      </c>
      <c r="C225" s="103" t="s">
        <v>365</v>
      </c>
      <c r="D225" s="103">
        <v>11</v>
      </c>
      <c r="E225" s="103">
        <v>11</v>
      </c>
      <c r="F225" s="1">
        <v>16.5</v>
      </c>
      <c r="G225" s="1">
        <f t="shared" si="17"/>
        <v>38.5</v>
      </c>
      <c r="H225" s="1">
        <v>1.2</v>
      </c>
      <c r="I225" s="1">
        <f t="shared" si="18"/>
        <v>47</v>
      </c>
      <c r="K225" s="1">
        <f t="shared" si="24"/>
        <v>47</v>
      </c>
      <c r="L225" s="1">
        <f t="shared" si="25"/>
        <v>0</v>
      </c>
      <c r="M225" s="1">
        <f t="shared" si="26"/>
        <v>0</v>
      </c>
      <c r="N225" s="1">
        <f t="shared" si="20"/>
        <v>0</v>
      </c>
      <c r="O225" s="1">
        <f t="shared" si="19"/>
        <v>0</v>
      </c>
    </row>
    <row r="226" spans="2:15">
      <c r="B226" s="1" t="s">
        <v>2396</v>
      </c>
      <c r="C226" s="103" t="s">
        <v>368</v>
      </c>
      <c r="D226" s="103">
        <v>11</v>
      </c>
      <c r="E226" s="103">
        <v>4</v>
      </c>
      <c r="F226" s="1">
        <v>16.5</v>
      </c>
      <c r="G226" s="1">
        <f t="shared" si="17"/>
        <v>31.5</v>
      </c>
      <c r="H226" s="1">
        <v>1.2</v>
      </c>
      <c r="I226" s="1">
        <f t="shared" si="18"/>
        <v>38</v>
      </c>
      <c r="K226" s="1">
        <f t="shared" si="24"/>
        <v>0</v>
      </c>
      <c r="L226" s="1">
        <f t="shared" si="25"/>
        <v>38</v>
      </c>
      <c r="M226" s="1">
        <f t="shared" si="26"/>
        <v>0</v>
      </c>
      <c r="N226" s="1">
        <f t="shared" si="20"/>
        <v>0</v>
      </c>
      <c r="O226" s="1">
        <f t="shared" si="19"/>
        <v>0</v>
      </c>
    </row>
    <row r="227" spans="2:15">
      <c r="B227" s="1" t="s">
        <v>2397</v>
      </c>
      <c r="C227" s="103" t="s">
        <v>365</v>
      </c>
      <c r="D227" s="103">
        <v>11</v>
      </c>
      <c r="E227" s="103">
        <v>4</v>
      </c>
      <c r="F227" s="1">
        <v>16.5</v>
      </c>
      <c r="G227" s="1">
        <f t="shared" si="17"/>
        <v>31.5</v>
      </c>
      <c r="H227" s="1">
        <v>1.2</v>
      </c>
      <c r="I227" s="1">
        <f t="shared" si="18"/>
        <v>38</v>
      </c>
      <c r="K227" s="1">
        <f t="shared" si="24"/>
        <v>38</v>
      </c>
      <c r="L227" s="1">
        <f t="shared" si="25"/>
        <v>0</v>
      </c>
      <c r="M227" s="1">
        <f t="shared" si="26"/>
        <v>0</v>
      </c>
      <c r="N227" s="1">
        <f t="shared" si="20"/>
        <v>0</v>
      </c>
      <c r="O227" s="1">
        <f t="shared" si="19"/>
        <v>0</v>
      </c>
    </row>
    <row r="228" spans="2:15">
      <c r="B228" s="1" t="s">
        <v>2399</v>
      </c>
      <c r="C228" s="103" t="s">
        <v>368</v>
      </c>
      <c r="D228" s="103">
        <v>11</v>
      </c>
      <c r="E228" s="103">
        <v>12</v>
      </c>
      <c r="F228" s="1">
        <v>19</v>
      </c>
      <c r="G228" s="1">
        <f t="shared" si="17"/>
        <v>42</v>
      </c>
      <c r="H228" s="1">
        <v>1.2</v>
      </c>
      <c r="I228" s="1">
        <f t="shared" si="18"/>
        <v>51</v>
      </c>
      <c r="K228" s="1">
        <f t="shared" si="24"/>
        <v>0</v>
      </c>
      <c r="L228" s="1">
        <f t="shared" si="25"/>
        <v>51</v>
      </c>
      <c r="M228" s="1">
        <f t="shared" si="26"/>
        <v>0</v>
      </c>
      <c r="N228" s="1">
        <f t="shared" si="20"/>
        <v>0</v>
      </c>
      <c r="O228" s="1">
        <f t="shared" si="19"/>
        <v>0</v>
      </c>
    </row>
    <row r="229" spans="2:15">
      <c r="B229" s="1" t="s">
        <v>2400</v>
      </c>
      <c r="C229" s="103" t="s">
        <v>365</v>
      </c>
      <c r="D229" s="103">
        <v>11</v>
      </c>
      <c r="E229" s="103">
        <v>11</v>
      </c>
      <c r="F229" s="1">
        <v>19</v>
      </c>
      <c r="G229" s="1">
        <f t="shared" si="17"/>
        <v>41</v>
      </c>
      <c r="H229" s="1">
        <v>1.2</v>
      </c>
      <c r="I229" s="1">
        <f t="shared" si="18"/>
        <v>50</v>
      </c>
      <c r="K229" s="1">
        <f t="shared" si="24"/>
        <v>50</v>
      </c>
      <c r="L229" s="1">
        <f t="shared" si="25"/>
        <v>0</v>
      </c>
      <c r="M229" s="1">
        <f t="shared" si="26"/>
        <v>0</v>
      </c>
      <c r="N229" s="1">
        <f t="shared" si="20"/>
        <v>0</v>
      </c>
      <c r="O229" s="1">
        <f t="shared" si="19"/>
        <v>0</v>
      </c>
    </row>
    <row r="230" spans="2:15">
      <c r="B230" s="1" t="s">
        <v>2401</v>
      </c>
      <c r="C230" s="103" t="s">
        <v>368</v>
      </c>
      <c r="D230" s="103">
        <v>11</v>
      </c>
      <c r="E230" s="103">
        <v>3</v>
      </c>
      <c r="F230" s="1">
        <v>19</v>
      </c>
      <c r="G230" s="1">
        <f t="shared" si="17"/>
        <v>33</v>
      </c>
      <c r="H230" s="1">
        <v>1.2</v>
      </c>
      <c r="I230" s="1">
        <f t="shared" si="18"/>
        <v>40</v>
      </c>
      <c r="K230" s="1">
        <f t="shared" si="24"/>
        <v>0</v>
      </c>
      <c r="L230" s="1">
        <f t="shared" si="25"/>
        <v>40</v>
      </c>
      <c r="M230" s="1">
        <f t="shared" si="26"/>
        <v>0</v>
      </c>
      <c r="N230" s="1">
        <f t="shared" si="20"/>
        <v>0</v>
      </c>
      <c r="O230" s="1">
        <f t="shared" si="19"/>
        <v>0</v>
      </c>
    </row>
    <row r="231" spans="2:15">
      <c r="B231" s="1" t="s">
        <v>2405</v>
      </c>
      <c r="C231" s="103" t="s">
        <v>1677</v>
      </c>
      <c r="D231" s="103">
        <v>2</v>
      </c>
      <c r="E231" s="103">
        <v>3</v>
      </c>
      <c r="F231" s="1">
        <v>25</v>
      </c>
      <c r="G231" s="1">
        <f t="shared" si="17"/>
        <v>30</v>
      </c>
      <c r="H231" s="1">
        <v>1.2</v>
      </c>
      <c r="I231" s="1">
        <f t="shared" si="18"/>
        <v>36</v>
      </c>
      <c r="K231" s="1">
        <f t="shared" si="24"/>
        <v>0</v>
      </c>
      <c r="L231" s="1">
        <f t="shared" si="25"/>
        <v>0</v>
      </c>
      <c r="M231" s="1">
        <f t="shared" si="26"/>
        <v>0</v>
      </c>
      <c r="N231" s="1">
        <f t="shared" si="20"/>
        <v>36</v>
      </c>
      <c r="O231" s="1">
        <f t="shared" si="19"/>
        <v>0</v>
      </c>
    </row>
    <row r="232" spans="2:15">
      <c r="B232" s="1" t="s">
        <v>2408</v>
      </c>
      <c r="C232" s="103" t="s">
        <v>51</v>
      </c>
      <c r="D232" s="103">
        <v>4.5</v>
      </c>
      <c r="E232" s="103">
        <v>0</v>
      </c>
      <c r="F232" s="1">
        <v>2</v>
      </c>
      <c r="G232" s="1">
        <f t="shared" si="17"/>
        <v>6.5</v>
      </c>
      <c r="H232" s="1">
        <v>1.2</v>
      </c>
      <c r="I232" s="1">
        <f t="shared" si="18"/>
        <v>8</v>
      </c>
      <c r="K232" s="1">
        <f t="shared" si="24"/>
        <v>0</v>
      </c>
      <c r="L232" s="1">
        <f t="shared" si="25"/>
        <v>0</v>
      </c>
      <c r="M232" s="1">
        <f t="shared" si="26"/>
        <v>0</v>
      </c>
      <c r="N232" s="1">
        <f t="shared" si="20"/>
        <v>0</v>
      </c>
      <c r="O232" s="1">
        <f t="shared" si="19"/>
        <v>8</v>
      </c>
    </row>
    <row r="233" spans="2:15">
      <c r="B233" s="1" t="s">
        <v>2410</v>
      </c>
      <c r="C233" s="103" t="s">
        <v>51</v>
      </c>
      <c r="D233" s="103">
        <v>2</v>
      </c>
      <c r="E233" s="103">
        <v>9</v>
      </c>
      <c r="F233" s="1">
        <v>25</v>
      </c>
      <c r="G233" s="1">
        <f t="shared" si="17"/>
        <v>36</v>
      </c>
      <c r="H233" s="1">
        <v>1.2</v>
      </c>
      <c r="I233" s="1">
        <f t="shared" si="18"/>
        <v>44</v>
      </c>
      <c r="K233" s="1">
        <f t="shared" si="24"/>
        <v>0</v>
      </c>
      <c r="L233" s="1">
        <f t="shared" si="25"/>
        <v>0</v>
      </c>
      <c r="M233" s="1">
        <f t="shared" si="26"/>
        <v>0</v>
      </c>
      <c r="N233" s="1">
        <f t="shared" si="20"/>
        <v>0</v>
      </c>
      <c r="O233" s="1">
        <f>IF(C233=$O$205,I233,0)</f>
        <v>44</v>
      </c>
    </row>
    <row r="234" spans="2:15">
      <c r="F234" s="3">
        <f>+SUM(F207:F233)</f>
        <v>327</v>
      </c>
      <c r="K234" s="1664">
        <f t="shared" ref="K234:M234" si="27">+SUM(K207:K233)</f>
        <v>406</v>
      </c>
      <c r="L234" s="1664">
        <f t="shared" si="27"/>
        <v>453</v>
      </c>
      <c r="M234" s="1664">
        <f t="shared" si="27"/>
        <v>16</v>
      </c>
      <c r="N234" s="1664">
        <f>+SUM(N207:N233)</f>
        <v>36</v>
      </c>
      <c r="O234" s="1664">
        <f>+SUM(O207:O233)</f>
        <v>52</v>
      </c>
    </row>
    <row r="235" spans="2:15">
      <c r="F235" s="1">
        <v>1.1499999999999999</v>
      </c>
      <c r="K235" s="811">
        <v>3</v>
      </c>
      <c r="L235" s="811">
        <v>5</v>
      </c>
      <c r="M235" s="811">
        <v>5</v>
      </c>
      <c r="N235" s="811">
        <v>5</v>
      </c>
      <c r="O235" s="1">
        <v>3</v>
      </c>
    </row>
    <row r="236" spans="2:15">
      <c r="F236" s="1">
        <f>+F234*F235</f>
        <v>376.04999999999995</v>
      </c>
      <c r="K236" s="1664">
        <f>+K234*K235</f>
        <v>1218</v>
      </c>
      <c r="L236" s="1664">
        <f>+L234*L235</f>
        <v>2265</v>
      </c>
      <c r="M236" s="1664">
        <f>+M234*M235</f>
        <v>80</v>
      </c>
      <c r="N236" s="1664">
        <f>+N234*N235</f>
        <v>180</v>
      </c>
      <c r="O236" s="1664">
        <f>+O234*O235</f>
        <v>156</v>
      </c>
    </row>
    <row r="237" spans="2:15">
      <c r="F237" s="357">
        <v>3</v>
      </c>
    </row>
    <row r="238" spans="2:15">
      <c r="F238" s="411">
        <f>+ROUNDUP(F236/F237,0)</f>
        <v>126</v>
      </c>
      <c r="G238" s="874" t="s">
        <v>2411</v>
      </c>
    </row>
    <row r="241" spans="2:6">
      <c r="B241" s="98" t="s">
        <v>2415</v>
      </c>
      <c r="C241" s="792" t="s">
        <v>635</v>
      </c>
      <c r="D241" s="792" t="s">
        <v>218</v>
      </c>
      <c r="E241" s="792" t="s">
        <v>636</v>
      </c>
      <c r="F241" s="16"/>
    </row>
    <row r="242" spans="2:6">
      <c r="B242" s="16" t="s">
        <v>2416</v>
      </c>
      <c r="C242" s="16">
        <v>1</v>
      </c>
      <c r="D242" s="16">
        <f>+SUM(F208:F230)/2</f>
        <v>136.5</v>
      </c>
      <c r="E242" s="16">
        <f>+C242*D242</f>
        <v>136.5</v>
      </c>
      <c r="F242" s="16"/>
    </row>
    <row r="243" spans="2:6">
      <c r="B243" s="16"/>
      <c r="C243" s="16"/>
      <c r="D243" s="98">
        <f>SUM(D242:D242)</f>
        <v>136.5</v>
      </c>
      <c r="E243" s="98">
        <f>SUM(E242:E242)</f>
        <v>136.5</v>
      </c>
      <c r="F243" s="16"/>
    </row>
    <row r="244" spans="2:6">
      <c r="B244" s="539"/>
      <c r="C244" s="16"/>
      <c r="D244" s="16"/>
      <c r="E244" s="16">
        <f>+E243*F244</f>
        <v>156.97499999999999</v>
      </c>
      <c r="F244" s="16">
        <v>1.1499999999999999</v>
      </c>
    </row>
    <row r="245" spans="2:6">
      <c r="B245" s="539"/>
      <c r="C245" s="16"/>
      <c r="D245" s="444" t="s">
        <v>2411</v>
      </c>
      <c r="E245" s="411">
        <f>+ROUNDUP(E244/F245,0)</f>
        <v>53</v>
      </c>
      <c r="F245" s="16">
        <v>3</v>
      </c>
    </row>
    <row r="246" spans="2:6">
      <c r="B246" s="539"/>
      <c r="C246" s="16"/>
      <c r="D246" s="16"/>
      <c r="E246" s="16"/>
      <c r="F246" s="16"/>
    </row>
    <row r="247" spans="2:6">
      <c r="B247" s="539"/>
      <c r="C247" s="16"/>
      <c r="D247" s="16"/>
      <c r="E247" s="16"/>
      <c r="F247" s="16"/>
    </row>
    <row r="248" spans="2:6">
      <c r="B248" s="610"/>
      <c r="C248" s="16"/>
    </row>
    <row r="249" spans="2:6">
      <c r="B249" s="610"/>
      <c r="C249" s="16"/>
    </row>
    <row r="250" spans="2:6">
      <c r="B250" s="610"/>
      <c r="C250" s="16"/>
    </row>
    <row r="255" spans="2:6">
      <c r="B255" s="3"/>
    </row>
    <row r="256" spans="2:6">
      <c r="C256" s="16"/>
      <c r="D256" s="16"/>
    </row>
    <row r="257" spans="3:4">
      <c r="C257" s="16"/>
      <c r="D257" s="16"/>
    </row>
  </sheetData>
  <phoneticPr fontId="72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878E-57B9-41C8-9834-59D56A75FDA2}">
  <sheetPr>
    <tabColor rgb="FF92D050"/>
  </sheetPr>
  <dimension ref="B1:P31"/>
  <sheetViews>
    <sheetView workbookViewId="0">
      <selection activeCell="J7" sqref="J7"/>
    </sheetView>
  </sheetViews>
  <sheetFormatPr defaultColWidth="11.54296875" defaultRowHeight="13"/>
  <cols>
    <col min="1" max="1" width="7.54296875" style="1" customWidth="1"/>
    <col min="2" max="2" width="74.54296875" style="1" bestFit="1" customWidth="1"/>
    <col min="3" max="3" width="4.7265625" style="103" customWidth="1"/>
    <col min="4" max="4" width="6.54296875" style="1" bestFit="1" customWidth="1"/>
    <col min="5" max="5" width="12.453125" style="1" bestFit="1" customWidth="1"/>
    <col min="6" max="6" width="13.7265625" style="1" bestFit="1" customWidth="1"/>
    <col min="7" max="7" width="12.7265625" style="1" bestFit="1" customWidth="1"/>
    <col min="8" max="8" width="11.54296875" style="1"/>
    <col min="9" max="9" width="22.1796875" style="1" bestFit="1" customWidth="1"/>
    <col min="10" max="10" width="11" style="1" bestFit="1" customWidth="1"/>
    <col min="11" max="14" width="9.81640625" style="1" bestFit="1" customWidth="1"/>
    <col min="15" max="15" width="12.7265625" style="1" bestFit="1" customWidth="1"/>
    <col min="16" max="16384" width="11.54296875" style="1"/>
  </cols>
  <sheetData>
    <row r="1" spans="2:16">
      <c r="B1" s="1" t="s">
        <v>525</v>
      </c>
    </row>
    <row r="2" spans="2:16">
      <c r="G2" s="392"/>
      <c r="H2" s="358"/>
      <c r="I2" s="360"/>
      <c r="K2" s="738">
        <f>+'P.MO 06.25'!B4</f>
        <v>94177.13788353886</v>
      </c>
      <c r="L2" s="738">
        <f>+'P.MO 06.25'!B5</f>
        <v>84612.512709566407</v>
      </c>
      <c r="M2" s="738">
        <f>+'P.MO 06.25'!B6</f>
        <v>72132.138365590115</v>
      </c>
      <c r="N2" s="738">
        <f>+'P.MO 06.25'!B7</f>
        <v>67240.498860267617</v>
      </c>
      <c r="O2" s="786">
        <v>1.5</v>
      </c>
    </row>
    <row r="3" spans="2:16">
      <c r="B3" s="3" t="s">
        <v>41</v>
      </c>
      <c r="C3" s="105" t="s">
        <v>523</v>
      </c>
      <c r="D3" s="3" t="s">
        <v>43</v>
      </c>
      <c r="E3" s="3" t="s">
        <v>526</v>
      </c>
      <c r="F3" s="3" t="s">
        <v>17</v>
      </c>
      <c r="I3" s="279" t="s">
        <v>527</v>
      </c>
      <c r="J3" s="105" t="s">
        <v>528</v>
      </c>
      <c r="K3" s="194" t="s">
        <v>195</v>
      </c>
      <c r="L3" s="194" t="s">
        <v>196</v>
      </c>
      <c r="M3" s="194" t="s">
        <v>197</v>
      </c>
      <c r="N3" s="194" t="s">
        <v>198</v>
      </c>
      <c r="O3" s="279" t="s">
        <v>529</v>
      </c>
    </row>
    <row r="4" spans="2:16">
      <c r="B4" s="498" t="s">
        <v>530</v>
      </c>
      <c r="C4" s="399"/>
      <c r="D4" s="397"/>
      <c r="E4" s="397"/>
      <c r="F4" s="397"/>
      <c r="G4" s="499">
        <f>+SUM(F5:F18)</f>
        <v>3702330.1060249032</v>
      </c>
      <c r="I4" s="445" t="s">
        <v>331</v>
      </c>
      <c r="J4" s="1">
        <v>3</v>
      </c>
      <c r="N4" s="1">
        <v>2</v>
      </c>
      <c r="O4" s="518">
        <f>(+K4*$K$2+L4*$L$2+M4*$M$2+N4*$N$2)*J4</f>
        <v>403442.99316160567</v>
      </c>
      <c r="P4" s="518"/>
    </row>
    <row r="5" spans="2:16">
      <c r="B5" s="495" t="s">
        <v>531</v>
      </c>
      <c r="C5" s="478" t="s">
        <v>532</v>
      </c>
      <c r="D5" s="496">
        <v>2</v>
      </c>
      <c r="E5" s="497">
        <f>VLOOKUP(B5,Cotizaciones!B:D,3,0)</f>
        <v>213864.12363553623</v>
      </c>
      <c r="F5" s="497">
        <f>+D5*E5</f>
        <v>427728.24727107247</v>
      </c>
      <c r="I5" s="445" t="s">
        <v>533</v>
      </c>
      <c r="J5" s="1">
        <v>7</v>
      </c>
      <c r="K5" s="1">
        <v>1</v>
      </c>
      <c r="M5" s="1">
        <v>1</v>
      </c>
      <c r="O5" s="518">
        <f>(+K5*$K$2+L5*$L$2+M5*$M$2+N5*$N$2)*J5</f>
        <v>1164164.9337439029</v>
      </c>
      <c r="P5" s="518"/>
    </row>
    <row r="6" spans="2:16">
      <c r="B6" s="490" t="s">
        <v>534</v>
      </c>
      <c r="C6" s="405" t="s">
        <v>532</v>
      </c>
      <c r="D6" s="491">
        <v>8</v>
      </c>
      <c r="E6" s="13">
        <f>VLOOKUP(B6,Cotizaciones!B:D,3,0)</f>
        <v>243957.30222828436</v>
      </c>
      <c r="F6" s="13">
        <f t="shared" ref="F6:F26" si="0">+D6*E6</f>
        <v>1951658.4178262749</v>
      </c>
      <c r="I6" s="445" t="s">
        <v>535</v>
      </c>
      <c r="J6" s="1">
        <v>3</v>
      </c>
      <c r="K6" s="1">
        <v>1</v>
      </c>
      <c r="M6" s="1">
        <v>1</v>
      </c>
      <c r="O6" s="518">
        <f>(+K6*$K$2+L6*$L$2+M6*$M$2+N6*$N$2)*J6</f>
        <v>498927.82874738693</v>
      </c>
      <c r="P6" s="518"/>
    </row>
    <row r="7" spans="2:16">
      <c r="B7" s="490" t="s">
        <v>536</v>
      </c>
      <c r="C7" s="405" t="s">
        <v>72</v>
      </c>
      <c r="D7" s="491">
        <v>8</v>
      </c>
      <c r="E7" s="13">
        <f>VLOOKUP(B7,Cotizaciones!B:D,3,0)</f>
        <v>21017.561453112743</v>
      </c>
      <c r="F7" s="13">
        <f t="shared" si="0"/>
        <v>168140.49162490194</v>
      </c>
      <c r="I7" s="445" t="s">
        <v>537</v>
      </c>
      <c r="J7" s="1">
        <v>2</v>
      </c>
      <c r="K7" s="1">
        <v>1</v>
      </c>
      <c r="M7" s="1">
        <v>0.5</v>
      </c>
      <c r="O7" s="518">
        <f>(+K7*$K$2+L7*$L$2+M7*$M$2+N7*$N$2)*J7</f>
        <v>260486.41413266782</v>
      </c>
      <c r="P7" s="518"/>
    </row>
    <row r="8" spans="2:16">
      <c r="B8" s="490" t="s">
        <v>538</v>
      </c>
      <c r="C8" s="405" t="s">
        <v>72</v>
      </c>
      <c r="D8" s="491">
        <v>0</v>
      </c>
      <c r="E8" s="13">
        <f>VLOOKUP(B8,Cotizaciones!B:D,3,0)</f>
        <v>23588.238789113533</v>
      </c>
      <c r="F8" s="13">
        <f t="shared" si="0"/>
        <v>0</v>
      </c>
      <c r="J8" s="1">
        <f>SUM(J4:J7)</f>
        <v>15</v>
      </c>
      <c r="O8" s="1">
        <f>+SUM(O4:O7)</f>
        <v>2327022.1697855634</v>
      </c>
    </row>
    <row r="9" spans="2:16">
      <c r="B9" s="490" t="s">
        <v>539</v>
      </c>
      <c r="C9" s="405" t="s">
        <v>72</v>
      </c>
      <c r="D9" s="491">
        <v>4</v>
      </c>
      <c r="E9" s="13">
        <f>VLOOKUP(B9,Cotizaciones!B:D,3,0)</f>
        <v>18240.034601886542</v>
      </c>
      <c r="F9" s="13">
        <f t="shared" si="0"/>
        <v>72960.138407546168</v>
      </c>
      <c r="O9" s="411">
        <f>+O8*$O$2</f>
        <v>3490533.2546783453</v>
      </c>
      <c r="P9" s="1" t="s">
        <v>529</v>
      </c>
    </row>
    <row r="10" spans="2:16">
      <c r="B10" s="490" t="s">
        <v>540</v>
      </c>
      <c r="C10" s="405" t="s">
        <v>72</v>
      </c>
      <c r="D10" s="491">
        <v>1</v>
      </c>
      <c r="E10" s="13">
        <f>VLOOKUP(B10,Cotizaciones!B:D,3,0)</f>
        <v>8050.017199279072</v>
      </c>
      <c r="F10" s="13">
        <f t="shared" si="0"/>
        <v>8050.017199279072</v>
      </c>
    </row>
    <row r="11" spans="2:16">
      <c r="B11" s="490" t="s">
        <v>541</v>
      </c>
      <c r="C11" s="405" t="s">
        <v>72</v>
      </c>
      <c r="D11" s="491">
        <v>1</v>
      </c>
      <c r="E11" s="13">
        <f>VLOOKUP(B11,Cotizaciones!B:D,3,0)</f>
        <v>7526.1257695785207</v>
      </c>
      <c r="F11" s="13">
        <f t="shared" si="0"/>
        <v>7526.1257695785207</v>
      </c>
    </row>
    <row r="12" spans="2:16">
      <c r="B12" s="884" t="s">
        <v>1491</v>
      </c>
      <c r="C12" s="493" t="s">
        <v>72</v>
      </c>
      <c r="D12" s="491">
        <v>8</v>
      </c>
      <c r="E12" s="13">
        <f>VLOOKUP(B12,Cotizaciones!B:D,3,0)</f>
        <v>4907.0044489153152</v>
      </c>
      <c r="F12" s="13">
        <f t="shared" si="0"/>
        <v>39256.035591322521</v>
      </c>
    </row>
    <row r="13" spans="2:16">
      <c r="B13" s="490" t="s">
        <v>542</v>
      </c>
      <c r="C13" s="405" t="s">
        <v>72</v>
      </c>
      <c r="D13" s="491">
        <f>+D6</f>
        <v>8</v>
      </c>
      <c r="E13" s="13">
        <f>VLOOKUP(B13,Cotizaciones!B:D,3,0)</f>
        <v>16504.37222097527</v>
      </c>
      <c r="F13" s="13">
        <f t="shared" si="0"/>
        <v>132034.97776780216</v>
      </c>
    </row>
    <row r="14" spans="2:16">
      <c r="B14" s="490" t="s">
        <v>543</v>
      </c>
      <c r="C14" s="405" t="s">
        <v>72</v>
      </c>
      <c r="D14" s="491">
        <f>+D5</f>
        <v>2</v>
      </c>
      <c r="E14" s="13">
        <f>VLOOKUP(B14,Cotizaciones!B:D,3,0)</f>
        <v>6211.2478351206846</v>
      </c>
      <c r="F14" s="13">
        <f t="shared" si="0"/>
        <v>12422.495670241369</v>
      </c>
    </row>
    <row r="15" spans="2:16">
      <c r="B15" s="490" t="s">
        <v>544</v>
      </c>
      <c r="C15" s="405" t="s">
        <v>271</v>
      </c>
      <c r="D15" s="13">
        <v>1</v>
      </c>
      <c r="E15" s="13">
        <v>100000</v>
      </c>
      <c r="F15" s="13">
        <f t="shared" si="0"/>
        <v>100000</v>
      </c>
    </row>
    <row r="16" spans="2:16">
      <c r="B16" s="490" t="s">
        <v>2467</v>
      </c>
      <c r="C16" s="405" t="s">
        <v>271</v>
      </c>
      <c r="D16" s="13">
        <v>1</v>
      </c>
      <c r="E16" s="13">
        <f>+E15</f>
        <v>100000</v>
      </c>
      <c r="F16" s="13">
        <f t="shared" si="0"/>
        <v>100000</v>
      </c>
    </row>
    <row r="17" spans="2:7">
      <c r="B17" s="490" t="s">
        <v>545</v>
      </c>
      <c r="C17" s="405" t="s">
        <v>54</v>
      </c>
      <c r="D17" s="13">
        <v>0.2</v>
      </c>
      <c r="E17" s="13">
        <f>+SUM(E15:E16)</f>
        <v>200000</v>
      </c>
      <c r="F17" s="13">
        <f t="shared" si="0"/>
        <v>40000</v>
      </c>
    </row>
    <row r="18" spans="2:7">
      <c r="B18" s="494" t="s">
        <v>546</v>
      </c>
      <c r="C18" s="406" t="s">
        <v>54</v>
      </c>
      <c r="D18" s="14">
        <v>0.21</v>
      </c>
      <c r="E18" s="14">
        <f>+SUM(F5:F17)</f>
        <v>3059776.9471280193</v>
      </c>
      <c r="F18" s="14">
        <f t="shared" si="0"/>
        <v>642553.15889688407</v>
      </c>
    </row>
    <row r="19" spans="2:7">
      <c r="B19" s="498" t="s">
        <v>547</v>
      </c>
      <c r="C19" s="399"/>
      <c r="D19" s="397"/>
      <c r="E19" s="397"/>
      <c r="F19" s="397"/>
      <c r="G19" s="499">
        <f>+SUM(F20:F23)</f>
        <v>3980380.5746024624</v>
      </c>
    </row>
    <row r="20" spans="2:7">
      <c r="B20" s="500" t="s">
        <v>174</v>
      </c>
      <c r="C20" s="501" t="s">
        <v>72</v>
      </c>
      <c r="D20" s="502">
        <v>9</v>
      </c>
      <c r="E20" s="503">
        <f>VLOOKUP(B20,Cotizaciones!B:D,3,0)</f>
        <v>51214.71480285687</v>
      </c>
      <c r="F20" s="503">
        <f t="shared" si="0"/>
        <v>460932.43322571181</v>
      </c>
    </row>
    <row r="21" spans="2:7">
      <c r="B21" s="487" t="s">
        <v>1536</v>
      </c>
      <c r="C21" s="489" t="s">
        <v>72</v>
      </c>
      <c r="D21" s="486">
        <v>9</v>
      </c>
      <c r="E21" s="504">
        <f>VLOOKUP(B21,Cotizaciones!B:D,3,0)</f>
        <v>56938.71233964675</v>
      </c>
      <c r="F21" s="504">
        <f t="shared" si="0"/>
        <v>512448.41105682077</v>
      </c>
    </row>
    <row r="22" spans="2:7">
      <c r="B22" s="485" t="s">
        <v>175</v>
      </c>
      <c r="C22" s="488" t="s">
        <v>72</v>
      </c>
      <c r="D22" s="486">
        <v>9</v>
      </c>
      <c r="E22" s="504">
        <f>VLOOKUP(B22,Cotizaciones!B:D,3,0)</f>
        <v>286985.31259172293</v>
      </c>
      <c r="F22" s="504">
        <f t="shared" si="0"/>
        <v>2582867.8133255066</v>
      </c>
    </row>
    <row r="23" spans="2:7">
      <c r="B23" s="505" t="s">
        <v>176</v>
      </c>
      <c r="C23" s="506" t="s">
        <v>72</v>
      </c>
      <c r="D23" s="507">
        <v>9</v>
      </c>
      <c r="E23" s="508">
        <f>VLOOKUP(B23,Cotizaciones!B:D,3,0)</f>
        <v>47125.768554935923</v>
      </c>
      <c r="F23" s="508">
        <f t="shared" si="0"/>
        <v>424131.91699442331</v>
      </c>
    </row>
    <row r="24" spans="2:7">
      <c r="B24" s="498" t="s">
        <v>548</v>
      </c>
      <c r="C24" s="399"/>
      <c r="D24" s="397"/>
      <c r="E24" s="397"/>
      <c r="F24" s="397"/>
      <c r="G24" s="499">
        <f>+SUM(F25:F26)</f>
        <v>185687.17945406516</v>
      </c>
    </row>
    <row r="25" spans="2:7">
      <c r="B25" s="500" t="s">
        <v>177</v>
      </c>
      <c r="C25" s="501" t="s">
        <v>72</v>
      </c>
      <c r="D25" s="502">
        <v>1</v>
      </c>
      <c r="E25" s="503">
        <f>VLOOKUP(B25,Cotizaciones!B:D,3,0)</f>
        <v>137686.18800508758</v>
      </c>
      <c r="F25" s="503">
        <f t="shared" si="0"/>
        <v>137686.18800508758</v>
      </c>
    </row>
    <row r="26" spans="2:7">
      <c r="B26" s="509" t="s">
        <v>1564</v>
      </c>
      <c r="C26" s="510" t="s">
        <v>72</v>
      </c>
      <c r="D26" s="511">
        <v>1</v>
      </c>
      <c r="E26" s="512">
        <f>VLOOKUP(B26,Cotizaciones!B:D,3,0)</f>
        <v>48000.991448977598</v>
      </c>
      <c r="F26" s="512">
        <f t="shared" si="0"/>
        <v>48000.991448977598</v>
      </c>
    </row>
    <row r="27" spans="2:7">
      <c r="B27" s="395"/>
      <c r="C27" s="442"/>
      <c r="D27" s="396"/>
      <c r="E27" s="396"/>
      <c r="F27" s="397">
        <f>+SUM(F4:F26)</f>
        <v>7868397.8600814324</v>
      </c>
      <c r="G27" s="499">
        <f>+SUM(G4:G26)</f>
        <v>7868397.8600814305</v>
      </c>
    </row>
    <row r="28" spans="2:7">
      <c r="C28" s="1"/>
    </row>
    <row r="29" spans="2:7">
      <c r="C29" s="1"/>
    </row>
    <row r="30" spans="2:7">
      <c r="C30" s="1"/>
    </row>
    <row r="31" spans="2:7">
      <c r="F31" s="35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A4C6-FA96-41D6-A743-AC6B1C76F32D}">
  <sheetPr>
    <tabColor rgb="FF92D050"/>
  </sheetPr>
  <dimension ref="B1:T51"/>
  <sheetViews>
    <sheetView workbookViewId="0">
      <selection activeCell="M9" sqref="J7:M9"/>
    </sheetView>
  </sheetViews>
  <sheetFormatPr defaultColWidth="11.54296875" defaultRowHeight="13"/>
  <cols>
    <col min="1" max="1" width="1.7265625" style="1" customWidth="1"/>
    <col min="2" max="2" width="49.1796875" style="1" bestFit="1" customWidth="1"/>
    <col min="3" max="3" width="4.7265625" style="103" bestFit="1" customWidth="1"/>
    <col min="4" max="4" width="5.7265625" style="811" bestFit="1" customWidth="1"/>
    <col min="5" max="6" width="12.453125" style="1" bestFit="1" customWidth="1"/>
    <col min="7" max="7" width="12.7265625" style="1" bestFit="1" customWidth="1"/>
    <col min="8" max="8" width="2.453125" style="1" customWidth="1"/>
    <col min="9" max="9" width="37.26953125" style="1" bestFit="1" customWidth="1"/>
    <col min="10" max="10" width="6.54296875" style="1" bestFit="1" customWidth="1"/>
    <col min="11" max="14" width="9.81640625" style="1" bestFit="1" customWidth="1"/>
    <col min="15" max="15" width="13.1796875" style="1" bestFit="1" customWidth="1"/>
    <col min="16" max="16" width="6.54296875" style="1" bestFit="1" customWidth="1"/>
    <col min="17" max="17" width="11.54296875" style="1"/>
    <col min="18" max="18" width="12.453125" style="1" bestFit="1" customWidth="1"/>
    <col min="19" max="16384" width="11.54296875" style="1"/>
  </cols>
  <sheetData>
    <row r="1" spans="2:20" ht="7.9" customHeight="1"/>
    <row r="2" spans="2:20" ht="15.65" customHeight="1"/>
    <row r="3" spans="2:20">
      <c r="B3" s="1" t="s">
        <v>2468</v>
      </c>
    </row>
    <row r="4" spans="2:20">
      <c r="G4" s="392"/>
      <c r="H4" s="358"/>
      <c r="I4" s="360"/>
      <c r="K4" s="738">
        <f>+'P.MO 06.25'!B4</f>
        <v>94177.13788353886</v>
      </c>
      <c r="L4" s="738">
        <f>+'P.MO 06.25'!B5</f>
        <v>84612.512709566407</v>
      </c>
      <c r="M4" s="738">
        <f>+'P.MO 06.25'!B6</f>
        <v>72132.138365590115</v>
      </c>
      <c r="N4" s="738">
        <f>+'P.MO 06.25'!B7</f>
        <v>67240.498860267617</v>
      </c>
      <c r="O4" s="786">
        <v>1.5</v>
      </c>
    </row>
    <row r="5" spans="2:20">
      <c r="B5" s="892" t="s">
        <v>41</v>
      </c>
      <c r="C5" s="182" t="s">
        <v>523</v>
      </c>
      <c r="D5" s="893" t="s">
        <v>43</v>
      </c>
      <c r="E5" s="182" t="s">
        <v>526</v>
      </c>
      <c r="F5" s="182" t="s">
        <v>17</v>
      </c>
      <c r="I5" s="279" t="s">
        <v>527</v>
      </c>
      <c r="J5" s="105" t="s">
        <v>528</v>
      </c>
      <c r="K5" s="194" t="s">
        <v>195</v>
      </c>
      <c r="L5" s="194" t="s">
        <v>196</v>
      </c>
      <c r="M5" s="194" t="s">
        <v>197</v>
      </c>
      <c r="N5" s="194" t="s">
        <v>198</v>
      </c>
      <c r="O5" s="279" t="s">
        <v>529</v>
      </c>
    </row>
    <row r="6" spans="2:20">
      <c r="B6" s="498" t="s">
        <v>1532</v>
      </c>
      <c r="C6" s="399"/>
      <c r="D6" s="274"/>
      <c r="E6" s="397"/>
      <c r="F6" s="397"/>
      <c r="G6" s="499">
        <f>+SUM(F7:F43)</f>
        <v>1540056.2655049204</v>
      </c>
      <c r="I6" s="3" t="s">
        <v>1944</v>
      </c>
    </row>
    <row r="7" spans="2:20">
      <c r="B7" s="886" t="s">
        <v>1493</v>
      </c>
      <c r="C7" s="404" t="s">
        <v>532</v>
      </c>
      <c r="D7" s="887">
        <v>1</v>
      </c>
      <c r="E7" s="184">
        <f>VLOOKUP(B7,Cotizaciones!B:D,3,0)</f>
        <v>85882.267275332793</v>
      </c>
      <c r="F7" s="184">
        <f>+D7*E7</f>
        <v>85882.267275332793</v>
      </c>
      <c r="G7" s="888"/>
      <c r="I7" s="1" t="s">
        <v>2472</v>
      </c>
      <c r="J7" s="1">
        <v>3</v>
      </c>
      <c r="M7" s="1">
        <v>2</v>
      </c>
      <c r="O7" s="518">
        <f>(+K7*$K$4+L7*$L$4+M7*$M$4+N7*$N$4)*J7</f>
        <v>432792.83019354066</v>
      </c>
    </row>
    <row r="8" spans="2:20">
      <c r="B8" s="490" t="s">
        <v>1494</v>
      </c>
      <c r="C8" s="405" t="s">
        <v>72</v>
      </c>
      <c r="D8" s="885">
        <v>4</v>
      </c>
      <c r="E8" s="13">
        <f>VLOOKUP(B8,Cotizaciones!B:D,3,0)</f>
        <v>5407.9080637902362</v>
      </c>
      <c r="F8" s="13">
        <f t="shared" ref="F8:F49" si="0">+D8*E8</f>
        <v>21631.632255160945</v>
      </c>
      <c r="G8" s="889"/>
      <c r="I8" s="921" t="s">
        <v>1019</v>
      </c>
      <c r="J8" s="1">
        <v>8</v>
      </c>
      <c r="K8" s="1">
        <v>1</v>
      </c>
      <c r="L8" s="1">
        <v>1</v>
      </c>
      <c r="M8" s="1">
        <v>1</v>
      </c>
      <c r="O8" s="518">
        <f>(+K8*$K$4+L8*$L$4+M8*$M$4+N8*$N$4)*J8</f>
        <v>2007374.3116695629</v>
      </c>
      <c r="P8" s="518"/>
    </row>
    <row r="9" spans="2:20">
      <c r="B9" s="490" t="s">
        <v>1495</v>
      </c>
      <c r="C9" s="405" t="s">
        <v>72</v>
      </c>
      <c r="D9" s="885">
        <v>3</v>
      </c>
      <c r="E9" s="13">
        <f>VLOOKUP(B9,Cotizaciones!B:D,3,0)</f>
        <v>3865.0109833848419</v>
      </c>
      <c r="F9" s="13">
        <f t="shared" si="0"/>
        <v>11595.032950154526</v>
      </c>
      <c r="G9" s="889"/>
      <c r="I9" s="1" t="s">
        <v>1946</v>
      </c>
      <c r="J9" s="1">
        <v>2</v>
      </c>
      <c r="K9" s="1">
        <v>1</v>
      </c>
      <c r="L9" s="1">
        <v>1</v>
      </c>
      <c r="M9" s="1">
        <v>1</v>
      </c>
      <c r="O9" s="518">
        <f>(+K9*$K$4+L9*$L$4+M9*$M$4+N9*$N$4)*J9</f>
        <v>501843.57791739074</v>
      </c>
    </row>
    <row r="10" spans="2:20">
      <c r="B10" s="490" t="s">
        <v>1496</v>
      </c>
      <c r="C10" s="405" t="s">
        <v>72</v>
      </c>
      <c r="D10" s="885">
        <v>0</v>
      </c>
      <c r="E10" s="13">
        <f>VLOOKUP(B10,Cotizaciones!B:D,3,0)</f>
        <v>1113.0377766651129</v>
      </c>
      <c r="F10" s="13">
        <f t="shared" si="0"/>
        <v>0</v>
      </c>
      <c r="G10" s="889"/>
      <c r="I10" s="921" t="s">
        <v>1942</v>
      </c>
      <c r="J10" s="1">
        <v>1</v>
      </c>
      <c r="K10" s="1">
        <v>1</v>
      </c>
      <c r="L10" s="1">
        <v>1</v>
      </c>
      <c r="M10" s="1">
        <v>1</v>
      </c>
      <c r="O10" s="518">
        <f>(+K10*$K$4+L10*$L$4+M10*$M$4+N10*$N$4)*J10</f>
        <v>250921.78895869537</v>
      </c>
      <c r="P10" s="518"/>
    </row>
    <row r="11" spans="2:20">
      <c r="B11" s="490" t="s">
        <v>1497</v>
      </c>
      <c r="C11" s="405" t="s">
        <v>72</v>
      </c>
      <c r="D11" s="885">
        <v>1</v>
      </c>
      <c r="E11" s="13">
        <f>VLOOKUP(B11,Cotizaciones!B:D,3,0)</f>
        <v>4313.6239106338162</v>
      </c>
      <c r="F11" s="13">
        <f t="shared" si="0"/>
        <v>4313.6239106338162</v>
      </c>
      <c r="G11" s="889"/>
      <c r="I11" s="1" t="s">
        <v>2471</v>
      </c>
      <c r="J11" s="1">
        <v>1</v>
      </c>
      <c r="L11" s="1">
        <v>1</v>
      </c>
      <c r="M11" s="1">
        <v>0.5</v>
      </c>
      <c r="O11" s="518">
        <f>(+K11*$K$4+L11*$L$4+M11*$M$4+N11*$N$4)*J11</f>
        <v>120678.58189236146</v>
      </c>
      <c r="T11" s="409"/>
    </row>
    <row r="12" spans="2:20">
      <c r="B12" s="490" t="s">
        <v>1498</v>
      </c>
      <c r="C12" s="405" t="s">
        <v>72</v>
      </c>
      <c r="D12" s="885">
        <v>0</v>
      </c>
      <c r="E12" s="13">
        <f>VLOOKUP(B12,Cotizaciones!B:D,3,0)</f>
        <v>3817.2823121946171</v>
      </c>
      <c r="F12" s="13">
        <f t="shared" si="0"/>
        <v>0</v>
      </c>
      <c r="G12" s="889"/>
      <c r="J12" s="3">
        <f>SUM(J7:J11)</f>
        <v>15</v>
      </c>
      <c r="O12" s="1">
        <f>+SUM(O7:O11)</f>
        <v>3313611.0906315511</v>
      </c>
      <c r="R12" s="1">
        <f>+G6</f>
        <v>1540056.2655049204</v>
      </c>
      <c r="S12" s="1" t="s">
        <v>291</v>
      </c>
    </row>
    <row r="13" spans="2:20">
      <c r="B13" s="490" t="s">
        <v>1499</v>
      </c>
      <c r="C13" s="405" t="s">
        <v>72</v>
      </c>
      <c r="D13" s="885">
        <v>1</v>
      </c>
      <c r="E13" s="13">
        <f>VLOOKUP(B13,Cotizaciones!B:D,3,0)</f>
        <v>94942.04273001953</v>
      </c>
      <c r="F13" s="13">
        <f t="shared" si="0"/>
        <v>94942.04273001953</v>
      </c>
      <c r="G13" s="889"/>
      <c r="O13" s="411">
        <f>+O12*$O$4</f>
        <v>4970416.6359473262</v>
      </c>
      <c r="Q13" s="409">
        <f>+O13/R13</f>
        <v>0.76344940086281732</v>
      </c>
      <c r="R13" s="3">
        <f>+O13+R12</f>
        <v>6510472.9014522471</v>
      </c>
      <c r="S13" s="1" t="s">
        <v>188</v>
      </c>
    </row>
    <row r="14" spans="2:20">
      <c r="B14" s="884" t="s">
        <v>1500</v>
      </c>
      <c r="C14" s="493" t="s">
        <v>72</v>
      </c>
      <c r="D14" s="885">
        <v>1</v>
      </c>
      <c r="E14" s="13">
        <f>VLOOKUP(B14,Cotizaciones!B:D,3,0)</f>
        <v>4426.9741250136694</v>
      </c>
      <c r="F14" s="13">
        <f t="shared" si="0"/>
        <v>4426.9741250136694</v>
      </c>
      <c r="G14" s="889"/>
    </row>
    <row r="15" spans="2:20">
      <c r="B15" s="490" t="s">
        <v>1501</v>
      </c>
      <c r="C15" s="405" t="s">
        <v>72</v>
      </c>
      <c r="D15" s="885">
        <v>0</v>
      </c>
      <c r="E15" s="13">
        <f>VLOOKUP(B15,Cotizaciones!B:D,3,0)</f>
        <v>14513.722964830195</v>
      </c>
      <c r="F15" s="13">
        <f t="shared" si="0"/>
        <v>0</v>
      </c>
      <c r="G15" s="889"/>
      <c r="I15" s="3" t="s">
        <v>1945</v>
      </c>
    </row>
    <row r="16" spans="2:20">
      <c r="B16" s="490" t="s">
        <v>1502</v>
      </c>
      <c r="C16" s="405" t="s">
        <v>72</v>
      </c>
      <c r="D16" s="885">
        <v>1</v>
      </c>
      <c r="E16" s="13">
        <f>VLOOKUP(B16,Cotizaciones!B:D,3,0)</f>
        <v>139939.36647156661</v>
      </c>
      <c r="F16" s="13">
        <f t="shared" si="0"/>
        <v>139939.36647156661</v>
      </c>
      <c r="G16" s="889"/>
      <c r="I16" s="921" t="s">
        <v>1940</v>
      </c>
      <c r="J16" s="1">
        <v>0</v>
      </c>
      <c r="K16" s="1">
        <v>1</v>
      </c>
      <c r="O16" s="518">
        <f>(+K16*$K$4+L16*$L$4+M16*$M$4+N16*$N$4)*J16</f>
        <v>0</v>
      </c>
    </row>
    <row r="17" spans="2:19">
      <c r="B17" s="490" t="s">
        <v>1503</v>
      </c>
      <c r="C17" s="405" t="s">
        <v>532</v>
      </c>
      <c r="D17" s="253">
        <v>0</v>
      </c>
      <c r="E17" s="13">
        <f>VLOOKUP(B17,Cotizaciones!B:D,3,0)</f>
        <v>11975.689545744921</v>
      </c>
      <c r="F17" s="13">
        <f t="shared" si="0"/>
        <v>0</v>
      </c>
      <c r="G17" s="889"/>
      <c r="I17" s="921" t="s">
        <v>1941</v>
      </c>
      <c r="J17" s="1">
        <v>2</v>
      </c>
      <c r="K17" s="1">
        <v>1</v>
      </c>
      <c r="M17" s="1">
        <v>1</v>
      </c>
      <c r="O17" s="518">
        <f>(+K17*$K$4+L17*$L$4+M17*$M$4+N17*$N$4)*J17</f>
        <v>332618.55249825795</v>
      </c>
    </row>
    <row r="18" spans="2:19">
      <c r="B18" s="490" t="s">
        <v>1504</v>
      </c>
      <c r="C18" s="405" t="s">
        <v>532</v>
      </c>
      <c r="D18" s="253">
        <v>0</v>
      </c>
      <c r="E18" s="13">
        <f>VLOOKUP(B18,Cotizaciones!B:D,3,0)</f>
        <v>15522.620568264878</v>
      </c>
      <c r="F18" s="13">
        <f t="shared" si="0"/>
        <v>0</v>
      </c>
      <c r="G18" s="889"/>
      <c r="O18" s="1">
        <f>+SUM(O16:O17)</f>
        <v>332618.55249825795</v>
      </c>
      <c r="R18" s="1">
        <f>+G44</f>
        <v>43707.030007852358</v>
      </c>
      <c r="S18" s="1" t="s">
        <v>291</v>
      </c>
    </row>
    <row r="19" spans="2:19">
      <c r="B19" s="490" t="s">
        <v>1505</v>
      </c>
      <c r="C19" s="405" t="s">
        <v>532</v>
      </c>
      <c r="D19" s="253">
        <v>1</v>
      </c>
      <c r="E19" s="13">
        <f>VLOOKUP(B19,Cotizaciones!B:D,3,0)</f>
        <v>23660.649509832696</v>
      </c>
      <c r="F19" s="13">
        <f t="shared" si="0"/>
        <v>23660.649509832696</v>
      </c>
      <c r="G19" s="889"/>
      <c r="O19" s="411">
        <f>+O18*$O$4</f>
        <v>498927.82874738693</v>
      </c>
      <c r="Q19" s="409">
        <f>+O19/R19</f>
        <v>0.91945406878556835</v>
      </c>
      <c r="R19" s="3">
        <f>+O19+R18</f>
        <v>542634.85875523929</v>
      </c>
      <c r="S19" s="1" t="s">
        <v>188</v>
      </c>
    </row>
    <row r="20" spans="2:19">
      <c r="B20" s="13" t="s">
        <v>1506</v>
      </c>
      <c r="C20" s="405" t="s">
        <v>532</v>
      </c>
      <c r="D20" s="253">
        <v>14</v>
      </c>
      <c r="E20" s="13">
        <f>VLOOKUP(B20,Cotizaciones!B:D,3,0)</f>
        <v>34177.77410429508</v>
      </c>
      <c r="F20" s="13">
        <f t="shared" si="0"/>
        <v>478488.83746013115</v>
      </c>
      <c r="G20" s="890"/>
    </row>
    <row r="21" spans="2:19">
      <c r="B21" s="490" t="s">
        <v>1507</v>
      </c>
      <c r="C21" s="405" t="s">
        <v>72</v>
      </c>
      <c r="D21" s="885">
        <v>0</v>
      </c>
      <c r="E21" s="13">
        <f>VLOOKUP(B21,Cotizaciones!B:D,3,0)</f>
        <v>1073.1742223910403</v>
      </c>
      <c r="F21" s="13">
        <f t="shared" si="0"/>
        <v>0</v>
      </c>
      <c r="G21" s="889"/>
    </row>
    <row r="22" spans="2:19">
      <c r="B22" s="492" t="s">
        <v>1508</v>
      </c>
      <c r="C22" s="493" t="s">
        <v>72</v>
      </c>
      <c r="D22" s="885">
        <v>0</v>
      </c>
      <c r="E22" s="13">
        <f>VLOOKUP(B22,Cotizaciones!B:D,3,0)</f>
        <v>1208.667269347422</v>
      </c>
      <c r="F22" s="13">
        <f t="shared" si="0"/>
        <v>0</v>
      </c>
      <c r="G22" s="889"/>
    </row>
    <row r="23" spans="2:19">
      <c r="B23" s="490" t="s">
        <v>1509</v>
      </c>
      <c r="C23" s="405" t="s">
        <v>72</v>
      </c>
      <c r="D23" s="885">
        <v>3</v>
      </c>
      <c r="E23" s="13">
        <f>VLOOKUP(B23,Cotizaciones!B:D,3,0)</f>
        <v>1372.2208155067133</v>
      </c>
      <c r="F23" s="13">
        <f t="shared" si="0"/>
        <v>4116.6624465201403</v>
      </c>
      <c r="G23" s="889"/>
    </row>
    <row r="24" spans="2:19">
      <c r="B24" s="490" t="s">
        <v>1510</v>
      </c>
      <c r="C24" s="405" t="s">
        <v>72</v>
      </c>
      <c r="D24" s="885">
        <v>14</v>
      </c>
      <c r="E24" s="13">
        <f>VLOOKUP(B24,Cotizaciones!B:D,3,0)</f>
        <v>6565.6080843937225</v>
      </c>
      <c r="F24" s="13">
        <f t="shared" si="0"/>
        <v>91918.513181512113</v>
      </c>
      <c r="G24" s="889"/>
    </row>
    <row r="25" spans="2:19">
      <c r="B25" s="13" t="s">
        <v>1511</v>
      </c>
      <c r="C25" s="405" t="s">
        <v>72</v>
      </c>
      <c r="D25" s="253">
        <v>0</v>
      </c>
      <c r="E25" s="13">
        <f>VLOOKUP(B25,Cotizaciones!B:D,3,0)</f>
        <v>2889.7364857818684</v>
      </c>
      <c r="F25" s="13">
        <f t="shared" si="0"/>
        <v>0</v>
      </c>
      <c r="G25" s="890"/>
    </row>
    <row r="26" spans="2:19">
      <c r="B26" s="13" t="s">
        <v>1512</v>
      </c>
      <c r="C26" s="1156" t="s">
        <v>72</v>
      </c>
      <c r="D26" s="253">
        <v>0</v>
      </c>
      <c r="E26" s="13">
        <f>VLOOKUP(B26,Cotizaciones!B:D,3,0)</f>
        <v>3803.381175319556</v>
      </c>
      <c r="F26" s="13">
        <f t="shared" si="0"/>
        <v>0</v>
      </c>
      <c r="G26" s="889"/>
    </row>
    <row r="27" spans="2:19">
      <c r="B27" s="13" t="s">
        <v>1513</v>
      </c>
      <c r="C27" s="1156" t="s">
        <v>72</v>
      </c>
      <c r="D27" s="253">
        <v>3</v>
      </c>
      <c r="E27" s="13">
        <f>VLOOKUP(B27,Cotizaciones!B:D,3,0)</f>
        <v>13292.886821020162</v>
      </c>
      <c r="F27" s="13">
        <f t="shared" si="0"/>
        <v>39878.660463060485</v>
      </c>
      <c r="G27" s="889"/>
    </row>
    <row r="28" spans="2:19">
      <c r="B28" s="13" t="s">
        <v>1514</v>
      </c>
      <c r="C28" s="1156" t="s">
        <v>72</v>
      </c>
      <c r="D28" s="253">
        <v>0</v>
      </c>
      <c r="E28" s="13">
        <f>VLOOKUP(B28,Cotizaciones!B:D,3,0)</f>
        <v>1428.0620696720132</v>
      </c>
      <c r="F28" s="13">
        <f t="shared" si="0"/>
        <v>0</v>
      </c>
      <c r="G28" s="889"/>
    </row>
    <row r="29" spans="2:19">
      <c r="B29" s="13" t="s">
        <v>1515</v>
      </c>
      <c r="C29" s="405" t="s">
        <v>72</v>
      </c>
      <c r="D29" s="253">
        <v>0</v>
      </c>
      <c r="E29" s="13">
        <f>VLOOKUP(B29,Cotizaciones!B:D,3,0)</f>
        <v>1557.5836530326837</v>
      </c>
      <c r="F29" s="13">
        <f t="shared" si="0"/>
        <v>0</v>
      </c>
      <c r="G29" s="889"/>
    </row>
    <row r="30" spans="2:19">
      <c r="B30" s="13" t="s">
        <v>1516</v>
      </c>
      <c r="C30" s="405" t="s">
        <v>72</v>
      </c>
      <c r="D30" s="253">
        <v>4</v>
      </c>
      <c r="E30" s="13">
        <f>VLOOKUP(B30,Cotizaciones!B:D,3,0)</f>
        <v>2394.2448794580941</v>
      </c>
      <c r="F30" s="13">
        <f t="shared" si="0"/>
        <v>9576.9795178323766</v>
      </c>
      <c r="G30" s="889"/>
    </row>
    <row r="31" spans="2:19">
      <c r="B31" s="13" t="s">
        <v>1517</v>
      </c>
      <c r="C31" s="405" t="s">
        <v>72</v>
      </c>
      <c r="D31" s="253">
        <v>6</v>
      </c>
      <c r="E31" s="13">
        <f>VLOOKUP(B31,Cotizaciones!B:D,3,0)</f>
        <v>9913.7915834182222</v>
      </c>
      <c r="F31" s="13">
        <f t="shared" si="0"/>
        <v>59482.749500509337</v>
      </c>
      <c r="G31" s="889"/>
    </row>
    <row r="32" spans="2:19">
      <c r="B32" s="13" t="s">
        <v>1518</v>
      </c>
      <c r="C32" s="405" t="s">
        <v>72</v>
      </c>
      <c r="D32" s="253">
        <v>0</v>
      </c>
      <c r="E32" s="13">
        <f>VLOOKUP(B32,Cotizaciones!B:D,3,0)</f>
        <v>2621.8168191209566</v>
      </c>
      <c r="F32" s="13">
        <f t="shared" si="0"/>
        <v>0</v>
      </c>
      <c r="G32" s="889"/>
    </row>
    <row r="33" spans="2:7">
      <c r="B33" s="13" t="s">
        <v>1519</v>
      </c>
      <c r="C33" s="405" t="s">
        <v>72</v>
      </c>
      <c r="D33" s="253">
        <v>3</v>
      </c>
      <c r="E33" s="13">
        <f>VLOOKUP(B33,Cotizaciones!B:D,3,0)</f>
        <v>1022.6158306140186</v>
      </c>
      <c r="F33" s="13">
        <f t="shared" si="0"/>
        <v>3067.8474918420557</v>
      </c>
      <c r="G33" s="889"/>
    </row>
    <row r="34" spans="2:7">
      <c r="B34" s="13" t="s">
        <v>1520</v>
      </c>
      <c r="C34" s="405" t="s">
        <v>72</v>
      </c>
      <c r="D34" s="253">
        <v>3</v>
      </c>
      <c r="E34" s="13">
        <f>VLOOKUP(B34,Cotizaciones!B:D,3,0)</f>
        <v>1203.9331360463177</v>
      </c>
      <c r="F34" s="13">
        <f t="shared" si="0"/>
        <v>3611.7994081389534</v>
      </c>
      <c r="G34" s="889"/>
    </row>
    <row r="35" spans="2:7">
      <c r="B35" s="13" t="s">
        <v>1521</v>
      </c>
      <c r="C35" s="405" t="s">
        <v>72</v>
      </c>
      <c r="D35" s="253">
        <v>3</v>
      </c>
      <c r="E35" s="13">
        <f>VLOOKUP(B35,Cotizaciones!B:D,3,0)</f>
        <v>6447.6098118636955</v>
      </c>
      <c r="F35" s="13">
        <f t="shared" si="0"/>
        <v>19342.829435591088</v>
      </c>
      <c r="G35" s="889"/>
    </row>
    <row r="36" spans="2:7">
      <c r="B36" s="13" t="s">
        <v>1522</v>
      </c>
      <c r="C36" s="405" t="s">
        <v>72</v>
      </c>
      <c r="D36" s="253">
        <v>3</v>
      </c>
      <c r="E36" s="13">
        <f>VLOOKUP(B36,Cotizaciones!B:D,3,0)</f>
        <v>2873.9524549802313</v>
      </c>
      <c r="F36" s="13">
        <f t="shared" si="0"/>
        <v>8621.8573649406935</v>
      </c>
      <c r="G36" s="889"/>
    </row>
    <row r="37" spans="2:7">
      <c r="B37" s="13" t="s">
        <v>1523</v>
      </c>
      <c r="C37" s="405" t="s">
        <v>72</v>
      </c>
      <c r="D37" s="253">
        <v>0</v>
      </c>
      <c r="E37" s="13">
        <f>VLOOKUP(B37,Cotizaciones!B:D,3,0)</f>
        <v>4269.0047042709075</v>
      </c>
      <c r="F37" s="13">
        <f t="shared" si="0"/>
        <v>0</v>
      </c>
      <c r="G37" s="889"/>
    </row>
    <row r="38" spans="2:7">
      <c r="B38" s="13" t="s">
        <v>1524</v>
      </c>
      <c r="C38" s="405" t="s">
        <v>72</v>
      </c>
      <c r="D38" s="253">
        <v>0</v>
      </c>
      <c r="E38" s="13">
        <f>VLOOKUP(B38,Cotizaciones!B:D,3,0)</f>
        <v>5883.3334005536472</v>
      </c>
      <c r="F38" s="13">
        <f t="shared" si="0"/>
        <v>0</v>
      </c>
      <c r="G38" s="889"/>
    </row>
    <row r="39" spans="2:7">
      <c r="B39" s="13" t="s">
        <v>1525</v>
      </c>
      <c r="C39" s="405" t="s">
        <v>72</v>
      </c>
      <c r="D39" s="253">
        <v>0</v>
      </c>
      <c r="E39" s="13">
        <f>VLOOKUP(B39,Cotizaciones!B:D,3,0)</f>
        <v>15209.726635243473</v>
      </c>
      <c r="F39" s="13">
        <f t="shared" si="0"/>
        <v>0</v>
      </c>
      <c r="G39" s="889"/>
    </row>
    <row r="40" spans="2:7">
      <c r="B40" s="13" t="s">
        <v>1526</v>
      </c>
      <c r="C40" s="405" t="s">
        <v>72</v>
      </c>
      <c r="D40" s="253"/>
      <c r="E40" s="13">
        <f>VLOOKUP(B40,Cotizaciones!B:D,3,0)</f>
        <v>15225.779650891764</v>
      </c>
      <c r="F40" s="13">
        <f t="shared" si="0"/>
        <v>0</v>
      </c>
      <c r="G40" s="889"/>
    </row>
    <row r="41" spans="2:7">
      <c r="B41" s="13" t="s">
        <v>1527</v>
      </c>
      <c r="C41" s="405" t="s">
        <v>72</v>
      </c>
      <c r="D41" s="253">
        <v>3</v>
      </c>
      <c r="E41" s="13">
        <f>VLOOKUP(B41,Cotizaciones!B:D,3,0)</f>
        <v>36808.069325782562</v>
      </c>
      <c r="F41" s="13">
        <f t="shared" si="0"/>
        <v>110424.20797734769</v>
      </c>
      <c r="G41" s="889"/>
    </row>
    <row r="42" spans="2:7">
      <c r="B42" s="894" t="s">
        <v>2470</v>
      </c>
      <c r="C42" s="802" t="s">
        <v>54</v>
      </c>
      <c r="D42" s="1184">
        <v>1</v>
      </c>
      <c r="E42" s="894">
        <v>70000</v>
      </c>
      <c r="F42" s="13">
        <f t="shared" si="0"/>
        <v>70000</v>
      </c>
      <c r="G42" s="889"/>
    </row>
    <row r="43" spans="2:7">
      <c r="B43" s="14" t="s">
        <v>1533</v>
      </c>
      <c r="C43" s="406" t="s">
        <v>54</v>
      </c>
      <c r="D43" s="14">
        <v>0.21</v>
      </c>
      <c r="E43" s="14">
        <f>+SUM(F7:F41)</f>
        <v>1214922.5334751408</v>
      </c>
      <c r="F43" s="14">
        <f t="shared" si="0"/>
        <v>255133.73202977955</v>
      </c>
      <c r="G43" s="889"/>
    </row>
    <row r="44" spans="2:7">
      <c r="B44" s="498" t="s">
        <v>1534</v>
      </c>
      <c r="C44" s="399"/>
      <c r="D44" s="274"/>
      <c r="E44" s="397"/>
      <c r="F44" s="397"/>
      <c r="G44" s="499">
        <f>+SUM(F45:F49)</f>
        <v>43707.030007852358</v>
      </c>
    </row>
    <row r="45" spans="2:7">
      <c r="B45" s="184" t="s">
        <v>1528</v>
      </c>
      <c r="C45" s="404" t="s">
        <v>72</v>
      </c>
      <c r="D45" s="273">
        <v>3</v>
      </c>
      <c r="E45" s="184">
        <f>VLOOKUP(B45,Cotizaciones!B:D,3,0)</f>
        <v>11763.266832645593</v>
      </c>
      <c r="F45" s="13">
        <f t="shared" si="0"/>
        <v>35289.800497936783</v>
      </c>
    </row>
    <row r="46" spans="2:7">
      <c r="B46" s="13" t="s">
        <v>1529</v>
      </c>
      <c r="C46" s="405" t="s">
        <v>72</v>
      </c>
      <c r="D46" s="253">
        <v>0</v>
      </c>
      <c r="E46" s="13">
        <f>VLOOKUP(B46,Cotizaciones!B:D,3,0)</f>
        <v>16928.292339301439</v>
      </c>
      <c r="F46" s="13">
        <f t="shared" si="0"/>
        <v>0</v>
      </c>
    </row>
    <row r="47" spans="2:7">
      <c r="B47" s="13" t="s">
        <v>1530</v>
      </c>
      <c r="C47" s="405" t="s">
        <v>72</v>
      </c>
      <c r="D47" s="253">
        <v>0</v>
      </c>
      <c r="E47" s="13">
        <f>VLOOKUP(B47,Cotizaciones!B:D,3,0)</f>
        <v>80849.001305961792</v>
      </c>
      <c r="F47" s="13">
        <f t="shared" si="0"/>
        <v>0</v>
      </c>
    </row>
    <row r="48" spans="2:7">
      <c r="B48" s="13" t="s">
        <v>1531</v>
      </c>
      <c r="C48" s="405" t="s">
        <v>72</v>
      </c>
      <c r="D48" s="253">
        <v>1</v>
      </c>
      <c r="E48" s="13">
        <f>VLOOKUP(B48,Cotizaciones!B:D,3,0)</f>
        <v>831.71190524698295</v>
      </c>
      <c r="F48" s="13">
        <f t="shared" si="0"/>
        <v>831.71190524698295</v>
      </c>
    </row>
    <row r="49" spans="2:7">
      <c r="B49" s="894" t="s">
        <v>1533</v>
      </c>
      <c r="C49" s="802" t="s">
        <v>54</v>
      </c>
      <c r="D49" s="894">
        <v>0.21</v>
      </c>
      <c r="E49" s="894">
        <f>+SUM(F45:F48)</f>
        <v>36121.512403183769</v>
      </c>
      <c r="F49" s="13">
        <f t="shared" si="0"/>
        <v>7585.517604668591</v>
      </c>
    </row>
    <row r="50" spans="2:7">
      <c r="B50" s="395"/>
      <c r="C50" s="442"/>
      <c r="D50" s="274"/>
      <c r="E50" s="396"/>
      <c r="F50" s="396"/>
      <c r="G50" s="499">
        <f>SUM(G6:G49)</f>
        <v>1583763.2955127726</v>
      </c>
    </row>
    <row r="51" spans="2:7" ht="9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A0FB-744E-47E1-8AFB-93F1C1B71A7B}">
  <sheetPr>
    <tabColor rgb="FF92D050"/>
  </sheetPr>
  <dimension ref="B1:P24"/>
  <sheetViews>
    <sheetView workbookViewId="0"/>
  </sheetViews>
  <sheetFormatPr defaultColWidth="11.54296875" defaultRowHeight="13"/>
  <cols>
    <col min="1" max="1" width="1.7265625" style="1" customWidth="1"/>
    <col min="2" max="2" width="51" style="1" bestFit="1" customWidth="1"/>
    <col min="3" max="3" width="4.7265625" style="103" bestFit="1" customWidth="1"/>
    <col min="4" max="4" width="5.7265625" style="811" bestFit="1" customWidth="1"/>
    <col min="5" max="6" width="12.453125" style="1" bestFit="1" customWidth="1"/>
    <col min="7" max="7" width="13.453125" style="1" bestFit="1" customWidth="1"/>
    <col min="8" max="8" width="2.453125" style="1" customWidth="1"/>
    <col min="9" max="9" width="22" style="1" bestFit="1" customWidth="1"/>
    <col min="10" max="10" width="5" style="1" bestFit="1" customWidth="1"/>
    <col min="11" max="14" width="9.81640625" style="1" bestFit="1" customWidth="1"/>
    <col min="15" max="15" width="5.453125" style="1" bestFit="1" customWidth="1"/>
    <col min="16" max="16" width="6.54296875" style="1" bestFit="1" customWidth="1"/>
    <col min="17" max="16384" width="11.54296875" style="1"/>
  </cols>
  <sheetData>
    <row r="1" spans="2:16" ht="7.9" customHeight="1"/>
    <row r="2" spans="2:16">
      <c r="B2" s="1" t="s">
        <v>1538</v>
      </c>
    </row>
    <row r="3" spans="2:16">
      <c r="G3" s="392"/>
      <c r="H3" s="358"/>
      <c r="I3" s="360"/>
      <c r="K3" s="738">
        <f>+'P.MO 06.25'!B4</f>
        <v>94177.13788353886</v>
      </c>
      <c r="L3" s="738">
        <f>+'P.MO 06.25'!B5</f>
        <v>84612.512709566407</v>
      </c>
      <c r="M3" s="738">
        <f>+'P.MO 06.25'!B6</f>
        <v>72132.138365590115</v>
      </c>
      <c r="N3" s="738">
        <f>+'P.MO 06.25'!B7</f>
        <v>67240.498860267617</v>
      </c>
      <c r="O3" s="241">
        <v>1.4</v>
      </c>
    </row>
    <row r="4" spans="2:16">
      <c r="B4" s="892" t="s">
        <v>41</v>
      </c>
      <c r="C4" s="182" t="s">
        <v>523</v>
      </c>
      <c r="D4" s="893" t="s">
        <v>43</v>
      </c>
      <c r="E4" s="182" t="s">
        <v>526</v>
      </c>
      <c r="F4" s="182" t="s">
        <v>17</v>
      </c>
      <c r="I4" s="279" t="s">
        <v>527</v>
      </c>
      <c r="J4" s="105" t="s">
        <v>528</v>
      </c>
      <c r="K4" s="194" t="s">
        <v>195</v>
      </c>
      <c r="L4" s="194" t="s">
        <v>196</v>
      </c>
      <c r="M4" s="194" t="s">
        <v>197</v>
      </c>
      <c r="N4" s="194" t="s">
        <v>198</v>
      </c>
      <c r="O4" s="301" t="s">
        <v>529</v>
      </c>
    </row>
    <row r="5" spans="2:16">
      <c r="B5" s="498" t="s">
        <v>1532</v>
      </c>
      <c r="C5" s="399"/>
      <c r="D5" s="274"/>
      <c r="E5" s="397"/>
      <c r="F5" s="397"/>
      <c r="G5" s="499">
        <f>+SUM(F7:F18)</f>
        <v>4230816.8710915595</v>
      </c>
      <c r="I5" s="445"/>
      <c r="O5" s="518"/>
      <c r="P5" s="518"/>
    </row>
    <row r="6" spans="2:16">
      <c r="B6" s="498" t="s">
        <v>634</v>
      </c>
      <c r="C6" s="399"/>
      <c r="D6" s="274"/>
      <c r="E6" s="397"/>
      <c r="F6" s="499"/>
      <c r="G6" s="3"/>
      <c r="I6" s="445"/>
      <c r="O6" s="518"/>
      <c r="P6" s="518"/>
    </row>
    <row r="7" spans="2:16">
      <c r="B7" s="886" t="s">
        <v>1540</v>
      </c>
      <c r="C7" s="404" t="s">
        <v>211</v>
      </c>
      <c r="D7" s="887">
        <v>7</v>
      </c>
      <c r="E7" s="184">
        <f>VLOOKUP(B7,Cotizaciones!B:D,3,0)</f>
        <v>204450.58325178269</v>
      </c>
      <c r="F7" s="184">
        <f t="shared" ref="F7:F18" si="0">+D7*E7</f>
        <v>1431154.0827624789</v>
      </c>
      <c r="G7" s="889"/>
      <c r="O7" s="357"/>
      <c r="P7" s="358"/>
    </row>
    <row r="8" spans="2:16">
      <c r="B8" s="490" t="s">
        <v>1541</v>
      </c>
      <c r="C8" s="405" t="s">
        <v>211</v>
      </c>
      <c r="D8" s="885">
        <v>18</v>
      </c>
      <c r="E8" s="13">
        <f>VLOOKUP(B8,Cotizaciones!B:D,3,0)</f>
        <v>60978.660307901264</v>
      </c>
      <c r="F8" s="13">
        <f t="shared" si="0"/>
        <v>1097615.8855422228</v>
      </c>
      <c r="G8" s="889"/>
    </row>
    <row r="9" spans="2:16">
      <c r="B9" s="490" t="s">
        <v>1542</v>
      </c>
      <c r="C9" s="405" t="s">
        <v>72</v>
      </c>
      <c r="D9" s="885">
        <v>38</v>
      </c>
      <c r="E9" s="13">
        <f>VLOOKUP(B9,Cotizaciones!B:D,3,0)</f>
        <v>1327.8383158088595</v>
      </c>
      <c r="F9" s="13">
        <f t="shared" si="0"/>
        <v>50457.856000736661</v>
      </c>
      <c r="G9" s="889"/>
    </row>
    <row r="10" spans="2:16">
      <c r="B10" s="884" t="s">
        <v>1543</v>
      </c>
      <c r="C10" s="493" t="s">
        <v>1545</v>
      </c>
      <c r="D10" s="885">
        <v>15</v>
      </c>
      <c r="E10" s="13">
        <f>VLOOKUP(B10,Cotizaciones!B:D,3,0)</f>
        <v>4474.6597586284297</v>
      </c>
      <c r="F10" s="13">
        <f t="shared" si="0"/>
        <v>67119.896379426442</v>
      </c>
      <c r="G10" s="889"/>
    </row>
    <row r="11" spans="2:16">
      <c r="B11" s="899" t="s">
        <v>700</v>
      </c>
      <c r="C11" s="802" t="s">
        <v>211</v>
      </c>
      <c r="D11" s="900">
        <v>4</v>
      </c>
      <c r="E11" s="13">
        <f>VLOOKUP(B11,Cotizaciones!B:D,3,0)</f>
        <v>27000</v>
      </c>
      <c r="F11" s="13">
        <f t="shared" si="0"/>
        <v>108000</v>
      </c>
    </row>
    <row r="12" spans="2:16">
      <c r="B12" s="899" t="s">
        <v>699</v>
      </c>
      <c r="C12" s="802" t="s">
        <v>72</v>
      </c>
      <c r="D12" s="900">
        <v>60</v>
      </c>
      <c r="E12" s="13">
        <f>VLOOKUP(B12,Cotizaciones!B:D,3,0)</f>
        <v>10716.59</v>
      </c>
      <c r="F12" s="13">
        <f t="shared" si="0"/>
        <v>642995.4</v>
      </c>
    </row>
    <row r="13" spans="2:16">
      <c r="B13" s="498" t="s">
        <v>1548</v>
      </c>
      <c r="C13" s="399"/>
      <c r="D13" s="274"/>
      <c r="E13" s="397"/>
      <c r="F13" s="499"/>
    </row>
    <row r="14" spans="2:16">
      <c r="B14" s="901" t="s">
        <v>1549</v>
      </c>
      <c r="C14" s="404" t="s">
        <v>532</v>
      </c>
      <c r="D14" s="273">
        <v>8</v>
      </c>
      <c r="E14" s="904">
        <v>10000</v>
      </c>
      <c r="F14" s="184">
        <f t="shared" si="0"/>
        <v>80000</v>
      </c>
    </row>
    <row r="15" spans="2:16">
      <c r="B15" s="902" t="s">
        <v>1550</v>
      </c>
      <c r="C15" s="405" t="s">
        <v>72</v>
      </c>
      <c r="D15" s="253">
        <v>16</v>
      </c>
      <c r="E15" s="903">
        <v>600</v>
      </c>
      <c r="F15" s="13">
        <f t="shared" si="0"/>
        <v>9600</v>
      </c>
    </row>
    <row r="16" spans="2:16">
      <c r="B16" s="902" t="s">
        <v>838</v>
      </c>
      <c r="C16" s="405" t="s">
        <v>72</v>
      </c>
      <c r="D16" s="253">
        <v>8</v>
      </c>
      <c r="E16" s="13">
        <f>VLOOKUP(B16,Cotizaciones!B:D,3,0)</f>
        <v>2090.7761754634348</v>
      </c>
      <c r="F16" s="13">
        <f t="shared" si="0"/>
        <v>16726.209403707478</v>
      </c>
    </row>
    <row r="17" spans="2:7">
      <c r="B17" s="490" t="s">
        <v>1544</v>
      </c>
      <c r="C17" s="405" t="s">
        <v>532</v>
      </c>
      <c r="D17" s="885">
        <f>+D14*3</f>
        <v>24</v>
      </c>
      <c r="E17" s="13">
        <f>VLOOKUP(B17,Cotizaciones!B:D,3,0)</f>
        <v>917.14149254418533</v>
      </c>
      <c r="F17" s="13">
        <f>+D17*E17</f>
        <v>22011.395821060447</v>
      </c>
    </row>
    <row r="18" spans="2:7">
      <c r="B18" s="494" t="s">
        <v>1547</v>
      </c>
      <c r="C18" s="406" t="s">
        <v>54</v>
      </c>
      <c r="D18" s="898">
        <v>0.2</v>
      </c>
      <c r="E18" s="14">
        <f>+SUM(F7:F17)</f>
        <v>3525680.7259096331</v>
      </c>
      <c r="F18" s="14">
        <f t="shared" si="0"/>
        <v>705136.14518192667</v>
      </c>
    </row>
    <row r="19" spans="2:7">
      <c r="B19" s="498" t="s">
        <v>1546</v>
      </c>
      <c r="C19" s="442"/>
      <c r="D19" s="274"/>
      <c r="E19" s="396"/>
      <c r="F19" s="396"/>
      <c r="G19" s="499">
        <f>+SUM(F20:F23)</f>
        <v>1643547.5518292789</v>
      </c>
    </row>
    <row r="20" spans="2:7">
      <c r="B20" s="886" t="s">
        <v>1552</v>
      </c>
      <c r="C20" s="404" t="s">
        <v>72</v>
      </c>
      <c r="D20" s="887">
        <v>1</v>
      </c>
      <c r="E20" s="184">
        <f>VLOOKUP(B20,Cotizaciones!B:D,3,0)</f>
        <v>285491.67201643682</v>
      </c>
      <c r="F20" s="184">
        <f>+D20*E20</f>
        <v>285491.67201643682</v>
      </c>
    </row>
    <row r="21" spans="2:7">
      <c r="B21" s="490" t="s">
        <v>1553</v>
      </c>
      <c r="C21" s="405" t="s">
        <v>72</v>
      </c>
      <c r="D21" s="885">
        <v>3</v>
      </c>
      <c r="E21" s="13">
        <f>VLOOKUP(B21,Cotizaciones!B:D,3,0)</f>
        <v>326160.39477108838</v>
      </c>
      <c r="F21" s="13">
        <f>+D21*E21</f>
        <v>978481.18431326514</v>
      </c>
    </row>
    <row r="22" spans="2:7">
      <c r="B22" s="490" t="s">
        <v>1554</v>
      </c>
      <c r="C22" s="405" t="s">
        <v>72</v>
      </c>
      <c r="D22" s="885">
        <v>1</v>
      </c>
      <c r="E22" s="13">
        <f>VLOOKUP(B22,Cotizaciones!B:D,3,0)</f>
        <v>78983.161018664003</v>
      </c>
      <c r="F22" s="13">
        <f>+D22*E22</f>
        <v>78983.161018664003</v>
      </c>
    </row>
    <row r="23" spans="2:7">
      <c r="B23" s="490" t="s">
        <v>1555</v>
      </c>
      <c r="C23" s="405" t="s">
        <v>72</v>
      </c>
      <c r="D23" s="885">
        <v>3</v>
      </c>
      <c r="E23" s="13">
        <f>VLOOKUP(B23,Cotizaciones!B:D,3,0)</f>
        <v>100197.17816030435</v>
      </c>
      <c r="F23" s="13">
        <f>+D23*E23</f>
        <v>300591.53448091308</v>
      </c>
    </row>
    <row r="24" spans="2:7">
      <c r="B24" s="498"/>
      <c r="C24" s="399"/>
      <c r="D24" s="274"/>
      <c r="E24" s="397"/>
      <c r="F24" s="397">
        <f>+SUM(F5:F23)</f>
        <v>5874364.422920838</v>
      </c>
      <c r="G24" s="499">
        <f>+SUM(G5:G23)</f>
        <v>5874364.422920838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E3B1-791E-49F4-8824-3C243B81E1D7}">
  <sheetPr>
    <tabColor rgb="FF92D050"/>
  </sheetPr>
  <dimension ref="B2:T211"/>
  <sheetViews>
    <sheetView workbookViewId="0">
      <selection activeCell="B7" sqref="B7"/>
    </sheetView>
  </sheetViews>
  <sheetFormatPr defaultColWidth="11.54296875" defaultRowHeight="13" outlineLevelRow="1"/>
  <cols>
    <col min="1" max="1" width="5.7265625" style="1" customWidth="1"/>
    <col min="2" max="2" width="68.26953125" style="919" bestFit="1" customWidth="1"/>
    <col min="3" max="3" width="4.7265625" style="103" bestFit="1" customWidth="1"/>
    <col min="4" max="4" width="5.7265625" style="811" bestFit="1" customWidth="1"/>
    <col min="5" max="5" width="12.453125" style="1" bestFit="1" customWidth="1"/>
    <col min="6" max="6" width="16.453125" style="1" bestFit="1" customWidth="1"/>
    <col min="7" max="7" width="12.7265625" style="1" bestFit="1" customWidth="1"/>
    <col min="8" max="8" width="5.453125" style="1" customWidth="1"/>
    <col min="9" max="9" width="26.7265625" style="1" bestFit="1" customWidth="1"/>
    <col min="10" max="10" width="5.54296875" style="1" bestFit="1" customWidth="1"/>
    <col min="11" max="14" width="9.81640625" style="1" bestFit="1" customWidth="1"/>
    <col min="15" max="15" width="13.1796875" style="1" bestFit="1" customWidth="1"/>
    <col min="16" max="16" width="12.7265625" style="1" bestFit="1" customWidth="1"/>
    <col min="17" max="17" width="6.54296875" style="1" bestFit="1" customWidth="1"/>
    <col min="18" max="19" width="11" style="1" bestFit="1" customWidth="1"/>
    <col min="20" max="20" width="12.453125" style="1" customWidth="1"/>
    <col min="21" max="16384" width="11.54296875" style="1"/>
  </cols>
  <sheetData>
    <row r="2" spans="2:15">
      <c r="O2" s="105"/>
    </row>
    <row r="3" spans="2:15">
      <c r="I3" s="919"/>
      <c r="K3" s="738">
        <f>+'P.MO 06.25'!B4</f>
        <v>94177.13788353886</v>
      </c>
      <c r="L3" s="738">
        <f>+'P.MO 06.25'!B5</f>
        <v>84612.512709566407</v>
      </c>
      <c r="M3" s="738">
        <f>+'P.MO 06.25'!B6</f>
        <v>72132.138365590115</v>
      </c>
      <c r="N3" s="738">
        <f>+'P.MO 06.25'!B7</f>
        <v>67240.498860267617</v>
      </c>
      <c r="O3" s="411">
        <v>1.5</v>
      </c>
    </row>
    <row r="4" spans="2:15">
      <c r="B4" s="874" t="s">
        <v>41</v>
      </c>
      <c r="C4" s="105" t="s">
        <v>523</v>
      </c>
      <c r="D4" s="810" t="s">
        <v>43</v>
      </c>
      <c r="E4" s="105" t="s">
        <v>526</v>
      </c>
      <c r="F4" s="105" t="s">
        <v>17</v>
      </c>
      <c r="I4" s="105" t="s">
        <v>527</v>
      </c>
      <c r="J4" s="105" t="s">
        <v>528</v>
      </c>
      <c r="K4" s="194" t="s">
        <v>195</v>
      </c>
      <c r="L4" s="194" t="s">
        <v>196</v>
      </c>
      <c r="M4" s="194" t="s">
        <v>197</v>
      </c>
      <c r="N4" s="194" t="s">
        <v>198</v>
      </c>
      <c r="O4" s="1" t="s">
        <v>529</v>
      </c>
    </row>
    <row r="5" spans="2:15" outlineLevel="1">
      <c r="B5" s="1214" t="s">
        <v>1960</v>
      </c>
      <c r="C5" s="399"/>
      <c r="D5" s="400"/>
      <c r="E5" s="399"/>
      <c r="F5" s="399"/>
      <c r="G5" s="499">
        <f>+SUM(F6:F47)</f>
        <v>130431.6849254994</v>
      </c>
      <c r="I5" s="105"/>
      <c r="J5" s="105"/>
      <c r="K5" s="879"/>
      <c r="L5" s="879"/>
      <c r="M5" s="879"/>
      <c r="N5" s="879"/>
    </row>
    <row r="6" spans="2:15" outlineLevel="1">
      <c r="B6" s="1215" t="s">
        <v>1606</v>
      </c>
      <c r="C6" s="1203"/>
      <c r="D6" s="1216"/>
      <c r="E6" s="1203"/>
      <c r="F6" s="1203"/>
      <c r="G6" s="1196"/>
    </row>
    <row r="7" spans="2:15" outlineLevel="1">
      <c r="B7" s="621" t="s">
        <v>877</v>
      </c>
      <c r="C7" s="405" t="s">
        <v>532</v>
      </c>
      <c r="D7" s="253">
        <v>1</v>
      </c>
      <c r="E7" s="13">
        <f>VLOOKUP(B7,Cotizaciones!B:D,3,0)</f>
        <v>15376.594074713537</v>
      </c>
      <c r="F7" s="13">
        <f t="shared" ref="F7:F47" si="0">+D7*E7</f>
        <v>15376.594074713537</v>
      </c>
      <c r="G7" s="889"/>
    </row>
    <row r="8" spans="2:15" outlineLevel="1">
      <c r="B8" s="621" t="s">
        <v>899</v>
      </c>
      <c r="C8" s="405" t="s">
        <v>523</v>
      </c>
      <c r="D8" s="253">
        <v>2</v>
      </c>
      <c r="E8" s="405">
        <f>VLOOKUP(B8,Cotizaciones!B:D,3,0)</f>
        <v>2066.7612083541962</v>
      </c>
      <c r="F8" s="13">
        <f t="shared" si="0"/>
        <v>4133.5224167083925</v>
      </c>
      <c r="G8" s="889"/>
    </row>
    <row r="9" spans="2:15" outlineLevel="1">
      <c r="B9" s="621" t="s">
        <v>891</v>
      </c>
      <c r="C9" s="405" t="s">
        <v>523</v>
      </c>
      <c r="D9" s="253">
        <v>2</v>
      </c>
      <c r="E9" s="405">
        <f>VLOOKUP(B9,Cotizaciones!B:D,3,0)</f>
        <v>2137.1599224203919</v>
      </c>
      <c r="F9" s="13">
        <f t="shared" si="0"/>
        <v>4274.3198448407838</v>
      </c>
      <c r="G9" s="889"/>
    </row>
    <row r="10" spans="2:15" outlineLevel="1">
      <c r="B10" s="621" t="s">
        <v>882</v>
      </c>
      <c r="C10" s="405" t="s">
        <v>523</v>
      </c>
      <c r="D10" s="253">
        <v>4</v>
      </c>
      <c r="E10" s="405">
        <f>VLOOKUP(B10,Cotizaciones!B:D,3,0)</f>
        <v>1603.0205733294201</v>
      </c>
      <c r="F10" s="13">
        <f t="shared" si="0"/>
        <v>6412.0822933176805</v>
      </c>
      <c r="G10" s="889"/>
    </row>
    <row r="11" spans="2:15" outlineLevel="1">
      <c r="B11" s="1217" t="s">
        <v>1607</v>
      </c>
      <c r="C11" s="1205"/>
      <c r="D11" s="1218"/>
      <c r="E11" s="1205"/>
      <c r="F11" s="1205"/>
      <c r="G11" s="890"/>
    </row>
    <row r="12" spans="2:15" outlineLevel="1">
      <c r="B12" s="621" t="s">
        <v>878</v>
      </c>
      <c r="C12" s="405" t="s">
        <v>532</v>
      </c>
      <c r="D12" s="253">
        <v>0.5</v>
      </c>
      <c r="E12" s="13">
        <f>VLOOKUP(B12,Cotizaciones!B:D,3,0)</f>
        <v>8313.6868058265281</v>
      </c>
      <c r="F12" s="13">
        <f t="shared" si="0"/>
        <v>4156.8434029132641</v>
      </c>
      <c r="G12" s="890"/>
    </row>
    <row r="13" spans="2:15" outlineLevel="1">
      <c r="B13" s="621" t="s">
        <v>896</v>
      </c>
      <c r="C13" s="405" t="s">
        <v>56</v>
      </c>
      <c r="D13" s="253">
        <v>0</v>
      </c>
      <c r="E13" s="405">
        <f>VLOOKUP(B13,Cotizaciones!B:D,3,0)</f>
        <v>1014.4279318818811</v>
      </c>
      <c r="F13" s="13">
        <f t="shared" si="0"/>
        <v>0</v>
      </c>
      <c r="G13" s="889"/>
    </row>
    <row r="14" spans="2:15" outlineLevel="1">
      <c r="B14" s="621" t="s">
        <v>900</v>
      </c>
      <c r="C14" s="405" t="s">
        <v>523</v>
      </c>
      <c r="D14" s="253">
        <v>1</v>
      </c>
      <c r="E14" s="405">
        <f>VLOOKUP(B14,Cotizaciones!B:D,3,0)</f>
        <v>960.65248133888144</v>
      </c>
      <c r="F14" s="13">
        <f t="shared" si="0"/>
        <v>960.65248133888144</v>
      </c>
      <c r="G14" s="889"/>
    </row>
    <row r="15" spans="2:15" outlineLevel="1">
      <c r="B15" s="621" t="s">
        <v>892</v>
      </c>
      <c r="C15" s="405" t="s">
        <v>523</v>
      </c>
      <c r="D15" s="253">
        <v>1</v>
      </c>
      <c r="E15" s="405">
        <f>VLOOKUP(B15,Cotizaciones!B:D,3,0)</f>
        <v>960.65248133888144</v>
      </c>
      <c r="F15" s="13">
        <f t="shared" si="0"/>
        <v>960.65248133888144</v>
      </c>
      <c r="G15" s="889"/>
    </row>
    <row r="16" spans="2:15" outlineLevel="1">
      <c r="B16" s="1217" t="s">
        <v>1608</v>
      </c>
      <c r="C16" s="1205"/>
      <c r="D16" s="1218"/>
      <c r="E16" s="405"/>
      <c r="F16" s="13"/>
      <c r="G16" s="890"/>
    </row>
    <row r="17" spans="2:7" outlineLevel="1">
      <c r="B17" s="621" t="s">
        <v>880</v>
      </c>
      <c r="C17" s="405" t="s">
        <v>532</v>
      </c>
      <c r="D17" s="253">
        <v>0.5</v>
      </c>
      <c r="E17" s="405">
        <f>VLOOKUP(B17,Cotizaciones!B:D,3,0)</f>
        <v>6715.6585912510009</v>
      </c>
      <c r="F17" s="13">
        <f t="shared" si="0"/>
        <v>3357.8292956255004</v>
      </c>
      <c r="G17" s="889"/>
    </row>
    <row r="18" spans="2:7" outlineLevel="1">
      <c r="B18" s="621" t="s">
        <v>897</v>
      </c>
      <c r="C18" s="405" t="s">
        <v>523</v>
      </c>
      <c r="D18" s="253">
        <v>2</v>
      </c>
      <c r="E18" s="405">
        <f>VLOOKUP(B18,Cotizaciones!B:D,3,0)</f>
        <v>571.84026519794895</v>
      </c>
      <c r="F18" s="13">
        <f t="shared" si="0"/>
        <v>1143.6805303958979</v>
      </c>
      <c r="G18" s="889"/>
    </row>
    <row r="19" spans="2:7" outlineLevel="1">
      <c r="B19" s="621" t="s">
        <v>893</v>
      </c>
      <c r="C19" s="405" t="s">
        <v>56</v>
      </c>
      <c r="D19" s="253">
        <v>1</v>
      </c>
      <c r="E19" s="405">
        <f>VLOOKUP(B19,Cotizaciones!B:D,3,0)</f>
        <v>723.32177143942408</v>
      </c>
      <c r="F19" s="13">
        <f t="shared" si="0"/>
        <v>723.32177143942408</v>
      </c>
      <c r="G19" s="889"/>
    </row>
    <row r="20" spans="2:7" outlineLevel="1">
      <c r="B20" s="621" t="s">
        <v>883</v>
      </c>
      <c r="C20" s="405" t="s">
        <v>523</v>
      </c>
      <c r="D20" s="253">
        <v>1</v>
      </c>
      <c r="E20" s="405">
        <f>VLOOKUP(B20,Cotizaciones!B:D,3,0)</f>
        <v>586.2148154031205</v>
      </c>
      <c r="F20" s="13">
        <f t="shared" si="0"/>
        <v>586.2148154031205</v>
      </c>
      <c r="G20" s="889"/>
    </row>
    <row r="21" spans="2:7" outlineLevel="1">
      <c r="B21" s="1217" t="s">
        <v>1609</v>
      </c>
      <c r="C21" s="1205"/>
      <c r="D21" s="1218"/>
      <c r="E21" s="1205"/>
      <c r="F21" s="1205"/>
      <c r="G21" s="890"/>
    </row>
    <row r="22" spans="2:7" outlineLevel="1">
      <c r="B22" s="621" t="s">
        <v>881</v>
      </c>
      <c r="C22" s="405" t="s">
        <v>532</v>
      </c>
      <c r="D22" s="253">
        <v>1</v>
      </c>
      <c r="E22" s="405">
        <f>VLOOKUP(B22,Cotizaciones!B:D,3,0)</f>
        <v>5296.1072021271093</v>
      </c>
      <c r="F22" s="13">
        <f t="shared" si="0"/>
        <v>5296.1072021271093</v>
      </c>
      <c r="G22" s="890"/>
    </row>
    <row r="23" spans="2:7" outlineLevel="1">
      <c r="B23" s="621" t="s">
        <v>898</v>
      </c>
      <c r="C23" s="405" t="s">
        <v>523</v>
      </c>
      <c r="D23" s="253">
        <v>3</v>
      </c>
      <c r="E23" s="405">
        <f>VLOOKUP(B23,Cotizaciones!B:D,3,0)</f>
        <v>432.16181402763635</v>
      </c>
      <c r="F23" s="13">
        <f t="shared" si="0"/>
        <v>1296.485442082909</v>
      </c>
      <c r="G23" s="889"/>
    </row>
    <row r="24" spans="2:7" outlineLevel="1">
      <c r="B24" s="621" t="s">
        <v>906</v>
      </c>
      <c r="C24" s="405" t="s">
        <v>523</v>
      </c>
      <c r="D24" s="253">
        <v>3</v>
      </c>
      <c r="E24" s="405">
        <f>VLOOKUP(B24,Cotizaciones!B:D,3,0)</f>
        <v>399.5500912193466</v>
      </c>
      <c r="F24" s="13">
        <f t="shared" si="0"/>
        <v>1198.6502736580399</v>
      </c>
      <c r="G24" s="889"/>
    </row>
    <row r="25" spans="2:7" outlineLevel="1">
      <c r="B25" s="621" t="s">
        <v>894</v>
      </c>
      <c r="C25" s="405" t="s">
        <v>523</v>
      </c>
      <c r="D25" s="253">
        <v>2</v>
      </c>
      <c r="E25" s="405">
        <f>VLOOKUP(B25,Cotizaciones!B:D,3,0)</f>
        <v>658.67933309161651</v>
      </c>
      <c r="F25" s="13">
        <f t="shared" si="0"/>
        <v>1317.358666183233</v>
      </c>
      <c r="G25" s="889"/>
    </row>
    <row r="26" spans="2:7" outlineLevel="1">
      <c r="B26" s="621" t="s">
        <v>884</v>
      </c>
      <c r="C26" s="405" t="s">
        <v>523</v>
      </c>
      <c r="D26" s="253">
        <v>1</v>
      </c>
      <c r="E26" s="405">
        <f>VLOOKUP(B26,Cotizaciones!B:D,3,0)</f>
        <v>361.83841571850348</v>
      </c>
      <c r="F26" s="13">
        <f t="shared" si="0"/>
        <v>361.83841571850348</v>
      </c>
      <c r="G26" s="889"/>
    </row>
    <row r="27" spans="2:7" outlineLevel="1">
      <c r="B27" s="1217" t="s">
        <v>1610</v>
      </c>
      <c r="C27" s="405"/>
      <c r="D27" s="483"/>
      <c r="E27" s="405"/>
      <c r="F27" s="13"/>
      <c r="G27" s="890"/>
    </row>
    <row r="28" spans="2:7" outlineLevel="1">
      <c r="B28" s="621" t="s">
        <v>901</v>
      </c>
      <c r="C28" s="405" t="s">
        <v>523</v>
      </c>
      <c r="D28" s="483">
        <f>+D7*3</f>
        <v>3</v>
      </c>
      <c r="E28" s="405">
        <f>VLOOKUP(B28,Cotizaciones!B:D,3,0)</f>
        <v>696.15430192740439</v>
      </c>
      <c r="F28" s="13">
        <f t="shared" si="0"/>
        <v>2088.4629057822131</v>
      </c>
      <c r="G28" s="1220"/>
    </row>
    <row r="29" spans="2:7" outlineLevel="1">
      <c r="B29" s="621" t="s">
        <v>902</v>
      </c>
      <c r="C29" s="405" t="s">
        <v>56</v>
      </c>
      <c r="D29" s="483">
        <f>+(D12+D17+D22)*3</f>
        <v>6</v>
      </c>
      <c r="E29" s="405">
        <f>VLOOKUP(B29,Cotizaciones!B:D,3,0)</f>
        <v>424.18910317282183</v>
      </c>
      <c r="F29" s="13">
        <f t="shared" si="0"/>
        <v>2545.1346190369309</v>
      </c>
      <c r="G29" s="1220"/>
    </row>
    <row r="30" spans="2:7" outlineLevel="1">
      <c r="B30" s="621" t="s">
        <v>903</v>
      </c>
      <c r="C30" s="405" t="s">
        <v>523</v>
      </c>
      <c r="D30" s="253">
        <v>1</v>
      </c>
      <c r="E30" s="405">
        <f>VLOOKUP(B30,Cotizaciones!B:D,3,0)</f>
        <v>653.42874888493702</v>
      </c>
      <c r="F30" s="13">
        <f t="shared" si="0"/>
        <v>653.42874888493702</v>
      </c>
      <c r="G30" s="1221"/>
    </row>
    <row r="31" spans="2:7" outlineLevel="1">
      <c r="B31" s="621" t="s">
        <v>904</v>
      </c>
      <c r="C31" s="405" t="s">
        <v>56</v>
      </c>
      <c r="D31" s="253">
        <v>1</v>
      </c>
      <c r="E31" s="405">
        <f>VLOOKUP(B31,Cotizaciones!B:D,3,0)</f>
        <v>4518.7194765102995</v>
      </c>
      <c r="F31" s="13">
        <f t="shared" si="0"/>
        <v>4518.7194765102995</v>
      </c>
      <c r="G31" s="1220"/>
    </row>
    <row r="32" spans="2:7" outlineLevel="1">
      <c r="B32" s="621" t="s">
        <v>890</v>
      </c>
      <c r="C32" s="405" t="s">
        <v>56</v>
      </c>
      <c r="D32" s="253">
        <v>0</v>
      </c>
      <c r="E32" s="405">
        <f>VLOOKUP(B32,Cotizaciones!B:D,3,0)</f>
        <v>2240.299472021271</v>
      </c>
      <c r="F32" s="13">
        <f t="shared" si="0"/>
        <v>0</v>
      </c>
      <c r="G32" s="1221"/>
    </row>
    <row r="33" spans="2:20" outlineLevel="1">
      <c r="B33" s="621" t="s">
        <v>889</v>
      </c>
      <c r="C33" s="405" t="s">
        <v>56</v>
      </c>
      <c r="D33" s="253">
        <v>1</v>
      </c>
      <c r="E33" s="405">
        <f>VLOOKUP(B33,Cotizaciones!B:D,3,0)</f>
        <v>3362.0093201424979</v>
      </c>
      <c r="F33" s="13">
        <f t="shared" si="0"/>
        <v>3362.0093201424979</v>
      </c>
      <c r="G33" s="1220"/>
    </row>
    <row r="34" spans="2:20" outlineLevel="1">
      <c r="B34" s="621" t="s">
        <v>888</v>
      </c>
      <c r="C34" s="405" t="s">
        <v>56</v>
      </c>
      <c r="D34" s="253">
        <v>1</v>
      </c>
      <c r="E34" s="405">
        <f>VLOOKUP(B34,Cotizaciones!B:D,3,0)</f>
        <v>4732.89597080981</v>
      </c>
      <c r="F34" s="13">
        <f t="shared" si="0"/>
        <v>4732.89597080981</v>
      </c>
      <c r="G34" s="1221"/>
    </row>
    <row r="35" spans="2:20" outlineLevel="1">
      <c r="B35" s="621" t="s">
        <v>908</v>
      </c>
      <c r="C35" s="405" t="s">
        <v>56</v>
      </c>
      <c r="D35" s="253">
        <v>0</v>
      </c>
      <c r="E35" s="405">
        <f>VLOOKUP(B35,Cotizaciones!B:D,3,0)</f>
        <v>6006.9588360756688</v>
      </c>
      <c r="F35" s="13">
        <f t="shared" si="0"/>
        <v>0</v>
      </c>
      <c r="G35" s="1220"/>
    </row>
    <row r="36" spans="2:20" outlineLevel="1">
      <c r="B36" s="621" t="s">
        <v>909</v>
      </c>
      <c r="C36" s="405" t="s">
        <v>56</v>
      </c>
      <c r="D36" s="253">
        <v>0</v>
      </c>
      <c r="E36" s="405">
        <f>VLOOKUP(B36,Cotizaciones!B:D,3,0)</f>
        <v>7761.1919307999106</v>
      </c>
      <c r="F36" s="13">
        <f t="shared" si="0"/>
        <v>0</v>
      </c>
      <c r="G36" s="1220"/>
    </row>
    <row r="37" spans="2:20" outlineLevel="1">
      <c r="B37" s="621" t="s">
        <v>913</v>
      </c>
      <c r="C37" s="405" t="s">
        <v>56</v>
      </c>
      <c r="D37" s="253">
        <v>3</v>
      </c>
      <c r="E37" s="1219">
        <v>5000</v>
      </c>
      <c r="F37" s="13">
        <f t="shared" si="0"/>
        <v>15000</v>
      </c>
      <c r="G37" s="1220"/>
    </row>
    <row r="38" spans="2:20" outlineLevel="1">
      <c r="B38" s="621" t="s">
        <v>912</v>
      </c>
      <c r="C38" s="405" t="s">
        <v>56</v>
      </c>
      <c r="D38" s="253">
        <v>0</v>
      </c>
      <c r="E38" s="405">
        <f>VLOOKUP(B38,Cotizaciones!B:D,3,0)</f>
        <v>9528.6698393733786</v>
      </c>
      <c r="F38" s="13">
        <f t="shared" si="0"/>
        <v>0</v>
      </c>
      <c r="G38" s="1220"/>
    </row>
    <row r="39" spans="2:20" outlineLevel="1">
      <c r="B39" s="621" t="s">
        <v>914</v>
      </c>
      <c r="C39" s="405" t="s">
        <v>56</v>
      </c>
      <c r="D39" s="253">
        <v>1</v>
      </c>
      <c r="E39" s="405">
        <f>VLOOKUP(B39,Cotizaciones!B:D,3,0)</f>
        <v>4507.7018571913659</v>
      </c>
      <c r="F39" s="13">
        <f t="shared" si="0"/>
        <v>4507.7018571913659</v>
      </c>
      <c r="G39" s="1220"/>
    </row>
    <row r="40" spans="2:20" outlineLevel="1">
      <c r="B40" s="621" t="s">
        <v>885</v>
      </c>
      <c r="C40" s="405" t="s">
        <v>56</v>
      </c>
      <c r="D40" s="253">
        <v>0</v>
      </c>
      <c r="E40" s="405">
        <f>VLOOKUP(B40,Cotizaciones!B:D,3,0)</f>
        <v>9878.3824182047356</v>
      </c>
      <c r="F40" s="13">
        <f t="shared" si="0"/>
        <v>0</v>
      </c>
      <c r="G40" s="889"/>
    </row>
    <row r="41" spans="2:20" outlineLevel="1">
      <c r="B41" s="621" t="s">
        <v>921</v>
      </c>
      <c r="C41" s="405" t="s">
        <v>56</v>
      </c>
      <c r="D41" s="253">
        <v>1</v>
      </c>
      <c r="E41" s="405">
        <f>VLOOKUP(B41,Cotizaciones!B:D,3,0)</f>
        <v>9863.9863492118311</v>
      </c>
      <c r="F41" s="13">
        <f t="shared" si="0"/>
        <v>9863.9863492118311</v>
      </c>
      <c r="G41" s="889"/>
    </row>
    <row r="42" spans="2:20" outlineLevel="1">
      <c r="B42" s="621" t="s">
        <v>1605</v>
      </c>
      <c r="C42" s="405" t="s">
        <v>56</v>
      </c>
      <c r="D42" s="253">
        <v>1</v>
      </c>
      <c r="E42" s="405">
        <f>VLOOKUP(B42,Cotizaciones!B:D,3,0)</f>
        <v>6417.289839948894</v>
      </c>
      <c r="F42" s="13">
        <f t="shared" si="0"/>
        <v>6417.289839948894</v>
      </c>
      <c r="G42" s="889"/>
    </row>
    <row r="43" spans="2:20" outlineLevel="1">
      <c r="B43" s="621" t="s">
        <v>916</v>
      </c>
      <c r="C43" s="405" t="s">
        <v>56</v>
      </c>
      <c r="D43" s="253">
        <v>0</v>
      </c>
      <c r="E43" s="405">
        <f>VLOOKUP(B43,Cotizaciones!B:D,3,0)</f>
        <v>3704.4377893264736</v>
      </c>
      <c r="F43" s="13">
        <f t="shared" si="0"/>
        <v>0</v>
      </c>
      <c r="G43" s="889"/>
    </row>
    <row r="44" spans="2:20" outlineLevel="1">
      <c r="B44" s="621" t="s">
        <v>917</v>
      </c>
      <c r="C44" s="405" t="s">
        <v>56</v>
      </c>
      <c r="D44" s="253">
        <v>0</v>
      </c>
      <c r="E44" s="405">
        <f>VLOOKUP(B44,Cotizaciones!B:D,3,0)</f>
        <v>4644.8303320154009</v>
      </c>
      <c r="F44" s="13">
        <f t="shared" si="0"/>
        <v>0</v>
      </c>
      <c r="G44" s="889"/>
    </row>
    <row r="45" spans="2:20" outlineLevel="1">
      <c r="B45" s="621" t="s">
        <v>924</v>
      </c>
      <c r="C45" s="405" t="s">
        <v>56</v>
      </c>
      <c r="D45" s="253">
        <v>1</v>
      </c>
      <c r="E45" s="405">
        <f>VLOOKUP(B45,Cotizaciones!B:D,3,0)</f>
        <v>3447.2882759255745</v>
      </c>
      <c r="F45" s="13">
        <f t="shared" ref="F45" si="1">+D45*E45</f>
        <v>3447.2882759255745</v>
      </c>
      <c r="G45" s="889"/>
      <c r="O45" s="518"/>
    </row>
    <row r="46" spans="2:20" outlineLevel="1">
      <c r="B46" s="1217" t="s">
        <v>1611</v>
      </c>
      <c r="C46" s="1205"/>
      <c r="D46" s="1218"/>
      <c r="E46" s="1205"/>
      <c r="F46" s="1205"/>
      <c r="G46" s="890"/>
      <c r="I46" s="1" t="s">
        <v>1572</v>
      </c>
      <c r="J46" s="1">
        <v>0.5</v>
      </c>
      <c r="M46" s="1">
        <v>1</v>
      </c>
      <c r="O46" s="518">
        <f>(+K46*$K$3+L46*$L$3+M46*$M$3+N46*$N$3)*J46</f>
        <v>36066.069182795058</v>
      </c>
      <c r="P46" s="357"/>
      <c r="R46" s="771">
        <f>+R48/T48</f>
        <v>0.35097309850851466</v>
      </c>
      <c r="S46" s="771">
        <f>+S48/T48</f>
        <v>0.64902690149148523</v>
      </c>
    </row>
    <row r="47" spans="2:20" outlineLevel="1">
      <c r="B47" s="14" t="s">
        <v>1569</v>
      </c>
      <c r="C47" s="406" t="s">
        <v>54</v>
      </c>
      <c r="D47" s="14">
        <v>0.2</v>
      </c>
      <c r="E47" s="14">
        <f>+SUM(F7:F45)</f>
        <v>108693.07077124951</v>
      </c>
      <c r="F47" s="14">
        <f t="shared" si="0"/>
        <v>21738.614154249903</v>
      </c>
      <c r="G47" s="1208"/>
      <c r="I47" s="1" t="s">
        <v>1624</v>
      </c>
      <c r="J47" s="1">
        <v>0.75</v>
      </c>
      <c r="K47" s="1">
        <v>1</v>
      </c>
      <c r="M47" s="1">
        <v>1</v>
      </c>
      <c r="O47" s="518">
        <f>(+K47*$K$3+L47*$L$3+M47*$M$3+N47*$N$3)*J47</f>
        <v>124731.95718684673</v>
      </c>
      <c r="P47" s="357"/>
      <c r="R47" s="105" t="s">
        <v>291</v>
      </c>
      <c r="S47" s="105" t="s">
        <v>1041</v>
      </c>
      <c r="T47" s="105" t="s">
        <v>188</v>
      </c>
    </row>
    <row r="48" spans="2:20" outlineLevel="1">
      <c r="B48" s="906"/>
      <c r="C48" s="442"/>
      <c r="D48" s="907"/>
      <c r="E48" s="396"/>
      <c r="F48" s="499">
        <f>+SUM(F6:F47)</f>
        <v>130431.6849254994</v>
      </c>
      <c r="G48" s="499">
        <f>+SUM(G5:G47)</f>
        <v>130431.6849254994</v>
      </c>
      <c r="O48" s="3">
        <f>+SUM(O45:O47)</f>
        <v>160798.0263696418</v>
      </c>
      <c r="P48" s="879">
        <f>+O48*$O$3</f>
        <v>241197.03955446271</v>
      </c>
      <c r="Q48" s="1" t="s">
        <v>529</v>
      </c>
      <c r="R48" s="1">
        <f>+G48</f>
        <v>130431.6849254994</v>
      </c>
      <c r="S48" s="1">
        <f>+P48</f>
        <v>241197.03955446271</v>
      </c>
      <c r="T48" s="3">
        <f>+SUM(R48:S48)</f>
        <v>371628.72447996214</v>
      </c>
    </row>
    <row r="49" spans="2:19" outlineLevel="1">
      <c r="B49" s="1"/>
      <c r="F49" s="445" t="s">
        <v>1951</v>
      </c>
      <c r="G49" s="1">
        <v>11</v>
      </c>
      <c r="O49" s="445" t="s">
        <v>1951</v>
      </c>
      <c r="P49" s="1">
        <v>11</v>
      </c>
    </row>
    <row r="50" spans="2:19" outlineLevel="1">
      <c r="B50" s="1"/>
      <c r="F50" s="445"/>
      <c r="G50" s="411">
        <f>+G48*G49</f>
        <v>1434748.5341804933</v>
      </c>
      <c r="O50" s="445"/>
      <c r="P50" s="411">
        <f>+P48*P49</f>
        <v>2653167.43509909</v>
      </c>
    </row>
    <row r="51" spans="2:19" outlineLevel="1">
      <c r="F51" s="445"/>
      <c r="O51" s="445"/>
    </row>
    <row r="52" spans="2:19" outlineLevel="1">
      <c r="B52" s="1"/>
      <c r="R52" s="409"/>
      <c r="S52" s="409"/>
    </row>
    <row r="53" spans="2:19" outlineLevel="1">
      <c r="B53" s="1214" t="s">
        <v>2451</v>
      </c>
      <c r="C53" s="399"/>
      <c r="D53" s="400"/>
      <c r="E53" s="399"/>
      <c r="F53" s="399"/>
      <c r="G53" s="499">
        <f>+SUM(F54:F95)</f>
        <v>192583.10160990356</v>
      </c>
      <c r="I53" s="105"/>
      <c r="J53" s="105"/>
      <c r="K53" s="879"/>
      <c r="L53" s="879"/>
      <c r="M53" s="879"/>
      <c r="N53" s="879"/>
    </row>
    <row r="54" spans="2:19" outlineLevel="1">
      <c r="B54" s="1215" t="s">
        <v>1606</v>
      </c>
      <c r="C54" s="1203"/>
      <c r="D54" s="1216"/>
      <c r="E54" s="1203"/>
      <c r="F54" s="1203"/>
      <c r="G54" s="1196"/>
    </row>
    <row r="55" spans="2:19" outlineLevel="1">
      <c r="B55" s="621" t="s">
        <v>877</v>
      </c>
      <c r="C55" s="405" t="s">
        <v>532</v>
      </c>
      <c r="D55" s="253">
        <v>2</v>
      </c>
      <c r="E55" s="13">
        <f>VLOOKUP(B55,Cotizaciones!B:D,3,0)</f>
        <v>15376.594074713537</v>
      </c>
      <c r="F55" s="13">
        <f t="shared" ref="F55:F58" si="2">+D55*E55</f>
        <v>30753.188149427075</v>
      </c>
      <c r="G55" s="889"/>
    </row>
    <row r="56" spans="2:19" outlineLevel="1">
      <c r="B56" s="621" t="s">
        <v>899</v>
      </c>
      <c r="C56" s="405" t="s">
        <v>56</v>
      </c>
      <c r="D56" s="253">
        <v>7</v>
      </c>
      <c r="E56" s="405">
        <f>VLOOKUP(B56,Cotizaciones!B:D,3,0)</f>
        <v>2066.7612083541962</v>
      </c>
      <c r="F56" s="13">
        <f t="shared" si="2"/>
        <v>14467.328458479373</v>
      </c>
      <c r="G56" s="889"/>
    </row>
    <row r="57" spans="2:19" outlineLevel="1">
      <c r="B57" s="621" t="s">
        <v>891</v>
      </c>
      <c r="C57" s="405" t="s">
        <v>56</v>
      </c>
      <c r="D57" s="253">
        <f>+D55</f>
        <v>2</v>
      </c>
      <c r="E57" s="405">
        <f>VLOOKUP(B57,Cotizaciones!B:D,3,0)</f>
        <v>2137.1599224203919</v>
      </c>
      <c r="F57" s="13">
        <f t="shared" si="2"/>
        <v>4274.3198448407838</v>
      </c>
      <c r="G57" s="889"/>
    </row>
    <row r="58" spans="2:19" outlineLevel="1">
      <c r="B58" s="621" t="s">
        <v>882</v>
      </c>
      <c r="C58" s="405" t="s">
        <v>56</v>
      </c>
      <c r="D58" s="253">
        <v>4</v>
      </c>
      <c r="E58" s="405">
        <f>VLOOKUP(B58,Cotizaciones!B:D,3,0)</f>
        <v>1603.0205733294201</v>
      </c>
      <c r="F58" s="13">
        <f t="shared" si="2"/>
        <v>6412.0822933176805</v>
      </c>
      <c r="G58" s="889"/>
    </row>
    <row r="59" spans="2:19" outlineLevel="1">
      <c r="B59" s="1217" t="s">
        <v>1607</v>
      </c>
      <c r="C59" s="1205"/>
      <c r="D59" s="1218"/>
      <c r="E59" s="1205"/>
      <c r="F59" s="1205"/>
      <c r="G59" s="890"/>
    </row>
    <row r="60" spans="2:19" outlineLevel="1">
      <c r="B60" s="621" t="s">
        <v>878</v>
      </c>
      <c r="C60" s="405" t="s">
        <v>532</v>
      </c>
      <c r="D60" s="253">
        <v>0.5</v>
      </c>
      <c r="E60" s="13">
        <f>VLOOKUP(B60,Cotizaciones!B:D,3,0)</f>
        <v>8313.6868058265281</v>
      </c>
      <c r="F60" s="13">
        <f t="shared" ref="F60:F63" si="3">+D60*E60</f>
        <v>4156.8434029132641</v>
      </c>
      <c r="G60" s="890"/>
    </row>
    <row r="61" spans="2:19" outlineLevel="1">
      <c r="B61" s="621" t="s">
        <v>896</v>
      </c>
      <c r="C61" s="405" t="s">
        <v>56</v>
      </c>
      <c r="D61" s="253">
        <v>0</v>
      </c>
      <c r="E61" s="405">
        <f>VLOOKUP(B61,Cotizaciones!B:D,3,0)</f>
        <v>1014.4279318818811</v>
      </c>
      <c r="F61" s="13">
        <f t="shared" si="3"/>
        <v>0</v>
      </c>
      <c r="G61" s="889"/>
    </row>
    <row r="62" spans="2:19" outlineLevel="1">
      <c r="B62" s="621" t="s">
        <v>900</v>
      </c>
      <c r="C62" s="405" t="s">
        <v>523</v>
      </c>
      <c r="D62" s="253">
        <v>1</v>
      </c>
      <c r="E62" s="405">
        <f>VLOOKUP(B62,Cotizaciones!B:D,3,0)</f>
        <v>960.65248133888144</v>
      </c>
      <c r="F62" s="13">
        <f t="shared" si="3"/>
        <v>960.65248133888144</v>
      </c>
      <c r="G62" s="889"/>
    </row>
    <row r="63" spans="2:19" outlineLevel="1">
      <c r="B63" s="621" t="s">
        <v>892</v>
      </c>
      <c r="C63" s="405" t="s">
        <v>523</v>
      </c>
      <c r="D63" s="253">
        <v>1</v>
      </c>
      <c r="E63" s="405">
        <f>VLOOKUP(B63,Cotizaciones!B:D,3,0)</f>
        <v>960.65248133888144</v>
      </c>
      <c r="F63" s="13">
        <f t="shared" si="3"/>
        <v>960.65248133888144</v>
      </c>
      <c r="G63" s="889"/>
    </row>
    <row r="64" spans="2:19" outlineLevel="1">
      <c r="B64" s="1217" t="s">
        <v>1608</v>
      </c>
      <c r="C64" s="1205"/>
      <c r="D64" s="1218"/>
      <c r="E64" s="405"/>
      <c r="F64" s="13"/>
      <c r="G64" s="890"/>
    </row>
    <row r="65" spans="2:7" outlineLevel="1">
      <c r="B65" s="621" t="s">
        <v>880</v>
      </c>
      <c r="C65" s="405" t="s">
        <v>532</v>
      </c>
      <c r="D65" s="253">
        <v>0.5</v>
      </c>
      <c r="E65" s="405">
        <f>VLOOKUP(B65,Cotizaciones!B:D,3,0)</f>
        <v>6715.6585912510009</v>
      </c>
      <c r="F65" s="13">
        <f t="shared" ref="F65:F68" si="4">+D65*E65</f>
        <v>3357.8292956255004</v>
      </c>
      <c r="G65" s="889"/>
    </row>
    <row r="66" spans="2:7" outlineLevel="1">
      <c r="B66" s="621" t="s">
        <v>897</v>
      </c>
      <c r="C66" s="405" t="s">
        <v>523</v>
      </c>
      <c r="D66" s="253">
        <v>2</v>
      </c>
      <c r="E66" s="405">
        <f>VLOOKUP(B66,Cotizaciones!B:D,3,0)</f>
        <v>571.84026519794895</v>
      </c>
      <c r="F66" s="13">
        <f t="shared" si="4"/>
        <v>1143.6805303958979</v>
      </c>
      <c r="G66" s="889"/>
    </row>
    <row r="67" spans="2:7" outlineLevel="1">
      <c r="B67" s="621" t="s">
        <v>893</v>
      </c>
      <c r="C67" s="405" t="s">
        <v>56</v>
      </c>
      <c r="D67" s="253">
        <v>1</v>
      </c>
      <c r="E67" s="405">
        <f>VLOOKUP(B67,Cotizaciones!B:D,3,0)</f>
        <v>723.32177143942408</v>
      </c>
      <c r="F67" s="13">
        <f t="shared" si="4"/>
        <v>723.32177143942408</v>
      </c>
      <c r="G67" s="889"/>
    </row>
    <row r="68" spans="2:7" outlineLevel="1">
      <c r="B68" s="621" t="s">
        <v>883</v>
      </c>
      <c r="C68" s="405" t="s">
        <v>523</v>
      </c>
      <c r="D68" s="253">
        <v>1</v>
      </c>
      <c r="E68" s="405">
        <f>VLOOKUP(B68,Cotizaciones!B:D,3,0)</f>
        <v>586.2148154031205</v>
      </c>
      <c r="F68" s="13">
        <f t="shared" si="4"/>
        <v>586.2148154031205</v>
      </c>
      <c r="G68" s="889"/>
    </row>
    <row r="69" spans="2:7" outlineLevel="1">
      <c r="B69" s="1217" t="s">
        <v>1609</v>
      </c>
      <c r="C69" s="1205"/>
      <c r="D69" s="1218"/>
      <c r="E69" s="1205"/>
      <c r="F69" s="1205"/>
      <c r="G69" s="890"/>
    </row>
    <row r="70" spans="2:7" outlineLevel="1">
      <c r="B70" s="621" t="s">
        <v>881</v>
      </c>
      <c r="C70" s="405" t="s">
        <v>532</v>
      </c>
      <c r="D70" s="253">
        <v>1</v>
      </c>
      <c r="E70" s="405">
        <f>VLOOKUP(B70,Cotizaciones!B:D,3,0)</f>
        <v>5296.1072021271093</v>
      </c>
      <c r="F70" s="13">
        <f t="shared" ref="F70:F74" si="5">+D70*E70</f>
        <v>5296.1072021271093</v>
      </c>
      <c r="G70" s="890"/>
    </row>
    <row r="71" spans="2:7" outlineLevel="1">
      <c r="B71" s="621" t="s">
        <v>898</v>
      </c>
      <c r="C71" s="405" t="s">
        <v>523</v>
      </c>
      <c r="D71" s="253">
        <v>3</v>
      </c>
      <c r="E71" s="405">
        <f>VLOOKUP(B71,Cotizaciones!B:D,3,0)</f>
        <v>432.16181402763635</v>
      </c>
      <c r="F71" s="13">
        <f t="shared" si="5"/>
        <v>1296.485442082909</v>
      </c>
      <c r="G71" s="889"/>
    </row>
    <row r="72" spans="2:7" outlineLevel="1">
      <c r="B72" s="621" t="s">
        <v>906</v>
      </c>
      <c r="C72" s="405" t="s">
        <v>523</v>
      </c>
      <c r="D72" s="253">
        <v>3</v>
      </c>
      <c r="E72" s="405">
        <f>VLOOKUP(B72,Cotizaciones!B:D,3,0)</f>
        <v>399.5500912193466</v>
      </c>
      <c r="F72" s="13">
        <f t="shared" si="5"/>
        <v>1198.6502736580399</v>
      </c>
      <c r="G72" s="889"/>
    </row>
    <row r="73" spans="2:7" outlineLevel="1">
      <c r="B73" s="621" t="s">
        <v>894</v>
      </c>
      <c r="C73" s="405" t="s">
        <v>523</v>
      </c>
      <c r="D73" s="253">
        <v>2</v>
      </c>
      <c r="E73" s="405">
        <f>VLOOKUP(B73,Cotizaciones!B:D,3,0)</f>
        <v>658.67933309161651</v>
      </c>
      <c r="F73" s="13">
        <f t="shared" si="5"/>
        <v>1317.358666183233</v>
      </c>
      <c r="G73" s="889"/>
    </row>
    <row r="74" spans="2:7" outlineLevel="1">
      <c r="B74" s="621" t="s">
        <v>884</v>
      </c>
      <c r="C74" s="405" t="s">
        <v>523</v>
      </c>
      <c r="D74" s="253">
        <v>1</v>
      </c>
      <c r="E74" s="405">
        <f>VLOOKUP(B74,Cotizaciones!B:D,3,0)</f>
        <v>361.83841571850348</v>
      </c>
      <c r="F74" s="13">
        <f t="shared" si="5"/>
        <v>361.83841571850348</v>
      </c>
      <c r="G74" s="889"/>
    </row>
    <row r="75" spans="2:7" outlineLevel="1">
      <c r="B75" s="1217" t="s">
        <v>1610</v>
      </c>
      <c r="C75" s="405"/>
      <c r="D75" s="483"/>
      <c r="E75" s="405"/>
      <c r="F75" s="13"/>
      <c r="G75" s="890"/>
    </row>
    <row r="76" spans="2:7" outlineLevel="1">
      <c r="B76" s="621" t="s">
        <v>901</v>
      </c>
      <c r="C76" s="405" t="s">
        <v>523</v>
      </c>
      <c r="D76" s="483">
        <f>+D55*3</f>
        <v>6</v>
      </c>
      <c r="E76" s="405">
        <f>VLOOKUP(B76,Cotizaciones!B:D,3,0)</f>
        <v>696.15430192740439</v>
      </c>
      <c r="F76" s="13">
        <f t="shared" ref="F76:F93" si="6">+D76*E76</f>
        <v>4176.9258115644261</v>
      </c>
      <c r="G76" s="1220"/>
    </row>
    <row r="77" spans="2:7" outlineLevel="1">
      <c r="B77" s="621" t="s">
        <v>902</v>
      </c>
      <c r="C77" s="405" t="s">
        <v>56</v>
      </c>
      <c r="D77" s="483">
        <f>+(D60+D65+D70)*3</f>
        <v>6</v>
      </c>
      <c r="E77" s="405">
        <f>VLOOKUP(B77,Cotizaciones!B:D,3,0)</f>
        <v>424.18910317282183</v>
      </c>
      <c r="F77" s="13">
        <f t="shared" si="6"/>
        <v>2545.1346190369309</v>
      </c>
      <c r="G77" s="1220"/>
    </row>
    <row r="78" spans="2:7" outlineLevel="1">
      <c r="B78" s="621" t="s">
        <v>903</v>
      </c>
      <c r="C78" s="405" t="s">
        <v>523</v>
      </c>
      <c r="D78" s="253">
        <v>1</v>
      </c>
      <c r="E78" s="405">
        <f>VLOOKUP(B78,Cotizaciones!B:D,3,0)</f>
        <v>653.42874888493702</v>
      </c>
      <c r="F78" s="13">
        <f t="shared" si="6"/>
        <v>653.42874888493702</v>
      </c>
      <c r="G78" s="1221"/>
    </row>
    <row r="79" spans="2:7" outlineLevel="1">
      <c r="B79" s="621" t="s">
        <v>904</v>
      </c>
      <c r="C79" s="405" t="s">
        <v>56</v>
      </c>
      <c r="D79" s="253">
        <v>2</v>
      </c>
      <c r="E79" s="405">
        <f>VLOOKUP(B79,Cotizaciones!B:D,3,0)</f>
        <v>4518.7194765102995</v>
      </c>
      <c r="F79" s="13">
        <f t="shared" si="6"/>
        <v>9037.438953020599</v>
      </c>
      <c r="G79" s="1220"/>
    </row>
    <row r="80" spans="2:7" outlineLevel="1">
      <c r="B80" s="621" t="s">
        <v>890</v>
      </c>
      <c r="C80" s="405" t="s">
        <v>56</v>
      </c>
      <c r="D80" s="253">
        <v>0</v>
      </c>
      <c r="E80" s="405">
        <f>VLOOKUP(B80,Cotizaciones!B:D,3,0)</f>
        <v>2240.299472021271</v>
      </c>
      <c r="F80" s="13">
        <f t="shared" si="6"/>
        <v>0</v>
      </c>
      <c r="G80" s="1221"/>
    </row>
    <row r="81" spans="2:20" outlineLevel="1">
      <c r="B81" s="621" t="s">
        <v>889</v>
      </c>
      <c r="C81" s="405" t="s">
        <v>56</v>
      </c>
      <c r="D81" s="253">
        <v>1</v>
      </c>
      <c r="E81" s="405">
        <f>VLOOKUP(B81,Cotizaciones!B:D,3,0)</f>
        <v>3362.0093201424979</v>
      </c>
      <c r="F81" s="13">
        <f t="shared" si="6"/>
        <v>3362.0093201424979</v>
      </c>
      <c r="G81" s="1220"/>
    </row>
    <row r="82" spans="2:20" outlineLevel="1">
      <c r="B82" s="621" t="s">
        <v>888</v>
      </c>
      <c r="C82" s="405" t="s">
        <v>56</v>
      </c>
      <c r="D82" s="253">
        <v>2</v>
      </c>
      <c r="E82" s="405">
        <f>VLOOKUP(B82,Cotizaciones!B:D,3,0)</f>
        <v>4732.89597080981</v>
      </c>
      <c r="F82" s="13">
        <f t="shared" si="6"/>
        <v>9465.79194161962</v>
      </c>
      <c r="G82" s="1221"/>
    </row>
    <row r="83" spans="2:20" outlineLevel="1">
      <c r="B83" s="621" t="s">
        <v>908</v>
      </c>
      <c r="C83" s="405" t="s">
        <v>56</v>
      </c>
      <c r="D83" s="253">
        <v>0</v>
      </c>
      <c r="E83" s="405">
        <f>VLOOKUP(B83,Cotizaciones!B:D,3,0)</f>
        <v>6006.9588360756688</v>
      </c>
      <c r="F83" s="13">
        <f t="shared" si="6"/>
        <v>0</v>
      </c>
      <c r="G83" s="1220"/>
    </row>
    <row r="84" spans="2:20" outlineLevel="1">
      <c r="B84" s="621" t="s">
        <v>909</v>
      </c>
      <c r="C84" s="405" t="s">
        <v>56</v>
      </c>
      <c r="D84" s="253">
        <v>0</v>
      </c>
      <c r="E84" s="405">
        <f>VLOOKUP(B84,Cotizaciones!B:D,3,0)</f>
        <v>7761.1919307999106</v>
      </c>
      <c r="F84" s="13">
        <f t="shared" si="6"/>
        <v>0</v>
      </c>
      <c r="G84" s="1220"/>
    </row>
    <row r="85" spans="2:20" outlineLevel="1">
      <c r="B85" s="621" t="s">
        <v>913</v>
      </c>
      <c r="C85" s="405" t="s">
        <v>56</v>
      </c>
      <c r="D85" s="253">
        <v>2</v>
      </c>
      <c r="E85" s="1219">
        <v>5000</v>
      </c>
      <c r="F85" s="13">
        <f t="shared" si="6"/>
        <v>10000</v>
      </c>
      <c r="G85" s="1220"/>
    </row>
    <row r="86" spans="2:20" outlineLevel="1">
      <c r="B86" s="621" t="s">
        <v>912</v>
      </c>
      <c r="C86" s="405" t="s">
        <v>56</v>
      </c>
      <c r="D86" s="253">
        <v>0</v>
      </c>
      <c r="E86" s="405">
        <f>VLOOKUP(B86,Cotizaciones!B:D,3,0)</f>
        <v>9528.6698393733786</v>
      </c>
      <c r="F86" s="13">
        <f t="shared" si="6"/>
        <v>0</v>
      </c>
      <c r="G86" s="1220"/>
    </row>
    <row r="87" spans="2:20" outlineLevel="1">
      <c r="B87" s="621" t="s">
        <v>914</v>
      </c>
      <c r="C87" s="405" t="s">
        <v>56</v>
      </c>
      <c r="D87" s="253">
        <v>1</v>
      </c>
      <c r="E87" s="405">
        <f>VLOOKUP(B87,Cotizaciones!B:D,3,0)</f>
        <v>4507.7018571913659</v>
      </c>
      <c r="F87" s="13">
        <f t="shared" si="6"/>
        <v>4507.7018571913659</v>
      </c>
      <c r="G87" s="1220"/>
    </row>
    <row r="88" spans="2:20" outlineLevel="1">
      <c r="B88" s="621" t="s">
        <v>885</v>
      </c>
      <c r="C88" s="405" t="s">
        <v>56</v>
      </c>
      <c r="D88" s="253">
        <v>1</v>
      </c>
      <c r="E88" s="405">
        <f>VLOOKUP(B88,Cotizaciones!B:D,3,0)</f>
        <v>9878.3824182047356</v>
      </c>
      <c r="F88" s="13">
        <f t="shared" si="6"/>
        <v>9878.3824182047356</v>
      </c>
      <c r="G88" s="889"/>
    </row>
    <row r="89" spans="2:20" outlineLevel="1">
      <c r="B89" s="621" t="s">
        <v>921</v>
      </c>
      <c r="C89" s="405" t="s">
        <v>56</v>
      </c>
      <c r="D89" s="253">
        <v>2</v>
      </c>
      <c r="E89" s="405">
        <f>VLOOKUP(B89,Cotizaciones!B:D,3,0)</f>
        <v>9863.9863492118311</v>
      </c>
      <c r="F89" s="13">
        <f t="shared" si="6"/>
        <v>19727.972698423662</v>
      </c>
      <c r="G89" s="889"/>
    </row>
    <row r="90" spans="2:20" outlineLevel="1">
      <c r="B90" s="621" t="s">
        <v>1605</v>
      </c>
      <c r="C90" s="405" t="s">
        <v>56</v>
      </c>
      <c r="D90" s="253">
        <v>1</v>
      </c>
      <c r="E90" s="405">
        <f>VLOOKUP(B90,Cotizaciones!B:D,3,0)</f>
        <v>6417.289839948894</v>
      </c>
      <c r="F90" s="13">
        <f t="shared" si="6"/>
        <v>6417.289839948894</v>
      </c>
      <c r="G90" s="889"/>
    </row>
    <row r="91" spans="2:20" outlineLevel="1">
      <c r="B91" s="621" t="s">
        <v>916</v>
      </c>
      <c r="C91" s="405" t="s">
        <v>56</v>
      </c>
      <c r="D91" s="253">
        <v>0</v>
      </c>
      <c r="E91" s="405">
        <f>VLOOKUP(B91,Cotizaciones!B:D,3,0)</f>
        <v>3704.4377893264736</v>
      </c>
      <c r="F91" s="13">
        <f t="shared" si="6"/>
        <v>0</v>
      </c>
      <c r="G91" s="889"/>
    </row>
    <row r="92" spans="2:20" outlineLevel="1">
      <c r="B92" s="621" t="s">
        <v>917</v>
      </c>
      <c r="C92" s="405" t="s">
        <v>56</v>
      </c>
      <c r="D92" s="253">
        <v>0</v>
      </c>
      <c r="E92" s="405">
        <f>VLOOKUP(B92,Cotizaciones!B:D,3,0)</f>
        <v>4644.8303320154009</v>
      </c>
      <c r="F92" s="13">
        <f t="shared" si="6"/>
        <v>0</v>
      </c>
      <c r="G92" s="889"/>
    </row>
    <row r="93" spans="2:20" outlineLevel="1">
      <c r="B93" s="621" t="s">
        <v>924</v>
      </c>
      <c r="C93" s="405" t="s">
        <v>56</v>
      </c>
      <c r="D93" s="253">
        <v>1</v>
      </c>
      <c r="E93" s="405">
        <f>VLOOKUP(B93,Cotizaciones!B:D,3,0)</f>
        <v>3447.2882759255745</v>
      </c>
      <c r="F93" s="13">
        <f t="shared" si="6"/>
        <v>3447.2882759255745</v>
      </c>
      <c r="G93" s="889"/>
      <c r="I93" s="1" t="s">
        <v>1571</v>
      </c>
      <c r="O93" s="518">
        <f>(+K93*$K$3+L93*$L$3+M93*$M$3+N93*$N$3)*J93</f>
        <v>0</v>
      </c>
    </row>
    <row r="94" spans="2:20" outlineLevel="1">
      <c r="B94" s="1217" t="s">
        <v>1611</v>
      </c>
      <c r="C94" s="1205"/>
      <c r="D94" s="1218"/>
      <c r="E94" s="1205"/>
      <c r="F94" s="1205"/>
      <c r="G94" s="890"/>
      <c r="I94" s="1" t="s">
        <v>1572</v>
      </c>
      <c r="J94" s="1">
        <v>0.5</v>
      </c>
      <c r="M94" s="1">
        <v>1</v>
      </c>
      <c r="O94" s="518">
        <f>(+K94*$K$3+L94*$L$3+M94*$M$3+N94*$N$3)*J94</f>
        <v>36066.069182795058</v>
      </c>
      <c r="P94" s="357"/>
      <c r="R94" s="771">
        <f>+R96/T96</f>
        <v>0.38815803236336804</v>
      </c>
      <c r="S94" s="771">
        <f>+S96/T96</f>
        <v>0.61184196763663201</v>
      </c>
    </row>
    <row r="95" spans="2:20" outlineLevel="1">
      <c r="B95" s="14" t="s">
        <v>1569</v>
      </c>
      <c r="C95" s="406" t="s">
        <v>54</v>
      </c>
      <c r="D95" s="14">
        <v>0.2</v>
      </c>
      <c r="E95" s="14">
        <f>+SUM(F55:F93)</f>
        <v>160485.91800825298</v>
      </c>
      <c r="F95" s="14">
        <f t="shared" ref="F95" si="7">+D95*E95</f>
        <v>32097.183601650599</v>
      </c>
      <c r="G95" s="1208"/>
      <c r="I95" s="1" t="s">
        <v>1624</v>
      </c>
      <c r="J95" s="1">
        <v>1</v>
      </c>
      <c r="K95" s="1">
        <v>1</v>
      </c>
      <c r="M95" s="1">
        <v>1</v>
      </c>
      <c r="O95" s="518">
        <f>(+K95*$K$3+L95*$L$3+M95*$M$3+N95*$N$3)*J95</f>
        <v>166309.27624912898</v>
      </c>
      <c r="P95" s="357"/>
      <c r="R95" s="105" t="s">
        <v>291</v>
      </c>
      <c r="S95" s="105" t="s">
        <v>1041</v>
      </c>
      <c r="T95" s="105" t="s">
        <v>188</v>
      </c>
    </row>
    <row r="96" spans="2:20" outlineLevel="1">
      <c r="B96" s="906"/>
      <c r="C96" s="442"/>
      <c r="D96" s="907"/>
      <c r="E96" s="396"/>
      <c r="F96" s="499">
        <f>+SUM(F54:F95)</f>
        <v>192583.10160990356</v>
      </c>
      <c r="G96" s="499">
        <f>+SUM(G53:G95)</f>
        <v>192583.10160990356</v>
      </c>
      <c r="O96" s="3">
        <f>+SUM(O93:O95)</f>
        <v>202375.34543192404</v>
      </c>
      <c r="P96" s="879">
        <f>+O96*$O$3</f>
        <v>303563.01814788603</v>
      </c>
      <c r="Q96" s="1" t="s">
        <v>529</v>
      </c>
      <c r="R96" s="1">
        <f>+G96</f>
        <v>192583.10160990356</v>
      </c>
      <c r="S96" s="1">
        <f>+P96</f>
        <v>303563.01814788603</v>
      </c>
      <c r="T96" s="1">
        <f>+SUM(R96:S96)</f>
        <v>496146.11975778959</v>
      </c>
    </row>
    <row r="97" spans="2:16" outlineLevel="1">
      <c r="B97" s="1"/>
      <c r="F97" s="445" t="s">
        <v>1951</v>
      </c>
      <c r="G97" s="1">
        <v>11</v>
      </c>
      <c r="O97" s="445" t="s">
        <v>1951</v>
      </c>
      <c r="P97" s="1">
        <v>11</v>
      </c>
    </row>
    <row r="98" spans="2:16" outlineLevel="1">
      <c r="G98" s="411">
        <f>+G96*G97</f>
        <v>2118414.1177089391</v>
      </c>
      <c r="P98" s="411">
        <f>+P96*P97</f>
        <v>3339193.1996267466</v>
      </c>
    </row>
    <row r="99" spans="2:16" outlineLevel="1"/>
    <row r="100" spans="2:16" outlineLevel="1"/>
    <row r="101" spans="2:16" outlineLevel="1">
      <c r="B101" s="1214" t="s">
        <v>2452</v>
      </c>
      <c r="C101" s="399"/>
      <c r="D101" s="400"/>
      <c r="E101" s="399"/>
      <c r="F101" s="399"/>
      <c r="G101" s="499">
        <f>+SUM(F102:F143)</f>
        <v>252155.07049610667</v>
      </c>
      <c r="I101" s="105"/>
      <c r="J101" s="105"/>
      <c r="K101" s="879"/>
      <c r="L101" s="879"/>
      <c r="M101" s="879"/>
      <c r="N101" s="879"/>
    </row>
    <row r="102" spans="2:16" outlineLevel="1">
      <c r="B102" s="1215" t="s">
        <v>1606</v>
      </c>
      <c r="C102" s="1203"/>
      <c r="D102" s="1216"/>
      <c r="E102" s="1203"/>
      <c r="F102" s="1203"/>
      <c r="G102" s="1196"/>
    </row>
    <row r="103" spans="2:16" outlineLevel="1">
      <c r="B103" s="621" t="s">
        <v>877</v>
      </c>
      <c r="C103" s="405" t="s">
        <v>532</v>
      </c>
      <c r="D103" s="253">
        <v>3</v>
      </c>
      <c r="E103" s="13">
        <f>VLOOKUP(B103,Cotizaciones!B:D,3,0)</f>
        <v>15376.594074713537</v>
      </c>
      <c r="F103" s="13">
        <f t="shared" ref="F103:F106" si="8">+D103*E103</f>
        <v>46129.78222414061</v>
      </c>
      <c r="G103" s="889"/>
    </row>
    <row r="104" spans="2:16" outlineLevel="1">
      <c r="B104" s="621" t="s">
        <v>899</v>
      </c>
      <c r="C104" s="405" t="s">
        <v>56</v>
      </c>
      <c r="D104" s="253">
        <v>7</v>
      </c>
      <c r="E104" s="405">
        <f>VLOOKUP(B104,Cotizaciones!B:D,3,0)</f>
        <v>2066.7612083541962</v>
      </c>
      <c r="F104" s="13">
        <f t="shared" si="8"/>
        <v>14467.328458479373</v>
      </c>
      <c r="G104" s="889"/>
    </row>
    <row r="105" spans="2:16" outlineLevel="1">
      <c r="B105" s="621" t="s">
        <v>891</v>
      </c>
      <c r="C105" s="405" t="s">
        <v>56</v>
      </c>
      <c r="D105" s="253">
        <f>+D103</f>
        <v>3</v>
      </c>
      <c r="E105" s="405">
        <f>VLOOKUP(B105,Cotizaciones!B:D,3,0)</f>
        <v>2137.1599224203919</v>
      </c>
      <c r="F105" s="13">
        <f t="shared" si="8"/>
        <v>6411.4797672611758</v>
      </c>
      <c r="G105" s="889"/>
    </row>
    <row r="106" spans="2:16" outlineLevel="1">
      <c r="B106" s="621" t="s">
        <v>882</v>
      </c>
      <c r="C106" s="405" t="s">
        <v>56</v>
      </c>
      <c r="D106" s="253">
        <v>6</v>
      </c>
      <c r="E106" s="405">
        <f>VLOOKUP(B106,Cotizaciones!B:D,3,0)</f>
        <v>1603.0205733294201</v>
      </c>
      <c r="F106" s="13">
        <f t="shared" si="8"/>
        <v>9618.1234399765199</v>
      </c>
      <c r="G106" s="889"/>
    </row>
    <row r="107" spans="2:16" outlineLevel="1">
      <c r="B107" s="1217" t="s">
        <v>1607</v>
      </c>
      <c r="C107" s="1205"/>
      <c r="D107" s="1218"/>
      <c r="E107" s="1205"/>
      <c r="F107" s="1205"/>
      <c r="G107" s="890"/>
    </row>
    <row r="108" spans="2:16" outlineLevel="1">
      <c r="B108" s="621" t="s">
        <v>878</v>
      </c>
      <c r="C108" s="405" t="s">
        <v>532</v>
      </c>
      <c r="D108" s="253">
        <v>0.5</v>
      </c>
      <c r="E108" s="13">
        <f>VLOOKUP(B108,Cotizaciones!B:D,3,0)</f>
        <v>8313.6868058265281</v>
      </c>
      <c r="F108" s="13">
        <f t="shared" ref="F108:F111" si="9">+D108*E108</f>
        <v>4156.8434029132641</v>
      </c>
      <c r="G108" s="890"/>
    </row>
    <row r="109" spans="2:16" outlineLevel="1">
      <c r="B109" s="621" t="s">
        <v>896</v>
      </c>
      <c r="C109" s="405" t="s">
        <v>56</v>
      </c>
      <c r="D109" s="253">
        <v>0</v>
      </c>
      <c r="E109" s="405">
        <f>VLOOKUP(B109,Cotizaciones!B:D,3,0)</f>
        <v>1014.4279318818811</v>
      </c>
      <c r="F109" s="13">
        <f t="shared" si="9"/>
        <v>0</v>
      </c>
      <c r="G109" s="889"/>
    </row>
    <row r="110" spans="2:16" outlineLevel="1">
      <c r="B110" s="621" t="s">
        <v>900</v>
      </c>
      <c r="C110" s="405" t="s">
        <v>523</v>
      </c>
      <c r="D110" s="253">
        <v>1</v>
      </c>
      <c r="E110" s="405">
        <f>VLOOKUP(B110,Cotizaciones!B:D,3,0)</f>
        <v>960.65248133888144</v>
      </c>
      <c r="F110" s="13">
        <f t="shared" si="9"/>
        <v>960.65248133888144</v>
      </c>
      <c r="G110" s="889"/>
    </row>
    <row r="111" spans="2:16" outlineLevel="1">
      <c r="B111" s="621" t="s">
        <v>892</v>
      </c>
      <c r="C111" s="405" t="s">
        <v>523</v>
      </c>
      <c r="D111" s="253">
        <v>1</v>
      </c>
      <c r="E111" s="405">
        <f>VLOOKUP(B111,Cotizaciones!B:D,3,0)</f>
        <v>960.65248133888144</v>
      </c>
      <c r="F111" s="13">
        <f t="shared" si="9"/>
        <v>960.65248133888144</v>
      </c>
      <c r="G111" s="889"/>
    </row>
    <row r="112" spans="2:16" outlineLevel="1">
      <c r="B112" s="1217" t="s">
        <v>1608</v>
      </c>
      <c r="C112" s="1205"/>
      <c r="D112" s="1218"/>
      <c r="E112" s="405"/>
      <c r="F112" s="13"/>
      <c r="G112" s="890"/>
    </row>
    <row r="113" spans="2:7" outlineLevel="1">
      <c r="B113" s="621" t="s">
        <v>880</v>
      </c>
      <c r="C113" s="405" t="s">
        <v>532</v>
      </c>
      <c r="D113" s="253">
        <v>0.5</v>
      </c>
      <c r="E113" s="405">
        <f>VLOOKUP(B113,Cotizaciones!B:D,3,0)</f>
        <v>6715.6585912510009</v>
      </c>
      <c r="F113" s="13">
        <f t="shared" ref="F113:F116" si="10">+D113*E113</f>
        <v>3357.8292956255004</v>
      </c>
      <c r="G113" s="889"/>
    </row>
    <row r="114" spans="2:7" outlineLevel="1">
      <c r="B114" s="621" t="s">
        <v>897</v>
      </c>
      <c r="C114" s="405" t="s">
        <v>523</v>
      </c>
      <c r="D114" s="253">
        <v>2</v>
      </c>
      <c r="E114" s="405">
        <f>VLOOKUP(B114,Cotizaciones!B:D,3,0)</f>
        <v>571.84026519794895</v>
      </c>
      <c r="F114" s="13">
        <f t="shared" si="10"/>
        <v>1143.6805303958979</v>
      </c>
      <c r="G114" s="889"/>
    </row>
    <row r="115" spans="2:7" outlineLevel="1">
      <c r="B115" s="621" t="s">
        <v>893</v>
      </c>
      <c r="C115" s="405" t="s">
        <v>56</v>
      </c>
      <c r="D115" s="253">
        <v>1</v>
      </c>
      <c r="E115" s="405">
        <f>VLOOKUP(B115,Cotizaciones!B:D,3,0)</f>
        <v>723.32177143942408</v>
      </c>
      <c r="F115" s="13">
        <f t="shared" si="10"/>
        <v>723.32177143942408</v>
      </c>
      <c r="G115" s="889"/>
    </row>
    <row r="116" spans="2:7" outlineLevel="1">
      <c r="B116" s="621" t="s">
        <v>883</v>
      </c>
      <c r="C116" s="405" t="s">
        <v>523</v>
      </c>
      <c r="D116" s="253">
        <v>1</v>
      </c>
      <c r="E116" s="405">
        <f>VLOOKUP(B116,Cotizaciones!B:D,3,0)</f>
        <v>586.2148154031205</v>
      </c>
      <c r="F116" s="13">
        <f t="shared" si="10"/>
        <v>586.2148154031205</v>
      </c>
      <c r="G116" s="889"/>
    </row>
    <row r="117" spans="2:7" outlineLevel="1">
      <c r="B117" s="1217" t="s">
        <v>1609</v>
      </c>
      <c r="C117" s="1205"/>
      <c r="D117" s="1218"/>
      <c r="E117" s="1205"/>
      <c r="F117" s="1205"/>
      <c r="G117" s="890"/>
    </row>
    <row r="118" spans="2:7" outlineLevel="1">
      <c r="B118" s="621" t="s">
        <v>881</v>
      </c>
      <c r="C118" s="405" t="s">
        <v>532</v>
      </c>
      <c r="D118" s="253">
        <v>2</v>
      </c>
      <c r="E118" s="405">
        <f>VLOOKUP(B118,Cotizaciones!B:D,3,0)</f>
        <v>5296.1072021271093</v>
      </c>
      <c r="F118" s="13">
        <f t="shared" ref="F118:F122" si="11">+D118*E118</f>
        <v>10592.214404254219</v>
      </c>
      <c r="G118" s="890"/>
    </row>
    <row r="119" spans="2:7" outlineLevel="1">
      <c r="B119" s="621" t="s">
        <v>898</v>
      </c>
      <c r="C119" s="405" t="s">
        <v>523</v>
      </c>
      <c r="D119" s="253">
        <v>4</v>
      </c>
      <c r="E119" s="405">
        <f>VLOOKUP(B119,Cotizaciones!B:D,3,0)</f>
        <v>432.16181402763635</v>
      </c>
      <c r="F119" s="13">
        <f t="shared" si="11"/>
        <v>1728.6472561105454</v>
      </c>
      <c r="G119" s="889"/>
    </row>
    <row r="120" spans="2:7" outlineLevel="1">
      <c r="B120" s="621" t="s">
        <v>906</v>
      </c>
      <c r="C120" s="405" t="s">
        <v>523</v>
      </c>
      <c r="D120" s="253">
        <v>4</v>
      </c>
      <c r="E120" s="405">
        <f>VLOOKUP(B120,Cotizaciones!B:D,3,0)</f>
        <v>399.5500912193466</v>
      </c>
      <c r="F120" s="13">
        <f t="shared" si="11"/>
        <v>1598.2003648773864</v>
      </c>
      <c r="G120" s="889"/>
    </row>
    <row r="121" spans="2:7" outlineLevel="1">
      <c r="B121" s="621" t="s">
        <v>894</v>
      </c>
      <c r="C121" s="405" t="s">
        <v>523</v>
      </c>
      <c r="D121" s="253">
        <v>2</v>
      </c>
      <c r="E121" s="405">
        <f>VLOOKUP(B121,Cotizaciones!B:D,3,0)</f>
        <v>658.67933309161651</v>
      </c>
      <c r="F121" s="13">
        <f t="shared" si="11"/>
        <v>1317.358666183233</v>
      </c>
      <c r="G121" s="889"/>
    </row>
    <row r="122" spans="2:7" outlineLevel="1">
      <c r="B122" s="621" t="s">
        <v>884</v>
      </c>
      <c r="C122" s="405" t="s">
        <v>523</v>
      </c>
      <c r="D122" s="253">
        <v>2</v>
      </c>
      <c r="E122" s="405">
        <f>VLOOKUP(B122,Cotizaciones!B:D,3,0)</f>
        <v>361.83841571850348</v>
      </c>
      <c r="F122" s="13">
        <f t="shared" si="11"/>
        <v>723.67683143700697</v>
      </c>
      <c r="G122" s="889"/>
    </row>
    <row r="123" spans="2:7" outlineLevel="1">
      <c r="B123" s="1217" t="s">
        <v>1610</v>
      </c>
      <c r="C123" s="405"/>
      <c r="D123" s="483"/>
      <c r="E123" s="405"/>
      <c r="F123" s="13"/>
      <c r="G123" s="890"/>
    </row>
    <row r="124" spans="2:7" outlineLevel="1">
      <c r="B124" s="621" t="s">
        <v>901</v>
      </c>
      <c r="C124" s="405" t="s">
        <v>523</v>
      </c>
      <c r="D124" s="483">
        <f>+D103*3</f>
        <v>9</v>
      </c>
      <c r="E124" s="405">
        <f>VLOOKUP(B124,Cotizaciones!B:D,3,0)</f>
        <v>696.15430192740439</v>
      </c>
      <c r="F124" s="13">
        <f t="shared" ref="F124:F141" si="12">+D124*E124</f>
        <v>6265.3887173466392</v>
      </c>
      <c r="G124" s="1220"/>
    </row>
    <row r="125" spans="2:7" outlineLevel="1">
      <c r="B125" s="621" t="s">
        <v>902</v>
      </c>
      <c r="C125" s="405" t="s">
        <v>56</v>
      </c>
      <c r="D125" s="483">
        <f>+(D108+D113+D118)*3</f>
        <v>9</v>
      </c>
      <c r="E125" s="405">
        <f>VLOOKUP(B125,Cotizaciones!B:D,3,0)</f>
        <v>424.18910317282183</v>
      </c>
      <c r="F125" s="13">
        <f t="shared" si="12"/>
        <v>3817.7019285553965</v>
      </c>
      <c r="G125" s="1220"/>
    </row>
    <row r="126" spans="2:7" outlineLevel="1">
      <c r="B126" s="621" t="s">
        <v>903</v>
      </c>
      <c r="C126" s="405" t="s">
        <v>523</v>
      </c>
      <c r="D126" s="253">
        <v>1</v>
      </c>
      <c r="E126" s="405">
        <f>VLOOKUP(B126,Cotizaciones!B:D,3,0)</f>
        <v>653.42874888493702</v>
      </c>
      <c r="F126" s="13">
        <f t="shared" si="12"/>
        <v>653.42874888493702</v>
      </c>
      <c r="G126" s="1221"/>
    </row>
    <row r="127" spans="2:7" outlineLevel="1">
      <c r="B127" s="621" t="s">
        <v>904</v>
      </c>
      <c r="C127" s="405" t="s">
        <v>56</v>
      </c>
      <c r="D127" s="253">
        <v>3</v>
      </c>
      <c r="E127" s="405">
        <f>VLOOKUP(B127,Cotizaciones!B:D,3,0)</f>
        <v>4518.7194765102995</v>
      </c>
      <c r="F127" s="13">
        <f t="shared" si="12"/>
        <v>13556.158429530899</v>
      </c>
      <c r="G127" s="1220"/>
    </row>
    <row r="128" spans="2:7" outlineLevel="1">
      <c r="B128" s="621" t="s">
        <v>890</v>
      </c>
      <c r="C128" s="405" t="s">
        <v>56</v>
      </c>
      <c r="D128" s="253">
        <v>0</v>
      </c>
      <c r="E128" s="405">
        <f>VLOOKUP(B128,Cotizaciones!B:D,3,0)</f>
        <v>2240.299472021271</v>
      </c>
      <c r="F128" s="13">
        <f t="shared" si="12"/>
        <v>0</v>
      </c>
      <c r="G128" s="1221"/>
    </row>
    <row r="129" spans="2:20" outlineLevel="1">
      <c r="B129" s="621" t="s">
        <v>889</v>
      </c>
      <c r="C129" s="405" t="s">
        <v>56</v>
      </c>
      <c r="D129" s="253">
        <v>2</v>
      </c>
      <c r="E129" s="405">
        <f>VLOOKUP(B129,Cotizaciones!B:D,3,0)</f>
        <v>3362.0093201424979</v>
      </c>
      <c r="F129" s="13">
        <f t="shared" si="12"/>
        <v>6724.0186402849959</v>
      </c>
      <c r="G129" s="1220"/>
    </row>
    <row r="130" spans="2:20" outlineLevel="1">
      <c r="B130" s="621" t="s">
        <v>888</v>
      </c>
      <c r="C130" s="405" t="s">
        <v>56</v>
      </c>
      <c r="D130" s="253">
        <v>1</v>
      </c>
      <c r="E130" s="405">
        <f>VLOOKUP(B130,Cotizaciones!B:D,3,0)</f>
        <v>4732.89597080981</v>
      </c>
      <c r="F130" s="13">
        <f t="shared" si="12"/>
        <v>4732.89597080981</v>
      </c>
      <c r="G130" s="1221"/>
    </row>
    <row r="131" spans="2:20" outlineLevel="1">
      <c r="B131" s="621" t="s">
        <v>908</v>
      </c>
      <c r="C131" s="405" t="s">
        <v>56</v>
      </c>
      <c r="D131" s="253">
        <v>0</v>
      </c>
      <c r="E131" s="405">
        <f>VLOOKUP(B131,Cotizaciones!B:D,3,0)</f>
        <v>6006.9588360756688</v>
      </c>
      <c r="F131" s="13">
        <f t="shared" si="12"/>
        <v>0</v>
      </c>
      <c r="G131" s="1220"/>
    </row>
    <row r="132" spans="2:20" outlineLevel="1">
      <c r="B132" s="621" t="s">
        <v>909</v>
      </c>
      <c r="C132" s="405" t="s">
        <v>56</v>
      </c>
      <c r="D132" s="253">
        <v>0</v>
      </c>
      <c r="E132" s="405">
        <f>VLOOKUP(B132,Cotizaciones!B:D,3,0)</f>
        <v>7761.1919307999106</v>
      </c>
      <c r="F132" s="13">
        <f t="shared" si="12"/>
        <v>0</v>
      </c>
      <c r="G132" s="1220"/>
    </row>
    <row r="133" spans="2:20" outlineLevel="1">
      <c r="B133" s="621" t="s">
        <v>913</v>
      </c>
      <c r="C133" s="405" t="s">
        <v>56</v>
      </c>
      <c r="D133" s="253">
        <v>3</v>
      </c>
      <c r="E133" s="1219">
        <v>5000</v>
      </c>
      <c r="F133" s="13">
        <f t="shared" si="12"/>
        <v>15000</v>
      </c>
      <c r="G133" s="1220"/>
    </row>
    <row r="134" spans="2:20" outlineLevel="1">
      <c r="B134" s="621" t="s">
        <v>912</v>
      </c>
      <c r="C134" s="405" t="s">
        <v>56</v>
      </c>
      <c r="D134" s="253">
        <v>0</v>
      </c>
      <c r="E134" s="405">
        <f>VLOOKUP(B134,Cotizaciones!B:D,3,0)</f>
        <v>9528.6698393733786</v>
      </c>
      <c r="F134" s="13">
        <f t="shared" si="12"/>
        <v>0</v>
      </c>
      <c r="G134" s="1220"/>
    </row>
    <row r="135" spans="2:20" outlineLevel="1">
      <c r="B135" s="621" t="s">
        <v>914</v>
      </c>
      <c r="C135" s="405" t="s">
        <v>56</v>
      </c>
      <c r="D135" s="253">
        <v>2</v>
      </c>
      <c r="E135" s="405">
        <f>VLOOKUP(B135,Cotizaciones!B:D,3,0)</f>
        <v>4507.7018571913659</v>
      </c>
      <c r="F135" s="13">
        <f t="shared" si="12"/>
        <v>9015.4037143827318</v>
      </c>
      <c r="G135" s="1220"/>
    </row>
    <row r="136" spans="2:20" outlineLevel="1">
      <c r="B136" s="621" t="s">
        <v>885</v>
      </c>
      <c r="C136" s="405" t="s">
        <v>56</v>
      </c>
      <c r="D136" s="253">
        <v>1</v>
      </c>
      <c r="E136" s="405">
        <f>VLOOKUP(B136,Cotizaciones!B:D,3,0)</f>
        <v>9878.3824182047356</v>
      </c>
      <c r="F136" s="13">
        <f t="shared" si="12"/>
        <v>9878.3824182047356</v>
      </c>
      <c r="G136" s="889"/>
    </row>
    <row r="137" spans="2:20" outlineLevel="1">
      <c r="B137" s="621" t="s">
        <v>921</v>
      </c>
      <c r="C137" s="405" t="s">
        <v>56</v>
      </c>
      <c r="D137" s="253">
        <v>2</v>
      </c>
      <c r="E137" s="405">
        <f>VLOOKUP(B137,Cotizaciones!B:D,3,0)</f>
        <v>9863.9863492118311</v>
      </c>
      <c r="F137" s="13">
        <f t="shared" si="12"/>
        <v>19727.972698423662</v>
      </c>
      <c r="G137" s="889"/>
    </row>
    <row r="138" spans="2:20" outlineLevel="1">
      <c r="B138" s="621" t="s">
        <v>1605</v>
      </c>
      <c r="C138" s="405" t="s">
        <v>56</v>
      </c>
      <c r="D138" s="253">
        <v>2</v>
      </c>
      <c r="E138" s="405">
        <f>VLOOKUP(B138,Cotizaciones!B:D,3,0)</f>
        <v>6417.289839948894</v>
      </c>
      <c r="F138" s="13">
        <f t="shared" si="12"/>
        <v>12834.579679897788</v>
      </c>
      <c r="G138" s="889"/>
    </row>
    <row r="139" spans="2:20" outlineLevel="1">
      <c r="B139" s="621" t="s">
        <v>916</v>
      </c>
      <c r="C139" s="405" t="s">
        <v>56</v>
      </c>
      <c r="D139" s="253">
        <v>0</v>
      </c>
      <c r="E139" s="405">
        <f>VLOOKUP(B139,Cotizaciones!B:D,3,0)</f>
        <v>3704.4377893264736</v>
      </c>
      <c r="F139" s="13">
        <f t="shared" si="12"/>
        <v>0</v>
      </c>
      <c r="G139" s="889"/>
    </row>
    <row r="140" spans="2:20" outlineLevel="1">
      <c r="B140" s="621" t="s">
        <v>917</v>
      </c>
      <c r="C140" s="405" t="s">
        <v>56</v>
      </c>
      <c r="D140" s="253">
        <v>0</v>
      </c>
      <c r="E140" s="405">
        <f>VLOOKUP(B140,Cotizaciones!B:D,3,0)</f>
        <v>4644.8303320154009</v>
      </c>
      <c r="F140" s="13">
        <f t="shared" si="12"/>
        <v>0</v>
      </c>
      <c r="G140" s="889"/>
    </row>
    <row r="141" spans="2:20" outlineLevel="1">
      <c r="B141" s="621" t="s">
        <v>924</v>
      </c>
      <c r="C141" s="405" t="s">
        <v>56</v>
      </c>
      <c r="D141" s="253">
        <v>1</v>
      </c>
      <c r="E141" s="405">
        <f>VLOOKUP(B141,Cotizaciones!B:D,3,0)</f>
        <v>3447.2882759255745</v>
      </c>
      <c r="F141" s="13">
        <f t="shared" si="12"/>
        <v>3447.2882759255745</v>
      </c>
      <c r="G141" s="889"/>
      <c r="I141" s="1" t="s">
        <v>1571</v>
      </c>
      <c r="O141" s="518">
        <f>(+K141*$K$3+L141*$L$3+M141*$M$3+N141*$N$3)*J141</f>
        <v>0</v>
      </c>
    </row>
    <row r="142" spans="2:20" outlineLevel="1">
      <c r="B142" s="1217" t="s">
        <v>1611</v>
      </c>
      <c r="C142" s="1205"/>
      <c r="D142" s="1218"/>
      <c r="E142" s="1205"/>
      <c r="F142" s="1205"/>
      <c r="G142" s="890"/>
      <c r="I142" s="1" t="s">
        <v>1572</v>
      </c>
      <c r="J142" s="1">
        <v>1</v>
      </c>
      <c r="M142" s="1">
        <v>1</v>
      </c>
      <c r="O142" s="518">
        <f>(+K142*$K$3+L142*$L$3+M142*$M$3+N142*$N$3)*J142</f>
        <v>72132.138365590115</v>
      </c>
      <c r="P142" s="357"/>
      <c r="R142" s="771">
        <f>+R144/T144</f>
        <v>0.34327869092448171</v>
      </c>
      <c r="S142" s="771">
        <f>+S144/T144</f>
        <v>0.65672130907551829</v>
      </c>
    </row>
    <row r="143" spans="2:20" outlineLevel="1">
      <c r="B143" s="14" t="s">
        <v>1569</v>
      </c>
      <c r="C143" s="406" t="s">
        <v>54</v>
      </c>
      <c r="D143" s="14">
        <v>0.2</v>
      </c>
      <c r="E143" s="14">
        <f>+SUM(F103:F141)</f>
        <v>210129.22541342222</v>
      </c>
      <c r="F143" s="14">
        <f t="shared" ref="F143" si="13">+D143*E143</f>
        <v>42025.845082684449</v>
      </c>
      <c r="G143" s="1208"/>
      <c r="I143" s="1" t="s">
        <v>1624</v>
      </c>
      <c r="J143" s="1">
        <v>1.5</v>
      </c>
      <c r="K143" s="1">
        <v>1</v>
      </c>
      <c r="M143" s="1">
        <v>1</v>
      </c>
      <c r="O143" s="518">
        <f>(+K143*$K$3+L143*$L$3+M143*$M$3+N143*$N$3)*J143</f>
        <v>249463.91437369346</v>
      </c>
      <c r="P143" s="357"/>
      <c r="R143" s="105" t="s">
        <v>291</v>
      </c>
      <c r="S143" s="105" t="s">
        <v>1041</v>
      </c>
      <c r="T143" s="105" t="s">
        <v>188</v>
      </c>
    </row>
    <row r="144" spans="2:20" outlineLevel="1">
      <c r="B144" s="906"/>
      <c r="C144" s="442"/>
      <c r="D144" s="907"/>
      <c r="E144" s="396"/>
      <c r="F144" s="499">
        <f>+SUM(F102:F143)</f>
        <v>252155.07049610667</v>
      </c>
      <c r="G144" s="499">
        <f>+SUM(G101:G143)</f>
        <v>252155.07049610667</v>
      </c>
      <c r="O144" s="3">
        <f>+SUM(O141:O143)</f>
        <v>321596.05273928359</v>
      </c>
      <c r="P144" s="879">
        <f>+O144*$O$3</f>
        <v>482394.07910892542</v>
      </c>
      <c r="Q144" s="1" t="s">
        <v>529</v>
      </c>
      <c r="R144" s="1">
        <f>+G144</f>
        <v>252155.07049610667</v>
      </c>
      <c r="S144" s="1">
        <f>+P144</f>
        <v>482394.07910892542</v>
      </c>
      <c r="T144" s="1">
        <f>+SUM(R144:S144)</f>
        <v>734549.14960503206</v>
      </c>
    </row>
    <row r="145" spans="2:20" outlineLevel="1">
      <c r="B145" s="1"/>
      <c r="F145" s="445" t="s">
        <v>1951</v>
      </c>
      <c r="G145" s="1">
        <v>3</v>
      </c>
      <c r="O145" s="445" t="s">
        <v>1951</v>
      </c>
      <c r="P145" s="1">
        <v>3</v>
      </c>
    </row>
    <row r="146" spans="2:20" outlineLevel="1">
      <c r="G146" s="411">
        <f>+G144*G145</f>
        <v>756465.21148832003</v>
      </c>
      <c r="P146" s="411">
        <f>+P144*P145</f>
        <v>1447182.2373267761</v>
      </c>
    </row>
    <row r="147" spans="2:20" outlineLevel="1"/>
    <row r="148" spans="2:20">
      <c r="R148" s="105" t="s">
        <v>291</v>
      </c>
      <c r="S148" s="105" t="s">
        <v>1041</v>
      </c>
      <c r="T148" s="105" t="s">
        <v>188</v>
      </c>
    </row>
    <row r="149" spans="2:20">
      <c r="B149" s="444" t="s">
        <v>2453</v>
      </c>
      <c r="F149" s="444" t="s">
        <v>1952</v>
      </c>
      <c r="G149" s="1177">
        <f>+G50+G98+G146</f>
        <v>4309627.8633777518</v>
      </c>
      <c r="P149" s="1177">
        <f>+P50+P98+P146</f>
        <v>7439542.8720526136</v>
      </c>
      <c r="R149" s="811">
        <f>+G149</f>
        <v>4309627.8633777518</v>
      </c>
      <c r="S149" s="811">
        <f>+P149</f>
        <v>7439542.8720526136</v>
      </c>
      <c r="T149" s="811">
        <f>+R149+S149</f>
        <v>11749170.735430365</v>
      </c>
    </row>
    <row r="150" spans="2:20">
      <c r="R150" s="409">
        <f>+R149/T149</f>
        <v>0.36680272679856435</v>
      </c>
      <c r="S150" s="409">
        <f>+S149/T149</f>
        <v>0.6331972732014356</v>
      </c>
    </row>
    <row r="151" spans="2:20">
      <c r="R151" s="409"/>
      <c r="S151" s="409"/>
    </row>
    <row r="152" spans="2:20" hidden="1" outlineLevel="1">
      <c r="B152" s="1214" t="s">
        <v>1613</v>
      </c>
      <c r="C152" s="399"/>
      <c r="D152" s="400"/>
      <c r="E152" s="399"/>
      <c r="F152" s="399"/>
      <c r="G152" s="499">
        <f>+SUM(F153:F168)</f>
        <v>1446561.6458157445</v>
      </c>
    </row>
    <row r="153" spans="2:20" hidden="1" outlineLevel="1">
      <c r="B153" s="1222" t="s">
        <v>886</v>
      </c>
      <c r="C153" s="404" t="s">
        <v>56</v>
      </c>
      <c r="D153" s="273">
        <v>4</v>
      </c>
      <c r="E153" s="404">
        <f>VLOOKUP(B153,Cotizaciones!B:D,3,0)</f>
        <v>6989.269977267104</v>
      </c>
      <c r="F153" s="184">
        <f t="shared" ref="F153:F168" si="14">+D153*E153</f>
        <v>27957.079909068416</v>
      </c>
    </row>
    <row r="154" spans="2:20" hidden="1" outlineLevel="1">
      <c r="B154" s="621" t="s">
        <v>887</v>
      </c>
      <c r="C154" s="405" t="s">
        <v>56</v>
      </c>
      <c r="D154" s="253">
        <v>8</v>
      </c>
      <c r="E154" s="405">
        <f>VLOOKUP(B154,Cotizaciones!B:D,3,0)</f>
        <v>2423.2952428966896</v>
      </c>
      <c r="F154" s="13">
        <f t="shared" si="14"/>
        <v>19386.361943173517</v>
      </c>
    </row>
    <row r="155" spans="2:20" hidden="1" outlineLevel="1">
      <c r="B155" s="621" t="s">
        <v>905</v>
      </c>
      <c r="C155" s="405" t="s">
        <v>56</v>
      </c>
      <c r="D155" s="253">
        <v>8</v>
      </c>
      <c r="E155" s="405">
        <f>VLOOKUP(B155,Cotizaciones!B:D,3,0)</f>
        <v>571.84026519794895</v>
      </c>
      <c r="F155" s="13">
        <f t="shared" si="14"/>
        <v>4574.7221215835916</v>
      </c>
    </row>
    <row r="156" spans="2:20" hidden="1" outlineLevel="1">
      <c r="B156" s="621" t="s">
        <v>877</v>
      </c>
      <c r="C156" s="405" t="s">
        <v>56</v>
      </c>
      <c r="D156" s="253">
        <v>0</v>
      </c>
      <c r="E156" s="405">
        <f>VLOOKUP(B156,Cotizaciones!B:D,3,0)</f>
        <v>15376.594074713537</v>
      </c>
      <c r="F156" s="13">
        <f t="shared" si="14"/>
        <v>0</v>
      </c>
    </row>
    <row r="157" spans="2:20" hidden="1" outlineLevel="1">
      <c r="B157" s="621" t="s">
        <v>880</v>
      </c>
      <c r="C157" s="405" t="s">
        <v>56</v>
      </c>
      <c r="D157" s="253">
        <f>7*4</f>
        <v>28</v>
      </c>
      <c r="E157" s="405">
        <f>VLOOKUP(B157,Cotizaciones!B:D,3,0)</f>
        <v>6715.6585912510009</v>
      </c>
      <c r="F157" s="13">
        <f t="shared" si="14"/>
        <v>188038.44055502804</v>
      </c>
    </row>
    <row r="158" spans="2:20" hidden="1" outlineLevel="1">
      <c r="B158" s="621" t="s">
        <v>902</v>
      </c>
      <c r="C158" s="405" t="s">
        <v>56</v>
      </c>
      <c r="D158" s="253">
        <f>+D157*3</f>
        <v>84</v>
      </c>
      <c r="E158" s="405">
        <f>VLOOKUP(B158,Cotizaciones!B:D,3,0)</f>
        <v>424.18910317282183</v>
      </c>
      <c r="F158" s="13">
        <f t="shared" ref="F158" si="15">+D158*E158</f>
        <v>35631.884666517035</v>
      </c>
    </row>
    <row r="159" spans="2:20" hidden="1" outlineLevel="1">
      <c r="B159" s="621" t="s">
        <v>1614</v>
      </c>
      <c r="C159" s="405" t="s">
        <v>56</v>
      </c>
      <c r="D159" s="253">
        <v>4</v>
      </c>
      <c r="E159" s="405">
        <f>VLOOKUP(B159,Cotizaciones!B:D,3,0)</f>
        <v>3556.8244185607937</v>
      </c>
      <c r="F159" s="13">
        <f>+D159*E159</f>
        <v>14227.297674243175</v>
      </c>
    </row>
    <row r="160" spans="2:20" hidden="1" outlineLevel="1">
      <c r="B160" s="1217" t="s">
        <v>1612</v>
      </c>
      <c r="C160" s="405"/>
      <c r="D160" s="253"/>
      <c r="E160" s="405"/>
      <c r="F160" s="13"/>
      <c r="G160" s="3"/>
    </row>
    <row r="161" spans="2:20" hidden="1" outlineLevel="1">
      <c r="B161" s="621" t="s">
        <v>877</v>
      </c>
      <c r="C161" s="405" t="s">
        <v>532</v>
      </c>
      <c r="D161" s="253">
        <f>9*4</f>
        <v>36</v>
      </c>
      <c r="E161" s="405">
        <f>VLOOKUP(B161,Cotizaciones!B:D,3,0)</f>
        <v>15376.594074713537</v>
      </c>
      <c r="F161" s="13">
        <f t="shared" si="14"/>
        <v>553557.38668968738</v>
      </c>
    </row>
    <row r="162" spans="2:20" hidden="1" outlineLevel="1">
      <c r="B162" s="621" t="s">
        <v>908</v>
      </c>
      <c r="C162" s="405" t="s">
        <v>56</v>
      </c>
      <c r="D162" s="253">
        <f>4*7</f>
        <v>28</v>
      </c>
      <c r="E162" s="405">
        <f>VLOOKUP(B162,Cotizaciones!B:D,3,0)</f>
        <v>6006.9588360756688</v>
      </c>
      <c r="F162" s="13">
        <f t="shared" si="14"/>
        <v>168194.84741011873</v>
      </c>
    </row>
    <row r="163" spans="2:20" hidden="1" outlineLevel="1">
      <c r="B163" s="621" t="s">
        <v>891</v>
      </c>
      <c r="C163" s="405" t="s">
        <v>56</v>
      </c>
      <c r="D163" s="253">
        <f>+D162</f>
        <v>28</v>
      </c>
      <c r="E163" s="405">
        <f>VLOOKUP(B163,Cotizaciones!B:D,3,0)</f>
        <v>2137.1599224203919</v>
      </c>
      <c r="F163" s="13">
        <f t="shared" si="14"/>
        <v>59840.47782777097</v>
      </c>
    </row>
    <row r="164" spans="2:20" hidden="1" outlineLevel="1">
      <c r="B164" s="621" t="s">
        <v>899</v>
      </c>
      <c r="C164" s="405" t="s">
        <v>56</v>
      </c>
      <c r="D164" s="253">
        <v>0</v>
      </c>
      <c r="E164" s="405">
        <f>VLOOKUP(B164,Cotizaciones!B:D,3,0)</f>
        <v>2066.7612083541962</v>
      </c>
      <c r="F164" s="13">
        <f t="shared" si="14"/>
        <v>0</v>
      </c>
    </row>
    <row r="165" spans="2:20" hidden="1" outlineLevel="1">
      <c r="B165" s="621" t="s">
        <v>901</v>
      </c>
      <c r="C165" s="405" t="s">
        <v>56</v>
      </c>
      <c r="D165" s="253">
        <f>+D161*3</f>
        <v>108</v>
      </c>
      <c r="E165" s="405">
        <f>VLOOKUP(B165,Cotizaciones!B:D,3,0)</f>
        <v>696.15430192740439</v>
      </c>
      <c r="F165" s="13">
        <f t="shared" si="14"/>
        <v>75184.66460815967</v>
      </c>
    </row>
    <row r="166" spans="2:20" hidden="1" outlineLevel="1">
      <c r="B166" s="621" t="s">
        <v>921</v>
      </c>
      <c r="C166" s="405" t="s">
        <v>56</v>
      </c>
      <c r="D166" s="253">
        <v>6</v>
      </c>
      <c r="E166" s="405">
        <f>VLOOKUP(B166,Cotizaciones!B:D,3,0)</f>
        <v>9863.9863492118311</v>
      </c>
      <c r="F166" s="13">
        <f t="shared" si="14"/>
        <v>59183.918095270987</v>
      </c>
      <c r="I166" s="1" t="s">
        <v>1571</v>
      </c>
      <c r="O166" s="518">
        <f>(+K166*$K$3+L166*$L$3+M166*$M$3+N166*$N$3)*J166</f>
        <v>0</v>
      </c>
    </row>
    <row r="167" spans="2:20" hidden="1" outlineLevel="1">
      <c r="B167" s="1217" t="s">
        <v>1611</v>
      </c>
      <c r="C167" s="405"/>
      <c r="D167" s="253"/>
      <c r="E167" s="405"/>
      <c r="F167" s="13"/>
      <c r="G167" s="3"/>
      <c r="I167" s="1" t="s">
        <v>1962</v>
      </c>
      <c r="J167" s="1">
        <v>4</v>
      </c>
      <c r="M167" s="1">
        <v>1</v>
      </c>
      <c r="O167" s="518">
        <f>(+K167*$K$3+L167*$L$3+M167*$M$3+N167*$N$3)*J167</f>
        <v>288528.55346236046</v>
      </c>
      <c r="P167" s="357"/>
      <c r="R167" s="771"/>
      <c r="S167" s="771"/>
    </row>
    <row r="168" spans="2:20" hidden="1" outlineLevel="1">
      <c r="B168" s="1223" t="s">
        <v>1569</v>
      </c>
      <c r="C168" s="406" t="s">
        <v>54</v>
      </c>
      <c r="D168" s="14">
        <v>0.21</v>
      </c>
      <c r="E168" s="406">
        <f>+SUM(F153:F165)</f>
        <v>1146593.1634053502</v>
      </c>
      <c r="F168" s="14">
        <f t="shared" si="14"/>
        <v>240784.56431512354</v>
      </c>
      <c r="I168" s="1" t="s">
        <v>1624</v>
      </c>
      <c r="J168" s="1">
        <v>7</v>
      </c>
      <c r="K168" s="1">
        <v>1</v>
      </c>
      <c r="M168" s="1">
        <v>1</v>
      </c>
      <c r="O168" s="518">
        <f>(+K168*$K$3+L168*$L$3+M168*$M$3+N168*$N$3)*J168</f>
        <v>1164164.9337439029</v>
      </c>
      <c r="P168" s="357"/>
      <c r="R168" s="105"/>
      <c r="S168" s="105"/>
      <c r="T168" s="105"/>
    </row>
    <row r="169" spans="2:20" hidden="1" outlineLevel="1">
      <c r="B169" s="906"/>
      <c r="C169" s="442"/>
      <c r="D169" s="907"/>
      <c r="E169" s="396"/>
      <c r="F169" s="499">
        <f>+SUM(F153:F168)</f>
        <v>1446561.6458157445</v>
      </c>
      <c r="G169" s="911">
        <f>+SUM(G152:G168)</f>
        <v>1446561.6458157445</v>
      </c>
      <c r="O169" s="3">
        <f>+SUM(O166:O168)</f>
        <v>1452693.4872062635</v>
      </c>
      <c r="P169" s="281">
        <f>+O169*$O$3</f>
        <v>2179040.2308093952</v>
      </c>
      <c r="Q169" s="1" t="s">
        <v>529</v>
      </c>
    </row>
    <row r="170" spans="2:20" hidden="1" outlineLevel="1">
      <c r="B170" s="1"/>
      <c r="C170" s="1"/>
      <c r="D170" s="1"/>
      <c r="O170" s="445"/>
    </row>
    <row r="171" spans="2:20" collapsed="1">
      <c r="B171" s="358"/>
      <c r="C171" s="104"/>
      <c r="D171" s="559"/>
      <c r="E171" s="358"/>
      <c r="F171" s="358"/>
      <c r="G171" s="357"/>
      <c r="H171" s="358"/>
      <c r="I171" s="358"/>
      <c r="J171" s="358"/>
      <c r="K171" s="358"/>
      <c r="L171" s="358"/>
      <c r="M171" s="358"/>
      <c r="N171" s="358"/>
      <c r="O171" s="358"/>
      <c r="P171" s="357"/>
      <c r="Q171" s="358"/>
      <c r="R171" s="105" t="s">
        <v>291</v>
      </c>
      <c r="S171" s="105" t="s">
        <v>1041</v>
      </c>
      <c r="T171" s="105" t="s">
        <v>188</v>
      </c>
    </row>
    <row r="172" spans="2:20">
      <c r="B172" s="444" t="s">
        <v>2455</v>
      </c>
      <c r="F172" s="444" t="s">
        <v>1952</v>
      </c>
      <c r="G172" s="1177">
        <f>+G169</f>
        <v>1446561.6458157445</v>
      </c>
      <c r="P172" s="1177">
        <f>+P169</f>
        <v>2179040.2308093952</v>
      </c>
      <c r="R172" s="811">
        <f>+G172</f>
        <v>1446561.6458157445</v>
      </c>
      <c r="S172" s="811">
        <f>+P172</f>
        <v>2179040.2308093952</v>
      </c>
      <c r="T172" s="811">
        <f>+R172+S172</f>
        <v>3625601.8766251397</v>
      </c>
    </row>
    <row r="173" spans="2:20">
      <c r="B173" s="1"/>
      <c r="R173" s="409">
        <f>+R172/T172</f>
        <v>0.39898524301357213</v>
      </c>
      <c r="S173" s="409">
        <f>+S172/T172</f>
        <v>0.60101475698642792</v>
      </c>
    </row>
    <row r="174" spans="2:20">
      <c r="O174" s="358"/>
      <c r="P174" s="358"/>
    </row>
    <row r="175" spans="2:20">
      <c r="O175" s="358"/>
      <c r="P175" s="357"/>
    </row>
    <row r="176" spans="2:20" hidden="1" outlineLevel="1">
      <c r="B176" s="1214" t="s">
        <v>2454</v>
      </c>
      <c r="C176" s="399"/>
      <c r="D176" s="400"/>
      <c r="E176" s="399"/>
      <c r="F176" s="399"/>
      <c r="G176" s="499">
        <f>+SUM(F177:F194)</f>
        <v>559930.45499047067</v>
      </c>
      <c r="O176" s="358"/>
      <c r="P176" s="358"/>
    </row>
    <row r="177" spans="2:15" hidden="1" outlineLevel="1">
      <c r="B177" s="1222" t="s">
        <v>877</v>
      </c>
      <c r="C177" s="404" t="s">
        <v>56</v>
      </c>
      <c r="D177" s="273">
        <v>12</v>
      </c>
      <c r="E177" s="404">
        <f>VLOOKUP(B177,Cotizaciones!B:D,3,0)</f>
        <v>15376.594074713537</v>
      </c>
      <c r="F177" s="184">
        <f t="shared" ref="F177:F193" si="16">+D177*E177</f>
        <v>184519.12889656244</v>
      </c>
    </row>
    <row r="178" spans="2:15" hidden="1" outlineLevel="1">
      <c r="B178" s="621" t="s">
        <v>895</v>
      </c>
      <c r="C178" s="405" t="s">
        <v>56</v>
      </c>
      <c r="D178" s="253">
        <v>4</v>
      </c>
      <c r="E178" s="405">
        <f>VLOOKUP(B178,Cotizaciones!B:D,3,0)</f>
        <v>2245.1196804733045</v>
      </c>
      <c r="F178" s="13">
        <f t="shared" si="16"/>
        <v>8980.4787218932179</v>
      </c>
    </row>
    <row r="179" spans="2:15" hidden="1" outlineLevel="1">
      <c r="B179" s="621" t="s">
        <v>899</v>
      </c>
      <c r="C179" s="405" t="s">
        <v>56</v>
      </c>
      <c r="D179" s="253">
        <v>5</v>
      </c>
      <c r="E179" s="405">
        <f>VLOOKUP(B179,Cotizaciones!B:D,3,0)</f>
        <v>2066.7612083541962</v>
      </c>
      <c r="F179" s="13">
        <f t="shared" si="16"/>
        <v>10333.806041770982</v>
      </c>
    </row>
    <row r="180" spans="2:15" hidden="1" outlineLevel="1">
      <c r="B180" s="621" t="s">
        <v>888</v>
      </c>
      <c r="C180" s="405" t="s">
        <v>56</v>
      </c>
      <c r="D180" s="253">
        <v>4</v>
      </c>
      <c r="E180" s="405">
        <f>VLOOKUP(B180,Cotizaciones!B:D,3,0)</f>
        <v>4732.89597080981</v>
      </c>
      <c r="F180" s="13">
        <f t="shared" si="16"/>
        <v>18931.58388323924</v>
      </c>
    </row>
    <row r="181" spans="2:15" hidden="1" outlineLevel="1">
      <c r="B181" s="621" t="s">
        <v>1615</v>
      </c>
      <c r="C181" s="405" t="s">
        <v>56</v>
      </c>
      <c r="D181" s="253">
        <v>0</v>
      </c>
      <c r="E181" s="405">
        <f>VLOOKUP(B181,Cotizaciones!B:D,3,0)</f>
        <v>22230.152616004962</v>
      </c>
      <c r="F181" s="13">
        <f t="shared" si="16"/>
        <v>0</v>
      </c>
    </row>
    <row r="182" spans="2:15" hidden="1" outlineLevel="1">
      <c r="B182" s="621" t="s">
        <v>901</v>
      </c>
      <c r="C182" s="405" t="s">
        <v>56</v>
      </c>
      <c r="D182" s="253">
        <f>4*3</f>
        <v>12</v>
      </c>
      <c r="E182" s="405">
        <f>VLOOKUP(B182,Cotizaciones!B:D,3,0)</f>
        <v>696.15430192740439</v>
      </c>
      <c r="F182" s="13">
        <f t="shared" si="16"/>
        <v>8353.8516231288522</v>
      </c>
    </row>
    <row r="183" spans="2:15" hidden="1" outlineLevel="1">
      <c r="B183" s="621" t="s">
        <v>907</v>
      </c>
      <c r="C183" s="405" t="s">
        <v>56</v>
      </c>
      <c r="D183" s="253">
        <v>4</v>
      </c>
      <c r="E183" s="405">
        <f>VLOOKUP(B183,Cotizaciones!B:D,3,0)</f>
        <v>4922.6056034577032</v>
      </c>
      <c r="F183" s="13">
        <f t="shared" si="16"/>
        <v>19690.422413830813</v>
      </c>
    </row>
    <row r="184" spans="2:15" hidden="1" outlineLevel="1">
      <c r="B184" s="621" t="s">
        <v>891</v>
      </c>
      <c r="C184" s="405" t="s">
        <v>56</v>
      </c>
      <c r="D184" s="253">
        <f>+D177</f>
        <v>12</v>
      </c>
      <c r="E184" s="405">
        <f>VLOOKUP(B184,Cotizaciones!B:D,3,0)</f>
        <v>2137.1599224203919</v>
      </c>
      <c r="F184" s="13">
        <f t="shared" si="16"/>
        <v>25645.919069044703</v>
      </c>
      <c r="G184" s="3"/>
    </row>
    <row r="185" spans="2:15" hidden="1" outlineLevel="1">
      <c r="B185" s="621" t="s">
        <v>904</v>
      </c>
      <c r="C185" s="405" t="s">
        <v>56</v>
      </c>
      <c r="D185" s="253">
        <v>1</v>
      </c>
      <c r="E185" s="405">
        <f>VLOOKUP(B185,Cotizaciones!B:D,3,0)</f>
        <v>4518.7194765102995</v>
      </c>
      <c r="F185" s="13">
        <f t="shared" si="16"/>
        <v>4518.7194765102995</v>
      </c>
    </row>
    <row r="186" spans="2:15" hidden="1" outlineLevel="1">
      <c r="B186" s="621" t="s">
        <v>1605</v>
      </c>
      <c r="C186" s="405" t="s">
        <v>56</v>
      </c>
      <c r="D186" s="253">
        <v>1</v>
      </c>
      <c r="E186" s="405">
        <f>VLOOKUP(B186,Cotizaciones!B:D,3,0)</f>
        <v>6417.289839948894</v>
      </c>
      <c r="F186" s="13">
        <f t="shared" si="16"/>
        <v>6417.289839948894</v>
      </c>
    </row>
    <row r="187" spans="2:15" hidden="1" outlineLevel="1">
      <c r="B187" s="621" t="s">
        <v>878</v>
      </c>
      <c r="C187" s="405" t="s">
        <v>56</v>
      </c>
      <c r="D187" s="253">
        <v>0</v>
      </c>
      <c r="E187" s="405">
        <f>VLOOKUP(B187,Cotizaciones!B:D,3,0)</f>
        <v>8313.6868058265281</v>
      </c>
      <c r="F187" s="13">
        <f t="shared" si="16"/>
        <v>0</v>
      </c>
    </row>
    <row r="188" spans="2:15" hidden="1" outlineLevel="1">
      <c r="B188" s="621" t="s">
        <v>896</v>
      </c>
      <c r="C188" s="405" t="s">
        <v>56</v>
      </c>
      <c r="D188" s="253">
        <v>0</v>
      </c>
      <c r="E188" s="405">
        <f>VLOOKUP(B188,Cotizaciones!B:D,3,0)</f>
        <v>1014.4279318818811</v>
      </c>
      <c r="F188" s="13">
        <f t="shared" si="16"/>
        <v>0</v>
      </c>
    </row>
    <row r="189" spans="2:15" hidden="1" outlineLevel="1">
      <c r="B189" s="621" t="s">
        <v>885</v>
      </c>
      <c r="C189" s="405" t="s">
        <v>56</v>
      </c>
      <c r="D189" s="253">
        <v>0</v>
      </c>
      <c r="E189" s="405">
        <f>VLOOKUP(B189,Cotizaciones!B:D,3,0)</f>
        <v>9878.3824182047356</v>
      </c>
      <c r="F189" s="13">
        <f t="shared" si="16"/>
        <v>0</v>
      </c>
    </row>
    <row r="190" spans="2:15" hidden="1" outlineLevel="1">
      <c r="B190" s="621" t="s">
        <v>1616</v>
      </c>
      <c r="C190" s="405" t="s">
        <v>56</v>
      </c>
      <c r="D190" s="253">
        <v>2</v>
      </c>
      <c r="E190" s="405">
        <f>VLOOKUP(B190,Cotizaciones!B:D,3,0)</f>
        <v>84474.579940818861</v>
      </c>
      <c r="F190" s="13">
        <f t="shared" si="16"/>
        <v>168949.15988163772</v>
      </c>
    </row>
    <row r="191" spans="2:15" hidden="1" outlineLevel="1">
      <c r="B191" s="621" t="s">
        <v>924</v>
      </c>
      <c r="C191" s="405" t="s">
        <v>56</v>
      </c>
      <c r="D191" s="253">
        <v>0</v>
      </c>
      <c r="E191" s="405">
        <f>VLOOKUP(B191,Cotizaciones!B:D,3,0)</f>
        <v>3447.2882759255745</v>
      </c>
      <c r="F191" s="13">
        <f t="shared" si="16"/>
        <v>0</v>
      </c>
      <c r="G191" s="3"/>
      <c r="O191" s="920"/>
    </row>
    <row r="192" spans="2:15" hidden="1" outlineLevel="1">
      <c r="B192" s="621" t="s">
        <v>882</v>
      </c>
      <c r="C192" s="405" t="s">
        <v>56</v>
      </c>
      <c r="D192" s="13">
        <v>4</v>
      </c>
      <c r="E192" s="405">
        <f>VLOOKUP(B192,Cotizaciones!B:D,3,0)</f>
        <v>1603.0205733294201</v>
      </c>
      <c r="F192" s="13">
        <f t="shared" si="16"/>
        <v>6412.0822933176805</v>
      </c>
      <c r="O192" s="920"/>
    </row>
    <row r="193" spans="2:20" hidden="1" outlineLevel="1">
      <c r="B193" s="621" t="s">
        <v>924</v>
      </c>
      <c r="C193" s="405" t="s">
        <v>56</v>
      </c>
      <c r="D193" s="253">
        <v>0</v>
      </c>
      <c r="E193" s="405">
        <f>VLOOKUP(B193,Cotizaciones!B:D,3,0)</f>
        <v>3447.2882759255745</v>
      </c>
      <c r="F193" s="13">
        <f t="shared" si="16"/>
        <v>0</v>
      </c>
      <c r="I193" s="1" t="s">
        <v>2456</v>
      </c>
      <c r="J193" s="1">
        <v>2</v>
      </c>
      <c r="M193" s="1">
        <v>2</v>
      </c>
      <c r="O193" s="518">
        <f>(+K193*$K$3+L193*$L$3+M193*$M$3+N193*$N$3)*J193</f>
        <v>288528.55346236046</v>
      </c>
      <c r="P193" s="357"/>
      <c r="R193" s="771"/>
      <c r="S193" s="771"/>
    </row>
    <row r="194" spans="2:20" hidden="1" outlineLevel="1">
      <c r="B194" s="1223" t="s">
        <v>1569</v>
      </c>
      <c r="C194" s="406" t="s">
        <v>54</v>
      </c>
      <c r="D194" s="971">
        <v>0.21</v>
      </c>
      <c r="E194" s="406">
        <f>+SUM(F177:F193)</f>
        <v>462752.44214088481</v>
      </c>
      <c r="F194" s="14">
        <f>+D194*E194</f>
        <v>97178.012849585808</v>
      </c>
      <c r="I194" s="1" t="s">
        <v>1624</v>
      </c>
      <c r="J194" s="1">
        <v>2</v>
      </c>
      <c r="K194" s="1">
        <v>1</v>
      </c>
      <c r="M194" s="1">
        <v>1</v>
      </c>
      <c r="O194" s="518">
        <f>(+K194*$K$3+L194*$L$3+M194*$M$3+N194*$N$3)*J194</f>
        <v>332618.55249825795</v>
      </c>
      <c r="P194" s="357"/>
      <c r="R194" s="105"/>
      <c r="S194" s="105"/>
      <c r="T194" s="105"/>
    </row>
    <row r="195" spans="2:20" hidden="1" outlineLevel="1">
      <c r="B195" s="1214"/>
      <c r="C195" s="399"/>
      <c r="D195" s="400"/>
      <c r="E195" s="399"/>
      <c r="F195" s="399">
        <f>+SUM(F176:F194)</f>
        <v>559930.45499047067</v>
      </c>
      <c r="G195" s="911">
        <f>+SUM(G176:G194)</f>
        <v>559930.45499047067</v>
      </c>
      <c r="O195" s="3">
        <f>+SUM(O193:O194)</f>
        <v>621147.10596061847</v>
      </c>
      <c r="P195" s="281">
        <f>+O195*$O$3</f>
        <v>931720.65894092771</v>
      </c>
      <c r="Q195" s="1" t="s">
        <v>529</v>
      </c>
    </row>
    <row r="196" spans="2:20" collapsed="1"/>
    <row r="197" spans="2:20">
      <c r="B197" s="358"/>
      <c r="C197" s="104"/>
      <c r="D197" s="559"/>
      <c r="E197" s="358"/>
      <c r="F197" s="358"/>
      <c r="G197" s="357"/>
      <c r="H197" s="358"/>
      <c r="I197" s="358"/>
      <c r="J197" s="358"/>
      <c r="K197" s="358"/>
      <c r="L197" s="358"/>
      <c r="M197" s="358"/>
      <c r="N197" s="358"/>
      <c r="O197" s="358"/>
      <c r="P197" s="357"/>
      <c r="Q197" s="358"/>
      <c r="R197" s="105" t="s">
        <v>291</v>
      </c>
      <c r="S197" s="105" t="s">
        <v>1041</v>
      </c>
      <c r="T197" s="105" t="s">
        <v>188</v>
      </c>
    </row>
    <row r="198" spans="2:20">
      <c r="B198" s="444" t="s">
        <v>2457</v>
      </c>
      <c r="F198" s="444" t="s">
        <v>1952</v>
      </c>
      <c r="G198" s="1177">
        <f>+G195</f>
        <v>559930.45499047067</v>
      </c>
      <c r="P198" s="1177">
        <f>+P195</f>
        <v>931720.65894092771</v>
      </c>
      <c r="R198" s="811">
        <f>+G198</f>
        <v>559930.45499047067</v>
      </c>
      <c r="S198" s="811">
        <f>+P198</f>
        <v>931720.65894092771</v>
      </c>
      <c r="T198" s="811">
        <f>+R198+S198</f>
        <v>1491651.1139313984</v>
      </c>
    </row>
    <row r="199" spans="2:20">
      <c r="B199" s="1"/>
      <c r="R199" s="409">
        <f>+R198/T198</f>
        <v>0.37537628588947786</v>
      </c>
      <c r="S199" s="409">
        <f>+S198/T198</f>
        <v>0.6246237141105222</v>
      </c>
    </row>
    <row r="201" spans="2:20">
      <c r="B201" s="1214" t="s">
        <v>1617</v>
      </c>
      <c r="C201" s="399"/>
      <c r="D201" s="400"/>
      <c r="E201" s="399"/>
      <c r="F201" s="399"/>
      <c r="G201" s="499">
        <f>+SUM(F202:F210)</f>
        <v>353193.90499219327</v>
      </c>
    </row>
    <row r="202" spans="2:20">
      <c r="B202" s="1222" t="s">
        <v>1618</v>
      </c>
      <c r="C202" s="404" t="s">
        <v>72</v>
      </c>
      <c r="D202" s="273">
        <v>2</v>
      </c>
      <c r="E202" s="404">
        <f>VLOOKUP(B202,Cotizaciones!B:D,3,0)</f>
        <v>12004.282412642679</v>
      </c>
      <c r="F202" s="184">
        <f t="shared" ref="F202:F210" si="17">+D202*E202</f>
        <v>24008.564825285357</v>
      </c>
    </row>
    <row r="203" spans="2:20">
      <c r="B203" s="621" t="s">
        <v>862</v>
      </c>
      <c r="C203" s="405" t="s">
        <v>72</v>
      </c>
      <c r="D203" s="253">
        <v>3</v>
      </c>
      <c r="E203" s="405">
        <f>VLOOKUP(B203,Cotizaciones!B:D,3,0)</f>
        <v>46949.561961590036</v>
      </c>
      <c r="F203" s="13">
        <f t="shared" si="17"/>
        <v>140848.68588477012</v>
      </c>
    </row>
    <row r="204" spans="2:20">
      <c r="B204" s="621" t="s">
        <v>852</v>
      </c>
      <c r="C204" s="405" t="s">
        <v>72</v>
      </c>
      <c r="D204" s="253">
        <v>2</v>
      </c>
      <c r="E204" s="405">
        <f>VLOOKUP(B204,Cotizaciones!B:D,3,0)</f>
        <v>32747.162058276794</v>
      </c>
      <c r="F204" s="13">
        <f t="shared" si="17"/>
        <v>65494.324116553587</v>
      </c>
    </row>
    <row r="205" spans="2:20">
      <c r="B205" s="621" t="s">
        <v>877</v>
      </c>
      <c r="C205" s="405" t="s">
        <v>72</v>
      </c>
      <c r="D205" s="253">
        <v>3</v>
      </c>
      <c r="E205" s="405">
        <f>VLOOKUP(B205,Cotizaciones!B:D,3,0)</f>
        <v>15376.594074713537</v>
      </c>
      <c r="F205" s="13">
        <f t="shared" si="17"/>
        <v>46129.78222414061</v>
      </c>
    </row>
    <row r="206" spans="2:20">
      <c r="B206" s="621" t="s">
        <v>895</v>
      </c>
      <c r="C206" s="405" t="s">
        <v>72</v>
      </c>
      <c r="D206" s="253">
        <v>4</v>
      </c>
      <c r="E206" s="405">
        <f>VLOOKUP(B206,Cotizaciones!B:D,3,0)</f>
        <v>2245.1196804733045</v>
      </c>
      <c r="F206" s="13">
        <f t="shared" si="17"/>
        <v>8980.4787218932179</v>
      </c>
      <c r="O206" s="920"/>
    </row>
    <row r="207" spans="2:20">
      <c r="B207" s="621" t="s">
        <v>899</v>
      </c>
      <c r="C207" s="405" t="s">
        <v>72</v>
      </c>
      <c r="D207" s="253">
        <v>2</v>
      </c>
      <c r="E207" s="405">
        <f>VLOOKUP(B207,Cotizaciones!B:D,3,0)</f>
        <v>2066.7612083541962</v>
      </c>
      <c r="F207" s="13">
        <f t="shared" si="17"/>
        <v>4133.5224167083925</v>
      </c>
      <c r="O207" s="920"/>
    </row>
    <row r="208" spans="2:20">
      <c r="B208" s="621" t="s">
        <v>888</v>
      </c>
      <c r="C208" s="405" t="s">
        <v>72</v>
      </c>
      <c r="D208" s="253">
        <v>1</v>
      </c>
      <c r="E208" s="405">
        <f>VLOOKUP(B208,Cotizaciones!B:D,3,0)</f>
        <v>4732.89597080981</v>
      </c>
      <c r="F208" s="13">
        <f t="shared" si="17"/>
        <v>4732.89597080981</v>
      </c>
      <c r="O208" s="920"/>
      <c r="R208" s="103"/>
      <c r="S208" s="103"/>
    </row>
    <row r="209" spans="2:20">
      <c r="B209" s="621" t="s">
        <v>1611</v>
      </c>
      <c r="C209" s="405"/>
      <c r="D209" s="253"/>
      <c r="E209" s="405"/>
      <c r="F209" s="13"/>
      <c r="G209" s="3"/>
      <c r="O209" s="518"/>
      <c r="P209" s="357"/>
      <c r="R209" s="771">
        <f>+R211/T211</f>
        <v>0.32062319039570053</v>
      </c>
      <c r="S209" s="771">
        <f>+S211/T211</f>
        <v>0.67937680960429947</v>
      </c>
    </row>
    <row r="210" spans="2:20">
      <c r="B210" s="621" t="s">
        <v>1569</v>
      </c>
      <c r="C210" s="405" t="s">
        <v>54</v>
      </c>
      <c r="D210" s="253">
        <v>0.2</v>
      </c>
      <c r="E210" s="405">
        <f>+SUM(F202:F208)</f>
        <v>294328.25416016107</v>
      </c>
      <c r="F210" s="13">
        <f t="shared" si="17"/>
        <v>58865.650832032217</v>
      </c>
      <c r="I210" s="1" t="s">
        <v>1624</v>
      </c>
      <c r="J210" s="1">
        <v>3</v>
      </c>
      <c r="K210" s="1">
        <v>1</v>
      </c>
      <c r="M210" s="1">
        <v>1</v>
      </c>
      <c r="O210" s="518">
        <f>(+K210*$K$3+L210*$L$3+M210*$M$3+N210*$N$3)*J210</f>
        <v>498927.82874738693</v>
      </c>
      <c r="P210" s="357"/>
      <c r="R210" s="105" t="s">
        <v>291</v>
      </c>
      <c r="S210" s="105" t="s">
        <v>1041</v>
      </c>
      <c r="T210" s="105" t="s">
        <v>188</v>
      </c>
    </row>
    <row r="211" spans="2:20">
      <c r="B211" s="1214"/>
      <c r="C211" s="399"/>
      <c r="D211" s="400"/>
      <c r="E211" s="399"/>
      <c r="F211" s="399">
        <f>+SUM(F202:F210)</f>
        <v>353193.90499219327</v>
      </c>
      <c r="G211" s="911">
        <f>+SUM(G201:G210)</f>
        <v>353193.90499219327</v>
      </c>
      <c r="O211" s="3">
        <f>+SUM(O208:O210)</f>
        <v>498927.82874738693</v>
      </c>
      <c r="P211" s="281">
        <f>+O211*$O$3</f>
        <v>748391.74312108033</v>
      </c>
      <c r="Q211" s="1" t="s">
        <v>529</v>
      </c>
      <c r="R211" s="1">
        <f>+G211</f>
        <v>353193.90499219327</v>
      </c>
      <c r="S211" s="1">
        <f>+P211</f>
        <v>748391.74312108033</v>
      </c>
      <c r="T211" s="1">
        <f>+SUM(R211:S211)</f>
        <v>1101585.6481132735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1355-831A-4A9A-B950-84E6F7682D21}">
  <sheetPr>
    <tabColor rgb="FF92D050"/>
  </sheetPr>
  <dimension ref="B3:T107"/>
  <sheetViews>
    <sheetView topLeftCell="C1" workbookViewId="0">
      <selection activeCell="T69" activeCellId="1" sqref="T23 T69"/>
    </sheetView>
  </sheetViews>
  <sheetFormatPr defaultColWidth="11.54296875" defaultRowHeight="13" outlineLevelRow="1"/>
  <cols>
    <col min="1" max="1" width="5.7265625" style="1" customWidth="1"/>
    <col min="2" max="2" width="68.26953125" style="919" bestFit="1" customWidth="1"/>
    <col min="3" max="3" width="4.81640625" style="103" bestFit="1" customWidth="1"/>
    <col min="4" max="4" width="5.7265625" style="811" bestFit="1" customWidth="1"/>
    <col min="5" max="5" width="11" style="1" bestFit="1" customWidth="1"/>
    <col min="6" max="6" width="11.1796875" style="1" bestFit="1" customWidth="1"/>
    <col min="7" max="7" width="12.7265625" style="1" bestFit="1" customWidth="1"/>
    <col min="8" max="8" width="5.453125" style="1" customWidth="1"/>
    <col min="9" max="9" width="26.7265625" style="1" bestFit="1" customWidth="1"/>
    <col min="10" max="10" width="6.54296875" style="1" bestFit="1" customWidth="1"/>
    <col min="11" max="14" width="9.81640625" style="1" bestFit="1" customWidth="1"/>
    <col min="15" max="15" width="13.1796875" style="1" bestFit="1" customWidth="1"/>
    <col min="16" max="16" width="12.7265625" style="1" bestFit="1" customWidth="1"/>
    <col min="17" max="17" width="6.54296875" style="1" bestFit="1" customWidth="1"/>
    <col min="18" max="19" width="12.453125" style="1" customWidth="1"/>
    <col min="20" max="20" width="12.7265625" style="1" bestFit="1" customWidth="1"/>
    <col min="21" max="16384" width="11.54296875" style="1"/>
  </cols>
  <sheetData>
    <row r="3" spans="2:15">
      <c r="O3" s="105"/>
    </row>
    <row r="4" spans="2:15">
      <c r="I4" s="919"/>
      <c r="K4" s="738">
        <f>+'P.MO 06.25'!B4</f>
        <v>94177.13788353886</v>
      </c>
      <c r="L4" s="738">
        <f>+'P.MO 06.25'!B5</f>
        <v>84612.512709566407</v>
      </c>
      <c r="M4" s="738">
        <f>+'P.MO 06.25'!B6</f>
        <v>72132.138365590115</v>
      </c>
      <c r="N4" s="738">
        <f>+'P.MO 06.25'!B7</f>
        <v>67240.498860267617</v>
      </c>
      <c r="O4" s="411">
        <v>1.5</v>
      </c>
    </row>
    <row r="5" spans="2:15">
      <c r="B5" s="874" t="s">
        <v>41</v>
      </c>
      <c r="C5" s="105" t="s">
        <v>523</v>
      </c>
      <c r="D5" s="810" t="s">
        <v>43</v>
      </c>
      <c r="E5" s="105" t="s">
        <v>526</v>
      </c>
      <c r="F5" s="105" t="s">
        <v>17</v>
      </c>
      <c r="I5" s="105" t="s">
        <v>527</v>
      </c>
      <c r="J5" s="105" t="s">
        <v>528</v>
      </c>
      <c r="K5" s="194" t="s">
        <v>195</v>
      </c>
      <c r="L5" s="194" t="s">
        <v>196</v>
      </c>
      <c r="M5" s="194" t="s">
        <v>197</v>
      </c>
      <c r="N5" s="194" t="s">
        <v>198</v>
      </c>
      <c r="O5" s="1" t="s">
        <v>529</v>
      </c>
    </row>
    <row r="6" spans="2:15" hidden="1" outlineLevel="1">
      <c r="B6" s="1214" t="s">
        <v>1966</v>
      </c>
      <c r="C6" s="399"/>
      <c r="D6" s="400"/>
      <c r="E6" s="399"/>
      <c r="F6" s="399"/>
      <c r="G6" s="499">
        <f>+SUM(F7:F19)</f>
        <v>460664.73864557059</v>
      </c>
    </row>
    <row r="7" spans="2:15" hidden="1" outlineLevel="1">
      <c r="B7" s="1215" t="s">
        <v>1606</v>
      </c>
      <c r="C7" s="404"/>
      <c r="D7" s="273"/>
      <c r="E7" s="184"/>
      <c r="F7" s="184"/>
    </row>
    <row r="8" spans="2:15" hidden="1" outlineLevel="1">
      <c r="B8" s="490" t="s">
        <v>877</v>
      </c>
      <c r="C8" s="405" t="s">
        <v>532</v>
      </c>
      <c r="D8" s="885">
        <v>15</v>
      </c>
      <c r="E8" s="13">
        <f>VLOOKUP(B8,Cotizaciones!B:D,3,0)</f>
        <v>15376.594074713537</v>
      </c>
      <c r="F8" s="13">
        <f t="shared" ref="F8:F43" si="0">+D8*E8</f>
        <v>230648.91112070307</v>
      </c>
    </row>
    <row r="9" spans="2:15" hidden="1" outlineLevel="1">
      <c r="B9" s="490" t="s">
        <v>907</v>
      </c>
      <c r="C9" s="405" t="s">
        <v>523</v>
      </c>
      <c r="D9" s="885">
        <v>7</v>
      </c>
      <c r="E9" s="13">
        <f>VLOOKUP(B9,Cotizaciones!B:D,3,0)</f>
        <v>4922.6056034577032</v>
      </c>
      <c r="F9" s="13">
        <f t="shared" si="0"/>
        <v>34458.23922420392</v>
      </c>
    </row>
    <row r="10" spans="2:15" hidden="1" outlineLevel="1">
      <c r="B10" s="490" t="s">
        <v>895</v>
      </c>
      <c r="C10" s="405" t="s">
        <v>523</v>
      </c>
      <c r="D10" s="885">
        <v>7</v>
      </c>
      <c r="E10" s="13">
        <f>VLOOKUP(B10,Cotizaciones!B:D,3,0)</f>
        <v>2245.1196804733045</v>
      </c>
      <c r="F10" s="13">
        <f t="shared" si="0"/>
        <v>15715.837763313131</v>
      </c>
    </row>
    <row r="11" spans="2:15" hidden="1" outlineLevel="1">
      <c r="B11" s="490" t="s">
        <v>899</v>
      </c>
      <c r="C11" s="405" t="s">
        <v>523</v>
      </c>
      <c r="D11" s="885">
        <v>7</v>
      </c>
      <c r="E11" s="13">
        <f>VLOOKUP(B11,Cotizaciones!B:D,3,0)</f>
        <v>2066.7612083541962</v>
      </c>
      <c r="F11" s="13">
        <f t="shared" si="0"/>
        <v>14467.328458479373</v>
      </c>
      <c r="G11" s="3"/>
    </row>
    <row r="12" spans="2:15" hidden="1" outlineLevel="1">
      <c r="B12" s="884" t="s">
        <v>888</v>
      </c>
      <c r="C12" s="493" t="s">
        <v>523</v>
      </c>
      <c r="D12" s="885">
        <v>6</v>
      </c>
      <c r="E12" s="13">
        <f>VLOOKUP(B12,Cotizaciones!B:D,3,0)</f>
        <v>4732.89597080981</v>
      </c>
      <c r="F12" s="13">
        <f t="shared" si="0"/>
        <v>28397.37582485886</v>
      </c>
      <c r="G12" s="3"/>
    </row>
    <row r="13" spans="2:15" hidden="1" outlineLevel="1">
      <c r="B13" s="621" t="s">
        <v>639</v>
      </c>
      <c r="C13" s="405" t="s">
        <v>56</v>
      </c>
      <c r="D13" s="253">
        <f>+D14/100</f>
        <v>0.21</v>
      </c>
      <c r="E13" s="405">
        <f>VLOOKUP(B13,Cotizaciones!B:D,3,0)</f>
        <v>76135.192499870522</v>
      </c>
      <c r="F13" s="13">
        <f t="shared" si="0"/>
        <v>15988.390424972809</v>
      </c>
    </row>
    <row r="14" spans="2:15" hidden="1" outlineLevel="1">
      <c r="B14" s="621" t="s">
        <v>901</v>
      </c>
      <c r="C14" s="405" t="s">
        <v>523</v>
      </c>
      <c r="D14" s="253">
        <f>7*3</f>
        <v>21</v>
      </c>
      <c r="E14" s="405">
        <f>VLOOKUP(B14,Cotizaciones!B:D,3,0)</f>
        <v>696.15430192740439</v>
      </c>
      <c r="F14" s="13">
        <f t="shared" si="0"/>
        <v>14619.240340475491</v>
      </c>
    </row>
    <row r="15" spans="2:15" hidden="1" outlineLevel="1">
      <c r="B15" s="621" t="s">
        <v>917</v>
      </c>
      <c r="C15" s="405" t="s">
        <v>523</v>
      </c>
      <c r="D15" s="253">
        <v>0</v>
      </c>
      <c r="E15" s="405">
        <f>VLOOKUP(B15,Cotizaciones!B:D,3,0)</f>
        <v>4644.8303320154009</v>
      </c>
      <c r="F15" s="13">
        <f t="shared" si="0"/>
        <v>0</v>
      </c>
    </row>
    <row r="16" spans="2:15" hidden="1" outlineLevel="1">
      <c r="B16" s="621" t="s">
        <v>1604</v>
      </c>
      <c r="C16" s="405" t="s">
        <v>523</v>
      </c>
      <c r="D16" s="253">
        <v>0</v>
      </c>
      <c r="E16" s="405">
        <f>VLOOKUP(B16,Cotizaciones!B:D,3,0)</f>
        <v>47005.76903514679</v>
      </c>
      <c r="F16" s="13">
        <f t="shared" si="0"/>
        <v>0</v>
      </c>
      <c r="O16" s="518"/>
    </row>
    <row r="17" spans="2:20" hidden="1" outlineLevel="1">
      <c r="B17" s="621" t="s">
        <v>921</v>
      </c>
      <c r="C17" s="405" t="s">
        <v>523</v>
      </c>
      <c r="D17" s="253">
        <v>3</v>
      </c>
      <c r="E17" s="405">
        <f>VLOOKUP(B17,Cotizaciones!B:D,3,0)</f>
        <v>9863.9863492118311</v>
      </c>
      <c r="F17" s="13">
        <f t="shared" ref="F17" si="1">+D17*E17</f>
        <v>29591.959047635493</v>
      </c>
    </row>
    <row r="18" spans="2:20" hidden="1" outlineLevel="1">
      <c r="B18" s="1217" t="s">
        <v>1611</v>
      </c>
      <c r="C18" s="1205"/>
      <c r="D18" s="1218"/>
      <c r="E18" s="405"/>
      <c r="F18" s="13"/>
      <c r="G18" s="3"/>
      <c r="I18" s="1" t="s">
        <v>2459</v>
      </c>
      <c r="J18" s="1">
        <v>2</v>
      </c>
      <c r="M18" s="1">
        <v>2</v>
      </c>
      <c r="O18" s="518">
        <f>(+K18*$K$4+L18*$L$4+M18*$M$4+N18*$N$4)*J18</f>
        <v>288528.55346236046</v>
      </c>
      <c r="P18" s="357"/>
    </row>
    <row r="19" spans="2:20" hidden="1" outlineLevel="1">
      <c r="B19" s="1223" t="s">
        <v>1569</v>
      </c>
      <c r="C19" s="406" t="s">
        <v>54</v>
      </c>
      <c r="D19" s="14">
        <v>0.2</v>
      </c>
      <c r="E19" s="406">
        <f>+SUM(F8:F17)</f>
        <v>383887.28220464214</v>
      </c>
      <c r="F19" s="14">
        <f t="shared" si="0"/>
        <v>76777.456440928436</v>
      </c>
      <c r="I19" s="1" t="s">
        <v>1967</v>
      </c>
      <c r="J19" s="1">
        <v>2</v>
      </c>
      <c r="K19" s="1">
        <v>1</v>
      </c>
      <c r="M19" s="1">
        <v>1</v>
      </c>
      <c r="O19" s="518">
        <f>(+K19*$K$4+L19*$L$4+M19*$M$4+N19*$N$4)*J19</f>
        <v>332618.55249825795</v>
      </c>
      <c r="P19" s="357"/>
    </row>
    <row r="20" spans="2:20" hidden="1" outlineLevel="1">
      <c r="B20" s="1214"/>
      <c r="C20" s="399"/>
      <c r="D20" s="400"/>
      <c r="E20" s="399"/>
      <c r="F20" s="399">
        <f>+SUM(F6:F19)</f>
        <v>460664.73864557059</v>
      </c>
      <c r="G20" s="911">
        <f>+SUM(G6:G19)</f>
        <v>460664.73864557059</v>
      </c>
      <c r="O20" s="3">
        <f>+SUM(O18:O19)</f>
        <v>621147.10596061847</v>
      </c>
      <c r="P20" s="281">
        <f>+O20*$O$4</f>
        <v>931720.65894092771</v>
      </c>
      <c r="Q20" s="1" t="s">
        <v>529</v>
      </c>
    </row>
    <row r="21" spans="2:20" collapsed="1">
      <c r="E21" s="103"/>
    </row>
    <row r="22" spans="2:20">
      <c r="E22" s="103"/>
      <c r="R22" s="105" t="s">
        <v>291</v>
      </c>
      <c r="S22" s="105" t="s">
        <v>1041</v>
      </c>
      <c r="T22" s="105" t="s">
        <v>188</v>
      </c>
    </row>
    <row r="23" spans="2:20">
      <c r="B23" s="444" t="s">
        <v>2457</v>
      </c>
      <c r="E23" s="103"/>
      <c r="F23" s="444" t="s">
        <v>46</v>
      </c>
      <c r="G23" s="1177">
        <f>+G20</f>
        <v>460664.73864557059</v>
      </c>
      <c r="O23" s="444" t="s">
        <v>46</v>
      </c>
      <c r="P23" s="1177">
        <f>+P20</f>
        <v>931720.65894092771</v>
      </c>
      <c r="R23" s="1">
        <f>+G23</f>
        <v>460664.73864557059</v>
      </c>
      <c r="S23" s="1">
        <f>+P23</f>
        <v>931720.65894092771</v>
      </c>
      <c r="T23" s="1177">
        <f>+SUM(R23:S23)</f>
        <v>1392385.3975864984</v>
      </c>
    </row>
    <row r="24" spans="2:20">
      <c r="E24" s="103"/>
      <c r="R24" s="895">
        <f>+R23/T23</f>
        <v>0.33084571228918891</v>
      </c>
      <c r="S24" s="895">
        <f>+S23/T23</f>
        <v>0.66915428771081098</v>
      </c>
    </row>
    <row r="25" spans="2:20">
      <c r="B25" s="874"/>
      <c r="C25" s="105"/>
      <c r="D25" s="810"/>
      <c r="E25" s="105"/>
      <c r="F25" s="105"/>
      <c r="G25" s="3"/>
    </row>
    <row r="26" spans="2:20">
      <c r="E26" s="103"/>
      <c r="G26" s="3"/>
    </row>
    <row r="27" spans="2:20">
      <c r="E27" s="103"/>
      <c r="G27" s="358"/>
    </row>
    <row r="28" spans="2:20" hidden="1" outlineLevel="1">
      <c r="B28" s="1214" t="s">
        <v>1969</v>
      </c>
      <c r="C28" s="399"/>
      <c r="D28" s="400"/>
      <c r="E28" s="399"/>
      <c r="F28" s="399"/>
      <c r="G28" s="499">
        <f>+SUM(F29:F43)</f>
        <v>58895.27849359416</v>
      </c>
    </row>
    <row r="29" spans="2:20" hidden="1" outlineLevel="1">
      <c r="B29" s="1222" t="s">
        <v>877</v>
      </c>
      <c r="C29" s="404" t="s">
        <v>532</v>
      </c>
      <c r="D29" s="273">
        <v>1</v>
      </c>
      <c r="E29" s="404">
        <f>VLOOKUP(B29,Cotizaciones!B:D,3,0)</f>
        <v>15376.594074713537</v>
      </c>
      <c r="F29" s="184">
        <f t="shared" si="0"/>
        <v>15376.594074713537</v>
      </c>
      <c r="G29" s="358"/>
    </row>
    <row r="30" spans="2:20" hidden="1" outlineLevel="1">
      <c r="B30" s="621" t="s">
        <v>917</v>
      </c>
      <c r="C30" s="405" t="s">
        <v>72</v>
      </c>
      <c r="D30" s="253">
        <v>0</v>
      </c>
      <c r="E30" s="405">
        <f>VLOOKUP(B30,Cotizaciones!B:D,3,0)</f>
        <v>4644.8303320154009</v>
      </c>
      <c r="F30" s="13">
        <f t="shared" si="0"/>
        <v>0</v>
      </c>
      <c r="G30" s="358"/>
    </row>
    <row r="31" spans="2:20" hidden="1" outlineLevel="1">
      <c r="B31" s="621" t="s">
        <v>1619</v>
      </c>
      <c r="C31" s="405" t="s">
        <v>72</v>
      </c>
      <c r="D31" s="253">
        <v>0</v>
      </c>
      <c r="E31" s="405"/>
      <c r="F31" s="13">
        <f t="shared" ref="F31" si="2">+D31*E31</f>
        <v>0</v>
      </c>
      <c r="G31" s="358"/>
    </row>
    <row r="32" spans="2:20" hidden="1" outlineLevel="1">
      <c r="B32" s="621" t="s">
        <v>903</v>
      </c>
      <c r="C32" s="405" t="s">
        <v>72</v>
      </c>
      <c r="D32" s="1229">
        <v>2</v>
      </c>
      <c r="E32" s="405">
        <f>VLOOKUP(B32,Cotizaciones!B:D,3,0)</f>
        <v>653.42874888493702</v>
      </c>
      <c r="F32" s="13">
        <f t="shared" si="0"/>
        <v>1306.857497769874</v>
      </c>
      <c r="G32" s="358"/>
    </row>
    <row r="33" spans="2:20" hidden="1" outlineLevel="1">
      <c r="B33" s="621" t="s">
        <v>913</v>
      </c>
      <c r="C33" s="405" t="s">
        <v>72</v>
      </c>
      <c r="D33" s="253">
        <v>1</v>
      </c>
      <c r="E33" s="405">
        <f>VLOOKUP(B33,Cotizaciones!B:D,3,0)</f>
        <v>12501.673274285353</v>
      </c>
      <c r="F33" s="13">
        <f t="shared" si="0"/>
        <v>12501.673274285353</v>
      </c>
    </row>
    <row r="34" spans="2:20" hidden="1" outlineLevel="1">
      <c r="B34" s="621" t="s">
        <v>924</v>
      </c>
      <c r="C34" s="405" t="s">
        <v>72</v>
      </c>
      <c r="D34" s="253">
        <v>1</v>
      </c>
      <c r="E34" s="405">
        <f>VLOOKUP(B34,Cotizaciones!B:D,3,0)</f>
        <v>3447.2882759255745</v>
      </c>
      <c r="F34" s="13">
        <f>+D34*E34</f>
        <v>3447.2882759255745</v>
      </c>
    </row>
    <row r="35" spans="2:20" hidden="1" outlineLevel="1">
      <c r="B35" s="621" t="s">
        <v>916</v>
      </c>
      <c r="C35" s="405" t="s">
        <v>72</v>
      </c>
      <c r="D35" s="253">
        <v>1</v>
      </c>
      <c r="E35" s="405">
        <f>VLOOKUP(B35,Cotizaciones!B:D,3,0)</f>
        <v>3704.4377893264736</v>
      </c>
      <c r="F35" s="13">
        <f t="shared" si="0"/>
        <v>3704.4377893264736</v>
      </c>
    </row>
    <row r="36" spans="2:20" hidden="1" outlineLevel="1">
      <c r="B36" s="621" t="s">
        <v>888</v>
      </c>
      <c r="C36" s="405" t="s">
        <v>72</v>
      </c>
      <c r="D36" s="253">
        <v>1</v>
      </c>
      <c r="E36" s="405">
        <f>VLOOKUP(B36,Cotizaciones!B:D,3,0)</f>
        <v>4732.89597080981</v>
      </c>
      <c r="F36" s="13">
        <f t="shared" si="0"/>
        <v>4732.89597080981</v>
      </c>
    </row>
    <row r="37" spans="2:20" hidden="1" outlineLevel="1">
      <c r="B37" s="621" t="s">
        <v>899</v>
      </c>
      <c r="C37" s="405" t="s">
        <v>72</v>
      </c>
      <c r="D37" s="253">
        <v>0</v>
      </c>
      <c r="E37" s="405">
        <f>VLOOKUP(B37,Cotizaciones!B:D,3,0)</f>
        <v>2066.7612083541962</v>
      </c>
      <c r="F37" s="13">
        <f t="shared" si="0"/>
        <v>0</v>
      </c>
      <c r="O37" s="920"/>
      <c r="P37" s="358"/>
      <c r="Q37" s="358"/>
      <c r="R37" s="358"/>
    </row>
    <row r="38" spans="2:20" hidden="1" outlineLevel="1">
      <c r="B38" s="621" t="s">
        <v>895</v>
      </c>
      <c r="C38" s="405" t="s">
        <v>72</v>
      </c>
      <c r="D38" s="253">
        <v>1</v>
      </c>
      <c r="E38" s="405">
        <f>VLOOKUP(B38,Cotizaciones!B:D,3,0)</f>
        <v>2245.1196804733045</v>
      </c>
      <c r="F38" s="13">
        <f t="shared" si="0"/>
        <v>2245.1196804733045</v>
      </c>
      <c r="O38" s="920"/>
      <c r="P38" s="358"/>
      <c r="Q38" s="358"/>
      <c r="R38" s="358"/>
    </row>
    <row r="39" spans="2:20" hidden="1" outlineLevel="1">
      <c r="B39" s="621" t="s">
        <v>901</v>
      </c>
      <c r="C39" s="405" t="s">
        <v>72</v>
      </c>
      <c r="D39" s="253">
        <v>3</v>
      </c>
      <c r="E39" s="405">
        <f>VLOOKUP(B39,Cotizaciones!B:D,3,0)</f>
        <v>696.15430192740439</v>
      </c>
      <c r="F39" s="13">
        <f t="shared" si="0"/>
        <v>2088.4629057822131</v>
      </c>
      <c r="O39" s="920"/>
      <c r="P39" s="357"/>
      <c r="Q39" s="358"/>
      <c r="R39" s="879"/>
      <c r="S39" s="105"/>
      <c r="T39" s="105"/>
    </row>
    <row r="40" spans="2:20" hidden="1" outlineLevel="1">
      <c r="B40" s="13" t="s">
        <v>639</v>
      </c>
      <c r="C40" s="405" t="s">
        <v>72</v>
      </c>
      <c r="D40" s="13">
        <f>+D39/100</f>
        <v>0.03</v>
      </c>
      <c r="E40" s="405">
        <f>VLOOKUP(B40,Cotizaciones!B:D,3,0)</f>
        <v>76135.192499870522</v>
      </c>
      <c r="F40" s="13">
        <f t="shared" si="0"/>
        <v>2284.0557749961154</v>
      </c>
      <c r="O40" s="518"/>
    </row>
    <row r="41" spans="2:20" hidden="1" outlineLevel="1">
      <c r="B41" s="490" t="s">
        <v>921</v>
      </c>
      <c r="C41" s="405" t="s">
        <v>72</v>
      </c>
      <c r="D41" s="491">
        <v>0.1</v>
      </c>
      <c r="E41" s="405">
        <f>VLOOKUP(B41,Cotizaciones!B:D,3,0)</f>
        <v>9863.9863492118311</v>
      </c>
      <c r="F41" s="13">
        <f t="shared" si="0"/>
        <v>986.3986349211832</v>
      </c>
      <c r="G41" s="3"/>
      <c r="O41" s="518"/>
    </row>
    <row r="42" spans="2:20" hidden="1" outlineLevel="1">
      <c r="B42" s="1214" t="s">
        <v>1611</v>
      </c>
      <c r="C42" s="399"/>
      <c r="D42" s="400"/>
      <c r="E42" s="399"/>
      <c r="F42" s="399"/>
      <c r="G42" s="890"/>
      <c r="O42" s="518"/>
      <c r="P42" s="357"/>
      <c r="R42" s="771">
        <f>+R44/T44</f>
        <v>0.37614094848487939</v>
      </c>
      <c r="S42" s="771">
        <f>+S44/T44</f>
        <v>0.62385905151512067</v>
      </c>
    </row>
    <row r="43" spans="2:20" hidden="1" outlineLevel="1">
      <c r="B43" s="14" t="s">
        <v>1569</v>
      </c>
      <c r="C43" s="406" t="s">
        <v>54</v>
      </c>
      <c r="D43" s="14">
        <v>0.21</v>
      </c>
      <c r="E43" s="406">
        <f>+SUM(F29:F41)</f>
        <v>48673.783879003437</v>
      </c>
      <c r="F43" s="14">
        <f t="shared" si="0"/>
        <v>10221.494614590722</v>
      </c>
      <c r="G43" s="357"/>
      <c r="I43" s="1" t="s">
        <v>1973</v>
      </c>
      <c r="J43" s="1">
        <v>0.5</v>
      </c>
      <c r="K43" s="1">
        <v>1</v>
      </c>
      <c r="M43" s="1">
        <v>0.5</v>
      </c>
      <c r="O43" s="518">
        <f>(+K43*$K$4+L43*$L$4+M43*$M$4+N43*$N$4)*J43</f>
        <v>65121.603533166955</v>
      </c>
      <c r="P43" s="357"/>
      <c r="R43" s="105" t="s">
        <v>291</v>
      </c>
      <c r="S43" s="105" t="s">
        <v>1041</v>
      </c>
      <c r="T43" s="105" t="s">
        <v>188</v>
      </c>
    </row>
    <row r="44" spans="2:20" hidden="1" outlineLevel="1">
      <c r="B44" s="1214"/>
      <c r="C44" s="399"/>
      <c r="D44" s="400"/>
      <c r="E44" s="399"/>
      <c r="F44" s="399">
        <f>+SUM(F28:F43)</f>
        <v>58895.27849359416</v>
      </c>
      <c r="G44" s="1230">
        <f>+SUM(G28:G43)</f>
        <v>58895.27849359416</v>
      </c>
      <c r="O44" s="3">
        <f>+SUM(O29:O43)</f>
        <v>65121.603533166955</v>
      </c>
      <c r="P44" s="281">
        <f>+O44*$O$4</f>
        <v>97682.405299750433</v>
      </c>
      <c r="Q44" s="1" t="s">
        <v>529</v>
      </c>
      <c r="R44" s="1">
        <f>+G44</f>
        <v>58895.27849359416</v>
      </c>
      <c r="S44" s="1">
        <f>+P44</f>
        <v>97682.405299750433</v>
      </c>
      <c r="T44" s="1">
        <f>+SUM(R44:S44)</f>
        <v>156577.68379334459</v>
      </c>
    </row>
    <row r="45" spans="2:20" hidden="1" outlineLevel="1">
      <c r="G45" s="1">
        <v>24</v>
      </c>
      <c r="O45" s="358"/>
      <c r="P45" s="358">
        <f>+G45</f>
        <v>24</v>
      </c>
      <c r="Q45" s="358"/>
      <c r="R45" s="358"/>
    </row>
    <row r="46" spans="2:20" hidden="1" outlineLevel="1">
      <c r="G46" s="411">
        <f>+G44*G45</f>
        <v>1413486.68384626</v>
      </c>
      <c r="O46" s="358"/>
      <c r="P46" s="411">
        <f>+P44*P45</f>
        <v>2344377.7271940103</v>
      </c>
      <c r="Q46" s="358"/>
      <c r="R46" s="358"/>
    </row>
    <row r="47" spans="2:20" hidden="1" outlineLevel="1">
      <c r="B47" s="874"/>
      <c r="G47" s="3"/>
    </row>
    <row r="48" spans="2:20" hidden="1" outlineLevel="1">
      <c r="B48" s="1214" t="s">
        <v>1970</v>
      </c>
      <c r="C48" s="399"/>
      <c r="D48" s="400"/>
      <c r="E48" s="399"/>
      <c r="F48" s="399"/>
      <c r="G48" s="499">
        <f>+SUM(F49:F65)</f>
        <v>691273.87680609571</v>
      </c>
    </row>
    <row r="49" spans="2:19" hidden="1" outlineLevel="1">
      <c r="B49" s="1222" t="s">
        <v>877</v>
      </c>
      <c r="C49" s="404" t="s">
        <v>532</v>
      </c>
      <c r="D49" s="273">
        <v>10</v>
      </c>
      <c r="E49" s="404">
        <f>VLOOKUP(B49,Cotizaciones!B:D,3,0)</f>
        <v>15376.594074713537</v>
      </c>
      <c r="F49" s="184">
        <f t="shared" ref="F49:F63" si="3">+D49*E49</f>
        <v>153765.94074713538</v>
      </c>
    </row>
    <row r="50" spans="2:19" hidden="1" outlineLevel="1">
      <c r="B50" s="621" t="s">
        <v>916</v>
      </c>
      <c r="C50" s="405" t="s">
        <v>72</v>
      </c>
      <c r="D50" s="253">
        <v>0</v>
      </c>
      <c r="E50" s="405">
        <f>VLOOKUP(B50,Cotizaciones!B:D,3,0)</f>
        <v>3704.4377893264736</v>
      </c>
      <c r="F50" s="13">
        <f t="shared" si="3"/>
        <v>0</v>
      </c>
    </row>
    <row r="51" spans="2:19" hidden="1" outlineLevel="1">
      <c r="B51" s="621" t="s">
        <v>924</v>
      </c>
      <c r="C51" s="405" t="s">
        <v>72</v>
      </c>
      <c r="D51" s="253">
        <v>0</v>
      </c>
      <c r="E51" s="405">
        <f>VLOOKUP(B51,Cotizaciones!B:D,3,0)</f>
        <v>3447.2882759255745</v>
      </c>
      <c r="F51" s="13">
        <f t="shared" si="3"/>
        <v>0</v>
      </c>
    </row>
    <row r="52" spans="2:19" hidden="1" outlineLevel="1">
      <c r="B52" s="621" t="s">
        <v>923</v>
      </c>
      <c r="C52" s="405" t="s">
        <v>72</v>
      </c>
      <c r="D52" s="253">
        <v>6</v>
      </c>
      <c r="E52" s="405">
        <f>VLOOKUP(B52,Cotizaciones!B:D,3,0)</f>
        <v>54352.423039071808</v>
      </c>
      <c r="F52" s="13">
        <f t="shared" si="3"/>
        <v>326114.53823443083</v>
      </c>
      <c r="G52" s="3"/>
    </row>
    <row r="53" spans="2:19" hidden="1" outlineLevel="1">
      <c r="B53" s="621" t="s">
        <v>1619</v>
      </c>
      <c r="C53" s="405" t="s">
        <v>72</v>
      </c>
      <c r="D53" s="253">
        <v>0</v>
      </c>
      <c r="E53" s="405"/>
      <c r="F53" s="13">
        <f t="shared" si="3"/>
        <v>0</v>
      </c>
    </row>
    <row r="54" spans="2:19" hidden="1" outlineLevel="1">
      <c r="B54" s="621" t="s">
        <v>903</v>
      </c>
      <c r="C54" s="405" t="s">
        <v>72</v>
      </c>
      <c r="D54" s="253">
        <v>0</v>
      </c>
      <c r="E54" s="405">
        <f>VLOOKUP(B54,Cotizaciones!B:D,3,0)</f>
        <v>653.42874888493702</v>
      </c>
      <c r="F54" s="13">
        <f t="shared" si="3"/>
        <v>0</v>
      </c>
    </row>
    <row r="55" spans="2:19" hidden="1" outlineLevel="1">
      <c r="B55" s="621" t="s">
        <v>913</v>
      </c>
      <c r="C55" s="405" t="s">
        <v>72</v>
      </c>
      <c r="D55" s="253">
        <v>0</v>
      </c>
      <c r="E55" s="405">
        <f>VLOOKUP(B55,Cotizaciones!B:D,3,0)</f>
        <v>12501.673274285353</v>
      </c>
      <c r="F55" s="13">
        <f t="shared" si="3"/>
        <v>0</v>
      </c>
    </row>
    <row r="56" spans="2:19" hidden="1" outlineLevel="1">
      <c r="B56" s="621" t="s">
        <v>916</v>
      </c>
      <c r="C56" s="405" t="s">
        <v>72</v>
      </c>
      <c r="D56" s="253">
        <v>0</v>
      </c>
      <c r="E56" s="405">
        <f>VLOOKUP(B56,Cotizaciones!B:D,3,0)</f>
        <v>3704.4377893264736</v>
      </c>
      <c r="F56" s="13">
        <f t="shared" si="3"/>
        <v>0</v>
      </c>
    </row>
    <row r="57" spans="2:19" hidden="1" outlineLevel="1">
      <c r="B57" s="621" t="s">
        <v>888</v>
      </c>
      <c r="C57" s="405" t="s">
        <v>72</v>
      </c>
      <c r="D57" s="253">
        <v>4</v>
      </c>
      <c r="E57" s="405">
        <f>VLOOKUP(B57,Cotizaciones!B:D,3,0)</f>
        <v>4732.89597080981</v>
      </c>
      <c r="F57" s="13">
        <f t="shared" si="3"/>
        <v>18931.58388323924</v>
      </c>
      <c r="G57" s="3"/>
    </row>
    <row r="58" spans="2:19" hidden="1" outlineLevel="1">
      <c r="B58" s="621" t="s">
        <v>899</v>
      </c>
      <c r="C58" s="405" t="s">
        <v>72</v>
      </c>
      <c r="D58" s="253">
        <v>1</v>
      </c>
      <c r="E58" s="405">
        <f>VLOOKUP(B58,Cotizaciones!B:D,3,0)</f>
        <v>2066.7612083541962</v>
      </c>
      <c r="F58" s="13">
        <f t="shared" si="3"/>
        <v>2066.7612083541962</v>
      </c>
    </row>
    <row r="59" spans="2:19" hidden="1" outlineLevel="1">
      <c r="B59" s="621" t="s">
        <v>895</v>
      </c>
      <c r="C59" s="405" t="s">
        <v>72</v>
      </c>
      <c r="D59" s="253">
        <v>6</v>
      </c>
      <c r="E59" s="405">
        <f>VLOOKUP(B59,Cotizaciones!B:D,3,0)</f>
        <v>2245.1196804733045</v>
      </c>
      <c r="F59" s="13">
        <f t="shared" si="3"/>
        <v>13470.718082839827</v>
      </c>
      <c r="G59" s="3"/>
    </row>
    <row r="60" spans="2:19" hidden="1" outlineLevel="1">
      <c r="B60" s="13" t="s">
        <v>889</v>
      </c>
      <c r="C60" s="1156" t="s">
        <v>72</v>
      </c>
      <c r="D60" s="253">
        <v>1</v>
      </c>
      <c r="E60" s="405">
        <f>VLOOKUP(B60,Cotizaciones!B:D,3,0)</f>
        <v>3362.0093201424979</v>
      </c>
      <c r="F60" s="13">
        <f t="shared" si="3"/>
        <v>3362.0093201424979</v>
      </c>
      <c r="M60" s="358"/>
      <c r="N60" s="358"/>
      <c r="O60" s="358"/>
      <c r="P60" s="358"/>
    </row>
    <row r="61" spans="2:19" hidden="1" outlineLevel="1">
      <c r="B61" s="621" t="s">
        <v>901</v>
      </c>
      <c r="C61" s="405" t="s">
        <v>72</v>
      </c>
      <c r="D61" s="253">
        <f>+D49*3</f>
        <v>30</v>
      </c>
      <c r="E61" s="405">
        <f>VLOOKUP(B61,Cotizaciones!B:D,3,0)</f>
        <v>696.15430192740439</v>
      </c>
      <c r="F61" s="13">
        <f t="shared" si="3"/>
        <v>20884.629057822131</v>
      </c>
      <c r="G61" s="357"/>
      <c r="M61" s="358"/>
      <c r="N61" s="358"/>
      <c r="O61" s="358"/>
      <c r="P61" s="358"/>
    </row>
    <row r="62" spans="2:19" hidden="1" outlineLevel="1">
      <c r="B62" s="621" t="s">
        <v>639</v>
      </c>
      <c r="C62" s="405" t="s">
        <v>72</v>
      </c>
      <c r="D62" s="13">
        <f>+D61/100</f>
        <v>0.3</v>
      </c>
      <c r="E62" s="405">
        <f>VLOOKUP(B62,Cotizaciones!B:D,3,0)</f>
        <v>76135.192499870522</v>
      </c>
      <c r="F62" s="13">
        <f t="shared" si="3"/>
        <v>22840.557749961157</v>
      </c>
      <c r="M62" s="358"/>
      <c r="N62" s="358"/>
      <c r="O62" s="358"/>
      <c r="P62" s="358"/>
    </row>
    <row r="63" spans="2:19" hidden="1" outlineLevel="1">
      <c r="B63" s="621" t="s">
        <v>921</v>
      </c>
      <c r="C63" s="405" t="s">
        <v>72</v>
      </c>
      <c r="D63" s="13">
        <v>1</v>
      </c>
      <c r="E63" s="405">
        <f>VLOOKUP(B63,Cotizaciones!B:D,3,0)</f>
        <v>9863.9863492118311</v>
      </c>
      <c r="F63" s="13">
        <f t="shared" si="3"/>
        <v>9863.9863492118311</v>
      </c>
      <c r="M63" s="358"/>
      <c r="N63" s="358"/>
      <c r="O63" s="358"/>
      <c r="P63" s="358"/>
    </row>
    <row r="64" spans="2:19" hidden="1" outlineLevel="1">
      <c r="B64" s="1214" t="s">
        <v>1611</v>
      </c>
      <c r="C64" s="399"/>
      <c r="D64" s="400"/>
      <c r="E64" s="399"/>
      <c r="F64" s="1671"/>
      <c r="G64" s="3"/>
      <c r="I64" s="1" t="s">
        <v>1974</v>
      </c>
      <c r="J64" s="1">
        <v>1</v>
      </c>
      <c r="K64" s="1">
        <v>1</v>
      </c>
      <c r="M64" s="1">
        <v>0.5</v>
      </c>
      <c r="O64" s="518">
        <f>(+K64*$K$4+L64*$L$4+M64*$M$4+N64*$N$4)*J64</f>
        <v>130243.20706633391</v>
      </c>
      <c r="P64" s="357"/>
      <c r="R64" s="771">
        <f>+R66/T66</f>
        <v>0.3668219428074973</v>
      </c>
      <c r="S64" s="771">
        <f>+S66/T66</f>
        <v>0.63317805719250275</v>
      </c>
    </row>
    <row r="65" spans="2:20" hidden="1" outlineLevel="1">
      <c r="B65" s="1223" t="s">
        <v>1569</v>
      </c>
      <c r="C65" s="406" t="s">
        <v>54</v>
      </c>
      <c r="D65" s="14">
        <v>0.21</v>
      </c>
      <c r="E65" s="406">
        <f>+SUM(F49:F63)</f>
        <v>571300.724633137</v>
      </c>
      <c r="F65" s="14">
        <f>+D65*E65</f>
        <v>119973.15217295877</v>
      </c>
      <c r="I65" s="1" t="s">
        <v>1973</v>
      </c>
      <c r="J65" s="1">
        <v>4</v>
      </c>
      <c r="K65" s="1">
        <v>1</v>
      </c>
      <c r="M65" s="1">
        <v>1</v>
      </c>
      <c r="O65" s="518">
        <f>(+K65*$K$4+L65*$L$4+M65*$M$4+N65*$N$4)*J65</f>
        <v>665237.1049965159</v>
      </c>
      <c r="P65" s="357"/>
      <c r="R65" s="105" t="s">
        <v>291</v>
      </c>
      <c r="S65" s="105" t="s">
        <v>1041</v>
      </c>
      <c r="T65" s="105" t="s">
        <v>188</v>
      </c>
    </row>
    <row r="66" spans="2:20" hidden="1" outlineLevel="1">
      <c r="B66" s="1214"/>
      <c r="C66" s="399"/>
      <c r="D66" s="400"/>
      <c r="E66" s="399"/>
      <c r="F66" s="399">
        <f>+SUM(F48:F65)</f>
        <v>691273.87680609571</v>
      </c>
      <c r="G66" s="1230">
        <f>+SUM(G48:G65)</f>
        <v>691273.87680609571</v>
      </c>
      <c r="O66" s="3">
        <f>+SUM(O64:O65)</f>
        <v>795480.31206284976</v>
      </c>
      <c r="P66" s="281">
        <f>+O66*$O$4</f>
        <v>1193220.4680942746</v>
      </c>
      <c r="Q66" s="1" t="s">
        <v>529</v>
      </c>
      <c r="R66" s="1">
        <f>+G66</f>
        <v>691273.87680609571</v>
      </c>
      <c r="S66" s="1">
        <f>+P66</f>
        <v>1193220.4680942746</v>
      </c>
      <c r="T66" s="1">
        <f>+SUM(R66:S66)</f>
        <v>1884494.3449003703</v>
      </c>
    </row>
    <row r="67" spans="2:20" collapsed="1">
      <c r="B67" s="874"/>
      <c r="C67" s="105"/>
      <c r="D67" s="810"/>
      <c r="E67" s="105"/>
      <c r="F67" s="105"/>
      <c r="G67" s="357"/>
      <c r="O67" s="3"/>
      <c r="P67" s="879"/>
      <c r="R67" s="771"/>
      <c r="S67" s="771"/>
    </row>
    <row r="68" spans="2:20">
      <c r="B68" s="874"/>
      <c r="C68" s="105"/>
      <c r="D68" s="810"/>
      <c r="E68" s="105"/>
      <c r="F68" s="105"/>
      <c r="G68" s="357"/>
      <c r="O68" s="3"/>
      <c r="P68" s="879"/>
      <c r="R68" s="105" t="s">
        <v>291</v>
      </c>
      <c r="S68" s="105" t="s">
        <v>1041</v>
      </c>
      <c r="T68" s="105" t="s">
        <v>188</v>
      </c>
    </row>
    <row r="69" spans="2:20">
      <c r="B69" s="444" t="s">
        <v>2460</v>
      </c>
      <c r="E69" s="103"/>
      <c r="F69" s="444" t="s">
        <v>1952</v>
      </c>
      <c r="G69" s="1177">
        <f>+G66+G46</f>
        <v>2104760.5606523557</v>
      </c>
      <c r="O69" s="444" t="s">
        <v>1952</v>
      </c>
      <c r="P69" s="1177">
        <f>+P66+P46</f>
        <v>3537598.1952882847</v>
      </c>
      <c r="R69" s="1">
        <f>+G69</f>
        <v>2104760.5606523557</v>
      </c>
      <c r="S69" s="1">
        <f>+P69</f>
        <v>3537598.1952882847</v>
      </c>
      <c r="T69" s="1177">
        <f>+SUM(R69:S69)</f>
        <v>5642358.7559406403</v>
      </c>
    </row>
    <row r="70" spans="2:20">
      <c r="E70" s="103"/>
      <c r="G70" s="357"/>
      <c r="R70" s="409">
        <f>+R69/T69</f>
        <v>0.37302848891632912</v>
      </c>
      <c r="S70" s="409">
        <f>+S69/T69</f>
        <v>0.62697151108367088</v>
      </c>
    </row>
    <row r="71" spans="2:20">
      <c r="E71" s="103"/>
    </row>
    <row r="72" spans="2:20">
      <c r="E72" s="103"/>
      <c r="F72" s="358"/>
      <c r="G72" s="358"/>
      <c r="H72" s="358"/>
      <c r="I72" s="358"/>
      <c r="J72" s="358"/>
      <c r="K72" s="358"/>
      <c r="L72" s="358"/>
      <c r="M72" s="358"/>
      <c r="N72" s="358"/>
      <c r="O72" s="920"/>
      <c r="P72" s="358"/>
      <c r="Q72" s="358"/>
      <c r="R72" s="358"/>
      <c r="S72" s="358"/>
    </row>
    <row r="73" spans="2:20">
      <c r="B73" s="874" t="s">
        <v>1620</v>
      </c>
      <c r="E73" s="103"/>
      <c r="F73" s="358"/>
      <c r="G73" s="3">
        <f>+SUM(F74:F83)</f>
        <v>306610.45323690877</v>
      </c>
      <c r="H73" s="358"/>
      <c r="I73" s="358"/>
      <c r="J73" s="358"/>
      <c r="K73" s="358"/>
      <c r="L73" s="358"/>
      <c r="M73" s="358"/>
      <c r="N73" s="358"/>
      <c r="O73" s="920"/>
      <c r="P73" s="358"/>
      <c r="Q73" s="358"/>
      <c r="R73" s="358"/>
      <c r="S73" s="358"/>
    </row>
    <row r="74" spans="2:20">
      <c r="B74" s="919" t="s">
        <v>1618</v>
      </c>
      <c r="C74" s="103" t="s">
        <v>72</v>
      </c>
      <c r="D74" s="811">
        <v>1</v>
      </c>
      <c r="E74" s="103">
        <f>VLOOKUP(B74,Cotizaciones!B:D,3,0)</f>
        <v>12004.282412642679</v>
      </c>
      <c r="F74" s="1">
        <f t="shared" ref="F74:F83" si="4">+D74*E74</f>
        <v>12004.282412642679</v>
      </c>
      <c r="G74" s="358"/>
      <c r="H74" s="358"/>
      <c r="I74" s="358"/>
      <c r="J74" s="358"/>
      <c r="K74" s="358"/>
      <c r="L74" s="358"/>
      <c r="M74" s="358"/>
      <c r="N74" s="358"/>
      <c r="O74" s="920"/>
      <c r="P74" s="358"/>
      <c r="Q74" s="358"/>
      <c r="R74" s="104"/>
      <c r="S74" s="104"/>
    </row>
    <row r="75" spans="2:20">
      <c r="B75" s="919" t="s">
        <v>862</v>
      </c>
      <c r="C75" s="103" t="s">
        <v>72</v>
      </c>
      <c r="D75" s="811">
        <v>2</v>
      </c>
      <c r="E75" s="103">
        <f>VLOOKUP(B75,Cotizaciones!B:D,3,0)</f>
        <v>46949.561961590036</v>
      </c>
      <c r="F75" s="1">
        <f t="shared" si="4"/>
        <v>93899.123923180072</v>
      </c>
      <c r="G75" s="357"/>
      <c r="H75" s="358"/>
      <c r="I75" s="358"/>
      <c r="J75" s="358"/>
      <c r="K75" s="358"/>
      <c r="L75" s="358"/>
      <c r="M75" s="358"/>
      <c r="N75" s="358"/>
      <c r="O75" s="920"/>
      <c r="P75" s="357"/>
      <c r="Q75" s="358"/>
      <c r="R75" s="879"/>
      <c r="S75" s="879"/>
      <c r="T75" s="105"/>
    </row>
    <row r="76" spans="2:20">
      <c r="B76" s="919" t="s">
        <v>852</v>
      </c>
      <c r="C76" s="103" t="s">
        <v>72</v>
      </c>
      <c r="D76" s="811">
        <v>1</v>
      </c>
      <c r="E76" s="103">
        <f>VLOOKUP(B76,Cotizaciones!B:D,3,0)</f>
        <v>32747.162058276794</v>
      </c>
      <c r="F76" s="1">
        <f t="shared" si="4"/>
        <v>32747.162058276794</v>
      </c>
      <c r="G76" s="358"/>
      <c r="H76" s="358"/>
      <c r="I76" s="358"/>
      <c r="J76" s="358"/>
      <c r="K76" s="358"/>
      <c r="L76" s="358"/>
      <c r="M76" s="358"/>
      <c r="N76" s="358"/>
      <c r="O76" s="920"/>
      <c r="P76" s="357"/>
      <c r="Q76" s="358"/>
      <c r="R76" s="879"/>
      <c r="S76" s="879"/>
      <c r="T76" s="105"/>
    </row>
    <row r="77" spans="2:20">
      <c r="B77" s="919" t="s">
        <v>877</v>
      </c>
      <c r="C77" s="103" t="s">
        <v>72</v>
      </c>
      <c r="D77" s="811">
        <v>8</v>
      </c>
      <c r="E77" s="103">
        <f>VLOOKUP(B77,Cotizaciones!B:D,3,0)</f>
        <v>15376.594074713537</v>
      </c>
      <c r="F77" s="1">
        <f t="shared" si="4"/>
        <v>123012.7525977083</v>
      </c>
      <c r="G77" s="357"/>
      <c r="H77" s="358"/>
      <c r="I77" s="358"/>
      <c r="J77" s="358"/>
      <c r="K77" s="358"/>
      <c r="L77" s="358"/>
      <c r="M77" s="358"/>
      <c r="N77" s="358"/>
      <c r="O77" s="358"/>
      <c r="P77" s="879"/>
      <c r="Q77" s="358"/>
      <c r="R77" s="358"/>
      <c r="S77" s="358"/>
    </row>
    <row r="78" spans="2:20">
      <c r="B78" s="919" t="s">
        <v>895</v>
      </c>
      <c r="C78" s="103" t="s">
        <v>72</v>
      </c>
      <c r="D78" s="811">
        <v>6</v>
      </c>
      <c r="E78" s="103">
        <f>VLOOKUP(B78,Cotizaciones!B:D,3,0)</f>
        <v>2245.1196804733045</v>
      </c>
      <c r="F78" s="1">
        <f t="shared" si="4"/>
        <v>13470.718082839827</v>
      </c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</row>
    <row r="79" spans="2:20">
      <c r="B79" s="919" t="s">
        <v>899</v>
      </c>
      <c r="C79" s="103" t="s">
        <v>72</v>
      </c>
      <c r="D79" s="811">
        <v>4</v>
      </c>
      <c r="E79" s="103">
        <f>VLOOKUP(B79,Cotizaciones!B:D,3,0)</f>
        <v>2066.7612083541962</v>
      </c>
      <c r="F79" s="1">
        <f t="shared" si="4"/>
        <v>8267.044833416785</v>
      </c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</row>
    <row r="80" spans="2:20">
      <c r="B80" s="919" t="s">
        <v>888</v>
      </c>
      <c r="C80" s="103" t="s">
        <v>72</v>
      </c>
      <c r="D80" s="811">
        <v>1</v>
      </c>
      <c r="E80" s="103">
        <f>VLOOKUP(B80,Cotizaciones!B:D,3,0)</f>
        <v>4732.89597080981</v>
      </c>
      <c r="F80" s="1">
        <f t="shared" si="4"/>
        <v>4732.89597080981</v>
      </c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</row>
    <row r="81" spans="2:20">
      <c r="B81" s="919" t="s">
        <v>901</v>
      </c>
      <c r="C81" s="103" t="s">
        <v>72</v>
      </c>
      <c r="D81" s="811">
        <v>12</v>
      </c>
      <c r="E81" s="103">
        <f>VLOOKUP(B81,Cotizaciones!B:D,3,0)</f>
        <v>696.15430192740439</v>
      </c>
      <c r="F81" s="1">
        <f t="shared" si="4"/>
        <v>8353.8516231288522</v>
      </c>
      <c r="I81" s="1" t="s">
        <v>1571</v>
      </c>
      <c r="J81" s="1">
        <v>0</v>
      </c>
      <c r="O81" s="920">
        <f>(+K81*$K$4+L81*$L$4+M81*$M$4+N81*$N$4)*J81</f>
        <v>0</v>
      </c>
    </row>
    <row r="82" spans="2:20">
      <c r="B82" s="919" t="s">
        <v>639</v>
      </c>
      <c r="C82" s="103" t="s">
        <v>72</v>
      </c>
      <c r="D82" s="811">
        <v>0.12</v>
      </c>
      <c r="E82" s="103">
        <f>VLOOKUP(B82,Cotizaciones!B:D,3,0)</f>
        <v>76135.192499870522</v>
      </c>
      <c r="F82" s="1">
        <f t="shared" si="4"/>
        <v>9136.2230999844614</v>
      </c>
      <c r="K82" s="1">
        <v>0</v>
      </c>
      <c r="M82" s="1">
        <v>2</v>
      </c>
      <c r="O82" s="920">
        <f>(+K82*$K$4+L82*$L$4+M82*$M$4+N82*$N$4)*J82</f>
        <v>0</v>
      </c>
    </row>
    <row r="83" spans="2:20">
      <c r="B83" s="919" t="s">
        <v>921</v>
      </c>
      <c r="C83" s="103" t="s">
        <v>72</v>
      </c>
      <c r="D83" s="811">
        <v>0.1</v>
      </c>
      <c r="E83" s="103">
        <f>VLOOKUP(B83,Cotizaciones!B:D,3,0)</f>
        <v>9863.9863492118311</v>
      </c>
      <c r="F83" s="1">
        <f t="shared" si="4"/>
        <v>986.3986349211832</v>
      </c>
      <c r="I83" s="1" t="s">
        <v>1624</v>
      </c>
      <c r="J83" s="1">
        <v>3</v>
      </c>
      <c r="K83" s="1">
        <v>1</v>
      </c>
      <c r="M83" s="1">
        <v>1</v>
      </c>
      <c r="O83" s="920">
        <f>(+K83*$K$4+L83*$L$4+M83*$M$4+N83*$N$4)*J83</f>
        <v>498927.82874738693</v>
      </c>
      <c r="R83" s="103">
        <f>+R86/T86</f>
        <v>0.32959288637471013</v>
      </c>
      <c r="S83" s="103">
        <f>+S86/T86</f>
        <v>0.67040711362528982</v>
      </c>
    </row>
    <row r="84" spans="2:20">
      <c r="B84" s="919" t="s">
        <v>1611</v>
      </c>
      <c r="D84" s="1"/>
      <c r="G84" s="3">
        <f>+F85</f>
        <v>61322.090647381759</v>
      </c>
      <c r="I84" s="1" t="s">
        <v>1602</v>
      </c>
      <c r="J84" s="1">
        <v>0</v>
      </c>
      <c r="K84" s="1">
        <v>0</v>
      </c>
      <c r="M84" s="1">
        <v>0</v>
      </c>
      <c r="O84" s="920">
        <f>(+K84*$K$4+L84*$L$4+M84*$M$4+N84*$N$4)*J84</f>
        <v>0</v>
      </c>
      <c r="P84" s="357"/>
      <c r="R84" s="105" t="s">
        <v>291</v>
      </c>
      <c r="S84" s="105" t="s">
        <v>1041</v>
      </c>
      <c r="T84" s="105" t="s">
        <v>188</v>
      </c>
    </row>
    <row r="85" spans="2:20">
      <c r="B85" s="919" t="s">
        <v>1569</v>
      </c>
      <c r="C85" s="103" t="s">
        <v>54</v>
      </c>
      <c r="D85" s="1">
        <v>0.2</v>
      </c>
      <c r="E85" s="103">
        <f>+SUM(F74:F83)</f>
        <v>306610.45323690877</v>
      </c>
      <c r="F85" s="1">
        <f>+D85*E85</f>
        <v>61322.090647381759</v>
      </c>
      <c r="O85" s="920"/>
      <c r="P85" s="357"/>
      <c r="R85" s="105"/>
      <c r="S85" s="105"/>
      <c r="T85" s="105"/>
    </row>
    <row r="86" spans="2:20">
      <c r="F86" s="1">
        <f>+SUM(F74:F85)</f>
        <v>367932.5438842905</v>
      </c>
      <c r="G86" s="411">
        <f>+SUM(G73:G85)</f>
        <v>367932.5438842905</v>
      </c>
      <c r="O86" s="1">
        <f>+SUM(O81:O84)</f>
        <v>498927.82874738693</v>
      </c>
      <c r="P86" s="281">
        <f>+O86*$O$4</f>
        <v>748391.74312108033</v>
      </c>
      <c r="Q86" s="1" t="s">
        <v>529</v>
      </c>
      <c r="R86" s="1">
        <f>+G86</f>
        <v>367932.5438842905</v>
      </c>
      <c r="S86" s="1">
        <f>+P86</f>
        <v>748391.74312108033</v>
      </c>
      <c r="T86" s="1">
        <f>+SUM(R86:S86)</f>
        <v>1116324.2870053709</v>
      </c>
    </row>
    <row r="89" spans="2:20">
      <c r="B89" s="919" t="s">
        <v>1621</v>
      </c>
      <c r="G89" s="3">
        <f>+SUM(F90:F104)</f>
        <v>240250.75196327333</v>
      </c>
    </row>
    <row r="90" spans="2:20">
      <c r="B90" s="919" t="s">
        <v>861</v>
      </c>
      <c r="C90" s="103" t="s">
        <v>72</v>
      </c>
      <c r="D90" s="811">
        <v>1</v>
      </c>
      <c r="E90" s="103">
        <f>VLOOKUP(B90,Cotizaciones!B:D,3,0)</f>
        <v>9510.4429193985889</v>
      </c>
      <c r="F90" s="1">
        <f t="shared" ref="F90:F104" si="5">+D90*E90</f>
        <v>9510.4429193985889</v>
      </c>
    </row>
    <row r="91" spans="2:20">
      <c r="B91" s="919" t="s">
        <v>856</v>
      </c>
      <c r="C91" s="103" t="s">
        <v>72</v>
      </c>
      <c r="D91" s="811">
        <v>1</v>
      </c>
      <c r="E91" s="103">
        <f>VLOOKUP(B91,Cotizaciones!B:D,3,0)</f>
        <v>67204.535133976417</v>
      </c>
      <c r="F91" s="1">
        <f t="shared" si="5"/>
        <v>67204.535133976417</v>
      </c>
    </row>
    <row r="92" spans="2:20">
      <c r="B92" s="919" t="s">
        <v>895</v>
      </c>
      <c r="C92" s="103" t="s">
        <v>72</v>
      </c>
      <c r="D92" s="811">
        <v>3</v>
      </c>
      <c r="E92" s="103">
        <f>VLOOKUP(B92,Cotizaciones!B:D,3,0)</f>
        <v>2245.1196804733045</v>
      </c>
      <c r="F92" s="1">
        <f t="shared" si="5"/>
        <v>6735.3590414199134</v>
      </c>
    </row>
    <row r="93" spans="2:20">
      <c r="B93" s="919" t="s">
        <v>877</v>
      </c>
      <c r="C93" s="103" t="s">
        <v>72</v>
      </c>
      <c r="D93" s="811">
        <v>1</v>
      </c>
      <c r="E93" s="103">
        <f>VLOOKUP(B93,Cotizaciones!B:D,3,0)</f>
        <v>15376.594074713537</v>
      </c>
      <c r="F93" s="1">
        <f t="shared" si="5"/>
        <v>15376.594074713537</v>
      </c>
    </row>
    <row r="94" spans="2:20">
      <c r="B94" s="919" t="s">
        <v>846</v>
      </c>
      <c r="C94" s="103" t="s">
        <v>72</v>
      </c>
      <c r="D94" s="811">
        <v>2</v>
      </c>
      <c r="E94" s="103">
        <f>VLOOKUP(B94,Cotizaciones!B:D,3,0)</f>
        <v>16301.686759324806</v>
      </c>
      <c r="F94" s="1">
        <f t="shared" si="5"/>
        <v>32603.373518649612</v>
      </c>
    </row>
    <row r="95" spans="2:20">
      <c r="B95" s="919" t="s">
        <v>833</v>
      </c>
      <c r="C95" s="103" t="s">
        <v>72</v>
      </c>
      <c r="D95" s="811">
        <v>4</v>
      </c>
      <c r="E95" s="103">
        <f>VLOOKUP(B95,Cotizaciones!B:D,3,0)</f>
        <v>10282.946386965707</v>
      </c>
      <c r="F95" s="1">
        <f t="shared" si="5"/>
        <v>41131.785547862826</v>
      </c>
    </row>
    <row r="96" spans="2:20">
      <c r="B96" s="919" t="s">
        <v>843</v>
      </c>
      <c r="C96" s="103" t="s">
        <v>72</v>
      </c>
      <c r="D96" s="811">
        <v>3</v>
      </c>
      <c r="E96" s="103">
        <f>VLOOKUP(B96,Cotizaciones!B:D,3,0)</f>
        <v>693.78723527685224</v>
      </c>
      <c r="F96" s="1">
        <f t="shared" si="5"/>
        <v>2081.3617058305567</v>
      </c>
    </row>
    <row r="97" spans="2:20">
      <c r="B97" s="919" t="s">
        <v>844</v>
      </c>
      <c r="C97" s="103" t="s">
        <v>72</v>
      </c>
      <c r="D97" s="811">
        <v>1</v>
      </c>
      <c r="E97" s="103">
        <f>VLOOKUP(B97,Cotizaciones!B:D,3,0)</f>
        <v>1026.7044002831542</v>
      </c>
      <c r="F97" s="1">
        <f t="shared" si="5"/>
        <v>1026.7044002831542</v>
      </c>
    </row>
    <row r="98" spans="2:20">
      <c r="B98" s="919" t="s">
        <v>837</v>
      </c>
      <c r="C98" s="103" t="s">
        <v>72</v>
      </c>
      <c r="D98" s="811">
        <v>10</v>
      </c>
      <c r="E98" s="103">
        <f>VLOOKUP(B98,Cotizaciones!B:D,3,0)</f>
        <v>462.53558291176762</v>
      </c>
      <c r="F98" s="1">
        <f t="shared" si="5"/>
        <v>4625.355829117676</v>
      </c>
    </row>
    <row r="99" spans="2:20">
      <c r="B99" s="919" t="s">
        <v>864</v>
      </c>
      <c r="C99" s="103" t="s">
        <v>72</v>
      </c>
      <c r="D99" s="811">
        <v>1</v>
      </c>
      <c r="E99" s="103">
        <f>VLOOKUP(B99,Cotizaciones!B:D,3,0)</f>
        <v>292.42956588799302</v>
      </c>
      <c r="F99" s="1">
        <f t="shared" si="5"/>
        <v>292.42956588799302</v>
      </c>
    </row>
    <row r="100" spans="2:20">
      <c r="B100" s="919" t="s">
        <v>863</v>
      </c>
      <c r="C100" s="103" t="s">
        <v>72</v>
      </c>
      <c r="D100" s="811">
        <v>2</v>
      </c>
      <c r="E100" s="103">
        <f>VLOOKUP(B100,Cotizaciones!B:D,3,0)</f>
        <v>215.32161645919032</v>
      </c>
      <c r="F100" s="1">
        <f t="shared" si="5"/>
        <v>430.64323291838065</v>
      </c>
    </row>
    <row r="101" spans="2:20">
      <c r="B101" s="919" t="s">
        <v>845</v>
      </c>
      <c r="C101" s="103" t="s">
        <v>72</v>
      </c>
      <c r="D101" s="811">
        <v>1</v>
      </c>
      <c r="E101" s="103">
        <f>VLOOKUP(B101,Cotizaciones!B:D,3,0)</f>
        <v>13613.592073988388</v>
      </c>
      <c r="F101" s="1">
        <f t="shared" si="5"/>
        <v>13613.592073988388</v>
      </c>
    </row>
    <row r="102" spans="2:20">
      <c r="B102" s="919" t="s">
        <v>830</v>
      </c>
      <c r="C102" s="103" t="s">
        <v>72</v>
      </c>
      <c r="D102" s="811">
        <v>1</v>
      </c>
      <c r="E102" s="103">
        <f>VLOOKUP(B102,Cotizaciones!B:D,3,0)</f>
        <v>10618.574919226277</v>
      </c>
      <c r="F102" s="1">
        <f t="shared" si="5"/>
        <v>10618.574919226277</v>
      </c>
      <c r="I102" s="1" t="s">
        <v>1571</v>
      </c>
      <c r="J102" s="1">
        <v>0</v>
      </c>
      <c r="O102" s="920">
        <f>(+K102*$K$4+L102*$L$4+M102*$M$4+N102*$N$4)*J102</f>
        <v>0</v>
      </c>
    </row>
    <row r="103" spans="2:20">
      <c r="B103" s="919" t="s">
        <v>1622</v>
      </c>
      <c r="C103" s="103" t="s">
        <v>72</v>
      </c>
      <c r="D103" s="811">
        <v>1</v>
      </c>
      <c r="E103" s="103">
        <v>20000</v>
      </c>
      <c r="F103" s="1">
        <f t="shared" si="5"/>
        <v>20000</v>
      </c>
      <c r="I103" s="1" t="s">
        <v>1625</v>
      </c>
      <c r="J103" s="1">
        <v>1</v>
      </c>
      <c r="K103" s="1">
        <v>0</v>
      </c>
      <c r="M103" s="1">
        <v>1</v>
      </c>
      <c r="O103" s="920">
        <f>(+K103*$K$4+L103*$L$4+M103*$M$4+N103*$N$4)*J103</f>
        <v>72132.138365590115</v>
      </c>
    </row>
    <row r="104" spans="2:20">
      <c r="B104" s="919" t="s">
        <v>1623</v>
      </c>
      <c r="C104" s="103" t="s">
        <v>72</v>
      </c>
      <c r="D104" s="811">
        <v>1</v>
      </c>
      <c r="E104" s="103">
        <v>15000</v>
      </c>
      <c r="F104" s="1">
        <f t="shared" si="5"/>
        <v>15000</v>
      </c>
      <c r="I104" s="1" t="s">
        <v>1624</v>
      </c>
      <c r="J104" s="1">
        <v>2</v>
      </c>
      <c r="K104" s="1">
        <v>1</v>
      </c>
      <c r="M104" s="1">
        <v>1</v>
      </c>
      <c r="O104" s="920">
        <f>(+K104*$K$4+L104*$L$4+M104*$M$4+N104*$N$4)*J104</f>
        <v>332618.55249825795</v>
      </c>
      <c r="R104" s="103">
        <f>+R107/T107</f>
        <v>0.32197032489333027</v>
      </c>
      <c r="S104" s="103">
        <f>+S107/T107</f>
        <v>0.67802967510666978</v>
      </c>
    </row>
    <row r="105" spans="2:20">
      <c r="B105" s="919" t="s">
        <v>1611</v>
      </c>
      <c r="G105" s="3">
        <f>+F106</f>
        <v>48050.150392654672</v>
      </c>
      <c r="I105" s="1" t="s">
        <v>1602</v>
      </c>
      <c r="J105" s="1">
        <v>0</v>
      </c>
      <c r="K105" s="1">
        <v>0</v>
      </c>
      <c r="M105" s="1">
        <v>0</v>
      </c>
      <c r="O105" s="920">
        <f>(+K105*$K$4+L105*$L$4+M105*$M$4+N105*$N$4)*J105</f>
        <v>0</v>
      </c>
      <c r="P105" s="357"/>
      <c r="R105" s="105" t="s">
        <v>291</v>
      </c>
      <c r="S105" s="105" t="s">
        <v>1041</v>
      </c>
      <c r="T105" s="105" t="s">
        <v>188</v>
      </c>
    </row>
    <row r="106" spans="2:20">
      <c r="B106" s="919" t="s">
        <v>1569</v>
      </c>
      <c r="C106" s="103" t="s">
        <v>54</v>
      </c>
      <c r="D106" s="811">
        <v>0.2</v>
      </c>
      <c r="E106" s="1">
        <f>+SUM(F90:F104)</f>
        <v>240250.75196327333</v>
      </c>
      <c r="F106" s="1">
        <f>+D106*E106</f>
        <v>48050.150392654672</v>
      </c>
      <c r="O106" s="920"/>
      <c r="P106" s="357"/>
      <c r="R106" s="105"/>
      <c r="S106" s="105"/>
      <c r="T106" s="105"/>
    </row>
    <row r="107" spans="2:20">
      <c r="F107" s="3">
        <f>+SUM(F89:F106)</f>
        <v>288300.90235592797</v>
      </c>
      <c r="G107" s="411">
        <f>+SUM(G89:G106)</f>
        <v>288300.90235592797</v>
      </c>
      <c r="O107" s="1">
        <f>+SUM(O102:O105)</f>
        <v>404750.69086384808</v>
      </c>
      <c r="P107" s="281">
        <f>+O107*$O$4</f>
        <v>607126.03629577206</v>
      </c>
      <c r="Q107" s="1" t="s">
        <v>529</v>
      </c>
      <c r="R107" s="1">
        <f>+G107</f>
        <v>288300.90235592797</v>
      </c>
      <c r="S107" s="1">
        <f>+P107</f>
        <v>607126.03629577206</v>
      </c>
      <c r="T107" s="1">
        <f>+SUM(R107:S107)</f>
        <v>895426.93865170004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25F2-643D-4A35-A1E3-819603A1A977}">
  <sheetPr>
    <tabColor rgb="FF92D050"/>
  </sheetPr>
  <dimension ref="B3:T42"/>
  <sheetViews>
    <sheetView topLeftCell="A15" workbookViewId="0">
      <selection activeCell="B23" sqref="B23"/>
    </sheetView>
  </sheetViews>
  <sheetFormatPr defaultColWidth="11.54296875" defaultRowHeight="13" outlineLevelRow="1"/>
  <cols>
    <col min="1" max="1" width="5.7265625" style="1" customWidth="1"/>
    <col min="2" max="2" width="40.26953125" style="1" bestFit="1" customWidth="1"/>
    <col min="3" max="3" width="4.26953125" style="103" bestFit="1" customWidth="1"/>
    <col min="4" max="4" width="5.7265625" style="811" bestFit="1" customWidth="1"/>
    <col min="5" max="5" width="10" style="1" bestFit="1" customWidth="1"/>
    <col min="6" max="6" width="17.26953125" style="1" customWidth="1"/>
    <col min="7" max="7" width="12.7265625" style="1" bestFit="1" customWidth="1"/>
    <col min="8" max="8" width="5.453125" style="1" customWidth="1"/>
    <col min="9" max="9" width="23.81640625" style="1" bestFit="1" customWidth="1"/>
    <col min="10" max="10" width="5.54296875" style="1" bestFit="1" customWidth="1"/>
    <col min="11" max="14" width="9.81640625" style="1" bestFit="1" customWidth="1"/>
    <col min="15" max="15" width="13.1796875" style="1" bestFit="1" customWidth="1"/>
    <col min="16" max="16" width="12.7265625" style="1" bestFit="1" customWidth="1"/>
    <col min="17" max="17" width="11.54296875" style="1"/>
    <col min="18" max="20" width="12.453125" style="1" bestFit="1" customWidth="1"/>
    <col min="21" max="16384" width="11.54296875" style="1"/>
  </cols>
  <sheetData>
    <row r="3" spans="2:15">
      <c r="B3" s="1" t="s">
        <v>1603</v>
      </c>
      <c r="O3" s="105"/>
    </row>
    <row r="4" spans="2:15">
      <c r="I4" s="919"/>
      <c r="K4" s="738">
        <f>+'P.MO 06.25'!B4</f>
        <v>94177.13788353886</v>
      </c>
      <c r="L4" s="738">
        <f>+'P.MO 06.25'!B5</f>
        <v>84612.512709566407</v>
      </c>
      <c r="M4" s="738">
        <f>+'P.MO 06.25'!B6</f>
        <v>72132.138365590115</v>
      </c>
      <c r="N4" s="738">
        <f>+'P.MO 06.25'!B7</f>
        <v>67240.498860267617</v>
      </c>
      <c r="O4" s="411">
        <v>1.5</v>
      </c>
    </row>
    <row r="5" spans="2:15">
      <c r="B5" s="1200" t="s">
        <v>41</v>
      </c>
      <c r="C5" s="1201" t="s">
        <v>523</v>
      </c>
      <c r="D5" s="1202" t="s">
        <v>43</v>
      </c>
      <c r="E5" s="1201" t="s">
        <v>526</v>
      </c>
      <c r="F5" s="1201" t="s">
        <v>17</v>
      </c>
      <c r="I5" s="105" t="s">
        <v>527</v>
      </c>
      <c r="J5" s="105" t="s">
        <v>528</v>
      </c>
      <c r="K5" s="194" t="s">
        <v>195</v>
      </c>
      <c r="L5" s="194" t="s">
        <v>196</v>
      </c>
      <c r="M5" s="194" t="s">
        <v>197</v>
      </c>
      <c r="N5" s="194" t="s">
        <v>198</v>
      </c>
      <c r="O5" s="1" t="s">
        <v>529</v>
      </c>
    </row>
    <row r="6" spans="2:15">
      <c r="B6" s="498" t="s">
        <v>1958</v>
      </c>
      <c r="C6" s="399"/>
      <c r="D6" s="1187"/>
      <c r="E6" s="397"/>
      <c r="F6" s="397"/>
      <c r="G6" s="499">
        <f>+SUM(F7:F16)</f>
        <v>18945.979952232141</v>
      </c>
    </row>
    <row r="7" spans="2:15" outlineLevel="1">
      <c r="B7" s="208" t="s">
        <v>1581</v>
      </c>
      <c r="C7" s="1203"/>
      <c r="D7" s="1204"/>
      <c r="E7" s="208"/>
      <c r="F7" s="208"/>
      <c r="G7" s="1196"/>
    </row>
    <row r="8" spans="2:15" outlineLevel="1">
      <c r="B8" s="490" t="s">
        <v>922</v>
      </c>
      <c r="C8" s="405" t="s">
        <v>72</v>
      </c>
      <c r="D8" s="885">
        <v>1</v>
      </c>
      <c r="E8" s="13">
        <f>VLOOKUP(B8,Cotizaciones!B:D,3,0)</f>
        <v>337.95256133565846</v>
      </c>
      <c r="F8" s="13">
        <f>+D8*E8</f>
        <v>337.95256133565846</v>
      </c>
      <c r="G8" s="890"/>
    </row>
    <row r="9" spans="2:15" outlineLevel="1">
      <c r="B9" s="490" t="s">
        <v>910</v>
      </c>
      <c r="C9" s="405" t="s">
        <v>72</v>
      </c>
      <c r="D9" s="885">
        <v>1</v>
      </c>
      <c r="E9" s="13">
        <f>VLOOKUP(B9,Cotizaciones!B:D,3,0)</f>
        <v>3243.9464912492735</v>
      </c>
      <c r="F9" s="13">
        <f>+D9*E9</f>
        <v>3243.9464912492735</v>
      </c>
      <c r="G9" s="889"/>
    </row>
    <row r="10" spans="2:15" outlineLevel="1">
      <c r="B10" s="490" t="s">
        <v>911</v>
      </c>
      <c r="C10" s="405" t="s">
        <v>72</v>
      </c>
      <c r="D10" s="885">
        <v>4</v>
      </c>
      <c r="E10" s="13">
        <f>VLOOKUP(B10,Cotizaciones!B:D,3,0)</f>
        <v>452.99200055249571</v>
      </c>
      <c r="F10" s="13">
        <f>+D10*E10</f>
        <v>1811.9680022099828</v>
      </c>
      <c r="G10" s="889"/>
    </row>
    <row r="11" spans="2:15" outlineLevel="1">
      <c r="B11" s="490" t="s">
        <v>918</v>
      </c>
      <c r="C11" s="405" t="s">
        <v>72</v>
      </c>
      <c r="D11" s="885">
        <v>1</v>
      </c>
      <c r="E11" s="13">
        <f>VLOOKUP(B11,Cotizaciones!B:D,3,0)</f>
        <v>452.99200055249571</v>
      </c>
      <c r="F11" s="13">
        <f>+D11*E11</f>
        <v>452.99200055249571</v>
      </c>
      <c r="G11" s="889"/>
    </row>
    <row r="12" spans="2:15" outlineLevel="1">
      <c r="B12" s="884" t="s">
        <v>902</v>
      </c>
      <c r="C12" s="493" t="s">
        <v>72</v>
      </c>
      <c r="D12" s="885">
        <f>+ROUNDUP(D9*3,0)</f>
        <v>3</v>
      </c>
      <c r="E12" s="13">
        <f>VLOOKUP(B12,Cotizaciones!B:D,3,0)</f>
        <v>424.18910317282183</v>
      </c>
      <c r="F12" s="13">
        <f>+D12*E12</f>
        <v>1272.5673095184654</v>
      </c>
      <c r="G12" s="889"/>
    </row>
    <row r="13" spans="2:15" outlineLevel="1">
      <c r="B13" s="15" t="s">
        <v>1886</v>
      </c>
      <c r="C13" s="1205"/>
      <c r="D13" s="1206"/>
      <c r="E13" s="15"/>
      <c r="F13" s="15"/>
      <c r="G13" s="890"/>
    </row>
    <row r="14" spans="2:15" outlineLevel="1">
      <c r="B14" s="490" t="s">
        <v>890</v>
      </c>
      <c r="C14" s="405" t="s">
        <v>72</v>
      </c>
      <c r="D14" s="885">
        <v>1</v>
      </c>
      <c r="E14" s="13">
        <f>VLOOKUP(B14,Cotizaciones!B:D,3,0)</f>
        <v>2240.299472021271</v>
      </c>
      <c r="F14" s="13">
        <f>+D14*E14</f>
        <v>2240.299472021271</v>
      </c>
      <c r="G14" s="889"/>
    </row>
    <row r="15" spans="2:15" outlineLevel="1">
      <c r="B15" s="13" t="s">
        <v>878</v>
      </c>
      <c r="C15" s="405" t="s">
        <v>72</v>
      </c>
      <c r="D15" s="253">
        <v>1</v>
      </c>
      <c r="E15" s="13">
        <f>VLOOKUP(B15,Cotizaciones!B:D,3,0)</f>
        <v>8313.6868058265281</v>
      </c>
      <c r="F15" s="13">
        <f>+D15*E15</f>
        <v>8313.6868058265281</v>
      </c>
      <c r="G15" s="889"/>
    </row>
    <row r="16" spans="2:15" outlineLevel="1">
      <c r="B16" s="1207" t="s">
        <v>902</v>
      </c>
      <c r="C16" s="406" t="s">
        <v>72</v>
      </c>
      <c r="D16" s="398">
        <f>+D15*3</f>
        <v>3</v>
      </c>
      <c r="E16" s="14">
        <f>VLOOKUP(B16,Cotizaciones!B:D,3,0)</f>
        <v>424.18910317282183</v>
      </c>
      <c r="F16" s="14">
        <f>+D16*E16</f>
        <v>1272.5673095184654</v>
      </c>
      <c r="G16" s="1208"/>
    </row>
    <row r="17" spans="2:7" outlineLevel="1">
      <c r="B17" s="498"/>
      <c r="C17" s="399"/>
      <c r="D17" s="1187"/>
      <c r="E17" s="397"/>
      <c r="F17" s="397"/>
      <c r="G17" s="499">
        <f>+SUM(F18)</f>
        <v>3978.6557899687496</v>
      </c>
    </row>
    <row r="18" spans="2:7" outlineLevel="1">
      <c r="B18" s="918" t="s">
        <v>1569</v>
      </c>
      <c r="C18" s="521" t="s">
        <v>54</v>
      </c>
      <c r="D18" s="918">
        <v>0.21</v>
      </c>
      <c r="E18" s="918">
        <f>+SUM(F6:F16)</f>
        <v>18945.979952232141</v>
      </c>
      <c r="F18" s="918">
        <f>+D18*E18</f>
        <v>3978.6557899687496</v>
      </c>
    </row>
    <row r="19" spans="2:7" outlineLevel="1">
      <c r="B19" s="906"/>
      <c r="C19" s="442"/>
      <c r="D19" s="907"/>
      <c r="E19" s="396"/>
      <c r="F19" s="396"/>
      <c r="G19" s="499">
        <f>+SUM(G6:G18)</f>
        <v>22924.635742200891</v>
      </c>
    </row>
    <row r="20" spans="2:7" outlineLevel="1">
      <c r="B20" s="1210"/>
      <c r="C20" s="1197"/>
      <c r="D20" s="1198"/>
      <c r="E20" s="1199"/>
      <c r="F20" s="1211" t="s">
        <v>1537</v>
      </c>
      <c r="G20" s="1199">
        <v>11</v>
      </c>
    </row>
    <row r="21" spans="2:7" outlineLevel="1">
      <c r="B21" s="1212"/>
      <c r="G21" s="411">
        <f>+G19*G20</f>
        <v>252170.99316420979</v>
      </c>
    </row>
    <row r="22" spans="2:7" outlineLevel="1">
      <c r="B22" s="1213"/>
      <c r="C22" s="870"/>
      <c r="D22" s="1209"/>
      <c r="E22" s="677"/>
      <c r="F22" s="677"/>
      <c r="G22" s="677"/>
    </row>
    <row r="23" spans="2:7" outlineLevel="1">
      <c r="B23" s="498" t="s">
        <v>2458</v>
      </c>
      <c r="C23" s="399"/>
      <c r="D23" s="1187"/>
      <c r="E23" s="397"/>
      <c r="F23" s="397"/>
      <c r="G23" s="499">
        <f>+SUM(F24:F28)</f>
        <v>18181.611093193369</v>
      </c>
    </row>
    <row r="24" spans="2:7" outlineLevel="1">
      <c r="B24" s="208" t="s">
        <v>1581</v>
      </c>
      <c r="C24" s="1203"/>
      <c r="D24" s="1204"/>
      <c r="E24" s="208"/>
      <c r="F24" s="208"/>
      <c r="G24" s="888"/>
    </row>
    <row r="25" spans="2:7" outlineLevel="1">
      <c r="B25" s="490" t="s">
        <v>922</v>
      </c>
      <c r="C25" s="405" t="s">
        <v>72</v>
      </c>
      <c r="D25" s="885">
        <v>2</v>
      </c>
      <c r="E25" s="13">
        <f>VLOOKUP(B25,Cotizaciones!B:D,3,0)</f>
        <v>337.95256133565846</v>
      </c>
      <c r="F25" s="13">
        <f>+D25*E25</f>
        <v>675.90512267131692</v>
      </c>
      <c r="G25" s="889"/>
    </row>
    <row r="26" spans="2:7" outlineLevel="1">
      <c r="B26" s="490" t="s">
        <v>910</v>
      </c>
      <c r="C26" s="405" t="s">
        <v>72</v>
      </c>
      <c r="D26" s="885">
        <v>4</v>
      </c>
      <c r="E26" s="13">
        <f>VLOOKUP(B26,Cotizaciones!B:D,3,0)</f>
        <v>3243.9464912492735</v>
      </c>
      <c r="F26" s="13">
        <f>+D26*E26</f>
        <v>12975.785964997094</v>
      </c>
      <c r="G26" s="889"/>
    </row>
    <row r="27" spans="2:7" outlineLevel="1">
      <c r="B27" s="490" t="s">
        <v>911</v>
      </c>
      <c r="C27" s="405" t="s">
        <v>72</v>
      </c>
      <c r="D27" s="885">
        <v>8</v>
      </c>
      <c r="E27" s="13">
        <f>VLOOKUP(B27,Cotizaciones!B:D,3,0)</f>
        <v>452.99200055249571</v>
      </c>
      <c r="F27" s="13">
        <f>+D27*E27</f>
        <v>3623.9360044199657</v>
      </c>
      <c r="G27" s="889"/>
    </row>
    <row r="28" spans="2:7" outlineLevel="1">
      <c r="B28" s="490" t="s">
        <v>918</v>
      </c>
      <c r="C28" s="405" t="s">
        <v>72</v>
      </c>
      <c r="D28" s="885">
        <v>2</v>
      </c>
      <c r="E28" s="13">
        <f>VLOOKUP(B28,Cotizaciones!B:D,3,0)</f>
        <v>452.99200055249571</v>
      </c>
      <c r="F28" s="13">
        <f>+D28*E28</f>
        <v>905.98400110499142</v>
      </c>
      <c r="G28" s="889"/>
    </row>
    <row r="29" spans="2:7" outlineLevel="1">
      <c r="B29" s="884" t="s">
        <v>902</v>
      </c>
      <c r="C29" s="493" t="s">
        <v>72</v>
      </c>
      <c r="D29" s="885">
        <f>+ROUNDUP(D26*3,0)</f>
        <v>12</v>
      </c>
      <c r="E29" s="13">
        <f>VLOOKUP(B29,Cotizaciones!B:D,3,0)</f>
        <v>424.18910317282183</v>
      </c>
      <c r="F29" s="13">
        <f>+D29*E29</f>
        <v>5090.2692380738617</v>
      </c>
      <c r="G29" s="890"/>
    </row>
    <row r="30" spans="2:7" outlineLevel="1">
      <c r="B30" s="15" t="s">
        <v>1886</v>
      </c>
      <c r="C30" s="1205"/>
      <c r="D30" s="1206"/>
      <c r="E30" s="15"/>
      <c r="F30" s="15"/>
      <c r="G30" s="889"/>
    </row>
    <row r="31" spans="2:7" outlineLevel="1">
      <c r="B31" s="490" t="s">
        <v>890</v>
      </c>
      <c r="C31" s="405" t="s">
        <v>72</v>
      </c>
      <c r="D31" s="885">
        <v>2</v>
      </c>
      <c r="E31" s="13">
        <f>VLOOKUP(B31,Cotizaciones!B:D,3,0)</f>
        <v>2240.299472021271</v>
      </c>
      <c r="F31" s="13">
        <f>+D31*E31</f>
        <v>4480.5989440425419</v>
      </c>
      <c r="G31" s="889"/>
    </row>
    <row r="32" spans="2:7" outlineLevel="1">
      <c r="B32" s="13" t="s">
        <v>878</v>
      </c>
      <c r="C32" s="405" t="s">
        <v>72</v>
      </c>
      <c r="D32" s="253">
        <v>2</v>
      </c>
      <c r="E32" s="13">
        <f>VLOOKUP(B32,Cotizaciones!B:D,3,0)</f>
        <v>8313.6868058265281</v>
      </c>
      <c r="F32" s="13">
        <f>+D32*E32</f>
        <v>16627.373611653056</v>
      </c>
      <c r="G32" s="889"/>
    </row>
    <row r="33" spans="2:20" outlineLevel="1">
      <c r="B33" s="1207" t="s">
        <v>902</v>
      </c>
      <c r="C33" s="406" t="s">
        <v>72</v>
      </c>
      <c r="D33" s="398">
        <f>+D32*3</f>
        <v>6</v>
      </c>
      <c r="E33" s="14">
        <f>VLOOKUP(B33,Cotizaciones!B:D,3,0)</f>
        <v>424.18910317282183</v>
      </c>
      <c r="F33" s="14">
        <f>+D33*E33</f>
        <v>2545.1346190369309</v>
      </c>
      <c r="G33" s="1208"/>
    </row>
    <row r="34" spans="2:20" outlineLevel="1">
      <c r="B34" s="498"/>
      <c r="C34" s="399"/>
      <c r="D34" s="1187"/>
      <c r="E34" s="397"/>
      <c r="F34" s="397"/>
      <c r="G34" s="499">
        <f>+SUM(F35)</f>
        <v>9384.9975011999522</v>
      </c>
    </row>
    <row r="35" spans="2:20" outlineLevel="1">
      <c r="B35" s="918" t="s">
        <v>1569</v>
      </c>
      <c r="C35" s="521" t="s">
        <v>54</v>
      </c>
      <c r="D35" s="918">
        <v>0.2</v>
      </c>
      <c r="E35" s="918">
        <f>+SUM(F23:F33)</f>
        <v>46924.987505999758</v>
      </c>
      <c r="F35" s="918">
        <f>+D35*E35</f>
        <v>9384.9975011999522</v>
      </c>
    </row>
    <row r="36" spans="2:20" outlineLevel="1">
      <c r="B36" s="906"/>
      <c r="C36" s="442"/>
      <c r="D36" s="907"/>
      <c r="E36" s="396"/>
      <c r="F36" s="396"/>
      <c r="G36" s="499">
        <f>+SUM(G23:G35)</f>
        <v>27566.608594393321</v>
      </c>
      <c r="I36" s="1" t="s">
        <v>1959</v>
      </c>
      <c r="J36" s="1">
        <v>3</v>
      </c>
      <c r="K36" s="1">
        <v>1</v>
      </c>
      <c r="M36" s="1">
        <v>1</v>
      </c>
      <c r="O36" s="920">
        <f>(+K36*$K$4+L36*$L$4+M36*$M$4+N36*$N$4)*J36</f>
        <v>498927.82874738693</v>
      </c>
    </row>
    <row r="37" spans="2:20" outlineLevel="1">
      <c r="F37" s="445" t="s">
        <v>1537</v>
      </c>
      <c r="G37" s="1">
        <v>14</v>
      </c>
      <c r="I37" s="1" t="s">
        <v>1602</v>
      </c>
      <c r="J37" s="1">
        <v>4</v>
      </c>
      <c r="K37" s="1">
        <v>1</v>
      </c>
      <c r="M37" s="1">
        <v>1</v>
      </c>
      <c r="O37" s="920">
        <f>(+K37*$K$4+L37*$L$4+M37*$M$4+N37*$N$4)*J37</f>
        <v>665237.1049965159</v>
      </c>
      <c r="P37" s="357"/>
    </row>
    <row r="38" spans="2:20" outlineLevel="1">
      <c r="G38" s="411">
        <f>+G36*G37</f>
        <v>385932.52032150648</v>
      </c>
      <c r="O38" s="1">
        <f>+SUM(O36:O37)</f>
        <v>1164164.9337439029</v>
      </c>
      <c r="P38" s="281">
        <f>+O38*$O$4</f>
        <v>1746247.4006158544</v>
      </c>
      <c r="Q38" s="1" t="s">
        <v>529</v>
      </c>
    </row>
    <row r="40" spans="2:20">
      <c r="R40" s="105" t="s">
        <v>291</v>
      </c>
      <c r="S40" s="105" t="s">
        <v>1041</v>
      </c>
      <c r="T40" s="105" t="s">
        <v>188</v>
      </c>
    </row>
    <row r="41" spans="2:20">
      <c r="F41" s="3" t="s">
        <v>1952</v>
      </c>
      <c r="G41" s="1177">
        <f>+G38+G21</f>
        <v>638103.51348571631</v>
      </c>
      <c r="O41" s="3" t="s">
        <v>1952</v>
      </c>
      <c r="P41" s="1177">
        <f>+P38</f>
        <v>1746247.4006158544</v>
      </c>
      <c r="R41" s="1">
        <f>+G41</f>
        <v>638103.51348571631</v>
      </c>
      <c r="S41" s="1">
        <f>+P41</f>
        <v>1746247.4006158544</v>
      </c>
      <c r="T41" s="1">
        <f>+SUM(R41:S41)</f>
        <v>2384350.9141015708</v>
      </c>
    </row>
    <row r="42" spans="2:20">
      <c r="R42" s="409">
        <f>+R41/T41</f>
        <v>0.26762147707027228</v>
      </c>
      <c r="S42" s="409">
        <f>+S41/T41</f>
        <v>0.73237852292972772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7414-D00E-4260-89EA-F26DF0B16B26}">
  <sheetPr>
    <tabColor rgb="FF92D050"/>
  </sheetPr>
  <dimension ref="B1:T295"/>
  <sheetViews>
    <sheetView topLeftCell="C82" workbookViewId="0">
      <selection activeCell="B98" sqref="B98:T100"/>
    </sheetView>
  </sheetViews>
  <sheetFormatPr defaultColWidth="11.54296875" defaultRowHeight="13" outlineLevelRow="1"/>
  <cols>
    <col min="1" max="1" width="1.7265625" style="1" customWidth="1"/>
    <col min="2" max="2" width="47.1796875" style="1" bestFit="1" customWidth="1"/>
    <col min="3" max="3" width="4.81640625" style="103" bestFit="1" customWidth="1"/>
    <col min="4" max="4" width="6.54296875" style="811" bestFit="1" customWidth="1"/>
    <col min="5" max="5" width="12.453125" style="1" customWidth="1"/>
    <col min="6" max="6" width="16.453125" style="1" bestFit="1" customWidth="1"/>
    <col min="7" max="7" width="12.7265625" style="1" bestFit="1" customWidth="1"/>
    <col min="8" max="8" width="2.453125" style="1" customWidth="1"/>
    <col min="9" max="9" width="34.26953125" style="1" bestFit="1" customWidth="1"/>
    <col min="10" max="10" width="6.26953125" style="1" customWidth="1"/>
    <col min="11" max="14" width="9.81640625" style="1" bestFit="1" customWidth="1"/>
    <col min="15" max="15" width="13.1796875" style="1" bestFit="1" customWidth="1"/>
    <col min="16" max="16" width="12.7265625" style="1" bestFit="1" customWidth="1"/>
    <col min="17" max="17" width="16.453125" style="1" bestFit="1" customWidth="1"/>
    <col min="18" max="18" width="11" style="1" bestFit="1" customWidth="1"/>
    <col min="19" max="20" width="12.453125" style="1" customWidth="1"/>
    <col min="21" max="16384" width="11.54296875" style="1"/>
  </cols>
  <sheetData>
    <row r="1" spans="2:16" ht="7.9" customHeight="1"/>
    <row r="2" spans="2:16">
      <c r="O2" s="279" t="s">
        <v>529</v>
      </c>
    </row>
    <row r="3" spans="2:16">
      <c r="G3" s="392"/>
      <c r="H3" s="358"/>
      <c r="I3" s="360"/>
      <c r="K3" s="738">
        <f>+'P.MO 06.25'!B4</f>
        <v>94177.13788353886</v>
      </c>
      <c r="L3" s="738">
        <f>+'P.MO 06.25'!B5</f>
        <v>84612.512709566407</v>
      </c>
      <c r="M3" s="738">
        <f>+'P.MO 06.25'!B6</f>
        <v>72132.138365590115</v>
      </c>
      <c r="N3" s="738">
        <f>+'P.MO 06.25'!B7</f>
        <v>67240.498860267617</v>
      </c>
      <c r="O3" s="910">
        <v>1.5</v>
      </c>
    </row>
    <row r="4" spans="2:16">
      <c r="B4" s="892" t="s">
        <v>41</v>
      </c>
      <c r="C4" s="182" t="s">
        <v>523</v>
      </c>
      <c r="D4" s="893" t="s">
        <v>43</v>
      </c>
      <c r="E4" s="182" t="s">
        <v>526</v>
      </c>
      <c r="F4" s="182" t="s">
        <v>17</v>
      </c>
      <c r="I4" s="1194" t="s">
        <v>1955</v>
      </c>
      <c r="J4" s="105" t="s">
        <v>1956</v>
      </c>
      <c r="K4" s="194" t="s">
        <v>195</v>
      </c>
      <c r="L4" s="194" t="s">
        <v>196</v>
      </c>
      <c r="M4" s="194" t="s">
        <v>197</v>
      </c>
      <c r="N4" s="194" t="s">
        <v>198</v>
      </c>
    </row>
    <row r="5" spans="2:16" outlineLevel="1">
      <c r="B5" s="498" t="s">
        <v>1950</v>
      </c>
      <c r="C5" s="399"/>
      <c r="D5" s="274"/>
      <c r="E5" s="397"/>
      <c r="F5" s="397"/>
      <c r="I5" s="445"/>
      <c r="O5" s="518"/>
      <c r="P5" s="518"/>
    </row>
    <row r="6" spans="2:16" outlineLevel="1">
      <c r="B6" s="906" t="s">
        <v>1566</v>
      </c>
      <c r="C6" s="442"/>
      <c r="D6" s="907"/>
      <c r="E6" s="396"/>
      <c r="F6" s="396"/>
      <c r="G6" s="499">
        <f>+SUM(F7:F17)</f>
        <v>28866.883494995891</v>
      </c>
      <c r="I6" s="445"/>
      <c r="O6" s="518"/>
      <c r="P6" s="518"/>
    </row>
    <row r="7" spans="2:16" outlineLevel="1">
      <c r="B7" s="886" t="s">
        <v>822</v>
      </c>
      <c r="C7" s="404" t="s">
        <v>532</v>
      </c>
      <c r="D7" s="1667">
        <v>2</v>
      </c>
      <c r="E7" s="184">
        <f>VLOOKUP(B7,Cotizaciones!B:D,3,0)</f>
        <v>4391.6187567695115</v>
      </c>
      <c r="F7" s="184">
        <f t="shared" ref="F7:F30" si="0">+D7*E7</f>
        <v>8783.237513539023</v>
      </c>
      <c r="G7" s="889"/>
      <c r="O7" s="357"/>
    </row>
    <row r="8" spans="2:16" outlineLevel="1">
      <c r="B8" s="490" t="s">
        <v>823</v>
      </c>
      <c r="C8" s="405" t="s">
        <v>56</v>
      </c>
      <c r="D8" s="491">
        <v>3</v>
      </c>
      <c r="E8" s="13">
        <f>VLOOKUP(B8,Cotizaciones!B:D,3,0)</f>
        <v>1306.0613026237793</v>
      </c>
      <c r="F8" s="13">
        <f t="shared" si="0"/>
        <v>3918.1839078713379</v>
      </c>
      <c r="G8" s="889"/>
    </row>
    <row r="9" spans="2:16" outlineLevel="1">
      <c r="B9" s="490" t="s">
        <v>824</v>
      </c>
      <c r="C9" s="405" t="s">
        <v>56</v>
      </c>
      <c r="D9" s="491">
        <v>4</v>
      </c>
      <c r="E9" s="13">
        <f>VLOOKUP(B9,Cotizaciones!B:D,3,0)</f>
        <v>218.32962033184273</v>
      </c>
      <c r="F9" s="13">
        <f t="shared" si="0"/>
        <v>873.31848132737093</v>
      </c>
      <c r="G9" s="889"/>
    </row>
    <row r="10" spans="2:16" outlineLevel="1">
      <c r="B10" s="884" t="s">
        <v>825</v>
      </c>
      <c r="C10" s="493" t="s">
        <v>56</v>
      </c>
      <c r="D10" s="491">
        <v>10</v>
      </c>
      <c r="E10" s="13">
        <f>VLOOKUP(B10,Cotizaciones!B:D,3,0)</f>
        <v>285.21001260380876</v>
      </c>
      <c r="F10" s="13">
        <f t="shared" si="0"/>
        <v>2852.1001260380876</v>
      </c>
      <c r="G10" s="889"/>
    </row>
    <row r="11" spans="2:16" outlineLevel="1">
      <c r="B11" s="490" t="s">
        <v>826</v>
      </c>
      <c r="C11" s="405" t="s">
        <v>56</v>
      </c>
      <c r="D11" s="491">
        <v>3</v>
      </c>
      <c r="E11" s="13">
        <f>VLOOKUP(B11,Cotizaciones!B:D,3,0)</f>
        <v>1411.4065279672186</v>
      </c>
      <c r="F11" s="13">
        <f t="shared" si="0"/>
        <v>4234.2195839016558</v>
      </c>
    </row>
    <row r="12" spans="2:16" outlineLevel="1">
      <c r="B12" s="490" t="s">
        <v>827</v>
      </c>
      <c r="C12" s="405" t="s">
        <v>56</v>
      </c>
      <c r="D12" s="491">
        <v>3</v>
      </c>
      <c r="E12" s="13">
        <f>VLOOKUP(B12,Cotizaciones!B:D,3,0)</f>
        <v>919.60539373953293</v>
      </c>
      <c r="F12" s="13">
        <f t="shared" si="0"/>
        <v>2758.816181218599</v>
      </c>
    </row>
    <row r="13" spans="2:16" outlineLevel="1">
      <c r="B13" s="13" t="s">
        <v>828</v>
      </c>
      <c r="C13" s="405" t="s">
        <v>56</v>
      </c>
      <c r="D13" s="13">
        <v>2</v>
      </c>
      <c r="E13" s="13">
        <f>VLOOKUP(B13,Cotizaciones!B:D,3,0)</f>
        <v>1493.8988007389632</v>
      </c>
      <c r="F13" s="13">
        <f t="shared" si="0"/>
        <v>2987.7976014779265</v>
      </c>
    </row>
    <row r="14" spans="2:16" outlineLevel="1">
      <c r="B14" s="902" t="s">
        <v>829</v>
      </c>
      <c r="C14" s="405" t="s">
        <v>56</v>
      </c>
      <c r="D14" s="13">
        <v>1</v>
      </c>
      <c r="E14" s="13">
        <f>VLOOKUP(B14,Cotizaciones!B:D,3,0)</f>
        <v>1764.0241431424347</v>
      </c>
      <c r="F14" s="13">
        <f t="shared" si="0"/>
        <v>1764.0241431424347</v>
      </c>
    </row>
    <row r="15" spans="2:16" outlineLevel="1">
      <c r="B15" s="902" t="s">
        <v>830</v>
      </c>
      <c r="C15" s="405" t="s">
        <v>56</v>
      </c>
      <c r="D15" s="13">
        <v>0</v>
      </c>
      <c r="E15" s="13">
        <f>VLOOKUP(B15,Cotizaciones!B:D,3,0)</f>
        <v>10618.574919226277</v>
      </c>
      <c r="F15" s="13">
        <f t="shared" si="0"/>
        <v>0</v>
      </c>
    </row>
    <row r="16" spans="2:16" outlineLevel="1">
      <c r="B16" s="902" t="s">
        <v>831</v>
      </c>
      <c r="C16" s="405" t="s">
        <v>56</v>
      </c>
      <c r="D16" s="13">
        <v>2</v>
      </c>
      <c r="E16" s="13">
        <f>VLOOKUP(B16,Cotizaciones!B:D,3,0)</f>
        <v>347.5929782397256</v>
      </c>
      <c r="F16" s="13">
        <f t="shared" si="0"/>
        <v>695.18595647945119</v>
      </c>
    </row>
    <row r="17" spans="2:20" outlineLevel="1">
      <c r="B17" s="494" t="s">
        <v>832</v>
      </c>
      <c r="C17" s="406" t="s">
        <v>56</v>
      </c>
      <c r="D17" s="898">
        <v>0</v>
      </c>
      <c r="E17" s="14">
        <f>VLOOKUP(B17,Cotizaciones!B:D,3,0)</f>
        <v>7147.7235707338414</v>
      </c>
      <c r="F17" s="14">
        <f t="shared" si="0"/>
        <v>0</v>
      </c>
    </row>
    <row r="18" spans="2:20" outlineLevel="1">
      <c r="B18" s="906" t="s">
        <v>1567</v>
      </c>
      <c r="C18" s="442"/>
      <c r="D18" s="907"/>
      <c r="E18" s="396"/>
      <c r="F18" s="396"/>
      <c r="G18" s="499">
        <f>+SUM(F19:F27)</f>
        <v>25377.240865116226</v>
      </c>
    </row>
    <row r="19" spans="2:20" outlineLevel="1">
      <c r="B19" s="184" t="s">
        <v>833</v>
      </c>
      <c r="C19" s="404" t="s">
        <v>532</v>
      </c>
      <c r="D19" s="184">
        <v>0.25</v>
      </c>
      <c r="E19" s="184">
        <f>VLOOKUP(B19,Cotizaciones!B:D,3,0)</f>
        <v>10282.946386965707</v>
      </c>
      <c r="F19" s="184">
        <f t="shared" si="0"/>
        <v>2570.7365967414266</v>
      </c>
    </row>
    <row r="20" spans="2:20" outlineLevel="1">
      <c r="B20" s="490" t="s">
        <v>834</v>
      </c>
      <c r="C20" s="405" t="s">
        <v>532</v>
      </c>
      <c r="D20" s="491">
        <v>0.25</v>
      </c>
      <c r="E20" s="13">
        <f>VLOOKUP(B20,Cotizaciones!B:D,3,0)</f>
        <v>11243.39443982113</v>
      </c>
      <c r="F20" s="13">
        <f t="shared" si="0"/>
        <v>2810.8486099552824</v>
      </c>
    </row>
    <row r="21" spans="2:20" outlineLevel="1">
      <c r="B21" s="490" t="s">
        <v>835</v>
      </c>
      <c r="C21" s="405" t="s">
        <v>56</v>
      </c>
      <c r="D21" s="491">
        <v>1</v>
      </c>
      <c r="E21" s="13">
        <f>VLOOKUP(B21,Cotizaciones!B:D,3,0)</f>
        <v>1632.576628279724</v>
      </c>
      <c r="F21" s="13">
        <f t="shared" si="0"/>
        <v>1632.576628279724</v>
      </c>
    </row>
    <row r="22" spans="2:20" outlineLevel="1">
      <c r="B22" s="490" t="s">
        <v>836</v>
      </c>
      <c r="C22" s="405" t="s">
        <v>56</v>
      </c>
      <c r="D22" s="491">
        <v>2</v>
      </c>
      <c r="E22" s="13">
        <f>VLOOKUP(B22,Cotizaciones!B:D,3,0)</f>
        <v>368.33708961365585</v>
      </c>
      <c r="F22" s="13">
        <f t="shared" si="0"/>
        <v>736.6741792273117</v>
      </c>
    </row>
    <row r="23" spans="2:20" outlineLevel="1">
      <c r="B23" s="490" t="s">
        <v>837</v>
      </c>
      <c r="C23" s="405" t="s">
        <v>56</v>
      </c>
      <c r="D23" s="491">
        <v>2</v>
      </c>
      <c r="E23" s="13">
        <f>VLOOKUP(B23,Cotizaciones!B:D,3,0)</f>
        <v>462.53558291176762</v>
      </c>
      <c r="F23" s="13">
        <f t="shared" si="0"/>
        <v>925.07116582353524</v>
      </c>
    </row>
    <row r="24" spans="2:20" outlineLevel="1">
      <c r="B24" s="490" t="s">
        <v>838</v>
      </c>
      <c r="C24" s="405" t="s">
        <v>56</v>
      </c>
      <c r="D24" s="491">
        <v>0</v>
      </c>
      <c r="E24" s="13">
        <f>VLOOKUP(B24,Cotizaciones!B:D,3,0)</f>
        <v>2090.7761754634348</v>
      </c>
      <c r="F24" s="13">
        <f t="shared" si="0"/>
        <v>0</v>
      </c>
    </row>
    <row r="25" spans="2:20" outlineLevel="1">
      <c r="B25" s="13" t="s">
        <v>839</v>
      </c>
      <c r="C25" s="405" t="s">
        <v>56</v>
      </c>
      <c r="D25" s="13">
        <v>2</v>
      </c>
      <c r="E25" s="13">
        <f>VLOOKUP(B25,Cotizaciones!B:D,3,0)</f>
        <v>693.78723527685224</v>
      </c>
      <c r="F25" s="13">
        <f t="shared" si="0"/>
        <v>1387.5744705537045</v>
      </c>
    </row>
    <row r="26" spans="2:20" outlineLevel="1">
      <c r="B26" s="13" t="s">
        <v>840</v>
      </c>
      <c r="C26" s="405" t="s">
        <v>56</v>
      </c>
      <c r="D26" s="13">
        <v>2</v>
      </c>
      <c r="E26" s="13">
        <f>VLOOKUP(B26,Cotizaciones!B:D,3,0)</f>
        <v>7656.8796072676214</v>
      </c>
      <c r="F26" s="13">
        <f t="shared" si="0"/>
        <v>15313.759214535243</v>
      </c>
    </row>
    <row r="27" spans="2:20" outlineLevel="1">
      <c r="B27" s="14" t="s">
        <v>845</v>
      </c>
      <c r="C27" s="406" t="s">
        <v>56</v>
      </c>
      <c r="D27" s="14">
        <v>0</v>
      </c>
      <c r="E27" s="14">
        <f>VLOOKUP(B27,Cotizaciones!B:D,3,0)</f>
        <v>13613.592073988388</v>
      </c>
      <c r="F27" s="14">
        <f t="shared" si="0"/>
        <v>0</v>
      </c>
    </row>
    <row r="28" spans="2:20" outlineLevel="1">
      <c r="B28" s="906" t="s">
        <v>1568</v>
      </c>
      <c r="C28" s="442"/>
      <c r="D28" s="907"/>
      <c r="E28" s="396"/>
      <c r="F28" s="396"/>
      <c r="G28" s="499">
        <f>+SUM(F29:F30)</f>
        <v>11912.344427454786</v>
      </c>
      <c r="I28" s="1" t="s">
        <v>1571</v>
      </c>
      <c r="J28" s="1">
        <v>0</v>
      </c>
      <c r="O28" s="518"/>
    </row>
    <row r="29" spans="2:20" outlineLevel="1">
      <c r="B29" s="184" t="s">
        <v>863</v>
      </c>
      <c r="C29" s="404" t="s">
        <v>56</v>
      </c>
      <c r="D29" s="184">
        <v>2</v>
      </c>
      <c r="E29" s="184">
        <f>VLOOKUP(B29,Cotizaciones!B:D,3,0)</f>
        <v>215.32161645919032</v>
      </c>
      <c r="F29" s="184">
        <f t="shared" si="0"/>
        <v>430.64323291838065</v>
      </c>
      <c r="I29" s="1" t="s">
        <v>1572</v>
      </c>
      <c r="J29" s="1">
        <v>0.5</v>
      </c>
      <c r="M29" s="1">
        <v>1</v>
      </c>
      <c r="O29" s="518">
        <f>(+K29*$K$3+L29*$L$3+M29*$M$3+N29*$N$3)*J29</f>
        <v>36066.069182795058</v>
      </c>
      <c r="R29" s="409">
        <f>+R31/T31</f>
        <v>0.21524552995811766</v>
      </c>
      <c r="S29" s="409">
        <f>+S31/T31</f>
        <v>0.78475447004188226</v>
      </c>
    </row>
    <row r="30" spans="2:20" outlineLevel="1">
      <c r="B30" s="14" t="s">
        <v>1569</v>
      </c>
      <c r="C30" s="406" t="s">
        <v>54</v>
      </c>
      <c r="D30" s="14">
        <v>0.21</v>
      </c>
      <c r="E30" s="14">
        <f>+SUM(F7:F29)</f>
        <v>54674.767593030505</v>
      </c>
      <c r="F30" s="14">
        <f t="shared" si="0"/>
        <v>11481.701194536405</v>
      </c>
      <c r="I30" s="1" t="s">
        <v>1570</v>
      </c>
      <c r="J30" s="1">
        <v>0.75</v>
      </c>
      <c r="K30" s="1">
        <v>1</v>
      </c>
      <c r="M30" s="1">
        <v>1</v>
      </c>
      <c r="O30" s="518">
        <f>(+K30*$K$3+L30*$L$3+M30*$M$3+N30*$N$3)*J30</f>
        <v>124731.95718684673</v>
      </c>
      <c r="R30" s="105" t="s">
        <v>291</v>
      </c>
      <c r="S30" s="105" t="s">
        <v>1041</v>
      </c>
      <c r="T30" s="105" t="s">
        <v>188</v>
      </c>
    </row>
    <row r="31" spans="2:20" outlineLevel="1">
      <c r="B31" s="906"/>
      <c r="C31" s="442"/>
      <c r="D31" s="907"/>
      <c r="E31" s="396"/>
      <c r="F31" s="396"/>
      <c r="G31" s="499">
        <f>+SUM(G6:G30)</f>
        <v>66156.468787566904</v>
      </c>
      <c r="O31" s="3">
        <f>+SUM(O28:O30)</f>
        <v>160798.0263696418</v>
      </c>
      <c r="P31" s="357">
        <f>+O31*$O$3</f>
        <v>241197.03955446271</v>
      </c>
      <c r="Q31" s="1" t="s">
        <v>529</v>
      </c>
      <c r="R31" s="1">
        <f>+G31</f>
        <v>66156.468787566904</v>
      </c>
      <c r="S31" s="1">
        <f>+P31</f>
        <v>241197.03955446271</v>
      </c>
      <c r="T31" s="3">
        <f>+SUM(R31:S31)</f>
        <v>307353.50834202964</v>
      </c>
    </row>
    <row r="32" spans="2:20" outlineLevel="1">
      <c r="F32" s="445" t="s">
        <v>1951</v>
      </c>
      <c r="G32" s="1">
        <v>11</v>
      </c>
      <c r="P32" s="1">
        <v>11</v>
      </c>
      <c r="Q32" s="1" t="s">
        <v>1951</v>
      </c>
    </row>
    <row r="33" spans="2:17" outlineLevel="1">
      <c r="F33" s="445" t="s">
        <v>1708</v>
      </c>
      <c r="G33" s="1">
        <v>0</v>
      </c>
      <c r="P33" s="1">
        <v>0</v>
      </c>
      <c r="Q33" s="919" t="s">
        <v>1708</v>
      </c>
    </row>
    <row r="34" spans="2:17" outlineLevel="1">
      <c r="F34" s="445" t="s">
        <v>1954</v>
      </c>
      <c r="G34" s="1">
        <v>1</v>
      </c>
      <c r="P34" s="1">
        <v>1</v>
      </c>
      <c r="Q34" s="919" t="s">
        <v>1954</v>
      </c>
    </row>
    <row r="35" spans="2:17" outlineLevel="1">
      <c r="G35" s="3">
        <f>+SUM(G32:G34)</f>
        <v>12</v>
      </c>
      <c r="P35" s="3">
        <f>+SUM(P32:P34)</f>
        <v>12</v>
      </c>
    </row>
    <row r="36" spans="2:17" outlineLevel="1">
      <c r="G36" s="411">
        <f>+G35*G31</f>
        <v>793877.62545080285</v>
      </c>
      <c r="P36" s="411">
        <f>+P35*P31</f>
        <v>2894364.4746535523</v>
      </c>
    </row>
    <row r="37" spans="2:17" s="358" customFormat="1" outlineLevel="1">
      <c r="C37" s="104"/>
      <c r="D37" s="559"/>
      <c r="G37" s="357"/>
      <c r="P37" s="357"/>
    </row>
    <row r="38" spans="2:17" outlineLevel="1">
      <c r="B38" s="498" t="s">
        <v>2417</v>
      </c>
      <c r="C38" s="399"/>
      <c r="D38" s="274"/>
      <c r="E38" s="397"/>
      <c r="F38" s="499"/>
      <c r="I38" s="445"/>
      <c r="O38" s="518"/>
      <c r="P38" s="518"/>
    </row>
    <row r="39" spans="2:17" outlineLevel="1">
      <c r="B39" s="906" t="s">
        <v>1566</v>
      </c>
      <c r="C39" s="442"/>
      <c r="D39" s="907"/>
      <c r="E39" s="396"/>
      <c r="F39" s="396"/>
      <c r="G39" s="499">
        <f>+SUM(F40:F50)</f>
        <v>73486.584790022855</v>
      </c>
      <c r="I39" s="445"/>
      <c r="O39" s="518"/>
      <c r="P39" s="518"/>
    </row>
    <row r="40" spans="2:17" outlineLevel="1">
      <c r="B40" s="886" t="s">
        <v>822</v>
      </c>
      <c r="C40" s="404" t="s">
        <v>532</v>
      </c>
      <c r="D40" s="887">
        <v>3</v>
      </c>
      <c r="E40" s="184">
        <f>VLOOKUP(B40,Cotizaciones!B:D,3,0)</f>
        <v>4391.6187567695115</v>
      </c>
      <c r="F40" s="184">
        <f t="shared" ref="F40:F50" si="1">+D40*E40</f>
        <v>13174.856270308534</v>
      </c>
      <c r="G40" s="889"/>
      <c r="O40" s="357"/>
    </row>
    <row r="41" spans="2:17" outlineLevel="1">
      <c r="B41" s="490" t="s">
        <v>823</v>
      </c>
      <c r="C41" s="405" t="s">
        <v>56</v>
      </c>
      <c r="D41" s="885">
        <v>4</v>
      </c>
      <c r="E41" s="13">
        <f>VLOOKUP(B41,Cotizaciones!B:D,3,0)</f>
        <v>1306.0613026237793</v>
      </c>
      <c r="F41" s="13">
        <f t="shared" si="1"/>
        <v>5224.2452104951171</v>
      </c>
      <c r="G41" s="889"/>
    </row>
    <row r="42" spans="2:17" outlineLevel="1">
      <c r="B42" s="490" t="s">
        <v>824</v>
      </c>
      <c r="C42" s="405" t="s">
        <v>56</v>
      </c>
      <c r="D42" s="885">
        <f>+D40*2</f>
        <v>6</v>
      </c>
      <c r="E42" s="13">
        <f>VLOOKUP(B42,Cotizaciones!B:D,3,0)</f>
        <v>218.32962033184273</v>
      </c>
      <c r="F42" s="13">
        <f t="shared" si="1"/>
        <v>1309.9777219910563</v>
      </c>
      <c r="G42" s="889"/>
    </row>
    <row r="43" spans="2:17" outlineLevel="1">
      <c r="B43" s="884" t="s">
        <v>825</v>
      </c>
      <c r="C43" s="493" t="s">
        <v>56</v>
      </c>
      <c r="D43" s="885">
        <v>12</v>
      </c>
      <c r="E43" s="13">
        <f>VLOOKUP(B43,Cotizaciones!B:D,3,0)</f>
        <v>285.21001260380876</v>
      </c>
      <c r="F43" s="13">
        <f t="shared" si="1"/>
        <v>3422.5201512457052</v>
      </c>
      <c r="G43" s="889"/>
    </row>
    <row r="44" spans="2:17" outlineLevel="1">
      <c r="B44" s="490" t="s">
        <v>826</v>
      </c>
      <c r="C44" s="405" t="s">
        <v>56</v>
      </c>
      <c r="D44" s="885">
        <v>7</v>
      </c>
      <c r="E44" s="13">
        <f>VLOOKUP(B44,Cotizaciones!B:D,3,0)</f>
        <v>1411.4065279672186</v>
      </c>
      <c r="F44" s="13">
        <f t="shared" si="1"/>
        <v>9879.8456957705312</v>
      </c>
    </row>
    <row r="45" spans="2:17" outlineLevel="1">
      <c r="B45" s="490" t="s">
        <v>827</v>
      </c>
      <c r="C45" s="405" t="s">
        <v>56</v>
      </c>
      <c r="D45" s="885">
        <f>+D44</f>
        <v>7</v>
      </c>
      <c r="E45" s="13">
        <f>VLOOKUP(B45,Cotizaciones!B:D,3,0)</f>
        <v>919.60539373953293</v>
      </c>
      <c r="F45" s="13">
        <f t="shared" si="1"/>
        <v>6437.2377561767307</v>
      </c>
    </row>
    <row r="46" spans="2:17" outlineLevel="1">
      <c r="B46" s="13" t="s">
        <v>828</v>
      </c>
      <c r="C46" s="405" t="s">
        <v>56</v>
      </c>
      <c r="D46" s="253">
        <v>2</v>
      </c>
      <c r="E46" s="13">
        <f>VLOOKUP(B46,Cotizaciones!B:D,3,0)</f>
        <v>1493.8988007389632</v>
      </c>
      <c r="F46" s="13">
        <f t="shared" si="1"/>
        <v>2987.7976014779265</v>
      </c>
    </row>
    <row r="47" spans="2:17" outlineLevel="1">
      <c r="B47" s="902" t="s">
        <v>829</v>
      </c>
      <c r="C47" s="405" t="s">
        <v>56</v>
      </c>
      <c r="D47" s="253">
        <v>1</v>
      </c>
      <c r="E47" s="13">
        <f>VLOOKUP(B47,Cotizaciones!B:D,3,0)</f>
        <v>1764.0241431424347</v>
      </c>
      <c r="F47" s="13">
        <f t="shared" si="1"/>
        <v>1764.0241431424347</v>
      </c>
    </row>
    <row r="48" spans="2:17" outlineLevel="1">
      <c r="B48" s="902" t="s">
        <v>830</v>
      </c>
      <c r="C48" s="405" t="s">
        <v>56</v>
      </c>
      <c r="D48" s="253">
        <v>0</v>
      </c>
      <c r="E48" s="13">
        <f>VLOOKUP(B48,Cotizaciones!B:D,3,0)</f>
        <v>10618.574919226277</v>
      </c>
      <c r="F48" s="13">
        <f t="shared" si="1"/>
        <v>0</v>
      </c>
    </row>
    <row r="49" spans="2:20" outlineLevel="1">
      <c r="B49" s="902" t="s">
        <v>831</v>
      </c>
      <c r="C49" s="405" t="s">
        <v>56</v>
      </c>
      <c r="D49" s="253">
        <v>2</v>
      </c>
      <c r="E49" s="13">
        <f>VLOOKUP(B49,Cotizaciones!B:D,3,0)</f>
        <v>347.5929782397256</v>
      </c>
      <c r="F49" s="13">
        <f t="shared" si="1"/>
        <v>695.18595647945119</v>
      </c>
    </row>
    <row r="50" spans="2:20" outlineLevel="1">
      <c r="B50" s="494" t="s">
        <v>832</v>
      </c>
      <c r="C50" s="406" t="s">
        <v>56</v>
      </c>
      <c r="D50" s="897">
        <v>4</v>
      </c>
      <c r="E50" s="14">
        <f>VLOOKUP(B50,Cotizaciones!B:D,3,0)</f>
        <v>7147.7235707338414</v>
      </c>
      <c r="F50" s="14">
        <f t="shared" si="1"/>
        <v>28590.894282935365</v>
      </c>
    </row>
    <row r="51" spans="2:20" outlineLevel="1">
      <c r="B51" s="906" t="s">
        <v>1567</v>
      </c>
      <c r="C51" s="442"/>
      <c r="D51" s="907"/>
      <c r="E51" s="396"/>
      <c r="F51" s="396"/>
      <c r="G51" s="499">
        <f>+SUM(F52:F60)</f>
        <v>44816.318458536924</v>
      </c>
    </row>
    <row r="52" spans="2:20" outlineLevel="1">
      <c r="B52" s="184" t="s">
        <v>833</v>
      </c>
      <c r="C52" s="404" t="s">
        <v>532</v>
      </c>
      <c r="D52" s="273">
        <v>1</v>
      </c>
      <c r="E52" s="184">
        <f>VLOOKUP(B52,Cotizaciones!B:D,3,0)</f>
        <v>10282.946386965707</v>
      </c>
      <c r="F52" s="184">
        <f t="shared" ref="F52:F60" si="2">+D52*E52</f>
        <v>10282.946386965707</v>
      </c>
    </row>
    <row r="53" spans="2:20" outlineLevel="1">
      <c r="B53" s="490" t="s">
        <v>834</v>
      </c>
      <c r="C53" s="405" t="s">
        <v>532</v>
      </c>
      <c r="D53" s="885">
        <v>1</v>
      </c>
      <c r="E53" s="13">
        <f>VLOOKUP(B53,Cotizaciones!B:D,3,0)</f>
        <v>11243.39443982113</v>
      </c>
      <c r="F53" s="13">
        <f t="shared" si="2"/>
        <v>11243.39443982113</v>
      </c>
    </row>
    <row r="54" spans="2:20" outlineLevel="1">
      <c r="B54" s="490" t="s">
        <v>835</v>
      </c>
      <c r="C54" s="405" t="s">
        <v>56</v>
      </c>
      <c r="D54" s="885">
        <v>2</v>
      </c>
      <c r="E54" s="13">
        <f>VLOOKUP(B54,Cotizaciones!B:D,3,0)</f>
        <v>1632.576628279724</v>
      </c>
      <c r="F54" s="13">
        <f t="shared" si="2"/>
        <v>3265.153256559448</v>
      </c>
    </row>
    <row r="55" spans="2:20" outlineLevel="1">
      <c r="B55" s="490" t="s">
        <v>836</v>
      </c>
      <c r="C55" s="405" t="s">
        <v>56</v>
      </c>
      <c r="D55" s="885">
        <f>+(D52+D53)*2</f>
        <v>4</v>
      </c>
      <c r="E55" s="13">
        <f>VLOOKUP(B55,Cotizaciones!B:D,3,0)</f>
        <v>368.33708961365585</v>
      </c>
      <c r="F55" s="13">
        <f t="shared" si="2"/>
        <v>1473.3483584546234</v>
      </c>
    </row>
    <row r="56" spans="2:20" outlineLevel="1">
      <c r="B56" s="490" t="s">
        <v>837</v>
      </c>
      <c r="C56" s="405" t="s">
        <v>56</v>
      </c>
      <c r="D56" s="885">
        <v>4</v>
      </c>
      <c r="E56" s="13">
        <f>VLOOKUP(B56,Cotizaciones!B:D,3,0)</f>
        <v>462.53558291176762</v>
      </c>
      <c r="F56" s="13">
        <f t="shared" si="2"/>
        <v>1850.1423316470705</v>
      </c>
    </row>
    <row r="57" spans="2:20" outlineLevel="1">
      <c r="B57" s="490" t="s">
        <v>838</v>
      </c>
      <c r="C57" s="405" t="s">
        <v>56</v>
      </c>
      <c r="D57" s="885">
        <v>0</v>
      </c>
      <c r="E57" s="13">
        <f>VLOOKUP(B57,Cotizaciones!B:D,3,0)</f>
        <v>2090.7761754634348</v>
      </c>
      <c r="F57" s="13">
        <f t="shared" si="2"/>
        <v>0</v>
      </c>
    </row>
    <row r="58" spans="2:20" outlineLevel="1">
      <c r="B58" s="13" t="s">
        <v>839</v>
      </c>
      <c r="C58" s="405" t="s">
        <v>56</v>
      </c>
      <c r="D58" s="253">
        <v>2</v>
      </c>
      <c r="E58" s="13">
        <f>VLOOKUP(B58,Cotizaciones!B:D,3,0)</f>
        <v>693.78723527685224</v>
      </c>
      <c r="F58" s="13">
        <f t="shared" si="2"/>
        <v>1387.5744705537045</v>
      </c>
    </row>
    <row r="59" spans="2:20" outlineLevel="1">
      <c r="B59" s="13" t="s">
        <v>840</v>
      </c>
      <c r="C59" s="405" t="s">
        <v>56</v>
      </c>
      <c r="D59" s="253">
        <v>2</v>
      </c>
      <c r="E59" s="13">
        <f>VLOOKUP(B59,Cotizaciones!B:D,3,0)</f>
        <v>7656.8796072676214</v>
      </c>
      <c r="F59" s="13">
        <f t="shared" si="2"/>
        <v>15313.759214535243</v>
      </c>
    </row>
    <row r="60" spans="2:20" outlineLevel="1">
      <c r="B60" s="14" t="s">
        <v>845</v>
      </c>
      <c r="C60" s="406" t="s">
        <v>56</v>
      </c>
      <c r="D60" s="398">
        <v>0</v>
      </c>
      <c r="E60" s="14">
        <f>VLOOKUP(B60,Cotizaciones!B:D,3,0)</f>
        <v>13613.592073988388</v>
      </c>
      <c r="F60" s="14">
        <f t="shared" si="2"/>
        <v>0</v>
      </c>
    </row>
    <row r="61" spans="2:20" outlineLevel="1">
      <c r="B61" s="906" t="s">
        <v>1568</v>
      </c>
      <c r="C61" s="442"/>
      <c r="D61" s="907"/>
      <c r="E61" s="396"/>
      <c r="F61" s="396"/>
      <c r="G61" s="499">
        <f>+SUM(F62:F63)</f>
        <v>25885.766305860037</v>
      </c>
      <c r="I61" s="1" t="s">
        <v>1571</v>
      </c>
      <c r="O61" s="518">
        <f>(+K61*$K$3+L61*$L$3+M61*$M$3+N61*$N$3)*J61</f>
        <v>0</v>
      </c>
    </row>
    <row r="62" spans="2:20" outlineLevel="1">
      <c r="B62" s="184" t="s">
        <v>863</v>
      </c>
      <c r="C62" s="404" t="s">
        <v>56</v>
      </c>
      <c r="D62" s="273">
        <v>4</v>
      </c>
      <c r="E62" s="184">
        <f>VLOOKUP(B62,Cotizaciones!B:D,3,0)</f>
        <v>215.32161645919032</v>
      </c>
      <c r="F62" s="184">
        <f t="shared" ref="F62:F63" si="3">+D62*E62</f>
        <v>861.28646583676129</v>
      </c>
      <c r="I62" s="1" t="s">
        <v>1572</v>
      </c>
      <c r="J62" s="1">
        <v>0.75</v>
      </c>
      <c r="M62" s="1">
        <v>1</v>
      </c>
      <c r="O62" s="518">
        <f>(+K62*$K$3+L62*$L$3+M62*$M$3+N62*$N$3)*J62</f>
        <v>54099.103774192583</v>
      </c>
      <c r="R62" s="409">
        <f>+R64/T64</f>
        <v>0.24050156076383591</v>
      </c>
      <c r="S62" s="409">
        <f>+S64/T64</f>
        <v>0.75949843923616411</v>
      </c>
    </row>
    <row r="63" spans="2:20" outlineLevel="1">
      <c r="B63" s="14" t="s">
        <v>1569</v>
      </c>
      <c r="C63" s="406" t="s">
        <v>54</v>
      </c>
      <c r="D63" s="14">
        <v>0.21</v>
      </c>
      <c r="E63" s="14">
        <f>+SUM(F40:F62)</f>
        <v>119164.18971439655</v>
      </c>
      <c r="F63" s="14">
        <f t="shared" si="3"/>
        <v>25024.479840023276</v>
      </c>
      <c r="I63" s="1" t="s">
        <v>1570</v>
      </c>
      <c r="J63" s="1">
        <v>1.5</v>
      </c>
      <c r="K63" s="1">
        <v>1</v>
      </c>
      <c r="M63" s="1">
        <v>1</v>
      </c>
      <c r="O63" s="518">
        <f>(+K63*$K$3+L63*$L$3+M63*$M$3+N63*$N$3)*J63</f>
        <v>249463.91437369346</v>
      </c>
      <c r="R63" s="105" t="s">
        <v>291</v>
      </c>
      <c r="S63" s="105" t="s">
        <v>1041</v>
      </c>
      <c r="T63" s="105" t="s">
        <v>188</v>
      </c>
    </row>
    <row r="64" spans="2:20" outlineLevel="1">
      <c r="B64" s="906"/>
      <c r="C64" s="442"/>
      <c r="D64" s="907"/>
      <c r="E64" s="396"/>
      <c r="F64" s="396"/>
      <c r="G64" s="499">
        <f>+SUM(G39:G63)</f>
        <v>144188.66955441982</v>
      </c>
      <c r="O64" s="3">
        <f>+SUM(O61:O63)</f>
        <v>303563.01814788603</v>
      </c>
      <c r="P64" s="357">
        <f>+O64*$O$3</f>
        <v>455344.52722182905</v>
      </c>
      <c r="Q64" s="1" t="s">
        <v>529</v>
      </c>
      <c r="R64" s="1">
        <f>+G64</f>
        <v>144188.66955441982</v>
      </c>
      <c r="S64" s="1">
        <f>+P64</f>
        <v>455344.52722182905</v>
      </c>
      <c r="T64" s="3">
        <f>+SUM(R64:S64)</f>
        <v>599533.19677624886</v>
      </c>
    </row>
    <row r="65" spans="2:17" outlineLevel="1">
      <c r="F65" s="1" t="s">
        <v>1951</v>
      </c>
      <c r="G65" s="1">
        <v>11</v>
      </c>
      <c r="P65" s="1">
        <v>11</v>
      </c>
      <c r="Q65" s="1" t="s">
        <v>1951</v>
      </c>
    </row>
    <row r="66" spans="2:17" ht="13.15" customHeight="1" outlineLevel="1">
      <c r="G66" s="411">
        <f>+G65*G64</f>
        <v>1586075.365098618</v>
      </c>
      <c r="P66" s="411">
        <f>+P65*P64</f>
        <v>5008789.7994401194</v>
      </c>
    </row>
    <row r="67" spans="2:17" s="358" customFormat="1" outlineLevel="1">
      <c r="C67" s="104"/>
      <c r="D67" s="559"/>
      <c r="G67" s="357"/>
      <c r="P67" s="357"/>
    </row>
    <row r="68" spans="2:17" outlineLevel="1">
      <c r="B68" s="498" t="s">
        <v>2418</v>
      </c>
      <c r="C68" s="399"/>
      <c r="D68" s="274"/>
      <c r="E68" s="397"/>
      <c r="F68" s="499"/>
      <c r="I68" s="445"/>
      <c r="O68" s="518"/>
      <c r="P68" s="518"/>
    </row>
    <row r="69" spans="2:17" outlineLevel="1">
      <c r="B69" s="906" t="s">
        <v>1566</v>
      </c>
      <c r="C69" s="442"/>
      <c r="D69" s="907"/>
      <c r="E69" s="396"/>
      <c r="F69" s="396"/>
      <c r="G69" s="499">
        <f>+SUM(F70:F80)</f>
        <v>81911.480690849872</v>
      </c>
      <c r="I69" s="445"/>
      <c r="O69" s="518"/>
      <c r="P69" s="518"/>
    </row>
    <row r="70" spans="2:17" outlineLevel="1">
      <c r="B70" s="886" t="s">
        <v>822</v>
      </c>
      <c r="C70" s="404" t="s">
        <v>532</v>
      </c>
      <c r="D70" s="887">
        <v>4</v>
      </c>
      <c r="E70" s="184">
        <f>VLOOKUP(B70,Cotizaciones!B:D,3,0)</f>
        <v>4391.6187567695115</v>
      </c>
      <c r="F70" s="184">
        <f t="shared" ref="F70:F80" si="4">+D70*E70</f>
        <v>17566.475027078046</v>
      </c>
      <c r="G70" s="889"/>
      <c r="O70" s="357"/>
    </row>
    <row r="71" spans="2:17" outlineLevel="1">
      <c r="B71" s="490" t="s">
        <v>823</v>
      </c>
      <c r="C71" s="405" t="s">
        <v>56</v>
      </c>
      <c r="D71" s="885">
        <v>4</v>
      </c>
      <c r="E71" s="13">
        <f>VLOOKUP(B71,Cotizaciones!B:D,3,0)</f>
        <v>1306.0613026237793</v>
      </c>
      <c r="F71" s="13">
        <f t="shared" si="4"/>
        <v>5224.2452104951171</v>
      </c>
      <c r="G71" s="889"/>
    </row>
    <row r="72" spans="2:17" outlineLevel="1">
      <c r="B72" s="490" t="s">
        <v>824</v>
      </c>
      <c r="C72" s="405" t="s">
        <v>56</v>
      </c>
      <c r="D72" s="885">
        <f>+D70*2</f>
        <v>8</v>
      </c>
      <c r="E72" s="13">
        <f>VLOOKUP(B72,Cotizaciones!B:D,3,0)</f>
        <v>218.32962033184273</v>
      </c>
      <c r="F72" s="13">
        <f t="shared" si="4"/>
        <v>1746.6369626547419</v>
      </c>
      <c r="G72" s="889"/>
    </row>
    <row r="73" spans="2:17" outlineLevel="1">
      <c r="B73" s="884" t="s">
        <v>825</v>
      </c>
      <c r="C73" s="493" t="s">
        <v>56</v>
      </c>
      <c r="D73" s="885">
        <v>14</v>
      </c>
      <c r="E73" s="13">
        <f>VLOOKUP(B73,Cotizaciones!B:D,3,0)</f>
        <v>285.21001260380876</v>
      </c>
      <c r="F73" s="13">
        <f t="shared" si="4"/>
        <v>3992.9401764533227</v>
      </c>
      <c r="G73" s="889"/>
    </row>
    <row r="74" spans="2:17" outlineLevel="1">
      <c r="B74" s="490" t="s">
        <v>826</v>
      </c>
      <c r="C74" s="405" t="s">
        <v>56</v>
      </c>
      <c r="D74" s="885">
        <v>8</v>
      </c>
      <c r="E74" s="13">
        <f>VLOOKUP(B74,Cotizaciones!B:D,3,0)</f>
        <v>1411.4065279672186</v>
      </c>
      <c r="F74" s="13">
        <f t="shared" si="4"/>
        <v>11291.252223737749</v>
      </c>
    </row>
    <row r="75" spans="2:17" outlineLevel="1">
      <c r="B75" s="490" t="s">
        <v>827</v>
      </c>
      <c r="C75" s="405" t="s">
        <v>56</v>
      </c>
      <c r="D75" s="885">
        <f>+D74</f>
        <v>8</v>
      </c>
      <c r="E75" s="13">
        <f>VLOOKUP(B75,Cotizaciones!B:D,3,0)</f>
        <v>919.60539373953293</v>
      </c>
      <c r="F75" s="13">
        <f t="shared" si="4"/>
        <v>7356.8431499162634</v>
      </c>
    </row>
    <row r="76" spans="2:17" outlineLevel="1">
      <c r="B76" s="13" t="s">
        <v>828</v>
      </c>
      <c r="C76" s="405" t="s">
        <v>56</v>
      </c>
      <c r="D76" s="253">
        <v>2</v>
      </c>
      <c r="E76" s="13">
        <f>VLOOKUP(B76,Cotizaciones!B:D,3,0)</f>
        <v>1493.8988007389632</v>
      </c>
      <c r="F76" s="13">
        <f t="shared" si="4"/>
        <v>2987.7976014779265</v>
      </c>
    </row>
    <row r="77" spans="2:17" outlineLevel="1">
      <c r="B77" s="902" t="s">
        <v>829</v>
      </c>
      <c r="C77" s="405" t="s">
        <v>56</v>
      </c>
      <c r="D77" s="253">
        <v>1</v>
      </c>
      <c r="E77" s="13">
        <f>VLOOKUP(B77,Cotizaciones!B:D,3,0)</f>
        <v>1764.0241431424347</v>
      </c>
      <c r="F77" s="13">
        <f t="shared" si="4"/>
        <v>1764.0241431424347</v>
      </c>
    </row>
    <row r="78" spans="2:17" outlineLevel="1">
      <c r="B78" s="902" t="s">
        <v>830</v>
      </c>
      <c r="C78" s="405" t="s">
        <v>56</v>
      </c>
      <c r="D78" s="253">
        <v>0</v>
      </c>
      <c r="E78" s="13">
        <f>VLOOKUP(B78,Cotizaciones!B:D,3,0)</f>
        <v>10618.574919226277</v>
      </c>
      <c r="F78" s="13">
        <f t="shared" si="4"/>
        <v>0</v>
      </c>
    </row>
    <row r="79" spans="2:17" outlineLevel="1">
      <c r="B79" s="902" t="s">
        <v>831</v>
      </c>
      <c r="C79" s="405" t="s">
        <v>56</v>
      </c>
      <c r="D79" s="253">
        <v>4</v>
      </c>
      <c r="E79" s="13">
        <f>VLOOKUP(B79,Cotizaciones!B:D,3,0)</f>
        <v>347.5929782397256</v>
      </c>
      <c r="F79" s="13">
        <f t="shared" si="4"/>
        <v>1390.3719129589024</v>
      </c>
    </row>
    <row r="80" spans="2:17" outlineLevel="1">
      <c r="B80" s="494" t="s">
        <v>832</v>
      </c>
      <c r="C80" s="406" t="s">
        <v>56</v>
      </c>
      <c r="D80" s="897">
        <v>4</v>
      </c>
      <c r="E80" s="14">
        <f>VLOOKUP(B80,Cotizaciones!B:D,3,0)</f>
        <v>7147.7235707338414</v>
      </c>
      <c r="F80" s="14">
        <f t="shared" si="4"/>
        <v>28590.894282935365</v>
      </c>
    </row>
    <row r="81" spans="2:20" outlineLevel="1">
      <c r="B81" s="906" t="s">
        <v>1567</v>
      </c>
      <c r="C81" s="442"/>
      <c r="D81" s="907"/>
      <c r="E81" s="396"/>
      <c r="F81" s="396"/>
      <c r="G81" s="499">
        <f>+SUM(F82:F90)</f>
        <v>44122.498945078478</v>
      </c>
    </row>
    <row r="82" spans="2:20" outlineLevel="1">
      <c r="B82" s="184" t="s">
        <v>833</v>
      </c>
      <c r="C82" s="404" t="s">
        <v>532</v>
      </c>
      <c r="D82" s="273">
        <v>1</v>
      </c>
      <c r="E82" s="184">
        <f>VLOOKUP(B82,Cotizaciones!B:D,3,0)</f>
        <v>10282.946386965707</v>
      </c>
      <c r="F82" s="184">
        <f t="shared" ref="F82:F90" si="5">+D82*E82</f>
        <v>10282.946386965707</v>
      </c>
    </row>
    <row r="83" spans="2:20" outlineLevel="1">
      <c r="B83" s="490" t="s">
        <v>834</v>
      </c>
      <c r="C83" s="405" t="s">
        <v>532</v>
      </c>
      <c r="D83" s="885">
        <v>1</v>
      </c>
      <c r="E83" s="13">
        <f>VLOOKUP(B83,Cotizaciones!B:D,3,0)</f>
        <v>11243.39443982113</v>
      </c>
      <c r="F83" s="13">
        <f t="shared" si="5"/>
        <v>11243.39443982113</v>
      </c>
    </row>
    <row r="84" spans="2:20" outlineLevel="1">
      <c r="B84" s="490" t="s">
        <v>835</v>
      </c>
      <c r="C84" s="405" t="s">
        <v>56</v>
      </c>
      <c r="D84" s="885">
        <v>2</v>
      </c>
      <c r="E84" s="13">
        <f>VLOOKUP(B84,Cotizaciones!B:D,3,0)</f>
        <v>1632.576628279724</v>
      </c>
      <c r="F84" s="13">
        <f t="shared" si="5"/>
        <v>3265.153256559448</v>
      </c>
    </row>
    <row r="85" spans="2:20" outlineLevel="1">
      <c r="B85" s="490" t="s">
        <v>836</v>
      </c>
      <c r="C85" s="405" t="s">
        <v>56</v>
      </c>
      <c r="D85" s="885">
        <f>+(D82+D83)*2</f>
        <v>4</v>
      </c>
      <c r="E85" s="13">
        <f>VLOOKUP(B85,Cotizaciones!B:D,3,0)</f>
        <v>368.33708961365585</v>
      </c>
      <c r="F85" s="13">
        <f t="shared" si="5"/>
        <v>1473.3483584546234</v>
      </c>
    </row>
    <row r="86" spans="2:20" outlineLevel="1">
      <c r="B86" s="490" t="s">
        <v>837</v>
      </c>
      <c r="C86" s="405" t="s">
        <v>56</v>
      </c>
      <c r="D86" s="885">
        <v>1</v>
      </c>
      <c r="E86" s="13">
        <f>VLOOKUP(B86,Cotizaciones!B:D,3,0)</f>
        <v>462.53558291176762</v>
      </c>
      <c r="F86" s="13">
        <f t="shared" si="5"/>
        <v>462.53558291176762</v>
      </c>
    </row>
    <row r="87" spans="2:20" outlineLevel="1">
      <c r="B87" s="490" t="s">
        <v>838</v>
      </c>
      <c r="C87" s="405" t="s">
        <v>56</v>
      </c>
      <c r="D87" s="885">
        <v>0</v>
      </c>
      <c r="E87" s="13">
        <f>VLOOKUP(B87,Cotizaciones!B:D,3,0)</f>
        <v>2090.7761754634348</v>
      </c>
      <c r="F87" s="13">
        <f t="shared" si="5"/>
        <v>0</v>
      </c>
    </row>
    <row r="88" spans="2:20" outlineLevel="1">
      <c r="B88" s="13" t="s">
        <v>839</v>
      </c>
      <c r="C88" s="405" t="s">
        <v>56</v>
      </c>
      <c r="D88" s="253">
        <v>3</v>
      </c>
      <c r="E88" s="13">
        <f>VLOOKUP(B88,Cotizaciones!B:D,3,0)</f>
        <v>693.78723527685224</v>
      </c>
      <c r="F88" s="13">
        <f t="shared" si="5"/>
        <v>2081.3617058305567</v>
      </c>
    </row>
    <row r="89" spans="2:20" outlineLevel="1">
      <c r="B89" s="13" t="s">
        <v>840</v>
      </c>
      <c r="C89" s="405" t="s">
        <v>56</v>
      </c>
      <c r="D89" s="253">
        <v>2</v>
      </c>
      <c r="E89" s="13">
        <f>VLOOKUP(B89,Cotizaciones!B:D,3,0)</f>
        <v>7656.8796072676214</v>
      </c>
      <c r="F89" s="13">
        <f t="shared" si="5"/>
        <v>15313.759214535243</v>
      </c>
    </row>
    <row r="90" spans="2:20" outlineLevel="1">
      <c r="B90" s="14" t="s">
        <v>845</v>
      </c>
      <c r="C90" s="406" t="s">
        <v>56</v>
      </c>
      <c r="D90" s="398">
        <v>0</v>
      </c>
      <c r="E90" s="14">
        <f>VLOOKUP(B90,Cotizaciones!B:D,3,0)</f>
        <v>13613.592073988388</v>
      </c>
      <c r="F90" s="14">
        <f t="shared" si="5"/>
        <v>0</v>
      </c>
      <c r="R90" s="409">
        <f>+R92/T92</f>
        <v>0.26389339767698766</v>
      </c>
      <c r="S90" s="409">
        <f>+S92/T92</f>
        <v>0.73610660232301239</v>
      </c>
    </row>
    <row r="91" spans="2:20" outlineLevel="1">
      <c r="B91" s="906" t="s">
        <v>1568</v>
      </c>
      <c r="C91" s="442"/>
      <c r="D91" s="907"/>
      <c r="E91" s="396"/>
      <c r="F91" s="396"/>
      <c r="G91" s="499">
        <f>+SUM(F92:F93)</f>
        <v>27509.292347207433</v>
      </c>
      <c r="I91" s="1" t="s">
        <v>1571</v>
      </c>
      <c r="O91" s="518">
        <f>(+K91*$K$3+L91*$L$3+M91*$M$3+N91*$N$3)*J91</f>
        <v>0</v>
      </c>
      <c r="R91" s="105" t="s">
        <v>291</v>
      </c>
      <c r="S91" s="105" t="s">
        <v>1041</v>
      </c>
      <c r="T91" s="105" t="s">
        <v>188</v>
      </c>
    </row>
    <row r="92" spans="2:20" outlineLevel="1">
      <c r="B92" s="184" t="s">
        <v>863</v>
      </c>
      <c r="C92" s="404" t="s">
        <v>56</v>
      </c>
      <c r="D92" s="273">
        <v>4</v>
      </c>
      <c r="E92" s="184">
        <f>VLOOKUP(B92,Cotizaciones!B:D,3,0)</f>
        <v>215.32161645919032</v>
      </c>
      <c r="F92" s="184">
        <f t="shared" ref="F92:F93" si="6">+D92*E92</f>
        <v>861.28646583676129</v>
      </c>
      <c r="I92" s="1" t="s">
        <v>1572</v>
      </c>
      <c r="J92" s="1">
        <v>0.5</v>
      </c>
      <c r="M92" s="1">
        <v>1</v>
      </c>
      <c r="O92" s="518">
        <f>(+K92*$K$3+L92*$L$3+M92*$M$3+N92*$N$3)*J92</f>
        <v>36066.069182795058</v>
      </c>
      <c r="R92" s="1">
        <f>+G94</f>
        <v>153543.27198313578</v>
      </c>
      <c r="S92" s="1">
        <f>+P94</f>
        <v>428294.97533473279</v>
      </c>
      <c r="T92" s="1">
        <f>+SUM(R92:S92)</f>
        <v>581838.24731786852</v>
      </c>
    </row>
    <row r="93" spans="2:20" outlineLevel="1">
      <c r="B93" s="14" t="s">
        <v>1569</v>
      </c>
      <c r="C93" s="406" t="s">
        <v>54</v>
      </c>
      <c r="D93" s="14">
        <v>0.21</v>
      </c>
      <c r="E93" s="14">
        <f>+SUM(F70:F92)</f>
        <v>126895.2661017651</v>
      </c>
      <c r="F93" s="14">
        <f t="shared" si="6"/>
        <v>26648.005881370671</v>
      </c>
      <c r="I93" s="1" t="s">
        <v>1570</v>
      </c>
      <c r="J93" s="1">
        <v>1.5</v>
      </c>
      <c r="K93" s="1">
        <v>1</v>
      </c>
      <c r="M93" s="1">
        <v>1</v>
      </c>
      <c r="O93" s="518">
        <f>(+K93*$K$3+L93*$L$3+M93*$M$3+N93*$N$3)*J93</f>
        <v>249463.91437369346</v>
      </c>
    </row>
    <row r="94" spans="2:20" outlineLevel="1">
      <c r="B94" s="906"/>
      <c r="C94" s="442"/>
      <c r="D94" s="907"/>
      <c r="E94" s="396"/>
      <c r="F94" s="396"/>
      <c r="G94" s="499">
        <f>+SUM(G69:G93)</f>
        <v>153543.27198313578</v>
      </c>
      <c r="O94" s="3">
        <f>+SUM(O91:O93)</f>
        <v>285529.98355648853</v>
      </c>
      <c r="P94" s="357">
        <f>+O94*$O$3</f>
        <v>428294.97533473279</v>
      </c>
      <c r="Q94" s="1" t="s">
        <v>529</v>
      </c>
    </row>
    <row r="95" spans="2:20" outlineLevel="1">
      <c r="F95" s="1" t="s">
        <v>1951</v>
      </c>
      <c r="G95" s="1">
        <v>3</v>
      </c>
      <c r="P95" s="1">
        <v>3</v>
      </c>
      <c r="Q95" s="1" t="s">
        <v>1951</v>
      </c>
    </row>
    <row r="96" spans="2:20" ht="13.15" customHeight="1" outlineLevel="1">
      <c r="G96" s="411">
        <f>+G95*G94</f>
        <v>460629.81594940735</v>
      </c>
      <c r="P96" s="411">
        <f>+P95*P94</f>
        <v>1284884.9260041984</v>
      </c>
    </row>
    <row r="97" spans="2:20" s="358" customFormat="1" ht="13.15" customHeight="1">
      <c r="C97" s="104"/>
      <c r="D97" s="559"/>
      <c r="G97" s="357"/>
      <c r="P97" s="357"/>
      <c r="R97" s="392"/>
      <c r="S97" s="392"/>
    </row>
    <row r="98" spans="2:20" s="358" customFormat="1" ht="13.15" customHeight="1">
      <c r="C98" s="104"/>
      <c r="D98" s="559"/>
      <c r="G98" s="357"/>
      <c r="P98" s="357"/>
      <c r="R98" s="105" t="s">
        <v>291</v>
      </c>
      <c r="S98" s="105" t="s">
        <v>1041</v>
      </c>
      <c r="T98" s="105" t="s">
        <v>188</v>
      </c>
    </row>
    <row r="99" spans="2:20" ht="13.15" customHeight="1">
      <c r="B99" s="3" t="s">
        <v>2437</v>
      </c>
      <c r="F99" s="444" t="s">
        <v>1952</v>
      </c>
      <c r="G99" s="1177">
        <f>+G66+G36+G96</f>
        <v>2840582.8064988283</v>
      </c>
      <c r="P99" s="1177">
        <f>+P66+P36+P96</f>
        <v>9188039.2000978701</v>
      </c>
      <c r="R99" s="811">
        <f>+G99</f>
        <v>2840582.8064988283</v>
      </c>
      <c r="S99" s="811">
        <f>+P99</f>
        <v>9188039.2000978701</v>
      </c>
      <c r="T99" s="811">
        <f>+R99+S99</f>
        <v>12028622.006596699</v>
      </c>
    </row>
    <row r="100" spans="2:20" ht="13.15" customHeight="1">
      <c r="R100" s="409">
        <f>+R99/T99</f>
        <v>0.23615197193336068</v>
      </c>
      <c r="S100" s="409">
        <f>+S99/T99</f>
        <v>0.76384802806663921</v>
      </c>
    </row>
    <row r="101" spans="2:20" ht="13.15" customHeight="1"/>
    <row r="102" spans="2:20" hidden="1" outlineLevel="1">
      <c r="B102" s="498" t="s">
        <v>1575</v>
      </c>
      <c r="C102" s="442"/>
      <c r="D102" s="274"/>
      <c r="E102" s="396"/>
      <c r="F102" s="396"/>
      <c r="G102" s="499">
        <f>+SUM(F103:F113)</f>
        <v>2501139.9349345583</v>
      </c>
    </row>
    <row r="103" spans="2:20" hidden="1" outlineLevel="1">
      <c r="B103" s="184" t="s">
        <v>868</v>
      </c>
      <c r="C103" s="404" t="s">
        <v>56</v>
      </c>
      <c r="D103" s="273">
        <f>+Computo!C155</f>
        <v>137</v>
      </c>
      <c r="E103" s="184">
        <f>VLOOKUP(B103,Cotizaciones!B:D,3,0)</f>
        <v>8211.1175041005554</v>
      </c>
      <c r="F103" s="184">
        <f t="shared" ref="F103:F113" si="7">+D103*E103</f>
        <v>1124923.098061776</v>
      </c>
    </row>
    <row r="104" spans="2:20" hidden="1" outlineLevel="1">
      <c r="B104" s="13" t="s">
        <v>830</v>
      </c>
      <c r="C104" s="405" t="s">
        <v>56</v>
      </c>
      <c r="D104" s="253">
        <f>+Computo!D155+Computo!E155</f>
        <v>20</v>
      </c>
      <c r="E104" s="13">
        <f>VLOOKUP(B104,Cotizaciones!B:D,3,0)</f>
        <v>10618.574919226277</v>
      </c>
      <c r="F104" s="13">
        <f t="shared" si="7"/>
        <v>212371.49838452553</v>
      </c>
    </row>
    <row r="105" spans="2:20" hidden="1" outlineLevel="1">
      <c r="B105" s="13" t="s">
        <v>870</v>
      </c>
      <c r="C105" s="405" t="s">
        <v>56</v>
      </c>
      <c r="D105" s="253">
        <f>+Computo!F155</f>
        <v>157</v>
      </c>
      <c r="E105" s="13">
        <f>VLOOKUP(B105,Cotizaciones!B:D,3,0)</f>
        <v>384.18567677848949</v>
      </c>
      <c r="F105" s="13">
        <f t="shared" si="7"/>
        <v>60317.151254222852</v>
      </c>
    </row>
    <row r="106" spans="2:20" hidden="1" outlineLevel="1">
      <c r="B106" s="13" t="s">
        <v>915</v>
      </c>
      <c r="C106" s="405" t="s">
        <v>56</v>
      </c>
      <c r="D106" s="253">
        <f>+Computo!G155</f>
        <v>29</v>
      </c>
      <c r="E106" s="13">
        <f>VLOOKUP(B106,Cotizaciones!B:D,3,0)</f>
        <v>588.94770144512165</v>
      </c>
      <c r="F106" s="13">
        <f t="shared" si="7"/>
        <v>17079.483341908526</v>
      </c>
    </row>
    <row r="107" spans="2:20" hidden="1" outlineLevel="1">
      <c r="B107" s="13" t="s">
        <v>1574</v>
      </c>
      <c r="C107" s="405" t="s">
        <v>56</v>
      </c>
      <c r="D107" s="253">
        <f>+D106/2</f>
        <v>14.5</v>
      </c>
      <c r="E107" s="903">
        <v>10000</v>
      </c>
      <c r="F107" s="13">
        <f t="shared" si="7"/>
        <v>145000</v>
      </c>
    </row>
    <row r="108" spans="2:20" hidden="1" outlineLevel="1">
      <c r="B108" s="13" t="s">
        <v>912</v>
      </c>
      <c r="C108" s="405" t="s">
        <v>56</v>
      </c>
      <c r="D108" s="253">
        <f>+Computo!H155</f>
        <v>0</v>
      </c>
      <c r="E108" s="13">
        <f>VLOOKUP(B108,Cotizaciones!B:D,3,0)</f>
        <v>9528.6698393733786</v>
      </c>
      <c r="F108" s="13">
        <f t="shared" si="7"/>
        <v>0</v>
      </c>
    </row>
    <row r="109" spans="2:20" hidden="1" outlineLevel="1">
      <c r="B109" s="13" t="s">
        <v>920</v>
      </c>
      <c r="C109" s="405" t="s">
        <v>56</v>
      </c>
      <c r="D109" s="253">
        <f>+Computo!I155</f>
        <v>29</v>
      </c>
      <c r="E109" s="13">
        <f>VLOOKUP(B109,Cotizaciones!B:D,3,0)</f>
        <v>1758.0096419712588</v>
      </c>
      <c r="F109" s="13">
        <f t="shared" si="7"/>
        <v>50982.279617166503</v>
      </c>
    </row>
    <row r="110" spans="2:20" hidden="1" outlineLevel="1">
      <c r="B110" s="13" t="s">
        <v>919</v>
      </c>
      <c r="C110" s="405" t="s">
        <v>56</v>
      </c>
      <c r="D110" s="253">
        <f>+Computo!J155</f>
        <v>25</v>
      </c>
      <c r="E110" s="13">
        <f>VLOOKUP(B110,Cotizaciones!B:D,3,0)</f>
        <v>5164.4229805993427</v>
      </c>
      <c r="F110" s="13">
        <f t="shared" si="7"/>
        <v>129110.57451498357</v>
      </c>
    </row>
    <row r="111" spans="2:20" hidden="1" outlineLevel="1">
      <c r="B111" s="13" t="s">
        <v>916</v>
      </c>
      <c r="C111" s="405" t="s">
        <v>56</v>
      </c>
      <c r="D111" s="253">
        <f>+Computo!K155</f>
        <v>57</v>
      </c>
      <c r="E111" s="13">
        <f>VLOOKUP(B111,Cotizaciones!B:D,3,0)</f>
        <v>3704.4377893264736</v>
      </c>
      <c r="F111" s="13">
        <f t="shared" si="7"/>
        <v>211152.95399160899</v>
      </c>
      <c r="R111" s="409"/>
      <c r="S111" s="409"/>
    </row>
    <row r="112" spans="2:20" hidden="1" outlineLevel="1">
      <c r="B112" s="13" t="s">
        <v>917</v>
      </c>
      <c r="C112" s="405" t="s">
        <v>56</v>
      </c>
      <c r="D112" s="253">
        <f>+Computo!L155</f>
        <v>25</v>
      </c>
      <c r="E112" s="13">
        <f>VLOOKUP(B112,Cotizaciones!B:D,3,0)</f>
        <v>4644.8303320154009</v>
      </c>
      <c r="F112" s="13">
        <f t="shared" si="7"/>
        <v>116120.75830038503</v>
      </c>
      <c r="I112" s="919" t="s">
        <v>2432</v>
      </c>
      <c r="J112" s="1">
        <v>23</v>
      </c>
      <c r="K112" s="103">
        <v>1</v>
      </c>
      <c r="L112" s="103"/>
      <c r="M112" s="103">
        <v>0.5</v>
      </c>
      <c r="N112" s="103"/>
      <c r="O112" s="518">
        <f>(+K112*$K$3+L112*$L$3+M112*$M$3+N112*$N$3)*J112</f>
        <v>2995593.76252568</v>
      </c>
      <c r="R112" s="409"/>
      <c r="S112" s="409"/>
    </row>
    <row r="113" spans="2:20" hidden="1" outlineLevel="1">
      <c r="B113" s="14" t="s">
        <v>1569</v>
      </c>
      <c r="C113" s="406" t="s">
        <v>54</v>
      </c>
      <c r="D113" s="14">
        <v>0.21</v>
      </c>
      <c r="E113" s="14">
        <f>+SUM(F103:F112)</f>
        <v>2067057.7974665773</v>
      </c>
      <c r="F113" s="14">
        <f t="shared" si="7"/>
        <v>434082.1374679812</v>
      </c>
      <c r="I113" s="919" t="s">
        <v>2433</v>
      </c>
      <c r="J113" s="103">
        <v>3</v>
      </c>
      <c r="K113" s="103">
        <v>1</v>
      </c>
      <c r="L113" s="103"/>
      <c r="M113" s="103">
        <v>0.5</v>
      </c>
      <c r="N113" s="103"/>
      <c r="O113" s="518">
        <f>(+K113*$K$3+L113*$L$3+M113*$M$3+N113*$N$3)*J113</f>
        <v>390729.62119900173</v>
      </c>
      <c r="R113" s="105"/>
      <c r="S113" s="105"/>
      <c r="T113" s="105"/>
    </row>
    <row r="114" spans="2:20" hidden="1" outlineLevel="1">
      <c r="B114" s="906"/>
      <c r="C114" s="442"/>
      <c r="D114" s="907"/>
      <c r="E114" s="396"/>
      <c r="F114" s="396"/>
      <c r="G114" s="911">
        <f>+SUM(G102:G113)</f>
        <v>2501139.9349345583</v>
      </c>
      <c r="O114" s="3">
        <f>+SUM(O112:O113)</f>
        <v>3386323.3837246816</v>
      </c>
      <c r="P114" s="411">
        <f>+O114*$O$3</f>
        <v>5079485.0755870221</v>
      </c>
      <c r="Q114" s="1" t="s">
        <v>529</v>
      </c>
    </row>
    <row r="115" spans="2:20" collapsed="1">
      <c r="P115" s="358"/>
      <c r="Q115" s="358"/>
    </row>
    <row r="116" spans="2:20">
      <c r="B116" s="358"/>
      <c r="C116" s="104"/>
      <c r="D116" s="559"/>
      <c r="E116" s="358"/>
      <c r="F116" s="358"/>
      <c r="G116" s="357"/>
      <c r="H116" s="358"/>
      <c r="I116" s="358"/>
      <c r="J116" s="358"/>
      <c r="K116" s="358"/>
      <c r="L116" s="358"/>
      <c r="M116" s="358"/>
      <c r="N116" s="358"/>
      <c r="O116" s="358"/>
      <c r="P116" s="357"/>
      <c r="Q116" s="358"/>
      <c r="R116" s="105" t="s">
        <v>291</v>
      </c>
      <c r="S116" s="105" t="s">
        <v>1041</v>
      </c>
      <c r="T116" s="105" t="s">
        <v>188</v>
      </c>
    </row>
    <row r="117" spans="2:20">
      <c r="B117" s="3" t="s">
        <v>2438</v>
      </c>
      <c r="F117" s="444" t="s">
        <v>46</v>
      </c>
      <c r="G117" s="1177">
        <f>+G114</f>
        <v>2501139.9349345583</v>
      </c>
      <c r="P117" s="1177">
        <f>+P114</f>
        <v>5079485.0755870221</v>
      </c>
      <c r="R117" s="811">
        <f>+G117</f>
        <v>2501139.9349345583</v>
      </c>
      <c r="S117" s="811">
        <f>+P117</f>
        <v>5079485.0755870221</v>
      </c>
      <c r="T117" s="811">
        <f>+R117+S117</f>
        <v>7580625.0105215805</v>
      </c>
    </row>
    <row r="118" spans="2:20">
      <c r="R118" s="409">
        <f>+R117/T117</f>
        <v>0.32993848547620863</v>
      </c>
      <c r="S118" s="409">
        <f>+S117/T117</f>
        <v>0.67006151452379137</v>
      </c>
    </row>
    <row r="119" spans="2:20">
      <c r="P119" s="357"/>
      <c r="Q119" s="358"/>
    </row>
    <row r="120" spans="2:20" outlineLevel="1">
      <c r="B120" s="1" t="s">
        <v>1587</v>
      </c>
    </row>
    <row r="121" spans="2:20" outlineLevel="1">
      <c r="B121" s="498" t="s">
        <v>1588</v>
      </c>
      <c r="C121" s="442"/>
      <c r="D121" s="274"/>
      <c r="E121" s="396"/>
      <c r="F121" s="396"/>
      <c r="G121" s="499">
        <f>+SUM(F122:F131)</f>
        <v>579227.29055748216</v>
      </c>
    </row>
    <row r="122" spans="2:20" outlineLevel="1">
      <c r="B122" s="184" t="s">
        <v>847</v>
      </c>
      <c r="C122" s="404" t="s">
        <v>72</v>
      </c>
      <c r="D122" s="273">
        <v>5</v>
      </c>
      <c r="E122" s="184">
        <f>VLOOKUP(B122,Cotizaciones!B:D,3,0)</f>
        <v>18915.208085774964</v>
      </c>
      <c r="F122" s="184">
        <f t="shared" ref="F122:F160" si="8">+D122*E122</f>
        <v>94576.040428874825</v>
      </c>
    </row>
    <row r="123" spans="2:20" outlineLevel="1">
      <c r="B123" s="13" t="s">
        <v>849</v>
      </c>
      <c r="C123" s="405" t="s">
        <v>72</v>
      </c>
      <c r="D123" s="253">
        <v>10</v>
      </c>
      <c r="E123" s="13">
        <f>VLOOKUP(B123,Cotizaciones!B:D,3,0)</f>
        <v>1540.3686228468496</v>
      </c>
      <c r="F123" s="13">
        <f t="shared" si="8"/>
        <v>15403.686228468496</v>
      </c>
    </row>
    <row r="124" spans="2:20" outlineLevel="1">
      <c r="B124" s="13" t="s">
        <v>848</v>
      </c>
      <c r="C124" s="405" t="s">
        <v>72</v>
      </c>
      <c r="D124" s="253">
        <f>+D122*2</f>
        <v>10</v>
      </c>
      <c r="E124" s="13">
        <f>VLOOKUP(B124,Cotizaciones!B:D,3,0)</f>
        <v>1245.0555394027292</v>
      </c>
      <c r="F124" s="13">
        <f t="shared" si="8"/>
        <v>12450.555394027291</v>
      </c>
    </row>
    <row r="125" spans="2:20" outlineLevel="1">
      <c r="B125" s="13" t="s">
        <v>851</v>
      </c>
      <c r="C125" s="405" t="s">
        <v>72</v>
      </c>
      <c r="D125" s="253">
        <v>1</v>
      </c>
      <c r="E125" s="13">
        <f>VLOOKUP(B125,Cotizaciones!B:D,3,0)</f>
        <v>27551.795060918412</v>
      </c>
      <c r="F125" s="13">
        <f t="shared" si="8"/>
        <v>27551.795060918412</v>
      </c>
    </row>
    <row r="126" spans="2:20" outlineLevel="1">
      <c r="B126" s="13" t="s">
        <v>858</v>
      </c>
      <c r="C126" s="405" t="s">
        <v>72</v>
      </c>
      <c r="D126" s="253">
        <f>2*2</f>
        <v>4</v>
      </c>
      <c r="E126" s="13">
        <f>VLOOKUP(B126,Cotizaciones!B:D,3,0)</f>
        <v>21041.85608038813</v>
      </c>
      <c r="F126" s="13">
        <f t="shared" si="8"/>
        <v>84167.42432155252</v>
      </c>
    </row>
    <row r="127" spans="2:20" outlineLevel="1">
      <c r="B127" s="13" t="s">
        <v>859</v>
      </c>
      <c r="C127" s="405" t="s">
        <v>72</v>
      </c>
      <c r="D127" s="253">
        <f>1*2</f>
        <v>2</v>
      </c>
      <c r="E127" s="13">
        <f>VLOOKUP(B127,Cotizaciones!B:D,3,0)</f>
        <v>27083.212698653868</v>
      </c>
      <c r="F127" s="13">
        <f t="shared" si="8"/>
        <v>54166.425397307736</v>
      </c>
    </row>
    <row r="128" spans="2:20" outlineLevel="1">
      <c r="B128" s="912" t="s">
        <v>1593</v>
      </c>
      <c r="C128" s="913" t="s">
        <v>72</v>
      </c>
      <c r="D128" s="914">
        <f>2*2</f>
        <v>4</v>
      </c>
      <c r="E128" s="912">
        <v>15000</v>
      </c>
      <c r="F128" s="912">
        <f t="shared" si="8"/>
        <v>60000</v>
      </c>
    </row>
    <row r="129" spans="2:7" outlineLevel="1">
      <c r="B129" s="13" t="s">
        <v>856</v>
      </c>
      <c r="C129" s="405" t="s">
        <v>72</v>
      </c>
      <c r="D129" s="253">
        <f>1*2</f>
        <v>2</v>
      </c>
      <c r="E129" s="13">
        <f>VLOOKUP(B129,Cotizaciones!B:D,3,0)</f>
        <v>67204.535133976417</v>
      </c>
      <c r="F129" s="13">
        <f t="shared" si="8"/>
        <v>134409.07026795283</v>
      </c>
    </row>
    <row r="130" spans="2:7" outlineLevel="1">
      <c r="B130" s="13" t="s">
        <v>857</v>
      </c>
      <c r="C130" s="405" t="s">
        <v>72</v>
      </c>
      <c r="D130" s="253">
        <f>1*2</f>
        <v>2</v>
      </c>
      <c r="E130" s="13">
        <f>VLOOKUP(B130,Cotizaciones!B:D,3,0)</f>
        <v>33611.183796128309</v>
      </c>
      <c r="F130" s="13">
        <f t="shared" si="8"/>
        <v>67222.367592256618</v>
      </c>
    </row>
    <row r="131" spans="2:7" outlineLevel="1">
      <c r="B131" s="14" t="s">
        <v>871</v>
      </c>
      <c r="C131" s="406" t="s">
        <v>72</v>
      </c>
      <c r="D131" s="398">
        <f>1*2</f>
        <v>2</v>
      </c>
      <c r="E131" s="14">
        <f>VLOOKUP(B131,Cotizaciones!B:D,3,0)</f>
        <v>14639.962933061692</v>
      </c>
      <c r="F131" s="14">
        <f t="shared" si="8"/>
        <v>29279.925866123383</v>
      </c>
    </row>
    <row r="132" spans="2:7" outlineLevel="1">
      <c r="B132" s="498" t="s">
        <v>1589</v>
      </c>
      <c r="C132" s="442"/>
      <c r="D132" s="274"/>
      <c r="E132" s="396"/>
      <c r="F132" s="396"/>
      <c r="G132" s="499">
        <f>+SUM(F133:F135)</f>
        <v>114166.42539730773</v>
      </c>
    </row>
    <row r="133" spans="2:7" outlineLevel="1">
      <c r="B133" s="184" t="s">
        <v>858</v>
      </c>
      <c r="C133" s="404" t="s">
        <v>72</v>
      </c>
      <c r="D133" s="273">
        <v>0</v>
      </c>
      <c r="E133" s="184">
        <f>VLOOKUP(B133,Cotizaciones!B:D,3,0)</f>
        <v>21041.85608038813</v>
      </c>
      <c r="F133" s="184">
        <f t="shared" si="8"/>
        <v>0</v>
      </c>
    </row>
    <row r="134" spans="2:7" outlineLevel="1">
      <c r="B134" s="13" t="s">
        <v>859</v>
      </c>
      <c r="C134" s="405" t="s">
        <v>72</v>
      </c>
      <c r="D134" s="253">
        <v>2</v>
      </c>
      <c r="E134" s="13">
        <f>VLOOKUP(B134,Cotizaciones!B:D,3,0)</f>
        <v>27083.212698653868</v>
      </c>
      <c r="F134" s="13">
        <f t="shared" si="8"/>
        <v>54166.425397307736</v>
      </c>
    </row>
    <row r="135" spans="2:7" outlineLevel="1">
      <c r="B135" s="915" t="s">
        <v>1593</v>
      </c>
      <c r="C135" s="916" t="s">
        <v>72</v>
      </c>
      <c r="D135" s="917">
        <f>2*2</f>
        <v>4</v>
      </c>
      <c r="E135" s="915">
        <v>15000</v>
      </c>
      <c r="F135" s="915">
        <f t="shared" si="8"/>
        <v>60000</v>
      </c>
    </row>
    <row r="136" spans="2:7" outlineLevel="1">
      <c r="B136" s="498" t="s">
        <v>1590</v>
      </c>
      <c r="C136" s="442"/>
      <c r="D136" s="274"/>
      <c r="E136" s="396"/>
      <c r="F136" s="396"/>
      <c r="G136" s="499">
        <f>+SUM(F137:F143)</f>
        <v>460360.27017869789</v>
      </c>
    </row>
    <row r="137" spans="2:7" outlineLevel="1">
      <c r="B137" s="184" t="s">
        <v>862</v>
      </c>
      <c r="C137" s="404" t="s">
        <v>72</v>
      </c>
      <c r="D137" s="273">
        <v>4</v>
      </c>
      <c r="E137" s="184">
        <f>VLOOKUP(B137,Cotizaciones!B:D,3,0)</f>
        <v>46949.561961590036</v>
      </c>
      <c r="F137" s="184">
        <f t="shared" si="8"/>
        <v>187798.24784636014</v>
      </c>
    </row>
    <row r="138" spans="2:7" outlineLevel="1">
      <c r="B138" s="13" t="s">
        <v>851</v>
      </c>
      <c r="C138" s="405" t="s">
        <v>72</v>
      </c>
      <c r="D138" s="253">
        <v>6</v>
      </c>
      <c r="E138" s="13">
        <f>VLOOKUP(B138,Cotizaciones!B:D,3,0)</f>
        <v>27551.795060918412</v>
      </c>
      <c r="F138" s="13">
        <f t="shared" si="8"/>
        <v>165310.77036551049</v>
      </c>
    </row>
    <row r="139" spans="2:7" outlineLevel="1">
      <c r="B139" s="13" t="s">
        <v>855</v>
      </c>
      <c r="C139" s="405" t="s">
        <v>72</v>
      </c>
      <c r="D139" s="253">
        <v>8</v>
      </c>
      <c r="E139" s="13">
        <f>VLOOKUP(B139,Cotizaciones!B:D,3,0)</f>
        <v>6137.6209151861513</v>
      </c>
      <c r="F139" s="13">
        <f t="shared" si="8"/>
        <v>49100.96732148921</v>
      </c>
    </row>
    <row r="140" spans="2:7" outlineLevel="1">
      <c r="B140" s="13" t="s">
        <v>852</v>
      </c>
      <c r="C140" s="405" t="s">
        <v>72</v>
      </c>
      <c r="D140" s="253">
        <v>1</v>
      </c>
      <c r="E140" s="13">
        <f>VLOOKUP(B140,Cotizaciones!B:D,3,0)</f>
        <v>32747.162058276794</v>
      </c>
      <c r="F140" s="13">
        <f t="shared" si="8"/>
        <v>32747.162058276794</v>
      </c>
    </row>
    <row r="141" spans="2:7" outlineLevel="1">
      <c r="B141" s="13" t="s">
        <v>854</v>
      </c>
      <c r="C141" s="405" t="s">
        <v>72</v>
      </c>
      <c r="D141" s="253">
        <v>2</v>
      </c>
      <c r="E141" s="13">
        <f>VLOOKUP(B141,Cotizaciones!B:D,3,0)</f>
        <v>4369.7126308580382</v>
      </c>
      <c r="F141" s="13">
        <f t="shared" si="8"/>
        <v>8739.4252617160764</v>
      </c>
    </row>
    <row r="142" spans="2:7" outlineLevel="1">
      <c r="B142" s="13" t="s">
        <v>853</v>
      </c>
      <c r="C142" s="405" t="s">
        <v>72</v>
      </c>
      <c r="D142" s="253">
        <v>2</v>
      </c>
      <c r="E142" s="13">
        <f>VLOOKUP(B142,Cotizaciones!B:D,3,0)</f>
        <v>3672.0842919709712</v>
      </c>
      <c r="F142" s="13">
        <f t="shared" si="8"/>
        <v>7344.1685839419424</v>
      </c>
    </row>
    <row r="143" spans="2:7" outlineLevel="1">
      <c r="B143" s="14" t="s">
        <v>866</v>
      </c>
      <c r="C143" s="406" t="s">
        <v>72</v>
      </c>
      <c r="D143" s="398">
        <v>8</v>
      </c>
      <c r="E143" s="14">
        <f>VLOOKUP(B143,Cotizaciones!B:D,3,0)</f>
        <v>1164.9410926754031</v>
      </c>
      <c r="F143" s="14">
        <f t="shared" si="8"/>
        <v>9319.5287414032246</v>
      </c>
    </row>
    <row r="144" spans="2:7" outlineLevel="1">
      <c r="B144" s="498" t="s">
        <v>1591</v>
      </c>
      <c r="C144" s="442"/>
      <c r="D144" s="274"/>
      <c r="E144" s="396"/>
      <c r="F144" s="396"/>
      <c r="G144" s="499">
        <f>+SUM(F145:F148)</f>
        <v>43249.341854659098</v>
      </c>
    </row>
    <row r="145" spans="2:20" outlineLevel="1">
      <c r="B145" s="184" t="s">
        <v>867</v>
      </c>
      <c r="C145" s="404" t="s">
        <v>72</v>
      </c>
      <c r="D145" s="273">
        <v>6</v>
      </c>
      <c r="E145" s="184">
        <f>VLOOKUP(B145,Cotizaciones!B:D,3,0)</f>
        <v>386.71413433703395</v>
      </c>
      <c r="F145" s="184">
        <f t="shared" si="8"/>
        <v>2320.2848060222036</v>
      </c>
    </row>
    <row r="146" spans="2:20" outlineLevel="1">
      <c r="B146" s="13" t="s">
        <v>864</v>
      </c>
      <c r="C146" s="405" t="s">
        <v>72</v>
      </c>
      <c r="D146" s="253">
        <v>6</v>
      </c>
      <c r="E146" s="13">
        <f>VLOOKUP(B146,Cotizaciones!B:D,3,0)</f>
        <v>292.42956588799302</v>
      </c>
      <c r="F146" s="13">
        <f t="shared" si="8"/>
        <v>1754.5773953279581</v>
      </c>
    </row>
    <row r="147" spans="2:20" outlineLevel="1">
      <c r="B147" s="13" t="s">
        <v>837</v>
      </c>
      <c r="C147" s="405" t="s">
        <v>72</v>
      </c>
      <c r="D147" s="253">
        <f>6*3</f>
        <v>18</v>
      </c>
      <c r="E147" s="13">
        <f>VLOOKUP(B147,Cotizaciones!B:D,3,0)</f>
        <v>462.53558291176762</v>
      </c>
      <c r="F147" s="13">
        <f t="shared" si="8"/>
        <v>8325.6404924118178</v>
      </c>
    </row>
    <row r="148" spans="2:20" outlineLevel="1">
      <c r="B148" s="14" t="s">
        <v>833</v>
      </c>
      <c r="C148" s="406" t="s">
        <v>72</v>
      </c>
      <c r="D148" s="398">
        <v>3</v>
      </c>
      <c r="E148" s="14">
        <f>VLOOKUP(B148,Cotizaciones!B:D,3,0)</f>
        <v>10282.946386965707</v>
      </c>
      <c r="F148" s="14">
        <f t="shared" si="8"/>
        <v>30848.839160897121</v>
      </c>
    </row>
    <row r="149" spans="2:20" outlineLevel="1">
      <c r="B149" s="498" t="s">
        <v>1592</v>
      </c>
      <c r="C149" s="442"/>
      <c r="D149" s="274"/>
      <c r="E149" s="396"/>
      <c r="F149" s="396"/>
      <c r="G149" s="499">
        <f>+SUM(F150:F158)</f>
        <v>378667.56024332839</v>
      </c>
    </row>
    <row r="150" spans="2:20" outlineLevel="1">
      <c r="B150" s="184" t="s">
        <v>847</v>
      </c>
      <c r="C150" s="404" t="s">
        <v>72</v>
      </c>
      <c r="D150" s="273">
        <v>9</v>
      </c>
      <c r="E150" s="184">
        <f>VLOOKUP(B150,Cotizaciones!B:D,3,0)</f>
        <v>18915.208085774964</v>
      </c>
      <c r="F150" s="184">
        <f t="shared" si="8"/>
        <v>170236.87277197468</v>
      </c>
    </row>
    <row r="151" spans="2:20" outlineLevel="1">
      <c r="B151" s="13" t="s">
        <v>849</v>
      </c>
      <c r="C151" s="405" t="s">
        <v>72</v>
      </c>
      <c r="D151" s="253">
        <f>+D150*2</f>
        <v>18</v>
      </c>
      <c r="E151" s="13">
        <f>VLOOKUP(B151,Cotizaciones!B:D,3,0)</f>
        <v>1540.3686228468496</v>
      </c>
      <c r="F151" s="13">
        <f t="shared" si="8"/>
        <v>27726.635211243294</v>
      </c>
    </row>
    <row r="152" spans="2:20" outlineLevel="1">
      <c r="B152" s="13" t="s">
        <v>841</v>
      </c>
      <c r="C152" s="405" t="s">
        <v>72</v>
      </c>
      <c r="D152" s="253">
        <v>6</v>
      </c>
      <c r="E152" s="13">
        <f>VLOOKUP(B152,Cotizaciones!B:D,3,0)</f>
        <v>13407.506643876219</v>
      </c>
      <c r="F152" s="13">
        <f t="shared" si="8"/>
        <v>80445.03986325732</v>
      </c>
    </row>
    <row r="153" spans="2:20" outlineLevel="1">
      <c r="B153" s="13" t="s">
        <v>843</v>
      </c>
      <c r="C153" s="405" t="s">
        <v>72</v>
      </c>
      <c r="D153" s="253">
        <f>+D152*2</f>
        <v>12</v>
      </c>
      <c r="E153" s="13">
        <f>VLOOKUP(B153,Cotizaciones!B:D,3,0)</f>
        <v>693.78723527685224</v>
      </c>
      <c r="F153" s="13">
        <f t="shared" si="8"/>
        <v>8325.4468233222269</v>
      </c>
    </row>
    <row r="154" spans="2:20" outlineLevel="1">
      <c r="B154" s="13" t="s">
        <v>867</v>
      </c>
      <c r="C154" s="405" t="s">
        <v>72</v>
      </c>
      <c r="D154" s="253">
        <v>3</v>
      </c>
      <c r="E154" s="13">
        <f>VLOOKUP(B154,Cotizaciones!B:D,3,0)</f>
        <v>386.71413433703395</v>
      </c>
      <c r="F154" s="13">
        <f t="shared" si="8"/>
        <v>1160.1424030111018</v>
      </c>
    </row>
    <row r="155" spans="2:20" outlineLevel="1">
      <c r="B155" s="13" t="s">
        <v>864</v>
      </c>
      <c r="C155" s="405" t="s">
        <v>72</v>
      </c>
      <c r="D155" s="253">
        <v>25</v>
      </c>
      <c r="E155" s="13">
        <f>VLOOKUP(B155,Cotizaciones!B:D,3,0)</f>
        <v>292.42956588799302</v>
      </c>
      <c r="F155" s="13">
        <f t="shared" si="8"/>
        <v>7310.7391471998253</v>
      </c>
    </row>
    <row r="156" spans="2:20" outlineLevel="1">
      <c r="B156" s="13" t="s">
        <v>850</v>
      </c>
      <c r="C156" s="405" t="s">
        <v>72</v>
      </c>
      <c r="D156" s="1229">
        <v>25</v>
      </c>
      <c r="E156" s="13">
        <f>VLOOKUP(B156,Cotizaciones!B:D,3,0)</f>
        <v>2184.8025184596881</v>
      </c>
      <c r="F156" s="13">
        <f t="shared" si="8"/>
        <v>54620.062961492207</v>
      </c>
    </row>
    <row r="157" spans="2:20" outlineLevel="1">
      <c r="B157" s="13" t="s">
        <v>848</v>
      </c>
      <c r="C157" s="405" t="s">
        <v>72</v>
      </c>
      <c r="D157" s="253">
        <f>+D150*2</f>
        <v>18</v>
      </c>
      <c r="E157" s="13">
        <f>VLOOKUP(B157,Cotizaciones!B:D,3,0)</f>
        <v>1245.0555394027292</v>
      </c>
      <c r="F157" s="13">
        <f t="shared" si="8"/>
        <v>22410.999709249125</v>
      </c>
    </row>
    <row r="158" spans="2:20" outlineLevel="1">
      <c r="B158" s="14" t="s">
        <v>842</v>
      </c>
      <c r="C158" s="406" t="s">
        <v>72</v>
      </c>
      <c r="D158" s="398">
        <f>+D152*2</f>
        <v>12</v>
      </c>
      <c r="E158" s="14">
        <f>VLOOKUP(B158,Cotizaciones!B:D,3,0)</f>
        <v>535.96844604821683</v>
      </c>
      <c r="F158" s="14">
        <f t="shared" si="8"/>
        <v>6431.6213525786025</v>
      </c>
      <c r="I158" s="360" t="s">
        <v>1594</v>
      </c>
      <c r="J158" s="132">
        <v>6</v>
      </c>
      <c r="K158" s="103">
        <v>1</v>
      </c>
      <c r="L158" s="103"/>
      <c r="M158" s="103">
        <v>1</v>
      </c>
      <c r="N158" s="103">
        <v>1</v>
      </c>
      <c r="O158" s="518">
        <f>(+K158*$K$3+L158*$L$3+M158*$M$3+N158*$N$3)*J158</f>
        <v>1401298.6506563798</v>
      </c>
    </row>
    <row r="159" spans="2:20" outlineLevel="1">
      <c r="B159" s="498" t="s">
        <v>1573</v>
      </c>
      <c r="C159" s="442"/>
      <c r="D159" s="274"/>
      <c r="E159" s="396"/>
      <c r="F159" s="396"/>
      <c r="G159" s="499">
        <f>+SUM(F160)</f>
        <v>330890.88652860973</v>
      </c>
      <c r="I159" s="360" t="s">
        <v>1596</v>
      </c>
      <c r="J159" s="132">
        <v>4</v>
      </c>
      <c r="K159" s="132">
        <v>1</v>
      </c>
      <c r="L159" s="132"/>
      <c r="M159" s="132">
        <v>1</v>
      </c>
      <c r="O159" s="518">
        <f>(+K159*$K$3+L159*$L$3+M159*$M$3+N159*$N$3)*J159</f>
        <v>665237.1049965159</v>
      </c>
      <c r="R159" s="409"/>
      <c r="S159" s="409"/>
    </row>
    <row r="160" spans="2:20" outlineLevel="1">
      <c r="B160" s="918" t="s">
        <v>1569</v>
      </c>
      <c r="C160" s="521" t="s">
        <v>54</v>
      </c>
      <c r="D160" s="918">
        <v>0.21</v>
      </c>
      <c r="E160" s="918">
        <f>+SUM(F122:F158)</f>
        <v>1575670.8882314749</v>
      </c>
      <c r="F160" s="918">
        <f t="shared" si="8"/>
        <v>330890.88652860973</v>
      </c>
      <c r="I160" s="360" t="s">
        <v>1595</v>
      </c>
      <c r="J160" s="128">
        <v>2</v>
      </c>
      <c r="K160" s="132">
        <v>1</v>
      </c>
      <c r="L160" s="132"/>
      <c r="M160" s="132">
        <v>1</v>
      </c>
      <c r="O160" s="518">
        <f>(+K160*$K$3+L160*$L$3+M160*$M$3+N160*$N$3)*J160</f>
        <v>332618.55249825795</v>
      </c>
      <c r="R160" s="105"/>
      <c r="S160" s="105"/>
      <c r="T160" s="105"/>
    </row>
    <row r="161" spans="2:20" outlineLevel="1">
      <c r="B161" s="498"/>
      <c r="C161" s="442"/>
      <c r="D161" s="274"/>
      <c r="E161" s="396"/>
      <c r="F161" s="397">
        <f>+SUM(F121:F160)</f>
        <v>1906561.7747600847</v>
      </c>
      <c r="G161" s="911">
        <f>+SUM(G121:G160)</f>
        <v>1906561.7747600852</v>
      </c>
      <c r="I161" s="360"/>
      <c r="J161" s="132"/>
      <c r="K161" s="840"/>
      <c r="L161" s="840"/>
      <c r="M161" s="840"/>
      <c r="N161" s="840"/>
      <c r="O161" s="3">
        <f>+SUM(O158:O160)</f>
        <v>2399154.3081511538</v>
      </c>
      <c r="P161" s="411">
        <f>+O161*$O$3</f>
        <v>3598731.4622267308</v>
      </c>
      <c r="Q161" s="1" t="s">
        <v>529</v>
      </c>
    </row>
    <row r="162" spans="2:20">
      <c r="B162" s="3"/>
      <c r="F162" s="3"/>
      <c r="G162" s="357"/>
      <c r="I162" s="360"/>
      <c r="J162" s="132"/>
      <c r="K162" s="840"/>
      <c r="L162" s="840"/>
      <c r="M162" s="840"/>
      <c r="N162" s="840"/>
      <c r="O162" s="3"/>
      <c r="P162" s="357"/>
    </row>
    <row r="163" spans="2:20">
      <c r="B163" s="358"/>
      <c r="C163" s="104"/>
      <c r="D163" s="559"/>
      <c r="E163" s="358"/>
      <c r="F163" s="358"/>
      <c r="G163" s="357"/>
      <c r="H163" s="358"/>
      <c r="I163" s="358"/>
      <c r="J163" s="358"/>
      <c r="K163" s="358"/>
      <c r="L163" s="358"/>
      <c r="M163" s="358"/>
      <c r="N163" s="358"/>
      <c r="O163" s="358"/>
      <c r="P163" s="357"/>
      <c r="Q163" s="358"/>
      <c r="R163" s="105" t="s">
        <v>291</v>
      </c>
      <c r="S163" s="105" t="s">
        <v>1041</v>
      </c>
      <c r="T163" s="105" t="s">
        <v>188</v>
      </c>
    </row>
    <row r="164" spans="2:20">
      <c r="B164" s="3" t="s">
        <v>2439</v>
      </c>
      <c r="F164" s="444" t="s">
        <v>46</v>
      </c>
      <c r="G164" s="1177">
        <f>+G161</f>
        <v>1906561.7747600852</v>
      </c>
      <c r="P164" s="1177">
        <f>+P161</f>
        <v>3598731.4622267308</v>
      </c>
      <c r="R164" s="811">
        <f>+G164</f>
        <v>1906561.7747600852</v>
      </c>
      <c r="S164" s="811">
        <f>+P164</f>
        <v>3598731.4622267308</v>
      </c>
      <c r="T164" s="811">
        <f>+R164+S164</f>
        <v>5505293.2369868159</v>
      </c>
    </row>
    <row r="165" spans="2:20">
      <c r="R165" s="409">
        <f>+R164/T164</f>
        <v>0.346314300199492</v>
      </c>
      <c r="S165" s="409">
        <f>+S164/T164</f>
        <v>0.65368569980050806</v>
      </c>
    </row>
    <row r="166" spans="2:20">
      <c r="R166" s="409"/>
      <c r="S166" s="409"/>
    </row>
    <row r="167" spans="2:20" hidden="1" outlineLevel="1">
      <c r="B167" s="1" t="s">
        <v>1597</v>
      </c>
    </row>
    <row r="168" spans="2:20" hidden="1" outlineLevel="1">
      <c r="B168" s="498" t="s">
        <v>1600</v>
      </c>
      <c r="C168" s="442"/>
      <c r="D168" s="274"/>
      <c r="E168" s="396"/>
      <c r="F168" s="396"/>
      <c r="G168" s="499">
        <f>+SUM(F169:F179)</f>
        <v>127368.05594663814</v>
      </c>
    </row>
    <row r="169" spans="2:20" hidden="1" outlineLevel="1">
      <c r="B169" s="184" t="s">
        <v>851</v>
      </c>
      <c r="C169" s="404" t="s">
        <v>72</v>
      </c>
      <c r="D169" s="273">
        <v>1</v>
      </c>
      <c r="E169" s="184">
        <f>VLOOKUP(B169,Cotizaciones!B:D,3,0)</f>
        <v>27551.795060918412</v>
      </c>
      <c r="F169" s="184">
        <f>+D169*E169</f>
        <v>27551.795060918412</v>
      </c>
    </row>
    <row r="170" spans="2:20" hidden="1" outlineLevel="1">
      <c r="B170" s="13" t="s">
        <v>830</v>
      </c>
      <c r="C170" s="405" t="s">
        <v>72</v>
      </c>
      <c r="D170" s="253">
        <v>1</v>
      </c>
      <c r="E170" s="13">
        <f>VLOOKUP(B170,Cotizaciones!B:D,3,0)</f>
        <v>10618.574919226277</v>
      </c>
      <c r="F170" s="13">
        <f t="shared" ref="F170:F179" si="9">+D170*E170</f>
        <v>10618.574919226277</v>
      </c>
    </row>
    <row r="171" spans="2:20" hidden="1" outlineLevel="1">
      <c r="B171" s="13" t="s">
        <v>840</v>
      </c>
      <c r="C171" s="405" t="s">
        <v>72</v>
      </c>
      <c r="D171" s="253">
        <v>1</v>
      </c>
      <c r="E171" s="13">
        <f>VLOOKUP(B171,Cotizaciones!B:D,3,0)</f>
        <v>7656.8796072676214</v>
      </c>
      <c r="F171" s="13">
        <f t="shared" si="9"/>
        <v>7656.8796072676214</v>
      </c>
    </row>
    <row r="172" spans="2:20" hidden="1" outlineLevel="1">
      <c r="B172" s="13" t="s">
        <v>847</v>
      </c>
      <c r="C172" s="405" t="s">
        <v>72</v>
      </c>
      <c r="D172" s="253">
        <v>2</v>
      </c>
      <c r="E172" s="13">
        <f>VLOOKUP(B172,Cotizaciones!B:D,3,0)</f>
        <v>18915.208085774964</v>
      </c>
      <c r="F172" s="13">
        <f t="shared" si="9"/>
        <v>37830.416171549929</v>
      </c>
    </row>
    <row r="173" spans="2:20" hidden="1" outlineLevel="1">
      <c r="B173" s="13" t="s">
        <v>848</v>
      </c>
      <c r="C173" s="405" t="s">
        <v>72</v>
      </c>
      <c r="D173" s="253">
        <f>+D172*2</f>
        <v>4</v>
      </c>
      <c r="E173" s="13">
        <f>VLOOKUP(B173,Cotizaciones!B:D,3,0)</f>
        <v>1245.0555394027292</v>
      </c>
      <c r="F173" s="13">
        <f>+D173*E173</f>
        <v>4980.2221576109168</v>
      </c>
    </row>
    <row r="174" spans="2:20" hidden="1" outlineLevel="1">
      <c r="B174" s="13" t="s">
        <v>849</v>
      </c>
      <c r="C174" s="405" t="s">
        <v>72</v>
      </c>
      <c r="D174" s="253">
        <v>10</v>
      </c>
      <c r="E174" s="13">
        <f>VLOOKUP(B174,Cotizaciones!B:D,3,0)</f>
        <v>1540.3686228468496</v>
      </c>
      <c r="F174" s="13">
        <f t="shared" si="9"/>
        <v>15403.686228468496</v>
      </c>
    </row>
    <row r="175" spans="2:20" hidden="1" outlineLevel="1">
      <c r="B175" s="13" t="s">
        <v>837</v>
      </c>
      <c r="C175" s="405" t="s">
        <v>72</v>
      </c>
      <c r="D175" s="253">
        <v>1</v>
      </c>
      <c r="E175" s="13">
        <f>VLOOKUP(B175,Cotizaciones!B:D,3,0)</f>
        <v>462.53558291176762</v>
      </c>
      <c r="F175" s="13">
        <f t="shared" ref="F175" si="10">+D175*E175</f>
        <v>462.53558291176762</v>
      </c>
    </row>
    <row r="176" spans="2:20" hidden="1" outlineLevel="1">
      <c r="B176" s="13" t="s">
        <v>850</v>
      </c>
      <c r="C176" s="405" t="s">
        <v>72</v>
      </c>
      <c r="D176" s="253">
        <v>1</v>
      </c>
      <c r="E176" s="13">
        <f>VLOOKUP(B176,Cotizaciones!B:D,3,0)</f>
        <v>2184.8025184596881</v>
      </c>
      <c r="F176" s="13">
        <f t="shared" si="9"/>
        <v>2184.8025184596881</v>
      </c>
    </row>
    <row r="177" spans="2:7" hidden="1" outlineLevel="1">
      <c r="B177" s="13" t="s">
        <v>867</v>
      </c>
      <c r="C177" s="405" t="s">
        <v>72</v>
      </c>
      <c r="D177" s="253">
        <v>1</v>
      </c>
      <c r="E177" s="13">
        <f>VLOOKUP(B177,Cotizaciones!B:D,3,0)</f>
        <v>386.71413433703395</v>
      </c>
      <c r="F177" s="13">
        <f t="shared" si="9"/>
        <v>386.71413433703395</v>
      </c>
    </row>
    <row r="178" spans="2:7" hidden="1" outlineLevel="1">
      <c r="B178" s="13" t="s">
        <v>864</v>
      </c>
      <c r="C178" s="802" t="s">
        <v>72</v>
      </c>
      <c r="D178" s="253">
        <v>1</v>
      </c>
      <c r="E178" s="13">
        <f>VLOOKUP(B178,Cotizaciones!B:D,3,0)</f>
        <v>292.42956588799302</v>
      </c>
      <c r="F178" s="13">
        <f t="shared" ref="F178" si="11">+D178*E178</f>
        <v>292.42956588799302</v>
      </c>
    </row>
    <row r="179" spans="2:7" hidden="1" outlineLevel="1">
      <c r="B179" s="1224" t="s">
        <v>2441</v>
      </c>
      <c r="C179" s="1668" t="s">
        <v>72</v>
      </c>
      <c r="D179" s="1669">
        <v>1</v>
      </c>
      <c r="E179" s="1224">
        <v>20000</v>
      </c>
      <c r="F179" s="14">
        <f t="shared" si="9"/>
        <v>20000</v>
      </c>
    </row>
    <row r="180" spans="2:7" hidden="1" outlineLevel="1">
      <c r="B180" s="498" t="s">
        <v>1598</v>
      </c>
      <c r="C180" s="442"/>
      <c r="D180" s="274"/>
      <c r="E180" s="396"/>
      <c r="F180" s="396"/>
      <c r="G180" s="499">
        <f>+SUM(F181:F187)</f>
        <v>242174.40178351497</v>
      </c>
    </row>
    <row r="181" spans="2:7" hidden="1" outlineLevel="1">
      <c r="B181" s="184" t="s">
        <v>851</v>
      </c>
      <c r="C181" s="404" t="s">
        <v>72</v>
      </c>
      <c r="D181" s="273">
        <v>1</v>
      </c>
      <c r="E181" s="184">
        <f>VLOOKUP(B181,Cotizaciones!B:D,3,0)</f>
        <v>27551.795060918412</v>
      </c>
      <c r="F181" s="184">
        <f>+D181*E181</f>
        <v>27551.795060918412</v>
      </c>
    </row>
    <row r="182" spans="2:7" hidden="1" outlineLevel="1">
      <c r="B182" s="13" t="s">
        <v>858</v>
      </c>
      <c r="C182" s="405" t="s">
        <v>72</v>
      </c>
      <c r="D182" s="253">
        <f>2</f>
        <v>2</v>
      </c>
      <c r="E182" s="13">
        <f>VLOOKUP(B182,Cotizaciones!B:D,3,0)</f>
        <v>21041.85608038813</v>
      </c>
      <c r="F182" s="13">
        <f t="shared" ref="F182:F205" si="12">+D182*E182</f>
        <v>42083.71216077626</v>
      </c>
    </row>
    <row r="183" spans="2:7" hidden="1" outlineLevel="1">
      <c r="B183" s="13" t="s">
        <v>859</v>
      </c>
      <c r="C183" s="405" t="s">
        <v>72</v>
      </c>
      <c r="D183" s="253">
        <f>1</f>
        <v>1</v>
      </c>
      <c r="E183" s="13">
        <f>VLOOKUP(B183,Cotizaciones!B:D,3,0)</f>
        <v>27083.212698653868</v>
      </c>
      <c r="F183" s="13">
        <f t="shared" si="12"/>
        <v>27083.212698653868</v>
      </c>
    </row>
    <row r="184" spans="2:7" hidden="1" outlineLevel="1">
      <c r="B184" s="912" t="s">
        <v>1593</v>
      </c>
      <c r="C184" s="913" t="s">
        <v>72</v>
      </c>
      <c r="D184" s="914">
        <f>2</f>
        <v>2</v>
      </c>
      <c r="E184" s="912">
        <v>15000</v>
      </c>
      <c r="F184" s="13">
        <f t="shared" si="12"/>
        <v>30000</v>
      </c>
    </row>
    <row r="185" spans="2:7" hidden="1" outlineLevel="1">
      <c r="B185" s="13" t="s">
        <v>856</v>
      </c>
      <c r="C185" s="405" t="s">
        <v>72</v>
      </c>
      <c r="D185" s="253">
        <v>1</v>
      </c>
      <c r="E185" s="13">
        <f>VLOOKUP(B185,Cotizaciones!B:D,3,0)</f>
        <v>67204.535133976417</v>
      </c>
      <c r="F185" s="13">
        <f t="shared" si="12"/>
        <v>67204.535133976417</v>
      </c>
    </row>
    <row r="186" spans="2:7" hidden="1" outlineLevel="1">
      <c r="B186" s="13" t="s">
        <v>857</v>
      </c>
      <c r="C186" s="405" t="s">
        <v>72</v>
      </c>
      <c r="D186" s="253">
        <v>1</v>
      </c>
      <c r="E186" s="13">
        <f>VLOOKUP(B186,Cotizaciones!B:D,3,0)</f>
        <v>33611.183796128309</v>
      </c>
      <c r="F186" s="13">
        <f t="shared" si="12"/>
        <v>33611.183796128309</v>
      </c>
    </row>
    <row r="187" spans="2:7" hidden="1" outlineLevel="1">
      <c r="B187" s="14" t="s">
        <v>871</v>
      </c>
      <c r="C187" s="406" t="s">
        <v>72</v>
      </c>
      <c r="D187" s="398">
        <v>1</v>
      </c>
      <c r="E187" s="14">
        <f>VLOOKUP(B187,Cotizaciones!B:D,3,0)</f>
        <v>14639.962933061692</v>
      </c>
      <c r="F187" s="14">
        <f t="shared" si="12"/>
        <v>14639.962933061692</v>
      </c>
    </row>
    <row r="188" spans="2:7" hidden="1" outlineLevel="1">
      <c r="B188" s="498" t="s">
        <v>1589</v>
      </c>
      <c r="C188" s="442"/>
      <c r="D188" s="274"/>
      <c r="E188" s="396"/>
      <c r="F188" s="396"/>
      <c r="G188" s="499">
        <f>+SUM(F189:F191)</f>
        <v>114166.42539730773</v>
      </c>
    </row>
    <row r="189" spans="2:7" hidden="1" outlineLevel="1">
      <c r="B189" s="184" t="s">
        <v>858</v>
      </c>
      <c r="C189" s="404" t="s">
        <v>72</v>
      </c>
      <c r="D189" s="273">
        <v>0</v>
      </c>
      <c r="E189" s="184">
        <f>VLOOKUP(B189,Cotizaciones!B:D,3,0)</f>
        <v>21041.85608038813</v>
      </c>
      <c r="F189" s="184">
        <f t="shared" si="12"/>
        <v>0</v>
      </c>
    </row>
    <row r="190" spans="2:7" hidden="1" outlineLevel="1">
      <c r="B190" s="13" t="s">
        <v>859</v>
      </c>
      <c r="C190" s="405" t="s">
        <v>72</v>
      </c>
      <c r="D190" s="253">
        <f>1*2</f>
        <v>2</v>
      </c>
      <c r="E190" s="13">
        <f>VLOOKUP(B190,Cotizaciones!B:D,3,0)</f>
        <v>27083.212698653868</v>
      </c>
      <c r="F190" s="13">
        <f t="shared" si="12"/>
        <v>54166.425397307736</v>
      </c>
    </row>
    <row r="191" spans="2:7" hidden="1" outlineLevel="1">
      <c r="B191" s="915" t="s">
        <v>1593</v>
      </c>
      <c r="C191" s="916" t="s">
        <v>72</v>
      </c>
      <c r="D191" s="917">
        <f>2*2</f>
        <v>4</v>
      </c>
      <c r="E191" s="915">
        <v>15000</v>
      </c>
      <c r="F191" s="14">
        <f t="shared" si="12"/>
        <v>60000</v>
      </c>
    </row>
    <row r="192" spans="2:7" hidden="1" outlineLevel="1">
      <c r="B192" s="498" t="s">
        <v>1599</v>
      </c>
      <c r="C192" s="442"/>
      <c r="D192" s="274"/>
      <c r="E192" s="396"/>
      <c r="F192" s="396"/>
      <c r="G192" s="499">
        <f>+SUM(F193:F203)</f>
        <v>185026.80013674271</v>
      </c>
    </row>
    <row r="193" spans="2:20" hidden="1" outlineLevel="1">
      <c r="B193" s="184" t="s">
        <v>851</v>
      </c>
      <c r="C193" s="404" t="s">
        <v>72</v>
      </c>
      <c r="D193" s="273">
        <v>4</v>
      </c>
      <c r="E193" s="184">
        <f>VLOOKUP(B193,Cotizaciones!B:D,3,0)</f>
        <v>27551.795060918412</v>
      </c>
      <c r="F193" s="184">
        <f t="shared" si="12"/>
        <v>110207.18024367365</v>
      </c>
    </row>
    <row r="194" spans="2:20" hidden="1" outlineLevel="1">
      <c r="B194" s="13" t="s">
        <v>847</v>
      </c>
      <c r="C194" s="405" t="s">
        <v>72</v>
      </c>
      <c r="D194" s="253">
        <v>1</v>
      </c>
      <c r="E194" s="13">
        <f>VLOOKUP(B194,Cotizaciones!B:D,3,0)</f>
        <v>18915.208085774964</v>
      </c>
      <c r="F194" s="13">
        <f t="shared" si="12"/>
        <v>18915.208085774964</v>
      </c>
    </row>
    <row r="195" spans="2:20" hidden="1" outlineLevel="1">
      <c r="B195" s="13" t="s">
        <v>841</v>
      </c>
      <c r="C195" s="405" t="s">
        <v>72</v>
      </c>
      <c r="D195" s="253">
        <v>1</v>
      </c>
      <c r="E195" s="13">
        <f>VLOOKUP(B195,Cotizaciones!B:D,3,0)</f>
        <v>13407.506643876219</v>
      </c>
      <c r="F195" s="13">
        <f t="shared" ref="F195" si="13">+D195*E195</f>
        <v>13407.506643876219</v>
      </c>
    </row>
    <row r="196" spans="2:20" hidden="1" outlineLevel="1">
      <c r="B196" s="13" t="s">
        <v>850</v>
      </c>
      <c r="C196" s="405" t="s">
        <v>72</v>
      </c>
      <c r="D196" s="253">
        <v>1</v>
      </c>
      <c r="E196" s="13">
        <f>VLOOKUP(B196,Cotizaciones!B:D,3,0)</f>
        <v>2184.8025184596881</v>
      </c>
      <c r="F196" s="13">
        <f t="shared" si="12"/>
        <v>2184.8025184596881</v>
      </c>
    </row>
    <row r="197" spans="2:20" hidden="1" outlineLevel="1">
      <c r="B197" s="13" t="s">
        <v>867</v>
      </c>
      <c r="C197" s="405" t="s">
        <v>72</v>
      </c>
      <c r="D197" s="253">
        <v>4</v>
      </c>
      <c r="E197" s="13">
        <f>VLOOKUP(B197,Cotizaciones!B:D,3,0)</f>
        <v>386.71413433703395</v>
      </c>
      <c r="F197" s="13">
        <f t="shared" si="12"/>
        <v>1546.8565373481358</v>
      </c>
    </row>
    <row r="198" spans="2:20" hidden="1" outlineLevel="1">
      <c r="B198" s="13" t="s">
        <v>861</v>
      </c>
      <c r="C198" s="405" t="s">
        <v>72</v>
      </c>
      <c r="D198" s="253">
        <v>0</v>
      </c>
      <c r="E198" s="13">
        <f>VLOOKUP(B198,Cotizaciones!B:D,3,0)</f>
        <v>9510.4429193985889</v>
      </c>
      <c r="F198" s="13">
        <f t="shared" si="12"/>
        <v>0</v>
      </c>
    </row>
    <row r="199" spans="2:20" hidden="1" outlineLevel="1">
      <c r="B199" s="13" t="s">
        <v>859</v>
      </c>
      <c r="C199" s="405" t="s">
        <v>72</v>
      </c>
      <c r="D199" s="253">
        <v>0</v>
      </c>
      <c r="E199" s="13">
        <f>VLOOKUP(B199,Cotizaciones!B:D,3,0)</f>
        <v>27083.212698653868</v>
      </c>
      <c r="F199" s="13">
        <f t="shared" si="12"/>
        <v>0</v>
      </c>
    </row>
    <row r="200" spans="2:20" hidden="1" outlineLevel="1">
      <c r="B200" s="13" t="s">
        <v>830</v>
      </c>
      <c r="C200" s="405" t="s">
        <v>72</v>
      </c>
      <c r="D200" s="253">
        <v>1</v>
      </c>
      <c r="E200" s="13">
        <f>VLOOKUP(B200,Cotizaciones!B:D,3,0)</f>
        <v>10618.574919226277</v>
      </c>
      <c r="F200" s="13">
        <f t="shared" si="12"/>
        <v>10618.574919226277</v>
      </c>
    </row>
    <row r="201" spans="2:20" hidden="1" outlineLevel="1">
      <c r="B201" s="13" t="s">
        <v>864</v>
      </c>
      <c r="C201" s="405" t="s">
        <v>72</v>
      </c>
      <c r="D201" s="253">
        <v>1</v>
      </c>
      <c r="E201" s="13">
        <f>VLOOKUP(B201,Cotizaciones!B:D,3,0)</f>
        <v>292.42956588799302</v>
      </c>
      <c r="F201" s="13">
        <f t="shared" si="12"/>
        <v>292.42956588799302</v>
      </c>
    </row>
    <row r="202" spans="2:20" hidden="1" outlineLevel="1">
      <c r="B202" s="13" t="s">
        <v>849</v>
      </c>
      <c r="C202" s="405" t="s">
        <v>72</v>
      </c>
      <c r="D202" s="253">
        <v>10</v>
      </c>
      <c r="E202" s="13">
        <f>VLOOKUP(B202,Cotizaciones!B:D,3,0)</f>
        <v>1540.3686228468496</v>
      </c>
      <c r="F202" s="13">
        <f t="shared" si="12"/>
        <v>15403.686228468496</v>
      </c>
    </row>
    <row r="203" spans="2:20" hidden="1" outlineLevel="1">
      <c r="B203" s="14" t="s">
        <v>848</v>
      </c>
      <c r="C203" s="406" t="s">
        <v>72</v>
      </c>
      <c r="D203" s="398">
        <v>10</v>
      </c>
      <c r="E203" s="14">
        <f>VLOOKUP(B203,Cotizaciones!B:D,3,0)</f>
        <v>1245.0555394027292</v>
      </c>
      <c r="F203" s="14">
        <f t="shared" si="12"/>
        <v>12450.555394027291</v>
      </c>
      <c r="I203" s="360" t="s">
        <v>1601</v>
      </c>
      <c r="J203" s="132">
        <v>2</v>
      </c>
      <c r="K203" s="103">
        <v>1</v>
      </c>
      <c r="L203" s="103">
        <v>0</v>
      </c>
      <c r="M203" s="103">
        <v>1</v>
      </c>
      <c r="N203" s="103">
        <v>0</v>
      </c>
      <c r="O203" s="518">
        <f>(+K203*$K$3+L203*$L$3+M203*$M$3+N203*$N$3)*J203</f>
        <v>332618.55249825795</v>
      </c>
    </row>
    <row r="204" spans="2:20" hidden="1" outlineLevel="1">
      <c r="B204" s="498" t="s">
        <v>1573</v>
      </c>
      <c r="C204" s="442"/>
      <c r="D204" s="274"/>
      <c r="E204" s="396"/>
      <c r="F204" s="396"/>
      <c r="G204" s="499">
        <f>+SUM(F205)</f>
        <v>140434.49348548273</v>
      </c>
      <c r="I204" s="360" t="s">
        <v>1596</v>
      </c>
      <c r="J204" s="132">
        <v>3</v>
      </c>
      <c r="K204" s="103">
        <v>1</v>
      </c>
      <c r="L204" s="103">
        <v>0</v>
      </c>
      <c r="M204" s="103">
        <v>1</v>
      </c>
      <c r="N204" s="103">
        <v>0</v>
      </c>
      <c r="O204" s="518">
        <f>(+K204*$K$3+L204*$L$3+M204*$M$3+N204*$N$3)*J204</f>
        <v>498927.82874738693</v>
      </c>
      <c r="R204" s="409"/>
      <c r="S204" s="409"/>
    </row>
    <row r="205" spans="2:20" hidden="1" outlineLevel="1">
      <c r="B205" s="918" t="s">
        <v>1569</v>
      </c>
      <c r="C205" s="521" t="s">
        <v>54</v>
      </c>
      <c r="D205" s="918">
        <v>0.21</v>
      </c>
      <c r="E205" s="918">
        <f>+SUM(F169:F203)</f>
        <v>668735.68326420349</v>
      </c>
      <c r="F205" s="918">
        <f t="shared" si="12"/>
        <v>140434.49348548273</v>
      </c>
      <c r="I205" s="360" t="s">
        <v>1595</v>
      </c>
      <c r="J205" s="128">
        <v>2</v>
      </c>
      <c r="K205" s="103">
        <v>1</v>
      </c>
      <c r="L205" s="103">
        <v>0</v>
      </c>
      <c r="M205" s="103">
        <v>1</v>
      </c>
      <c r="N205" s="103">
        <v>0</v>
      </c>
      <c r="O205" s="518">
        <f>(+K205*$K$3+L205*$L$3+M205*$M$3+N205*$N$3)*J205</f>
        <v>332618.55249825795</v>
      </c>
      <c r="R205" s="105"/>
      <c r="S205" s="105"/>
      <c r="T205" s="105"/>
    </row>
    <row r="206" spans="2:20" hidden="1" outlineLevel="1">
      <c r="B206" s="498"/>
      <c r="C206" s="442"/>
      <c r="D206" s="274"/>
      <c r="E206" s="396"/>
      <c r="F206" s="397">
        <f>+SUM(F168:F205)</f>
        <v>809170.17674968624</v>
      </c>
      <c r="G206" s="911">
        <f>+SUM(G168:G205)</f>
        <v>809170.17674968636</v>
      </c>
      <c r="I206" s="360"/>
      <c r="J206" s="132"/>
      <c r="K206" s="840"/>
      <c r="L206" s="840"/>
      <c r="M206" s="840"/>
      <c r="N206" s="840"/>
      <c r="O206" s="3">
        <f>+SUM(O203:O205)</f>
        <v>1164164.9337439029</v>
      </c>
      <c r="P206" s="411">
        <f>+O206*$O$3</f>
        <v>1746247.4006158544</v>
      </c>
      <c r="Q206" s="1" t="s">
        <v>529</v>
      </c>
    </row>
    <row r="207" spans="2:20" collapsed="1"/>
    <row r="208" spans="2:20">
      <c r="B208" s="358"/>
      <c r="C208" s="104"/>
      <c r="D208" s="559"/>
      <c r="E208" s="358"/>
      <c r="F208" s="358"/>
      <c r="G208" s="357"/>
      <c r="H208" s="358"/>
      <c r="I208" s="358"/>
      <c r="J208" s="358"/>
      <c r="K208" s="358"/>
      <c r="L208" s="358"/>
      <c r="M208" s="358"/>
      <c r="N208" s="358"/>
      <c r="O208" s="358"/>
      <c r="P208" s="357"/>
      <c r="Q208" s="358"/>
      <c r="R208" s="105" t="s">
        <v>291</v>
      </c>
      <c r="S208" s="105" t="s">
        <v>1041</v>
      </c>
      <c r="T208" s="105" t="s">
        <v>188</v>
      </c>
    </row>
    <row r="209" spans="2:20">
      <c r="B209" s="3" t="s">
        <v>2440</v>
      </c>
      <c r="F209" s="444" t="s">
        <v>46</v>
      </c>
      <c r="G209" s="1177">
        <f>+G206</f>
        <v>809170.17674968636</v>
      </c>
      <c r="P209" s="1177">
        <f>+P206</f>
        <v>1746247.4006158544</v>
      </c>
      <c r="R209" s="811">
        <f>+G209</f>
        <v>809170.17674968636</v>
      </c>
      <c r="S209" s="811">
        <f>+P209</f>
        <v>1746247.4006158544</v>
      </c>
      <c r="T209" s="811">
        <f>+R209+S209</f>
        <v>2555417.5773655409</v>
      </c>
    </row>
    <row r="210" spans="2:20">
      <c r="R210" s="409">
        <f>+R209/T209</f>
        <v>0.31664890463181555</v>
      </c>
      <c r="S210" s="409">
        <f>+S209/T209</f>
        <v>0.68335109536818439</v>
      </c>
    </row>
    <row r="212" spans="2:20" outlineLevel="1">
      <c r="B212" s="1" t="s">
        <v>2442</v>
      </c>
    </row>
    <row r="213" spans="2:20" outlineLevel="1">
      <c r="B213" s="498" t="s">
        <v>2443</v>
      </c>
      <c r="C213" s="442"/>
      <c r="D213" s="274"/>
      <c r="E213" s="396"/>
      <c r="F213" s="396"/>
      <c r="G213" s="499">
        <f>+SUM(F214:F219)</f>
        <v>264496.65327693278</v>
      </c>
    </row>
    <row r="214" spans="2:20" outlineLevel="1">
      <c r="B214" s="184" t="s">
        <v>847</v>
      </c>
      <c r="C214" s="404" t="s">
        <v>72</v>
      </c>
      <c r="D214" s="273">
        <v>5</v>
      </c>
      <c r="E214" s="184">
        <f>VLOOKUP(B214,Cotizaciones!B:D,3,0)</f>
        <v>18915.208085774964</v>
      </c>
      <c r="F214" s="184">
        <f t="shared" ref="F214:F217" si="14">+D214*E214</f>
        <v>94576.040428874825</v>
      </c>
    </row>
    <row r="215" spans="2:20" outlineLevel="1">
      <c r="B215" s="13" t="s">
        <v>849</v>
      </c>
      <c r="C215" s="405" t="s">
        <v>72</v>
      </c>
      <c r="D215" s="253">
        <v>15</v>
      </c>
      <c r="E215" s="13">
        <f>VLOOKUP(B215,Cotizaciones!B:D,3,0)</f>
        <v>1540.3686228468496</v>
      </c>
      <c r="F215" s="13">
        <f t="shared" si="14"/>
        <v>23105.529342702743</v>
      </c>
    </row>
    <row r="216" spans="2:20" outlineLevel="1">
      <c r="B216" s="13" t="s">
        <v>848</v>
      </c>
      <c r="C216" s="405" t="s">
        <v>72</v>
      </c>
      <c r="D216" s="253">
        <f>+D214*2</f>
        <v>10</v>
      </c>
      <c r="E216" s="13">
        <f>VLOOKUP(B216,Cotizaciones!B:D,3,0)</f>
        <v>1245.0555394027292</v>
      </c>
      <c r="F216" s="13">
        <f t="shared" si="14"/>
        <v>12450.555394027291</v>
      </c>
    </row>
    <row r="217" spans="2:20" outlineLevel="1">
      <c r="B217" s="13" t="s">
        <v>846</v>
      </c>
      <c r="C217" s="405" t="s">
        <v>72</v>
      </c>
      <c r="D217" s="253">
        <v>6</v>
      </c>
      <c r="E217" s="13">
        <f>VLOOKUP(B217,Cotizaciones!B:D,3,0)</f>
        <v>16301.686759324806</v>
      </c>
      <c r="F217" s="13">
        <f t="shared" si="14"/>
        <v>97810.120555948844</v>
      </c>
    </row>
    <row r="218" spans="2:20" outlineLevel="1">
      <c r="B218" s="13" t="s">
        <v>850</v>
      </c>
      <c r="C218" s="405" t="s">
        <v>72</v>
      </c>
      <c r="D218" s="253">
        <v>3</v>
      </c>
      <c r="E218" s="13">
        <f>VLOOKUP(B218,Cotizaciones!B:D,3,0)</f>
        <v>2184.8025184596881</v>
      </c>
      <c r="F218" s="13">
        <f t="shared" ref="F218:F219" si="15">+D218*E218</f>
        <v>6554.4075553790644</v>
      </c>
    </row>
    <row r="219" spans="2:20" outlineLevel="1">
      <c r="B219" s="1224" t="s">
        <v>2444</v>
      </c>
      <c r="C219" s="1668" t="s">
        <v>72</v>
      </c>
      <c r="D219" s="1669">
        <v>6</v>
      </c>
      <c r="E219" s="1224">
        <f>5000</f>
        <v>5000</v>
      </c>
      <c r="F219" s="14">
        <f t="shared" si="15"/>
        <v>30000</v>
      </c>
    </row>
    <row r="220" spans="2:20" outlineLevel="1">
      <c r="B220" s="498" t="s">
        <v>1590</v>
      </c>
      <c r="C220" s="442"/>
      <c r="D220" s="274"/>
      <c r="E220" s="396"/>
      <c r="F220" s="396"/>
      <c r="G220" s="499">
        <f>+SUM(F221:F226)</f>
        <v>257956.89831661459</v>
      </c>
    </row>
    <row r="221" spans="2:20" outlineLevel="1">
      <c r="B221" s="13" t="s">
        <v>851</v>
      </c>
      <c r="C221" s="405" t="s">
        <v>72</v>
      </c>
      <c r="D221" s="253">
        <v>6</v>
      </c>
      <c r="E221" s="13">
        <f>VLOOKUP(B221,Cotizaciones!B:D,3,0)</f>
        <v>27551.795060918412</v>
      </c>
      <c r="F221" s="13">
        <f t="shared" ref="F221:F226" si="16">+D221*E221</f>
        <v>165310.77036551049</v>
      </c>
    </row>
    <row r="222" spans="2:20" outlineLevel="1">
      <c r="B222" s="13" t="s">
        <v>855</v>
      </c>
      <c r="C222" s="405" t="s">
        <v>72</v>
      </c>
      <c r="D222" s="253">
        <v>6</v>
      </c>
      <c r="E222" s="13">
        <f>VLOOKUP(B222,Cotizaciones!B:D,3,0)</f>
        <v>6137.6209151861513</v>
      </c>
      <c r="F222" s="13">
        <f t="shared" si="16"/>
        <v>36825.725491116908</v>
      </c>
    </row>
    <row r="223" spans="2:20" outlineLevel="1">
      <c r="B223" s="13" t="s">
        <v>852</v>
      </c>
      <c r="C223" s="405" t="s">
        <v>72</v>
      </c>
      <c r="D223" s="253">
        <v>1</v>
      </c>
      <c r="E223" s="13">
        <f>VLOOKUP(B223,Cotizaciones!B:D,3,0)</f>
        <v>32747.162058276794</v>
      </c>
      <c r="F223" s="13">
        <f t="shared" si="16"/>
        <v>32747.162058276794</v>
      </c>
    </row>
    <row r="224" spans="2:20" outlineLevel="1">
      <c r="B224" s="13" t="s">
        <v>854</v>
      </c>
      <c r="C224" s="405" t="s">
        <v>72</v>
      </c>
      <c r="D224" s="253">
        <v>2</v>
      </c>
      <c r="E224" s="13">
        <f>VLOOKUP(B224,Cotizaciones!B:D,3,0)</f>
        <v>4369.7126308580382</v>
      </c>
      <c r="F224" s="13">
        <f t="shared" si="16"/>
        <v>8739.4252617160764</v>
      </c>
    </row>
    <row r="225" spans="2:7" outlineLevel="1">
      <c r="B225" s="13" t="s">
        <v>853</v>
      </c>
      <c r="C225" s="405" t="s">
        <v>72</v>
      </c>
      <c r="D225" s="253">
        <v>2</v>
      </c>
      <c r="E225" s="13">
        <f>VLOOKUP(B225,Cotizaciones!B:D,3,0)</f>
        <v>3672.0842919709712</v>
      </c>
      <c r="F225" s="13">
        <f t="shared" si="16"/>
        <v>7344.1685839419424</v>
      </c>
    </row>
    <row r="226" spans="2:7" outlineLevel="1">
      <c r="B226" s="14" t="s">
        <v>866</v>
      </c>
      <c r="C226" s="406" t="s">
        <v>72</v>
      </c>
      <c r="D226" s="398">
        <v>6</v>
      </c>
      <c r="E226" s="14">
        <f>VLOOKUP(B226,Cotizaciones!B:D,3,0)</f>
        <v>1164.9410926754031</v>
      </c>
      <c r="F226" s="14">
        <f t="shared" si="16"/>
        <v>6989.6465560524184</v>
      </c>
    </row>
    <row r="227" spans="2:7" outlineLevel="1">
      <c r="B227" s="498" t="s">
        <v>1591</v>
      </c>
      <c r="C227" s="442"/>
      <c r="D227" s="274"/>
      <c r="E227" s="396"/>
      <c r="F227" s="396"/>
      <c r="G227" s="499">
        <f>+SUM(F228:F231)</f>
        <v>0</v>
      </c>
    </row>
    <row r="228" spans="2:7" outlineLevel="1">
      <c r="B228" s="184" t="s">
        <v>867</v>
      </c>
      <c r="C228" s="404" t="s">
        <v>72</v>
      </c>
      <c r="D228" s="273">
        <v>0</v>
      </c>
      <c r="E228" s="184">
        <f>VLOOKUP(B228,Cotizaciones!B:D,3,0)</f>
        <v>386.71413433703395</v>
      </c>
      <c r="F228" s="184">
        <f t="shared" ref="F228:F231" si="17">+D228*E228</f>
        <v>0</v>
      </c>
    </row>
    <row r="229" spans="2:7" outlineLevel="1">
      <c r="B229" s="13" t="s">
        <v>864</v>
      </c>
      <c r="C229" s="405" t="s">
        <v>72</v>
      </c>
      <c r="D229" s="253">
        <v>0</v>
      </c>
      <c r="E229" s="13">
        <f>VLOOKUP(B229,Cotizaciones!B:D,3,0)</f>
        <v>292.42956588799302</v>
      </c>
      <c r="F229" s="13">
        <f t="shared" si="17"/>
        <v>0</v>
      </c>
    </row>
    <row r="230" spans="2:7" outlineLevel="1">
      <c r="B230" s="13" t="s">
        <v>837</v>
      </c>
      <c r="C230" s="405" t="s">
        <v>72</v>
      </c>
      <c r="D230" s="253">
        <v>0</v>
      </c>
      <c r="E230" s="13">
        <f>VLOOKUP(B230,Cotizaciones!B:D,3,0)</f>
        <v>462.53558291176762</v>
      </c>
      <c r="F230" s="13">
        <f t="shared" si="17"/>
        <v>0</v>
      </c>
    </row>
    <row r="231" spans="2:7" outlineLevel="1">
      <c r="B231" s="14" t="s">
        <v>833</v>
      </c>
      <c r="C231" s="406" t="s">
        <v>72</v>
      </c>
      <c r="D231" s="398">
        <v>0</v>
      </c>
      <c r="E231" s="14">
        <f>VLOOKUP(B231,Cotizaciones!B:D,3,0)</f>
        <v>10282.946386965707</v>
      </c>
      <c r="F231" s="14">
        <f t="shared" si="17"/>
        <v>0</v>
      </c>
    </row>
    <row r="232" spans="2:7" outlineLevel="1">
      <c r="B232" s="498" t="s">
        <v>1592</v>
      </c>
      <c r="C232" s="442"/>
      <c r="D232" s="274"/>
      <c r="E232" s="396"/>
      <c r="F232" s="396"/>
      <c r="G232" s="499">
        <f>+SUM(F233:F242)</f>
        <v>538478.58035900712</v>
      </c>
    </row>
    <row r="233" spans="2:7" outlineLevel="1">
      <c r="B233" s="184" t="s">
        <v>847</v>
      </c>
      <c r="C233" s="404" t="s">
        <v>72</v>
      </c>
      <c r="D233" s="273">
        <v>5</v>
      </c>
      <c r="E233" s="184">
        <f>VLOOKUP(B233,Cotizaciones!B:D,3,0)</f>
        <v>18915.208085774964</v>
      </c>
      <c r="F233" s="184">
        <f t="shared" ref="F233:F242" si="18">+D233*E233</f>
        <v>94576.040428874825</v>
      </c>
      <c r="G233" s="1" t="s">
        <v>2447</v>
      </c>
    </row>
    <row r="234" spans="2:7" outlineLevel="1">
      <c r="B234" s="13" t="s">
        <v>847</v>
      </c>
      <c r="C234" s="405" t="s">
        <v>72</v>
      </c>
      <c r="D234" s="253">
        <f>3*4</f>
        <v>12</v>
      </c>
      <c r="E234" s="13">
        <f>VLOOKUP(B234,Cotizaciones!B:D,3,0)</f>
        <v>18915.208085774964</v>
      </c>
      <c r="F234" s="13">
        <f t="shared" si="18"/>
        <v>226982.49702929956</v>
      </c>
      <c r="G234" s="1" t="s">
        <v>2448</v>
      </c>
    </row>
    <row r="235" spans="2:7" outlineLevel="1">
      <c r="B235" s="13" t="s">
        <v>841</v>
      </c>
      <c r="C235" s="405" t="s">
        <v>72</v>
      </c>
      <c r="D235" s="253">
        <f>2*4</f>
        <v>8</v>
      </c>
      <c r="E235" s="13">
        <f>VLOOKUP(B235,Cotizaciones!B:D,3,0)</f>
        <v>13407.506643876219</v>
      </c>
      <c r="F235" s="13">
        <f t="shared" si="18"/>
        <v>107260.05315100975</v>
      </c>
      <c r="G235" s="1" t="s">
        <v>2448</v>
      </c>
    </row>
    <row r="236" spans="2:7" outlineLevel="1">
      <c r="B236" s="13" t="s">
        <v>849</v>
      </c>
      <c r="C236" s="405" t="s">
        <v>72</v>
      </c>
      <c r="D236" s="253">
        <v>20</v>
      </c>
      <c r="E236" s="13">
        <f>VLOOKUP(B236,Cotizaciones!B:D,3,0)</f>
        <v>1540.3686228468496</v>
      </c>
      <c r="F236" s="13">
        <f t="shared" si="18"/>
        <v>30807.372456936992</v>
      </c>
    </row>
    <row r="237" spans="2:7" outlineLevel="1">
      <c r="B237" s="13" t="s">
        <v>843</v>
      </c>
      <c r="C237" s="405" t="s">
        <v>72</v>
      </c>
      <c r="D237" s="253">
        <v>4</v>
      </c>
      <c r="E237" s="13">
        <f>VLOOKUP(B237,Cotizaciones!B:D,3,0)</f>
        <v>693.78723527685224</v>
      </c>
      <c r="F237" s="13">
        <f t="shared" si="18"/>
        <v>2775.148941107409</v>
      </c>
    </row>
    <row r="238" spans="2:7" outlineLevel="1">
      <c r="B238" s="13" t="s">
        <v>867</v>
      </c>
      <c r="C238" s="405" t="s">
        <v>72</v>
      </c>
      <c r="D238" s="253">
        <v>3</v>
      </c>
      <c r="E238" s="13">
        <f>VLOOKUP(B238,Cotizaciones!B:D,3,0)</f>
        <v>386.71413433703395</v>
      </c>
      <c r="F238" s="13">
        <f t="shared" si="18"/>
        <v>1160.1424030111018</v>
      </c>
    </row>
    <row r="239" spans="2:7" outlineLevel="1">
      <c r="B239" s="13" t="s">
        <v>864</v>
      </c>
      <c r="C239" s="405" t="s">
        <v>72</v>
      </c>
      <c r="D239" s="253">
        <v>25</v>
      </c>
      <c r="E239" s="13">
        <f>VLOOKUP(B239,Cotizaciones!B:D,3,0)</f>
        <v>292.42956588799302</v>
      </c>
      <c r="F239" s="13">
        <f t="shared" si="18"/>
        <v>7310.7391471998253</v>
      </c>
    </row>
    <row r="240" spans="2:7" outlineLevel="1">
      <c r="B240" s="13" t="s">
        <v>850</v>
      </c>
      <c r="C240" s="405" t="s">
        <v>72</v>
      </c>
      <c r="D240" s="1229">
        <v>25</v>
      </c>
      <c r="E240" s="13">
        <f>VLOOKUP(B240,Cotizaciones!B:D,3,0)</f>
        <v>2184.8025184596881</v>
      </c>
      <c r="F240" s="13">
        <f t="shared" si="18"/>
        <v>54620.062961492207</v>
      </c>
    </row>
    <row r="241" spans="2:20" outlineLevel="1">
      <c r="B241" s="13" t="s">
        <v>848</v>
      </c>
      <c r="C241" s="405" t="s">
        <v>72</v>
      </c>
      <c r="D241" s="253">
        <f>+D233*2</f>
        <v>10</v>
      </c>
      <c r="E241" s="13">
        <f>VLOOKUP(B241,Cotizaciones!B:D,3,0)</f>
        <v>1245.0555394027292</v>
      </c>
      <c r="F241" s="13">
        <f t="shared" si="18"/>
        <v>12450.555394027291</v>
      </c>
    </row>
    <row r="242" spans="2:20" outlineLevel="1">
      <c r="B242" s="14" t="s">
        <v>842</v>
      </c>
      <c r="C242" s="406" t="s">
        <v>72</v>
      </c>
      <c r="D242" s="398">
        <v>1</v>
      </c>
      <c r="E242" s="14">
        <f>VLOOKUP(B242,Cotizaciones!B:D,3,0)</f>
        <v>535.96844604821683</v>
      </c>
      <c r="F242" s="14">
        <f t="shared" si="18"/>
        <v>535.96844604821683</v>
      </c>
      <c r="I242" s="360"/>
      <c r="J242" s="132"/>
      <c r="K242" s="103"/>
      <c r="L242" s="103"/>
      <c r="M242" s="103"/>
      <c r="N242" s="103"/>
      <c r="O242" s="518"/>
    </row>
    <row r="243" spans="2:20" outlineLevel="1">
      <c r="B243" s="498" t="s">
        <v>2446</v>
      </c>
      <c r="C243" s="442"/>
      <c r="D243" s="274"/>
      <c r="E243" s="396"/>
      <c r="F243" s="396"/>
      <c r="G243" s="499">
        <f>+SUM(F244:F247)</f>
        <v>125496.02070201488</v>
      </c>
    </row>
    <row r="244" spans="2:20" outlineLevel="1">
      <c r="B244" s="184" t="s">
        <v>847</v>
      </c>
      <c r="C244" s="404" t="s">
        <v>72</v>
      </c>
      <c r="D244" s="273">
        <v>4</v>
      </c>
      <c r="E244" s="184">
        <f>VLOOKUP(B244,Cotizaciones!B:D,3,0)</f>
        <v>18915.208085774964</v>
      </c>
      <c r="F244" s="184">
        <f t="shared" ref="F244:F247" si="19">+D244*E244</f>
        <v>75660.832343099857</v>
      </c>
    </row>
    <row r="245" spans="2:20" outlineLevel="1">
      <c r="B245" s="13" t="s">
        <v>849</v>
      </c>
      <c r="C245" s="405" t="s">
        <v>72</v>
      </c>
      <c r="D245" s="253">
        <f>+D244*2</f>
        <v>8</v>
      </c>
      <c r="E245" s="13">
        <f>VLOOKUP(B245,Cotizaciones!B:D,3,0)</f>
        <v>1540.3686228468496</v>
      </c>
      <c r="F245" s="13">
        <f t="shared" si="19"/>
        <v>12322.948982774797</v>
      </c>
    </row>
    <row r="246" spans="2:20" outlineLevel="1">
      <c r="B246" s="13" t="s">
        <v>848</v>
      </c>
      <c r="C246" s="405" t="s">
        <v>72</v>
      </c>
      <c r="D246" s="253">
        <f>+D244*2</f>
        <v>8</v>
      </c>
      <c r="E246" s="13">
        <f>VLOOKUP(B246,Cotizaciones!B:D,3,0)</f>
        <v>1245.0555394027292</v>
      </c>
      <c r="F246" s="13">
        <f t="shared" si="19"/>
        <v>9960.4443152218337</v>
      </c>
    </row>
    <row r="247" spans="2:20" outlineLevel="1">
      <c r="B247" s="13" t="s">
        <v>851</v>
      </c>
      <c r="C247" s="406" t="s">
        <v>72</v>
      </c>
      <c r="D247" s="398">
        <v>1</v>
      </c>
      <c r="E247" s="14">
        <f>VLOOKUP(B247,Cotizaciones!B:D,3,0)</f>
        <v>27551.795060918412</v>
      </c>
      <c r="F247" s="14">
        <f t="shared" si="19"/>
        <v>27551.795060918412</v>
      </c>
      <c r="I247" s="360" t="s">
        <v>1594</v>
      </c>
      <c r="J247" s="132">
        <v>5</v>
      </c>
      <c r="K247" s="103">
        <v>1</v>
      </c>
      <c r="L247" s="103"/>
      <c r="M247" s="103">
        <v>1</v>
      </c>
      <c r="N247" s="103">
        <v>1</v>
      </c>
      <c r="O247" s="518">
        <f>(+K247*$K$3+L247*$L$3+M247*$M$3+N247*$N$3)*J247</f>
        <v>1167748.875546983</v>
      </c>
    </row>
    <row r="248" spans="2:20" outlineLevel="1">
      <c r="B248" s="498" t="s">
        <v>1573</v>
      </c>
      <c r="C248" s="442"/>
      <c r="D248" s="274"/>
      <c r="E248" s="396"/>
      <c r="F248" s="396"/>
      <c r="G248" s="499">
        <f>+SUM(F249)</f>
        <v>249149.91205745962</v>
      </c>
      <c r="I248" s="360" t="s">
        <v>1596</v>
      </c>
      <c r="J248" s="132">
        <v>3</v>
      </c>
      <c r="K248" s="132">
        <v>1</v>
      </c>
      <c r="L248" s="132"/>
      <c r="M248" s="132">
        <v>1</v>
      </c>
      <c r="O248" s="518">
        <f>(+K248*$K$3+L248*$L$3+M248*$M$3+N248*$N$3)*J248</f>
        <v>498927.82874738693</v>
      </c>
      <c r="R248" s="409"/>
      <c r="S248" s="409"/>
    </row>
    <row r="249" spans="2:20" outlineLevel="1">
      <c r="B249" s="918" t="s">
        <v>1569</v>
      </c>
      <c r="C249" s="521" t="s">
        <v>54</v>
      </c>
      <c r="D249" s="918">
        <v>0.21</v>
      </c>
      <c r="E249" s="918">
        <f>+SUM(F214:F247)</f>
        <v>1186428.1526545696</v>
      </c>
      <c r="F249" s="918">
        <f t="shared" ref="F249" si="20">+D249*E249</f>
        <v>249149.91205745962</v>
      </c>
      <c r="I249" s="360" t="s">
        <v>1595</v>
      </c>
      <c r="J249" s="128">
        <v>0</v>
      </c>
      <c r="K249" s="132">
        <v>1</v>
      </c>
      <c r="L249" s="132"/>
      <c r="M249" s="132">
        <v>1</v>
      </c>
      <c r="O249" s="518">
        <f>(+K249*$K$3+L249*$L$3+M249*$M$3+N249*$N$3)*J249</f>
        <v>0</v>
      </c>
      <c r="R249" s="105"/>
      <c r="S249" s="105"/>
      <c r="T249" s="105"/>
    </row>
    <row r="250" spans="2:20" outlineLevel="1">
      <c r="B250" s="498"/>
      <c r="C250" s="442"/>
      <c r="D250" s="274"/>
      <c r="E250" s="396"/>
      <c r="F250" s="397">
        <f>+SUM(F213:F249)</f>
        <v>1435578.0647120292</v>
      </c>
      <c r="G250" s="911">
        <f>+SUM(G213:G249)</f>
        <v>1435578.064712029</v>
      </c>
      <c r="I250" s="360"/>
      <c r="J250" s="132"/>
      <c r="K250" s="840"/>
      <c r="L250" s="840"/>
      <c r="M250" s="840"/>
      <c r="N250" s="840"/>
      <c r="O250" s="3">
        <f>+SUM(O242:O249)</f>
        <v>1666676.70429437</v>
      </c>
      <c r="P250" s="411">
        <f>+O250*$O$3</f>
        <v>2500015.0564415548</v>
      </c>
      <c r="Q250" s="1" t="s">
        <v>529</v>
      </c>
    </row>
    <row r="251" spans="2:20">
      <c r="B251" s="3"/>
      <c r="F251" s="3"/>
      <c r="G251" s="357"/>
      <c r="I251" s="360"/>
      <c r="J251" s="132"/>
      <c r="K251" s="840"/>
      <c r="L251" s="840"/>
      <c r="M251" s="840"/>
      <c r="N251" s="840"/>
      <c r="O251" s="3"/>
      <c r="P251" s="357"/>
    </row>
    <row r="252" spans="2:20">
      <c r="B252" s="358"/>
      <c r="C252" s="104"/>
      <c r="D252" s="559"/>
      <c r="E252" s="358"/>
      <c r="F252" s="358"/>
      <c r="G252" s="357"/>
      <c r="H252" s="358"/>
      <c r="I252" s="358"/>
      <c r="J252" s="358"/>
      <c r="K252" s="358"/>
      <c r="L252" s="358"/>
      <c r="M252" s="358"/>
      <c r="N252" s="358"/>
      <c r="O252" s="358"/>
      <c r="P252" s="357"/>
      <c r="Q252" s="358"/>
      <c r="R252" s="105" t="s">
        <v>291</v>
      </c>
      <c r="S252" s="105" t="s">
        <v>1041</v>
      </c>
      <c r="T252" s="105" t="s">
        <v>188</v>
      </c>
    </row>
    <row r="253" spans="2:20">
      <c r="B253" s="3" t="s">
        <v>2445</v>
      </c>
      <c r="F253" s="444" t="s">
        <v>46</v>
      </c>
      <c r="G253" s="1177">
        <f>+G250</f>
        <v>1435578.064712029</v>
      </c>
      <c r="P253" s="1177">
        <f>+P250</f>
        <v>2500015.0564415548</v>
      </c>
      <c r="R253" s="811">
        <f>+G253</f>
        <v>1435578.064712029</v>
      </c>
      <c r="S253" s="811">
        <f>+P253</f>
        <v>2500015.0564415548</v>
      </c>
      <c r="T253" s="811">
        <f>+R253+S253</f>
        <v>3935593.1211535838</v>
      </c>
    </row>
    <row r="254" spans="2:20">
      <c r="R254" s="409">
        <f>+R253/T253</f>
        <v>0.36476790677264898</v>
      </c>
      <c r="S254" s="409">
        <f>+S253/T253</f>
        <v>0.63523209322735108</v>
      </c>
    </row>
    <row r="256" spans="2:20" outlineLevel="1">
      <c r="B256" s="1" t="s">
        <v>2449</v>
      </c>
    </row>
    <row r="257" spans="2:7" outlineLevel="1">
      <c r="B257" s="498" t="s">
        <v>2450</v>
      </c>
      <c r="C257" s="442"/>
      <c r="D257" s="274"/>
      <c r="E257" s="396"/>
      <c r="F257" s="396"/>
      <c r="G257" s="499">
        <f>+SUM(F258:F262)</f>
        <v>138092.79625868311</v>
      </c>
    </row>
    <row r="258" spans="2:7" outlineLevel="1">
      <c r="B258" s="184" t="s">
        <v>847</v>
      </c>
      <c r="C258" s="404" t="s">
        <v>72</v>
      </c>
      <c r="D258" s="273">
        <v>1</v>
      </c>
      <c r="E258" s="184">
        <f>VLOOKUP(B258,Cotizaciones!B:D,3,0)</f>
        <v>18915.208085774964</v>
      </c>
      <c r="F258" s="184">
        <f t="shared" ref="F258:F262" si="21">+D258*E258</f>
        <v>18915.208085774964</v>
      </c>
    </row>
    <row r="259" spans="2:7" outlineLevel="1">
      <c r="B259" s="13" t="s">
        <v>849</v>
      </c>
      <c r="C259" s="405" t="s">
        <v>72</v>
      </c>
      <c r="D259" s="253">
        <v>8</v>
      </c>
      <c r="E259" s="13">
        <f>VLOOKUP(B259,Cotizaciones!B:D,3,0)</f>
        <v>1540.3686228468496</v>
      </c>
      <c r="F259" s="13">
        <f t="shared" si="21"/>
        <v>12322.948982774797</v>
      </c>
    </row>
    <row r="260" spans="2:7" outlineLevel="1">
      <c r="B260" s="13" t="s">
        <v>848</v>
      </c>
      <c r="C260" s="405" t="s">
        <v>72</v>
      </c>
      <c r="D260" s="253">
        <f>+D258*2</f>
        <v>2</v>
      </c>
      <c r="E260" s="13">
        <f>VLOOKUP(B260,Cotizaciones!B:D,3,0)</f>
        <v>1245.0555394027292</v>
      </c>
      <c r="F260" s="13">
        <f t="shared" si="21"/>
        <v>2490.1110788054584</v>
      </c>
    </row>
    <row r="261" spans="2:7" outlineLevel="1">
      <c r="B261" s="13" t="s">
        <v>846</v>
      </c>
      <c r="C261" s="405" t="s">
        <v>72</v>
      </c>
      <c r="D261" s="253">
        <v>6</v>
      </c>
      <c r="E261" s="13">
        <f>VLOOKUP(B261,Cotizaciones!B:D,3,0)</f>
        <v>16301.686759324806</v>
      </c>
      <c r="F261" s="13">
        <f t="shared" si="21"/>
        <v>97810.120555948844</v>
      </c>
    </row>
    <row r="262" spans="2:7" outlineLevel="1">
      <c r="B262" s="13" t="s">
        <v>850</v>
      </c>
      <c r="C262" s="405" t="s">
        <v>72</v>
      </c>
      <c r="D262" s="253">
        <v>3</v>
      </c>
      <c r="E262" s="13">
        <f>VLOOKUP(B262,Cotizaciones!B:D,3,0)</f>
        <v>2184.8025184596881</v>
      </c>
      <c r="F262" s="13">
        <f t="shared" si="21"/>
        <v>6554.4075553790644</v>
      </c>
    </row>
    <row r="263" spans="2:7" outlineLevel="1">
      <c r="B263" s="498" t="s">
        <v>1590</v>
      </c>
      <c r="C263" s="442"/>
      <c r="D263" s="274"/>
      <c r="E263" s="396"/>
      <c r="F263" s="396"/>
      <c r="G263" s="499">
        <f>+SUM(F264:F267)</f>
        <v>94481.27168770181</v>
      </c>
    </row>
    <row r="264" spans="2:7" outlineLevel="1">
      <c r="B264" s="13" t="s">
        <v>846</v>
      </c>
      <c r="C264" s="405" t="s">
        <v>72</v>
      </c>
      <c r="D264" s="253">
        <v>4</v>
      </c>
      <c r="E264" s="13">
        <f>VLOOKUP(B264,Cotizaciones!B:D,3,0)</f>
        <v>16301.686759324806</v>
      </c>
      <c r="F264" s="13">
        <f t="shared" ref="F264:F267" si="22">+D264*E264</f>
        <v>65206.747037299225</v>
      </c>
    </row>
    <row r="265" spans="2:7" outlineLevel="1">
      <c r="B265" s="13" t="s">
        <v>841</v>
      </c>
      <c r="C265" s="405" t="s">
        <v>72</v>
      </c>
      <c r="D265" s="253">
        <v>2</v>
      </c>
      <c r="E265" s="13">
        <f>VLOOKUP(B265,Cotizaciones!B:D,3,0)</f>
        <v>13407.506643876219</v>
      </c>
      <c r="F265" s="13">
        <f t="shared" si="22"/>
        <v>26815.013287752437</v>
      </c>
    </row>
    <row r="266" spans="2:7" outlineLevel="1">
      <c r="B266" s="13" t="s">
        <v>843</v>
      </c>
      <c r="C266" s="405" t="s">
        <v>72</v>
      </c>
      <c r="D266" s="253">
        <v>2</v>
      </c>
      <c r="E266" s="13">
        <f>VLOOKUP(B266,Cotizaciones!B:D,3,0)</f>
        <v>693.78723527685224</v>
      </c>
      <c r="F266" s="13">
        <f t="shared" si="22"/>
        <v>1387.5744705537045</v>
      </c>
    </row>
    <row r="267" spans="2:7" outlineLevel="1">
      <c r="B267" s="13" t="s">
        <v>842</v>
      </c>
      <c r="C267" s="405" t="s">
        <v>72</v>
      </c>
      <c r="D267" s="253">
        <v>2</v>
      </c>
      <c r="E267" s="13">
        <f>VLOOKUP(B267,Cotizaciones!B:D,3,0)</f>
        <v>535.96844604821683</v>
      </c>
      <c r="F267" s="13">
        <f t="shared" si="22"/>
        <v>1071.9368920964337</v>
      </c>
    </row>
    <row r="268" spans="2:7" outlineLevel="1">
      <c r="B268" s="498" t="s">
        <v>1591</v>
      </c>
      <c r="C268" s="442"/>
      <c r="D268" s="274"/>
      <c r="E268" s="396"/>
      <c r="F268" s="396"/>
      <c r="G268" s="499">
        <f>+SUM(F269:F272)</f>
        <v>0</v>
      </c>
    </row>
    <row r="269" spans="2:7" outlineLevel="1">
      <c r="B269" s="184" t="s">
        <v>867</v>
      </c>
      <c r="C269" s="404" t="s">
        <v>72</v>
      </c>
      <c r="D269" s="273">
        <v>0</v>
      </c>
      <c r="E269" s="184">
        <f>VLOOKUP(B269,Cotizaciones!B:D,3,0)</f>
        <v>386.71413433703395</v>
      </c>
      <c r="F269" s="184">
        <f t="shared" ref="F269:F272" si="23">+D269*E269</f>
        <v>0</v>
      </c>
    </row>
    <row r="270" spans="2:7" outlineLevel="1">
      <c r="B270" s="13" t="s">
        <v>864</v>
      </c>
      <c r="C270" s="405" t="s">
        <v>72</v>
      </c>
      <c r="D270" s="253">
        <v>0</v>
      </c>
      <c r="E270" s="13">
        <f>VLOOKUP(B270,Cotizaciones!B:D,3,0)</f>
        <v>292.42956588799302</v>
      </c>
      <c r="F270" s="13">
        <f t="shared" si="23"/>
        <v>0</v>
      </c>
    </row>
    <row r="271" spans="2:7" outlineLevel="1">
      <c r="B271" s="13" t="s">
        <v>837</v>
      </c>
      <c r="C271" s="405" t="s">
        <v>72</v>
      </c>
      <c r="D271" s="253">
        <v>0</v>
      </c>
      <c r="E271" s="13">
        <f>VLOOKUP(B271,Cotizaciones!B:D,3,0)</f>
        <v>462.53558291176762</v>
      </c>
      <c r="F271" s="13">
        <f t="shared" si="23"/>
        <v>0</v>
      </c>
    </row>
    <row r="272" spans="2:7" outlineLevel="1">
      <c r="B272" s="14" t="s">
        <v>833</v>
      </c>
      <c r="C272" s="406" t="s">
        <v>72</v>
      </c>
      <c r="D272" s="398">
        <v>0</v>
      </c>
      <c r="E272" s="14">
        <f>VLOOKUP(B272,Cotizaciones!B:D,3,0)</f>
        <v>10282.946386965707</v>
      </c>
      <c r="F272" s="14">
        <f t="shared" si="23"/>
        <v>0</v>
      </c>
    </row>
    <row r="273" spans="2:15" outlineLevel="1">
      <c r="B273" s="498" t="s">
        <v>1592</v>
      </c>
      <c r="C273" s="442"/>
      <c r="D273" s="274"/>
      <c r="E273" s="396"/>
      <c r="F273" s="396"/>
      <c r="G273" s="499">
        <f>+SUM(F274:F283)</f>
        <v>194237.57292494693</v>
      </c>
    </row>
    <row r="274" spans="2:15" outlineLevel="1">
      <c r="B274" s="184" t="s">
        <v>847</v>
      </c>
      <c r="C274" s="404" t="s">
        <v>72</v>
      </c>
      <c r="D274" s="273">
        <v>5</v>
      </c>
      <c r="E274" s="184">
        <f>VLOOKUP(B274,Cotizaciones!B:D,3,0)</f>
        <v>18915.208085774964</v>
      </c>
      <c r="F274" s="184">
        <f t="shared" ref="F274:F283" si="24">+D274*E274</f>
        <v>94576.040428874825</v>
      </c>
      <c r="G274" s="1" t="s">
        <v>2447</v>
      </c>
    </row>
    <row r="275" spans="2:15" outlineLevel="1">
      <c r="B275" s="13" t="s">
        <v>847</v>
      </c>
      <c r="C275" s="405" t="s">
        <v>72</v>
      </c>
      <c r="D275" s="253">
        <v>0</v>
      </c>
      <c r="E275" s="13">
        <f>VLOOKUP(B275,Cotizaciones!B:D,3,0)</f>
        <v>18915.208085774964</v>
      </c>
      <c r="F275" s="13">
        <f t="shared" si="24"/>
        <v>0</v>
      </c>
    </row>
    <row r="276" spans="2:15" outlineLevel="1">
      <c r="B276" s="13" t="s">
        <v>841</v>
      </c>
      <c r="C276" s="405" t="s">
        <v>72</v>
      </c>
      <c r="D276" s="253">
        <f>1*4</f>
        <v>4</v>
      </c>
      <c r="E276" s="13">
        <f>VLOOKUP(B276,Cotizaciones!B:D,3,0)</f>
        <v>13407.506643876219</v>
      </c>
      <c r="F276" s="13">
        <f t="shared" si="24"/>
        <v>53630.026575504875</v>
      </c>
      <c r="G276" s="1" t="s">
        <v>2448</v>
      </c>
    </row>
    <row r="277" spans="2:15" outlineLevel="1">
      <c r="B277" s="13" t="s">
        <v>849</v>
      </c>
      <c r="C277" s="405" t="s">
        <v>72</v>
      </c>
      <c r="D277" s="253">
        <v>10</v>
      </c>
      <c r="E277" s="13">
        <f>VLOOKUP(B277,Cotizaciones!B:D,3,0)</f>
        <v>1540.3686228468496</v>
      </c>
      <c r="F277" s="13">
        <f t="shared" si="24"/>
        <v>15403.686228468496</v>
      </c>
    </row>
    <row r="278" spans="2:15" outlineLevel="1">
      <c r="B278" s="13" t="s">
        <v>843</v>
      </c>
      <c r="C278" s="405" t="s">
        <v>72</v>
      </c>
      <c r="D278" s="253">
        <v>5</v>
      </c>
      <c r="E278" s="13">
        <f>VLOOKUP(B278,Cotizaciones!B:D,3,0)</f>
        <v>693.78723527685224</v>
      </c>
      <c r="F278" s="13">
        <f t="shared" si="24"/>
        <v>3468.9361763842612</v>
      </c>
    </row>
    <row r="279" spans="2:15" outlineLevel="1">
      <c r="B279" s="13" t="s">
        <v>867</v>
      </c>
      <c r="C279" s="405" t="s">
        <v>72</v>
      </c>
      <c r="D279" s="253">
        <f>4*2</f>
        <v>8</v>
      </c>
      <c r="E279" s="13">
        <f>VLOOKUP(B279,Cotizaciones!B:D,3,0)</f>
        <v>386.71413433703395</v>
      </c>
      <c r="F279" s="13">
        <f t="shared" si="24"/>
        <v>3093.7130746962716</v>
      </c>
    </row>
    <row r="280" spans="2:15" outlineLevel="1">
      <c r="B280" s="13" t="s">
        <v>864</v>
      </c>
      <c r="C280" s="405" t="s">
        <v>72</v>
      </c>
      <c r="D280" s="253">
        <f>4*2</f>
        <v>8</v>
      </c>
      <c r="E280" s="13">
        <f>VLOOKUP(B280,Cotizaciones!B:D,3,0)</f>
        <v>292.42956588799302</v>
      </c>
      <c r="F280" s="13">
        <f t="shared" si="24"/>
        <v>2339.4365271039442</v>
      </c>
    </row>
    <row r="281" spans="2:15" outlineLevel="1">
      <c r="B281" s="13" t="s">
        <v>850</v>
      </c>
      <c r="C281" s="405" t="s">
        <v>72</v>
      </c>
      <c r="D281" s="1229">
        <v>4</v>
      </c>
      <c r="E281" s="13">
        <f>VLOOKUP(B281,Cotizaciones!B:D,3,0)</f>
        <v>2184.8025184596881</v>
      </c>
      <c r="F281" s="13">
        <f t="shared" si="24"/>
        <v>8739.2100738387526</v>
      </c>
    </row>
    <row r="282" spans="2:15" outlineLevel="1">
      <c r="B282" s="13" t="s">
        <v>848</v>
      </c>
      <c r="C282" s="405" t="s">
        <v>72</v>
      </c>
      <c r="D282" s="253">
        <f>+D274*2</f>
        <v>10</v>
      </c>
      <c r="E282" s="13">
        <f>VLOOKUP(B282,Cotizaciones!B:D,3,0)</f>
        <v>1245.0555394027292</v>
      </c>
      <c r="F282" s="13">
        <f t="shared" si="24"/>
        <v>12450.555394027291</v>
      </c>
    </row>
    <row r="283" spans="2:15" outlineLevel="1">
      <c r="B283" s="14" t="s">
        <v>842</v>
      </c>
      <c r="C283" s="406" t="s">
        <v>72</v>
      </c>
      <c r="D283" s="398">
        <v>1</v>
      </c>
      <c r="E283" s="14">
        <f>VLOOKUP(B283,Cotizaciones!B:D,3,0)</f>
        <v>535.96844604821683</v>
      </c>
      <c r="F283" s="14">
        <f t="shared" si="24"/>
        <v>535.96844604821683</v>
      </c>
      <c r="I283" s="360"/>
      <c r="J283" s="132"/>
      <c r="K283" s="103"/>
      <c r="L283" s="103"/>
      <c r="M283" s="103"/>
      <c r="N283" s="103"/>
      <c r="O283" s="518"/>
    </row>
    <row r="284" spans="2:15" outlineLevel="1">
      <c r="B284" s="498" t="s">
        <v>2446</v>
      </c>
      <c r="C284" s="442"/>
      <c r="D284" s="274"/>
      <c r="E284" s="396"/>
      <c r="F284" s="396"/>
      <c r="G284" s="499">
        <f>+SUM(F285:F288)</f>
        <v>76523.907881466643</v>
      </c>
    </row>
    <row r="285" spans="2:15" outlineLevel="1">
      <c r="B285" s="184" t="s">
        <v>847</v>
      </c>
      <c r="C285" s="404" t="s">
        <v>72</v>
      </c>
      <c r="D285" s="273">
        <v>2</v>
      </c>
      <c r="E285" s="184">
        <f>VLOOKUP(B285,Cotizaciones!B:D,3,0)</f>
        <v>18915.208085774964</v>
      </c>
      <c r="F285" s="184">
        <f t="shared" ref="F285:F288" si="25">+D285*E285</f>
        <v>37830.416171549929</v>
      </c>
    </row>
    <row r="286" spans="2:15" outlineLevel="1">
      <c r="B286" s="13" t="s">
        <v>849</v>
      </c>
      <c r="C286" s="405" t="s">
        <v>72</v>
      </c>
      <c r="D286" s="253">
        <f>+D285*2</f>
        <v>4</v>
      </c>
      <c r="E286" s="13">
        <f>VLOOKUP(B286,Cotizaciones!B:D,3,0)</f>
        <v>1540.3686228468496</v>
      </c>
      <c r="F286" s="13">
        <f t="shared" si="25"/>
        <v>6161.4744913873983</v>
      </c>
    </row>
    <row r="287" spans="2:15" outlineLevel="1">
      <c r="B287" s="13" t="s">
        <v>848</v>
      </c>
      <c r="C287" s="405" t="s">
        <v>72</v>
      </c>
      <c r="D287" s="253">
        <f>+D285*2</f>
        <v>4</v>
      </c>
      <c r="E287" s="13">
        <f>VLOOKUP(B287,Cotizaciones!B:D,3,0)</f>
        <v>1245.0555394027292</v>
      </c>
      <c r="F287" s="13">
        <f t="shared" si="25"/>
        <v>4980.2221576109168</v>
      </c>
    </row>
    <row r="288" spans="2:15" outlineLevel="1">
      <c r="B288" s="13" t="s">
        <v>851</v>
      </c>
      <c r="C288" s="406" t="s">
        <v>72</v>
      </c>
      <c r="D288" s="398">
        <v>1</v>
      </c>
      <c r="E288" s="14">
        <f>VLOOKUP(B288,Cotizaciones!B:D,3,0)</f>
        <v>27551.795060918412</v>
      </c>
      <c r="F288" s="14">
        <f t="shared" si="25"/>
        <v>27551.795060918412</v>
      </c>
      <c r="I288" s="360" t="s">
        <v>1594</v>
      </c>
      <c r="J288" s="132">
        <v>2</v>
      </c>
      <c r="K288" s="103">
        <v>1</v>
      </c>
      <c r="L288" s="103"/>
      <c r="M288" s="103">
        <v>1</v>
      </c>
      <c r="N288" s="103">
        <v>1</v>
      </c>
      <c r="O288" s="518">
        <f>(+K288*$K$3+L288*$L$3+M288*$M$3+N288*$N$3)*J288</f>
        <v>467099.55021879321</v>
      </c>
    </row>
    <row r="289" spans="2:20" outlineLevel="1">
      <c r="B289" s="498" t="s">
        <v>1573</v>
      </c>
      <c r="C289" s="442"/>
      <c r="D289" s="274"/>
      <c r="E289" s="396"/>
      <c r="F289" s="396"/>
      <c r="G289" s="499">
        <f>+SUM(F290)</f>
        <v>105700.46523808768</v>
      </c>
      <c r="I289" s="360" t="s">
        <v>1596</v>
      </c>
      <c r="J289" s="132">
        <v>2</v>
      </c>
      <c r="K289" s="132">
        <v>1</v>
      </c>
      <c r="L289" s="132"/>
      <c r="M289" s="132">
        <v>1</v>
      </c>
      <c r="O289" s="518">
        <f>(+K289*$K$3+L289*$L$3+M289*$M$3+N289*$N$3)*J289</f>
        <v>332618.55249825795</v>
      </c>
      <c r="R289" s="409"/>
      <c r="S289" s="409"/>
    </row>
    <row r="290" spans="2:20" outlineLevel="1">
      <c r="B290" s="918" t="s">
        <v>1569</v>
      </c>
      <c r="C290" s="521" t="s">
        <v>54</v>
      </c>
      <c r="D290" s="918">
        <v>0.21</v>
      </c>
      <c r="E290" s="918">
        <f>+SUM(F258:F288)</f>
        <v>503335.54875279847</v>
      </c>
      <c r="F290" s="918">
        <f t="shared" ref="F290" si="26">+D290*E290</f>
        <v>105700.46523808768</v>
      </c>
      <c r="I290" s="360" t="s">
        <v>1595</v>
      </c>
      <c r="J290" s="128">
        <v>0</v>
      </c>
      <c r="K290" s="132">
        <v>1</v>
      </c>
      <c r="L290" s="132"/>
      <c r="M290" s="132">
        <v>1</v>
      </c>
      <c r="O290" s="518">
        <f>(+K290*$K$3+L290*$L$3+M290*$M$3+N290*$N$3)*J290</f>
        <v>0</v>
      </c>
      <c r="R290" s="105"/>
      <c r="S290" s="105"/>
      <c r="T290" s="105"/>
    </row>
    <row r="291" spans="2:20" outlineLevel="1">
      <c r="B291" s="498"/>
      <c r="C291" s="442"/>
      <c r="D291" s="274"/>
      <c r="E291" s="396"/>
      <c r="F291" s="397">
        <f>+SUM(F257:F290)</f>
        <v>609036.01399088616</v>
      </c>
      <c r="G291" s="911">
        <f>+SUM(G257:G290)</f>
        <v>609036.01399088616</v>
      </c>
      <c r="I291" s="360"/>
      <c r="J291" s="132"/>
      <c r="K291" s="840"/>
      <c r="L291" s="840"/>
      <c r="M291" s="840"/>
      <c r="N291" s="840"/>
      <c r="O291" s="3">
        <f>+SUM(O283:O290)</f>
        <v>799718.10271705117</v>
      </c>
      <c r="P291" s="411">
        <f>+O291*$O$3</f>
        <v>1199577.1540755767</v>
      </c>
      <c r="Q291" s="1" t="s">
        <v>529</v>
      </c>
    </row>
    <row r="292" spans="2:20">
      <c r="B292" s="3"/>
      <c r="F292" s="3"/>
      <c r="G292" s="357"/>
      <c r="I292" s="360"/>
      <c r="J292" s="132"/>
      <c r="K292" s="840"/>
      <c r="L292" s="840"/>
      <c r="M292" s="840"/>
      <c r="N292" s="840"/>
      <c r="O292" s="3"/>
      <c r="P292" s="357"/>
    </row>
    <row r="293" spans="2:20">
      <c r="B293" s="358"/>
      <c r="C293" s="104"/>
      <c r="D293" s="559"/>
      <c r="E293" s="358"/>
      <c r="F293" s="358"/>
      <c r="G293" s="357"/>
      <c r="H293" s="358"/>
      <c r="I293" s="358"/>
      <c r="J293" s="358"/>
      <c r="K293" s="358"/>
      <c r="L293" s="358"/>
      <c r="M293" s="358"/>
      <c r="N293" s="358"/>
      <c r="O293" s="358"/>
      <c r="P293" s="357"/>
      <c r="Q293" s="358"/>
      <c r="R293" s="105" t="s">
        <v>291</v>
      </c>
      <c r="S293" s="105" t="s">
        <v>1041</v>
      </c>
      <c r="T293" s="105" t="s">
        <v>188</v>
      </c>
    </row>
    <row r="294" spans="2:20">
      <c r="B294" s="3" t="s">
        <v>2445</v>
      </c>
      <c r="F294" s="444" t="s">
        <v>46</v>
      </c>
      <c r="G294" s="1177">
        <f>+G291</f>
        <v>609036.01399088616</v>
      </c>
      <c r="P294" s="1177">
        <f>+P291</f>
        <v>1199577.1540755767</v>
      </c>
      <c r="R294" s="811">
        <f>+G294</f>
        <v>609036.01399088616</v>
      </c>
      <c r="S294" s="811">
        <f>+P294</f>
        <v>1199577.1540755767</v>
      </c>
      <c r="T294" s="811">
        <f>+R294+S294</f>
        <v>1808613.168066463</v>
      </c>
    </row>
    <row r="295" spans="2:20">
      <c r="R295" s="409">
        <f>+R294/T294</f>
        <v>0.33674199919819742</v>
      </c>
      <c r="S295" s="409">
        <f>+S294/T294</f>
        <v>0.66325800080180253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A25B-37E3-4C91-A4E6-7E7C9096BC8D}">
  <sheetPr>
    <tabColor rgb="FF92D050"/>
  </sheetPr>
  <dimension ref="A1:T168"/>
  <sheetViews>
    <sheetView topLeftCell="A5" workbookViewId="0">
      <selection activeCell="D7" sqref="D7"/>
    </sheetView>
  </sheetViews>
  <sheetFormatPr defaultColWidth="11.54296875" defaultRowHeight="13" outlineLevelRow="1"/>
  <cols>
    <col min="1" max="1" width="4" style="16" customWidth="1"/>
    <col min="2" max="2" width="46.26953125" style="16" bestFit="1" customWidth="1"/>
    <col min="3" max="3" width="40.453125" style="16" bestFit="1" customWidth="1"/>
    <col min="4" max="4" width="5.7265625" style="454" customWidth="1"/>
    <col min="5" max="5" width="9.7265625" style="467" customWidth="1"/>
    <col min="6" max="6" width="12.453125" style="16" bestFit="1" customWidth="1"/>
    <col min="7" max="7" width="12.453125" style="16" customWidth="1"/>
    <col min="8" max="8" width="12.7265625" style="16" bestFit="1" customWidth="1"/>
    <col min="9" max="9" width="16.54296875" style="16" customWidth="1"/>
    <col min="10" max="10" width="14.26953125" style="16" bestFit="1" customWidth="1"/>
    <col min="11" max="11" width="10.54296875" style="16" bestFit="1" customWidth="1"/>
    <col min="12" max="12" width="7.453125" style="16" customWidth="1"/>
    <col min="13" max="13" width="8" style="16" bestFit="1" customWidth="1"/>
    <col min="14" max="14" width="7.54296875" style="16" bestFit="1" customWidth="1"/>
    <col min="15" max="15" width="11.54296875" style="16"/>
    <col min="16" max="16" width="7" style="16" bestFit="1" customWidth="1"/>
    <col min="17" max="17" width="11" style="16" bestFit="1" customWidth="1"/>
    <col min="18" max="19" width="7.54296875" style="16" bestFit="1" customWidth="1"/>
    <col min="20" max="20" width="6.81640625" style="16" bestFit="1" customWidth="1"/>
    <col min="21" max="16384" width="11.54296875" style="16"/>
  </cols>
  <sheetData>
    <row r="1" spans="1:13">
      <c r="A1" s="578"/>
      <c r="B1" s="578"/>
      <c r="C1" s="578"/>
      <c r="D1" s="534"/>
      <c r="E1" s="534"/>
      <c r="F1" s="1665"/>
      <c r="G1" s="358"/>
    </row>
    <row r="2" spans="1:13">
      <c r="A2" s="578"/>
      <c r="B2" s="578"/>
      <c r="C2" s="578"/>
      <c r="D2" s="534"/>
      <c r="E2" s="1666"/>
      <c r="F2" s="1665"/>
      <c r="G2" s="358"/>
    </row>
    <row r="3" spans="1:13">
      <c r="A3" s="578"/>
      <c r="B3" s="578"/>
      <c r="C3" s="578"/>
      <c r="D3" s="534"/>
      <c r="E3" s="1666"/>
      <c r="F3" s="358"/>
      <c r="G3" s="392"/>
    </row>
    <row r="4" spans="1:13">
      <c r="B4" s="446"/>
      <c r="C4" s="447" t="s">
        <v>549</v>
      </c>
      <c r="D4" s="447" t="s">
        <v>550</v>
      </c>
      <c r="E4" s="447" t="s">
        <v>43</v>
      </c>
      <c r="F4" s="447" t="s">
        <v>526</v>
      </c>
      <c r="G4" s="447" t="s">
        <v>17</v>
      </c>
    </row>
    <row r="5" spans="1:13">
      <c r="B5" s="473" t="s">
        <v>551</v>
      </c>
      <c r="C5" s="474"/>
      <c r="D5" s="474"/>
      <c r="E5" s="474"/>
      <c r="F5" s="475"/>
      <c r="G5" s="475"/>
      <c r="H5" s="476">
        <f>+SUM(G6:G34)</f>
        <v>1409151.0752583144</v>
      </c>
      <c r="J5" s="792" t="s">
        <v>1649</v>
      </c>
      <c r="K5" s="792" t="s">
        <v>587</v>
      </c>
      <c r="L5" s="792" t="s">
        <v>586</v>
      </c>
    </row>
    <row r="6" spans="1:13" outlineLevel="1">
      <c r="B6" s="448" t="s">
        <v>552</v>
      </c>
      <c r="C6" s="449"/>
      <c r="D6" s="450"/>
      <c r="E6" s="450"/>
      <c r="F6" s="449"/>
      <c r="G6" s="449"/>
      <c r="J6" s="16" t="s">
        <v>1870</v>
      </c>
      <c r="K6" s="16">
        <v>1</v>
      </c>
    </row>
    <row r="7" spans="1:13" outlineLevel="1">
      <c r="B7" s="727" t="s">
        <v>553</v>
      </c>
      <c r="C7" s="455" t="s">
        <v>554</v>
      </c>
      <c r="D7" s="456" t="s">
        <v>72</v>
      </c>
      <c r="E7" s="468">
        <v>2</v>
      </c>
      <c r="F7" s="452">
        <f>VLOOKUP(B7,Cotizaciones!B:D,3,0)</f>
        <v>20196.092406751959</v>
      </c>
      <c r="G7" s="452">
        <f>+E7*F7</f>
        <v>40392.184813503918</v>
      </c>
      <c r="J7" s="16" t="s">
        <v>1871</v>
      </c>
      <c r="K7" s="16">
        <v>1</v>
      </c>
    </row>
    <row r="8" spans="1:13" outlineLevel="1">
      <c r="B8" s="727" t="s">
        <v>553</v>
      </c>
      <c r="C8" s="455" t="s">
        <v>555</v>
      </c>
      <c r="D8" s="456" t="s">
        <v>72</v>
      </c>
      <c r="E8" s="468">
        <f>+E13/4</f>
        <v>1</v>
      </c>
      <c r="F8" s="452">
        <f>VLOOKUP(B8,Cotizaciones!B:D,3,0)</f>
        <v>20196.092406751959</v>
      </c>
      <c r="G8" s="452">
        <f t="shared" ref="G8:G69" si="0">+E8*F8</f>
        <v>20196.092406751959</v>
      </c>
      <c r="J8" s="16" t="s">
        <v>1872</v>
      </c>
      <c r="K8" s="16">
        <v>1</v>
      </c>
    </row>
    <row r="9" spans="1:13" outlineLevel="1">
      <c r="B9" s="455" t="s">
        <v>556</v>
      </c>
      <c r="C9" s="455" t="s">
        <v>557</v>
      </c>
      <c r="D9" s="456" t="s">
        <v>72</v>
      </c>
      <c r="E9" s="468">
        <f>+E20</f>
        <v>2</v>
      </c>
      <c r="F9" s="452">
        <f>VLOOKUP(B9,Cotizaciones!B:D,3,0)</f>
        <v>38605.985559603359</v>
      </c>
      <c r="G9" s="452">
        <f t="shared" si="0"/>
        <v>77211.971119206719</v>
      </c>
      <c r="J9" s="16" t="s">
        <v>1873</v>
      </c>
      <c r="K9" s="16">
        <v>1</v>
      </c>
    </row>
    <row r="10" spans="1:13" outlineLevel="1">
      <c r="B10" s="455" t="s">
        <v>558</v>
      </c>
      <c r="C10" s="455" t="s">
        <v>559</v>
      </c>
      <c r="D10" s="456" t="s">
        <v>72</v>
      </c>
      <c r="E10" s="468">
        <f>+E21</f>
        <v>1</v>
      </c>
      <c r="F10" s="452">
        <f>VLOOKUP(B10,Cotizaciones!B:D,3,0)</f>
        <v>46757.409946534535</v>
      </c>
      <c r="G10" s="452">
        <f t="shared" si="0"/>
        <v>46757.409946534535</v>
      </c>
      <c r="J10" s="16" t="s">
        <v>1874</v>
      </c>
      <c r="K10" s="16">
        <v>1</v>
      </c>
    </row>
    <row r="11" spans="1:13" outlineLevel="1">
      <c r="B11" s="451" t="s">
        <v>560</v>
      </c>
      <c r="C11" s="452"/>
      <c r="D11" s="430"/>
      <c r="E11" s="430"/>
      <c r="F11" s="452"/>
      <c r="G11" s="452">
        <f t="shared" si="0"/>
        <v>0</v>
      </c>
      <c r="J11" s="16" t="s">
        <v>1875</v>
      </c>
      <c r="L11" s="16">
        <v>1</v>
      </c>
    </row>
    <row r="12" spans="1:13" outlineLevel="1">
      <c r="B12" s="728" t="s">
        <v>561</v>
      </c>
      <c r="C12" s="455" t="s">
        <v>1657</v>
      </c>
      <c r="D12" s="456" t="s">
        <v>72</v>
      </c>
      <c r="E12" s="468">
        <f>+K15</f>
        <v>5</v>
      </c>
      <c r="F12" s="452">
        <f>VLOOKUP(B12,Cotizaciones!B:D,3,0)</f>
        <v>5688.7390030905226</v>
      </c>
      <c r="G12" s="452">
        <f t="shared" si="0"/>
        <v>28443.695015452613</v>
      </c>
      <c r="J12" s="16" t="s">
        <v>1876</v>
      </c>
      <c r="L12" s="16">
        <v>1</v>
      </c>
    </row>
    <row r="13" spans="1:13" outlineLevel="1">
      <c r="B13" s="728" t="s">
        <v>562</v>
      </c>
      <c r="C13" s="455" t="s">
        <v>1630</v>
      </c>
      <c r="D13" s="456" t="s">
        <v>72</v>
      </c>
      <c r="E13" s="468">
        <f>+L15</f>
        <v>4</v>
      </c>
      <c r="F13" s="452">
        <f>VLOOKUP(B13,Cotizaciones!B:D,3,0)</f>
        <v>5688.7390030905226</v>
      </c>
      <c r="G13" s="452">
        <f t="shared" si="0"/>
        <v>22754.95601236209</v>
      </c>
      <c r="J13" s="16" t="s">
        <v>1877</v>
      </c>
      <c r="L13" s="16">
        <v>1</v>
      </c>
    </row>
    <row r="14" spans="1:13" outlineLevel="1">
      <c r="B14" s="462" t="s">
        <v>562</v>
      </c>
      <c r="C14" s="455" t="s">
        <v>1633</v>
      </c>
      <c r="D14" s="456" t="s">
        <v>72</v>
      </c>
      <c r="E14" s="468">
        <v>1</v>
      </c>
      <c r="F14" s="452">
        <f>VLOOKUP(B14,Cotizaciones!B:D,3,0)</f>
        <v>5688.7390030905226</v>
      </c>
      <c r="G14" s="452">
        <f t="shared" si="0"/>
        <v>5688.7390030905226</v>
      </c>
      <c r="J14" s="16" t="s">
        <v>1878</v>
      </c>
      <c r="L14" s="16">
        <v>1</v>
      </c>
    </row>
    <row r="15" spans="1:13" outlineLevel="1">
      <c r="B15" s="462" t="s">
        <v>562</v>
      </c>
      <c r="C15" s="455" t="s">
        <v>1634</v>
      </c>
      <c r="D15" s="456" t="s">
        <v>72</v>
      </c>
      <c r="E15" s="468">
        <v>1</v>
      </c>
      <c r="F15" s="452">
        <f>VLOOKUP(B15,Cotizaciones!B:D,3,0)</f>
        <v>5688.7390030905226</v>
      </c>
      <c r="G15" s="452">
        <f t="shared" si="0"/>
        <v>5688.7390030905226</v>
      </c>
      <c r="K15" s="98">
        <f>+SUM(K6:K14)</f>
        <v>5</v>
      </c>
      <c r="L15" s="98">
        <f t="shared" ref="L15" si="1">+SUM(L6:L14)</f>
        <v>4</v>
      </c>
      <c r="M15" s="98"/>
    </row>
    <row r="16" spans="1:13" outlineLevel="1">
      <c r="B16" s="462" t="s">
        <v>562</v>
      </c>
      <c r="C16" s="455" t="s">
        <v>1635</v>
      </c>
      <c r="D16" s="456" t="s">
        <v>72</v>
      </c>
      <c r="E16" s="468">
        <v>1</v>
      </c>
      <c r="F16" s="452">
        <f>VLOOKUP(B16,Cotizaciones!B:D,3,0)</f>
        <v>5688.7390030905226</v>
      </c>
      <c r="G16" s="452">
        <f t="shared" si="0"/>
        <v>5688.7390030905226</v>
      </c>
    </row>
    <row r="17" spans="2:7" outlineLevel="1">
      <c r="B17" s="462" t="s">
        <v>562</v>
      </c>
      <c r="C17" s="455" t="s">
        <v>1636</v>
      </c>
      <c r="D17" s="456" t="s">
        <v>72</v>
      </c>
      <c r="E17" s="468">
        <v>1</v>
      </c>
      <c r="F17" s="452">
        <f>VLOOKUP(B17,Cotizaciones!B:D,3,0)</f>
        <v>5688.7390030905226</v>
      </c>
      <c r="G17" s="452">
        <f t="shared" si="0"/>
        <v>5688.7390030905226</v>
      </c>
    </row>
    <row r="18" spans="2:7" outlineLevel="1">
      <c r="B18" s="455" t="s">
        <v>563</v>
      </c>
      <c r="C18" s="455" t="s">
        <v>1641</v>
      </c>
      <c r="D18" s="456" t="s">
        <v>72</v>
      </c>
      <c r="E18" s="468">
        <v>1</v>
      </c>
      <c r="F18" s="452">
        <f>VLOOKUP(B18,Cotizaciones!B:D,3,0)</f>
        <v>12011.346177017329</v>
      </c>
      <c r="G18" s="452">
        <f t="shared" si="0"/>
        <v>12011.346177017329</v>
      </c>
    </row>
    <row r="19" spans="2:7" outlineLevel="1">
      <c r="B19" s="462" t="s">
        <v>562</v>
      </c>
      <c r="C19" s="455" t="s">
        <v>1637</v>
      </c>
      <c r="D19" s="456" t="s">
        <v>72</v>
      </c>
      <c r="E19" s="468">
        <v>1</v>
      </c>
      <c r="F19" s="452">
        <f>VLOOKUP(B19,Cotizaciones!B:D,3,0)</f>
        <v>5688.7390030905226</v>
      </c>
      <c r="G19" s="452">
        <f t="shared" si="0"/>
        <v>5688.7390030905226</v>
      </c>
    </row>
    <row r="20" spans="2:7" outlineLevel="1">
      <c r="B20" s="455" t="s">
        <v>563</v>
      </c>
      <c r="C20" s="455" t="s">
        <v>564</v>
      </c>
      <c r="D20" s="456" t="s">
        <v>72</v>
      </c>
      <c r="E20" s="468">
        <v>2</v>
      </c>
      <c r="F20" s="452">
        <f>VLOOKUP(B20,Cotizaciones!B:D,3,0)</f>
        <v>12011.346177017329</v>
      </c>
      <c r="G20" s="452">
        <f t="shared" si="0"/>
        <v>24022.692354034658</v>
      </c>
    </row>
    <row r="21" spans="2:7" outlineLevel="1">
      <c r="B21" s="455" t="s">
        <v>565</v>
      </c>
      <c r="C21" s="455" t="s">
        <v>566</v>
      </c>
      <c r="D21" s="456" t="s">
        <v>72</v>
      </c>
      <c r="E21" s="468">
        <v>1</v>
      </c>
      <c r="F21" s="452">
        <f>VLOOKUP(B21,Cotizaciones!B:D,3,0)</f>
        <v>12869.106574814252</v>
      </c>
      <c r="G21" s="452">
        <f t="shared" si="0"/>
        <v>12869.106574814252</v>
      </c>
    </row>
    <row r="22" spans="2:7" outlineLevel="1">
      <c r="B22" s="728" t="s">
        <v>567</v>
      </c>
      <c r="C22" s="455"/>
      <c r="D22" s="456" t="s">
        <v>72</v>
      </c>
      <c r="E22" s="468">
        <v>1</v>
      </c>
      <c r="F22" s="452">
        <f>VLOOKUP(B22,Cotizaciones!B:D,3,0)</f>
        <v>287817.56246666325</v>
      </c>
      <c r="G22" s="452">
        <f t="shared" si="0"/>
        <v>287817.56246666325</v>
      </c>
    </row>
    <row r="23" spans="2:7" outlineLevel="1">
      <c r="B23" s="455" t="s">
        <v>568</v>
      </c>
      <c r="C23" s="455"/>
      <c r="D23" s="456" t="s">
        <v>72</v>
      </c>
      <c r="E23" s="468">
        <v>1</v>
      </c>
      <c r="F23" s="452">
        <f>VLOOKUP(B23,Cotizaciones!B:D,3,0)</f>
        <v>103423.56532076406</v>
      </c>
      <c r="G23" s="452">
        <f t="shared" si="0"/>
        <v>103423.56532076406</v>
      </c>
    </row>
    <row r="24" spans="2:7" outlineLevel="1">
      <c r="B24" s="455" t="s">
        <v>569</v>
      </c>
      <c r="C24" s="455"/>
      <c r="D24" s="456" t="s">
        <v>72</v>
      </c>
      <c r="E24" s="468">
        <v>4</v>
      </c>
      <c r="F24" s="452">
        <f>VLOOKUP(B24,Cotizaciones!B:D,3,0)</f>
        <v>5486.8604959800186</v>
      </c>
      <c r="G24" s="452">
        <f t="shared" si="0"/>
        <v>21947.441983920075</v>
      </c>
    </row>
    <row r="25" spans="2:7" outlineLevel="1">
      <c r="B25" s="728" t="s">
        <v>570</v>
      </c>
      <c r="C25" s="455"/>
      <c r="D25" s="456" t="s">
        <v>72</v>
      </c>
      <c r="E25" s="468">
        <v>4</v>
      </c>
      <c r="F25" s="452">
        <f>VLOOKUP(B25,Cotizaciones!B:D,3,0)</f>
        <v>15819.526042001187</v>
      </c>
      <c r="G25" s="452">
        <f t="shared" si="0"/>
        <v>63278.104168004749</v>
      </c>
    </row>
    <row r="26" spans="2:7" outlineLevel="1">
      <c r="B26" s="455" t="s">
        <v>571</v>
      </c>
      <c r="C26" s="455"/>
      <c r="D26" s="456" t="s">
        <v>72</v>
      </c>
      <c r="E26" s="468">
        <v>12</v>
      </c>
      <c r="F26" s="452">
        <f>VLOOKUP(B26,Cotizaciones!B:D,3,0)</f>
        <v>10003.040755537908</v>
      </c>
      <c r="G26" s="452">
        <f t="shared" si="0"/>
        <v>120036.4890664549</v>
      </c>
    </row>
    <row r="27" spans="2:7" outlineLevel="1">
      <c r="B27" s="455" t="s">
        <v>572</v>
      </c>
      <c r="C27" s="455" t="s">
        <v>573</v>
      </c>
      <c r="D27" s="456" t="s">
        <v>72</v>
      </c>
      <c r="E27" s="468">
        <v>1</v>
      </c>
      <c r="F27" s="452">
        <f>VLOOKUP(B27,Cotizaciones!B:D,3,0)</f>
        <v>130403.91821405757</v>
      </c>
      <c r="G27" s="452">
        <f t="shared" si="0"/>
        <v>130403.91821405757</v>
      </c>
    </row>
    <row r="28" spans="2:7" outlineLevel="1">
      <c r="B28" s="728" t="s">
        <v>574</v>
      </c>
      <c r="C28" s="455" t="s">
        <v>575</v>
      </c>
      <c r="D28" s="456" t="s">
        <v>72</v>
      </c>
      <c r="E28" s="468">
        <v>1</v>
      </c>
      <c r="F28" s="452">
        <f>VLOOKUP(B28,Cotizaciones!B:D,3,0)</f>
        <v>122237.77497631751</v>
      </c>
      <c r="G28" s="452">
        <f t="shared" si="0"/>
        <v>122237.77497631751</v>
      </c>
    </row>
    <row r="29" spans="2:7" outlineLevel="1">
      <c r="B29" s="455" t="s">
        <v>576</v>
      </c>
      <c r="C29" s="455" t="s">
        <v>577</v>
      </c>
      <c r="D29" s="456" t="s">
        <v>72</v>
      </c>
      <c r="E29" s="468">
        <v>10</v>
      </c>
      <c r="F29" s="452">
        <f>VLOOKUP(B29,Cotizaciones!B:D,3,0)</f>
        <v>5542.2928931784045</v>
      </c>
      <c r="G29" s="452">
        <f t="shared" si="0"/>
        <v>55422.928931784045</v>
      </c>
    </row>
    <row r="30" spans="2:7" outlineLevel="1">
      <c r="B30" s="455" t="s">
        <v>578</v>
      </c>
      <c r="C30" s="455" t="s">
        <v>579</v>
      </c>
      <c r="D30" s="456" t="s">
        <v>72</v>
      </c>
      <c r="E30" s="468">
        <v>3</v>
      </c>
      <c r="F30" s="452">
        <f>VLOOKUP(B30,Cotizaciones!B:D,3,0)</f>
        <v>3933.8478069282378</v>
      </c>
      <c r="G30" s="452">
        <f t="shared" si="0"/>
        <v>11801.543420784714</v>
      </c>
    </row>
    <row r="31" spans="2:7" outlineLevel="1">
      <c r="B31" s="728" t="s">
        <v>580</v>
      </c>
      <c r="C31" s="455"/>
      <c r="D31" s="456" t="s">
        <v>72</v>
      </c>
      <c r="E31" s="468">
        <v>1</v>
      </c>
      <c r="F31" s="452"/>
      <c r="G31" s="452">
        <f t="shared" si="0"/>
        <v>0</v>
      </c>
    </row>
    <row r="32" spans="2:7" outlineLevel="1">
      <c r="B32" s="728" t="s">
        <v>647</v>
      </c>
      <c r="C32" s="455" t="s">
        <v>581</v>
      </c>
      <c r="D32" s="456" t="s">
        <v>72</v>
      </c>
      <c r="E32" s="468">
        <v>0.5</v>
      </c>
      <c r="F32" s="452">
        <f>VLOOKUP(B32,Cotizaciones!B:D,3,0)</f>
        <v>103147.90813826302</v>
      </c>
      <c r="G32" s="452">
        <f t="shared" si="0"/>
        <v>51573.954069131512</v>
      </c>
    </row>
    <row r="33" spans="2:8" outlineLevel="1">
      <c r="B33" s="455" t="s">
        <v>582</v>
      </c>
      <c r="C33" s="455"/>
      <c r="D33" s="456"/>
      <c r="E33" s="468"/>
      <c r="F33" s="452"/>
      <c r="G33" s="452">
        <f t="shared" si="0"/>
        <v>0</v>
      </c>
    </row>
    <row r="34" spans="2:8" outlineLevel="1">
      <c r="B34" s="460" t="s">
        <v>583</v>
      </c>
      <c r="C34" s="460"/>
      <c r="D34" s="461" t="s">
        <v>54</v>
      </c>
      <c r="E34" s="469">
        <v>0.1</v>
      </c>
      <c r="F34" s="453">
        <f>+SUM(G7:G33)</f>
        <v>1281046.432053013</v>
      </c>
      <c r="G34" s="452">
        <f t="shared" si="0"/>
        <v>128104.64320530131</v>
      </c>
    </row>
    <row r="35" spans="2:8">
      <c r="B35" s="473" t="s">
        <v>584</v>
      </c>
      <c r="C35" s="474"/>
      <c r="D35" s="474"/>
      <c r="E35" s="474"/>
      <c r="F35" s="475"/>
      <c r="G35" s="475"/>
      <c r="H35" s="476">
        <f>+SUM(G36:G44)</f>
        <v>610540.33970065822</v>
      </c>
    </row>
    <row r="36" spans="2:8" outlineLevel="1">
      <c r="B36" s="464" t="s">
        <v>553</v>
      </c>
      <c r="C36" s="457" t="s">
        <v>585</v>
      </c>
      <c r="D36" s="458" t="s">
        <v>72</v>
      </c>
      <c r="E36" s="470">
        <v>1</v>
      </c>
      <c r="F36" s="449">
        <f>VLOOKUP(B36,Cotizaciones!B:D,3,0)</f>
        <v>20196.092406751959</v>
      </c>
      <c r="G36" s="452">
        <f t="shared" si="0"/>
        <v>20196.092406751959</v>
      </c>
    </row>
    <row r="37" spans="2:8" outlineLevel="1">
      <c r="B37" s="463" t="s">
        <v>562</v>
      </c>
      <c r="C37" s="455" t="s">
        <v>586</v>
      </c>
      <c r="D37" s="456" t="s">
        <v>72</v>
      </c>
      <c r="E37" s="468">
        <v>2</v>
      </c>
      <c r="F37" s="452">
        <f>VLOOKUP(B37,Cotizaciones!B:D,3,0)</f>
        <v>5688.7390030905226</v>
      </c>
      <c r="G37" s="452">
        <f t="shared" si="0"/>
        <v>11377.478006181045</v>
      </c>
    </row>
    <row r="38" spans="2:8" outlineLevel="1">
      <c r="B38" s="463" t="s">
        <v>561</v>
      </c>
      <c r="C38" s="455" t="s">
        <v>587</v>
      </c>
      <c r="D38" s="456" t="s">
        <v>72</v>
      </c>
      <c r="E38" s="468">
        <v>1</v>
      </c>
      <c r="F38" s="452">
        <f>VLOOKUP(B38,Cotizaciones!B:D,3,0)</f>
        <v>5688.7390030905226</v>
      </c>
      <c r="G38" s="452">
        <f t="shared" si="0"/>
        <v>5688.7390030905226</v>
      </c>
    </row>
    <row r="39" spans="2:8" outlineLevel="1">
      <c r="B39" s="463" t="s">
        <v>588</v>
      </c>
      <c r="C39" s="455" t="s">
        <v>589</v>
      </c>
      <c r="D39" s="456" t="s">
        <v>72</v>
      </c>
      <c r="E39" s="468">
        <v>2</v>
      </c>
      <c r="F39" s="452">
        <f>VLOOKUP(B39,Cotizaciones!B:D,3,0)</f>
        <v>92416.985139936805</v>
      </c>
      <c r="G39" s="452">
        <f t="shared" si="0"/>
        <v>184833.97027987361</v>
      </c>
    </row>
    <row r="40" spans="2:8" outlineLevel="1">
      <c r="B40" s="463" t="s">
        <v>590</v>
      </c>
      <c r="C40" s="455" t="s">
        <v>591</v>
      </c>
      <c r="D40" s="456" t="s">
        <v>72</v>
      </c>
      <c r="E40" s="468">
        <v>1</v>
      </c>
      <c r="F40" s="452">
        <f>VLOOKUP(B40,Cotizaciones!B:D,3,0)</f>
        <v>139000.40492826188</v>
      </c>
      <c r="G40" s="452">
        <f t="shared" si="0"/>
        <v>139000.40492826188</v>
      </c>
    </row>
    <row r="41" spans="2:8" outlineLevel="1">
      <c r="B41" s="463" t="s">
        <v>578</v>
      </c>
      <c r="C41" s="455"/>
      <c r="D41" s="456" t="s">
        <v>72</v>
      </c>
      <c r="E41" s="468">
        <v>1</v>
      </c>
      <c r="F41" s="452">
        <f>VLOOKUP(B41,Cotizaciones!B:D,3,0)</f>
        <v>3933.8478069282378</v>
      </c>
      <c r="G41" s="452">
        <f t="shared" si="0"/>
        <v>3933.8478069282378</v>
      </c>
    </row>
    <row r="42" spans="2:8" outlineLevel="1">
      <c r="B42" s="463" t="s">
        <v>592</v>
      </c>
      <c r="C42" s="455" t="s">
        <v>593</v>
      </c>
      <c r="D42" s="456" t="s">
        <v>72</v>
      </c>
      <c r="E42" s="468">
        <v>1</v>
      </c>
      <c r="F42" s="452">
        <f>VLOOKUP(B42,Cotizaciones!B:D,3,0)</f>
        <v>127056.05749684907</v>
      </c>
      <c r="G42" s="452">
        <f t="shared" si="0"/>
        <v>127056.05749684907</v>
      </c>
    </row>
    <row r="43" spans="2:8" outlineLevel="1">
      <c r="B43" s="463" t="s">
        <v>594</v>
      </c>
      <c r="C43" s="455" t="s">
        <v>595</v>
      </c>
      <c r="D43" s="456" t="s">
        <v>72</v>
      </c>
      <c r="E43" s="468">
        <v>1</v>
      </c>
      <c r="F43" s="452">
        <f>VLOOKUP(B43,Cotizaciones!B:D,3,0)</f>
        <v>62950.082527207538</v>
      </c>
      <c r="G43" s="452">
        <f t="shared" si="0"/>
        <v>62950.082527207538</v>
      </c>
    </row>
    <row r="44" spans="2:8" outlineLevel="1">
      <c r="B44" s="460" t="s">
        <v>583</v>
      </c>
      <c r="C44" s="460"/>
      <c r="D44" s="461" t="s">
        <v>54</v>
      </c>
      <c r="E44" s="469">
        <v>0.1</v>
      </c>
      <c r="F44" s="453">
        <f>+SUM(G36:G43)</f>
        <v>555036.67245514388</v>
      </c>
      <c r="G44" s="452">
        <f t="shared" si="0"/>
        <v>55503.667245514393</v>
      </c>
    </row>
    <row r="45" spans="2:8">
      <c r="B45" s="473" t="s">
        <v>596</v>
      </c>
      <c r="C45" s="474"/>
      <c r="D45" s="474"/>
      <c r="E45" s="474"/>
      <c r="F45" s="475"/>
      <c r="G45" s="475"/>
      <c r="H45" s="476">
        <f>+SUM(G46:G51)</f>
        <v>290879.99749432731</v>
      </c>
    </row>
    <row r="46" spans="2:8" outlineLevel="1">
      <c r="B46" s="457" t="s">
        <v>563</v>
      </c>
      <c r="C46" s="457" t="s">
        <v>597</v>
      </c>
      <c r="D46" s="458" t="s">
        <v>72</v>
      </c>
      <c r="E46" s="470">
        <v>2</v>
      </c>
      <c r="F46" s="449">
        <f>VLOOKUP(B46,Cotizaciones!B:D,3,0)</f>
        <v>12011.346177017329</v>
      </c>
      <c r="G46" s="452">
        <f t="shared" si="0"/>
        <v>24022.692354034658</v>
      </c>
    </row>
    <row r="47" spans="2:8" outlineLevel="1">
      <c r="B47" s="455" t="s">
        <v>556</v>
      </c>
      <c r="C47" s="455" t="s">
        <v>598</v>
      </c>
      <c r="D47" s="456" t="s">
        <v>72</v>
      </c>
      <c r="E47" s="468">
        <v>1</v>
      </c>
      <c r="F47" s="452">
        <f>VLOOKUP(B47,Cotizaciones!B:D,3,0)</f>
        <v>38605.985559603359</v>
      </c>
      <c r="G47" s="452">
        <f t="shared" si="0"/>
        <v>38605.985559603359</v>
      </c>
    </row>
    <row r="48" spans="2:8" outlineLevel="1">
      <c r="B48" s="463" t="s">
        <v>578</v>
      </c>
      <c r="C48" s="455"/>
      <c r="D48" s="456" t="s">
        <v>72</v>
      </c>
      <c r="E48" s="468">
        <v>3</v>
      </c>
      <c r="F48" s="452">
        <f>VLOOKUP(B48,Cotizaciones!B:D,3,0)</f>
        <v>3933.8478069282378</v>
      </c>
      <c r="G48" s="452">
        <f t="shared" si="0"/>
        <v>11801.543420784714</v>
      </c>
    </row>
    <row r="49" spans="2:12" outlineLevel="1">
      <c r="B49" s="455" t="s">
        <v>592</v>
      </c>
      <c r="C49" s="455" t="s">
        <v>593</v>
      </c>
      <c r="D49" s="456" t="s">
        <v>72</v>
      </c>
      <c r="E49" s="468">
        <v>1</v>
      </c>
      <c r="F49" s="452">
        <f>VLOOKUP(B49,Cotizaciones!B:D,3,0)</f>
        <v>127056.05749684907</v>
      </c>
      <c r="G49" s="452">
        <f t="shared" si="0"/>
        <v>127056.05749684907</v>
      </c>
    </row>
    <row r="50" spans="2:12" outlineLevel="1">
      <c r="B50" s="455" t="s">
        <v>594</v>
      </c>
      <c r="C50" s="455" t="s">
        <v>595</v>
      </c>
      <c r="D50" s="456" t="s">
        <v>72</v>
      </c>
      <c r="E50" s="468">
        <v>1</v>
      </c>
      <c r="F50" s="452">
        <f>VLOOKUP(B50,Cotizaciones!B:D,3,0)</f>
        <v>62950.082527207538</v>
      </c>
      <c r="G50" s="452">
        <f t="shared" si="0"/>
        <v>62950.082527207538</v>
      </c>
    </row>
    <row r="51" spans="2:12" outlineLevel="1">
      <c r="B51" s="459" t="s">
        <v>583</v>
      </c>
      <c r="C51" s="460"/>
      <c r="D51" s="461" t="s">
        <v>54</v>
      </c>
      <c r="E51" s="469">
        <v>0.1</v>
      </c>
      <c r="F51" s="453">
        <f>+SUM(G46:G50)</f>
        <v>264436.36135847936</v>
      </c>
      <c r="G51" s="452">
        <f t="shared" si="0"/>
        <v>26443.636135847937</v>
      </c>
    </row>
    <row r="52" spans="2:12">
      <c r="B52" s="473" t="s">
        <v>599</v>
      </c>
      <c r="C52" s="474"/>
      <c r="D52" s="474"/>
      <c r="E52" s="474"/>
      <c r="F52" s="475"/>
      <c r="G52" s="475"/>
      <c r="H52" s="476">
        <f>+SUM(G53:G61)</f>
        <v>502957.66935239022</v>
      </c>
    </row>
    <row r="53" spans="2:12" outlineLevel="1">
      <c r="B53" s="464" t="s">
        <v>562</v>
      </c>
      <c r="C53" s="457" t="s">
        <v>600</v>
      </c>
      <c r="D53" s="458" t="s">
        <v>72</v>
      </c>
      <c r="E53" s="470">
        <v>2</v>
      </c>
      <c r="F53" s="449">
        <f>VLOOKUP(B53,Cotizaciones!B:D,3,0)</f>
        <v>5688.7390030905226</v>
      </c>
      <c r="G53" s="452">
        <f t="shared" si="0"/>
        <v>11377.478006181045</v>
      </c>
    </row>
    <row r="54" spans="2:12" outlineLevel="1">
      <c r="B54" s="463" t="s">
        <v>561</v>
      </c>
      <c r="C54" s="455" t="s">
        <v>601</v>
      </c>
      <c r="D54" s="456" t="s">
        <v>72</v>
      </c>
      <c r="E54" s="468">
        <v>1</v>
      </c>
      <c r="F54" s="452">
        <f>VLOOKUP(B54,Cotizaciones!B:D,3,0)</f>
        <v>5688.7390030905226</v>
      </c>
      <c r="G54" s="452">
        <f t="shared" si="0"/>
        <v>5688.7390030905226</v>
      </c>
    </row>
    <row r="55" spans="2:12" outlineLevel="1">
      <c r="B55" s="463" t="s">
        <v>553</v>
      </c>
      <c r="C55" s="455" t="s">
        <v>602</v>
      </c>
      <c r="D55" s="456" t="s">
        <v>72</v>
      </c>
      <c r="E55" s="468">
        <v>1</v>
      </c>
      <c r="F55" s="452">
        <f>VLOOKUP(B55,Cotizaciones!B:D,3,0)</f>
        <v>20196.092406751959</v>
      </c>
      <c r="G55" s="452">
        <f t="shared" si="0"/>
        <v>20196.092406751959</v>
      </c>
    </row>
    <row r="56" spans="2:12" outlineLevel="1">
      <c r="B56" s="465" t="s">
        <v>578</v>
      </c>
      <c r="C56" s="455"/>
      <c r="D56" s="456" t="s">
        <v>72</v>
      </c>
      <c r="E56" s="468">
        <v>1</v>
      </c>
      <c r="F56" s="452">
        <f>VLOOKUP(B56,Cotizaciones!B:D,3,0)</f>
        <v>3933.8478069282378</v>
      </c>
      <c r="G56" s="452">
        <f t="shared" si="0"/>
        <v>3933.8478069282378</v>
      </c>
    </row>
    <row r="57" spans="2:12" outlineLevel="1">
      <c r="B57" s="463" t="s">
        <v>588</v>
      </c>
      <c r="C57" s="455" t="s">
        <v>589</v>
      </c>
      <c r="D57" s="456" t="s">
        <v>72</v>
      </c>
      <c r="E57" s="468">
        <v>2</v>
      </c>
      <c r="F57" s="452">
        <f>VLOOKUP(B57,Cotizaciones!B:D,3,0)</f>
        <v>92416.985139936805</v>
      </c>
      <c r="G57" s="452">
        <f t="shared" si="0"/>
        <v>184833.97027987361</v>
      </c>
    </row>
    <row r="58" spans="2:12" outlineLevel="1">
      <c r="B58" s="463" t="s">
        <v>590</v>
      </c>
      <c r="C58" s="455" t="s">
        <v>591</v>
      </c>
      <c r="D58" s="456" t="s">
        <v>72</v>
      </c>
      <c r="E58" s="468">
        <v>1</v>
      </c>
      <c r="F58" s="452">
        <f>VLOOKUP(B58,Cotizaciones!B:D,3,0)</f>
        <v>139000.40492826188</v>
      </c>
      <c r="G58" s="452">
        <f t="shared" si="0"/>
        <v>139000.40492826188</v>
      </c>
    </row>
    <row r="59" spans="2:12" outlineLevel="1">
      <c r="B59" s="463" t="s">
        <v>603</v>
      </c>
      <c r="C59" s="455" t="s">
        <v>604</v>
      </c>
      <c r="D59" s="456" t="s">
        <v>72</v>
      </c>
      <c r="E59" s="468">
        <v>1</v>
      </c>
      <c r="F59" s="452">
        <f>VLOOKUP(B59,Cotizaciones!B:D,3,0)</f>
        <v>55782.00218327895</v>
      </c>
      <c r="G59" s="452">
        <f t="shared" si="0"/>
        <v>55782.00218327895</v>
      </c>
    </row>
    <row r="60" spans="2:12" outlineLevel="1">
      <c r="B60" s="463" t="s">
        <v>605</v>
      </c>
      <c r="C60" s="455" t="s">
        <v>595</v>
      </c>
      <c r="D60" s="456" t="s">
        <v>72</v>
      </c>
      <c r="E60" s="468">
        <v>1</v>
      </c>
      <c r="F60" s="452">
        <f>VLOOKUP(B60,Cotizaciones!B:D,3,0)</f>
        <v>36421.71025144311</v>
      </c>
      <c r="G60" s="452">
        <f t="shared" si="0"/>
        <v>36421.71025144311</v>
      </c>
    </row>
    <row r="61" spans="2:12" outlineLevel="1">
      <c r="B61" s="459" t="s">
        <v>583</v>
      </c>
      <c r="C61" s="460"/>
      <c r="D61" s="461" t="s">
        <v>54</v>
      </c>
      <c r="E61" s="469">
        <v>0.1</v>
      </c>
      <c r="F61" s="453">
        <f>+SUM(G53:G60)</f>
        <v>457234.24486580928</v>
      </c>
      <c r="G61" s="452">
        <f t="shared" si="0"/>
        <v>45723.424486580931</v>
      </c>
    </row>
    <row r="62" spans="2:12">
      <c r="B62" s="473" t="s">
        <v>606</v>
      </c>
      <c r="C62" s="474"/>
      <c r="D62" s="474"/>
      <c r="E62" s="474"/>
      <c r="F62" s="475"/>
      <c r="G62" s="475"/>
      <c r="H62" s="476">
        <f>+SUM(G63:G69)</f>
        <v>136527.37438721894</v>
      </c>
      <c r="K62" s="16" t="s">
        <v>607</v>
      </c>
      <c r="L62" s="16" t="s">
        <v>46</v>
      </c>
    </row>
    <row r="63" spans="2:12" outlineLevel="1">
      <c r="B63" s="464" t="s">
        <v>561</v>
      </c>
      <c r="C63" s="457" t="s">
        <v>1880</v>
      </c>
      <c r="D63" s="458" t="s">
        <v>72</v>
      </c>
      <c r="E63" s="470">
        <v>1</v>
      </c>
      <c r="F63" s="449">
        <f>VLOOKUP(B63,Cotizaciones!B:D,3,0)</f>
        <v>5688.7390030905226</v>
      </c>
      <c r="G63" s="452">
        <f t="shared" si="0"/>
        <v>5688.7390030905226</v>
      </c>
      <c r="H63" s="723"/>
      <c r="K63" s="16">
        <v>2</v>
      </c>
      <c r="L63" s="16">
        <f t="shared" ref="L63:L67" si="2">+E63*K63</f>
        <v>2</v>
      </c>
    </row>
    <row r="64" spans="2:12" outlineLevel="1">
      <c r="B64" s="462" t="s">
        <v>562</v>
      </c>
      <c r="C64" s="455" t="s">
        <v>1879</v>
      </c>
      <c r="D64" s="456" t="s">
        <v>72</v>
      </c>
      <c r="E64" s="468">
        <v>1</v>
      </c>
      <c r="F64" s="452">
        <f>VLOOKUP(B64,Cotizaciones!B:D,3,0)</f>
        <v>5688.7390030905226</v>
      </c>
      <c r="G64" s="452">
        <f t="shared" si="0"/>
        <v>5688.7390030905226</v>
      </c>
      <c r="H64" s="578"/>
      <c r="K64" s="16">
        <v>2</v>
      </c>
      <c r="L64" s="16">
        <f t="shared" si="2"/>
        <v>2</v>
      </c>
    </row>
    <row r="65" spans="2:12" outlineLevel="1">
      <c r="B65" s="462" t="s">
        <v>562</v>
      </c>
      <c r="C65" s="455" t="s">
        <v>1881</v>
      </c>
      <c r="D65" s="456" t="s">
        <v>72</v>
      </c>
      <c r="E65" s="468">
        <v>4</v>
      </c>
      <c r="F65" s="452">
        <f>VLOOKUP(B65,Cotizaciones!B:D,3,0)</f>
        <v>5688.7390030905226</v>
      </c>
      <c r="G65" s="452">
        <f t="shared" si="0"/>
        <v>22754.95601236209</v>
      </c>
      <c r="H65" s="578"/>
      <c r="K65" s="16">
        <v>2</v>
      </c>
      <c r="L65" s="16">
        <f t="shared" si="2"/>
        <v>8</v>
      </c>
    </row>
    <row r="66" spans="2:12" outlineLevel="1">
      <c r="B66" s="462" t="s">
        <v>553</v>
      </c>
      <c r="C66" s="455" t="s">
        <v>1882</v>
      </c>
      <c r="D66" s="456" t="s">
        <v>72</v>
      </c>
      <c r="E66" s="468">
        <v>1</v>
      </c>
      <c r="F66" s="452">
        <f>VLOOKUP(B66,Cotizaciones!B:D,3,0)</f>
        <v>20196.092406751959</v>
      </c>
      <c r="G66" s="452">
        <f t="shared" si="0"/>
        <v>20196.092406751959</v>
      </c>
      <c r="H66" s="578"/>
      <c r="I66" s="16" t="s">
        <v>609</v>
      </c>
      <c r="K66" s="16">
        <v>2</v>
      </c>
      <c r="L66" s="16">
        <f t="shared" si="2"/>
        <v>2</v>
      </c>
    </row>
    <row r="67" spans="2:12" outlineLevel="1">
      <c r="B67" s="462" t="s">
        <v>553</v>
      </c>
      <c r="C67" s="455" t="s">
        <v>1883</v>
      </c>
      <c r="D67" s="456" t="s">
        <v>72</v>
      </c>
      <c r="E67" s="468">
        <v>2</v>
      </c>
      <c r="F67" s="452">
        <f>VLOOKUP(B67,Cotizaciones!B:D,3,0)</f>
        <v>20196.092406751959</v>
      </c>
      <c r="G67" s="452">
        <f t="shared" si="0"/>
        <v>40392.184813503918</v>
      </c>
      <c r="H67" s="578"/>
      <c r="K67" s="16">
        <v>2</v>
      </c>
      <c r="L67" s="16">
        <f t="shared" si="2"/>
        <v>4</v>
      </c>
    </row>
    <row r="68" spans="2:12" outlineLevel="1">
      <c r="B68" s="462" t="s">
        <v>616</v>
      </c>
      <c r="C68" s="455"/>
      <c r="D68" s="456" t="s">
        <v>72</v>
      </c>
      <c r="E68" s="468">
        <v>1</v>
      </c>
      <c r="F68" s="452">
        <f>VLOOKUP(B68,Cotizaciones!B:D,3,0)</f>
        <v>29395.083658672746</v>
      </c>
      <c r="G68" s="452">
        <f t="shared" si="0"/>
        <v>29395.083658672746</v>
      </c>
      <c r="H68" s="578"/>
      <c r="L68" s="98">
        <f>+SUM(L63:L67)</f>
        <v>18</v>
      </c>
    </row>
    <row r="69" spans="2:12" outlineLevel="1">
      <c r="B69" s="459" t="s">
        <v>583</v>
      </c>
      <c r="C69" s="460"/>
      <c r="D69" s="461" t="s">
        <v>54</v>
      </c>
      <c r="E69" s="469">
        <v>0.1</v>
      </c>
      <c r="F69" s="453">
        <f>+SUM(G63:G68)</f>
        <v>124115.79489747176</v>
      </c>
      <c r="G69" s="452">
        <f t="shared" si="0"/>
        <v>12411.579489747177</v>
      </c>
      <c r="H69" s="578"/>
    </row>
    <row r="70" spans="2:12">
      <c r="B70" s="473" t="s">
        <v>1658</v>
      </c>
      <c r="C70" s="474"/>
      <c r="D70" s="474"/>
      <c r="E70" s="474"/>
      <c r="F70" s="475"/>
      <c r="G70" s="475"/>
      <c r="H70" s="476">
        <f>+SUM(G71:G79)</f>
        <v>210979.27800770043</v>
      </c>
    </row>
    <row r="71" spans="2:12" outlineLevel="1">
      <c r="B71" s="464" t="s">
        <v>556</v>
      </c>
      <c r="C71" s="457" t="s">
        <v>611</v>
      </c>
      <c r="D71" s="458" t="s">
        <v>72</v>
      </c>
      <c r="E71" s="470">
        <v>1</v>
      </c>
      <c r="F71" s="449">
        <f>VLOOKUP(B71,Cotizaciones!B:D,3,0)</f>
        <v>38605.985559603359</v>
      </c>
      <c r="G71" s="452">
        <f t="shared" ref="G71:G132" si="3">+E71*F71</f>
        <v>38605.985559603359</v>
      </c>
      <c r="H71" s="723"/>
      <c r="K71" s="16">
        <v>4</v>
      </c>
      <c r="L71" s="16">
        <f t="shared" ref="L71:L77" si="4">+E71*K71</f>
        <v>4</v>
      </c>
    </row>
    <row r="72" spans="2:12" outlineLevel="1">
      <c r="B72" s="462" t="s">
        <v>612</v>
      </c>
      <c r="C72" s="455" t="s">
        <v>613</v>
      </c>
      <c r="D72" s="456" t="s">
        <v>72</v>
      </c>
      <c r="E72" s="468">
        <v>0</v>
      </c>
      <c r="F72" s="452">
        <f>VLOOKUP(B72,Cotizaciones!B:D,3,0)</f>
        <v>36890.464764009514</v>
      </c>
      <c r="G72" s="452">
        <f t="shared" si="3"/>
        <v>0</v>
      </c>
      <c r="H72" s="723"/>
      <c r="K72" s="16">
        <v>4</v>
      </c>
      <c r="L72" s="16">
        <f t="shared" si="4"/>
        <v>0</v>
      </c>
    </row>
    <row r="73" spans="2:12" outlineLevel="1">
      <c r="B73" s="462" t="s">
        <v>553</v>
      </c>
      <c r="C73" s="455" t="s">
        <v>610</v>
      </c>
      <c r="D73" s="456" t="s">
        <v>72</v>
      </c>
      <c r="E73" s="468">
        <v>3</v>
      </c>
      <c r="F73" s="452">
        <f>VLOOKUP(B73,Cotizaciones!B:D,3,0)</f>
        <v>20196.092406751959</v>
      </c>
      <c r="G73" s="452">
        <f t="shared" si="3"/>
        <v>60588.277220255877</v>
      </c>
      <c r="H73" s="723"/>
      <c r="K73" s="16">
        <v>2</v>
      </c>
      <c r="L73" s="16">
        <f t="shared" si="4"/>
        <v>6</v>
      </c>
    </row>
    <row r="74" spans="2:12" outlineLevel="1">
      <c r="B74" s="462" t="s">
        <v>614</v>
      </c>
      <c r="C74" s="455" t="s">
        <v>615</v>
      </c>
      <c r="D74" s="456" t="s">
        <v>72</v>
      </c>
      <c r="E74" s="468">
        <v>1</v>
      </c>
      <c r="F74" s="452">
        <f>VLOOKUP(B74,Cotizaciones!B:D,3,0)</f>
        <v>12011.346177017329</v>
      </c>
      <c r="G74" s="452">
        <f t="shared" si="3"/>
        <v>12011.346177017329</v>
      </c>
      <c r="H74" s="723"/>
      <c r="K74" s="16">
        <v>4</v>
      </c>
      <c r="L74" s="16">
        <f t="shared" si="4"/>
        <v>4</v>
      </c>
    </row>
    <row r="75" spans="2:12" outlineLevel="1">
      <c r="B75" s="462" t="s">
        <v>562</v>
      </c>
      <c r="C75" s="455" t="s">
        <v>586</v>
      </c>
      <c r="D75" s="456" t="s">
        <v>72</v>
      </c>
      <c r="E75" s="468">
        <v>2</v>
      </c>
      <c r="F75" s="452">
        <f>VLOOKUP(B75,Cotizaciones!B:D,3,0)</f>
        <v>5688.7390030905226</v>
      </c>
      <c r="G75" s="452">
        <f t="shared" si="3"/>
        <v>11377.478006181045</v>
      </c>
      <c r="H75" s="578"/>
      <c r="K75" s="16">
        <v>2</v>
      </c>
      <c r="L75" s="16">
        <f t="shared" si="4"/>
        <v>4</v>
      </c>
    </row>
    <row r="76" spans="2:12" outlineLevel="1">
      <c r="B76" s="462" t="s">
        <v>561</v>
      </c>
      <c r="C76" s="455" t="s">
        <v>587</v>
      </c>
      <c r="D76" s="456" t="s">
        <v>72</v>
      </c>
      <c r="E76" s="468">
        <v>2</v>
      </c>
      <c r="F76" s="452">
        <f>VLOOKUP(B76,Cotizaciones!B:D,3,0)</f>
        <v>5688.7390030905226</v>
      </c>
      <c r="G76" s="452">
        <f t="shared" si="3"/>
        <v>11377.478006181045</v>
      </c>
      <c r="H76" s="578"/>
      <c r="K76" s="16">
        <v>2</v>
      </c>
      <c r="L76" s="16">
        <f t="shared" si="4"/>
        <v>4</v>
      </c>
    </row>
    <row r="77" spans="2:12" outlineLevel="1">
      <c r="B77" s="462" t="s">
        <v>562</v>
      </c>
      <c r="C77" s="455" t="s">
        <v>608</v>
      </c>
      <c r="D77" s="456" t="s">
        <v>72</v>
      </c>
      <c r="E77" s="468">
        <v>5</v>
      </c>
      <c r="F77" s="452">
        <f>VLOOKUP(B77,Cotizaciones!B:D,3,0)</f>
        <v>5688.7390030905226</v>
      </c>
      <c r="G77" s="452">
        <f t="shared" si="3"/>
        <v>28443.695015452613</v>
      </c>
      <c r="H77" s="578"/>
      <c r="K77" s="16">
        <v>2</v>
      </c>
      <c r="L77" s="16">
        <f t="shared" si="4"/>
        <v>10</v>
      </c>
    </row>
    <row r="78" spans="2:12" outlineLevel="1">
      <c r="B78" s="462" t="s">
        <v>616</v>
      </c>
      <c r="C78" s="455"/>
      <c r="D78" s="456" t="s">
        <v>72</v>
      </c>
      <c r="E78" s="468">
        <v>1</v>
      </c>
      <c r="F78" s="452">
        <f>VLOOKUP(B78,Cotizaciones!B:D,3,0)</f>
        <v>29395.083658672746</v>
      </c>
      <c r="G78" s="452">
        <f t="shared" si="3"/>
        <v>29395.083658672746</v>
      </c>
      <c r="H78" s="578"/>
      <c r="L78" s="98">
        <f>+SUM(L71:L77)</f>
        <v>32</v>
      </c>
    </row>
    <row r="79" spans="2:12" outlineLevel="1">
      <c r="B79" s="459" t="s">
        <v>583</v>
      </c>
      <c r="C79" s="460"/>
      <c r="D79" s="461" t="s">
        <v>54</v>
      </c>
      <c r="E79" s="469">
        <v>0.1</v>
      </c>
      <c r="F79" s="453">
        <f>+SUM(G71:G78)</f>
        <v>191799.34364336403</v>
      </c>
      <c r="G79" s="452">
        <f t="shared" si="3"/>
        <v>19179.934364336405</v>
      </c>
      <c r="H79" s="578"/>
    </row>
    <row r="80" spans="2:12">
      <c r="B80" s="473" t="s">
        <v>617</v>
      </c>
      <c r="C80" s="474"/>
      <c r="D80" s="474"/>
      <c r="E80" s="474"/>
      <c r="F80" s="475"/>
      <c r="G80" s="475"/>
      <c r="H80" s="476">
        <f>+SUM(G81:G85)</f>
        <v>1057994.9839655068</v>
      </c>
    </row>
    <row r="81" spans="2:14" outlineLevel="1">
      <c r="B81" s="464" t="s">
        <v>1648</v>
      </c>
      <c r="C81" s="457" t="s">
        <v>618</v>
      </c>
      <c r="D81" s="458" t="s">
        <v>59</v>
      </c>
      <c r="E81" s="470">
        <v>150</v>
      </c>
      <c r="F81" s="452">
        <f>VLOOKUP(B81,Cotizaciones!B:D,3,0)</f>
        <v>4801.7129650570714</v>
      </c>
      <c r="G81" s="452">
        <f t="shared" si="3"/>
        <v>720256.94475856074</v>
      </c>
    </row>
    <row r="82" spans="2:14" outlineLevel="1">
      <c r="B82" s="462" t="s">
        <v>619</v>
      </c>
      <c r="C82" s="455" t="s">
        <v>620</v>
      </c>
      <c r="D82" s="456" t="s">
        <v>72</v>
      </c>
      <c r="E82" s="468">
        <v>5</v>
      </c>
      <c r="F82" s="452">
        <f>VLOOKUP(B82,Cotizaciones!B:D,3,0)</f>
        <v>29030.942732666888</v>
      </c>
      <c r="G82" s="452">
        <f t="shared" si="3"/>
        <v>145154.71366333443</v>
      </c>
    </row>
    <row r="83" spans="2:14" outlineLevel="1">
      <c r="B83" s="462" t="s">
        <v>621</v>
      </c>
      <c r="C83" s="455"/>
      <c r="D83" s="456" t="s">
        <v>72</v>
      </c>
      <c r="E83" s="468">
        <f>+E82</f>
        <v>5</v>
      </c>
      <c r="F83" s="452">
        <f>VLOOKUP(B83,Cotizaciones!B:D,3,0)</f>
        <v>18112.395912452448</v>
      </c>
      <c r="G83" s="452">
        <f t="shared" si="3"/>
        <v>90561.979562262248</v>
      </c>
    </row>
    <row r="84" spans="2:14" outlineLevel="1">
      <c r="B84" s="465" t="s">
        <v>622</v>
      </c>
      <c r="C84" s="455"/>
      <c r="D84" s="456" t="s">
        <v>72</v>
      </c>
      <c r="E84" s="468">
        <f>+E82</f>
        <v>5</v>
      </c>
      <c r="F84" s="452">
        <f>VLOOKUP(B84,Cotizaciones!B:D,3,0)</f>
        <v>1167.9967605333886</v>
      </c>
      <c r="G84" s="452">
        <f t="shared" si="3"/>
        <v>5839.9838026669431</v>
      </c>
    </row>
    <row r="85" spans="2:14" outlineLevel="1">
      <c r="B85" s="462" t="s">
        <v>583</v>
      </c>
      <c r="C85" s="455"/>
      <c r="D85" s="456" t="s">
        <v>54</v>
      </c>
      <c r="E85" s="468">
        <v>0.1</v>
      </c>
      <c r="F85" s="452">
        <f>+SUM(G81:G84)</f>
        <v>961813.62178682443</v>
      </c>
      <c r="G85" s="452">
        <f t="shared" si="3"/>
        <v>96181.362178682451</v>
      </c>
    </row>
    <row r="86" spans="2:14">
      <c r="B86" s="473" t="s">
        <v>623</v>
      </c>
      <c r="C86" s="474"/>
      <c r="D86" s="474"/>
      <c r="E86" s="474"/>
      <c r="F86" s="475"/>
      <c r="G86" s="475"/>
      <c r="H86" s="476">
        <f>+SUM(G87:G100)</f>
        <v>6991302.4321481157</v>
      </c>
      <c r="L86" s="16" t="s">
        <v>624</v>
      </c>
      <c r="M86" s="16" t="s">
        <v>625</v>
      </c>
    </row>
    <row r="87" spans="2:14">
      <c r="B87" s="726" t="s">
        <v>626</v>
      </c>
      <c r="C87" s="457" t="s">
        <v>627</v>
      </c>
      <c r="D87" s="458" t="s">
        <v>59</v>
      </c>
      <c r="E87" s="470">
        <f>5*5</f>
        <v>25</v>
      </c>
      <c r="F87" s="452">
        <f>VLOOKUP(B87,Cotizaciones!B:D,3,0)</f>
        <v>22097.051355628839</v>
      </c>
      <c r="G87" s="452">
        <f t="shared" si="3"/>
        <v>552426.28389072092</v>
      </c>
      <c r="K87" s="16" t="s">
        <v>628</v>
      </c>
      <c r="M87" s="16">
        <v>1</v>
      </c>
    </row>
    <row r="88" spans="2:14">
      <c r="B88" s="727" t="s">
        <v>1642</v>
      </c>
      <c r="C88" s="455"/>
      <c r="D88" s="456" t="s">
        <v>72</v>
      </c>
      <c r="E88" s="468">
        <v>4</v>
      </c>
      <c r="F88" s="452">
        <f>VLOOKUP(B88,Cotizaciones!B:D,3,0)</f>
        <v>895554.29658569163</v>
      </c>
      <c r="G88" s="452">
        <f t="shared" si="3"/>
        <v>3582217.1863427665</v>
      </c>
      <c r="K88" s="16" t="s">
        <v>2413</v>
      </c>
      <c r="L88" s="16">
        <f>2*6</f>
        <v>12</v>
      </c>
      <c r="M88" s="16">
        <f>2*6</f>
        <v>12</v>
      </c>
    </row>
    <row r="89" spans="2:14">
      <c r="B89" s="727" t="s">
        <v>1643</v>
      </c>
      <c r="C89" s="455"/>
      <c r="D89" s="456" t="s">
        <v>72</v>
      </c>
      <c r="E89" s="468">
        <v>0</v>
      </c>
      <c r="F89" s="452">
        <f>VLOOKUP(B89,Cotizaciones!B:D,3,0)</f>
        <v>226574.59764844007</v>
      </c>
      <c r="G89" s="452">
        <f t="shared" si="3"/>
        <v>0</v>
      </c>
      <c r="K89" s="16" t="s">
        <v>2414</v>
      </c>
      <c r="M89" s="16">
        <v>2</v>
      </c>
    </row>
    <row r="90" spans="2:14">
      <c r="B90" s="465" t="s">
        <v>1644</v>
      </c>
      <c r="C90" s="455"/>
      <c r="D90" s="456" t="s">
        <v>72</v>
      </c>
      <c r="E90" s="468">
        <v>3</v>
      </c>
      <c r="F90" s="452">
        <f>VLOOKUP(B90,Cotizaciones!B:D,3,0)</f>
        <v>476241.79184815579</v>
      </c>
      <c r="G90" s="452">
        <f t="shared" si="3"/>
        <v>1428725.3755444675</v>
      </c>
      <c r="L90" s="16">
        <f>+SUM(L87:L89)</f>
        <v>12</v>
      </c>
      <c r="M90" s="16">
        <f>+SUM(M87:M89)</f>
        <v>15</v>
      </c>
    </row>
    <row r="91" spans="2:14">
      <c r="B91" s="465" t="s">
        <v>1645</v>
      </c>
      <c r="C91" s="455"/>
      <c r="D91" s="456" t="s">
        <v>72</v>
      </c>
      <c r="E91" s="468">
        <v>1</v>
      </c>
      <c r="F91" s="452">
        <f>VLOOKUP(B91,Cotizaciones!B:D,3,0)</f>
        <v>498022.38791139348</v>
      </c>
      <c r="G91" s="452">
        <f t="shared" si="3"/>
        <v>498022.38791139348</v>
      </c>
      <c r="K91" s="16" t="s">
        <v>630</v>
      </c>
      <c r="L91" s="16">
        <v>1</v>
      </c>
      <c r="M91" s="16">
        <v>3</v>
      </c>
    </row>
    <row r="92" spans="2:14">
      <c r="B92" s="465" t="s">
        <v>629</v>
      </c>
      <c r="C92" s="455"/>
      <c r="D92" s="456" t="s">
        <v>72</v>
      </c>
      <c r="E92" s="924">
        <f>+N92</f>
        <v>57</v>
      </c>
      <c r="F92" s="452">
        <f>VLOOKUP(B92,Cotizaciones!B:D,3,0)</f>
        <v>4071.7096989473807</v>
      </c>
      <c r="G92" s="452">
        <f t="shared" si="3"/>
        <v>232087.45284000071</v>
      </c>
      <c r="L92" s="16">
        <f>+L90*L91</f>
        <v>12</v>
      </c>
      <c r="M92" s="16">
        <f>+M90*M91</f>
        <v>45</v>
      </c>
      <c r="N92" s="98">
        <f>+SUM(L92:M92)</f>
        <v>57</v>
      </c>
    </row>
    <row r="93" spans="2:14">
      <c r="B93" s="465" t="s">
        <v>631</v>
      </c>
      <c r="C93" s="455"/>
      <c r="D93" s="456" t="s">
        <v>72</v>
      </c>
      <c r="E93" s="924">
        <v>6</v>
      </c>
      <c r="F93" s="452">
        <f>VLOOKUP(B93,Cotizaciones!B:D,3,0)</f>
        <v>10375.132873610848</v>
      </c>
      <c r="G93" s="452">
        <f t="shared" si="3"/>
        <v>62250.797241665088</v>
      </c>
    </row>
    <row r="94" spans="2:14">
      <c r="B94" s="465" t="s">
        <v>1660</v>
      </c>
      <c r="C94" s="455"/>
      <c r="D94" s="456" t="s">
        <v>72</v>
      </c>
      <c r="E94" s="924">
        <v>0</v>
      </c>
      <c r="F94" s="452">
        <f>VLOOKUP(B94,Cotizaciones!B:D,3,0)</f>
        <v>14191.436080963646</v>
      </c>
      <c r="G94" s="452">
        <f t="shared" si="3"/>
        <v>0</v>
      </c>
      <c r="N94" s="98"/>
    </row>
    <row r="95" spans="2:14">
      <c r="B95" s="465" t="s">
        <v>1661</v>
      </c>
      <c r="C95" s="455"/>
      <c r="D95" s="456" t="s">
        <v>72</v>
      </c>
      <c r="E95" s="924">
        <f>+E94*2</f>
        <v>0</v>
      </c>
      <c r="F95" s="452">
        <f>VLOOKUP(B95,Cotizaciones!B:D,3,0)</f>
        <v>1666.4149219887545</v>
      </c>
      <c r="G95" s="452">
        <f t="shared" si="3"/>
        <v>0</v>
      </c>
      <c r="N95" s="98"/>
    </row>
    <row r="96" spans="2:14">
      <c r="B96" s="465" t="s">
        <v>1662</v>
      </c>
      <c r="C96" s="455"/>
      <c r="D96" s="456" t="s">
        <v>72</v>
      </c>
      <c r="E96" s="924">
        <f>+E94</f>
        <v>0</v>
      </c>
      <c r="F96" s="452">
        <f>VLOOKUP(B96,Cotizaciones!B:D,3,0)</f>
        <v>9330.5033231466932</v>
      </c>
      <c r="G96" s="452">
        <f t="shared" si="3"/>
        <v>0</v>
      </c>
      <c r="N96" s="98"/>
    </row>
    <row r="97" spans="2:20">
      <c r="B97" s="465" t="s">
        <v>640</v>
      </c>
      <c r="C97" s="455"/>
      <c r="D97" s="456" t="s">
        <v>72</v>
      </c>
      <c r="E97" s="924">
        <f>+E95</f>
        <v>0</v>
      </c>
      <c r="F97" s="452">
        <f>VLOOKUP(B97,Cotizaciones!B:D,3,0)</f>
        <v>1026.7581972524849</v>
      </c>
      <c r="G97" s="452">
        <f t="shared" si="3"/>
        <v>0</v>
      </c>
      <c r="N97" s="98"/>
    </row>
    <row r="98" spans="2:20">
      <c r="B98" s="465" t="s">
        <v>1663</v>
      </c>
      <c r="C98" s="455"/>
      <c r="D98" s="456" t="s">
        <v>72</v>
      </c>
      <c r="E98" s="924">
        <f>+E95*2*2</f>
        <v>0</v>
      </c>
      <c r="F98" s="452">
        <f>VLOOKUP(B98,Cotizaciones!B:D,3,0)</f>
        <v>34.31170703914087</v>
      </c>
      <c r="G98" s="452">
        <f t="shared" si="3"/>
        <v>0</v>
      </c>
      <c r="N98" s="98"/>
    </row>
    <row r="99" spans="2:20">
      <c r="B99" s="465" t="s">
        <v>1885</v>
      </c>
      <c r="C99" s="455"/>
      <c r="D99" s="456"/>
      <c r="E99" s="924"/>
      <c r="F99" s="452"/>
      <c r="G99" s="452">
        <f t="shared" si="3"/>
        <v>0</v>
      </c>
      <c r="N99" s="98"/>
    </row>
    <row r="100" spans="2:20">
      <c r="B100" s="727" t="s">
        <v>583</v>
      </c>
      <c r="C100" s="455"/>
      <c r="D100" s="456" t="s">
        <v>72</v>
      </c>
      <c r="E100" s="468">
        <v>0.1</v>
      </c>
      <c r="F100" s="452">
        <f>+SUM(G87:G98)</f>
        <v>6355729.483771014</v>
      </c>
      <c r="G100" s="452">
        <f t="shared" si="3"/>
        <v>635572.94837710145</v>
      </c>
    </row>
    <row r="101" spans="2:20">
      <c r="B101" s="473" t="s">
        <v>632</v>
      </c>
      <c r="C101" s="474"/>
      <c r="D101" s="474"/>
      <c r="E101" s="474"/>
      <c r="F101" s="475"/>
      <c r="G101" s="475"/>
      <c r="H101" s="476">
        <f>+SUM(G102:G123)</f>
        <v>6941648.2775356993</v>
      </c>
      <c r="K101" s="454"/>
      <c r="L101" s="454"/>
      <c r="M101" s="454"/>
      <c r="N101" s="454"/>
      <c r="Q101" s="792"/>
      <c r="R101" s="792"/>
      <c r="S101" s="792"/>
      <c r="T101" s="792"/>
    </row>
    <row r="102" spans="2:20" outlineLevel="1">
      <c r="B102" s="731" t="s">
        <v>633</v>
      </c>
      <c r="C102" s="420"/>
      <c r="D102" s="683"/>
      <c r="E102" s="732"/>
      <c r="F102" s="420"/>
      <c r="G102" s="733"/>
      <c r="H102" s="1162"/>
      <c r="J102" s="1163"/>
      <c r="Q102" s="792"/>
      <c r="R102" s="792"/>
      <c r="S102" s="792"/>
      <c r="T102" s="792"/>
    </row>
    <row r="103" spans="2:20" outlineLevel="1">
      <c r="B103" s="726" t="s">
        <v>637</v>
      </c>
      <c r="C103" s="449"/>
      <c r="D103" s="472" t="s">
        <v>72</v>
      </c>
      <c r="E103" s="470">
        <f>+Computo!F238</f>
        <v>126</v>
      </c>
      <c r="F103" s="449">
        <f>VLOOKUP(B103,Cotizaciones!B:D,3,0)</f>
        <v>1975.4354732183454</v>
      </c>
      <c r="G103" s="452">
        <f t="shared" si="3"/>
        <v>248904.86962551152</v>
      </c>
      <c r="J103" s="1163"/>
    </row>
    <row r="104" spans="2:20" outlineLevel="1">
      <c r="B104" s="727" t="s">
        <v>638</v>
      </c>
      <c r="C104" s="452"/>
      <c r="D104" s="466" t="s">
        <v>72</v>
      </c>
      <c r="E104" s="468">
        <f>3*7</f>
        <v>21</v>
      </c>
      <c r="F104" s="452">
        <f>VLOOKUP(B104,Cotizaciones!B:D,3,0)</f>
        <v>5452.4196762144838</v>
      </c>
      <c r="G104" s="452">
        <f t="shared" si="3"/>
        <v>114500.81320050416</v>
      </c>
      <c r="H104" s="16" t="s">
        <v>2412</v>
      </c>
      <c r="J104" s="1163"/>
    </row>
    <row r="105" spans="2:20" outlineLevel="1">
      <c r="B105" s="727" t="s">
        <v>639</v>
      </c>
      <c r="C105" s="452"/>
      <c r="D105" s="466" t="s">
        <v>72</v>
      </c>
      <c r="E105" s="468">
        <f>+ROUNDUP(E104*6/100,0)</f>
        <v>2</v>
      </c>
      <c r="F105" s="452">
        <f>VLOOKUP(B105,Cotizaciones!B:D,3,0)</f>
        <v>76135.192499870522</v>
      </c>
      <c r="G105" s="452">
        <f t="shared" si="3"/>
        <v>152270.38499974104</v>
      </c>
      <c r="J105" s="1163"/>
    </row>
    <row r="106" spans="2:20" outlineLevel="1">
      <c r="B106" s="727" t="s">
        <v>640</v>
      </c>
      <c r="C106" s="452"/>
      <c r="D106" s="466" t="s">
        <v>72</v>
      </c>
      <c r="E106" s="468">
        <f>E104</f>
        <v>21</v>
      </c>
      <c r="F106" s="452">
        <f>VLOOKUP(B106,Cotizaciones!B:D,3,0)</f>
        <v>1026.7581972524849</v>
      </c>
      <c r="G106" s="452">
        <f t="shared" si="3"/>
        <v>21561.922142302185</v>
      </c>
      <c r="J106" s="1163"/>
    </row>
    <row r="107" spans="2:20" outlineLevel="1">
      <c r="B107" s="727" t="s">
        <v>641</v>
      </c>
      <c r="C107" s="452"/>
      <c r="D107" s="466" t="s">
        <v>72</v>
      </c>
      <c r="E107" s="468">
        <f>+E103*3</f>
        <v>378</v>
      </c>
      <c r="F107" s="452">
        <f>VLOOKUP(B107,Cotizaciones!B:D,3,0)</f>
        <v>721.24520842325785</v>
      </c>
      <c r="G107" s="452">
        <f t="shared" si="3"/>
        <v>272630.68878399144</v>
      </c>
      <c r="J107" s="1163"/>
    </row>
    <row r="108" spans="2:20" outlineLevel="1">
      <c r="B108" s="727" t="s">
        <v>642</v>
      </c>
      <c r="C108" s="452"/>
      <c r="D108" s="466" t="s">
        <v>72</v>
      </c>
      <c r="E108" s="468">
        <v>8</v>
      </c>
      <c r="F108" s="452">
        <f>VLOOKUP(B108,Cotizaciones!B:D,3,0)</f>
        <v>17921.093889512365</v>
      </c>
      <c r="G108" s="452">
        <f t="shared" si="3"/>
        <v>143368.75111609892</v>
      </c>
      <c r="J108" s="1163"/>
    </row>
    <row r="109" spans="2:20" outlineLevel="1">
      <c r="B109" s="727" t="s">
        <v>643</v>
      </c>
      <c r="C109" s="453"/>
      <c r="D109" s="730" t="s">
        <v>72</v>
      </c>
      <c r="E109" s="469">
        <f>+E103*2</f>
        <v>252</v>
      </c>
      <c r="F109" s="452">
        <f>VLOOKUP(B109,Cotizaciones!B:D,3,0)</f>
        <v>255.28813826205567</v>
      </c>
      <c r="G109" s="452">
        <f t="shared" si="3"/>
        <v>64332.610842038026</v>
      </c>
      <c r="J109" s="539"/>
    </row>
    <row r="110" spans="2:20" outlineLevel="1">
      <c r="B110" s="731" t="s">
        <v>644</v>
      </c>
      <c r="C110" s="420"/>
      <c r="D110" s="683"/>
      <c r="E110" s="732"/>
      <c r="F110" s="420"/>
      <c r="G110" s="733"/>
      <c r="J110" s="610"/>
      <c r="N110" s="98"/>
    </row>
    <row r="111" spans="2:20" outlineLevel="1">
      <c r="B111" s="465" t="s">
        <v>1660</v>
      </c>
      <c r="C111" s="455"/>
      <c r="D111" s="456" t="s">
        <v>72</v>
      </c>
      <c r="E111" s="924">
        <v>0</v>
      </c>
      <c r="F111" s="452">
        <f>VLOOKUP(B111,Cotizaciones!B:D,3,0)</f>
        <v>14191.436080963646</v>
      </c>
      <c r="G111" s="452">
        <f t="shared" si="3"/>
        <v>0</v>
      </c>
    </row>
    <row r="112" spans="2:20" outlineLevel="1">
      <c r="B112" s="465" t="s">
        <v>1661</v>
      </c>
      <c r="C112" s="455"/>
      <c r="D112" s="456" t="s">
        <v>72</v>
      </c>
      <c r="E112" s="924">
        <f>+E111*2</f>
        <v>0</v>
      </c>
      <c r="F112" s="452">
        <f>VLOOKUP(B112,Cotizaciones!B:D,3,0)</f>
        <v>1666.4149219887545</v>
      </c>
      <c r="G112" s="452">
        <f t="shared" si="3"/>
        <v>0</v>
      </c>
      <c r="I112" s="792"/>
      <c r="K112" s="792"/>
      <c r="N112" s="609"/>
    </row>
    <row r="113" spans="2:20" outlineLevel="1">
      <c r="B113" s="465" t="s">
        <v>1662</v>
      </c>
      <c r="C113" s="455"/>
      <c r="D113" s="456" t="s">
        <v>72</v>
      </c>
      <c r="E113" s="924">
        <f>+E111</f>
        <v>0</v>
      </c>
      <c r="F113" s="452">
        <f>VLOOKUP(B113,Cotizaciones!B:D,3,0)</f>
        <v>9330.5033231466932</v>
      </c>
      <c r="G113" s="452">
        <f t="shared" si="3"/>
        <v>0</v>
      </c>
      <c r="H113" s="610"/>
      <c r="I113" s="454"/>
    </row>
    <row r="114" spans="2:20" outlineLevel="1">
      <c r="B114" s="465" t="s">
        <v>640</v>
      </c>
      <c r="C114" s="455"/>
      <c r="D114" s="456" t="s">
        <v>72</v>
      </c>
      <c r="E114" s="924">
        <f>+E112</f>
        <v>0</v>
      </c>
      <c r="F114" s="452">
        <f>VLOOKUP(B114,Cotizaciones!B:D,3,0)</f>
        <v>1026.7581972524849</v>
      </c>
      <c r="G114" s="452">
        <f t="shared" si="3"/>
        <v>0</v>
      </c>
      <c r="H114" s="610"/>
      <c r="I114" s="454"/>
    </row>
    <row r="115" spans="2:20" outlineLevel="1">
      <c r="B115" s="465" t="s">
        <v>1663</v>
      </c>
      <c r="C115" s="455"/>
      <c r="D115" s="456" t="s">
        <v>72</v>
      </c>
      <c r="E115" s="924">
        <f>+E112*2*2</f>
        <v>0</v>
      </c>
      <c r="F115" s="452">
        <f>VLOOKUP(B115,Cotizaciones!B:D,3,0)</f>
        <v>34.31170703914087</v>
      </c>
      <c r="G115" s="452">
        <f t="shared" si="3"/>
        <v>0</v>
      </c>
      <c r="H115" s="610"/>
      <c r="I115" s="454"/>
    </row>
    <row r="116" spans="2:20" outlineLevel="1">
      <c r="B116" s="731" t="s">
        <v>645</v>
      </c>
      <c r="C116" s="420"/>
      <c r="D116" s="683"/>
      <c r="E116" s="732"/>
      <c r="F116" s="420"/>
      <c r="G116" s="733"/>
      <c r="H116" s="610"/>
      <c r="I116" s="454"/>
      <c r="Q116" s="610"/>
      <c r="R116" s="454"/>
      <c r="S116" s="454"/>
    </row>
    <row r="117" spans="2:20" outlineLevel="1">
      <c r="B117" s="727" t="s">
        <v>646</v>
      </c>
      <c r="C117" s="462" t="s">
        <v>1666</v>
      </c>
      <c r="D117" s="466" t="s">
        <v>59</v>
      </c>
      <c r="E117" s="468">
        <f>+Computo!K236</f>
        <v>1218</v>
      </c>
      <c r="F117" s="452">
        <f>VLOOKUP(B117,Cotizaciones!B:D,3,0)</f>
        <v>1780.1906214896771</v>
      </c>
      <c r="G117" s="452">
        <f t="shared" si="3"/>
        <v>2168272.176974427</v>
      </c>
      <c r="I117" s="454"/>
      <c r="P117" s="454"/>
    </row>
    <row r="118" spans="2:20" outlineLevel="1">
      <c r="B118" s="727" t="s">
        <v>647</v>
      </c>
      <c r="C118" s="462" t="s">
        <v>1667</v>
      </c>
      <c r="D118" s="466" t="s">
        <v>211</v>
      </c>
      <c r="E118" s="468">
        <f>+ROUNDUP(Computo!L236/100,0)</f>
        <v>23</v>
      </c>
      <c r="F118" s="452">
        <f>VLOOKUP(B118,Cotizaciones!B:D,3,0)</f>
        <v>103147.90813826302</v>
      </c>
      <c r="G118" s="452">
        <f t="shared" si="3"/>
        <v>2372401.8871800494</v>
      </c>
      <c r="I118" s="454"/>
      <c r="P118" s="454"/>
    </row>
    <row r="119" spans="2:20" outlineLevel="1">
      <c r="B119" s="727" t="s">
        <v>646</v>
      </c>
      <c r="C119" s="462" t="s">
        <v>1668</v>
      </c>
      <c r="D119" s="466" t="s">
        <v>59</v>
      </c>
      <c r="E119" s="468">
        <f>+Computo!N236</f>
        <v>180</v>
      </c>
      <c r="F119" s="452">
        <f>VLOOKUP(B119,Cotizaciones!B:D,3,0)</f>
        <v>1780.1906214896771</v>
      </c>
      <c r="G119" s="452">
        <f t="shared" si="3"/>
        <v>320434.31186814187</v>
      </c>
      <c r="I119" s="454"/>
      <c r="P119" s="454"/>
    </row>
    <row r="120" spans="2:20" outlineLevel="1">
      <c r="B120" s="727" t="s">
        <v>648</v>
      </c>
      <c r="C120" s="462" t="s">
        <v>1669</v>
      </c>
      <c r="D120" s="466" t="s">
        <v>211</v>
      </c>
      <c r="E120" s="468">
        <f>+ROUNDUP(Computo!O236/100,0)</f>
        <v>2</v>
      </c>
      <c r="F120" s="452">
        <f>VLOOKUP(B120,Cotizaciones!B:D,3,0)</f>
        <v>71572.004448511434</v>
      </c>
      <c r="G120" s="452">
        <f t="shared" si="3"/>
        <v>143144.00889702287</v>
      </c>
      <c r="I120" s="454"/>
      <c r="P120" s="454"/>
    </row>
    <row r="121" spans="2:20" outlineLevel="1">
      <c r="B121" s="727" t="s">
        <v>649</v>
      </c>
      <c r="C121" s="462" t="s">
        <v>1670</v>
      </c>
      <c r="D121" s="466" t="s">
        <v>211</v>
      </c>
      <c r="E121" s="468">
        <f>+ROUNDUP(Computo!M236/100,0)</f>
        <v>1</v>
      </c>
      <c r="F121" s="452">
        <f>VLOOKUP(B121,Cotizaciones!B:D,3,0)</f>
        <v>288766.91758444265</v>
      </c>
      <c r="G121" s="452">
        <f t="shared" si="3"/>
        <v>288766.91758444265</v>
      </c>
      <c r="I121" s="454"/>
      <c r="T121" s="98"/>
    </row>
    <row r="122" spans="2:20" outlineLevel="1">
      <c r="B122" s="731" t="s">
        <v>650</v>
      </c>
      <c r="C122" s="420"/>
      <c r="D122" s="683"/>
      <c r="E122" s="732"/>
      <c r="F122" s="420"/>
      <c r="G122" s="733"/>
      <c r="R122" s="98"/>
    </row>
    <row r="123" spans="2:20" outlineLevel="1">
      <c r="B123" s="727" t="s">
        <v>583</v>
      </c>
      <c r="C123" s="455"/>
      <c r="D123" s="456" t="s">
        <v>72</v>
      </c>
      <c r="E123" s="468">
        <v>0.1</v>
      </c>
      <c r="F123" s="452">
        <f>+SUM(G103:G121)</f>
        <v>6310589.3432142725</v>
      </c>
      <c r="G123" s="452">
        <f t="shared" si="3"/>
        <v>631058.93432142725</v>
      </c>
    </row>
    <row r="124" spans="2:20">
      <c r="B124" s="473" t="s">
        <v>117</v>
      </c>
      <c r="C124" s="474"/>
      <c r="D124" s="474"/>
      <c r="E124" s="474"/>
      <c r="F124" s="475"/>
      <c r="G124" s="475"/>
      <c r="H124" s="476">
        <f>+SUM(G125:G132)</f>
        <v>896755.5936702406</v>
      </c>
    </row>
    <row r="125" spans="2:20" outlineLevel="1">
      <c r="B125" s="726" t="s">
        <v>637</v>
      </c>
      <c r="C125" s="449"/>
      <c r="D125" s="472" t="s">
        <v>72</v>
      </c>
      <c r="E125" s="470">
        <f>+Computo!E245</f>
        <v>53</v>
      </c>
      <c r="F125" s="449">
        <f>VLOOKUP(B125,Cotizaciones!B:D,3,0)</f>
        <v>1975.4354732183454</v>
      </c>
      <c r="G125" s="449">
        <f t="shared" si="3"/>
        <v>104698.0800805723</v>
      </c>
    </row>
    <row r="126" spans="2:20" outlineLevel="1">
      <c r="B126" s="727" t="s">
        <v>638</v>
      </c>
      <c r="C126" s="452"/>
      <c r="D126" s="466" t="s">
        <v>72</v>
      </c>
      <c r="E126" s="468">
        <f>+ROUNDUP(Computo!D243/3,0)</f>
        <v>46</v>
      </c>
      <c r="F126" s="452">
        <f>VLOOKUP(B126,Cotizaciones!B:D,3,0)</f>
        <v>5452.4196762144838</v>
      </c>
      <c r="G126" s="452">
        <f t="shared" si="3"/>
        <v>250811.30510586625</v>
      </c>
    </row>
    <row r="127" spans="2:20" outlineLevel="1">
      <c r="B127" s="727" t="s">
        <v>639</v>
      </c>
      <c r="C127" s="452"/>
      <c r="D127" s="466" t="s">
        <v>72</v>
      </c>
      <c r="E127" s="468">
        <f>+ROUNDUP(E126*6/100,0)</f>
        <v>3</v>
      </c>
      <c r="F127" s="452">
        <f>VLOOKUP(B127,Cotizaciones!B:D,3,0)</f>
        <v>76135.192499870522</v>
      </c>
      <c r="G127" s="452">
        <f t="shared" si="3"/>
        <v>228405.57749961157</v>
      </c>
    </row>
    <row r="128" spans="2:20" outlineLevel="1">
      <c r="B128" s="727" t="s">
        <v>640</v>
      </c>
      <c r="C128" s="452"/>
      <c r="D128" s="466" t="s">
        <v>72</v>
      </c>
      <c r="E128" s="468">
        <f>E126</f>
        <v>46</v>
      </c>
      <c r="F128" s="452">
        <f>VLOOKUP(B128,Cotizaciones!B:D,3,0)</f>
        <v>1026.7581972524849</v>
      </c>
      <c r="G128" s="452">
        <f t="shared" si="3"/>
        <v>47230.877073614305</v>
      </c>
    </row>
    <row r="129" spans="2:8" outlineLevel="1">
      <c r="B129" s="727" t="s">
        <v>641</v>
      </c>
      <c r="C129" s="452"/>
      <c r="D129" s="466" t="s">
        <v>72</v>
      </c>
      <c r="E129" s="468">
        <f>+Computo!E245</f>
        <v>53</v>
      </c>
      <c r="F129" s="452">
        <f>VLOOKUP(B129,Cotizaciones!B:D,3,0)</f>
        <v>721.24520842325785</v>
      </c>
      <c r="G129" s="452">
        <f t="shared" si="3"/>
        <v>38225.996046432665</v>
      </c>
    </row>
    <row r="130" spans="2:8" outlineLevel="1">
      <c r="B130" s="727" t="s">
        <v>642</v>
      </c>
      <c r="C130" s="452"/>
      <c r="D130" s="466" t="s">
        <v>72</v>
      </c>
      <c r="E130" s="468">
        <v>8</v>
      </c>
      <c r="F130" s="452">
        <f>VLOOKUP(B130,Cotizaciones!B:D,3,0)</f>
        <v>17921.093889512365</v>
      </c>
      <c r="G130" s="452">
        <f t="shared" si="3"/>
        <v>143368.75111609892</v>
      </c>
    </row>
    <row r="131" spans="2:8" outlineLevel="1">
      <c r="B131" s="727" t="s">
        <v>643</v>
      </c>
      <c r="C131" s="452"/>
      <c r="D131" s="466" t="s">
        <v>72</v>
      </c>
      <c r="E131" s="468">
        <f>+E125*2</f>
        <v>106</v>
      </c>
      <c r="F131" s="452">
        <f>VLOOKUP(B131,Cotizaciones!B:D,3,0)</f>
        <v>255.28813826205567</v>
      </c>
      <c r="G131" s="452">
        <f t="shared" si="3"/>
        <v>27060.542655777899</v>
      </c>
    </row>
    <row r="132" spans="2:8" outlineLevel="1">
      <c r="B132" s="729" t="s">
        <v>651</v>
      </c>
      <c r="C132" s="459" t="s">
        <v>652</v>
      </c>
      <c r="D132" s="730" t="s">
        <v>211</v>
      </c>
      <c r="E132" s="469">
        <f>+ROUNDUP(Computo!E244/100,0)</f>
        <v>2</v>
      </c>
      <c r="F132" s="453">
        <f>VLOOKUP(B132,Cotizaciones!B:D,3,0)</f>
        <v>28477.232046133395</v>
      </c>
      <c r="G132" s="453">
        <f t="shared" si="3"/>
        <v>56954.46409226679</v>
      </c>
    </row>
    <row r="138" spans="2:8">
      <c r="B138" s="98" t="s">
        <v>1729</v>
      </c>
      <c r="C138" s="98"/>
      <c r="D138" s="792"/>
      <c r="E138" s="955"/>
      <c r="F138" s="98"/>
      <c r="G138" s="98"/>
      <c r="H138" s="877">
        <f>+SUM(G139:G141)</f>
        <v>5892.0807877668249</v>
      </c>
    </row>
    <row r="139" spans="2:8">
      <c r="B139" s="16" t="s">
        <v>1732</v>
      </c>
      <c r="C139" s="16" t="s">
        <v>1729</v>
      </c>
      <c r="E139" s="16">
        <v>2</v>
      </c>
      <c r="F139" s="452">
        <f>VLOOKUP(B139,Cotizaciones!B:D,3,0)</f>
        <v>2100.6532990325572</v>
      </c>
      <c r="G139" s="452">
        <f t="shared" ref="G139:G168" si="5">+E139*F139</f>
        <v>4201.3065980651145</v>
      </c>
    </row>
    <row r="140" spans="2:8">
      <c r="B140" s="16" t="s">
        <v>1734</v>
      </c>
      <c r="C140" s="16" t="s">
        <v>1730</v>
      </c>
      <c r="E140" s="16">
        <v>1</v>
      </c>
      <c r="F140" s="452">
        <f>VLOOKUP(B140,Cotizaciones!B:D,3,0)</f>
        <v>461.11534292143631</v>
      </c>
      <c r="G140" s="452">
        <f t="shared" si="5"/>
        <v>461.11534292143631</v>
      </c>
    </row>
    <row r="141" spans="2:8">
      <c r="B141" s="16" t="s">
        <v>1733</v>
      </c>
      <c r="C141" s="539" t="s">
        <v>1731</v>
      </c>
      <c r="E141" s="16">
        <v>1</v>
      </c>
      <c r="F141" s="452">
        <f>VLOOKUP(B141,Cotizaciones!B:D,3,0)</f>
        <v>1229.6588467802735</v>
      </c>
      <c r="G141" s="452">
        <f t="shared" si="5"/>
        <v>1229.6588467802735</v>
      </c>
    </row>
    <row r="143" spans="2:8" ht="26">
      <c r="B143" s="700" t="s">
        <v>1726</v>
      </c>
      <c r="H143" s="956">
        <f>+SUM(G144:G146)</f>
        <v>1885.5105394124798</v>
      </c>
    </row>
    <row r="144" spans="2:8">
      <c r="B144" s="16" t="s">
        <v>1739</v>
      </c>
      <c r="E144" s="16">
        <v>2</v>
      </c>
      <c r="F144" s="957">
        <f>3100/10/1.21</f>
        <v>256.198347107438</v>
      </c>
      <c r="G144" s="452">
        <f t="shared" si="5"/>
        <v>512.39669421487599</v>
      </c>
    </row>
    <row r="145" spans="2:8">
      <c r="B145" s="16" t="s">
        <v>1735</v>
      </c>
      <c r="C145" s="16" t="s">
        <v>1730</v>
      </c>
      <c r="E145" s="16">
        <v>1</v>
      </c>
      <c r="F145" s="452">
        <f>VLOOKUP(B145,Cotizaciones!B:D,3,0)</f>
        <v>450.87239996086493</v>
      </c>
      <c r="G145" s="452">
        <f t="shared" si="5"/>
        <v>450.87239996086493</v>
      </c>
    </row>
    <row r="146" spans="2:8">
      <c r="B146" s="16" t="s">
        <v>1736</v>
      </c>
      <c r="C146" s="539" t="s">
        <v>1731</v>
      </c>
      <c r="E146" s="16">
        <v>1</v>
      </c>
      <c r="F146" s="452">
        <f>VLOOKUP(B146,Cotizaciones!B:D,3,0)</f>
        <v>922.24144523673874</v>
      </c>
      <c r="G146" s="452">
        <f t="shared" si="5"/>
        <v>922.24144523673874</v>
      </c>
    </row>
    <row r="148" spans="2:8" ht="26">
      <c r="B148" s="700" t="s">
        <v>1723</v>
      </c>
      <c r="H148" s="956">
        <f>+SUM(G149:G151)</f>
        <v>3839.5345202802223</v>
      </c>
    </row>
    <row r="149" spans="2:8">
      <c r="B149" s="16" t="s">
        <v>1737</v>
      </c>
      <c r="E149" s="16">
        <v>1</v>
      </c>
      <c r="F149" s="17">
        <f>2600/1.21</f>
        <v>2148.7603305785124</v>
      </c>
      <c r="G149" s="452">
        <f t="shared" si="5"/>
        <v>2148.7603305785124</v>
      </c>
    </row>
    <row r="150" spans="2:8">
      <c r="B150" s="16" t="s">
        <v>1734</v>
      </c>
      <c r="E150" s="16">
        <v>1</v>
      </c>
      <c r="F150" s="452">
        <f>VLOOKUP(B150,Cotizaciones!B:D,3,0)</f>
        <v>461.11534292143631</v>
      </c>
      <c r="G150" s="452">
        <f t="shared" si="5"/>
        <v>461.11534292143631</v>
      </c>
    </row>
    <row r="151" spans="2:8">
      <c r="B151" s="625" t="s">
        <v>797</v>
      </c>
      <c r="E151" s="467">
        <v>1</v>
      </c>
      <c r="F151" s="452">
        <f>VLOOKUP(B151,Cotizaciones!B:D,3,0)</f>
        <v>1229.6588467802735</v>
      </c>
      <c r="G151" s="452">
        <f t="shared" si="5"/>
        <v>1229.6588467802735</v>
      </c>
    </row>
    <row r="152" spans="2:8">
      <c r="G152" s="452"/>
    </row>
    <row r="153" spans="2:8" ht="26">
      <c r="B153" s="700" t="s">
        <v>1724</v>
      </c>
      <c r="H153" s="956">
        <f>+SUM(G154:G156)</f>
        <v>6314.6459338307413</v>
      </c>
    </row>
    <row r="154" spans="2:8">
      <c r="B154" s="16" t="s">
        <v>810</v>
      </c>
      <c r="E154" s="467">
        <v>1</v>
      </c>
      <c r="F154" s="452">
        <f>VLOOKUP(B154,Cotizaciones!B:D,3,0)</f>
        <v>4623.8717441290319</v>
      </c>
      <c r="G154" s="452">
        <f t="shared" si="5"/>
        <v>4623.8717441290319</v>
      </c>
    </row>
    <row r="155" spans="2:8">
      <c r="B155" s="16" t="s">
        <v>1734</v>
      </c>
      <c r="E155" s="16">
        <v>1</v>
      </c>
      <c r="F155" s="452">
        <f>VLOOKUP(B155,Cotizaciones!B:D,3,0)</f>
        <v>461.11534292143631</v>
      </c>
      <c r="G155" s="452">
        <f t="shared" si="5"/>
        <v>461.11534292143631</v>
      </c>
    </row>
    <row r="156" spans="2:8">
      <c r="B156" s="625" t="s">
        <v>797</v>
      </c>
      <c r="E156" s="467">
        <v>1</v>
      </c>
      <c r="F156" s="452">
        <f>VLOOKUP(B156,Cotizaciones!B:D,3,0)</f>
        <v>1229.6588467802735</v>
      </c>
      <c r="G156" s="452">
        <f t="shared" si="5"/>
        <v>1229.6588467802735</v>
      </c>
    </row>
    <row r="159" spans="2:8" ht="26">
      <c r="B159" s="700" t="s">
        <v>1728</v>
      </c>
      <c r="H159" s="956">
        <f>+SUM(G160:G162)</f>
        <v>4996.5593136686521</v>
      </c>
    </row>
    <row r="160" spans="2:8">
      <c r="B160" s="16" t="s">
        <v>1738</v>
      </c>
      <c r="E160" s="467">
        <v>1</v>
      </c>
      <c r="F160" s="17">
        <f>4000/1.21</f>
        <v>3305.7851239669421</v>
      </c>
      <c r="G160" s="452">
        <f t="shared" si="5"/>
        <v>3305.7851239669421</v>
      </c>
    </row>
    <row r="161" spans="2:8">
      <c r="B161" s="16" t="s">
        <v>1734</v>
      </c>
      <c r="E161" s="16">
        <v>1</v>
      </c>
      <c r="F161" s="452">
        <f>VLOOKUP(B161,Cotizaciones!B:D,3,0)</f>
        <v>461.11534292143631</v>
      </c>
      <c r="G161" s="452">
        <f t="shared" si="5"/>
        <v>461.11534292143631</v>
      </c>
    </row>
    <row r="162" spans="2:8">
      <c r="B162" s="625" t="s">
        <v>797</v>
      </c>
      <c r="E162" s="467">
        <v>1</v>
      </c>
      <c r="F162" s="452">
        <f>VLOOKUP(B162,Cotizaciones!B:D,3,0)</f>
        <v>1229.6588467802735</v>
      </c>
      <c r="G162" s="452">
        <f t="shared" si="5"/>
        <v>1229.6588467802735</v>
      </c>
    </row>
    <row r="165" spans="2:8" ht="26">
      <c r="B165" s="747" t="s">
        <v>1725</v>
      </c>
      <c r="H165" s="956">
        <f>+SUM(G166:G168)</f>
        <v>2203.1708839165858</v>
      </c>
    </row>
    <row r="166" spans="2:8">
      <c r="B166" s="16" t="s">
        <v>1739</v>
      </c>
      <c r="E166" s="16">
        <v>2</v>
      </c>
      <c r="F166" s="957">
        <f>3100/10/1.21</f>
        <v>256.198347107438</v>
      </c>
      <c r="G166" s="452">
        <f t="shared" si="5"/>
        <v>512.39669421487599</v>
      </c>
    </row>
    <row r="167" spans="2:8">
      <c r="B167" s="16" t="s">
        <v>1734</v>
      </c>
      <c r="C167" s="16" t="s">
        <v>1730</v>
      </c>
      <c r="E167" s="16">
        <v>1</v>
      </c>
      <c r="F167" s="452">
        <f>VLOOKUP(B167,Cotizaciones!B:D,3,0)</f>
        <v>461.11534292143631</v>
      </c>
      <c r="G167" s="452">
        <f t="shared" si="5"/>
        <v>461.11534292143631</v>
      </c>
    </row>
    <row r="168" spans="2:8">
      <c r="B168" s="625" t="s">
        <v>797</v>
      </c>
      <c r="C168" s="539" t="s">
        <v>1731</v>
      </c>
      <c r="E168" s="16">
        <v>1</v>
      </c>
      <c r="F168" s="452">
        <f>VLOOKUP(B168,Cotizaciones!B:D,3,0)</f>
        <v>1229.6588467802735</v>
      </c>
      <c r="G168" s="452">
        <f t="shared" si="5"/>
        <v>1229.6588467802735</v>
      </c>
    </row>
  </sheetData>
  <phoneticPr fontId="7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239C-D2FD-47DE-9A8D-48D2DF5F63B4}">
  <sheetPr>
    <tabColor rgb="FF92D050"/>
  </sheetPr>
  <dimension ref="A1:AQ281"/>
  <sheetViews>
    <sheetView topLeftCell="A24" workbookViewId="0"/>
  </sheetViews>
  <sheetFormatPr defaultColWidth="11.453125" defaultRowHeight="14" thickTop="1" thickBottom="1" outlineLevelCol="1"/>
  <cols>
    <col min="1" max="1" width="23.26953125" style="130" bestFit="1" customWidth="1"/>
    <col min="2" max="2" width="23.7265625" style="130" customWidth="1" outlineLevel="1"/>
    <col min="3" max="4" width="12.7265625" style="130" customWidth="1" outlineLevel="1"/>
    <col min="5" max="5" width="17.7265625" style="130" customWidth="1" outlineLevel="1"/>
    <col min="6" max="6" width="29.7265625" style="130" customWidth="1" outlineLevel="1"/>
    <col min="7" max="7" width="9.453125" style="130" customWidth="1" outlineLevel="1"/>
    <col min="8" max="8" width="11.7265625" style="130" customWidth="1" outlineLevel="1"/>
    <col min="9" max="9" width="16" style="130" customWidth="1" outlineLevel="1"/>
    <col min="10" max="12" width="6.54296875" style="130" customWidth="1" outlineLevel="1"/>
    <col min="13" max="13" width="8.26953125" style="130" customWidth="1" outlineLevel="1"/>
    <col min="14" max="14" width="8.453125" style="130" customWidth="1" outlineLevel="1"/>
    <col min="15" max="15" width="26.7265625" style="129" bestFit="1" customWidth="1"/>
    <col min="16" max="16" width="7.26953125" style="129" bestFit="1" customWidth="1"/>
    <col min="17" max="17" width="10.1796875" style="129" bestFit="1" customWidth="1"/>
    <col min="18" max="18" width="12.1796875" style="129" bestFit="1" customWidth="1"/>
    <col min="19" max="19" width="16.1796875" style="129" bestFit="1" customWidth="1"/>
    <col min="20" max="20" width="15.7265625" style="129" bestFit="1" customWidth="1"/>
    <col min="21" max="21" width="16.453125" style="129" bestFit="1" customWidth="1"/>
    <col min="22" max="22" width="15.81640625" style="129" bestFit="1" customWidth="1"/>
    <col min="23" max="23" width="10.1796875" style="129" bestFit="1" customWidth="1"/>
    <col min="24" max="16384" width="11.453125" style="130"/>
  </cols>
  <sheetData>
    <row r="1" spans="1:43" ht="13.5" thickBot="1">
      <c r="A1" s="1194" t="s">
        <v>2004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5"/>
      <c r="N1" s="285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</row>
    <row r="2" spans="1:43" thickTop="1" thickBot="1">
      <c r="A2" s="1194" t="s">
        <v>2005</v>
      </c>
      <c r="B2" s="588" t="s">
        <v>2006</v>
      </c>
      <c r="C2" s="831"/>
      <c r="D2" s="831"/>
      <c r="E2" s="831"/>
      <c r="F2" s="831"/>
      <c r="G2" s="831"/>
      <c r="H2" s="831"/>
      <c r="I2" s="831"/>
      <c r="J2" s="131"/>
      <c r="K2" s="131"/>
      <c r="L2" s="131"/>
      <c r="M2" s="131"/>
      <c r="N2" s="128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</row>
    <row r="3" spans="1:43" thickTop="1" thickBot="1">
      <c r="A3" s="607" t="s">
        <v>1194</v>
      </c>
      <c r="B3" s="1249" t="s">
        <v>1195</v>
      </c>
      <c r="C3" s="1235" t="s">
        <v>1196</v>
      </c>
      <c r="D3" s="1236" t="s">
        <v>1995</v>
      </c>
      <c r="E3" s="1236" t="s">
        <v>1197</v>
      </c>
      <c r="F3" s="1236" t="s">
        <v>1198</v>
      </c>
      <c r="G3" s="1236" t="s">
        <v>1199</v>
      </c>
      <c r="H3" s="1236" t="s">
        <v>1200</v>
      </c>
      <c r="I3" s="1236" t="s">
        <v>1201</v>
      </c>
      <c r="J3" s="1236" t="s">
        <v>1996</v>
      </c>
      <c r="K3" s="1236" t="s">
        <v>1997</v>
      </c>
      <c r="L3" s="1236" t="s">
        <v>1998</v>
      </c>
      <c r="M3" s="1236" t="s">
        <v>1999</v>
      </c>
      <c r="N3" s="1237" t="s">
        <v>2000</v>
      </c>
      <c r="O3" s="968" t="s">
        <v>46</v>
      </c>
      <c r="P3" s="127" t="s">
        <v>1407</v>
      </c>
      <c r="Q3" s="1241" t="s">
        <v>2018</v>
      </c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</row>
    <row r="4" spans="1:43" thickTop="1" thickBot="1">
      <c r="A4" s="589" t="s">
        <v>1203</v>
      </c>
      <c r="B4" s="210" t="s">
        <v>66</v>
      </c>
      <c r="C4" s="772">
        <v>2.5272000000000006</v>
      </c>
      <c r="D4" s="773">
        <v>4.1500000000000004</v>
      </c>
      <c r="E4" s="773">
        <v>0</v>
      </c>
      <c r="F4" s="773">
        <v>0</v>
      </c>
      <c r="G4" s="773">
        <v>0</v>
      </c>
      <c r="H4" s="773">
        <v>0</v>
      </c>
      <c r="I4" s="773">
        <v>0</v>
      </c>
      <c r="J4" s="1238">
        <v>0</v>
      </c>
      <c r="K4" s="1238">
        <v>0</v>
      </c>
      <c r="L4" s="1238">
        <v>0</v>
      </c>
      <c r="M4" s="1238">
        <v>0</v>
      </c>
      <c r="N4" s="1239">
        <v>0</v>
      </c>
      <c r="O4" s="1245">
        <f>+ROUND(SUM(C4:N4),0)</f>
        <v>7</v>
      </c>
      <c r="P4" s="1240">
        <v>110</v>
      </c>
      <c r="Q4" s="129">
        <f t="shared" ref="Q4:Q20" si="0">+O4*P4</f>
        <v>770</v>
      </c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29"/>
      <c r="AQ4" s="129"/>
    </row>
    <row r="5" spans="1:43" thickTop="1" thickBot="1">
      <c r="A5" s="287" t="s">
        <v>1743</v>
      </c>
      <c r="B5" s="173" t="s">
        <v>66</v>
      </c>
      <c r="C5" s="774">
        <v>0</v>
      </c>
      <c r="D5" s="775">
        <v>4.1040000000000001</v>
      </c>
      <c r="E5" s="775">
        <v>0</v>
      </c>
      <c r="F5" s="775">
        <v>0</v>
      </c>
      <c r="G5" s="775">
        <v>0</v>
      </c>
      <c r="H5" s="775">
        <v>0</v>
      </c>
      <c r="I5" s="775">
        <v>0</v>
      </c>
      <c r="J5" s="820">
        <v>0</v>
      </c>
      <c r="K5" s="820">
        <v>0</v>
      </c>
      <c r="L5" s="820">
        <v>0</v>
      </c>
      <c r="M5" s="820">
        <v>0</v>
      </c>
      <c r="N5" s="822">
        <v>0</v>
      </c>
      <c r="O5" s="1243">
        <f t="shared" ref="O5:O20" si="1">+ROUND(SUM(C5:N5),0)</f>
        <v>4</v>
      </c>
      <c r="P5" s="1240">
        <v>180</v>
      </c>
      <c r="Q5" s="129">
        <f t="shared" si="0"/>
        <v>720</v>
      </c>
      <c r="X5" s="129"/>
      <c r="Y5" s="133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</row>
    <row r="6" spans="1:43" thickTop="1" thickBot="1">
      <c r="A6" s="287" t="s">
        <v>2001</v>
      </c>
      <c r="B6" s="173" t="s">
        <v>66</v>
      </c>
      <c r="C6" s="774">
        <v>0</v>
      </c>
      <c r="D6" s="775">
        <v>1.6</v>
      </c>
      <c r="E6" s="775">
        <v>0</v>
      </c>
      <c r="F6" s="775">
        <v>0</v>
      </c>
      <c r="G6" s="775">
        <v>0</v>
      </c>
      <c r="H6" s="775">
        <v>0</v>
      </c>
      <c r="I6" s="775">
        <v>0</v>
      </c>
      <c r="J6" s="820">
        <v>0</v>
      </c>
      <c r="K6" s="820">
        <v>0</v>
      </c>
      <c r="L6" s="820">
        <v>0</v>
      </c>
      <c r="M6" s="820">
        <v>0</v>
      </c>
      <c r="N6" s="822">
        <v>0</v>
      </c>
      <c r="O6" s="1243">
        <f t="shared" si="1"/>
        <v>2</v>
      </c>
      <c r="P6" s="1240">
        <v>110</v>
      </c>
      <c r="Q6" s="129">
        <f t="shared" si="0"/>
        <v>220</v>
      </c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</row>
    <row r="7" spans="1:43" thickTop="1" thickBot="1">
      <c r="A7" s="287" t="s">
        <v>1365</v>
      </c>
      <c r="B7" s="173" t="s">
        <v>66</v>
      </c>
      <c r="C7" s="774">
        <v>10.595999999999998</v>
      </c>
      <c r="D7" s="775">
        <v>0</v>
      </c>
      <c r="E7" s="775">
        <v>0</v>
      </c>
      <c r="F7" s="775">
        <v>0</v>
      </c>
      <c r="G7" s="775">
        <v>0</v>
      </c>
      <c r="H7" s="775">
        <v>0</v>
      </c>
      <c r="I7" s="775">
        <v>0</v>
      </c>
      <c r="J7" s="820">
        <v>0</v>
      </c>
      <c r="K7" s="820">
        <v>0</v>
      </c>
      <c r="L7" s="820">
        <v>0</v>
      </c>
      <c r="M7" s="820">
        <v>0</v>
      </c>
      <c r="N7" s="822">
        <v>0</v>
      </c>
      <c r="O7" s="1243">
        <f t="shared" si="1"/>
        <v>11</v>
      </c>
      <c r="P7" s="1240">
        <v>130</v>
      </c>
      <c r="Q7" s="129">
        <f t="shared" si="0"/>
        <v>1430</v>
      </c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</row>
    <row r="8" spans="1:43" thickTop="1" thickBot="1">
      <c r="A8" s="287" t="s">
        <v>1204</v>
      </c>
      <c r="B8" s="173" t="s">
        <v>66</v>
      </c>
      <c r="C8" s="774">
        <v>9.34694</v>
      </c>
      <c r="D8" s="775">
        <v>0</v>
      </c>
      <c r="E8" s="775">
        <v>0</v>
      </c>
      <c r="F8" s="775">
        <v>0</v>
      </c>
      <c r="G8" s="775">
        <v>0</v>
      </c>
      <c r="H8" s="775">
        <v>0</v>
      </c>
      <c r="I8" s="775">
        <v>0</v>
      </c>
      <c r="J8" s="820">
        <v>0</v>
      </c>
      <c r="K8" s="820">
        <v>0</v>
      </c>
      <c r="L8" s="820">
        <v>0</v>
      </c>
      <c r="M8" s="820">
        <v>0</v>
      </c>
      <c r="N8" s="822">
        <v>0</v>
      </c>
      <c r="O8" s="1243">
        <f t="shared" si="1"/>
        <v>9</v>
      </c>
      <c r="P8" s="1240">
        <v>180</v>
      </c>
      <c r="Q8" s="129">
        <f t="shared" si="0"/>
        <v>1620</v>
      </c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</row>
    <row r="9" spans="1:43" thickTop="1" thickBot="1">
      <c r="A9" s="287" t="s">
        <v>1202</v>
      </c>
      <c r="B9" s="173" t="s">
        <v>66</v>
      </c>
      <c r="C9" s="774">
        <v>0</v>
      </c>
      <c r="D9" s="775">
        <v>9.213750000000001</v>
      </c>
      <c r="E9" s="775">
        <v>0</v>
      </c>
      <c r="F9" s="775">
        <v>0</v>
      </c>
      <c r="G9" s="775">
        <v>0</v>
      </c>
      <c r="H9" s="775">
        <v>0</v>
      </c>
      <c r="I9" s="775">
        <v>0</v>
      </c>
      <c r="J9" s="820">
        <v>0</v>
      </c>
      <c r="K9" s="820">
        <v>0</v>
      </c>
      <c r="L9" s="820">
        <v>0</v>
      </c>
      <c r="M9" s="820">
        <v>0</v>
      </c>
      <c r="N9" s="822">
        <v>0</v>
      </c>
      <c r="O9" s="1243">
        <f t="shared" si="1"/>
        <v>9</v>
      </c>
      <c r="P9" s="1240">
        <v>90</v>
      </c>
      <c r="Q9" s="129">
        <f t="shared" si="0"/>
        <v>810</v>
      </c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</row>
    <row r="10" spans="1:43" thickTop="1" thickBot="1">
      <c r="A10" s="287" t="s">
        <v>2002</v>
      </c>
      <c r="B10" s="173" t="s">
        <v>66</v>
      </c>
      <c r="C10" s="774">
        <v>0</v>
      </c>
      <c r="D10" s="775">
        <v>0.32800000000000007</v>
      </c>
      <c r="E10" s="775">
        <v>0</v>
      </c>
      <c r="F10" s="775">
        <v>0</v>
      </c>
      <c r="G10" s="775">
        <v>0</v>
      </c>
      <c r="H10" s="775">
        <v>0</v>
      </c>
      <c r="I10" s="775">
        <v>0</v>
      </c>
      <c r="J10" s="820">
        <v>0</v>
      </c>
      <c r="K10" s="820">
        <v>0</v>
      </c>
      <c r="L10" s="820">
        <v>0</v>
      </c>
      <c r="M10" s="820">
        <v>0</v>
      </c>
      <c r="N10" s="822">
        <v>0</v>
      </c>
      <c r="O10" s="1243">
        <f t="shared" si="1"/>
        <v>0</v>
      </c>
      <c r="P10" s="1240">
        <v>180</v>
      </c>
      <c r="Q10" s="129">
        <f t="shared" si="0"/>
        <v>0</v>
      </c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</row>
    <row r="11" spans="1:43" thickTop="1" thickBot="1">
      <c r="A11" s="287" t="s">
        <v>1744</v>
      </c>
      <c r="B11" s="173" t="s">
        <v>66</v>
      </c>
      <c r="C11" s="774">
        <v>0</v>
      </c>
      <c r="D11" s="775">
        <v>0</v>
      </c>
      <c r="E11" s="775">
        <v>1.0206</v>
      </c>
      <c r="F11" s="775">
        <v>0</v>
      </c>
      <c r="G11" s="775">
        <v>0</v>
      </c>
      <c r="H11" s="775">
        <v>0</v>
      </c>
      <c r="I11" s="775">
        <v>0</v>
      </c>
      <c r="J11" s="820">
        <v>0</v>
      </c>
      <c r="K11" s="820">
        <v>0</v>
      </c>
      <c r="L11" s="820">
        <v>0</v>
      </c>
      <c r="M11" s="820">
        <v>0</v>
      </c>
      <c r="N11" s="822">
        <v>0</v>
      </c>
      <c r="O11" s="1243"/>
      <c r="P11" s="1240">
        <v>120</v>
      </c>
      <c r="Q11" s="129">
        <f t="shared" si="0"/>
        <v>0</v>
      </c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</row>
    <row r="12" spans="1:43" thickTop="1" thickBot="1">
      <c r="A12" s="286" t="s">
        <v>1208</v>
      </c>
      <c r="B12" s="925" t="s">
        <v>66</v>
      </c>
      <c r="C12" s="969">
        <v>0</v>
      </c>
      <c r="D12" s="820">
        <v>1.5329999999999999</v>
      </c>
      <c r="E12" s="820">
        <v>6.6532800000000005</v>
      </c>
      <c r="F12" s="820">
        <v>3.7631999999999981</v>
      </c>
      <c r="G12" s="820">
        <v>3.7631999999999981</v>
      </c>
      <c r="H12" s="820">
        <v>3.7631999999999981</v>
      </c>
      <c r="I12" s="820">
        <v>3.7631999999999981</v>
      </c>
      <c r="J12" s="820">
        <v>3.7631999999999981</v>
      </c>
      <c r="K12" s="820">
        <v>3.3599999999999994</v>
      </c>
      <c r="L12" s="820">
        <v>1.6463999999999999</v>
      </c>
      <c r="M12" s="820">
        <v>7.1999999999999995E-2</v>
      </c>
      <c r="N12" s="822">
        <v>0.18</v>
      </c>
      <c r="O12" s="1243">
        <f t="shared" si="1"/>
        <v>32</v>
      </c>
      <c r="P12" s="1240">
        <v>240</v>
      </c>
      <c r="Q12" s="129">
        <f t="shared" si="0"/>
        <v>7680</v>
      </c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</row>
    <row r="13" spans="1:43" thickTop="1" thickBot="1">
      <c r="A13" s="287" t="s">
        <v>1207</v>
      </c>
      <c r="B13" s="173" t="s">
        <v>66</v>
      </c>
      <c r="C13" s="776">
        <v>0</v>
      </c>
      <c r="D13" s="777">
        <v>0</v>
      </c>
      <c r="E13" s="777">
        <v>3.7290239999999999</v>
      </c>
      <c r="F13" s="777">
        <v>3.1449599999999993</v>
      </c>
      <c r="G13" s="777">
        <v>3.1449599999999993</v>
      </c>
      <c r="H13" s="777">
        <v>3.1449599999999993</v>
      </c>
      <c r="I13" s="777">
        <v>3.1449599999999993</v>
      </c>
      <c r="J13" s="820">
        <v>3.1449599999999993</v>
      </c>
      <c r="K13" s="820">
        <v>3.1449599999999993</v>
      </c>
      <c r="L13" s="820">
        <v>3.1449599999999993</v>
      </c>
      <c r="M13" s="820">
        <v>1.1232</v>
      </c>
      <c r="N13" s="822">
        <v>1.9379999999999997</v>
      </c>
      <c r="O13" s="1243">
        <f>+ROUND(SUM(C13:N13,C11:N11),0)</f>
        <v>30</v>
      </c>
      <c r="P13" s="1240">
        <v>120</v>
      </c>
      <c r="Q13" s="129">
        <f t="shared" si="0"/>
        <v>3600</v>
      </c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</row>
    <row r="14" spans="1:43" thickTop="1" thickBot="1">
      <c r="A14" s="287" t="s">
        <v>1206</v>
      </c>
      <c r="B14" s="173" t="s">
        <v>66</v>
      </c>
      <c r="C14" s="776">
        <v>0</v>
      </c>
      <c r="D14" s="777">
        <v>0</v>
      </c>
      <c r="E14" s="777">
        <v>1.82904</v>
      </c>
      <c r="F14" s="777">
        <v>1.2227999999999999</v>
      </c>
      <c r="G14" s="777">
        <v>1.2227999999999999</v>
      </c>
      <c r="H14" s="777">
        <v>1.2227999999999999</v>
      </c>
      <c r="I14" s="777">
        <v>1.2227999999999999</v>
      </c>
      <c r="J14" s="820">
        <v>0.61559999999999993</v>
      </c>
      <c r="K14" s="820">
        <v>0</v>
      </c>
      <c r="L14" s="820">
        <v>0</v>
      </c>
      <c r="M14" s="820">
        <v>0</v>
      </c>
      <c r="N14" s="822">
        <v>0</v>
      </c>
      <c r="O14" s="1243">
        <f t="shared" si="1"/>
        <v>7</v>
      </c>
      <c r="P14" s="1240">
        <v>120</v>
      </c>
      <c r="Q14" s="129">
        <f t="shared" si="0"/>
        <v>840</v>
      </c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</row>
    <row r="15" spans="1:43" s="132" customFormat="1" ht="13.5" thickTop="1">
      <c r="A15" s="287" t="s">
        <v>2003</v>
      </c>
      <c r="B15" s="173" t="s">
        <v>66</v>
      </c>
      <c r="C15" s="776">
        <v>0</v>
      </c>
      <c r="D15" s="777">
        <v>0</v>
      </c>
      <c r="E15" s="777">
        <v>11.908000000000001</v>
      </c>
      <c r="F15" s="777">
        <v>0</v>
      </c>
      <c r="G15" s="777">
        <v>0</v>
      </c>
      <c r="H15" s="777">
        <v>0</v>
      </c>
      <c r="I15" s="777">
        <v>0</v>
      </c>
      <c r="J15" s="820">
        <v>0</v>
      </c>
      <c r="K15" s="820">
        <v>0</v>
      </c>
      <c r="L15" s="820">
        <v>0</v>
      </c>
      <c r="M15" s="820">
        <v>0</v>
      </c>
      <c r="N15" s="822">
        <v>0</v>
      </c>
      <c r="O15" s="1243">
        <f t="shared" si="1"/>
        <v>12</v>
      </c>
      <c r="P15" s="1240">
        <v>180</v>
      </c>
      <c r="Q15" s="129">
        <f>+O15*P15</f>
        <v>2160</v>
      </c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</row>
    <row r="16" spans="1:43" s="132" customFormat="1" ht="13">
      <c r="A16" s="287" t="s">
        <v>1137</v>
      </c>
      <c r="B16" s="173" t="s">
        <v>66</v>
      </c>
      <c r="C16" s="776">
        <v>0</v>
      </c>
      <c r="D16" s="777">
        <v>0.52312500000000006</v>
      </c>
      <c r="E16" s="777">
        <v>4.0155749999999992</v>
      </c>
      <c r="F16" s="777">
        <v>4.77522</v>
      </c>
      <c r="G16" s="777">
        <v>4.77522</v>
      </c>
      <c r="H16" s="777">
        <v>4.77522</v>
      </c>
      <c r="I16" s="777">
        <v>4.77522</v>
      </c>
      <c r="J16" s="820">
        <v>4.9588200000000002</v>
      </c>
      <c r="K16" s="820">
        <v>4.5262799999999999</v>
      </c>
      <c r="L16" s="820">
        <v>6.550860000000001</v>
      </c>
      <c r="M16" s="820">
        <v>0.55679999999999996</v>
      </c>
      <c r="N16" s="970">
        <v>0.98123999999999989</v>
      </c>
      <c r="O16" s="1243">
        <f t="shared" si="1"/>
        <v>41</v>
      </c>
      <c r="P16" s="1240">
        <v>120</v>
      </c>
      <c r="Q16" s="129">
        <f t="shared" si="0"/>
        <v>4920</v>
      </c>
      <c r="R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</row>
    <row r="17" spans="1:19" s="129" customFormat="1" ht="13">
      <c r="A17" s="287" t="s">
        <v>1141</v>
      </c>
      <c r="B17" s="173" t="s">
        <v>66</v>
      </c>
      <c r="C17" s="776">
        <v>0</v>
      </c>
      <c r="D17" s="777">
        <v>2.3615250000000003</v>
      </c>
      <c r="E17" s="777">
        <v>15.851759999999999</v>
      </c>
      <c r="F17" s="777">
        <v>17.843508</v>
      </c>
      <c r="G17" s="777">
        <v>17.843508</v>
      </c>
      <c r="H17" s="777">
        <v>17.843508</v>
      </c>
      <c r="I17" s="777">
        <v>17.843508</v>
      </c>
      <c r="J17" s="821">
        <v>17.843508</v>
      </c>
      <c r="K17" s="821">
        <v>13.478396</v>
      </c>
      <c r="L17" s="821">
        <v>10.252737999999999</v>
      </c>
      <c r="M17" s="821">
        <v>1.1055360000000001</v>
      </c>
      <c r="N17" s="822">
        <v>2.2423679999999999</v>
      </c>
      <c r="O17" s="1243">
        <f t="shared" si="1"/>
        <v>135</v>
      </c>
      <c r="P17" s="1240">
        <v>95</v>
      </c>
      <c r="Q17" s="129">
        <f t="shared" si="0"/>
        <v>12825</v>
      </c>
    </row>
    <row r="18" spans="1:19" s="129" customFormat="1" ht="13">
      <c r="A18" s="287" t="s">
        <v>1205</v>
      </c>
      <c r="B18" s="173" t="s">
        <v>66</v>
      </c>
      <c r="C18" s="818">
        <v>0</v>
      </c>
      <c r="D18" s="819">
        <v>0</v>
      </c>
      <c r="E18" s="819">
        <v>2.3280959999999995</v>
      </c>
      <c r="F18" s="819">
        <v>2.3486399999999996</v>
      </c>
      <c r="G18" s="819">
        <v>2.3486399999999996</v>
      </c>
      <c r="H18" s="819">
        <v>2.3486399999999996</v>
      </c>
      <c r="I18" s="819">
        <v>2.3486399999999996</v>
      </c>
      <c r="J18" s="821">
        <v>1.2129599999999998</v>
      </c>
      <c r="K18" s="821">
        <v>0</v>
      </c>
      <c r="L18" s="821">
        <v>0</v>
      </c>
      <c r="M18" s="821">
        <v>0</v>
      </c>
      <c r="N18" s="822">
        <v>0</v>
      </c>
      <c r="O18" s="1243">
        <f t="shared" si="1"/>
        <v>13</v>
      </c>
      <c r="P18" s="1240">
        <v>95</v>
      </c>
      <c r="Q18" s="129">
        <f t="shared" si="0"/>
        <v>1235</v>
      </c>
    </row>
    <row r="19" spans="1:19" s="129" customFormat="1" ht="13">
      <c r="A19" s="287" t="s">
        <v>1209</v>
      </c>
      <c r="B19" s="173" t="s">
        <v>66</v>
      </c>
      <c r="C19" s="818">
        <v>0</v>
      </c>
      <c r="D19" s="821">
        <v>0</v>
      </c>
      <c r="E19" s="819">
        <v>1.643</v>
      </c>
      <c r="F19" s="821">
        <v>1.7589999999999999</v>
      </c>
      <c r="G19" s="821">
        <v>1.7589999999999999</v>
      </c>
      <c r="H19" s="821">
        <v>1.7589999999999999</v>
      </c>
      <c r="I19" s="821">
        <v>1.7589999999999999</v>
      </c>
      <c r="J19" s="821">
        <v>1.7589999999999999</v>
      </c>
      <c r="K19" s="821">
        <v>1.7589999999999999</v>
      </c>
      <c r="L19" s="821">
        <v>1.99</v>
      </c>
      <c r="M19" s="821">
        <v>0.23400000000000001</v>
      </c>
      <c r="N19" s="822">
        <v>0</v>
      </c>
      <c r="O19" s="1243">
        <f t="shared" si="1"/>
        <v>14</v>
      </c>
      <c r="P19" s="1240">
        <v>105</v>
      </c>
      <c r="Q19" s="129">
        <f t="shared" si="0"/>
        <v>1470</v>
      </c>
    </row>
    <row r="20" spans="1:19" s="129" customFormat="1" ht="13">
      <c r="A20" s="1254" t="s">
        <v>2019</v>
      </c>
      <c r="B20" s="1255" t="s">
        <v>66</v>
      </c>
      <c r="C20" s="1250">
        <v>0</v>
      </c>
      <c r="D20" s="1251">
        <v>0</v>
      </c>
      <c r="E20" s="1252">
        <v>0</v>
      </c>
      <c r="F20" s="1251">
        <v>0.71999999999999986</v>
      </c>
      <c r="G20" s="1251">
        <v>0</v>
      </c>
      <c r="H20" s="1251">
        <v>0</v>
      </c>
      <c r="I20" s="1251">
        <v>0</v>
      </c>
      <c r="J20" s="1251">
        <v>0.49200000000000005</v>
      </c>
      <c r="K20" s="1251">
        <v>0.51150000000000007</v>
      </c>
      <c r="L20" s="1251">
        <v>0.42000000000000004</v>
      </c>
      <c r="M20" s="1251">
        <v>0</v>
      </c>
      <c r="N20" s="1253">
        <v>0</v>
      </c>
      <c r="O20" s="1246">
        <f t="shared" si="1"/>
        <v>2</v>
      </c>
      <c r="P20" s="1240">
        <v>120</v>
      </c>
      <c r="Q20" s="129">
        <f t="shared" si="0"/>
        <v>240</v>
      </c>
    </row>
    <row r="21" spans="1:19" s="129" customFormat="1" ht="13">
      <c r="C21" s="543">
        <f>+SUM(C4:C20)</f>
        <v>22.470140000000001</v>
      </c>
      <c r="D21" s="543">
        <f t="shared" ref="D21:N21" si="2">+SUM(D4:D20)</f>
        <v>23.813400000000005</v>
      </c>
      <c r="E21" s="543">
        <f t="shared" si="2"/>
        <v>48.978375</v>
      </c>
      <c r="F21" s="543">
        <f t="shared" si="2"/>
        <v>35.577327999999994</v>
      </c>
      <c r="G21" s="543">
        <f t="shared" si="2"/>
        <v>34.857327999999995</v>
      </c>
      <c r="H21" s="543">
        <f t="shared" si="2"/>
        <v>34.857327999999995</v>
      </c>
      <c r="I21" s="543">
        <f t="shared" si="2"/>
        <v>34.857327999999995</v>
      </c>
      <c r="J21" s="543">
        <f t="shared" si="2"/>
        <v>33.790047999999992</v>
      </c>
      <c r="K21" s="543">
        <f t="shared" si="2"/>
        <v>26.780136000000002</v>
      </c>
      <c r="L21" s="543">
        <f t="shared" si="2"/>
        <v>24.004957999999998</v>
      </c>
      <c r="M21" s="543">
        <f t="shared" si="2"/>
        <v>3.0915360000000001</v>
      </c>
      <c r="N21" s="543">
        <f t="shared" si="2"/>
        <v>5.3416079999999999</v>
      </c>
      <c r="O21" s="1244">
        <f>+SUM(O4:O20)</f>
        <v>328</v>
      </c>
      <c r="Q21" s="133">
        <f>SUM(Q4:Q20)</f>
        <v>40540</v>
      </c>
      <c r="R21" s="358">
        <f>+Q21/O21</f>
        <v>123.59756097560975</v>
      </c>
    </row>
    <row r="22" spans="1:19" s="129" customFormat="1" ht="13">
      <c r="E22" s="133"/>
      <c r="Q22" s="127"/>
      <c r="R22" s="127" t="s">
        <v>1435</v>
      </c>
    </row>
    <row r="23" spans="1:19" s="129" customFormat="1" ht="13">
      <c r="A23" s="608" t="s">
        <v>673</v>
      </c>
    </row>
    <row r="24" spans="1:19" s="129" customFormat="1" ht="13">
      <c r="A24" s="1242" t="s">
        <v>1211</v>
      </c>
      <c r="B24" s="127" t="s">
        <v>1212</v>
      </c>
      <c r="C24" s="127"/>
      <c r="D24" s="127"/>
      <c r="E24" s="979" t="s">
        <v>1213</v>
      </c>
      <c r="F24" s="135" t="s">
        <v>485</v>
      </c>
      <c r="G24" s="135" t="s">
        <v>1214</v>
      </c>
      <c r="H24" s="135" t="s">
        <v>1215</v>
      </c>
      <c r="S24" s="129">
        <v>9</v>
      </c>
    </row>
    <row r="25" spans="1:19" s="129" customFormat="1" ht="13">
      <c r="A25" s="129" t="s">
        <v>277</v>
      </c>
      <c r="B25" s="129">
        <f>VLOOKUP(A25,Cotizaciones!B:D,3,0)</f>
        <v>125000</v>
      </c>
      <c r="D25" s="133"/>
      <c r="E25" s="136">
        <f>+P38</f>
        <v>13</v>
      </c>
      <c r="F25" s="136">
        <f>+B26*E25</f>
        <v>6929000</v>
      </c>
      <c r="G25" s="136">
        <f>+O21</f>
        <v>328</v>
      </c>
      <c r="H25" s="244">
        <f>+F25/G25</f>
        <v>21125</v>
      </c>
      <c r="I25" s="129" t="s">
        <v>263</v>
      </c>
      <c r="O25" s="129" t="s">
        <v>2007</v>
      </c>
      <c r="P25" s="127" t="s">
        <v>523</v>
      </c>
      <c r="Q25" s="127" t="s">
        <v>66</v>
      </c>
      <c r="R25" s="127" t="s">
        <v>1216</v>
      </c>
      <c r="S25" s="127" t="s">
        <v>1217</v>
      </c>
    </row>
    <row r="26" spans="1:19" s="129" customFormat="1" ht="13">
      <c r="A26" s="129" t="s">
        <v>278</v>
      </c>
      <c r="B26" s="129">
        <f>VLOOKUP(A26,Cotizaciones!B:D,3,0)</f>
        <v>533000</v>
      </c>
      <c r="H26" s="129">
        <f>+B27</f>
        <v>5330</v>
      </c>
      <c r="I26" s="129" t="s">
        <v>262</v>
      </c>
      <c r="O26" s="129" t="s">
        <v>2008</v>
      </c>
      <c r="P26" s="135">
        <v>1</v>
      </c>
      <c r="Q26" s="129">
        <f>+O4</f>
        <v>7</v>
      </c>
      <c r="R26" s="129">
        <f t="shared" ref="R26:R37" si="3">+Q26/P26</f>
        <v>7</v>
      </c>
      <c r="S26" s="129">
        <f t="shared" ref="S26:S37" si="4">+ROUNDUP(R26/$S$24*P26,0)</f>
        <v>1</v>
      </c>
    </row>
    <row r="27" spans="1:19" s="129" customFormat="1" ht="13">
      <c r="A27" s="129" t="s">
        <v>262</v>
      </c>
      <c r="B27" s="129">
        <f>VLOOKUP(A27,Cotizaciones!B:D,3,0)</f>
        <v>5330</v>
      </c>
      <c r="H27" s="129">
        <f>+B28</f>
        <v>1500</v>
      </c>
      <c r="I27" s="129" t="s">
        <v>676</v>
      </c>
      <c r="O27" s="129" t="s">
        <v>2009</v>
      </c>
      <c r="P27" s="135">
        <v>2</v>
      </c>
      <c r="Q27" s="129">
        <f>+SUM(O5:O9)</f>
        <v>35</v>
      </c>
      <c r="R27" s="129">
        <f t="shared" si="3"/>
        <v>17.5</v>
      </c>
      <c r="S27" s="129">
        <f t="shared" si="4"/>
        <v>4</v>
      </c>
    </row>
    <row r="28" spans="1:19" s="129" customFormat="1" ht="13">
      <c r="A28" s="129" t="s">
        <v>676</v>
      </c>
      <c r="B28" s="129">
        <f>VLOOKUP(A28,Cotizaciones!B:D,3,0)</f>
        <v>1500</v>
      </c>
      <c r="H28" s="129">
        <f>+B25</f>
        <v>125000</v>
      </c>
      <c r="I28" s="129" t="s">
        <v>1218</v>
      </c>
      <c r="O28" s="129" t="s">
        <v>1222</v>
      </c>
      <c r="P28" s="129">
        <v>1</v>
      </c>
      <c r="Q28" s="129">
        <f>+ROUNDUP(E21,0)</f>
        <v>49</v>
      </c>
      <c r="R28" s="129">
        <f t="shared" si="3"/>
        <v>49</v>
      </c>
      <c r="S28" s="129">
        <f t="shared" si="4"/>
        <v>6</v>
      </c>
    </row>
    <row r="29" spans="1:19" s="129" customFormat="1" ht="13">
      <c r="G29" s="392">
        <v>0.05</v>
      </c>
      <c r="H29" s="129">
        <f>+SUM(H26:H28)*G29</f>
        <v>6591.5</v>
      </c>
      <c r="I29" s="129" t="s">
        <v>1219</v>
      </c>
      <c r="O29" s="129" t="s">
        <v>2010</v>
      </c>
      <c r="P29" s="129">
        <v>1</v>
      </c>
      <c r="Q29" s="129">
        <f>+ROUNDUP(F21,0)</f>
        <v>36</v>
      </c>
      <c r="R29" s="129">
        <f t="shared" si="3"/>
        <v>36</v>
      </c>
      <c r="S29" s="129">
        <f t="shared" si="4"/>
        <v>4</v>
      </c>
    </row>
    <row r="30" spans="1:19" s="129" customFormat="1" ht="13">
      <c r="B30" s="133"/>
      <c r="E30" s="129">
        <v>0.05</v>
      </c>
      <c r="F30" s="129" t="s">
        <v>1221</v>
      </c>
      <c r="H30" s="137">
        <f>ROUNDUP(SUM(H25:H29),0)</f>
        <v>159547</v>
      </c>
      <c r="O30" s="129" t="s">
        <v>2011</v>
      </c>
      <c r="P30" s="129">
        <v>1</v>
      </c>
      <c r="Q30" s="129">
        <f>+ROUNDUP(G21,0)</f>
        <v>35</v>
      </c>
      <c r="R30" s="129">
        <f t="shared" si="3"/>
        <v>35</v>
      </c>
      <c r="S30" s="129">
        <f t="shared" si="4"/>
        <v>4</v>
      </c>
    </row>
    <row r="31" spans="1:19" s="129" customFormat="1" ht="13">
      <c r="F31" s="129" t="s">
        <v>1223</v>
      </c>
      <c r="O31" s="129" t="s">
        <v>2012</v>
      </c>
      <c r="P31" s="129">
        <v>1</v>
      </c>
      <c r="Q31" s="129">
        <f>+ROUNDUP(H21,0)</f>
        <v>35</v>
      </c>
      <c r="R31" s="129">
        <f t="shared" si="3"/>
        <v>35</v>
      </c>
      <c r="S31" s="129">
        <f t="shared" si="4"/>
        <v>4</v>
      </c>
    </row>
    <row r="32" spans="1:19" s="129" customFormat="1" ht="13">
      <c r="A32" s="134"/>
      <c r="E32" s="129">
        <v>0.05</v>
      </c>
      <c r="F32" s="129" t="s">
        <v>258</v>
      </c>
      <c r="H32" s="133"/>
      <c r="O32" s="129" t="s">
        <v>2013</v>
      </c>
      <c r="P32" s="129">
        <v>1</v>
      </c>
      <c r="Q32" s="129">
        <f>+ROUNDUP(I21,0)</f>
        <v>35</v>
      </c>
      <c r="R32" s="129">
        <f t="shared" si="3"/>
        <v>35</v>
      </c>
      <c r="S32" s="129">
        <f t="shared" si="4"/>
        <v>4</v>
      </c>
    </row>
    <row r="33" spans="1:20" s="129" customFormat="1" ht="13">
      <c r="A33" s="982" t="s">
        <v>1224</v>
      </c>
      <c r="E33" s="129">
        <f>+SUM(E30:E32)+1</f>
        <v>1.1000000000000001</v>
      </c>
      <c r="L33" s="133"/>
      <c r="O33" s="129" t="s">
        <v>2014</v>
      </c>
      <c r="P33" s="129">
        <v>1</v>
      </c>
      <c r="Q33" s="129">
        <f>+ROUNDUP(J21,0)</f>
        <v>34</v>
      </c>
      <c r="R33" s="129">
        <f t="shared" si="3"/>
        <v>34</v>
      </c>
      <c r="S33" s="129">
        <f t="shared" si="4"/>
        <v>4</v>
      </c>
    </row>
    <row r="34" spans="1:20" s="129" customFormat="1" ht="13">
      <c r="A34" s="138" t="s">
        <v>1211</v>
      </c>
      <c r="B34" s="127" t="s">
        <v>50</v>
      </c>
      <c r="C34" s="127" t="s">
        <v>1225</v>
      </c>
      <c r="D34" s="127" t="s">
        <v>1226</v>
      </c>
      <c r="E34" s="127" t="s">
        <v>258</v>
      </c>
      <c r="O34" s="129" t="s">
        <v>2015</v>
      </c>
      <c r="P34" s="129">
        <v>1</v>
      </c>
      <c r="Q34" s="129">
        <f>+ROUNDUP(K21,0)</f>
        <v>27</v>
      </c>
      <c r="R34" s="129">
        <f t="shared" si="3"/>
        <v>27</v>
      </c>
      <c r="S34" s="129">
        <f t="shared" si="4"/>
        <v>3</v>
      </c>
    </row>
    <row r="35" spans="1:20" s="129" customFormat="1" ht="13">
      <c r="A35" s="138" t="s">
        <v>679</v>
      </c>
      <c r="C35" s="129">
        <v>2.66</v>
      </c>
      <c r="D35" s="129">
        <f>VLOOKUP(A35,Cotizaciones!B:D,3,0)</f>
        <v>1769.41</v>
      </c>
      <c r="E35" s="129">
        <f t="shared" ref="E35:E41" si="5">+D35*$E$33</f>
        <v>1946.3510000000003</v>
      </c>
      <c r="O35" s="129" t="s">
        <v>2016</v>
      </c>
      <c r="P35" s="129">
        <v>1</v>
      </c>
      <c r="Q35" s="129">
        <f>+ROUNDUP(L21,0)</f>
        <v>25</v>
      </c>
      <c r="R35" s="129">
        <f t="shared" si="3"/>
        <v>25</v>
      </c>
      <c r="S35" s="129">
        <f t="shared" si="4"/>
        <v>3</v>
      </c>
    </row>
    <row r="36" spans="1:20" s="129" customFormat="1" ht="13">
      <c r="A36" s="138" t="s">
        <v>681</v>
      </c>
      <c r="C36" s="129">
        <v>4.74</v>
      </c>
      <c r="D36" s="129">
        <f>VLOOKUP(A36,Cotizaciones!B:D,3,0)</f>
        <v>1641.01</v>
      </c>
      <c r="E36" s="129">
        <f t="shared" si="5"/>
        <v>1805.1110000000001</v>
      </c>
      <c r="O36" s="129" t="s">
        <v>1999</v>
      </c>
      <c r="P36" s="129">
        <v>1</v>
      </c>
      <c r="Q36" s="129">
        <f>+ROUNDUP(M21,0)</f>
        <v>4</v>
      </c>
      <c r="R36" s="129">
        <f t="shared" si="3"/>
        <v>4</v>
      </c>
      <c r="S36" s="129">
        <f t="shared" si="4"/>
        <v>1</v>
      </c>
    </row>
    <row r="37" spans="1:20" s="129" customFormat="1" ht="13">
      <c r="A37" s="138" t="s">
        <v>682</v>
      </c>
      <c r="C37" s="129">
        <v>7.4</v>
      </c>
      <c r="D37" s="129">
        <f>VLOOKUP(A37,Cotizaciones!B:D,3,0)</f>
        <v>1610.19</v>
      </c>
      <c r="E37" s="129">
        <f t="shared" si="5"/>
        <v>1771.2090000000003</v>
      </c>
      <c r="O37" s="129" t="s">
        <v>2017</v>
      </c>
      <c r="P37" s="129">
        <v>1</v>
      </c>
      <c r="Q37" s="129">
        <f>+ROUNDUP(N21,0)</f>
        <v>6</v>
      </c>
      <c r="R37" s="129">
        <f t="shared" si="3"/>
        <v>6</v>
      </c>
      <c r="S37" s="129">
        <f t="shared" si="4"/>
        <v>1</v>
      </c>
    </row>
    <row r="38" spans="1:20" s="129" customFormat="1" ht="13">
      <c r="A38" s="138" t="s">
        <v>683</v>
      </c>
      <c r="C38" s="129">
        <v>10.7</v>
      </c>
      <c r="D38" s="129">
        <f>VLOOKUP(A38,Cotizaciones!B:D,3,0)</f>
        <v>1569.1</v>
      </c>
      <c r="E38" s="129">
        <f t="shared" si="5"/>
        <v>1726.01</v>
      </c>
      <c r="P38" s="133">
        <f>+SUM(P26:P37)</f>
        <v>13</v>
      </c>
      <c r="Q38" s="133">
        <f>+SUM(Q26:Q37)</f>
        <v>328</v>
      </c>
      <c r="S38" s="133">
        <f>+SUM(S26:S37)</f>
        <v>39</v>
      </c>
    </row>
    <row r="39" spans="1:20" s="129" customFormat="1" ht="13">
      <c r="A39" s="138" t="s">
        <v>684</v>
      </c>
      <c r="C39" s="129">
        <v>18.899999999999999</v>
      </c>
      <c r="D39" s="129">
        <f>VLOOKUP(A39,Cotizaciones!B:D,3,0)</f>
        <v>1537</v>
      </c>
      <c r="E39" s="129">
        <f t="shared" si="5"/>
        <v>1690.7</v>
      </c>
      <c r="S39" s="129">
        <v>2</v>
      </c>
      <c r="T39" s="138" t="s">
        <v>1229</v>
      </c>
    </row>
    <row r="40" spans="1:20" s="129" customFormat="1" ht="13">
      <c r="A40" s="138" t="s">
        <v>685</v>
      </c>
      <c r="C40" s="129">
        <v>29.6</v>
      </c>
      <c r="D40" s="129">
        <f>VLOOKUP(A40,Cotizaciones!B:D,3,0)</f>
        <v>1526.73</v>
      </c>
      <c r="E40" s="129">
        <f t="shared" si="5"/>
        <v>1679.4030000000002</v>
      </c>
      <c r="S40" s="129">
        <f>+S38*S39</f>
        <v>78</v>
      </c>
      <c r="T40" s="138" t="s">
        <v>1230</v>
      </c>
    </row>
    <row r="41" spans="1:20" s="129" customFormat="1" ht="13">
      <c r="A41" s="138" t="s">
        <v>686</v>
      </c>
      <c r="C41" s="129">
        <v>46.2</v>
      </c>
      <c r="D41" s="129">
        <f>VLOOKUP(A41,Cotizaciones!B:D,3,0)</f>
        <v>1526.73</v>
      </c>
      <c r="E41" s="129">
        <f t="shared" si="5"/>
        <v>1679.4030000000002</v>
      </c>
      <c r="S41" s="129">
        <f>+SUBCONTRATOS!D21</f>
        <v>41157.024793388431</v>
      </c>
      <c r="T41" s="138" t="s">
        <v>1235</v>
      </c>
    </row>
    <row r="42" spans="1:20" s="129" customFormat="1" ht="13">
      <c r="D42" s="133">
        <f>+AVERAGE(D35:D41)</f>
        <v>1597.1671428571428</v>
      </c>
      <c r="E42" s="133">
        <f>+AVERAGE(E35:E41)</f>
        <v>1756.8838571428573</v>
      </c>
      <c r="F42" s="138"/>
      <c r="G42" s="138"/>
      <c r="L42" s="133"/>
      <c r="S42" s="137">
        <f>+S40*S41</f>
        <v>3210247.9338842975</v>
      </c>
      <c r="T42" s="138"/>
    </row>
    <row r="43" spans="1:20" s="129" customFormat="1" ht="13">
      <c r="E43" s="137">
        <f>+ROUNDUP(E37,0)</f>
        <v>1772</v>
      </c>
      <c r="F43" s="138" t="s">
        <v>1227</v>
      </c>
      <c r="G43" s="138"/>
      <c r="S43" s="129">
        <f>+P38</f>
        <v>13</v>
      </c>
      <c r="T43" s="138" t="s">
        <v>1236</v>
      </c>
    </row>
    <row r="44" spans="1:20" s="129" customFormat="1" ht="13">
      <c r="C44" s="129" t="s">
        <v>1228</v>
      </c>
      <c r="D44" s="133"/>
      <c r="S44" s="137">
        <f>+S42/S43</f>
        <v>246942.14876033057</v>
      </c>
      <c r="T44" s="138" t="s">
        <v>1237</v>
      </c>
    </row>
    <row r="45" spans="1:20" s="129" customFormat="1" ht="13">
      <c r="C45" s="133">
        <f>+E43</f>
        <v>1772</v>
      </c>
    </row>
    <row r="46" spans="1:20" s="129" customFormat="1" ht="13">
      <c r="A46" s="1257" t="s">
        <v>1231</v>
      </c>
      <c r="B46" s="211" t="s">
        <v>2020</v>
      </c>
      <c r="C46" s="211" t="s">
        <v>1232</v>
      </c>
      <c r="D46" s="211" t="s">
        <v>1233</v>
      </c>
      <c r="E46" s="211" t="s">
        <v>1234</v>
      </c>
      <c r="F46" s="211" t="s">
        <v>485</v>
      </c>
    </row>
    <row r="47" spans="1:20" s="129" customFormat="1" ht="13">
      <c r="A47" s="1256" t="s">
        <v>1203</v>
      </c>
      <c r="B47" s="212">
        <f>+P4</f>
        <v>110</v>
      </c>
      <c r="C47" s="212">
        <f t="shared" ref="C47:C63" si="6">+B47*$C$45</f>
        <v>194920</v>
      </c>
      <c r="D47" s="212">
        <f>+$H$30</f>
        <v>159547</v>
      </c>
      <c r="E47" s="212">
        <f>+'ENCOFRADO '!E116</f>
        <v>2679.1697027804412</v>
      </c>
      <c r="F47" s="213">
        <f t="shared" ref="F47:F63" si="7">+SUM(C47:E47)</f>
        <v>357146.16970278043</v>
      </c>
      <c r="G47" s="129">
        <f>+E47/F47</f>
        <v>7.5016055891347373E-3</v>
      </c>
      <c r="H47" s="393"/>
    </row>
    <row r="48" spans="1:20" s="129" customFormat="1" ht="13">
      <c r="A48" s="783" t="s">
        <v>1743</v>
      </c>
      <c r="B48" s="140">
        <f t="shared" ref="B48:B63" si="8">+P5</f>
        <v>180</v>
      </c>
      <c r="C48" s="140">
        <f t="shared" si="6"/>
        <v>318960</v>
      </c>
      <c r="D48" s="140">
        <f t="shared" ref="D48:D63" si="9">+$H$30</f>
        <v>159547</v>
      </c>
      <c r="E48" s="173">
        <f>+'ENCOFRADO '!E117</f>
        <v>59306.287864245409</v>
      </c>
      <c r="F48" s="141">
        <f t="shared" si="7"/>
        <v>537813.28786424536</v>
      </c>
      <c r="G48" s="129">
        <f>+E48/F48</f>
        <v>0.11027300589719806</v>
      </c>
      <c r="H48" s="393"/>
    </row>
    <row r="49" spans="1:8" s="129" customFormat="1" ht="13">
      <c r="A49" s="778" t="s">
        <v>2001</v>
      </c>
      <c r="B49" s="140">
        <f t="shared" si="8"/>
        <v>110</v>
      </c>
      <c r="C49" s="140">
        <f t="shared" si="6"/>
        <v>194920</v>
      </c>
      <c r="D49" s="140">
        <f t="shared" si="9"/>
        <v>159547</v>
      </c>
      <c r="E49" s="140">
        <f>+'ENCOFRADO '!E116</f>
        <v>2679.1697027804412</v>
      </c>
      <c r="F49" s="141">
        <f t="shared" si="7"/>
        <v>357146.16970278043</v>
      </c>
      <c r="G49" s="129">
        <f>+E49/F49</f>
        <v>7.5016055891347373E-3</v>
      </c>
      <c r="H49" s="393"/>
    </row>
    <row r="50" spans="1:8" s="129" customFormat="1" ht="13">
      <c r="A50" s="783" t="s">
        <v>1365</v>
      </c>
      <c r="B50" s="140">
        <f t="shared" si="8"/>
        <v>130</v>
      </c>
      <c r="C50" s="140">
        <f t="shared" si="6"/>
        <v>230360</v>
      </c>
      <c r="D50" s="140">
        <f t="shared" si="9"/>
        <v>159547</v>
      </c>
      <c r="E50" s="140">
        <f>+'ENCOFRADO '!E116</f>
        <v>2679.1697027804412</v>
      </c>
      <c r="F50" s="141">
        <f t="shared" si="7"/>
        <v>392586.16970278043</v>
      </c>
      <c r="G50" s="129">
        <f>+E50/F50</f>
        <v>6.8244118350088336E-3</v>
      </c>
      <c r="H50" s="393"/>
    </row>
    <row r="51" spans="1:8" s="129" customFormat="1" ht="13">
      <c r="A51" s="778" t="s">
        <v>1204</v>
      </c>
      <c r="B51" s="140">
        <f t="shared" si="8"/>
        <v>180</v>
      </c>
      <c r="C51" s="140">
        <f t="shared" si="6"/>
        <v>318960</v>
      </c>
      <c r="D51" s="140">
        <f t="shared" si="9"/>
        <v>159547</v>
      </c>
      <c r="E51" s="140">
        <f>+'ENCOFRADO '!E117</f>
        <v>59306.287864245409</v>
      </c>
      <c r="F51" s="141">
        <f t="shared" si="7"/>
        <v>537813.28786424536</v>
      </c>
      <c r="G51" s="129">
        <f t="shared" ref="G51:G61" si="10">+E51/F51</f>
        <v>0.11027300589719806</v>
      </c>
      <c r="H51" s="393"/>
    </row>
    <row r="52" spans="1:8" s="129" customFormat="1" ht="13">
      <c r="A52" s="778" t="s">
        <v>1202</v>
      </c>
      <c r="B52" s="140">
        <f t="shared" si="8"/>
        <v>90</v>
      </c>
      <c r="C52" s="140">
        <f t="shared" si="6"/>
        <v>159480</v>
      </c>
      <c r="D52" s="140">
        <f t="shared" si="9"/>
        <v>159547</v>
      </c>
      <c r="E52" s="140">
        <f>+'ENCOFRADO '!E120</f>
        <v>75374.885714285701</v>
      </c>
      <c r="F52" s="141">
        <f t="shared" si="7"/>
        <v>394401.88571428572</v>
      </c>
      <c r="G52" s="129">
        <f t="shared" si="10"/>
        <v>0.19111187964473653</v>
      </c>
      <c r="H52" s="393"/>
    </row>
    <row r="53" spans="1:8" s="129" customFormat="1" ht="13">
      <c r="A53" s="778" t="s">
        <v>2002</v>
      </c>
      <c r="B53" s="173">
        <f>+P10</f>
        <v>180</v>
      </c>
      <c r="C53" s="140">
        <f t="shared" si="6"/>
        <v>318960</v>
      </c>
      <c r="D53" s="140">
        <f t="shared" si="9"/>
        <v>159547</v>
      </c>
      <c r="E53" s="173">
        <f>+'ENCOFRADO '!E118</f>
        <v>63529.050814956856</v>
      </c>
      <c r="F53" s="141">
        <f t="shared" si="7"/>
        <v>542036.05081495689</v>
      </c>
      <c r="G53" s="129">
        <f t="shared" si="10"/>
        <v>0.11720447508876995</v>
      </c>
      <c r="H53" s="393"/>
    </row>
    <row r="54" spans="1:8" s="129" customFormat="1" ht="13">
      <c r="A54" s="778" t="s">
        <v>1744</v>
      </c>
      <c r="B54" s="140">
        <f t="shared" si="8"/>
        <v>120</v>
      </c>
      <c r="C54" s="140">
        <f t="shared" si="6"/>
        <v>212640</v>
      </c>
      <c r="D54" s="140">
        <f t="shared" si="9"/>
        <v>159547</v>
      </c>
      <c r="E54" s="140">
        <f>+'ENCOFRADO '!E118</f>
        <v>63529.050814956856</v>
      </c>
      <c r="F54" s="141">
        <f t="shared" si="7"/>
        <v>435716.05081495683</v>
      </c>
      <c r="G54" s="129">
        <f t="shared" si="10"/>
        <v>0.1458037882610316</v>
      </c>
      <c r="H54" s="393"/>
    </row>
    <row r="55" spans="1:8" s="129" customFormat="1" ht="13">
      <c r="A55" s="779" t="s">
        <v>1208</v>
      </c>
      <c r="B55" s="140">
        <f t="shared" si="8"/>
        <v>240</v>
      </c>
      <c r="C55" s="140">
        <f t="shared" si="6"/>
        <v>425280</v>
      </c>
      <c r="D55" s="140">
        <f t="shared" si="9"/>
        <v>159547</v>
      </c>
      <c r="E55" s="173">
        <f>+'ENCOFRADO '!E118</f>
        <v>63529.050814956856</v>
      </c>
      <c r="F55" s="141">
        <f t="shared" si="7"/>
        <v>648356.05081495689</v>
      </c>
      <c r="G55" s="129">
        <f>+E55/F55</f>
        <v>9.7984819814827748E-2</v>
      </c>
      <c r="H55" s="393"/>
    </row>
    <row r="56" spans="1:8" s="129" customFormat="1" ht="13">
      <c r="A56" s="779" t="s">
        <v>1207</v>
      </c>
      <c r="B56" s="140">
        <f t="shared" si="8"/>
        <v>120</v>
      </c>
      <c r="C56" s="140">
        <f t="shared" si="6"/>
        <v>212640</v>
      </c>
      <c r="D56" s="140">
        <f t="shared" si="9"/>
        <v>159547</v>
      </c>
      <c r="E56" s="140">
        <f>+'ENCOFRADO '!E120</f>
        <v>75374.885714285701</v>
      </c>
      <c r="F56" s="141">
        <f t="shared" si="7"/>
        <v>447561.88571428572</v>
      </c>
      <c r="G56" s="129">
        <f t="shared" si="10"/>
        <v>0.16841220872503759</v>
      </c>
      <c r="H56" s="393"/>
    </row>
    <row r="57" spans="1:8" s="129" customFormat="1" ht="13">
      <c r="A57" s="779" t="s">
        <v>1206</v>
      </c>
      <c r="B57" s="140">
        <f t="shared" si="8"/>
        <v>120</v>
      </c>
      <c r="C57" s="140">
        <f t="shared" si="6"/>
        <v>212640</v>
      </c>
      <c r="D57" s="140">
        <f t="shared" si="9"/>
        <v>159547</v>
      </c>
      <c r="E57" s="140">
        <f>+'ENCOFRADO '!E125</f>
        <v>94202.298519052652</v>
      </c>
      <c r="F57" s="141">
        <f t="shared" ref="F57" si="11">+SUM(C57:E57)</f>
        <v>466389.29851905268</v>
      </c>
      <c r="G57" s="129">
        <f t="shared" si="10"/>
        <v>0.20198211841090163</v>
      </c>
      <c r="H57" s="393"/>
    </row>
    <row r="58" spans="1:8" s="129" customFormat="1" ht="13">
      <c r="A58" s="778" t="s">
        <v>2003</v>
      </c>
      <c r="B58" s="140">
        <f t="shared" si="8"/>
        <v>180</v>
      </c>
      <c r="C58" s="140">
        <f t="shared" si="6"/>
        <v>318960</v>
      </c>
      <c r="D58" s="140">
        <f t="shared" si="9"/>
        <v>159547</v>
      </c>
      <c r="E58" s="173">
        <f>+'ENCOFRADO '!E124</f>
        <v>99862.508788750405</v>
      </c>
      <c r="F58" s="141">
        <f t="shared" si="7"/>
        <v>578369.50878875039</v>
      </c>
      <c r="G58" s="129">
        <f>+E58/F58</f>
        <v>0.17266212563294933</v>
      </c>
      <c r="H58" s="393"/>
    </row>
    <row r="59" spans="1:8" s="129" customFormat="1" ht="13">
      <c r="A59" s="778" t="s">
        <v>1137</v>
      </c>
      <c r="B59" s="140">
        <f t="shared" si="8"/>
        <v>120</v>
      </c>
      <c r="C59" s="140">
        <f t="shared" si="6"/>
        <v>212640</v>
      </c>
      <c r="D59" s="140">
        <f t="shared" si="9"/>
        <v>159547</v>
      </c>
      <c r="E59" s="140">
        <f>+'ENCOFRADO '!E124</f>
        <v>99862.508788750405</v>
      </c>
      <c r="F59" s="141">
        <f t="shared" si="7"/>
        <v>472049.50878875039</v>
      </c>
      <c r="G59" s="129">
        <f t="shared" si="10"/>
        <v>0.21155092194670719</v>
      </c>
      <c r="H59" s="393"/>
    </row>
    <row r="60" spans="1:8" s="129" customFormat="1" ht="13">
      <c r="A60" s="778" t="s">
        <v>1141</v>
      </c>
      <c r="B60" s="140">
        <f t="shared" si="8"/>
        <v>95</v>
      </c>
      <c r="C60" s="140">
        <f t="shared" si="6"/>
        <v>168340</v>
      </c>
      <c r="D60" s="140">
        <f t="shared" si="9"/>
        <v>159547</v>
      </c>
      <c r="E60" s="173">
        <f>+'ENCOFRADO '!E122</f>
        <v>33676.222435282834</v>
      </c>
      <c r="F60" s="141">
        <f t="shared" si="7"/>
        <v>361563.22243528283</v>
      </c>
      <c r="G60" s="129">
        <f>+E60/F60</f>
        <v>9.3140619248990766E-2</v>
      </c>
      <c r="H60" s="393"/>
    </row>
    <row r="61" spans="1:8" s="129" customFormat="1" ht="13">
      <c r="A61" s="778" t="s">
        <v>1205</v>
      </c>
      <c r="B61" s="140">
        <f t="shared" si="8"/>
        <v>95</v>
      </c>
      <c r="C61" s="140">
        <f t="shared" si="6"/>
        <v>168340</v>
      </c>
      <c r="D61" s="140">
        <f t="shared" si="9"/>
        <v>159547</v>
      </c>
      <c r="E61" s="140">
        <f>+'ENCOFRADO '!E123</f>
        <v>40107.551722225304</v>
      </c>
      <c r="F61" s="141">
        <f t="shared" si="7"/>
        <v>367994.55172222533</v>
      </c>
      <c r="G61" s="129">
        <f t="shared" si="10"/>
        <v>0.10898952588977413</v>
      </c>
      <c r="H61" s="393"/>
    </row>
    <row r="62" spans="1:8" s="129" customFormat="1" ht="13">
      <c r="A62" s="778" t="s">
        <v>1209</v>
      </c>
      <c r="B62" s="140">
        <f t="shared" si="8"/>
        <v>105</v>
      </c>
      <c r="C62" s="140">
        <f t="shared" si="6"/>
        <v>186060</v>
      </c>
      <c r="D62" s="140">
        <f t="shared" si="9"/>
        <v>159547</v>
      </c>
      <c r="E62" s="173">
        <f>+'ENCOFRADO '!E126</f>
        <v>59263.2332885906</v>
      </c>
      <c r="F62" s="141">
        <f t="shared" si="7"/>
        <v>404870.23328859062</v>
      </c>
      <c r="G62" s="129">
        <f>+E62/F62</f>
        <v>0.14637587161501175</v>
      </c>
      <c r="H62" s="393"/>
    </row>
    <row r="63" spans="1:8" s="129" customFormat="1" ht="13">
      <c r="A63" s="782" t="s">
        <v>2019</v>
      </c>
      <c r="B63" s="780">
        <f t="shared" si="8"/>
        <v>120</v>
      </c>
      <c r="C63" s="780">
        <f t="shared" si="6"/>
        <v>212640</v>
      </c>
      <c r="D63" s="780">
        <f t="shared" si="9"/>
        <v>159547</v>
      </c>
      <c r="E63" s="780">
        <f>+'ENCOFRADO '!E125</f>
        <v>94202.298519052652</v>
      </c>
      <c r="F63" s="781">
        <f t="shared" si="7"/>
        <v>466389.29851905268</v>
      </c>
      <c r="G63" s="129">
        <f>+E63/F63</f>
        <v>0.20198211841090163</v>
      </c>
    </row>
    <row r="64" spans="1:8" s="129" customFormat="1" ht="13"/>
    <row r="65" spans="1:23" s="129" customFormat="1" ht="13"/>
    <row r="66" spans="1:23" s="129" customFormat="1" ht="13"/>
    <row r="67" spans="1:23" s="129" customFormat="1" ht="13"/>
    <row r="68" spans="1:23" s="132" customFormat="1" ht="13">
      <c r="A68" s="241"/>
      <c r="B68" s="241"/>
      <c r="C68" s="241"/>
      <c r="D68" s="241"/>
      <c r="E68" s="241"/>
      <c r="F68" s="241"/>
      <c r="G68" s="241"/>
      <c r="H68" s="241"/>
      <c r="I68" s="241"/>
      <c r="J68" s="241"/>
      <c r="O68" s="129"/>
      <c r="P68" s="129"/>
      <c r="Q68" s="129"/>
      <c r="R68" s="129"/>
      <c r="S68" s="129"/>
      <c r="T68" s="129"/>
      <c r="U68" s="129"/>
      <c r="V68" s="129"/>
      <c r="W68" s="129"/>
    </row>
    <row r="69" spans="1:23" s="132" customFormat="1" ht="13">
      <c r="A69" s="241"/>
      <c r="B69" s="786"/>
      <c r="C69" s="241"/>
      <c r="D69" s="241"/>
      <c r="E69" s="241"/>
      <c r="F69" s="241"/>
      <c r="G69" s="241"/>
      <c r="H69" s="241"/>
      <c r="I69" s="241"/>
      <c r="J69" s="241"/>
      <c r="O69" s="129"/>
      <c r="P69" s="129"/>
      <c r="Q69" s="129"/>
      <c r="R69" s="129"/>
      <c r="S69" s="129"/>
      <c r="T69" s="129"/>
      <c r="U69" s="129"/>
      <c r="V69" s="129"/>
      <c r="W69" s="129"/>
    </row>
    <row r="70" spans="1:23" s="132" customFormat="1" ht="13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O70" s="129"/>
      <c r="P70" s="129"/>
      <c r="Q70" s="129"/>
      <c r="R70" s="129"/>
      <c r="S70" s="129"/>
      <c r="T70" s="129"/>
      <c r="U70" s="129"/>
      <c r="V70" s="129"/>
      <c r="W70" s="129"/>
    </row>
    <row r="71" spans="1:23" s="132" customFormat="1" ht="13">
      <c r="A71" s="241"/>
      <c r="B71" s="241"/>
      <c r="C71" s="279"/>
      <c r="D71" s="279"/>
      <c r="E71" s="279"/>
      <c r="F71" s="279"/>
      <c r="G71" s="279"/>
      <c r="H71" s="241"/>
      <c r="I71" s="787"/>
      <c r="J71" s="241"/>
      <c r="O71" s="129"/>
      <c r="P71" s="129"/>
      <c r="Q71" s="129"/>
      <c r="R71" s="129"/>
      <c r="S71" s="129"/>
      <c r="T71" s="129"/>
      <c r="U71" s="129"/>
      <c r="V71" s="129"/>
      <c r="W71" s="129"/>
    </row>
    <row r="72" spans="1:23" s="132" customFormat="1" ht="13">
      <c r="A72" s="241"/>
      <c r="B72" s="786"/>
      <c r="C72" s="301"/>
      <c r="D72" s="301"/>
      <c r="E72" s="301"/>
      <c r="F72" s="301"/>
      <c r="G72" s="301"/>
      <c r="H72" s="840"/>
      <c r="I72" s="785"/>
      <c r="J72" s="241"/>
      <c r="O72" s="129"/>
      <c r="P72" s="129"/>
      <c r="Q72" s="129"/>
      <c r="R72" s="129"/>
      <c r="S72" s="129"/>
      <c r="T72" s="129"/>
      <c r="U72" s="129"/>
      <c r="V72" s="129"/>
      <c r="W72" s="129"/>
    </row>
    <row r="73" spans="1:23" s="132" customFormat="1" ht="13">
      <c r="A73" s="241"/>
      <c r="B73" s="784"/>
      <c r="C73" s="784"/>
      <c r="D73" s="784"/>
      <c r="E73" s="784"/>
      <c r="F73" s="784"/>
      <c r="G73" s="784"/>
      <c r="H73" s="241"/>
      <c r="I73" s="241"/>
      <c r="J73" s="241"/>
      <c r="O73" s="129"/>
      <c r="P73" s="129"/>
      <c r="Q73" s="129"/>
      <c r="R73" s="129"/>
      <c r="S73" s="129"/>
      <c r="T73" s="129"/>
      <c r="U73" s="129"/>
      <c r="V73" s="129"/>
      <c r="W73" s="129"/>
    </row>
    <row r="74" spans="1:23" s="132" customFormat="1" ht="13">
      <c r="A74" s="241"/>
      <c r="B74" s="784"/>
      <c r="C74" s="784"/>
      <c r="D74" s="784"/>
      <c r="E74" s="784"/>
      <c r="F74" s="784"/>
      <c r="G74" s="784"/>
      <c r="H74" s="241"/>
      <c r="I74" s="241"/>
      <c r="J74" s="241"/>
      <c r="O74" s="129"/>
      <c r="P74" s="129"/>
      <c r="Q74" s="129"/>
      <c r="R74" s="129"/>
      <c r="S74" s="129"/>
      <c r="T74" s="129"/>
      <c r="U74" s="129"/>
      <c r="V74" s="129"/>
      <c r="W74" s="129"/>
    </row>
    <row r="75" spans="1:23" s="132" customFormat="1" ht="13">
      <c r="A75" s="241"/>
      <c r="B75" s="784"/>
      <c r="C75" s="784"/>
      <c r="D75" s="784"/>
      <c r="E75" s="784"/>
      <c r="F75" s="784"/>
      <c r="G75" s="784"/>
      <c r="H75" s="241"/>
      <c r="I75" s="241"/>
      <c r="J75" s="241"/>
      <c r="O75" s="129"/>
      <c r="P75" s="129"/>
      <c r="Q75" s="129"/>
      <c r="R75" s="129"/>
      <c r="S75" s="129"/>
      <c r="T75" s="129"/>
      <c r="U75" s="129"/>
      <c r="V75" s="129"/>
      <c r="W75" s="129"/>
    </row>
    <row r="76" spans="1:23" s="132" customFormat="1" ht="13">
      <c r="A76" s="241"/>
      <c r="B76" s="784"/>
      <c r="C76" s="784"/>
      <c r="D76" s="784"/>
      <c r="E76" s="784"/>
      <c r="F76" s="784"/>
      <c r="G76" s="784"/>
      <c r="H76" s="241"/>
      <c r="I76" s="241"/>
      <c r="J76" s="241"/>
      <c r="O76" s="129"/>
      <c r="P76" s="129"/>
      <c r="Q76" s="129"/>
      <c r="R76" s="129"/>
      <c r="S76" s="129"/>
      <c r="T76" s="129"/>
      <c r="U76" s="129"/>
      <c r="V76" s="129"/>
      <c r="W76" s="129"/>
    </row>
    <row r="77" spans="1:23" s="132" customFormat="1" ht="13">
      <c r="A77" s="241"/>
      <c r="B77" s="784"/>
      <c r="C77" s="784"/>
      <c r="D77" s="784"/>
      <c r="E77" s="784"/>
      <c r="F77" s="784"/>
      <c r="G77" s="784"/>
      <c r="H77" s="241"/>
      <c r="I77" s="241"/>
      <c r="J77" s="241"/>
      <c r="O77" s="129"/>
      <c r="P77" s="129"/>
      <c r="Q77" s="129"/>
      <c r="R77" s="129"/>
      <c r="S77" s="129"/>
      <c r="T77" s="129"/>
      <c r="U77" s="129"/>
      <c r="V77" s="129"/>
      <c r="W77" s="129"/>
    </row>
    <row r="78" spans="1:23" s="132" customFormat="1" ht="13">
      <c r="A78" s="241"/>
      <c r="B78" s="784"/>
      <c r="C78" s="784"/>
      <c r="D78" s="784"/>
      <c r="E78" s="784"/>
      <c r="F78" s="784"/>
      <c r="G78" s="784"/>
      <c r="H78" s="241"/>
      <c r="I78" s="241"/>
      <c r="J78" s="241"/>
      <c r="O78" s="129"/>
      <c r="P78" s="129"/>
      <c r="Q78" s="129"/>
      <c r="R78" s="129"/>
      <c r="S78" s="129"/>
      <c r="T78" s="129"/>
      <c r="U78" s="129"/>
      <c r="V78" s="129"/>
      <c r="W78" s="129"/>
    </row>
    <row r="79" spans="1:23" s="132" customFormat="1" ht="13">
      <c r="A79" s="241"/>
      <c r="B79" s="784"/>
      <c r="C79" s="784"/>
      <c r="D79" s="784"/>
      <c r="E79" s="784"/>
      <c r="F79" s="784"/>
      <c r="G79" s="784"/>
      <c r="H79" s="241"/>
      <c r="I79" s="241"/>
      <c r="J79" s="241"/>
      <c r="O79" s="129"/>
      <c r="P79" s="129"/>
      <c r="Q79" s="129"/>
      <c r="R79" s="129"/>
      <c r="S79" s="129"/>
      <c r="T79" s="129"/>
      <c r="U79" s="129"/>
      <c r="V79" s="129"/>
      <c r="W79" s="129"/>
    </row>
    <row r="80" spans="1:23" s="132" customFormat="1" ht="13">
      <c r="A80" s="241"/>
      <c r="B80" s="784"/>
      <c r="C80" s="784"/>
      <c r="D80" s="784"/>
      <c r="E80" s="784"/>
      <c r="F80" s="784"/>
      <c r="G80" s="784"/>
      <c r="H80" s="241"/>
      <c r="I80" s="241"/>
      <c r="J80" s="241"/>
      <c r="O80" s="129"/>
      <c r="P80" s="129"/>
      <c r="Q80" s="129"/>
      <c r="R80" s="129"/>
      <c r="S80" s="129"/>
      <c r="T80" s="129"/>
      <c r="U80" s="129"/>
      <c r="V80" s="129"/>
      <c r="W80" s="129"/>
    </row>
    <row r="81" spans="1:23" s="132" customFormat="1" ht="13">
      <c r="A81" s="241"/>
      <c r="B81" s="784"/>
      <c r="C81" s="784"/>
      <c r="D81" s="784"/>
      <c r="E81" s="784"/>
      <c r="F81" s="784"/>
      <c r="G81" s="784"/>
      <c r="H81" s="241"/>
      <c r="I81" s="241"/>
      <c r="J81" s="241"/>
      <c r="O81" s="129"/>
      <c r="P81" s="129"/>
      <c r="Q81" s="129"/>
      <c r="R81" s="129"/>
      <c r="S81" s="129"/>
      <c r="T81" s="129"/>
      <c r="U81" s="129"/>
      <c r="V81" s="129"/>
      <c r="W81" s="129"/>
    </row>
    <row r="82" spans="1:23" s="132" customFormat="1" ht="13">
      <c r="A82" s="241"/>
      <c r="B82" s="784"/>
      <c r="C82" s="784"/>
      <c r="D82" s="784"/>
      <c r="E82" s="784"/>
      <c r="F82" s="784"/>
      <c r="G82" s="784"/>
      <c r="H82" s="241"/>
      <c r="I82" s="241"/>
      <c r="J82" s="241"/>
      <c r="O82" s="129"/>
      <c r="P82" s="129"/>
      <c r="Q82" s="129"/>
      <c r="R82" s="129"/>
      <c r="S82" s="129"/>
      <c r="T82" s="129"/>
      <c r="U82" s="129"/>
      <c r="V82" s="129"/>
      <c r="W82" s="129"/>
    </row>
    <row r="83" spans="1:23" s="132" customFormat="1" ht="13">
      <c r="A83" s="241"/>
      <c r="B83" s="784"/>
      <c r="C83" s="784"/>
      <c r="D83" s="784"/>
      <c r="E83" s="784"/>
      <c r="F83" s="784"/>
      <c r="G83" s="784"/>
      <c r="H83" s="241"/>
      <c r="I83" s="241"/>
      <c r="J83" s="241"/>
      <c r="O83" s="129"/>
      <c r="P83" s="129"/>
      <c r="Q83" s="129"/>
      <c r="R83" s="129"/>
      <c r="S83" s="129"/>
      <c r="T83" s="129"/>
      <c r="U83" s="129"/>
      <c r="V83" s="129"/>
      <c r="W83" s="129"/>
    </row>
    <row r="84" spans="1:23" s="132" customFormat="1" ht="13">
      <c r="A84" s="241"/>
      <c r="B84" s="784"/>
      <c r="C84" s="784"/>
      <c r="D84" s="784"/>
      <c r="E84" s="784"/>
      <c r="F84" s="784"/>
      <c r="G84" s="784"/>
      <c r="H84" s="241"/>
      <c r="I84" s="241"/>
      <c r="J84" s="241"/>
      <c r="O84" s="129"/>
      <c r="P84" s="129"/>
      <c r="Q84" s="129"/>
      <c r="R84" s="129"/>
      <c r="S84" s="129"/>
      <c r="T84" s="129"/>
      <c r="U84" s="129"/>
      <c r="V84" s="129"/>
      <c r="W84" s="129"/>
    </row>
    <row r="85" spans="1:23" s="132" customFormat="1" ht="13">
      <c r="A85" s="241"/>
      <c r="B85" s="241"/>
      <c r="C85" s="784"/>
      <c r="D85" s="784"/>
      <c r="E85" s="784"/>
      <c r="F85" s="784"/>
      <c r="G85" s="784"/>
      <c r="H85" s="241"/>
      <c r="I85" s="241"/>
      <c r="J85" s="241"/>
      <c r="O85" s="129"/>
      <c r="P85" s="129"/>
      <c r="Q85" s="129"/>
      <c r="R85" s="129"/>
      <c r="S85" s="129"/>
      <c r="T85" s="129"/>
      <c r="U85" s="129"/>
      <c r="V85" s="129"/>
      <c r="W85" s="129"/>
    </row>
    <row r="86" spans="1:23" s="132" customFormat="1" ht="13">
      <c r="A86" s="241"/>
      <c r="B86" s="241"/>
      <c r="C86" s="784"/>
      <c r="D86" s="784"/>
      <c r="E86" s="784"/>
      <c r="F86" s="784"/>
      <c r="G86" s="784"/>
      <c r="H86" s="241"/>
      <c r="I86" s="241"/>
      <c r="J86" s="241"/>
      <c r="O86" s="129"/>
      <c r="P86" s="129"/>
      <c r="Q86" s="129"/>
      <c r="R86" s="129"/>
      <c r="S86" s="129"/>
      <c r="T86" s="129"/>
      <c r="U86" s="129"/>
      <c r="V86" s="129"/>
      <c r="W86" s="129"/>
    </row>
    <row r="87" spans="1:23" s="132" customFormat="1" ht="13">
      <c r="A87" s="241"/>
      <c r="B87" s="241"/>
      <c r="C87" s="784"/>
      <c r="D87" s="784"/>
      <c r="E87" s="784"/>
      <c r="F87" s="784"/>
      <c r="G87" s="784"/>
      <c r="H87" s="241"/>
      <c r="I87" s="241"/>
      <c r="J87" s="241"/>
      <c r="O87" s="129"/>
      <c r="P87" s="129"/>
      <c r="Q87" s="129"/>
      <c r="R87" s="129"/>
      <c r="S87" s="129"/>
      <c r="T87" s="129"/>
      <c r="U87" s="129"/>
      <c r="V87" s="129"/>
      <c r="W87" s="129"/>
    </row>
    <row r="88" spans="1:23" s="132" customFormat="1" ht="13">
      <c r="A88" s="241"/>
      <c r="B88" s="241"/>
      <c r="C88" s="784"/>
      <c r="D88" s="784"/>
      <c r="E88" s="784"/>
      <c r="F88" s="784"/>
      <c r="G88" s="784"/>
      <c r="H88" s="241"/>
      <c r="I88" s="241"/>
      <c r="J88" s="241"/>
      <c r="O88" s="129"/>
      <c r="P88" s="129"/>
      <c r="Q88" s="129"/>
      <c r="R88" s="129"/>
      <c r="S88" s="129"/>
      <c r="T88" s="129"/>
      <c r="U88" s="129"/>
      <c r="V88" s="129"/>
      <c r="W88" s="129"/>
    </row>
    <row r="89" spans="1:23" s="132" customFormat="1" ht="13">
      <c r="A89" s="241"/>
      <c r="B89" s="241"/>
      <c r="C89" s="241"/>
      <c r="D89" s="241"/>
      <c r="E89" s="840"/>
      <c r="F89" s="241"/>
      <c r="G89" s="241"/>
      <c r="H89" s="241"/>
      <c r="I89" s="787"/>
      <c r="J89" s="241"/>
      <c r="O89" s="129"/>
      <c r="P89" s="129"/>
      <c r="Q89" s="129"/>
      <c r="R89" s="129"/>
      <c r="S89" s="129"/>
      <c r="T89" s="129"/>
      <c r="U89" s="129"/>
      <c r="V89" s="129"/>
      <c r="W89" s="129"/>
    </row>
    <row r="90" spans="1:23" s="132" customFormat="1" ht="13">
      <c r="A90" s="241"/>
      <c r="B90" s="786"/>
      <c r="C90" s="241"/>
      <c r="D90" s="241"/>
      <c r="E90" s="241"/>
      <c r="F90" s="241"/>
      <c r="G90" s="241"/>
      <c r="H90" s="840"/>
      <c r="I90" s="785"/>
      <c r="J90" s="241"/>
      <c r="O90" s="129"/>
      <c r="P90" s="129"/>
      <c r="Q90" s="129"/>
      <c r="R90" s="129"/>
      <c r="S90" s="129"/>
      <c r="T90" s="129"/>
      <c r="U90" s="129"/>
      <c r="V90" s="129"/>
      <c r="W90" s="129"/>
    </row>
    <row r="91" spans="1:23" s="132" customFormat="1" ht="13">
      <c r="A91" s="241"/>
      <c r="B91" s="241"/>
      <c r="C91" s="241"/>
      <c r="D91" s="241"/>
      <c r="E91" s="784"/>
      <c r="F91" s="784"/>
      <c r="G91" s="784"/>
      <c r="H91" s="241"/>
      <c r="I91" s="241"/>
      <c r="J91" s="241"/>
      <c r="O91" s="129"/>
      <c r="P91" s="129"/>
      <c r="Q91" s="129"/>
      <c r="R91" s="129"/>
      <c r="S91" s="129"/>
      <c r="T91" s="129"/>
      <c r="U91" s="129"/>
      <c r="V91" s="129"/>
      <c r="W91" s="129"/>
    </row>
    <row r="92" spans="1:23" s="132" customFormat="1" ht="13">
      <c r="A92" s="241"/>
      <c r="B92" s="241"/>
      <c r="C92" s="241"/>
      <c r="D92" s="241"/>
      <c r="E92" s="784"/>
      <c r="F92" s="784"/>
      <c r="G92" s="784"/>
      <c r="H92" s="241"/>
      <c r="I92" s="241"/>
      <c r="J92" s="241"/>
      <c r="O92" s="129"/>
      <c r="P92" s="129"/>
      <c r="Q92" s="129"/>
      <c r="R92" s="129"/>
      <c r="S92" s="129"/>
      <c r="T92" s="129"/>
      <c r="U92" s="129"/>
      <c r="V92" s="129"/>
      <c r="W92" s="129"/>
    </row>
    <row r="93" spans="1:23" s="132" customFormat="1" ht="13">
      <c r="A93" s="241"/>
      <c r="B93" s="241"/>
      <c r="C93" s="241"/>
      <c r="D93" s="241"/>
      <c r="E93" s="241"/>
      <c r="F93" s="241"/>
      <c r="G93" s="241"/>
      <c r="H93" s="241"/>
      <c r="I93" s="241"/>
      <c r="J93" s="241"/>
      <c r="O93" s="129"/>
      <c r="P93" s="129"/>
      <c r="Q93" s="129"/>
      <c r="R93" s="129"/>
      <c r="S93" s="129"/>
      <c r="T93" s="129"/>
      <c r="U93" s="129"/>
      <c r="V93" s="129"/>
      <c r="W93" s="129"/>
    </row>
    <row r="94" spans="1:23" s="132" customFormat="1" ht="13">
      <c r="A94" s="129"/>
      <c r="B94" s="129"/>
      <c r="C94" s="129"/>
      <c r="D94" s="129"/>
      <c r="E94" s="133"/>
      <c r="F94" s="129"/>
      <c r="G94" s="129"/>
      <c r="H94" s="129"/>
      <c r="O94" s="129"/>
      <c r="P94" s="129"/>
      <c r="Q94" s="129"/>
      <c r="R94" s="129"/>
      <c r="S94" s="129"/>
      <c r="T94" s="129"/>
      <c r="U94" s="129"/>
      <c r="V94" s="129"/>
      <c r="W94" s="129"/>
    </row>
    <row r="95" spans="1:23" s="132" customFormat="1" ht="13">
      <c r="A95" s="129"/>
      <c r="B95" s="129"/>
      <c r="C95" s="129"/>
      <c r="D95" s="129"/>
      <c r="E95" s="129"/>
      <c r="F95" s="129"/>
      <c r="G95" s="129"/>
      <c r="H95" s="129"/>
      <c r="O95" s="129"/>
      <c r="P95" s="129"/>
      <c r="Q95" s="129"/>
      <c r="R95" s="129"/>
      <c r="S95" s="129"/>
      <c r="T95" s="129"/>
      <c r="U95" s="129"/>
      <c r="V95" s="129"/>
      <c r="W95" s="129"/>
    </row>
    <row r="96" spans="1:23" s="132" customFormat="1" ht="13">
      <c r="A96" s="129"/>
      <c r="B96" s="129"/>
      <c r="C96" s="129"/>
      <c r="D96" s="129"/>
      <c r="E96" s="133"/>
      <c r="F96" s="129"/>
      <c r="G96" s="129"/>
      <c r="H96" s="129"/>
      <c r="O96" s="129"/>
      <c r="P96" s="129"/>
      <c r="Q96" s="129"/>
      <c r="R96" s="129"/>
      <c r="S96" s="129"/>
      <c r="T96" s="129"/>
      <c r="U96" s="129"/>
      <c r="V96" s="129"/>
      <c r="W96" s="129"/>
    </row>
    <row r="97" spans="1:23" s="132" customFormat="1" ht="13">
      <c r="A97" s="129"/>
      <c r="B97" s="129"/>
      <c r="C97" s="129"/>
      <c r="D97" s="129"/>
      <c r="E97" s="129"/>
      <c r="F97" s="129"/>
      <c r="G97" s="129"/>
      <c r="H97" s="129"/>
      <c r="O97" s="129"/>
      <c r="P97" s="129"/>
      <c r="Q97" s="129"/>
      <c r="R97" s="129"/>
      <c r="S97" s="129"/>
      <c r="T97" s="129"/>
      <c r="U97" s="129"/>
      <c r="V97" s="129"/>
      <c r="W97" s="129"/>
    </row>
    <row r="98" spans="1:23" s="132" customFormat="1" ht="13">
      <c r="A98" s="129"/>
      <c r="B98" s="129"/>
      <c r="C98" s="129"/>
      <c r="D98" s="129"/>
      <c r="E98" s="129"/>
      <c r="F98" s="129"/>
      <c r="G98" s="129"/>
      <c r="H98" s="129"/>
      <c r="O98" s="129"/>
      <c r="P98" s="129"/>
      <c r="Q98" s="129"/>
      <c r="R98" s="129"/>
      <c r="S98" s="129"/>
      <c r="T98" s="129"/>
      <c r="U98" s="129"/>
      <c r="V98" s="129"/>
      <c r="W98" s="129"/>
    </row>
    <row r="99" spans="1:23" s="132" customFormat="1" ht="13">
      <c r="O99" s="129"/>
      <c r="P99" s="129"/>
      <c r="Q99" s="129"/>
      <c r="R99" s="129"/>
      <c r="S99" s="129"/>
      <c r="T99" s="129"/>
      <c r="U99" s="129"/>
      <c r="V99" s="129"/>
      <c r="W99" s="129"/>
    </row>
    <row r="100" spans="1:23" s="132" customFormat="1" ht="13">
      <c r="O100" s="129"/>
      <c r="P100" s="129"/>
      <c r="Q100" s="129"/>
      <c r="R100" s="129"/>
      <c r="S100" s="129"/>
      <c r="T100" s="129"/>
      <c r="U100" s="129"/>
      <c r="V100" s="129"/>
      <c r="W100" s="129"/>
    </row>
    <row r="101" spans="1:23" s="132" customFormat="1" ht="13">
      <c r="O101" s="129"/>
      <c r="P101" s="129"/>
      <c r="Q101" s="129"/>
      <c r="R101" s="129"/>
      <c r="S101" s="129"/>
      <c r="T101" s="129"/>
      <c r="U101" s="129"/>
      <c r="V101" s="129"/>
      <c r="W101" s="129"/>
    </row>
    <row r="102" spans="1:23" s="132" customFormat="1" ht="13">
      <c r="O102" s="129"/>
      <c r="P102" s="129"/>
      <c r="Q102" s="129"/>
      <c r="R102" s="129"/>
      <c r="S102" s="129"/>
      <c r="T102" s="129"/>
      <c r="U102" s="129"/>
      <c r="V102" s="129"/>
      <c r="W102" s="129"/>
    </row>
    <row r="103" spans="1:23" s="132" customFormat="1" ht="13">
      <c r="O103" s="129"/>
      <c r="P103" s="129"/>
      <c r="Q103" s="129"/>
      <c r="R103" s="129"/>
      <c r="S103" s="129"/>
      <c r="T103" s="129"/>
      <c r="U103" s="129"/>
      <c r="V103" s="129"/>
      <c r="W103" s="129"/>
    </row>
    <row r="104" spans="1:23" s="132" customFormat="1" ht="13">
      <c r="O104" s="129"/>
      <c r="P104" s="129"/>
      <c r="Q104" s="129"/>
      <c r="R104" s="129"/>
      <c r="S104" s="129"/>
      <c r="T104" s="129"/>
      <c r="U104" s="129"/>
      <c r="V104" s="129"/>
      <c r="W104" s="129"/>
    </row>
    <row r="105" spans="1:23" s="132" customFormat="1" ht="13">
      <c r="O105" s="129"/>
      <c r="P105" s="129"/>
      <c r="Q105" s="129"/>
      <c r="R105" s="129"/>
      <c r="S105" s="129"/>
      <c r="T105" s="129"/>
      <c r="U105" s="129"/>
      <c r="V105" s="129"/>
      <c r="W105" s="129"/>
    </row>
    <row r="106" spans="1:23" s="132" customFormat="1" ht="13">
      <c r="O106" s="129"/>
      <c r="P106" s="129"/>
      <c r="Q106" s="129"/>
      <c r="R106" s="129"/>
      <c r="S106" s="129"/>
      <c r="T106" s="129"/>
      <c r="U106" s="129"/>
      <c r="V106" s="129"/>
      <c r="W106" s="129"/>
    </row>
    <row r="107" spans="1:23" s="132" customFormat="1" ht="13">
      <c r="O107" s="129"/>
      <c r="P107" s="129"/>
      <c r="Q107" s="129"/>
      <c r="R107" s="129"/>
      <c r="S107" s="129"/>
      <c r="T107" s="129"/>
      <c r="U107" s="129"/>
      <c r="V107" s="129"/>
      <c r="W107" s="129"/>
    </row>
    <row r="108" spans="1:23" s="132" customFormat="1" ht="13">
      <c r="O108" s="129"/>
      <c r="P108" s="129"/>
      <c r="Q108" s="129"/>
      <c r="R108" s="129"/>
      <c r="S108" s="129"/>
      <c r="T108" s="129"/>
      <c r="U108" s="129"/>
      <c r="V108" s="129"/>
      <c r="W108" s="129"/>
    </row>
    <row r="109" spans="1:23" s="132" customFormat="1" ht="13">
      <c r="O109" s="129"/>
      <c r="P109" s="129"/>
      <c r="Q109" s="129"/>
      <c r="R109" s="129"/>
      <c r="S109" s="129"/>
      <c r="T109" s="129"/>
      <c r="U109" s="129"/>
      <c r="V109" s="129"/>
      <c r="W109" s="129"/>
    </row>
    <row r="110" spans="1:23" s="132" customFormat="1" ht="13">
      <c r="O110" s="129"/>
      <c r="P110" s="129"/>
      <c r="Q110" s="129"/>
      <c r="R110" s="129"/>
      <c r="S110" s="129"/>
      <c r="T110" s="129"/>
      <c r="U110" s="129"/>
      <c r="V110" s="129"/>
      <c r="W110" s="129"/>
    </row>
    <row r="111" spans="1:23" s="132" customFormat="1" ht="13">
      <c r="O111" s="129"/>
      <c r="P111" s="129"/>
      <c r="Q111" s="129"/>
      <c r="R111" s="129"/>
      <c r="S111" s="129"/>
      <c r="T111" s="129"/>
      <c r="U111" s="129"/>
      <c r="V111" s="129"/>
      <c r="W111" s="129"/>
    </row>
    <row r="112" spans="1:23" s="132" customFormat="1" ht="13">
      <c r="O112" s="129"/>
      <c r="P112" s="129"/>
      <c r="Q112" s="129"/>
      <c r="R112" s="129"/>
      <c r="S112" s="129"/>
      <c r="T112" s="129"/>
      <c r="U112" s="129"/>
      <c r="V112" s="129"/>
      <c r="W112" s="129"/>
    </row>
    <row r="113" spans="15:23" s="132" customFormat="1" ht="13">
      <c r="O113" s="129"/>
      <c r="P113" s="129"/>
      <c r="Q113" s="129"/>
      <c r="R113" s="129"/>
      <c r="S113" s="129"/>
      <c r="T113" s="129"/>
      <c r="U113" s="129"/>
      <c r="V113" s="129"/>
      <c r="W113" s="129"/>
    </row>
    <row r="114" spans="15:23" s="132" customFormat="1" ht="13">
      <c r="O114" s="129"/>
      <c r="P114" s="129"/>
      <c r="Q114" s="129"/>
      <c r="R114" s="129"/>
      <c r="S114" s="129"/>
      <c r="T114" s="129"/>
      <c r="U114" s="129"/>
      <c r="V114" s="129"/>
      <c r="W114" s="129"/>
    </row>
    <row r="115" spans="15:23" s="132" customFormat="1" ht="13">
      <c r="O115" s="129"/>
      <c r="P115" s="129"/>
      <c r="Q115" s="129"/>
      <c r="R115" s="129"/>
      <c r="S115" s="129"/>
      <c r="T115" s="129"/>
      <c r="U115" s="129"/>
      <c r="V115" s="129"/>
      <c r="W115" s="129"/>
    </row>
    <row r="116" spans="15:23" s="132" customFormat="1" ht="13">
      <c r="O116" s="129"/>
      <c r="P116" s="129"/>
      <c r="Q116" s="129"/>
      <c r="R116" s="129"/>
      <c r="S116" s="129"/>
      <c r="T116" s="129"/>
      <c r="U116" s="129"/>
      <c r="V116" s="129"/>
      <c r="W116" s="129"/>
    </row>
    <row r="117" spans="15:23" s="132" customFormat="1" ht="13">
      <c r="O117" s="129"/>
      <c r="P117" s="129"/>
      <c r="Q117" s="129"/>
      <c r="R117" s="129"/>
      <c r="S117" s="129"/>
      <c r="T117" s="129"/>
      <c r="U117" s="129"/>
      <c r="V117" s="129"/>
      <c r="W117" s="129"/>
    </row>
    <row r="118" spans="15:23" s="132" customFormat="1" ht="13">
      <c r="O118" s="129"/>
      <c r="P118" s="129"/>
      <c r="Q118" s="129"/>
      <c r="R118" s="129"/>
      <c r="S118" s="129"/>
      <c r="T118" s="129"/>
      <c r="U118" s="129"/>
      <c r="V118" s="129"/>
      <c r="W118" s="129"/>
    </row>
    <row r="119" spans="15:23" s="132" customFormat="1" ht="13">
      <c r="O119" s="129"/>
      <c r="P119" s="129"/>
      <c r="Q119" s="129"/>
      <c r="R119" s="129"/>
      <c r="S119" s="129"/>
      <c r="T119" s="129"/>
      <c r="U119" s="129"/>
      <c r="V119" s="129"/>
      <c r="W119" s="129"/>
    </row>
    <row r="120" spans="15:23" s="132" customFormat="1" ht="13">
      <c r="O120" s="129"/>
      <c r="P120" s="129"/>
      <c r="Q120" s="129"/>
      <c r="R120" s="129"/>
      <c r="S120" s="129"/>
      <c r="T120" s="129"/>
      <c r="U120" s="129"/>
      <c r="V120" s="129"/>
      <c r="W120" s="129"/>
    </row>
    <row r="121" spans="15:23" s="132" customFormat="1" ht="13">
      <c r="O121" s="129"/>
      <c r="P121" s="129"/>
      <c r="Q121" s="129"/>
      <c r="R121" s="129"/>
      <c r="S121" s="129"/>
      <c r="T121" s="129"/>
      <c r="U121" s="129"/>
      <c r="V121" s="129"/>
      <c r="W121" s="129"/>
    </row>
    <row r="122" spans="15:23" s="132" customFormat="1" ht="13">
      <c r="O122" s="129"/>
      <c r="P122" s="129"/>
      <c r="Q122" s="129"/>
      <c r="R122" s="129"/>
      <c r="S122" s="129"/>
      <c r="T122" s="129"/>
      <c r="U122" s="129"/>
      <c r="V122" s="129"/>
      <c r="W122" s="129"/>
    </row>
    <row r="123" spans="15:23" s="132" customFormat="1" ht="13">
      <c r="O123" s="129"/>
      <c r="P123" s="129"/>
      <c r="Q123" s="129"/>
      <c r="R123" s="129"/>
      <c r="S123" s="129"/>
      <c r="T123" s="129"/>
      <c r="U123" s="129"/>
      <c r="V123" s="129"/>
      <c r="W123" s="129"/>
    </row>
    <row r="124" spans="15:23" s="132" customFormat="1" ht="13">
      <c r="O124" s="129"/>
      <c r="P124" s="129"/>
      <c r="Q124" s="129"/>
      <c r="R124" s="129"/>
      <c r="S124" s="129"/>
      <c r="T124" s="129"/>
      <c r="U124" s="129"/>
      <c r="V124" s="129"/>
      <c r="W124" s="129"/>
    </row>
    <row r="125" spans="15:23" s="132" customFormat="1" ht="13">
      <c r="O125" s="129"/>
      <c r="P125" s="129"/>
      <c r="Q125" s="129"/>
      <c r="R125" s="129"/>
      <c r="S125" s="129"/>
      <c r="T125" s="129"/>
      <c r="U125" s="129"/>
      <c r="V125" s="129"/>
      <c r="W125" s="129"/>
    </row>
    <row r="126" spans="15:23" s="132" customFormat="1" ht="13">
      <c r="O126" s="129"/>
      <c r="P126" s="129"/>
      <c r="Q126" s="129"/>
      <c r="R126" s="129"/>
      <c r="S126" s="129"/>
      <c r="T126" s="129"/>
      <c r="U126" s="129"/>
      <c r="V126" s="129"/>
      <c r="W126" s="129"/>
    </row>
    <row r="127" spans="15:23" s="132" customFormat="1" ht="13">
      <c r="O127" s="129"/>
      <c r="P127" s="129"/>
      <c r="Q127" s="129"/>
      <c r="R127" s="129"/>
      <c r="S127" s="129"/>
      <c r="T127" s="129"/>
      <c r="U127" s="129"/>
      <c r="V127" s="129"/>
      <c r="W127" s="129"/>
    </row>
    <row r="128" spans="15:23" s="132" customFormat="1" ht="13">
      <c r="O128" s="129"/>
      <c r="P128" s="129"/>
      <c r="Q128" s="129"/>
      <c r="R128" s="129"/>
      <c r="S128" s="129"/>
      <c r="T128" s="129"/>
      <c r="U128" s="129"/>
      <c r="V128" s="129"/>
      <c r="W128" s="129"/>
    </row>
    <row r="129" spans="15:23" s="132" customFormat="1" ht="13">
      <c r="O129" s="129"/>
      <c r="P129" s="129"/>
      <c r="Q129" s="129"/>
      <c r="R129" s="129"/>
      <c r="S129" s="129"/>
      <c r="T129" s="129"/>
      <c r="U129" s="129"/>
      <c r="V129" s="129"/>
      <c r="W129" s="129"/>
    </row>
    <row r="130" spans="15:23" s="132" customFormat="1" ht="13">
      <c r="O130" s="129"/>
      <c r="P130" s="129"/>
      <c r="Q130" s="129"/>
      <c r="R130" s="129"/>
      <c r="S130" s="129"/>
      <c r="T130" s="129"/>
      <c r="U130" s="129"/>
      <c r="V130" s="129"/>
      <c r="W130" s="129"/>
    </row>
    <row r="131" spans="15:23" s="132" customFormat="1" ht="13">
      <c r="O131" s="129"/>
      <c r="P131" s="129"/>
      <c r="Q131" s="129"/>
      <c r="R131" s="129"/>
      <c r="S131" s="129"/>
      <c r="T131" s="129"/>
      <c r="U131" s="129"/>
      <c r="V131" s="129"/>
      <c r="W131" s="129"/>
    </row>
    <row r="132" spans="15:23" s="132" customFormat="1" ht="13">
      <c r="O132" s="129"/>
      <c r="P132" s="129"/>
      <c r="Q132" s="129"/>
      <c r="R132" s="129"/>
      <c r="S132" s="129"/>
      <c r="T132" s="129"/>
      <c r="U132" s="129"/>
      <c r="V132" s="129"/>
      <c r="W132" s="129"/>
    </row>
    <row r="133" spans="15:23" s="132" customFormat="1" ht="13">
      <c r="O133" s="129"/>
      <c r="P133" s="129"/>
      <c r="Q133" s="129"/>
      <c r="R133" s="129"/>
      <c r="S133" s="129"/>
      <c r="T133" s="129"/>
      <c r="U133" s="129"/>
      <c r="V133" s="129"/>
      <c r="W133" s="129"/>
    </row>
    <row r="134" spans="15:23" s="132" customFormat="1" ht="13">
      <c r="O134" s="129"/>
      <c r="P134" s="129"/>
      <c r="Q134" s="129"/>
      <c r="R134" s="129"/>
      <c r="S134" s="129"/>
      <c r="T134" s="129"/>
      <c r="U134" s="129"/>
      <c r="V134" s="129"/>
      <c r="W134" s="129"/>
    </row>
    <row r="135" spans="15:23" s="132" customFormat="1" ht="13">
      <c r="O135" s="129"/>
      <c r="P135" s="129"/>
      <c r="Q135" s="129"/>
      <c r="R135" s="129"/>
      <c r="S135" s="129"/>
      <c r="T135" s="129"/>
      <c r="U135" s="129"/>
      <c r="V135" s="129"/>
      <c r="W135" s="129"/>
    </row>
    <row r="136" spans="15:23" s="132" customFormat="1" ht="13">
      <c r="O136" s="129"/>
      <c r="P136" s="129"/>
      <c r="Q136" s="129"/>
      <c r="R136" s="129"/>
      <c r="S136" s="129"/>
      <c r="T136" s="129"/>
      <c r="U136" s="129"/>
      <c r="V136" s="129"/>
      <c r="W136" s="129"/>
    </row>
    <row r="137" spans="15:23" s="132" customFormat="1" ht="13">
      <c r="O137" s="129"/>
      <c r="P137" s="129"/>
      <c r="Q137" s="129"/>
      <c r="R137" s="129"/>
      <c r="S137" s="129"/>
      <c r="T137" s="129"/>
      <c r="U137" s="129"/>
      <c r="V137" s="129"/>
      <c r="W137" s="129"/>
    </row>
    <row r="138" spans="15:23" s="132" customFormat="1" ht="13">
      <c r="O138" s="129"/>
      <c r="P138" s="129"/>
      <c r="Q138" s="129"/>
      <c r="R138" s="129"/>
      <c r="S138" s="129"/>
      <c r="T138" s="129"/>
      <c r="U138" s="129"/>
      <c r="V138" s="129"/>
      <c r="W138" s="129"/>
    </row>
    <row r="139" spans="15:23" s="132" customFormat="1" ht="13">
      <c r="O139" s="129"/>
      <c r="P139" s="129"/>
      <c r="Q139" s="129"/>
      <c r="R139" s="129"/>
      <c r="S139" s="129"/>
      <c r="T139" s="129"/>
      <c r="U139" s="129"/>
      <c r="V139" s="129"/>
      <c r="W139" s="129"/>
    </row>
    <row r="140" spans="15:23" s="132" customFormat="1" ht="13">
      <c r="O140" s="129"/>
      <c r="P140" s="129"/>
      <c r="Q140" s="129"/>
      <c r="R140" s="129"/>
      <c r="S140" s="129"/>
      <c r="T140" s="129"/>
      <c r="U140" s="129"/>
      <c r="V140" s="129"/>
      <c r="W140" s="129"/>
    </row>
    <row r="141" spans="15:23" s="132" customFormat="1" ht="13">
      <c r="O141" s="129"/>
      <c r="P141" s="129"/>
      <c r="Q141" s="129"/>
      <c r="R141" s="129"/>
      <c r="S141" s="129"/>
      <c r="T141" s="129"/>
      <c r="U141" s="129"/>
      <c r="V141" s="129"/>
      <c r="W141" s="129"/>
    </row>
    <row r="142" spans="15:23" s="132" customFormat="1" ht="13">
      <c r="O142" s="129"/>
      <c r="P142" s="129"/>
      <c r="Q142" s="129"/>
      <c r="R142" s="129"/>
      <c r="S142" s="129"/>
      <c r="T142" s="129"/>
      <c r="U142" s="129"/>
      <c r="V142" s="129"/>
      <c r="W142" s="129"/>
    </row>
    <row r="143" spans="15:23" s="132" customFormat="1" ht="13">
      <c r="O143" s="129"/>
      <c r="P143" s="129"/>
      <c r="Q143" s="129"/>
      <c r="R143" s="129"/>
      <c r="S143" s="129"/>
      <c r="T143" s="129"/>
      <c r="U143" s="129"/>
      <c r="V143" s="129"/>
      <c r="W143" s="129"/>
    </row>
    <row r="144" spans="15:23" s="132" customFormat="1" ht="13">
      <c r="O144" s="129"/>
      <c r="P144" s="129"/>
      <c r="Q144" s="129"/>
      <c r="R144" s="129"/>
      <c r="S144" s="129"/>
      <c r="T144" s="129"/>
      <c r="U144" s="129"/>
      <c r="V144" s="129"/>
      <c r="W144" s="129"/>
    </row>
    <row r="145" spans="15:23" s="132" customFormat="1" ht="13">
      <c r="O145" s="129"/>
      <c r="P145" s="129"/>
      <c r="Q145" s="129"/>
      <c r="R145" s="129"/>
      <c r="S145" s="129"/>
      <c r="T145" s="129"/>
      <c r="U145" s="129"/>
      <c r="V145" s="129"/>
      <c r="W145" s="129"/>
    </row>
    <row r="146" spans="15:23" s="132" customFormat="1" ht="13">
      <c r="O146" s="129"/>
      <c r="P146" s="129"/>
      <c r="Q146" s="129"/>
      <c r="R146" s="129"/>
      <c r="S146" s="129"/>
      <c r="T146" s="129"/>
      <c r="U146" s="129"/>
      <c r="V146" s="129"/>
      <c r="W146" s="129"/>
    </row>
    <row r="147" spans="15:23" s="132" customFormat="1" ht="13">
      <c r="O147" s="129"/>
      <c r="P147" s="129"/>
      <c r="Q147" s="129"/>
      <c r="R147" s="129"/>
      <c r="S147" s="129"/>
      <c r="T147" s="129"/>
      <c r="U147" s="129"/>
      <c r="V147" s="129"/>
      <c r="W147" s="129"/>
    </row>
    <row r="148" spans="15:23" s="132" customFormat="1" ht="13">
      <c r="O148" s="129"/>
      <c r="P148" s="129"/>
      <c r="Q148" s="129"/>
      <c r="R148" s="129"/>
      <c r="S148" s="129"/>
      <c r="T148" s="129"/>
      <c r="U148" s="129"/>
      <c r="V148" s="129"/>
      <c r="W148" s="129"/>
    </row>
    <row r="149" spans="15:23" s="132" customFormat="1" ht="13">
      <c r="O149" s="129"/>
      <c r="P149" s="129"/>
      <c r="Q149" s="129"/>
      <c r="R149" s="129"/>
      <c r="S149" s="129"/>
      <c r="T149" s="129"/>
      <c r="U149" s="129"/>
      <c r="V149" s="129"/>
      <c r="W149" s="129"/>
    </row>
    <row r="150" spans="15:23" s="132" customFormat="1" ht="13">
      <c r="O150" s="129"/>
      <c r="P150" s="129"/>
      <c r="Q150" s="129"/>
      <c r="R150" s="129"/>
      <c r="S150" s="129"/>
      <c r="T150" s="129"/>
      <c r="U150" s="129"/>
      <c r="V150" s="129"/>
      <c r="W150" s="129"/>
    </row>
    <row r="151" spans="15:23" s="132" customFormat="1" ht="13">
      <c r="O151" s="129"/>
      <c r="P151" s="129"/>
      <c r="Q151" s="129"/>
      <c r="R151" s="129"/>
      <c r="S151" s="129"/>
      <c r="T151" s="129"/>
      <c r="U151" s="129"/>
      <c r="V151" s="129"/>
      <c r="W151" s="129"/>
    </row>
    <row r="152" spans="15:23" s="132" customFormat="1" ht="13">
      <c r="O152" s="129"/>
      <c r="P152" s="129"/>
      <c r="Q152" s="129"/>
      <c r="R152" s="129"/>
      <c r="S152" s="129"/>
      <c r="T152" s="129"/>
      <c r="U152" s="129"/>
      <c r="V152" s="129"/>
      <c r="W152" s="129"/>
    </row>
    <row r="153" spans="15:23" s="132" customFormat="1" ht="13">
      <c r="O153" s="129"/>
      <c r="P153" s="129"/>
      <c r="Q153" s="129"/>
      <c r="R153" s="129"/>
      <c r="S153" s="129"/>
      <c r="T153" s="129"/>
      <c r="U153" s="129"/>
      <c r="V153" s="129"/>
      <c r="W153" s="129"/>
    </row>
    <row r="154" spans="15:23" s="132" customFormat="1" ht="13">
      <c r="O154" s="129"/>
      <c r="P154" s="129"/>
      <c r="Q154" s="129"/>
      <c r="R154" s="129"/>
      <c r="S154" s="129"/>
      <c r="T154" s="129"/>
      <c r="U154" s="129"/>
      <c r="V154" s="129"/>
      <c r="W154" s="129"/>
    </row>
    <row r="155" spans="15:23" s="132" customFormat="1" ht="13">
      <c r="O155" s="129"/>
      <c r="P155" s="129"/>
      <c r="Q155" s="129"/>
      <c r="R155" s="129"/>
      <c r="S155" s="129"/>
      <c r="T155" s="129"/>
      <c r="U155" s="129"/>
      <c r="V155" s="129"/>
      <c r="W155" s="129"/>
    </row>
    <row r="156" spans="15:23" s="132" customFormat="1" ht="13">
      <c r="O156" s="129"/>
      <c r="P156" s="129"/>
      <c r="Q156" s="129"/>
      <c r="R156" s="129"/>
      <c r="S156" s="129"/>
      <c r="T156" s="129"/>
      <c r="U156" s="129"/>
      <c r="V156" s="129"/>
      <c r="W156" s="129"/>
    </row>
    <row r="157" spans="15:23" s="132" customFormat="1" ht="13">
      <c r="O157" s="129"/>
      <c r="P157" s="129"/>
      <c r="Q157" s="129"/>
      <c r="R157" s="129"/>
      <c r="S157" s="129"/>
      <c r="T157" s="129"/>
      <c r="U157" s="129"/>
      <c r="V157" s="129"/>
      <c r="W157" s="129"/>
    </row>
    <row r="158" spans="15:23" s="132" customFormat="1" ht="13">
      <c r="O158" s="129"/>
      <c r="P158" s="129"/>
      <c r="Q158" s="129"/>
      <c r="R158" s="129"/>
      <c r="S158" s="129"/>
      <c r="T158" s="129"/>
      <c r="U158" s="129"/>
      <c r="V158" s="129"/>
      <c r="W158" s="129"/>
    </row>
    <row r="159" spans="15:23" s="132" customFormat="1" ht="13">
      <c r="O159" s="129"/>
      <c r="P159" s="129"/>
      <c r="Q159" s="129"/>
      <c r="R159" s="129"/>
      <c r="S159" s="129"/>
      <c r="T159" s="129"/>
      <c r="U159" s="129"/>
      <c r="V159" s="129"/>
      <c r="W159" s="129"/>
    </row>
    <row r="160" spans="15:23" s="132" customFormat="1" ht="13">
      <c r="O160" s="129"/>
      <c r="P160" s="129"/>
      <c r="Q160" s="129"/>
      <c r="R160" s="129"/>
      <c r="S160" s="129"/>
      <c r="T160" s="129"/>
      <c r="U160" s="129"/>
      <c r="V160" s="129"/>
      <c r="W160" s="129"/>
    </row>
    <row r="161" spans="15:23" s="132" customFormat="1" ht="13">
      <c r="O161" s="129"/>
      <c r="P161" s="129"/>
      <c r="Q161" s="129"/>
      <c r="R161" s="129"/>
      <c r="S161" s="129"/>
      <c r="T161" s="129"/>
      <c r="U161" s="129"/>
      <c r="V161" s="129"/>
      <c r="W161" s="129"/>
    </row>
    <row r="162" spans="15:23" s="132" customFormat="1" ht="13">
      <c r="O162" s="129"/>
      <c r="P162" s="129"/>
      <c r="Q162" s="129"/>
      <c r="R162" s="129"/>
      <c r="S162" s="129"/>
      <c r="T162" s="129"/>
      <c r="U162" s="129"/>
      <c r="V162" s="129"/>
      <c r="W162" s="129"/>
    </row>
    <row r="163" spans="15:23" s="132" customFormat="1" ht="13">
      <c r="O163" s="129"/>
      <c r="P163" s="129"/>
      <c r="Q163" s="129"/>
      <c r="R163" s="129"/>
      <c r="S163" s="129"/>
      <c r="T163" s="129"/>
      <c r="U163" s="129"/>
      <c r="V163" s="129"/>
      <c r="W163" s="129"/>
    </row>
    <row r="164" spans="15:23" s="132" customFormat="1" ht="13">
      <c r="O164" s="129"/>
      <c r="P164" s="129"/>
      <c r="Q164" s="129"/>
      <c r="R164" s="129"/>
      <c r="S164" s="129"/>
      <c r="T164" s="129"/>
      <c r="U164" s="129"/>
      <c r="V164" s="129"/>
      <c r="W164" s="129"/>
    </row>
    <row r="165" spans="15:23" s="132" customFormat="1" ht="13">
      <c r="O165" s="129"/>
      <c r="P165" s="129"/>
      <c r="Q165" s="129"/>
      <c r="R165" s="129"/>
      <c r="S165" s="129"/>
      <c r="T165" s="129"/>
      <c r="U165" s="129"/>
      <c r="V165" s="129"/>
      <c r="W165" s="129"/>
    </row>
    <row r="166" spans="15:23" s="132" customFormat="1" ht="13">
      <c r="O166" s="129"/>
      <c r="P166" s="129"/>
      <c r="Q166" s="129"/>
      <c r="R166" s="129"/>
      <c r="S166" s="129"/>
      <c r="T166" s="129"/>
      <c r="U166" s="129"/>
      <c r="V166" s="129"/>
      <c r="W166" s="129"/>
    </row>
    <row r="167" spans="15:23" s="132" customFormat="1" ht="13">
      <c r="O167" s="129"/>
      <c r="P167" s="129"/>
      <c r="Q167" s="129"/>
      <c r="R167" s="129"/>
      <c r="S167" s="129"/>
      <c r="T167" s="129"/>
      <c r="U167" s="129"/>
      <c r="V167" s="129"/>
      <c r="W167" s="129"/>
    </row>
    <row r="168" spans="15:23" s="132" customFormat="1" ht="13">
      <c r="O168" s="129"/>
      <c r="P168" s="129"/>
      <c r="Q168" s="129"/>
      <c r="R168" s="129"/>
      <c r="S168" s="129"/>
      <c r="T168" s="129"/>
      <c r="U168" s="129"/>
      <c r="V168" s="129"/>
      <c r="W168" s="129"/>
    </row>
    <row r="169" spans="15:23" s="132" customFormat="1" ht="13">
      <c r="O169" s="129"/>
      <c r="P169" s="129"/>
      <c r="Q169" s="129"/>
      <c r="R169" s="129"/>
      <c r="S169" s="129"/>
      <c r="T169" s="129"/>
      <c r="U169" s="129"/>
      <c r="V169" s="129"/>
      <c r="W169" s="129"/>
    </row>
    <row r="170" spans="15:23" s="132" customFormat="1" ht="13">
      <c r="O170" s="129"/>
      <c r="P170" s="129"/>
      <c r="Q170" s="129"/>
      <c r="R170" s="129"/>
      <c r="S170" s="129"/>
      <c r="T170" s="129"/>
      <c r="U170" s="129"/>
      <c r="V170" s="129"/>
      <c r="W170" s="129"/>
    </row>
    <row r="171" spans="15:23" s="132" customFormat="1" ht="13">
      <c r="O171" s="129"/>
      <c r="P171" s="129"/>
      <c r="Q171" s="129"/>
      <c r="R171" s="129"/>
      <c r="S171" s="129"/>
      <c r="T171" s="129"/>
      <c r="U171" s="129"/>
      <c r="V171" s="129"/>
      <c r="W171" s="129"/>
    </row>
    <row r="172" spans="15:23" s="132" customFormat="1" ht="13">
      <c r="O172" s="129"/>
      <c r="P172" s="129"/>
      <c r="Q172" s="129"/>
      <c r="R172" s="129"/>
      <c r="S172" s="129"/>
      <c r="T172" s="129"/>
      <c r="U172" s="129"/>
      <c r="V172" s="129"/>
      <c r="W172" s="129"/>
    </row>
    <row r="173" spans="15:23" s="132" customFormat="1" ht="13">
      <c r="O173" s="129"/>
      <c r="P173" s="129"/>
      <c r="Q173" s="129"/>
      <c r="R173" s="129"/>
      <c r="S173" s="129"/>
      <c r="T173" s="129"/>
      <c r="U173" s="129"/>
      <c r="V173" s="129"/>
      <c r="W173" s="129"/>
    </row>
    <row r="174" spans="15:23" s="132" customFormat="1" ht="13">
      <c r="O174" s="129"/>
      <c r="P174" s="129"/>
      <c r="Q174" s="129"/>
      <c r="R174" s="129"/>
      <c r="S174" s="129"/>
      <c r="T174" s="129"/>
      <c r="U174" s="129"/>
      <c r="V174" s="129"/>
      <c r="W174" s="129"/>
    </row>
    <row r="175" spans="15:23" s="132" customFormat="1" ht="13">
      <c r="O175" s="129"/>
      <c r="P175" s="129"/>
      <c r="Q175" s="129"/>
      <c r="R175" s="129"/>
      <c r="S175" s="129"/>
      <c r="T175" s="129"/>
      <c r="U175" s="129"/>
      <c r="V175" s="129"/>
      <c r="W175" s="129"/>
    </row>
    <row r="176" spans="15:23" s="132" customFormat="1" ht="13">
      <c r="O176" s="129"/>
      <c r="P176" s="129"/>
      <c r="Q176" s="129"/>
      <c r="R176" s="129"/>
      <c r="S176" s="129"/>
      <c r="T176" s="129"/>
      <c r="U176" s="129"/>
      <c r="V176" s="129"/>
      <c r="W176" s="129"/>
    </row>
    <row r="177" spans="15:23" s="132" customFormat="1" ht="13">
      <c r="O177" s="129"/>
      <c r="P177" s="129"/>
      <c r="Q177" s="129"/>
      <c r="R177" s="129"/>
      <c r="S177" s="129"/>
      <c r="T177" s="129"/>
      <c r="U177" s="129"/>
      <c r="V177" s="129"/>
      <c r="W177" s="129"/>
    </row>
    <row r="178" spans="15:23" s="132" customFormat="1" ht="13">
      <c r="O178" s="129"/>
      <c r="P178" s="129"/>
      <c r="Q178" s="129"/>
      <c r="R178" s="129"/>
      <c r="S178" s="129"/>
      <c r="T178" s="129"/>
      <c r="U178" s="129"/>
      <c r="V178" s="129"/>
      <c r="W178" s="129"/>
    </row>
    <row r="179" spans="15:23" s="132" customFormat="1" ht="13">
      <c r="O179" s="129"/>
      <c r="P179" s="129"/>
      <c r="Q179" s="129"/>
      <c r="R179" s="129"/>
      <c r="S179" s="129"/>
      <c r="T179" s="129"/>
      <c r="U179" s="129"/>
      <c r="V179" s="129"/>
      <c r="W179" s="129"/>
    </row>
    <row r="180" spans="15:23" s="132" customFormat="1" ht="13">
      <c r="O180" s="129"/>
      <c r="P180" s="129"/>
      <c r="Q180" s="129"/>
      <c r="R180" s="129"/>
      <c r="S180" s="129"/>
      <c r="T180" s="129"/>
      <c r="U180" s="129"/>
      <c r="V180" s="129"/>
      <c r="W180" s="129"/>
    </row>
    <row r="181" spans="15:23" s="132" customFormat="1" ht="13">
      <c r="O181" s="129"/>
      <c r="P181" s="129"/>
      <c r="Q181" s="129"/>
      <c r="R181" s="129"/>
      <c r="S181" s="129"/>
      <c r="T181" s="129"/>
      <c r="U181" s="129"/>
      <c r="V181" s="129"/>
      <c r="W181" s="129"/>
    </row>
    <row r="182" spans="15:23" s="132" customFormat="1" ht="13">
      <c r="O182" s="129"/>
      <c r="P182" s="129"/>
      <c r="Q182" s="129"/>
      <c r="R182" s="129"/>
      <c r="S182" s="129"/>
      <c r="T182" s="129"/>
      <c r="U182" s="129"/>
      <c r="V182" s="129"/>
      <c r="W182" s="129"/>
    </row>
    <row r="183" spans="15:23" s="132" customFormat="1" ht="13">
      <c r="O183" s="129"/>
      <c r="P183" s="129"/>
      <c r="Q183" s="129"/>
      <c r="R183" s="129"/>
      <c r="S183" s="129"/>
      <c r="T183" s="129"/>
      <c r="U183" s="129"/>
      <c r="V183" s="129"/>
      <c r="W183" s="129"/>
    </row>
    <row r="184" spans="15:23" s="132" customFormat="1" ht="13">
      <c r="O184" s="129"/>
      <c r="P184" s="129"/>
      <c r="Q184" s="129"/>
      <c r="R184" s="129"/>
      <c r="S184" s="129"/>
      <c r="T184" s="129"/>
      <c r="U184" s="129"/>
      <c r="V184" s="129"/>
      <c r="W184" s="129"/>
    </row>
    <row r="185" spans="15:23" s="132" customFormat="1" ht="13">
      <c r="O185" s="129"/>
      <c r="P185" s="129"/>
      <c r="Q185" s="129"/>
      <c r="R185" s="129"/>
      <c r="S185" s="129"/>
      <c r="T185" s="129"/>
      <c r="U185" s="129"/>
      <c r="V185" s="129"/>
      <c r="W185" s="129"/>
    </row>
    <row r="186" spans="15:23" s="132" customFormat="1" ht="13">
      <c r="O186" s="129"/>
      <c r="P186" s="129"/>
      <c r="Q186" s="129"/>
      <c r="R186" s="129"/>
      <c r="S186" s="129"/>
      <c r="T186" s="129"/>
      <c r="U186" s="129"/>
      <c r="V186" s="129"/>
      <c r="W186" s="129"/>
    </row>
    <row r="187" spans="15:23" s="132" customFormat="1" ht="13">
      <c r="O187" s="129"/>
      <c r="P187" s="129"/>
      <c r="Q187" s="129"/>
      <c r="R187" s="129"/>
      <c r="S187" s="129"/>
      <c r="T187" s="129"/>
      <c r="U187" s="129"/>
      <c r="V187" s="129"/>
      <c r="W187" s="129"/>
    </row>
    <row r="188" spans="15:23" s="132" customFormat="1" ht="13">
      <c r="O188" s="129"/>
      <c r="P188" s="129"/>
      <c r="Q188" s="129"/>
      <c r="R188" s="129"/>
      <c r="S188" s="129"/>
      <c r="T188" s="129"/>
      <c r="U188" s="129"/>
      <c r="V188" s="129"/>
      <c r="W188" s="129"/>
    </row>
    <row r="189" spans="15:23" s="132" customFormat="1" ht="13">
      <c r="O189" s="129"/>
      <c r="P189" s="129"/>
      <c r="Q189" s="129"/>
      <c r="R189" s="129"/>
      <c r="S189" s="129"/>
      <c r="T189" s="129"/>
      <c r="U189" s="129"/>
      <c r="V189" s="129"/>
      <c r="W189" s="129"/>
    </row>
    <row r="190" spans="15:23" s="132" customFormat="1" ht="13">
      <c r="O190" s="129"/>
      <c r="P190" s="129"/>
      <c r="Q190" s="129"/>
      <c r="R190" s="129"/>
      <c r="S190" s="129"/>
      <c r="T190" s="129"/>
      <c r="U190" s="129"/>
      <c r="V190" s="129"/>
      <c r="W190" s="129"/>
    </row>
    <row r="191" spans="15:23" s="132" customFormat="1" ht="13">
      <c r="O191" s="129"/>
      <c r="P191" s="129"/>
      <c r="Q191" s="129"/>
      <c r="R191" s="129"/>
      <c r="S191" s="129"/>
      <c r="T191" s="129"/>
      <c r="U191" s="129"/>
      <c r="V191" s="129"/>
      <c r="W191" s="129"/>
    </row>
    <row r="192" spans="15:23" s="132" customFormat="1" ht="13">
      <c r="O192" s="129"/>
      <c r="P192" s="129"/>
      <c r="Q192" s="129"/>
      <c r="R192" s="129"/>
      <c r="S192" s="129"/>
      <c r="T192" s="129"/>
      <c r="U192" s="129"/>
      <c r="V192" s="129"/>
      <c r="W192" s="129"/>
    </row>
    <row r="193" spans="15:23" s="132" customFormat="1" ht="13">
      <c r="O193" s="129"/>
      <c r="P193" s="129"/>
      <c r="Q193" s="129"/>
      <c r="R193" s="129"/>
      <c r="S193" s="129"/>
      <c r="T193" s="129"/>
      <c r="U193" s="129"/>
      <c r="V193" s="129"/>
      <c r="W193" s="129"/>
    </row>
    <row r="194" spans="15:23" s="132" customFormat="1" ht="13">
      <c r="O194" s="129"/>
      <c r="P194" s="129"/>
      <c r="Q194" s="129"/>
      <c r="R194" s="129"/>
      <c r="S194" s="129"/>
      <c r="T194" s="129"/>
      <c r="U194" s="129"/>
      <c r="V194" s="129"/>
      <c r="W194" s="129"/>
    </row>
    <row r="195" spans="15:23" s="132" customFormat="1" ht="13">
      <c r="O195" s="129"/>
      <c r="P195" s="129"/>
      <c r="Q195" s="129"/>
      <c r="R195" s="129"/>
      <c r="S195" s="129"/>
      <c r="T195" s="129"/>
      <c r="U195" s="129"/>
      <c r="V195" s="129"/>
      <c r="W195" s="129"/>
    </row>
    <row r="196" spans="15:23" s="132" customFormat="1" ht="13">
      <c r="O196" s="129"/>
      <c r="P196" s="129"/>
      <c r="Q196" s="129"/>
      <c r="R196" s="129"/>
      <c r="S196" s="129"/>
      <c r="T196" s="129"/>
      <c r="U196" s="129"/>
      <c r="V196" s="129"/>
      <c r="W196" s="129"/>
    </row>
    <row r="197" spans="15:23" s="132" customFormat="1" ht="13">
      <c r="O197" s="129"/>
      <c r="P197" s="129"/>
      <c r="Q197" s="129"/>
      <c r="R197" s="129"/>
      <c r="S197" s="129"/>
      <c r="T197" s="129"/>
      <c r="U197" s="129"/>
      <c r="V197" s="129"/>
      <c r="W197" s="129"/>
    </row>
    <row r="198" spans="15:23" s="132" customFormat="1" ht="13">
      <c r="O198" s="129"/>
      <c r="P198" s="129"/>
      <c r="Q198" s="129"/>
      <c r="R198" s="129"/>
      <c r="S198" s="129"/>
      <c r="T198" s="129"/>
      <c r="U198" s="129"/>
      <c r="V198" s="129"/>
      <c r="W198" s="129"/>
    </row>
    <row r="199" spans="15:23" s="132" customFormat="1" ht="13">
      <c r="O199" s="129"/>
      <c r="P199" s="129"/>
      <c r="Q199" s="129"/>
      <c r="R199" s="129"/>
      <c r="S199" s="129"/>
      <c r="T199" s="129"/>
      <c r="U199" s="129"/>
      <c r="V199" s="129"/>
      <c r="W199" s="129"/>
    </row>
    <row r="200" spans="15:23" s="132" customFormat="1" ht="13">
      <c r="O200" s="129"/>
      <c r="P200" s="129"/>
      <c r="Q200" s="129"/>
      <c r="R200" s="129"/>
      <c r="S200" s="129"/>
      <c r="T200" s="129"/>
      <c r="U200" s="129"/>
      <c r="V200" s="129"/>
      <c r="W200" s="129"/>
    </row>
    <row r="201" spans="15:23" s="132" customFormat="1" ht="13">
      <c r="O201" s="129"/>
      <c r="P201" s="129"/>
      <c r="Q201" s="129"/>
      <c r="R201" s="129"/>
      <c r="S201" s="129"/>
      <c r="T201" s="129"/>
      <c r="U201" s="129"/>
      <c r="V201" s="129"/>
      <c r="W201" s="129"/>
    </row>
    <row r="202" spans="15:23" s="132" customFormat="1" ht="13">
      <c r="O202" s="129"/>
      <c r="P202" s="129"/>
      <c r="Q202" s="129"/>
      <c r="R202" s="129"/>
      <c r="S202" s="129"/>
      <c r="T202" s="129"/>
      <c r="U202" s="129"/>
      <c r="V202" s="129"/>
      <c r="W202" s="129"/>
    </row>
    <row r="203" spans="15:23" s="132" customFormat="1" ht="13">
      <c r="O203" s="129"/>
      <c r="P203" s="129"/>
      <c r="Q203" s="129"/>
      <c r="R203" s="129"/>
      <c r="S203" s="129"/>
      <c r="T203" s="129"/>
      <c r="U203" s="129"/>
      <c r="V203" s="129"/>
      <c r="W203" s="129"/>
    </row>
    <row r="204" spans="15:23" s="132" customFormat="1" ht="13">
      <c r="O204" s="129"/>
      <c r="P204" s="129"/>
      <c r="Q204" s="129"/>
      <c r="R204" s="129"/>
      <c r="S204" s="129"/>
      <c r="T204" s="129"/>
      <c r="U204" s="129"/>
      <c r="V204" s="129"/>
      <c r="W204" s="129"/>
    </row>
    <row r="205" spans="15:23" s="132" customFormat="1" ht="13">
      <c r="O205" s="129"/>
      <c r="P205" s="129"/>
      <c r="Q205" s="129"/>
      <c r="R205" s="129"/>
      <c r="S205" s="129"/>
      <c r="T205" s="129"/>
      <c r="U205" s="129"/>
      <c r="V205" s="129"/>
      <c r="W205" s="129"/>
    </row>
    <row r="206" spans="15:23" s="132" customFormat="1" ht="13">
      <c r="O206" s="129"/>
      <c r="P206" s="129"/>
      <c r="Q206" s="129"/>
      <c r="R206" s="129"/>
      <c r="S206" s="129"/>
      <c r="T206" s="129"/>
      <c r="U206" s="129"/>
      <c r="V206" s="129"/>
      <c r="W206" s="129"/>
    </row>
    <row r="207" spans="15:23" s="132" customFormat="1" ht="13">
      <c r="O207" s="129"/>
      <c r="P207" s="129"/>
      <c r="Q207" s="129"/>
      <c r="R207" s="129"/>
      <c r="S207" s="129"/>
      <c r="T207" s="129"/>
      <c r="U207" s="129"/>
      <c r="V207" s="129"/>
      <c r="W207" s="129"/>
    </row>
    <row r="208" spans="15:23" s="132" customFormat="1" ht="13">
      <c r="O208" s="129"/>
      <c r="P208" s="129"/>
      <c r="Q208" s="129"/>
      <c r="R208" s="129"/>
      <c r="S208" s="129"/>
      <c r="T208" s="129"/>
      <c r="U208" s="129"/>
      <c r="V208" s="129"/>
      <c r="W208" s="129"/>
    </row>
    <row r="209" spans="15:23" s="132" customFormat="1" ht="13">
      <c r="O209" s="129"/>
      <c r="P209" s="129"/>
      <c r="Q209" s="129"/>
      <c r="R209" s="129"/>
      <c r="S209" s="129"/>
      <c r="T209" s="129"/>
      <c r="U209" s="129"/>
      <c r="V209" s="129"/>
      <c r="W209" s="129"/>
    </row>
    <row r="210" spans="15:23" s="132" customFormat="1" ht="13">
      <c r="O210" s="129"/>
      <c r="P210" s="129"/>
      <c r="Q210" s="129"/>
      <c r="R210" s="129"/>
      <c r="S210" s="129"/>
      <c r="T210" s="129"/>
      <c r="U210" s="129"/>
      <c r="V210" s="129"/>
      <c r="W210" s="129"/>
    </row>
    <row r="211" spans="15:23" s="132" customFormat="1" ht="13">
      <c r="O211" s="129"/>
      <c r="P211" s="129"/>
      <c r="Q211" s="129"/>
      <c r="R211" s="129"/>
      <c r="S211" s="129"/>
      <c r="T211" s="129"/>
      <c r="U211" s="129"/>
      <c r="V211" s="129"/>
      <c r="W211" s="129"/>
    </row>
    <row r="212" spans="15:23" s="132" customFormat="1" ht="13">
      <c r="O212" s="129"/>
      <c r="P212" s="129"/>
      <c r="Q212" s="129"/>
      <c r="R212" s="129"/>
      <c r="S212" s="129"/>
      <c r="T212" s="129"/>
      <c r="U212" s="129"/>
      <c r="V212" s="129"/>
      <c r="W212" s="129"/>
    </row>
    <row r="213" spans="15:23" s="132" customFormat="1" ht="13">
      <c r="O213" s="129"/>
      <c r="P213" s="129"/>
      <c r="Q213" s="129"/>
      <c r="R213" s="129"/>
      <c r="S213" s="129"/>
      <c r="T213" s="129"/>
      <c r="U213" s="129"/>
      <c r="V213" s="129"/>
      <c r="W213" s="129"/>
    </row>
    <row r="214" spans="15:23" s="132" customFormat="1" ht="13">
      <c r="O214" s="129"/>
      <c r="P214" s="129"/>
      <c r="Q214" s="129"/>
      <c r="R214" s="129"/>
      <c r="S214" s="129"/>
      <c r="T214" s="129"/>
      <c r="U214" s="129"/>
      <c r="V214" s="129"/>
      <c r="W214" s="129"/>
    </row>
    <row r="215" spans="15:23" s="132" customFormat="1" ht="13">
      <c r="O215" s="129"/>
      <c r="P215" s="129"/>
      <c r="Q215" s="129"/>
      <c r="R215" s="129"/>
      <c r="S215" s="129"/>
      <c r="T215" s="129"/>
      <c r="U215" s="129"/>
      <c r="V215" s="129"/>
      <c r="W215" s="129"/>
    </row>
    <row r="216" spans="15:23" s="132" customFormat="1" ht="13">
      <c r="O216" s="129"/>
      <c r="P216" s="129"/>
      <c r="Q216" s="129"/>
      <c r="R216" s="129"/>
      <c r="S216" s="129"/>
      <c r="T216" s="129"/>
      <c r="U216" s="129"/>
      <c r="V216" s="129"/>
      <c r="W216" s="129"/>
    </row>
    <row r="217" spans="15:23" s="132" customFormat="1" ht="13">
      <c r="O217" s="129"/>
      <c r="P217" s="129"/>
      <c r="Q217" s="129"/>
      <c r="R217" s="129"/>
      <c r="S217" s="129"/>
      <c r="T217" s="129"/>
      <c r="U217" s="129"/>
      <c r="V217" s="129"/>
      <c r="W217" s="129"/>
    </row>
    <row r="218" spans="15:23" s="132" customFormat="1" ht="13">
      <c r="O218" s="129"/>
      <c r="P218" s="129"/>
      <c r="Q218" s="129"/>
      <c r="R218" s="129"/>
      <c r="S218" s="129"/>
      <c r="T218" s="129"/>
      <c r="U218" s="129"/>
      <c r="V218" s="129"/>
      <c r="W218" s="129"/>
    </row>
    <row r="219" spans="15:23" s="132" customFormat="1" ht="13">
      <c r="O219" s="129"/>
      <c r="P219" s="129"/>
      <c r="Q219" s="129"/>
      <c r="R219" s="129"/>
      <c r="S219" s="129"/>
      <c r="T219" s="129"/>
      <c r="U219" s="129"/>
      <c r="V219" s="129"/>
      <c r="W219" s="129"/>
    </row>
    <row r="220" spans="15:23" s="132" customFormat="1" ht="13">
      <c r="O220" s="129"/>
      <c r="P220" s="129"/>
      <c r="Q220" s="129"/>
      <c r="R220" s="129"/>
      <c r="S220" s="129"/>
      <c r="T220" s="129"/>
      <c r="U220" s="129"/>
      <c r="V220" s="129"/>
      <c r="W220" s="129"/>
    </row>
    <row r="221" spans="15:23" s="132" customFormat="1" ht="13">
      <c r="O221" s="129"/>
      <c r="P221" s="129"/>
      <c r="Q221" s="129"/>
      <c r="R221" s="129"/>
      <c r="S221" s="129"/>
      <c r="T221" s="129"/>
      <c r="U221" s="129"/>
      <c r="V221" s="129"/>
      <c r="W221" s="129"/>
    </row>
    <row r="222" spans="15:23" s="132" customFormat="1" ht="13">
      <c r="O222" s="129"/>
      <c r="P222" s="129"/>
      <c r="Q222" s="129"/>
      <c r="R222" s="129"/>
      <c r="S222" s="129"/>
      <c r="T222" s="129"/>
      <c r="U222" s="129"/>
      <c r="V222" s="129"/>
      <c r="W222" s="129"/>
    </row>
    <row r="223" spans="15:23" s="132" customFormat="1" ht="13">
      <c r="O223" s="129"/>
      <c r="P223" s="129"/>
      <c r="Q223" s="129"/>
      <c r="R223" s="129"/>
      <c r="S223" s="129"/>
      <c r="T223" s="129"/>
      <c r="U223" s="129"/>
      <c r="V223" s="129"/>
      <c r="W223" s="129"/>
    </row>
    <row r="224" spans="15:23" s="132" customFormat="1" ht="13">
      <c r="O224" s="129"/>
      <c r="P224" s="129"/>
      <c r="Q224" s="129"/>
      <c r="R224" s="129"/>
      <c r="S224" s="129"/>
      <c r="T224" s="129"/>
      <c r="U224" s="129"/>
      <c r="V224" s="129"/>
      <c r="W224" s="129"/>
    </row>
    <row r="225" spans="15:23" s="132" customFormat="1" ht="13">
      <c r="O225" s="129"/>
      <c r="P225" s="129"/>
      <c r="Q225" s="129"/>
      <c r="R225" s="129"/>
      <c r="S225" s="129"/>
      <c r="T225" s="129"/>
      <c r="U225" s="129"/>
      <c r="V225" s="129"/>
      <c r="W225" s="129"/>
    </row>
    <row r="226" spans="15:23" s="132" customFormat="1" ht="13">
      <c r="O226" s="129"/>
      <c r="P226" s="129"/>
      <c r="Q226" s="129"/>
      <c r="R226" s="129"/>
      <c r="S226" s="129"/>
      <c r="T226" s="129"/>
      <c r="U226" s="129"/>
      <c r="V226" s="129"/>
      <c r="W226" s="129"/>
    </row>
    <row r="227" spans="15:23" ht="13"/>
    <row r="228" spans="15:23" ht="13"/>
    <row r="229" spans="15:23" ht="13"/>
    <row r="230" spans="15:23" ht="13"/>
    <row r="231" spans="15:23" ht="13"/>
    <row r="232" spans="15:23" ht="13"/>
    <row r="233" spans="15:23" ht="13"/>
    <row r="234" spans="15:23" ht="13"/>
    <row r="235" spans="15:23" ht="13"/>
    <row r="236" spans="15:23" ht="13"/>
    <row r="237" spans="15:23" ht="13"/>
    <row r="238" spans="15:23" ht="13"/>
    <row r="239" spans="15:23" ht="13"/>
    <row r="240" spans="15:23" ht="13"/>
    <row r="241" ht="13"/>
    <row r="242" ht="13"/>
    <row r="243" ht="13"/>
    <row r="244" ht="13"/>
    <row r="245" ht="13"/>
    <row r="246" ht="13"/>
    <row r="247" ht="13"/>
    <row r="248" ht="13"/>
    <row r="249" ht="13"/>
    <row r="250" ht="13"/>
    <row r="251" ht="13"/>
    <row r="252" ht="13"/>
    <row r="253" ht="13"/>
    <row r="254" ht="13"/>
    <row r="255" ht="13"/>
    <row r="256" ht="13"/>
    <row r="257" ht="13"/>
    <row r="258" ht="13"/>
    <row r="259" ht="13"/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</sheetData>
  <phoneticPr fontId="72" type="noConversion"/>
  <conditionalFormatting sqref="C13:I17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F746D-C35F-4744-BC4B-93B3099A46BA}">
  <dimension ref="B1:N158"/>
  <sheetViews>
    <sheetView workbookViewId="0"/>
  </sheetViews>
  <sheetFormatPr defaultColWidth="11.453125" defaultRowHeight="13"/>
  <cols>
    <col min="1" max="1" width="4" style="836" customWidth="1"/>
    <col min="2" max="2" width="28.81640625" style="836" bestFit="1" customWidth="1"/>
    <col min="3" max="4" width="7" style="983" bestFit="1" customWidth="1"/>
    <col min="5" max="5" width="7.54296875" style="983" bestFit="1" customWidth="1"/>
    <col min="6" max="6" width="5.54296875" style="983" bestFit="1" customWidth="1"/>
    <col min="7" max="8" width="7.54296875" style="983" bestFit="1" customWidth="1"/>
    <col min="9" max="9" width="5" style="836" bestFit="1" customWidth="1"/>
    <col min="10" max="10" width="20.54296875" style="836" bestFit="1" customWidth="1"/>
    <col min="11" max="11" width="5" style="839" bestFit="1" customWidth="1"/>
    <col min="12" max="12" width="5.54296875" style="984" bestFit="1" customWidth="1"/>
    <col min="13" max="13" width="11.453125" style="836"/>
    <col min="14" max="14" width="7.54296875" style="983" bestFit="1" customWidth="1"/>
    <col min="15" max="15" width="32.1796875" style="836" bestFit="1" customWidth="1"/>
    <col min="16" max="16384" width="11.453125" style="836"/>
  </cols>
  <sheetData>
    <row r="1" spans="2:12" ht="9" customHeight="1"/>
    <row r="2" spans="2:12">
      <c r="B2" s="1261" t="s">
        <v>2045</v>
      </c>
    </row>
    <row r="3" spans="2:12">
      <c r="B3" s="1261" t="s">
        <v>2005</v>
      </c>
    </row>
    <row r="5" spans="2:12">
      <c r="B5" s="837" t="s">
        <v>2046</v>
      </c>
      <c r="C5" s="1262" t="s">
        <v>471</v>
      </c>
      <c r="D5" s="1262" t="s">
        <v>215</v>
      </c>
      <c r="E5" s="987" t="s">
        <v>1408</v>
      </c>
      <c r="F5" s="987" t="s">
        <v>218</v>
      </c>
      <c r="G5" s="987" t="s">
        <v>66</v>
      </c>
      <c r="I5" s="836">
        <v>1.2</v>
      </c>
      <c r="J5" s="836" t="s">
        <v>2047</v>
      </c>
      <c r="K5" s="1263"/>
    </row>
    <row r="6" spans="2:12">
      <c r="B6" s="1264" t="s">
        <v>1409</v>
      </c>
      <c r="C6" s="1265"/>
      <c r="D6" s="1265"/>
      <c r="E6" s="1265"/>
      <c r="F6" s="1265"/>
      <c r="G6" s="1265"/>
      <c r="H6" s="1266">
        <f>+SUM(G7:G7)</f>
        <v>82.547499999999999</v>
      </c>
      <c r="I6" s="1267">
        <f>+ROUNDUP(H6*I5,0)</f>
        <v>100</v>
      </c>
      <c r="K6" s="839" t="s">
        <v>218</v>
      </c>
      <c r="L6" s="984">
        <v>0.1</v>
      </c>
    </row>
    <row r="7" spans="2:12">
      <c r="B7" s="1268" t="s">
        <v>479</v>
      </c>
      <c r="C7" s="784">
        <v>5.3</v>
      </c>
      <c r="D7" s="784">
        <v>4.45</v>
      </c>
      <c r="E7" s="784">
        <f>+C7*D7</f>
        <v>23.585000000000001</v>
      </c>
      <c r="F7" s="784">
        <v>3.5</v>
      </c>
      <c r="G7" s="784">
        <f>E7*F7</f>
        <v>82.547499999999999</v>
      </c>
      <c r="H7" s="784"/>
      <c r="I7" s="836">
        <v>1.05</v>
      </c>
      <c r="J7" s="836" t="s">
        <v>2048</v>
      </c>
      <c r="K7" s="1263"/>
    </row>
    <row r="8" spans="2:12">
      <c r="B8" s="1264" t="s">
        <v>1410</v>
      </c>
      <c r="C8" s="1265"/>
      <c r="D8" s="1265"/>
      <c r="E8" s="1265"/>
      <c r="F8" s="1265"/>
      <c r="G8" s="1265"/>
      <c r="H8" s="1266">
        <f>+SUM(G9:G48)</f>
        <v>40.855350000000001</v>
      </c>
      <c r="I8" s="1267">
        <f>+ROUNDUP(H8*I7,0)</f>
        <v>43</v>
      </c>
      <c r="K8" s="836"/>
      <c r="L8" s="836"/>
    </row>
    <row r="9" spans="2:12">
      <c r="B9" s="838" t="s">
        <v>2049</v>
      </c>
      <c r="C9" s="984">
        <v>0.6</v>
      </c>
      <c r="D9" s="984">
        <f>(5.3*2)+(4.3*2)</f>
        <v>19.2</v>
      </c>
      <c r="E9" s="784">
        <f t="shared" ref="E9:E45" si="0">+C9*D9</f>
        <v>11.52</v>
      </c>
      <c r="F9" s="784">
        <v>0.4</v>
      </c>
      <c r="G9" s="784">
        <f t="shared" ref="G9:G48" si="1">E9*F9</f>
        <v>4.6079999999999997</v>
      </c>
    </row>
    <row r="10" spans="2:12">
      <c r="B10" s="838" t="s">
        <v>2001</v>
      </c>
      <c r="C10" s="984">
        <v>1</v>
      </c>
      <c r="D10" s="984">
        <v>1</v>
      </c>
      <c r="E10" s="784">
        <f t="shared" si="0"/>
        <v>1</v>
      </c>
      <c r="F10" s="784">
        <v>0.8</v>
      </c>
      <c r="G10" s="983">
        <f t="shared" si="1"/>
        <v>0.8</v>
      </c>
    </row>
    <row r="11" spans="2:12">
      <c r="B11" s="838" t="s">
        <v>2001</v>
      </c>
      <c r="C11" s="984">
        <v>1</v>
      </c>
      <c r="D11" s="984">
        <v>1</v>
      </c>
      <c r="E11" s="784">
        <f t="shared" si="0"/>
        <v>1</v>
      </c>
      <c r="F11" s="784">
        <v>0.8</v>
      </c>
      <c r="G11" s="983">
        <f t="shared" si="1"/>
        <v>0.8</v>
      </c>
    </row>
    <row r="12" spans="2:12">
      <c r="B12" s="1268" t="s">
        <v>1463</v>
      </c>
      <c r="C12" s="784">
        <v>2.6</v>
      </c>
      <c r="D12" s="784">
        <v>2.4300000000000002</v>
      </c>
      <c r="E12" s="784">
        <f t="shared" si="0"/>
        <v>6.3180000000000005</v>
      </c>
      <c r="F12" s="784">
        <f>+L12</f>
        <v>1.7000000000000002</v>
      </c>
      <c r="G12" s="784">
        <f t="shared" si="1"/>
        <v>10.740600000000002</v>
      </c>
      <c r="K12" s="839">
        <f>1.2+0.4</f>
        <v>1.6</v>
      </c>
      <c r="L12" s="984">
        <f t="shared" ref="L12:L48" si="2">+K12+$L$6</f>
        <v>1.7000000000000002</v>
      </c>
    </row>
    <row r="13" spans="2:12">
      <c r="B13" s="838" t="s">
        <v>2050</v>
      </c>
      <c r="C13" s="984">
        <v>0.4</v>
      </c>
      <c r="D13" s="984">
        <v>6.86</v>
      </c>
      <c r="E13" s="784">
        <f t="shared" si="0"/>
        <v>2.7440000000000002</v>
      </c>
      <c r="F13" s="784">
        <f t="shared" ref="F13:F48" si="3">+L13</f>
        <v>0.6</v>
      </c>
      <c r="G13" s="784">
        <f t="shared" si="1"/>
        <v>1.6464000000000001</v>
      </c>
      <c r="K13" s="839">
        <v>0.5</v>
      </c>
      <c r="L13" s="984">
        <f t="shared" si="2"/>
        <v>0.6</v>
      </c>
    </row>
    <row r="14" spans="2:12">
      <c r="B14" s="838" t="s">
        <v>2051</v>
      </c>
      <c r="C14" s="984">
        <v>0.4</v>
      </c>
      <c r="D14" s="984">
        <v>5.27</v>
      </c>
      <c r="E14" s="784">
        <f t="shared" si="0"/>
        <v>2.1080000000000001</v>
      </c>
      <c r="F14" s="784">
        <f t="shared" si="3"/>
        <v>0.6</v>
      </c>
      <c r="G14" s="983">
        <f t="shared" si="1"/>
        <v>1.2647999999999999</v>
      </c>
      <c r="K14" s="839">
        <v>0.5</v>
      </c>
      <c r="L14" s="984">
        <f t="shared" si="2"/>
        <v>0.6</v>
      </c>
    </row>
    <row r="15" spans="2:12">
      <c r="B15" s="838" t="s">
        <v>2052</v>
      </c>
      <c r="C15" s="984">
        <v>0.4</v>
      </c>
      <c r="D15" s="984">
        <v>0.28000000000000003</v>
      </c>
      <c r="E15" s="784">
        <f t="shared" si="0"/>
        <v>0.11200000000000002</v>
      </c>
      <c r="F15" s="784">
        <f t="shared" si="3"/>
        <v>0.6</v>
      </c>
      <c r="G15" s="983">
        <f t="shared" si="1"/>
        <v>6.720000000000001E-2</v>
      </c>
      <c r="K15" s="839">
        <v>0.5</v>
      </c>
      <c r="L15" s="984">
        <f t="shared" si="2"/>
        <v>0.6</v>
      </c>
    </row>
    <row r="16" spans="2:12">
      <c r="B16" s="838" t="s">
        <v>2053</v>
      </c>
      <c r="C16" s="984">
        <v>0.4</v>
      </c>
      <c r="D16" s="984">
        <v>3.13</v>
      </c>
      <c r="E16" s="784">
        <f t="shared" si="0"/>
        <v>1.252</v>
      </c>
      <c r="F16" s="784">
        <f t="shared" si="3"/>
        <v>0.6</v>
      </c>
      <c r="G16" s="983">
        <f t="shared" si="1"/>
        <v>0.75119999999999998</v>
      </c>
      <c r="K16" s="839">
        <v>0.5</v>
      </c>
      <c r="L16" s="984">
        <f t="shared" si="2"/>
        <v>0.6</v>
      </c>
    </row>
    <row r="17" spans="2:12">
      <c r="B17" s="838" t="s">
        <v>2054</v>
      </c>
      <c r="C17" s="1269">
        <v>0.25</v>
      </c>
      <c r="D17" s="1269">
        <v>0.45</v>
      </c>
      <c r="E17" s="784">
        <f t="shared" si="0"/>
        <v>0.1125</v>
      </c>
      <c r="F17" s="784">
        <f t="shared" si="3"/>
        <v>0.5</v>
      </c>
      <c r="G17" s="784">
        <f t="shared" si="1"/>
        <v>5.6250000000000001E-2</v>
      </c>
      <c r="K17" s="839">
        <v>0.4</v>
      </c>
      <c r="L17" s="984">
        <f t="shared" si="2"/>
        <v>0.5</v>
      </c>
    </row>
    <row r="18" spans="2:12">
      <c r="B18" s="838" t="s">
        <v>2055</v>
      </c>
      <c r="C18" s="1269">
        <v>0.25</v>
      </c>
      <c r="D18" s="1269">
        <v>0.95</v>
      </c>
      <c r="E18" s="784">
        <f t="shared" si="0"/>
        <v>0.23749999999999999</v>
      </c>
      <c r="F18" s="784">
        <f t="shared" si="3"/>
        <v>0.5</v>
      </c>
      <c r="G18" s="784">
        <f t="shared" si="1"/>
        <v>0.11874999999999999</v>
      </c>
      <c r="K18" s="839">
        <v>0.4</v>
      </c>
      <c r="L18" s="984">
        <f t="shared" si="2"/>
        <v>0.5</v>
      </c>
    </row>
    <row r="19" spans="2:12">
      <c r="B19" s="838" t="s">
        <v>2056</v>
      </c>
      <c r="C19" s="1269">
        <v>0.4</v>
      </c>
      <c r="D19" s="1269">
        <v>3.16</v>
      </c>
      <c r="E19" s="784">
        <f t="shared" si="0"/>
        <v>1.2640000000000002</v>
      </c>
      <c r="F19" s="784">
        <f t="shared" si="3"/>
        <v>0.6</v>
      </c>
      <c r="G19" s="784">
        <f t="shared" si="1"/>
        <v>0.75840000000000007</v>
      </c>
      <c r="K19" s="839">
        <v>0.5</v>
      </c>
      <c r="L19" s="984">
        <f t="shared" si="2"/>
        <v>0.6</v>
      </c>
    </row>
    <row r="20" spans="2:12">
      <c r="B20" s="838" t="s">
        <v>2057</v>
      </c>
      <c r="C20" s="1269">
        <v>0.4</v>
      </c>
      <c r="D20" s="1269">
        <v>3.04</v>
      </c>
      <c r="E20" s="784">
        <f t="shared" si="0"/>
        <v>1.2160000000000002</v>
      </c>
      <c r="F20" s="784">
        <f t="shared" si="3"/>
        <v>0.6</v>
      </c>
      <c r="G20" s="784">
        <f t="shared" si="1"/>
        <v>0.72960000000000014</v>
      </c>
      <c r="K20" s="839">
        <v>0.5</v>
      </c>
      <c r="L20" s="984">
        <f t="shared" si="2"/>
        <v>0.6</v>
      </c>
    </row>
    <row r="21" spans="2:12">
      <c r="B21" s="1268" t="s">
        <v>2058</v>
      </c>
      <c r="C21" s="1269">
        <v>0.4</v>
      </c>
      <c r="D21" s="1269">
        <v>3.05</v>
      </c>
      <c r="E21" s="784">
        <f t="shared" si="0"/>
        <v>1.22</v>
      </c>
      <c r="F21" s="784">
        <f t="shared" si="3"/>
        <v>0.6</v>
      </c>
      <c r="G21" s="784">
        <f t="shared" si="1"/>
        <v>0.73199999999999998</v>
      </c>
      <c r="K21" s="839">
        <v>0.5</v>
      </c>
      <c r="L21" s="984">
        <f t="shared" si="2"/>
        <v>0.6</v>
      </c>
    </row>
    <row r="22" spans="2:12">
      <c r="B22" s="1268" t="s">
        <v>2059</v>
      </c>
      <c r="C22" s="1269">
        <v>0.25</v>
      </c>
      <c r="D22" s="1269">
        <v>3.21</v>
      </c>
      <c r="E22" s="784">
        <f t="shared" si="0"/>
        <v>0.80249999999999999</v>
      </c>
      <c r="F22" s="784">
        <f t="shared" si="3"/>
        <v>0.5</v>
      </c>
      <c r="G22" s="784">
        <f t="shared" si="1"/>
        <v>0.40125</v>
      </c>
      <c r="K22" s="839">
        <v>0.4</v>
      </c>
      <c r="L22" s="984">
        <f t="shared" si="2"/>
        <v>0.5</v>
      </c>
    </row>
    <row r="23" spans="2:12">
      <c r="B23" s="1268" t="s">
        <v>2060</v>
      </c>
      <c r="C23" s="1269">
        <v>0.25</v>
      </c>
      <c r="D23" s="1269">
        <v>5.58</v>
      </c>
      <c r="E23" s="784">
        <f t="shared" si="0"/>
        <v>1.395</v>
      </c>
      <c r="F23" s="784">
        <f t="shared" si="3"/>
        <v>0.5</v>
      </c>
      <c r="G23" s="784">
        <f t="shared" si="1"/>
        <v>0.69750000000000001</v>
      </c>
      <c r="K23" s="839">
        <v>0.4</v>
      </c>
      <c r="L23" s="984">
        <f t="shared" si="2"/>
        <v>0.5</v>
      </c>
    </row>
    <row r="24" spans="2:12">
      <c r="B24" s="1268" t="s">
        <v>2061</v>
      </c>
      <c r="C24" s="1269">
        <v>0.25</v>
      </c>
      <c r="D24" s="1269">
        <v>2.57</v>
      </c>
      <c r="E24" s="784">
        <f t="shared" si="0"/>
        <v>0.64249999999999996</v>
      </c>
      <c r="F24" s="784">
        <f t="shared" si="3"/>
        <v>0.5</v>
      </c>
      <c r="G24" s="784">
        <f t="shared" si="1"/>
        <v>0.32124999999999998</v>
      </c>
      <c r="K24" s="839">
        <v>0.4</v>
      </c>
      <c r="L24" s="984">
        <f t="shared" si="2"/>
        <v>0.5</v>
      </c>
    </row>
    <row r="25" spans="2:12">
      <c r="B25" s="1268" t="s">
        <v>2062</v>
      </c>
      <c r="C25" s="1269">
        <v>0.25</v>
      </c>
      <c r="D25" s="1269">
        <v>1.73</v>
      </c>
      <c r="E25" s="784">
        <f t="shared" si="0"/>
        <v>0.4325</v>
      </c>
      <c r="F25" s="784">
        <f t="shared" si="3"/>
        <v>0.5</v>
      </c>
      <c r="G25" s="784">
        <f t="shared" si="1"/>
        <v>0.21625</v>
      </c>
      <c r="K25" s="839">
        <v>0.4</v>
      </c>
      <c r="L25" s="984">
        <f t="shared" si="2"/>
        <v>0.5</v>
      </c>
    </row>
    <row r="26" spans="2:12">
      <c r="B26" s="1268" t="s">
        <v>2063</v>
      </c>
      <c r="C26" s="1269">
        <v>0.25</v>
      </c>
      <c r="D26" s="1269">
        <v>3.21</v>
      </c>
      <c r="E26" s="784">
        <f>+C26*D26</f>
        <v>0.80249999999999999</v>
      </c>
      <c r="F26" s="784">
        <f t="shared" si="3"/>
        <v>0.5</v>
      </c>
      <c r="G26" s="784">
        <f t="shared" si="1"/>
        <v>0.40125</v>
      </c>
      <c r="K26" s="839">
        <v>0.4</v>
      </c>
      <c r="L26" s="984">
        <f t="shared" si="2"/>
        <v>0.5</v>
      </c>
    </row>
    <row r="27" spans="2:12">
      <c r="B27" s="1268" t="s">
        <v>2064</v>
      </c>
      <c r="C27" s="1269">
        <v>0.25</v>
      </c>
      <c r="D27" s="1269">
        <v>5.58</v>
      </c>
      <c r="E27" s="784">
        <f t="shared" si="0"/>
        <v>1.395</v>
      </c>
      <c r="F27" s="784">
        <f t="shared" si="3"/>
        <v>0.5</v>
      </c>
      <c r="G27" s="784">
        <f t="shared" si="1"/>
        <v>0.69750000000000001</v>
      </c>
      <c r="K27" s="839">
        <v>0.4</v>
      </c>
      <c r="L27" s="984">
        <f t="shared" si="2"/>
        <v>0.5</v>
      </c>
    </row>
    <row r="28" spans="2:12">
      <c r="B28" s="1268" t="s">
        <v>2065</v>
      </c>
      <c r="C28" s="1269">
        <v>0.25</v>
      </c>
      <c r="D28" s="1269">
        <v>4.2300000000000004</v>
      </c>
      <c r="E28" s="784">
        <f t="shared" si="0"/>
        <v>1.0575000000000001</v>
      </c>
      <c r="F28" s="784">
        <f t="shared" si="3"/>
        <v>0.5</v>
      </c>
      <c r="G28" s="784">
        <f t="shared" si="1"/>
        <v>0.52875000000000005</v>
      </c>
      <c r="K28" s="839">
        <v>0.4</v>
      </c>
      <c r="L28" s="984">
        <f t="shared" si="2"/>
        <v>0.5</v>
      </c>
    </row>
    <row r="29" spans="2:12">
      <c r="B29" s="1268" t="s">
        <v>2066</v>
      </c>
      <c r="C29" s="1269">
        <v>0.25</v>
      </c>
      <c r="D29" s="1269">
        <v>1.26</v>
      </c>
      <c r="E29" s="784">
        <f t="shared" si="0"/>
        <v>0.315</v>
      </c>
      <c r="F29" s="784">
        <f t="shared" si="3"/>
        <v>0.5</v>
      </c>
      <c r="G29" s="784">
        <f t="shared" si="1"/>
        <v>0.1575</v>
      </c>
      <c r="K29" s="839">
        <v>0.4</v>
      </c>
      <c r="L29" s="984">
        <f t="shared" si="2"/>
        <v>0.5</v>
      </c>
    </row>
    <row r="30" spans="2:12">
      <c r="B30" s="1268" t="s">
        <v>2067</v>
      </c>
      <c r="C30" s="1269">
        <v>0.25</v>
      </c>
      <c r="D30" s="1269">
        <v>0.93</v>
      </c>
      <c r="E30" s="784">
        <f t="shared" si="0"/>
        <v>0.23250000000000001</v>
      </c>
      <c r="F30" s="784">
        <f t="shared" si="3"/>
        <v>0.5</v>
      </c>
      <c r="G30" s="784">
        <f t="shared" si="1"/>
        <v>0.11625000000000001</v>
      </c>
      <c r="K30" s="839">
        <v>0.4</v>
      </c>
      <c r="L30" s="984">
        <f t="shared" si="2"/>
        <v>0.5</v>
      </c>
    </row>
    <row r="31" spans="2:12">
      <c r="B31" s="1268" t="s">
        <v>2068</v>
      </c>
      <c r="C31" s="1269">
        <v>0.25</v>
      </c>
      <c r="D31" s="1269">
        <v>2.4700000000000002</v>
      </c>
      <c r="E31" s="784">
        <f t="shared" si="0"/>
        <v>0.61750000000000005</v>
      </c>
      <c r="F31" s="784">
        <f t="shared" si="3"/>
        <v>0.5</v>
      </c>
      <c r="G31" s="784">
        <f t="shared" si="1"/>
        <v>0.30875000000000002</v>
      </c>
      <c r="K31" s="839">
        <v>0.4</v>
      </c>
      <c r="L31" s="984">
        <f t="shared" si="2"/>
        <v>0.5</v>
      </c>
    </row>
    <row r="32" spans="2:12">
      <c r="B32" s="1268" t="s">
        <v>2069</v>
      </c>
      <c r="C32" s="1269">
        <v>0.25</v>
      </c>
      <c r="D32" s="1269">
        <v>4.43</v>
      </c>
      <c r="E32" s="784">
        <f t="shared" si="0"/>
        <v>1.1074999999999999</v>
      </c>
      <c r="F32" s="784">
        <f t="shared" si="3"/>
        <v>0.5</v>
      </c>
      <c r="G32" s="784">
        <f t="shared" si="1"/>
        <v>0.55374999999999996</v>
      </c>
      <c r="K32" s="839">
        <v>0.4</v>
      </c>
      <c r="L32" s="984">
        <f t="shared" si="2"/>
        <v>0.5</v>
      </c>
    </row>
    <row r="33" spans="2:12">
      <c r="B33" s="1268" t="s">
        <v>2070</v>
      </c>
      <c r="C33" s="1269">
        <v>0.25</v>
      </c>
      <c r="D33" s="1269">
        <v>3.01</v>
      </c>
      <c r="E33" s="784">
        <f t="shared" si="0"/>
        <v>0.75249999999999995</v>
      </c>
      <c r="F33" s="784">
        <f t="shared" si="3"/>
        <v>0.5</v>
      </c>
      <c r="G33" s="784">
        <f t="shared" si="1"/>
        <v>0.37624999999999997</v>
      </c>
      <c r="K33" s="839">
        <v>0.4</v>
      </c>
      <c r="L33" s="984">
        <f t="shared" si="2"/>
        <v>0.5</v>
      </c>
    </row>
    <row r="34" spans="2:12">
      <c r="B34" s="1268" t="s">
        <v>2071</v>
      </c>
      <c r="C34" s="1269">
        <v>0.25</v>
      </c>
      <c r="D34" s="1269">
        <v>3.46</v>
      </c>
      <c r="E34" s="784">
        <f t="shared" si="0"/>
        <v>0.86499999999999999</v>
      </c>
      <c r="F34" s="784">
        <f t="shared" si="3"/>
        <v>0.5</v>
      </c>
      <c r="G34" s="784">
        <f t="shared" si="1"/>
        <v>0.4325</v>
      </c>
      <c r="K34" s="839">
        <v>0.4</v>
      </c>
      <c r="L34" s="984">
        <f t="shared" si="2"/>
        <v>0.5</v>
      </c>
    </row>
    <row r="35" spans="2:12">
      <c r="B35" s="1268" t="s">
        <v>2072</v>
      </c>
      <c r="C35" s="1269">
        <v>0.25</v>
      </c>
      <c r="D35" s="1269">
        <v>2.92</v>
      </c>
      <c r="E35" s="784">
        <f t="shared" si="0"/>
        <v>0.73</v>
      </c>
      <c r="F35" s="784">
        <f t="shared" si="3"/>
        <v>0.5</v>
      </c>
      <c r="G35" s="784">
        <f t="shared" si="1"/>
        <v>0.36499999999999999</v>
      </c>
      <c r="K35" s="839">
        <v>0.4</v>
      </c>
      <c r="L35" s="984">
        <f t="shared" si="2"/>
        <v>0.5</v>
      </c>
    </row>
    <row r="36" spans="2:12">
      <c r="B36" s="838" t="s">
        <v>2073</v>
      </c>
      <c r="C36" s="984">
        <v>0.6</v>
      </c>
      <c r="D36" s="984">
        <v>1.2</v>
      </c>
      <c r="E36" s="784">
        <f t="shared" si="0"/>
        <v>0.72</v>
      </c>
      <c r="F36" s="784">
        <f t="shared" si="3"/>
        <v>0.7</v>
      </c>
      <c r="G36" s="784">
        <f t="shared" si="1"/>
        <v>0.504</v>
      </c>
      <c r="K36" s="839">
        <v>0.6</v>
      </c>
      <c r="L36" s="984">
        <f t="shared" si="2"/>
        <v>0.7</v>
      </c>
    </row>
    <row r="37" spans="2:12">
      <c r="B37" s="838" t="s">
        <v>2074</v>
      </c>
      <c r="C37" s="984">
        <v>0.6</v>
      </c>
      <c r="D37" s="984">
        <v>1.2</v>
      </c>
      <c r="E37" s="784">
        <f t="shared" si="0"/>
        <v>0.72</v>
      </c>
      <c r="F37" s="784">
        <f t="shared" si="3"/>
        <v>0.7</v>
      </c>
      <c r="G37" s="784">
        <f t="shared" si="1"/>
        <v>0.504</v>
      </c>
      <c r="K37" s="839">
        <v>0.6</v>
      </c>
      <c r="L37" s="984">
        <f t="shared" si="2"/>
        <v>0.7</v>
      </c>
    </row>
    <row r="38" spans="2:12">
      <c r="B38" s="838" t="s">
        <v>2075</v>
      </c>
      <c r="C38" s="984">
        <v>0.6</v>
      </c>
      <c r="D38" s="984">
        <v>1.2</v>
      </c>
      <c r="E38" s="784">
        <f t="shared" si="0"/>
        <v>0.72</v>
      </c>
      <c r="F38" s="784">
        <f t="shared" si="3"/>
        <v>0.7</v>
      </c>
      <c r="G38" s="784">
        <f t="shared" si="1"/>
        <v>0.504</v>
      </c>
      <c r="K38" s="839">
        <v>0.6</v>
      </c>
      <c r="L38" s="984">
        <f t="shared" si="2"/>
        <v>0.7</v>
      </c>
    </row>
    <row r="39" spans="2:12">
      <c r="B39" s="838" t="s">
        <v>2076</v>
      </c>
      <c r="C39" s="984">
        <v>1.3</v>
      </c>
      <c r="D39" s="984">
        <v>1.3</v>
      </c>
      <c r="E39" s="784">
        <f t="shared" si="0"/>
        <v>1.6900000000000002</v>
      </c>
      <c r="F39" s="784">
        <f t="shared" si="3"/>
        <v>0.7</v>
      </c>
      <c r="G39" s="784">
        <f t="shared" si="1"/>
        <v>1.1830000000000001</v>
      </c>
      <c r="K39" s="839">
        <v>0.6</v>
      </c>
      <c r="L39" s="984">
        <f t="shared" si="2"/>
        <v>0.7</v>
      </c>
    </row>
    <row r="40" spans="2:12">
      <c r="B40" s="838" t="s">
        <v>2077</v>
      </c>
      <c r="C40" s="984">
        <v>0.6</v>
      </c>
      <c r="D40" s="984">
        <v>1.2</v>
      </c>
      <c r="E40" s="784">
        <f t="shared" si="0"/>
        <v>0.72</v>
      </c>
      <c r="F40" s="784">
        <f t="shared" si="3"/>
        <v>0.7</v>
      </c>
      <c r="G40" s="784">
        <f t="shared" si="1"/>
        <v>0.504</v>
      </c>
      <c r="K40" s="839">
        <v>0.6</v>
      </c>
      <c r="L40" s="984">
        <f t="shared" si="2"/>
        <v>0.7</v>
      </c>
    </row>
    <row r="41" spans="2:12">
      <c r="B41" s="838" t="s">
        <v>2078</v>
      </c>
      <c r="C41" s="984">
        <v>1.3</v>
      </c>
      <c r="D41" s="984">
        <v>1.3</v>
      </c>
      <c r="E41" s="784">
        <f t="shared" si="0"/>
        <v>1.6900000000000002</v>
      </c>
      <c r="F41" s="784">
        <f t="shared" si="3"/>
        <v>0.7</v>
      </c>
      <c r="G41" s="784">
        <f t="shared" si="1"/>
        <v>1.1830000000000001</v>
      </c>
      <c r="K41" s="839">
        <v>0.6</v>
      </c>
      <c r="L41" s="984">
        <f t="shared" si="2"/>
        <v>0.7</v>
      </c>
    </row>
    <row r="42" spans="2:12">
      <c r="B42" s="838" t="s">
        <v>2079</v>
      </c>
      <c r="C42" s="984"/>
      <c r="D42" s="984"/>
      <c r="E42" s="989">
        <v>2.74</v>
      </c>
      <c r="F42" s="784">
        <f t="shared" si="3"/>
        <v>0.7</v>
      </c>
      <c r="G42" s="784">
        <f t="shared" si="1"/>
        <v>1.9179999999999999</v>
      </c>
      <c r="K42" s="839">
        <v>0.6</v>
      </c>
      <c r="L42" s="984">
        <f t="shared" si="2"/>
        <v>0.7</v>
      </c>
    </row>
    <row r="43" spans="2:12">
      <c r="B43" s="838" t="s">
        <v>2080</v>
      </c>
      <c r="C43" s="984">
        <v>0.6</v>
      </c>
      <c r="D43" s="984">
        <v>2.58</v>
      </c>
      <c r="E43" s="784">
        <f t="shared" si="0"/>
        <v>1.548</v>
      </c>
      <c r="F43" s="784">
        <f t="shared" si="3"/>
        <v>0.79999999999999993</v>
      </c>
      <c r="G43" s="784">
        <f t="shared" si="1"/>
        <v>1.2383999999999999</v>
      </c>
      <c r="K43" s="839">
        <v>0.7</v>
      </c>
      <c r="L43" s="984">
        <f t="shared" si="2"/>
        <v>0.79999999999999993</v>
      </c>
    </row>
    <row r="44" spans="2:12">
      <c r="B44" s="838" t="s">
        <v>2081</v>
      </c>
      <c r="C44" s="984">
        <v>1.3</v>
      </c>
      <c r="D44" s="984">
        <v>1.3</v>
      </c>
      <c r="E44" s="784">
        <f t="shared" si="0"/>
        <v>1.6900000000000002</v>
      </c>
      <c r="F44" s="784">
        <f t="shared" si="3"/>
        <v>0.7</v>
      </c>
      <c r="G44" s="784">
        <f t="shared" si="1"/>
        <v>1.1830000000000001</v>
      </c>
      <c r="K44" s="839">
        <v>0.6</v>
      </c>
      <c r="L44" s="984">
        <f t="shared" si="2"/>
        <v>0.7</v>
      </c>
    </row>
    <row r="45" spans="2:12">
      <c r="B45" s="838" t="s">
        <v>2082</v>
      </c>
      <c r="C45" s="984">
        <v>0.6</v>
      </c>
      <c r="D45" s="984">
        <v>1.2</v>
      </c>
      <c r="E45" s="784">
        <f t="shared" si="0"/>
        <v>0.72</v>
      </c>
      <c r="F45" s="784">
        <f t="shared" si="3"/>
        <v>0.7</v>
      </c>
      <c r="G45" s="784">
        <f t="shared" si="1"/>
        <v>0.504</v>
      </c>
      <c r="K45" s="839">
        <v>0.6</v>
      </c>
      <c r="L45" s="984">
        <f t="shared" si="2"/>
        <v>0.7</v>
      </c>
    </row>
    <row r="46" spans="2:12">
      <c r="B46" s="838" t="s">
        <v>2083</v>
      </c>
      <c r="C46" s="984">
        <v>0.6</v>
      </c>
      <c r="D46" s="984">
        <v>2</v>
      </c>
      <c r="E46" s="784">
        <f>+C46*D46</f>
        <v>1.2</v>
      </c>
      <c r="F46" s="784">
        <f t="shared" si="3"/>
        <v>0.75</v>
      </c>
      <c r="G46" s="784">
        <f t="shared" si="1"/>
        <v>0.89999999999999991</v>
      </c>
      <c r="K46" s="839">
        <v>0.65</v>
      </c>
      <c r="L46" s="984">
        <f t="shared" si="2"/>
        <v>0.75</v>
      </c>
    </row>
    <row r="47" spans="2:12">
      <c r="B47" s="838" t="s">
        <v>2084</v>
      </c>
      <c r="C47" s="984">
        <v>1.3</v>
      </c>
      <c r="D47" s="984">
        <v>1.3</v>
      </c>
      <c r="E47" s="784">
        <f>+C47*D47</f>
        <v>1.6900000000000002</v>
      </c>
      <c r="F47" s="784">
        <f t="shared" si="3"/>
        <v>0.7</v>
      </c>
      <c r="G47" s="784">
        <f t="shared" si="1"/>
        <v>1.1830000000000001</v>
      </c>
      <c r="K47" s="839">
        <v>0.6</v>
      </c>
      <c r="L47" s="984">
        <f t="shared" si="2"/>
        <v>0.7</v>
      </c>
    </row>
    <row r="48" spans="2:12">
      <c r="B48" s="838" t="s">
        <v>2085</v>
      </c>
      <c r="C48" s="984">
        <v>0.6</v>
      </c>
      <c r="D48" s="984">
        <v>2</v>
      </c>
      <c r="E48" s="784">
        <f>+C48*D48</f>
        <v>1.2</v>
      </c>
      <c r="F48" s="784">
        <f t="shared" si="3"/>
        <v>0.75</v>
      </c>
      <c r="G48" s="784">
        <f t="shared" si="1"/>
        <v>0.89999999999999991</v>
      </c>
      <c r="K48" s="839">
        <v>0.65</v>
      </c>
      <c r="L48" s="984">
        <f t="shared" si="2"/>
        <v>0.75</v>
      </c>
    </row>
    <row r="49" spans="2:8">
      <c r="B49" s="838"/>
      <c r="C49" s="984"/>
      <c r="D49" s="984"/>
      <c r="E49" s="784"/>
      <c r="F49" s="784"/>
      <c r="G49" s="986">
        <f>SUM(G6:G48)</f>
        <v>123.40285000000009</v>
      </c>
      <c r="H49" s="986">
        <f>SUM(H6:H48)</f>
        <v>123.40285</v>
      </c>
    </row>
    <row r="50" spans="2:8">
      <c r="B50" s="838"/>
      <c r="C50" s="984"/>
      <c r="D50" s="984"/>
      <c r="E50" s="784"/>
      <c r="F50" s="784"/>
    </row>
    <row r="51" spans="2:8">
      <c r="B51" s="838"/>
      <c r="C51" s="984"/>
      <c r="D51" s="984"/>
      <c r="E51" s="784"/>
      <c r="F51" s="784"/>
    </row>
    <row r="52" spans="2:8">
      <c r="C52" s="987" t="s">
        <v>2088</v>
      </c>
      <c r="D52" s="987" t="s">
        <v>471</v>
      </c>
      <c r="E52" s="1262" t="s">
        <v>4</v>
      </c>
      <c r="F52" s="1262"/>
      <c r="G52" s="987" t="s">
        <v>4</v>
      </c>
    </row>
    <row r="53" spans="2:8">
      <c r="B53" s="838" t="s">
        <v>2087</v>
      </c>
      <c r="C53" s="984">
        <v>27</v>
      </c>
      <c r="D53" s="984">
        <v>8.1</v>
      </c>
      <c r="E53" s="784">
        <f>+C53*D53</f>
        <v>218.7</v>
      </c>
      <c r="F53" s="784"/>
      <c r="G53" s="992">
        <f>+ROUNDUP(E53,0)</f>
        <v>219</v>
      </c>
    </row>
    <row r="54" spans="2:8">
      <c r="B54" s="838"/>
      <c r="C54" s="984"/>
      <c r="D54" s="984"/>
      <c r="E54" s="784"/>
      <c r="F54" s="784"/>
    </row>
    <row r="55" spans="2:8">
      <c r="B55" s="838"/>
      <c r="C55" s="984"/>
      <c r="D55" s="984"/>
      <c r="E55" s="784"/>
      <c r="F55" s="784"/>
    </row>
    <row r="56" spans="2:8">
      <c r="B56" s="838"/>
      <c r="C56" s="984"/>
      <c r="D56" s="984"/>
      <c r="E56" s="784"/>
      <c r="F56" s="784"/>
    </row>
    <row r="57" spans="2:8">
      <c r="B57" s="838"/>
      <c r="C57" s="984"/>
      <c r="D57" s="984"/>
      <c r="E57" s="784"/>
      <c r="F57" s="784"/>
    </row>
    <row r="58" spans="2:8">
      <c r="B58" s="838"/>
      <c r="C58" s="984"/>
      <c r="D58" s="984"/>
      <c r="E58" s="784"/>
      <c r="F58" s="784"/>
    </row>
    <row r="59" spans="2:8">
      <c r="B59" s="838"/>
      <c r="C59" s="984"/>
      <c r="D59" s="984"/>
      <c r="E59" s="784"/>
      <c r="F59" s="784"/>
    </row>
    <row r="60" spans="2:8">
      <c r="B60" s="838"/>
      <c r="C60" s="984"/>
      <c r="D60" s="984"/>
      <c r="E60" s="784"/>
      <c r="F60" s="784"/>
    </row>
    <row r="61" spans="2:8">
      <c r="B61" s="838"/>
      <c r="C61" s="984"/>
      <c r="D61" s="984"/>
      <c r="E61" s="784"/>
      <c r="F61" s="784"/>
    </row>
    <row r="62" spans="2:8">
      <c r="B62" s="838"/>
      <c r="C62" s="984"/>
      <c r="D62" s="984"/>
      <c r="E62" s="784"/>
      <c r="F62" s="784"/>
    </row>
    <row r="63" spans="2:8">
      <c r="B63" s="838"/>
      <c r="C63" s="984"/>
      <c r="D63" s="984"/>
      <c r="E63" s="784"/>
      <c r="F63" s="784"/>
    </row>
    <row r="64" spans="2:8">
      <c r="B64" s="838"/>
      <c r="C64" s="984"/>
      <c r="D64" s="984"/>
      <c r="E64" s="784"/>
      <c r="F64" s="784"/>
    </row>
    <row r="65" spans="2:6">
      <c r="B65" s="838"/>
      <c r="C65" s="984"/>
      <c r="D65" s="984"/>
      <c r="E65" s="784"/>
      <c r="F65" s="784"/>
    </row>
    <row r="66" spans="2:6">
      <c r="B66" s="838"/>
      <c r="C66" s="984"/>
      <c r="D66" s="984"/>
      <c r="E66" s="784"/>
      <c r="F66" s="784"/>
    </row>
    <row r="67" spans="2:6">
      <c r="B67" s="838"/>
      <c r="C67" s="984"/>
      <c r="D67" s="984"/>
      <c r="E67" s="784"/>
      <c r="F67" s="784"/>
    </row>
    <row r="68" spans="2:6">
      <c r="B68" s="838"/>
      <c r="C68" s="984"/>
      <c r="D68" s="984"/>
      <c r="E68" s="784"/>
      <c r="F68" s="784"/>
    </row>
    <row r="69" spans="2:6">
      <c r="B69" s="838"/>
      <c r="C69" s="984"/>
      <c r="D69" s="984"/>
      <c r="E69" s="784"/>
      <c r="F69" s="784"/>
    </row>
    <row r="70" spans="2:6">
      <c r="B70" s="838"/>
      <c r="C70" s="984"/>
      <c r="D70" s="984"/>
      <c r="E70" s="784"/>
      <c r="F70" s="784"/>
    </row>
    <row r="71" spans="2:6">
      <c r="B71" s="838"/>
      <c r="C71" s="984"/>
      <c r="D71" s="984"/>
      <c r="E71" s="784"/>
      <c r="F71" s="784"/>
    </row>
    <row r="72" spans="2:6">
      <c r="B72" s="838"/>
      <c r="C72" s="984"/>
      <c r="D72" s="984"/>
      <c r="E72" s="784"/>
      <c r="F72" s="784"/>
    </row>
    <row r="73" spans="2:6">
      <c r="B73" s="838"/>
      <c r="C73" s="984"/>
      <c r="D73" s="984"/>
      <c r="E73" s="784"/>
      <c r="F73" s="784"/>
    </row>
    <row r="74" spans="2:6">
      <c r="B74" s="838"/>
      <c r="C74" s="984"/>
      <c r="D74" s="984"/>
      <c r="E74" s="784"/>
      <c r="F74" s="784"/>
    </row>
    <row r="75" spans="2:6">
      <c r="B75" s="838"/>
      <c r="C75" s="984"/>
      <c r="D75" s="984"/>
      <c r="E75" s="784"/>
      <c r="F75" s="784"/>
    </row>
    <row r="76" spans="2:6">
      <c r="B76" s="838"/>
      <c r="C76" s="984"/>
      <c r="D76" s="984"/>
      <c r="E76" s="784"/>
      <c r="F76" s="784"/>
    </row>
    <row r="77" spans="2:6">
      <c r="B77" s="838"/>
      <c r="C77" s="984"/>
      <c r="D77" s="984"/>
      <c r="E77" s="784"/>
      <c r="F77" s="784"/>
    </row>
    <row r="78" spans="2:6">
      <c r="B78" s="838"/>
      <c r="C78" s="984"/>
      <c r="D78" s="984"/>
      <c r="E78" s="784"/>
      <c r="F78" s="784"/>
    </row>
    <row r="79" spans="2:6">
      <c r="B79" s="838"/>
      <c r="C79" s="984"/>
      <c r="D79" s="984"/>
      <c r="E79" s="784"/>
      <c r="F79" s="784"/>
    </row>
    <row r="80" spans="2:6">
      <c r="B80" s="838"/>
      <c r="C80" s="984"/>
      <c r="D80" s="984"/>
      <c r="E80" s="784"/>
      <c r="F80" s="784"/>
    </row>
    <row r="81" spans="2:6">
      <c r="B81" s="838"/>
      <c r="C81" s="984"/>
      <c r="D81" s="984"/>
      <c r="E81" s="784"/>
      <c r="F81" s="784"/>
    </row>
    <row r="82" spans="2:6">
      <c r="B82" s="838"/>
      <c r="C82" s="984"/>
      <c r="D82" s="984"/>
      <c r="E82" s="784"/>
      <c r="F82" s="784"/>
    </row>
    <row r="83" spans="2:6">
      <c r="B83" s="838"/>
      <c r="C83" s="984"/>
      <c r="D83" s="984"/>
      <c r="E83" s="784"/>
      <c r="F83" s="784"/>
    </row>
    <row r="84" spans="2:6">
      <c r="B84" s="838"/>
      <c r="C84" s="984"/>
      <c r="D84" s="984"/>
      <c r="E84" s="784"/>
      <c r="F84" s="784"/>
    </row>
    <row r="85" spans="2:6">
      <c r="B85" s="838"/>
      <c r="C85" s="984"/>
      <c r="D85" s="984"/>
      <c r="E85" s="784"/>
      <c r="F85" s="784"/>
    </row>
    <row r="86" spans="2:6">
      <c r="B86" s="838"/>
      <c r="C86" s="984"/>
      <c r="D86" s="984"/>
      <c r="E86" s="784"/>
      <c r="F86" s="784"/>
    </row>
    <row r="87" spans="2:6">
      <c r="B87" s="838"/>
      <c r="C87" s="984"/>
      <c r="D87" s="984"/>
      <c r="E87" s="784"/>
      <c r="F87" s="784"/>
    </row>
    <row r="88" spans="2:6">
      <c r="B88" s="838"/>
      <c r="C88" s="984"/>
      <c r="D88" s="984"/>
      <c r="E88" s="784"/>
      <c r="F88" s="784"/>
    </row>
    <row r="89" spans="2:6">
      <c r="B89" s="838"/>
      <c r="C89" s="984"/>
      <c r="D89" s="984"/>
      <c r="E89" s="784"/>
      <c r="F89" s="784"/>
    </row>
    <row r="90" spans="2:6">
      <c r="B90" s="838"/>
      <c r="C90" s="984"/>
      <c r="D90" s="984"/>
      <c r="E90" s="784"/>
      <c r="F90" s="784"/>
    </row>
    <row r="91" spans="2:6">
      <c r="B91" s="838"/>
      <c r="C91" s="984"/>
      <c r="D91" s="984"/>
      <c r="E91" s="784"/>
      <c r="F91" s="784"/>
    </row>
    <row r="92" spans="2:6">
      <c r="B92" s="838"/>
      <c r="C92" s="984"/>
      <c r="D92" s="984"/>
      <c r="E92" s="784"/>
      <c r="F92" s="784"/>
    </row>
    <row r="93" spans="2:6">
      <c r="B93" s="838"/>
      <c r="C93" s="984"/>
      <c r="D93" s="984"/>
      <c r="E93" s="784"/>
      <c r="F93" s="784"/>
    </row>
    <row r="94" spans="2:6">
      <c r="B94" s="838"/>
      <c r="C94" s="984"/>
      <c r="D94" s="984"/>
      <c r="E94" s="784"/>
      <c r="F94" s="784"/>
    </row>
    <row r="95" spans="2:6">
      <c r="B95" s="838"/>
      <c r="C95" s="984"/>
      <c r="D95" s="984"/>
      <c r="E95" s="784"/>
      <c r="F95" s="784"/>
    </row>
    <row r="96" spans="2:6">
      <c r="B96" s="838"/>
      <c r="C96" s="984"/>
      <c r="D96" s="984"/>
      <c r="E96" s="784"/>
      <c r="F96" s="784"/>
    </row>
    <row r="97" spans="2:6">
      <c r="B97" s="838"/>
      <c r="C97" s="984"/>
      <c r="D97" s="984"/>
      <c r="E97" s="784"/>
      <c r="F97" s="784"/>
    </row>
    <row r="98" spans="2:6">
      <c r="B98" s="838"/>
      <c r="C98" s="984"/>
      <c r="D98" s="984"/>
      <c r="E98" s="784"/>
      <c r="F98" s="784"/>
    </row>
    <row r="99" spans="2:6">
      <c r="B99" s="838"/>
      <c r="C99" s="984"/>
      <c r="D99" s="984"/>
      <c r="E99" s="784"/>
      <c r="F99" s="784"/>
    </row>
    <row r="100" spans="2:6">
      <c r="B100" s="838"/>
      <c r="C100" s="984"/>
      <c r="D100" s="984"/>
      <c r="E100" s="784"/>
      <c r="F100" s="784"/>
    </row>
    <row r="101" spans="2:6">
      <c r="B101" s="838"/>
      <c r="C101" s="984"/>
      <c r="D101" s="984"/>
      <c r="E101" s="784"/>
      <c r="F101" s="784"/>
    </row>
    <row r="102" spans="2:6">
      <c r="B102" s="838"/>
      <c r="C102" s="984"/>
      <c r="D102" s="984"/>
      <c r="E102" s="784"/>
      <c r="F102" s="784"/>
    </row>
    <row r="103" spans="2:6">
      <c r="B103" s="838"/>
      <c r="C103" s="984"/>
      <c r="D103" s="984"/>
      <c r="E103" s="784"/>
      <c r="F103" s="784"/>
    </row>
    <row r="104" spans="2:6">
      <c r="B104" s="838"/>
      <c r="C104" s="984"/>
      <c r="D104" s="984"/>
      <c r="E104" s="784"/>
      <c r="F104" s="784"/>
    </row>
    <row r="105" spans="2:6">
      <c r="B105" s="838"/>
      <c r="C105" s="984"/>
      <c r="D105" s="984"/>
      <c r="E105" s="784"/>
      <c r="F105" s="784"/>
    </row>
    <row r="106" spans="2:6">
      <c r="B106" s="838"/>
      <c r="C106" s="984"/>
      <c r="D106" s="984"/>
      <c r="E106" s="784"/>
      <c r="F106" s="784"/>
    </row>
    <row r="107" spans="2:6">
      <c r="B107" s="838"/>
      <c r="C107" s="984"/>
      <c r="D107" s="984"/>
      <c r="E107" s="784"/>
      <c r="F107" s="784"/>
    </row>
    <row r="108" spans="2:6">
      <c r="B108" s="838"/>
      <c r="C108" s="984"/>
      <c r="D108" s="984"/>
      <c r="E108" s="784"/>
      <c r="F108" s="784"/>
    </row>
    <row r="109" spans="2:6">
      <c r="B109" s="838"/>
      <c r="C109" s="984"/>
      <c r="D109" s="984"/>
      <c r="E109" s="784"/>
      <c r="F109" s="784"/>
    </row>
    <row r="110" spans="2:6">
      <c r="B110" s="838"/>
      <c r="C110" s="984"/>
      <c r="D110" s="984"/>
      <c r="E110" s="784"/>
      <c r="F110" s="784"/>
    </row>
    <row r="111" spans="2:6">
      <c r="B111" s="838"/>
      <c r="C111" s="984"/>
      <c r="D111" s="984"/>
      <c r="E111" s="784"/>
      <c r="F111" s="784"/>
    </row>
    <row r="112" spans="2:6">
      <c r="B112" s="838"/>
      <c r="C112" s="984"/>
      <c r="D112" s="984"/>
      <c r="E112" s="784"/>
      <c r="F112" s="784"/>
    </row>
    <row r="113" spans="2:6">
      <c r="B113" s="838"/>
      <c r="C113" s="984"/>
      <c r="D113" s="984"/>
      <c r="E113" s="784"/>
      <c r="F113" s="784"/>
    </row>
    <row r="114" spans="2:6">
      <c r="B114" s="838"/>
      <c r="C114" s="984"/>
      <c r="D114" s="984"/>
      <c r="E114" s="784"/>
      <c r="F114" s="784"/>
    </row>
    <row r="115" spans="2:6">
      <c r="B115" s="838"/>
      <c r="C115" s="984"/>
      <c r="D115" s="984"/>
      <c r="E115" s="784"/>
      <c r="F115" s="784"/>
    </row>
    <row r="116" spans="2:6">
      <c r="B116" s="838"/>
      <c r="C116" s="984"/>
      <c r="D116" s="984"/>
      <c r="E116" s="784"/>
      <c r="F116" s="784"/>
    </row>
    <row r="117" spans="2:6">
      <c r="B117" s="838"/>
      <c r="C117" s="984"/>
      <c r="D117" s="984"/>
      <c r="E117" s="784"/>
      <c r="F117" s="784"/>
    </row>
    <row r="118" spans="2:6">
      <c r="B118" s="838"/>
      <c r="C118" s="984"/>
      <c r="D118" s="984"/>
      <c r="E118" s="784"/>
      <c r="F118" s="784"/>
    </row>
    <row r="119" spans="2:6">
      <c r="B119" s="838"/>
      <c r="C119" s="984"/>
      <c r="D119" s="984"/>
      <c r="E119" s="784"/>
      <c r="F119" s="784"/>
    </row>
    <row r="120" spans="2:6">
      <c r="B120" s="838"/>
      <c r="C120" s="984"/>
      <c r="D120" s="984"/>
      <c r="E120" s="784"/>
      <c r="F120" s="784"/>
    </row>
    <row r="121" spans="2:6">
      <c r="B121" s="838"/>
      <c r="C121" s="984"/>
      <c r="D121" s="984"/>
      <c r="E121" s="784"/>
      <c r="F121" s="784"/>
    </row>
    <row r="122" spans="2:6">
      <c r="B122" s="838"/>
      <c r="C122" s="984"/>
      <c r="D122" s="984"/>
      <c r="E122" s="784"/>
      <c r="F122" s="784"/>
    </row>
    <row r="123" spans="2:6">
      <c r="B123" s="838"/>
      <c r="C123" s="984"/>
      <c r="D123" s="984"/>
      <c r="E123" s="784"/>
      <c r="F123" s="784"/>
    </row>
    <row r="124" spans="2:6">
      <c r="B124" s="838"/>
      <c r="C124" s="984"/>
      <c r="D124" s="984"/>
      <c r="E124" s="784"/>
      <c r="F124" s="784"/>
    </row>
    <row r="125" spans="2:6">
      <c r="B125" s="838"/>
      <c r="C125" s="984"/>
      <c r="D125" s="984"/>
      <c r="E125" s="784"/>
      <c r="F125" s="784"/>
    </row>
    <row r="126" spans="2:6">
      <c r="B126" s="838"/>
      <c r="C126" s="984"/>
      <c r="D126" s="984"/>
      <c r="E126" s="784"/>
      <c r="F126" s="784"/>
    </row>
    <row r="127" spans="2:6">
      <c r="B127" s="838"/>
      <c r="C127" s="984"/>
      <c r="D127" s="984"/>
      <c r="E127" s="784"/>
      <c r="F127" s="784"/>
    </row>
    <row r="128" spans="2:6">
      <c r="B128" s="838"/>
      <c r="C128" s="984"/>
      <c r="D128" s="984"/>
      <c r="E128" s="784"/>
      <c r="F128" s="784"/>
    </row>
    <row r="129" spans="2:6">
      <c r="B129" s="838"/>
      <c r="C129" s="984"/>
      <c r="D129" s="984"/>
      <c r="E129" s="784"/>
      <c r="F129" s="784"/>
    </row>
    <row r="130" spans="2:6">
      <c r="B130" s="838"/>
      <c r="C130" s="984"/>
      <c r="D130" s="984"/>
      <c r="E130" s="784"/>
      <c r="F130" s="784"/>
    </row>
    <row r="131" spans="2:6">
      <c r="B131" s="838"/>
      <c r="C131" s="984"/>
      <c r="D131" s="984"/>
      <c r="E131" s="784"/>
      <c r="F131" s="784"/>
    </row>
    <row r="132" spans="2:6">
      <c r="B132" s="838"/>
      <c r="C132" s="984"/>
      <c r="D132" s="984"/>
      <c r="E132" s="784"/>
      <c r="F132" s="784"/>
    </row>
    <row r="133" spans="2:6">
      <c r="B133" s="838"/>
      <c r="C133" s="984"/>
      <c r="D133" s="984"/>
      <c r="E133" s="784"/>
      <c r="F133" s="784"/>
    </row>
    <row r="134" spans="2:6">
      <c r="B134" s="838"/>
      <c r="C134" s="984"/>
      <c r="D134" s="984"/>
      <c r="E134" s="784"/>
      <c r="F134" s="784"/>
    </row>
    <row r="135" spans="2:6">
      <c r="B135" s="838"/>
      <c r="C135" s="984"/>
      <c r="D135" s="984"/>
      <c r="E135" s="784"/>
      <c r="F135" s="784"/>
    </row>
    <row r="136" spans="2:6">
      <c r="B136" s="838"/>
      <c r="C136" s="984"/>
      <c r="D136" s="984"/>
      <c r="E136" s="784"/>
      <c r="F136" s="784"/>
    </row>
    <row r="137" spans="2:6">
      <c r="B137" s="838"/>
      <c r="C137" s="984"/>
      <c r="D137" s="984"/>
      <c r="E137" s="784"/>
      <c r="F137" s="784"/>
    </row>
    <row r="138" spans="2:6">
      <c r="B138" s="838"/>
      <c r="C138" s="984"/>
      <c r="D138" s="984"/>
      <c r="E138" s="784"/>
      <c r="F138" s="784"/>
    </row>
    <row r="139" spans="2:6">
      <c r="B139" s="838"/>
      <c r="C139" s="984"/>
      <c r="D139" s="984"/>
      <c r="E139" s="784"/>
      <c r="F139" s="784"/>
    </row>
    <row r="140" spans="2:6">
      <c r="B140" s="838"/>
      <c r="C140" s="984"/>
      <c r="D140" s="984"/>
      <c r="E140" s="784"/>
      <c r="F140" s="784"/>
    </row>
    <row r="141" spans="2:6">
      <c r="B141" s="838"/>
      <c r="C141" s="984"/>
      <c r="D141" s="984"/>
      <c r="E141" s="784"/>
      <c r="F141" s="784"/>
    </row>
    <row r="142" spans="2:6">
      <c r="B142" s="838"/>
      <c r="C142" s="984"/>
      <c r="D142" s="984"/>
      <c r="E142" s="784"/>
      <c r="F142" s="784"/>
    </row>
    <row r="143" spans="2:6">
      <c r="B143" s="838"/>
      <c r="C143" s="984"/>
      <c r="D143" s="984"/>
      <c r="E143" s="784"/>
      <c r="F143" s="784"/>
    </row>
    <row r="144" spans="2:6">
      <c r="B144" s="838"/>
      <c r="C144" s="984"/>
      <c r="D144" s="984"/>
      <c r="E144" s="784"/>
      <c r="F144" s="784"/>
    </row>
    <row r="145" spans="2:6">
      <c r="B145" s="838"/>
      <c r="C145" s="984"/>
      <c r="D145" s="984"/>
      <c r="E145" s="784"/>
      <c r="F145" s="784"/>
    </row>
    <row r="146" spans="2:6">
      <c r="B146" s="838"/>
      <c r="C146" s="984"/>
      <c r="D146" s="984"/>
      <c r="E146" s="784"/>
      <c r="F146" s="784"/>
    </row>
    <row r="147" spans="2:6">
      <c r="B147" s="838"/>
      <c r="C147" s="984"/>
      <c r="D147" s="984"/>
      <c r="E147" s="784"/>
      <c r="F147" s="784"/>
    </row>
    <row r="148" spans="2:6">
      <c r="B148" s="838"/>
      <c r="C148" s="984"/>
      <c r="D148" s="984"/>
      <c r="E148" s="784"/>
      <c r="F148" s="784"/>
    </row>
    <row r="149" spans="2:6">
      <c r="B149" s="838"/>
      <c r="C149" s="984"/>
      <c r="D149" s="984"/>
      <c r="E149" s="784"/>
      <c r="F149" s="784"/>
    </row>
    <row r="150" spans="2:6">
      <c r="B150" s="838"/>
      <c r="C150" s="984"/>
      <c r="D150" s="984"/>
      <c r="E150" s="784"/>
      <c r="F150" s="784"/>
    </row>
    <row r="151" spans="2:6">
      <c r="B151" s="838"/>
      <c r="C151" s="984"/>
      <c r="D151" s="984"/>
      <c r="E151" s="784"/>
      <c r="F151" s="784"/>
    </row>
    <row r="152" spans="2:6">
      <c r="B152" s="838"/>
      <c r="C152" s="984"/>
      <c r="D152" s="984"/>
      <c r="E152" s="784"/>
      <c r="F152" s="784"/>
    </row>
    <row r="153" spans="2:6">
      <c r="B153" s="838"/>
      <c r="C153" s="984"/>
      <c r="D153" s="984"/>
      <c r="E153" s="784"/>
      <c r="F153" s="784"/>
    </row>
    <row r="154" spans="2:6">
      <c r="B154" s="838"/>
      <c r="C154" s="984"/>
      <c r="D154" s="984"/>
      <c r="E154" s="784"/>
      <c r="F154" s="784"/>
    </row>
    <row r="155" spans="2:6">
      <c r="B155" s="838"/>
      <c r="C155" s="984"/>
      <c r="D155" s="984"/>
      <c r="E155" s="784"/>
      <c r="F155" s="784"/>
    </row>
    <row r="156" spans="2:6">
      <c r="B156" s="838"/>
      <c r="C156" s="984"/>
      <c r="D156" s="984"/>
      <c r="E156" s="784"/>
      <c r="F156" s="784"/>
    </row>
    <row r="157" spans="2:6">
      <c r="B157" s="838"/>
      <c r="C157" s="984"/>
      <c r="D157" s="984"/>
      <c r="E157" s="784"/>
      <c r="F157" s="784"/>
    </row>
    <row r="158" spans="2:6">
      <c r="B158" s="838"/>
      <c r="C158" s="984"/>
      <c r="D158" s="984"/>
      <c r="E158" s="784"/>
      <c r="F158" s="78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597A-77A1-416B-8798-EFCCD574E60B}">
  <sheetPr>
    <tabColor rgb="FF92D050"/>
  </sheetPr>
  <dimension ref="A1:AC156"/>
  <sheetViews>
    <sheetView topLeftCell="A59" workbookViewId="0">
      <selection activeCell="D90" sqref="D90"/>
    </sheetView>
  </sheetViews>
  <sheetFormatPr defaultColWidth="11.54296875" defaultRowHeight="13"/>
  <cols>
    <col min="1" max="1" width="51.453125" style="132" bestFit="1" customWidth="1"/>
    <col min="2" max="2" width="20.7265625" style="132" bestFit="1" customWidth="1"/>
    <col min="3" max="3" width="24.26953125" style="132" bestFit="1" customWidth="1"/>
    <col min="4" max="4" width="20.7265625" style="132" bestFit="1" customWidth="1"/>
    <col min="5" max="5" width="12.453125" style="132" bestFit="1" customWidth="1"/>
    <col min="6" max="6" width="11.26953125" style="132" bestFit="1" customWidth="1"/>
    <col min="7" max="7" width="19.26953125" style="132" bestFit="1" customWidth="1"/>
    <col min="8" max="8" width="13.7265625" style="132" bestFit="1" customWidth="1"/>
    <col min="9" max="9" width="12.7265625" style="132" bestFit="1" customWidth="1"/>
    <col min="10" max="10" width="14.453125" style="128" bestFit="1" customWidth="1"/>
    <col min="11" max="11" width="14" style="132" bestFit="1" customWidth="1"/>
    <col min="12" max="12" width="13.7265625" style="132" bestFit="1" customWidth="1"/>
    <col min="13" max="13" width="13.81640625" style="132" bestFit="1" customWidth="1"/>
    <col min="14" max="14" width="11" style="132" bestFit="1" customWidth="1"/>
    <col min="15" max="15" width="13" style="132" bestFit="1" customWidth="1"/>
    <col min="16" max="16" width="10.7265625" style="132" bestFit="1" customWidth="1"/>
    <col min="17" max="17" width="11.26953125" style="132" bestFit="1" customWidth="1"/>
    <col min="18" max="18" width="8.26953125" style="132" bestFit="1" customWidth="1"/>
    <col min="19" max="19" width="13.7265625" style="132" bestFit="1" customWidth="1"/>
    <col min="20" max="20" width="11.54296875" style="132"/>
    <col min="21" max="21" width="40.81640625" style="132" bestFit="1" customWidth="1"/>
    <col min="22" max="22" width="9.1796875" style="132" bestFit="1" customWidth="1"/>
    <col min="23" max="23" width="11.7265625" style="132" bestFit="1" customWidth="1"/>
    <col min="24" max="24" width="6.54296875" style="132" bestFit="1" customWidth="1"/>
    <col min="25" max="25" width="12.1796875" style="132" bestFit="1" customWidth="1"/>
    <col min="26" max="26" width="12.7265625" style="132" bestFit="1" customWidth="1"/>
    <col min="27" max="27" width="11.54296875" style="132"/>
    <col min="28" max="28" width="12.453125" style="132" bestFit="1" customWidth="1"/>
    <col min="29" max="29" width="13.7265625" style="132" bestFit="1" customWidth="1"/>
    <col min="30" max="16384" width="11.54296875" style="132"/>
  </cols>
  <sheetData>
    <row r="1" spans="1:29" ht="14.5">
      <c r="A1" s="368" t="s">
        <v>1238</v>
      </c>
      <c r="B1" s="369"/>
      <c r="C1" s="369"/>
      <c r="D1" s="240"/>
      <c r="E1" s="241"/>
      <c r="F1" s="770">
        <v>44927</v>
      </c>
      <c r="G1" s="1">
        <v>2125.6</v>
      </c>
      <c r="H1" s="241"/>
    </row>
    <row r="2" spans="1:29" ht="14.5">
      <c r="A2" s="368" t="s">
        <v>1239</v>
      </c>
      <c r="B2" s="369"/>
      <c r="C2" s="369"/>
      <c r="D2" s="243">
        <v>44927</v>
      </c>
      <c r="E2" s="241"/>
      <c r="F2" s="770">
        <v>45778</v>
      </c>
      <c r="G2" s="1">
        <v>13334.9</v>
      </c>
      <c r="H2" s="241"/>
    </row>
    <row r="3" spans="1:29" ht="14.5">
      <c r="A3" s="369"/>
      <c r="B3" s="369"/>
      <c r="C3" s="369"/>
      <c r="D3" s="240"/>
      <c r="E3" s="241"/>
      <c r="F3" s="301" t="s">
        <v>953</v>
      </c>
      <c r="G3" s="3">
        <f>+G2/G1+H2</f>
        <v>6.2734757245013171</v>
      </c>
      <c r="H3" s="241"/>
    </row>
    <row r="4" spans="1:29" ht="14.5">
      <c r="A4" s="391" t="s">
        <v>1240</v>
      </c>
      <c r="B4" s="371"/>
      <c r="C4" s="371" t="s">
        <v>1251</v>
      </c>
      <c r="D4" s="372" t="s">
        <v>1252</v>
      </c>
      <c r="G4" s="375" t="s">
        <v>1253</v>
      </c>
    </row>
    <row r="5" spans="1:29" ht="14.5">
      <c r="A5" s="117" t="s">
        <v>1241</v>
      </c>
      <c r="B5" s="116">
        <v>21.12</v>
      </c>
      <c r="C5" s="374">
        <f>+G5*$G$3</f>
        <v>222927.9598701543</v>
      </c>
      <c r="D5" s="369">
        <f t="shared" ref="D5:D13" si="0">+C5*B5</f>
        <v>4708238.5124576595</v>
      </c>
      <c r="G5" s="117">
        <v>35535</v>
      </c>
    </row>
    <row r="6" spans="1:29" ht="14.5">
      <c r="A6" s="117" t="s">
        <v>1242</v>
      </c>
      <c r="B6" s="116">
        <v>17.95</v>
      </c>
      <c r="C6" s="374">
        <f t="shared" ref="C6:C13" si="1">+G6*$G$3</f>
        <v>323083.99981181783</v>
      </c>
      <c r="D6" s="369">
        <f t="shared" si="0"/>
        <v>5799357.7966221301</v>
      </c>
      <c r="G6" s="117">
        <v>51500</v>
      </c>
    </row>
    <row r="7" spans="1:29" ht="14.5">
      <c r="A7" s="117" t="s">
        <v>1243</v>
      </c>
      <c r="B7" s="116">
        <v>59</v>
      </c>
      <c r="C7" s="117">
        <f t="shared" si="1"/>
        <v>0</v>
      </c>
      <c r="D7" s="369">
        <f t="shared" si="0"/>
        <v>0</v>
      </c>
      <c r="G7" s="117"/>
    </row>
    <row r="8" spans="1:29" ht="14.5">
      <c r="A8" s="117" t="s">
        <v>1244</v>
      </c>
      <c r="B8" s="116"/>
      <c r="C8" s="117">
        <f t="shared" si="1"/>
        <v>0</v>
      </c>
      <c r="D8" s="369">
        <f t="shared" si="0"/>
        <v>0</v>
      </c>
      <c r="G8" s="117"/>
      <c r="I8" s="128" t="s">
        <v>1254</v>
      </c>
      <c r="J8" s="128" t="s">
        <v>17</v>
      </c>
    </row>
    <row r="9" spans="1:29" ht="14.5">
      <c r="A9" s="117" t="s">
        <v>1245</v>
      </c>
      <c r="B9" s="116">
        <v>48.07</v>
      </c>
      <c r="C9" s="374">
        <f t="shared" si="1"/>
        <v>368315.7597854723</v>
      </c>
      <c r="D9" s="369">
        <f t="shared" si="0"/>
        <v>17704938.572887655</v>
      </c>
      <c r="G9" s="117">
        <v>58710</v>
      </c>
      <c r="I9" s="132">
        <v>5.39</v>
      </c>
      <c r="J9" s="128">
        <f>+C9*I9</f>
        <v>1985221.9452436955</v>
      </c>
    </row>
    <row r="10" spans="1:29" ht="14.5">
      <c r="A10" s="117" t="s">
        <v>1246</v>
      </c>
      <c r="B10" s="116">
        <v>92.42</v>
      </c>
      <c r="C10" s="374">
        <f t="shared" si="1"/>
        <v>568627.83966879942</v>
      </c>
      <c r="D10" s="369">
        <f t="shared" si="0"/>
        <v>52552584.942190446</v>
      </c>
      <c r="G10" s="117">
        <v>90640</v>
      </c>
      <c r="I10" s="132">
        <v>8.11</v>
      </c>
      <c r="J10" s="128">
        <f>+C10*I10</f>
        <v>4611571.7797139632</v>
      </c>
    </row>
    <row r="11" spans="1:29" ht="14.5">
      <c r="A11" s="117" t="s">
        <v>1247</v>
      </c>
      <c r="B11" s="116">
        <v>70.959999999999994</v>
      </c>
      <c r="C11" s="374">
        <f t="shared" si="1"/>
        <v>646167.99962363567</v>
      </c>
      <c r="D11" s="369">
        <f t="shared" si="0"/>
        <v>45852081.253293186</v>
      </c>
      <c r="G11" s="117">
        <v>103000</v>
      </c>
      <c r="I11" s="132">
        <v>5.17</v>
      </c>
      <c r="J11" s="128">
        <f>+C11*I11</f>
        <v>3340688.5580541962</v>
      </c>
    </row>
    <row r="12" spans="1:29" ht="14.5">
      <c r="A12" s="117" t="s">
        <v>1248</v>
      </c>
      <c r="B12" s="116">
        <v>171.98</v>
      </c>
      <c r="C12" s="374">
        <f t="shared" si="1"/>
        <v>387700.79977418139</v>
      </c>
      <c r="D12" s="369">
        <f t="shared" si="0"/>
        <v>66676783.545163713</v>
      </c>
      <c r="G12" s="117">
        <v>61800</v>
      </c>
      <c r="I12" s="132">
        <v>17.579999999999998</v>
      </c>
      <c r="J12" s="128">
        <f>+C12*I12</f>
        <v>6815780.0600301083</v>
      </c>
    </row>
    <row r="13" spans="1:29" ht="14.5">
      <c r="A13" s="117" t="s">
        <v>1249</v>
      </c>
      <c r="B13" s="116">
        <v>27.03</v>
      </c>
      <c r="C13" s="374">
        <f t="shared" si="1"/>
        <v>581551.19966127211</v>
      </c>
      <c r="D13" s="369">
        <f t="shared" si="0"/>
        <v>15719328.926844185</v>
      </c>
      <c r="G13" s="117">
        <v>92700</v>
      </c>
      <c r="I13" s="132">
        <v>2.0499999999999998</v>
      </c>
      <c r="J13" s="128">
        <f>+C13*I13</f>
        <v>1192179.9593056077</v>
      </c>
    </row>
    <row r="14" spans="1:29" ht="14.5">
      <c r="A14" s="117"/>
      <c r="B14" s="117"/>
      <c r="C14" s="117"/>
      <c r="D14" s="369"/>
      <c r="I14" s="132">
        <f>+SUM(I9:I13)</f>
        <v>38.299999999999997</v>
      </c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</row>
    <row r="15" spans="1:29" ht="14.5">
      <c r="A15" s="373" t="s">
        <v>1250</v>
      </c>
      <c r="B15" s="375"/>
      <c r="C15" s="375"/>
      <c r="D15" s="376">
        <f>SUM(D4:D14)</f>
        <v>209013313.54945898</v>
      </c>
      <c r="J15" s="143">
        <f>SUM(J9:J13)</f>
        <v>17945442.302347571</v>
      </c>
      <c r="K15" s="381" t="s">
        <v>1255</v>
      </c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</row>
    <row r="16" spans="1:29">
      <c r="D16" s="132">
        <v>12</v>
      </c>
      <c r="H16" s="128">
        <v>11</v>
      </c>
      <c r="J16" s="128">
        <f>+SUM(I9:I13)</f>
        <v>38.299999999999997</v>
      </c>
      <c r="N16" s="129"/>
      <c r="O16" s="129"/>
      <c r="P16" s="129"/>
      <c r="Q16" s="129"/>
      <c r="R16" s="129"/>
      <c r="S16" s="135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</row>
    <row r="17" spans="1:29">
      <c r="A17" s="377" t="s">
        <v>1256</v>
      </c>
      <c r="B17" s="143" t="s">
        <v>1180</v>
      </c>
      <c r="C17" s="143" t="s">
        <v>1182</v>
      </c>
      <c r="D17" s="381" t="s">
        <v>1257</v>
      </c>
      <c r="E17" s="143" t="s">
        <v>1258</v>
      </c>
      <c r="F17" s="143" t="s">
        <v>1259</v>
      </c>
      <c r="G17" s="143" t="s">
        <v>342</v>
      </c>
      <c r="H17" s="143" t="s">
        <v>1260</v>
      </c>
      <c r="J17" s="128">
        <f>+J15/J16</f>
        <v>468549.40737199929</v>
      </c>
      <c r="M17" s="377"/>
      <c r="N17" s="127"/>
      <c r="O17" s="133"/>
      <c r="P17" s="127"/>
      <c r="Q17" s="127"/>
      <c r="R17" s="127"/>
      <c r="S17" s="127"/>
      <c r="T17" s="129"/>
      <c r="U17" s="129"/>
      <c r="V17" s="129"/>
      <c r="W17" s="127"/>
      <c r="X17" s="127"/>
      <c r="Y17" s="127"/>
      <c r="Z17" s="127"/>
      <c r="AA17" s="129"/>
      <c r="AB17" s="129"/>
      <c r="AC17" s="129"/>
    </row>
    <row r="18" spans="1:29">
      <c r="A18" s="378" t="s">
        <v>1186</v>
      </c>
      <c r="B18" s="132">
        <f>+'P.MO 06.25'!B4</f>
        <v>94177.13788353886</v>
      </c>
      <c r="C18" s="132">
        <f>+'P.MO 06.25'!D4</f>
        <v>11772.142235442358</v>
      </c>
      <c r="D18" s="132">
        <f>+C18*$D$16</f>
        <v>141265.7068253083</v>
      </c>
      <c r="H18" s="132">
        <f>+SUM(E18:G18)*D18*$H$16</f>
        <v>0</v>
      </c>
      <c r="M18" s="37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</row>
    <row r="19" spans="1:29">
      <c r="A19" s="378" t="s">
        <v>1187</v>
      </c>
      <c r="B19" s="132">
        <f>+'P.MO 06.25'!B5</f>
        <v>84612.512709566407</v>
      </c>
      <c r="C19" s="132">
        <f>+'P.MO 06.25'!D5</f>
        <v>10576.564088695801</v>
      </c>
      <c r="D19" s="132">
        <f>+C19*$D$16</f>
        <v>126918.76906434962</v>
      </c>
      <c r="E19" s="132">
        <v>6</v>
      </c>
      <c r="F19" s="132">
        <v>5</v>
      </c>
      <c r="H19" s="132">
        <f>+SUM(E19:G19)*D19*$H$16</f>
        <v>15357171.056786302</v>
      </c>
      <c r="M19" s="378"/>
      <c r="N19" s="129"/>
      <c r="O19" s="129"/>
      <c r="P19" s="129"/>
      <c r="Q19" s="129"/>
      <c r="R19" s="129"/>
      <c r="S19" s="129"/>
      <c r="T19" s="129"/>
      <c r="U19" s="135"/>
      <c r="V19" s="135"/>
      <c r="W19" s="129"/>
      <c r="X19" s="129"/>
      <c r="Y19" s="129"/>
      <c r="Z19" s="129"/>
      <c r="AA19" s="129"/>
      <c r="AB19" s="129"/>
      <c r="AC19" s="129"/>
    </row>
    <row r="20" spans="1:29">
      <c r="A20" s="378" t="s">
        <v>1188</v>
      </c>
      <c r="B20" s="132">
        <f>+'P.MO 06.25'!B6</f>
        <v>72132.138365590115</v>
      </c>
      <c r="C20" s="132">
        <f>+'P.MO 06.25'!D6</f>
        <v>9016.5172956987644</v>
      </c>
      <c r="D20" s="132">
        <f>+C20*$D$16</f>
        <v>108198.20754838517</v>
      </c>
      <c r="H20" s="132">
        <f>+SUM(E20:G20)*D20*$H$16</f>
        <v>0</v>
      </c>
      <c r="K20" s="380"/>
      <c r="M20" s="378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</row>
    <row r="21" spans="1:29">
      <c r="A21" s="378" t="s">
        <v>1189</v>
      </c>
      <c r="B21" s="132">
        <f>+'P.MO 06.25'!B7</f>
        <v>67240.498860267617</v>
      </c>
      <c r="C21" s="132">
        <f>+'P.MO 06.25'!D7</f>
        <v>8405.0623575334521</v>
      </c>
      <c r="D21" s="132">
        <f>+C21*$D$16</f>
        <v>100860.74829040142</v>
      </c>
      <c r="E21" s="132">
        <v>1</v>
      </c>
      <c r="F21" s="132">
        <v>2</v>
      </c>
      <c r="H21" s="132">
        <f>+SUM(E21:G21)*D21*$H$16</f>
        <v>3328404.6935832468</v>
      </c>
      <c r="I21" s="128"/>
      <c r="L21" s="128"/>
      <c r="M21" s="378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</row>
    <row r="22" spans="1:29">
      <c r="A22" s="378" t="s">
        <v>1193</v>
      </c>
      <c r="B22" s="132">
        <f>+'P.MO 06.25'!B12</f>
        <v>161430.4201009789</v>
      </c>
      <c r="C22" s="132">
        <f>+'P.MO 06.25'!D12</f>
        <v>20178.802512622362</v>
      </c>
      <c r="D22" s="132">
        <f>+C22*$D$16</f>
        <v>242145.63015146833</v>
      </c>
      <c r="G22" s="132">
        <v>1</v>
      </c>
      <c r="H22" s="132">
        <f>+SUM(E22:G22)*D22*$H$16</f>
        <v>2663601.9316661516</v>
      </c>
      <c r="K22" s="381"/>
      <c r="L22" s="381"/>
      <c r="M22" s="378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</row>
    <row r="23" spans="1:29">
      <c r="H23" s="381">
        <f>SUM(H18:H22)</f>
        <v>21349177.682035699</v>
      </c>
      <c r="N23" s="129"/>
      <c r="O23" s="133"/>
      <c r="P23" s="129"/>
      <c r="Q23" s="129"/>
      <c r="R23" s="129"/>
      <c r="S23" s="133"/>
      <c r="T23" s="129"/>
      <c r="U23" s="129"/>
      <c r="V23" s="129"/>
      <c r="W23" s="129"/>
      <c r="X23" s="129"/>
      <c r="Y23" s="129"/>
      <c r="Z23" s="133"/>
      <c r="AA23" s="129"/>
      <c r="AB23" s="129"/>
      <c r="AC23" s="133"/>
    </row>
    <row r="24" spans="1:29">
      <c r="A24" s="381" t="s">
        <v>1261</v>
      </c>
      <c r="H24" s="132">
        <f>+J16</f>
        <v>38.299999999999997</v>
      </c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</row>
    <row r="25" spans="1:29" ht="13.9" customHeight="1">
      <c r="A25" s="382" t="s">
        <v>1262</v>
      </c>
      <c r="B25" s="382"/>
      <c r="D25" s="382"/>
      <c r="E25" s="382"/>
      <c r="F25" s="382"/>
      <c r="G25" s="382"/>
      <c r="H25" s="132">
        <f>+H23/H24</f>
        <v>557419.78282077552</v>
      </c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</row>
    <row r="26" spans="1:29">
      <c r="A26" s="383" t="s">
        <v>1263</v>
      </c>
      <c r="B26" s="384" t="s">
        <v>1264</v>
      </c>
      <c r="C26" s="384" t="s">
        <v>1265</v>
      </c>
      <c r="D26" s="143" t="s">
        <v>1266</v>
      </c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</row>
    <row r="27" spans="1:29" ht="15.5">
      <c r="A27" s="385" t="s">
        <v>1267</v>
      </c>
      <c r="B27" s="370" t="s">
        <v>66</v>
      </c>
      <c r="C27" s="370">
        <f>+I11</f>
        <v>5.17</v>
      </c>
      <c r="D27" s="132">
        <f>+C27/2</f>
        <v>2.585</v>
      </c>
      <c r="E27" s="128" t="s">
        <v>1268</v>
      </c>
    </row>
    <row r="30" spans="1:29">
      <c r="A30" s="377" t="s">
        <v>1269</v>
      </c>
      <c r="B30" s="143" t="s">
        <v>1270</v>
      </c>
      <c r="C30" s="143" t="s">
        <v>1271</v>
      </c>
      <c r="D30" s="143" t="s">
        <v>1272</v>
      </c>
      <c r="G30" s="384"/>
      <c r="H30" s="384"/>
      <c r="I30" s="384"/>
      <c r="J30" s="128" t="s">
        <v>1273</v>
      </c>
    </row>
    <row r="31" spans="1:29">
      <c r="A31" s="377" t="s">
        <v>1274</v>
      </c>
      <c r="B31" s="143"/>
      <c r="C31" s="143"/>
      <c r="D31" s="143"/>
      <c r="G31" s="384" t="s">
        <v>43</v>
      </c>
      <c r="H31" s="384" t="s">
        <v>1180</v>
      </c>
      <c r="I31" s="384" t="s">
        <v>46</v>
      </c>
      <c r="J31" s="128">
        <v>2</v>
      </c>
    </row>
    <row r="32" spans="1:29">
      <c r="A32" s="378" t="s">
        <v>1186</v>
      </c>
      <c r="B32" s="379">
        <v>2</v>
      </c>
      <c r="C32" s="379">
        <f>VLOOKUP(A32,$A$18:$B$22,2,FALSE)</f>
        <v>94177.13788353886</v>
      </c>
      <c r="D32" s="378">
        <f>+B32*C32</f>
        <v>188354.27576707772</v>
      </c>
      <c r="G32" s="128">
        <v>2</v>
      </c>
      <c r="H32" s="132">
        <f>+C32*G32</f>
        <v>188354.27576707772</v>
      </c>
      <c r="I32" s="132">
        <f>+H32*$J$31</f>
        <v>376708.55153415544</v>
      </c>
    </row>
    <row r="33" spans="1:10">
      <c r="A33" s="378" t="s">
        <v>1187</v>
      </c>
      <c r="B33" s="379">
        <v>3</v>
      </c>
      <c r="C33" s="379">
        <f t="shared" ref="C33:C40" si="2">VLOOKUP(A33,$A$18:$B$22,2,FALSE)</f>
        <v>84612.512709566407</v>
      </c>
      <c r="D33" s="378">
        <f t="shared" ref="D33:D40" si="3">+B33*C33</f>
        <v>253837.53812869923</v>
      </c>
      <c r="G33" s="128">
        <v>3</v>
      </c>
      <c r="H33" s="132">
        <f>+C33*G33</f>
        <v>253837.53812869923</v>
      </c>
      <c r="I33" s="132">
        <f>+H33*$J$31</f>
        <v>507675.07625739847</v>
      </c>
    </row>
    <row r="34" spans="1:10">
      <c r="A34" s="377" t="s">
        <v>1275</v>
      </c>
      <c r="B34" s="379"/>
      <c r="C34" s="379"/>
      <c r="D34" s="378"/>
      <c r="G34" s="128"/>
      <c r="J34" s="128">
        <v>2</v>
      </c>
    </row>
    <row r="35" spans="1:10">
      <c r="A35" s="378" t="s">
        <v>1186</v>
      </c>
      <c r="B35" s="379">
        <v>2</v>
      </c>
      <c r="C35" s="379">
        <f t="shared" si="2"/>
        <v>94177.13788353886</v>
      </c>
      <c r="D35" s="378">
        <f t="shared" si="3"/>
        <v>188354.27576707772</v>
      </c>
      <c r="G35" s="128">
        <v>2</v>
      </c>
      <c r="H35" s="132">
        <f>+C35*G35</f>
        <v>188354.27576707772</v>
      </c>
      <c r="I35" s="132">
        <f>+H35*$J$34</f>
        <v>376708.55153415544</v>
      </c>
    </row>
    <row r="36" spans="1:10">
      <c r="A36" s="378" t="s">
        <v>1187</v>
      </c>
      <c r="B36" s="379">
        <v>2</v>
      </c>
      <c r="C36" s="379">
        <f t="shared" si="2"/>
        <v>84612.512709566407</v>
      </c>
      <c r="D36" s="378">
        <f t="shared" si="3"/>
        <v>169225.02541913281</v>
      </c>
      <c r="G36" s="128">
        <v>2</v>
      </c>
      <c r="H36" s="132">
        <f>+C36*G36</f>
        <v>169225.02541913281</v>
      </c>
      <c r="I36" s="132">
        <f>+H36*$J$34</f>
        <v>338450.05083826563</v>
      </c>
    </row>
    <row r="37" spans="1:10">
      <c r="A37" s="377" t="s">
        <v>1276</v>
      </c>
      <c r="B37" s="379"/>
      <c r="C37" s="379"/>
      <c r="D37" s="378"/>
      <c r="I37" s="381">
        <f>SUM(I32:I36)</f>
        <v>1599542.2301639749</v>
      </c>
    </row>
    <row r="38" spans="1:10">
      <c r="A38" s="378" t="s">
        <v>1186</v>
      </c>
      <c r="B38" s="379">
        <v>0.25</v>
      </c>
      <c r="C38" s="379">
        <f t="shared" si="2"/>
        <v>94177.13788353886</v>
      </c>
      <c r="D38" s="378">
        <f>+B38*C38</f>
        <v>23544.284470884715</v>
      </c>
      <c r="H38" s="378" t="s">
        <v>1277</v>
      </c>
      <c r="I38" s="132">
        <f>+I37/C27</f>
        <v>309389.21279767406</v>
      </c>
    </row>
    <row r="39" spans="1:10">
      <c r="A39" s="378" t="s">
        <v>1187</v>
      </c>
      <c r="B39" s="379">
        <v>0.25</v>
      </c>
      <c r="C39" s="379">
        <f t="shared" si="2"/>
        <v>84612.512709566407</v>
      </c>
      <c r="D39" s="378">
        <f t="shared" si="3"/>
        <v>21153.128177391602</v>
      </c>
    </row>
    <row r="40" spans="1:10">
      <c r="A40" s="378" t="s">
        <v>1189</v>
      </c>
      <c r="B40" s="379">
        <v>0.1</v>
      </c>
      <c r="C40" s="379">
        <f t="shared" si="2"/>
        <v>67240.498860267617</v>
      </c>
      <c r="D40" s="378">
        <f t="shared" si="3"/>
        <v>6724.0498860267617</v>
      </c>
    </row>
    <row r="41" spans="1:10">
      <c r="B41" s="379"/>
      <c r="C41" s="379"/>
      <c r="D41" s="378"/>
    </row>
    <row r="42" spans="1:10">
      <c r="B42" s="379"/>
      <c r="C42" s="379"/>
      <c r="D42" s="379"/>
      <c r="F42" s="386"/>
      <c r="G42" s="381"/>
    </row>
    <row r="43" spans="1:10">
      <c r="B43" s="379"/>
      <c r="C43" s="377" t="s">
        <v>1278</v>
      </c>
      <c r="D43" s="378">
        <f>+SUM(D32:D40)</f>
        <v>851192.57761629054</v>
      </c>
      <c r="G43" s="381"/>
    </row>
    <row r="44" spans="1:10">
      <c r="B44" s="379"/>
      <c r="C44" s="377" t="s">
        <v>1035</v>
      </c>
      <c r="D44" s="387">
        <f>+D43/D27</f>
        <v>329281.46136026713</v>
      </c>
      <c r="F44" s="132">
        <f>+D47/G44</f>
        <v>0.9834214199991469</v>
      </c>
      <c r="G44" s="132">
        <f>+C9</f>
        <v>368315.7597854723</v>
      </c>
      <c r="J44" s="128">
        <f>+D44/1.5</f>
        <v>219520.9742401781</v>
      </c>
    </row>
    <row r="45" spans="1:10">
      <c r="A45" s="378"/>
      <c r="B45" s="377" t="s">
        <v>1279</v>
      </c>
      <c r="C45" s="388">
        <v>0.1</v>
      </c>
      <c r="D45" s="378">
        <f>+C45*D44</f>
        <v>32928.146136026713</v>
      </c>
      <c r="E45" s="588" t="s">
        <v>1975</v>
      </c>
    </row>
    <row r="46" spans="1:10">
      <c r="B46" s="377" t="s">
        <v>1280</v>
      </c>
      <c r="C46" s="388">
        <v>0</v>
      </c>
      <c r="D46" s="378">
        <f>+C46*D44</f>
        <v>0</v>
      </c>
    </row>
    <row r="47" spans="1:10">
      <c r="B47" s="379"/>
      <c r="C47" s="377" t="s">
        <v>1281</v>
      </c>
      <c r="D47" s="377">
        <f>+SUM(D44:D46)</f>
        <v>362209.60749629384</v>
      </c>
      <c r="F47" s="132">
        <f>+C27</f>
        <v>5.17</v>
      </c>
      <c r="G47" s="381">
        <f>+D47*F47</f>
        <v>1872623.6707558392</v>
      </c>
    </row>
    <row r="48" spans="1:10" ht="13.5" thickBot="1">
      <c r="A48" s="389"/>
      <c r="B48" s="389"/>
      <c r="C48" s="389"/>
      <c r="D48" s="389"/>
      <c r="E48" s="389"/>
      <c r="F48" s="389"/>
    </row>
    <row r="49" spans="1:10">
      <c r="A49" s="390"/>
      <c r="B49" s="390"/>
      <c r="C49" s="390"/>
      <c r="D49" s="390"/>
      <c r="E49" s="390"/>
      <c r="F49" s="390"/>
    </row>
    <row r="50" spans="1:10">
      <c r="A50" s="382" t="s">
        <v>1262</v>
      </c>
      <c r="B50" s="382"/>
      <c r="C50" s="382"/>
      <c r="D50" s="382"/>
      <c r="E50" s="382"/>
    </row>
    <row r="51" spans="1:10">
      <c r="A51" s="383" t="s">
        <v>1263</v>
      </c>
      <c r="B51" s="384" t="s">
        <v>1264</v>
      </c>
      <c r="C51" s="384" t="s">
        <v>1265</v>
      </c>
      <c r="D51" s="143" t="s">
        <v>1266</v>
      </c>
    </row>
    <row r="52" spans="1:10" ht="15.5">
      <c r="A52" s="385" t="s">
        <v>1282</v>
      </c>
      <c r="B52" s="370" t="s">
        <v>66</v>
      </c>
      <c r="C52" s="370">
        <f>+I10</f>
        <v>8.11</v>
      </c>
      <c r="D52" s="132">
        <f>+C52/4</f>
        <v>2.0274999999999999</v>
      </c>
      <c r="E52" s="128" t="s">
        <v>1268</v>
      </c>
    </row>
    <row r="55" spans="1:10">
      <c r="A55" s="377" t="s">
        <v>1269</v>
      </c>
      <c r="B55" s="143" t="s">
        <v>1270</v>
      </c>
      <c r="C55" s="143" t="s">
        <v>1271</v>
      </c>
      <c r="D55" s="143" t="s">
        <v>1272</v>
      </c>
      <c r="G55" s="384"/>
      <c r="H55" s="384"/>
      <c r="I55" s="384"/>
      <c r="J55" s="128" t="s">
        <v>1273</v>
      </c>
    </row>
    <row r="56" spans="1:10">
      <c r="A56" s="377" t="s">
        <v>1274</v>
      </c>
      <c r="B56" s="143"/>
      <c r="C56" s="143"/>
      <c r="D56" s="143"/>
      <c r="G56" s="384" t="s">
        <v>43</v>
      </c>
      <c r="H56" s="384" t="s">
        <v>1180</v>
      </c>
      <c r="I56" s="384" t="s">
        <v>46</v>
      </c>
      <c r="J56" s="128">
        <v>2</v>
      </c>
    </row>
    <row r="57" spans="1:10">
      <c r="A57" s="378" t="s">
        <v>1186</v>
      </c>
      <c r="B57" s="379">
        <v>1</v>
      </c>
      <c r="C57" s="379">
        <f>VLOOKUP(A57,$A$18:$B$22,2,FALSE)</f>
        <v>94177.13788353886</v>
      </c>
      <c r="D57" s="378">
        <f>+B57*C57</f>
        <v>94177.13788353886</v>
      </c>
      <c r="E57" s="132">
        <f>+F57*C52</f>
        <v>715158.60237242107</v>
      </c>
      <c r="F57" s="132">
        <f>+SUM(D57:D58)/D52</f>
        <v>88182.318418301002</v>
      </c>
      <c r="G57" s="128">
        <v>2</v>
      </c>
      <c r="H57" s="132">
        <f>+C57*G57</f>
        <v>188354.27576707772</v>
      </c>
      <c r="I57" s="132">
        <f>+H57*$J$56</f>
        <v>376708.55153415544</v>
      </c>
    </row>
    <row r="58" spans="1:10">
      <c r="A58" s="378" t="s">
        <v>1187</v>
      </c>
      <c r="B58" s="379">
        <v>1</v>
      </c>
      <c r="C58" s="379">
        <f>VLOOKUP(A58,$A$18:$B$22,2,FALSE)</f>
        <v>84612.512709566407</v>
      </c>
      <c r="D58" s="378">
        <f>+B58*C58</f>
        <v>84612.512709566407</v>
      </c>
      <c r="G58" s="128">
        <v>2</v>
      </c>
      <c r="H58" s="132">
        <f>+C58*G58</f>
        <v>169225.02541913281</v>
      </c>
      <c r="I58" s="132">
        <f>+H58*$J$56</f>
        <v>338450.05083826563</v>
      </c>
    </row>
    <row r="59" spans="1:10">
      <c r="A59" s="377" t="s">
        <v>1275</v>
      </c>
      <c r="B59" s="379"/>
      <c r="C59" s="379"/>
      <c r="D59" s="378"/>
      <c r="G59" s="128"/>
      <c r="J59" s="128">
        <v>6</v>
      </c>
    </row>
    <row r="60" spans="1:10">
      <c r="A60" s="378" t="s">
        <v>1186</v>
      </c>
      <c r="B60" s="379">
        <v>2</v>
      </c>
      <c r="C60" s="379">
        <f>VLOOKUP(A60,$A$18:$B$22,2,FALSE)</f>
        <v>94177.13788353886</v>
      </c>
      <c r="D60" s="378">
        <f>+B60*C60</f>
        <v>188354.27576707772</v>
      </c>
      <c r="E60" s="132">
        <f>+F60*C52</f>
        <v>1768767.2555831079</v>
      </c>
      <c r="F60" s="132">
        <f>+SUM(D60:D61)/D52</f>
        <v>218097.07220506881</v>
      </c>
      <c r="G60" s="128">
        <v>1</v>
      </c>
      <c r="H60" s="132">
        <f>+C60*G60</f>
        <v>94177.13788353886</v>
      </c>
      <c r="I60" s="132">
        <f>+H60*$J$59</f>
        <v>565062.82730123319</v>
      </c>
    </row>
    <row r="61" spans="1:10">
      <c r="A61" s="378" t="s">
        <v>1187</v>
      </c>
      <c r="B61" s="379">
        <v>3</v>
      </c>
      <c r="C61" s="379">
        <f>VLOOKUP(A61,$A$18:$B$22,2,FALSE)</f>
        <v>84612.512709566407</v>
      </c>
      <c r="D61" s="378">
        <f>+B61*C61</f>
        <v>253837.53812869923</v>
      </c>
      <c r="G61" s="128">
        <v>2</v>
      </c>
      <c r="H61" s="132">
        <f>+C61*G61</f>
        <v>169225.02541913281</v>
      </c>
      <c r="I61" s="132">
        <f>+H61*$J$59</f>
        <v>1015350.1525147969</v>
      </c>
    </row>
    <row r="62" spans="1:10">
      <c r="A62" s="377" t="s">
        <v>1276</v>
      </c>
      <c r="B62" s="379"/>
      <c r="C62" s="379"/>
      <c r="D62" s="378"/>
      <c r="I62" s="381">
        <f>SUM(I57:I61)</f>
        <v>2295571.5821884512</v>
      </c>
    </row>
    <row r="63" spans="1:10">
      <c r="A63" s="378" t="s">
        <v>1186</v>
      </c>
      <c r="B63" s="379">
        <v>0.2</v>
      </c>
      <c r="C63" s="379">
        <f>VLOOKUP(A63,$A$18:$B$22,2,FALSE)</f>
        <v>94177.13788353886</v>
      </c>
      <c r="D63" s="378">
        <f>+B63*C63</f>
        <v>18835.427576707774</v>
      </c>
      <c r="E63" s="132">
        <f>+F63*C52</f>
        <v>169927.92001859128</v>
      </c>
      <c r="F63" s="132">
        <f>+SUM(D63:D65)/D52</f>
        <v>20952.887795140727</v>
      </c>
      <c r="H63" s="378" t="s">
        <v>1277</v>
      </c>
      <c r="I63" s="132">
        <f>+I62/C52</f>
        <v>283054.44909845269</v>
      </c>
    </row>
    <row r="64" spans="1:10">
      <c r="A64" s="378" t="s">
        <v>1187</v>
      </c>
      <c r="B64" s="379">
        <v>0.2</v>
      </c>
      <c r="C64" s="379">
        <f>VLOOKUP(A64,$A$18:$B$22,2,FALSE)</f>
        <v>84612.512709566407</v>
      </c>
      <c r="D64" s="378">
        <f>+B64*C64</f>
        <v>16922.502541913283</v>
      </c>
    </row>
    <row r="65" spans="1:10">
      <c r="A65" s="378" t="s">
        <v>1189</v>
      </c>
      <c r="B65" s="379">
        <v>0.1</v>
      </c>
      <c r="C65" s="379">
        <f>VLOOKUP(A65,$A$18:$B$22,2,FALSE)</f>
        <v>67240.498860267617</v>
      </c>
      <c r="D65" s="378">
        <f>+B65*C65</f>
        <v>6724.0498860267617</v>
      </c>
    </row>
    <row r="66" spans="1:10">
      <c r="B66" s="379"/>
      <c r="C66" s="379"/>
      <c r="D66" s="378"/>
    </row>
    <row r="67" spans="1:10">
      <c r="B67" s="379"/>
      <c r="C67" s="379"/>
      <c r="D67" s="379"/>
    </row>
    <row r="68" spans="1:10">
      <c r="B68" s="379"/>
      <c r="C68" s="377" t="s">
        <v>1278</v>
      </c>
      <c r="D68" s="378">
        <f>+SUM(D57:D65)</f>
        <v>663463.44449353009</v>
      </c>
    </row>
    <row r="69" spans="1:10">
      <c r="B69" s="379"/>
      <c r="C69" s="377" t="s">
        <v>1035</v>
      </c>
      <c r="D69" s="387">
        <f>+D68/D52</f>
        <v>327232.27841851057</v>
      </c>
      <c r="F69" s="132">
        <f>+D72/G69</f>
        <v>0.69057247413515788</v>
      </c>
      <c r="G69" s="132">
        <f>+C10</f>
        <v>568627.83966879942</v>
      </c>
    </row>
    <row r="70" spans="1:10">
      <c r="B70" s="377" t="s">
        <v>1279</v>
      </c>
      <c r="C70" s="388">
        <v>0.2</v>
      </c>
      <c r="D70" s="378">
        <f>+C70*D69</f>
        <v>65446.455683702115</v>
      </c>
    </row>
    <row r="71" spans="1:10">
      <c r="B71" s="377" t="s">
        <v>1280</v>
      </c>
      <c r="C71" s="388">
        <v>0</v>
      </c>
      <c r="D71" s="378">
        <f>+C71*D69</f>
        <v>0</v>
      </c>
    </row>
    <row r="72" spans="1:10">
      <c r="B72" s="379"/>
      <c r="C72" s="377" t="s">
        <v>1281</v>
      </c>
      <c r="D72" s="377">
        <f>+SUM(D69:D71)</f>
        <v>392678.73410221271</v>
      </c>
      <c r="F72" s="132">
        <f>+C52</f>
        <v>8.11</v>
      </c>
      <c r="G72" s="381">
        <f>+D72*F72</f>
        <v>3184624.5335689448</v>
      </c>
    </row>
    <row r="73" spans="1:10" ht="13.5" thickBot="1"/>
    <row r="74" spans="1:10">
      <c r="A74" s="390"/>
      <c r="B74" s="390"/>
      <c r="C74" s="390"/>
      <c r="D74" s="390"/>
      <c r="E74" s="390"/>
      <c r="F74" s="390"/>
    </row>
    <row r="75" spans="1:10">
      <c r="A75" s="382" t="s">
        <v>1262</v>
      </c>
      <c r="B75" s="382"/>
      <c r="C75" s="382"/>
      <c r="D75" s="382"/>
      <c r="E75" s="382"/>
    </row>
    <row r="76" spans="1:10">
      <c r="A76" s="383" t="s">
        <v>1263</v>
      </c>
      <c r="B76" s="384" t="s">
        <v>1264</v>
      </c>
      <c r="C76" s="384" t="s">
        <v>1265</v>
      </c>
      <c r="D76" s="143" t="s">
        <v>1266</v>
      </c>
    </row>
    <row r="77" spans="1:10" ht="15.5">
      <c r="A77" s="385" t="s">
        <v>1283</v>
      </c>
      <c r="B77" s="370" t="s">
        <v>66</v>
      </c>
      <c r="C77" s="370">
        <f>+I11</f>
        <v>5.17</v>
      </c>
      <c r="D77" s="132">
        <f>+C77/4</f>
        <v>1.2925</v>
      </c>
      <c r="E77" s="128" t="s">
        <v>1268</v>
      </c>
    </row>
    <row r="80" spans="1:10">
      <c r="A80" s="377" t="s">
        <v>1269</v>
      </c>
      <c r="B80" s="143" t="s">
        <v>1270</v>
      </c>
      <c r="C80" s="143" t="s">
        <v>1271</v>
      </c>
      <c r="D80" s="143" t="s">
        <v>1272</v>
      </c>
      <c r="J80" s="128" t="s">
        <v>1273</v>
      </c>
    </row>
    <row r="81" spans="1:10">
      <c r="A81" s="377" t="s">
        <v>1274</v>
      </c>
      <c r="B81" s="143"/>
      <c r="C81" s="143"/>
      <c r="D81" s="143"/>
      <c r="J81" s="128">
        <v>4</v>
      </c>
    </row>
    <row r="82" spans="1:10">
      <c r="A82" s="378" t="s">
        <v>1186</v>
      </c>
      <c r="B82" s="379">
        <v>3</v>
      </c>
      <c r="C82" s="379">
        <f>VLOOKUP(A82,$A$18:$B$22,2,FALSE)</f>
        <v>94177.13788353886</v>
      </c>
      <c r="D82" s="378">
        <f>+B82*C82</f>
        <v>282531.4136506166</v>
      </c>
      <c r="G82" s="132">
        <v>2</v>
      </c>
      <c r="H82" s="132">
        <f>+C82*G82</f>
        <v>188354.27576707772</v>
      </c>
      <c r="I82" s="132">
        <f>+H82*$J$81</f>
        <v>753417.10306831088</v>
      </c>
    </row>
    <row r="83" spans="1:10">
      <c r="A83" s="378" t="s">
        <v>1187</v>
      </c>
      <c r="B83" s="379">
        <v>3</v>
      </c>
      <c r="C83" s="379">
        <f>VLOOKUP(A83,$A$18:$B$22,2,FALSE)</f>
        <v>84612.512709566407</v>
      </c>
      <c r="D83" s="378">
        <f>+B83*C83</f>
        <v>253837.53812869923</v>
      </c>
      <c r="G83" s="132">
        <v>4</v>
      </c>
      <c r="H83" s="132">
        <f>+C83*G83</f>
        <v>338450.05083826563</v>
      </c>
      <c r="I83" s="132">
        <f>+H83*$J$81</f>
        <v>1353800.2033530625</v>
      </c>
    </row>
    <row r="84" spans="1:10">
      <c r="A84" s="377" t="s">
        <v>1275</v>
      </c>
      <c r="B84" s="379"/>
      <c r="C84" s="379"/>
      <c r="D84" s="378"/>
      <c r="J84" s="128">
        <v>2</v>
      </c>
    </row>
    <row r="85" spans="1:10">
      <c r="A85" s="378" t="s">
        <v>1186</v>
      </c>
      <c r="B85" s="379">
        <v>1</v>
      </c>
      <c r="C85" s="379">
        <f>VLOOKUP(A85,$A$18:$B$22,2,FALSE)</f>
        <v>94177.13788353886</v>
      </c>
      <c r="D85" s="378">
        <f>+B85*C85</f>
        <v>94177.13788353886</v>
      </c>
      <c r="G85" s="132">
        <v>2</v>
      </c>
      <c r="H85" s="132">
        <f>+C85*G85</f>
        <v>188354.27576707772</v>
      </c>
      <c r="I85" s="132">
        <f>+H85*$J$84</f>
        <v>376708.55153415544</v>
      </c>
    </row>
    <row r="86" spans="1:10">
      <c r="A86" s="378" t="s">
        <v>1187</v>
      </c>
      <c r="B86" s="379">
        <v>1</v>
      </c>
      <c r="C86" s="379">
        <f>VLOOKUP(A86,$A$18:$B$22,2,FALSE)</f>
        <v>84612.512709566407</v>
      </c>
      <c r="D86" s="378">
        <f>+B86*C86</f>
        <v>84612.512709566407</v>
      </c>
      <c r="G86" s="132">
        <v>2</v>
      </c>
      <c r="H86" s="132">
        <f>+C86*G86</f>
        <v>169225.02541913281</v>
      </c>
      <c r="I86" s="132">
        <f>+H86*$J$84</f>
        <v>338450.05083826563</v>
      </c>
    </row>
    <row r="87" spans="1:10">
      <c r="A87" s="377" t="s">
        <v>1276</v>
      </c>
      <c r="B87" s="379"/>
      <c r="C87" s="379"/>
      <c r="D87" s="378"/>
      <c r="I87" s="381">
        <f>SUM(I82:I86)</f>
        <v>2822375.9087937945</v>
      </c>
    </row>
    <row r="88" spans="1:10">
      <c r="A88" s="378" t="s">
        <v>1186</v>
      </c>
      <c r="B88" s="379">
        <v>0.1</v>
      </c>
      <c r="C88" s="379">
        <f>VLOOKUP(A88,$A$18:$B$22,2,FALSE)</f>
        <v>94177.13788353886</v>
      </c>
      <c r="D88" s="378">
        <f t="shared" ref="D88:D93" si="4">+B88*C88</f>
        <v>9417.7137883538871</v>
      </c>
      <c r="I88" s="132">
        <f>+I87/C77</f>
        <v>545914.10228119814</v>
      </c>
    </row>
    <row r="89" spans="1:10">
      <c r="A89" s="378" t="s">
        <v>1187</v>
      </c>
      <c r="B89" s="379">
        <v>0.1</v>
      </c>
      <c r="C89" s="379">
        <f>VLOOKUP(A89,$A$18:$B$22,2,FALSE)</f>
        <v>84612.512709566407</v>
      </c>
      <c r="D89" s="378">
        <f t="shared" si="4"/>
        <v>8461.2512709566417</v>
      </c>
    </row>
    <row r="90" spans="1:10">
      <c r="A90" s="378" t="s">
        <v>1189</v>
      </c>
      <c r="B90" s="379">
        <v>0.1</v>
      </c>
      <c r="C90" s="379">
        <f>VLOOKUP(A90,$A$18:$B$22,2,FALSE)</f>
        <v>67240.498860267617</v>
      </c>
      <c r="D90" s="378">
        <f t="shared" si="4"/>
        <v>6724.0498860267617</v>
      </c>
    </row>
    <row r="91" spans="1:10">
      <c r="A91" s="377" t="s">
        <v>1284</v>
      </c>
      <c r="B91" s="379"/>
      <c r="C91" s="379"/>
      <c r="D91" s="378">
        <f t="shared" si="4"/>
        <v>0</v>
      </c>
    </row>
    <row r="92" spans="1:10">
      <c r="A92" s="378" t="s">
        <v>1186</v>
      </c>
      <c r="B92" s="379">
        <v>1</v>
      </c>
      <c r="C92" s="379">
        <f>VLOOKUP(A92,$A$18:$B$22,2,FALSE)</f>
        <v>94177.13788353886</v>
      </c>
      <c r="D92" s="378">
        <f t="shared" si="4"/>
        <v>94177.13788353886</v>
      </c>
    </row>
    <row r="93" spans="1:10">
      <c r="A93" s="378" t="s">
        <v>1187</v>
      </c>
      <c r="B93" s="379">
        <v>1</v>
      </c>
      <c r="C93" s="379">
        <f>VLOOKUP(A93,$A$18:$B$22,2,FALSE)</f>
        <v>84612.512709566407</v>
      </c>
      <c r="D93" s="378">
        <f t="shared" si="4"/>
        <v>84612.512709566407</v>
      </c>
    </row>
    <row r="94" spans="1:10">
      <c r="B94" s="379"/>
      <c r="C94" s="379"/>
      <c r="D94" s="379"/>
    </row>
    <row r="95" spans="1:10">
      <c r="B95" s="379"/>
      <c r="C95" s="377" t="s">
        <v>1278</v>
      </c>
      <c r="D95" s="378">
        <f>+SUM(D82:D90)</f>
        <v>739761.61731775827</v>
      </c>
    </row>
    <row r="96" spans="1:10">
      <c r="B96" s="379"/>
      <c r="C96" s="377" t="s">
        <v>1035</v>
      </c>
      <c r="D96" s="387">
        <f>+D95/D77</f>
        <v>572349.41378549964</v>
      </c>
      <c r="F96" s="132">
        <f>+D99/G96</f>
        <v>0.9743353981174474</v>
      </c>
      <c r="G96" s="132">
        <f>+C11</f>
        <v>646167.99962363567</v>
      </c>
    </row>
    <row r="97" spans="1:10">
      <c r="B97" s="377" t="s">
        <v>1279</v>
      </c>
      <c r="C97" s="388">
        <v>0.1</v>
      </c>
      <c r="D97" s="378">
        <f>+C97*D96</f>
        <v>57234.941378549964</v>
      </c>
    </row>
    <row r="98" spans="1:10">
      <c r="B98" s="377" t="s">
        <v>1280</v>
      </c>
      <c r="C98" s="388">
        <v>0</v>
      </c>
      <c r="D98" s="378">
        <f>+C98*D96</f>
        <v>0</v>
      </c>
      <c r="F98" s="132" t="s">
        <v>1285</v>
      </c>
    </row>
    <row r="99" spans="1:10">
      <c r="B99" s="379"/>
      <c r="C99" s="377" t="s">
        <v>1281</v>
      </c>
      <c r="D99" s="377">
        <f>+SUM(D96:D98)</f>
        <v>629584.35516404966</v>
      </c>
      <c r="F99" s="132">
        <f>+C77</f>
        <v>5.17</v>
      </c>
      <c r="G99" s="381">
        <f>+D99*F99</f>
        <v>3254951.1161981365</v>
      </c>
    </row>
    <row r="100" spans="1:10" ht="13.5" thickBot="1"/>
    <row r="101" spans="1:10">
      <c r="A101" s="390"/>
      <c r="B101" s="390"/>
      <c r="C101" s="390"/>
      <c r="D101" s="390"/>
      <c r="E101" s="390"/>
      <c r="F101" s="390"/>
    </row>
    <row r="102" spans="1:10">
      <c r="A102" s="382" t="s">
        <v>1262</v>
      </c>
      <c r="B102" s="382"/>
      <c r="C102" s="382"/>
      <c r="D102" s="382"/>
      <c r="E102" s="382"/>
    </row>
    <row r="103" spans="1:10">
      <c r="A103" s="383" t="s">
        <v>1263</v>
      </c>
      <c r="B103" s="384" t="s">
        <v>1264</v>
      </c>
      <c r="C103" s="384" t="s">
        <v>1265</v>
      </c>
      <c r="D103" s="143" t="s">
        <v>1266</v>
      </c>
    </row>
    <row r="104" spans="1:10" ht="15.5">
      <c r="A104" s="385" t="s">
        <v>1286</v>
      </c>
      <c r="B104" s="370" t="s">
        <v>66</v>
      </c>
      <c r="C104" s="370">
        <f>+I12</f>
        <v>17.579999999999998</v>
      </c>
      <c r="D104" s="132">
        <f>+C104/3</f>
        <v>5.8599999999999994</v>
      </c>
      <c r="E104" s="128" t="s">
        <v>1268</v>
      </c>
    </row>
    <row r="107" spans="1:10">
      <c r="A107" s="377" t="s">
        <v>1269</v>
      </c>
      <c r="B107" s="143" t="s">
        <v>1270</v>
      </c>
      <c r="C107" s="143" t="s">
        <v>1271</v>
      </c>
      <c r="D107" s="143" t="s">
        <v>1272</v>
      </c>
      <c r="J107" s="128" t="s">
        <v>1273</v>
      </c>
    </row>
    <row r="108" spans="1:10">
      <c r="A108" s="377" t="s">
        <v>1274</v>
      </c>
      <c r="B108" s="143"/>
      <c r="C108" s="143"/>
      <c r="D108" s="143"/>
      <c r="J108" s="128">
        <v>4</v>
      </c>
    </row>
    <row r="109" spans="1:10">
      <c r="A109" s="378" t="s">
        <v>1186</v>
      </c>
      <c r="B109" s="379">
        <v>4</v>
      </c>
      <c r="C109" s="379">
        <f>VLOOKUP(A109,$A$18:$B$22,2,FALSE)</f>
        <v>94177.13788353886</v>
      </c>
      <c r="D109" s="378">
        <f>+B109*C109</f>
        <v>376708.55153415544</v>
      </c>
      <c r="E109" s="132">
        <f>+F109*C104</f>
        <v>2145475.8071172633</v>
      </c>
      <c r="F109" s="132">
        <f>+SUM(D109:D110)/D104</f>
        <v>122040.71712839951</v>
      </c>
      <c r="G109" s="132">
        <v>3</v>
      </c>
      <c r="H109" s="132">
        <f>+C109*G109</f>
        <v>282531.4136506166</v>
      </c>
      <c r="I109" s="132">
        <f>+H109*$J$108</f>
        <v>1130125.6546024664</v>
      </c>
    </row>
    <row r="110" spans="1:10">
      <c r="A110" s="378" t="s">
        <v>1187</v>
      </c>
      <c r="B110" s="379">
        <v>4</v>
      </c>
      <c r="C110" s="379">
        <f>VLOOKUP(A110,$A$18:$B$22,2,FALSE)</f>
        <v>84612.512709566407</v>
      </c>
      <c r="D110" s="378">
        <f>+B110*C110</f>
        <v>338450.05083826563</v>
      </c>
      <c r="G110" s="132">
        <v>3</v>
      </c>
      <c r="H110" s="132">
        <f>+C110*G110</f>
        <v>253837.53812869923</v>
      </c>
      <c r="I110" s="132">
        <f>+H110*$J$108</f>
        <v>1015350.1525147969</v>
      </c>
    </row>
    <row r="111" spans="1:10">
      <c r="A111" s="377" t="s">
        <v>1275</v>
      </c>
      <c r="B111" s="379"/>
      <c r="C111" s="379"/>
      <c r="D111" s="378"/>
      <c r="J111" s="128">
        <v>3</v>
      </c>
    </row>
    <row r="112" spans="1:10">
      <c r="A112" s="378" t="s">
        <v>1186</v>
      </c>
      <c r="B112" s="379">
        <v>2</v>
      </c>
      <c r="C112" s="379">
        <f>VLOOKUP(A112,$A$18:$B$22,2,FALSE)</f>
        <v>94177.13788353886</v>
      </c>
      <c r="D112" s="378">
        <f>+B112*C112</f>
        <v>188354.27576707772</v>
      </c>
      <c r="E112" s="132">
        <f>+F112*C104</f>
        <v>1072737.9035586317</v>
      </c>
      <c r="F112" s="132">
        <f>+SUM(D112:D113)/D104</f>
        <v>61020.358564199756</v>
      </c>
      <c r="G112" s="132">
        <v>2</v>
      </c>
      <c r="H112" s="132">
        <f>+C112*G112</f>
        <v>188354.27576707772</v>
      </c>
      <c r="I112" s="132">
        <f>+H112*$J$111</f>
        <v>565062.82730123319</v>
      </c>
    </row>
    <row r="113" spans="1:21">
      <c r="A113" s="378" t="s">
        <v>1187</v>
      </c>
      <c r="B113" s="379">
        <v>2</v>
      </c>
      <c r="C113" s="379">
        <f>VLOOKUP(A113,$A$18:$B$22,2,FALSE)</f>
        <v>84612.512709566407</v>
      </c>
      <c r="D113" s="378">
        <f>+B113*C113</f>
        <v>169225.02541913281</v>
      </c>
      <c r="G113" s="132">
        <v>2</v>
      </c>
      <c r="H113" s="132">
        <f>+C113*G113</f>
        <v>169225.02541913281</v>
      </c>
      <c r="I113" s="132">
        <f>+H113*$J$111</f>
        <v>507675.07625739847</v>
      </c>
    </row>
    <row r="114" spans="1:21" s="128" customFormat="1">
      <c r="A114" s="377" t="s">
        <v>1276</v>
      </c>
      <c r="B114" s="379"/>
      <c r="C114" s="379"/>
      <c r="D114" s="378"/>
      <c r="E114" s="132"/>
      <c r="F114" s="132"/>
      <c r="G114" s="132"/>
      <c r="H114" s="132"/>
      <c r="I114" s="381">
        <f>SUM(I109:I113)</f>
        <v>3218213.7106758947</v>
      </c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</row>
    <row r="115" spans="1:21" s="128" customFormat="1">
      <c r="A115" s="378" t="s">
        <v>1186</v>
      </c>
      <c r="B115" s="379">
        <v>0.5</v>
      </c>
      <c r="C115" s="379">
        <f>VLOOKUP(A115,$A$18:$B$22,2,FALSE)</f>
        <v>94177.13788353886</v>
      </c>
      <c r="D115" s="378">
        <f>+B115*C115</f>
        <v>47088.56894176943</v>
      </c>
      <c r="E115" s="132">
        <f>+F115*C104</f>
        <v>348873.07452197903</v>
      </c>
      <c r="F115" s="132">
        <f>+SUM(D115:D117)/D104</f>
        <v>19844.88478509551</v>
      </c>
      <c r="G115" s="132"/>
      <c r="H115" s="132"/>
      <c r="I115" s="132">
        <f>+I114/C104</f>
        <v>183061.07569259926</v>
      </c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</row>
    <row r="116" spans="1:21" s="128" customFormat="1">
      <c r="A116" s="378" t="s">
        <v>1187</v>
      </c>
      <c r="B116" s="379">
        <v>0.5</v>
      </c>
      <c r="C116" s="379">
        <f>VLOOKUP(A116,$A$18:$B$22,2,FALSE)</f>
        <v>84612.512709566407</v>
      </c>
      <c r="D116" s="378">
        <f>+B116*C116</f>
        <v>42306.256354783203</v>
      </c>
      <c r="E116" s="132"/>
      <c r="F116" s="132"/>
      <c r="G116" s="132"/>
      <c r="H116" s="132"/>
      <c r="I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</row>
    <row r="117" spans="1:21" s="128" customFormat="1">
      <c r="A117" s="378" t="s">
        <v>1189</v>
      </c>
      <c r="B117" s="379">
        <v>0.4</v>
      </c>
      <c r="C117" s="379">
        <f>VLOOKUP(A117,$A$18:$B$22,2,FALSE)</f>
        <v>67240.498860267617</v>
      </c>
      <c r="D117" s="378">
        <f>+B117*C117</f>
        <v>26896.199544107047</v>
      </c>
      <c r="E117" s="132"/>
      <c r="F117" s="132"/>
      <c r="G117" s="132"/>
      <c r="H117" s="132"/>
      <c r="I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</row>
    <row r="118" spans="1:21" s="128" customFormat="1">
      <c r="A118" s="132"/>
      <c r="B118" s="379"/>
      <c r="C118" s="379"/>
      <c r="D118" s="379"/>
      <c r="E118" s="132"/>
      <c r="F118" s="132"/>
      <c r="G118" s="132"/>
      <c r="H118" s="132"/>
      <c r="I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</row>
    <row r="119" spans="1:21" s="128" customFormat="1">
      <c r="A119" s="132"/>
      <c r="B119" s="379"/>
      <c r="C119" s="377" t="s">
        <v>1278</v>
      </c>
      <c r="D119" s="378">
        <f>+SUM(D109:D117)</f>
        <v>1189028.9283992914</v>
      </c>
      <c r="E119" s="132"/>
      <c r="F119" s="132"/>
      <c r="G119" s="132"/>
      <c r="H119" s="132"/>
      <c r="I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</row>
    <row r="120" spans="1:21" s="128" customFormat="1">
      <c r="A120" s="132"/>
      <c r="B120" s="379"/>
      <c r="C120" s="377" t="s">
        <v>1035</v>
      </c>
      <c r="D120" s="387">
        <f>+D119/D104</f>
        <v>202905.96047769478</v>
      </c>
      <c r="E120" s="132"/>
      <c r="F120" s="132">
        <f>+D123/G120</f>
        <v>0.65419635642961838</v>
      </c>
      <c r="G120" s="132">
        <f>+C12</f>
        <v>387700.79977418139</v>
      </c>
      <c r="H120" s="132"/>
      <c r="I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</row>
    <row r="121" spans="1:21" s="128" customFormat="1">
      <c r="A121" s="132"/>
      <c r="B121" s="377" t="s">
        <v>1287</v>
      </c>
      <c r="C121" s="388">
        <v>0.25</v>
      </c>
      <c r="D121" s="378">
        <f>+C121*D120</f>
        <v>50726.490119423695</v>
      </c>
      <c r="E121" s="132"/>
      <c r="F121" s="132"/>
      <c r="G121" s="132"/>
      <c r="H121" s="132"/>
      <c r="I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</row>
    <row r="122" spans="1:21" s="128" customFormat="1">
      <c r="A122" s="132"/>
      <c r="B122" s="377" t="s">
        <v>1280</v>
      </c>
      <c r="C122" s="388">
        <v>0</v>
      </c>
      <c r="D122" s="378">
        <f>+C122*D120</f>
        <v>0</v>
      </c>
      <c r="E122" s="132"/>
      <c r="F122" s="132" t="s">
        <v>1285</v>
      </c>
      <c r="G122" s="132"/>
      <c r="H122" s="132"/>
      <c r="I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</row>
    <row r="123" spans="1:21" s="128" customFormat="1">
      <c r="A123" s="132"/>
      <c r="B123" s="379"/>
      <c r="C123" s="377" t="s">
        <v>1281</v>
      </c>
      <c r="D123" s="377">
        <f>+SUM(D120:D122)</f>
        <v>253632.45059711847</v>
      </c>
      <c r="E123" s="132"/>
      <c r="F123" s="132">
        <f>+C104</f>
        <v>17.579999999999998</v>
      </c>
      <c r="G123" s="381">
        <f>+D123*F123</f>
        <v>4458858.4814973427</v>
      </c>
      <c r="H123" s="132"/>
      <c r="I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</row>
    <row r="124" spans="1:21" s="128" customFormat="1" ht="13.5" thickBot="1">
      <c r="A124" s="132"/>
      <c r="B124" s="132"/>
      <c r="C124" s="132"/>
      <c r="D124" s="132"/>
      <c r="E124" s="132"/>
      <c r="F124" s="132"/>
      <c r="G124" s="132"/>
      <c r="H124" s="132"/>
      <c r="I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</row>
    <row r="125" spans="1:21" s="128" customFormat="1">
      <c r="A125" s="390"/>
      <c r="B125" s="390"/>
      <c r="C125" s="390"/>
      <c r="D125" s="390"/>
      <c r="E125" s="390"/>
      <c r="F125" s="390"/>
      <c r="G125" s="132"/>
      <c r="H125" s="132"/>
      <c r="I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</row>
    <row r="126" spans="1:21" s="128" customFormat="1">
      <c r="A126" s="382" t="s">
        <v>1262</v>
      </c>
      <c r="B126" s="382"/>
      <c r="C126" s="382"/>
      <c r="D126" s="382"/>
      <c r="E126" s="382"/>
      <c r="F126" s="132"/>
      <c r="G126" s="132"/>
      <c r="H126" s="132"/>
      <c r="I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</row>
    <row r="127" spans="1:21" s="128" customFormat="1">
      <c r="A127" s="383" t="s">
        <v>1263</v>
      </c>
      <c r="B127" s="384" t="s">
        <v>1264</v>
      </c>
      <c r="C127" s="384" t="s">
        <v>1265</v>
      </c>
      <c r="D127" s="143" t="s">
        <v>1266</v>
      </c>
      <c r="E127" s="132"/>
      <c r="F127" s="132"/>
      <c r="G127" s="132"/>
      <c r="H127" s="132"/>
      <c r="I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</row>
    <row r="128" spans="1:21" s="128" customFormat="1" ht="15.5">
      <c r="A128" s="385" t="s">
        <v>1288</v>
      </c>
      <c r="B128" s="370" t="s">
        <v>66</v>
      </c>
      <c r="C128" s="370">
        <f>+I13</f>
        <v>2.0499999999999998</v>
      </c>
      <c r="D128" s="132">
        <f>+C128/2</f>
        <v>1.0249999999999999</v>
      </c>
      <c r="E128" s="128" t="s">
        <v>1268</v>
      </c>
      <c r="F128" s="132"/>
      <c r="G128" s="132"/>
      <c r="H128" s="132"/>
      <c r="I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</row>
    <row r="131" spans="1:10">
      <c r="A131" s="377" t="s">
        <v>1269</v>
      </c>
      <c r="B131" s="143" t="s">
        <v>1270</v>
      </c>
      <c r="C131" s="143" t="s">
        <v>1271</v>
      </c>
      <c r="D131" s="143" t="s">
        <v>1272</v>
      </c>
      <c r="J131" s="128" t="s">
        <v>1273</v>
      </c>
    </row>
    <row r="132" spans="1:10">
      <c r="A132" s="377" t="s">
        <v>1274</v>
      </c>
      <c r="B132" s="143"/>
      <c r="C132" s="143"/>
      <c r="D132" s="143"/>
      <c r="J132" s="128">
        <v>1</v>
      </c>
    </row>
    <row r="133" spans="1:10">
      <c r="A133" s="378" t="s">
        <v>1186</v>
      </c>
      <c r="B133" s="379">
        <v>1</v>
      </c>
      <c r="C133" s="379">
        <f>VLOOKUP(A133,$A$18:$B$22,2,FALSE)</f>
        <v>94177.13788353886</v>
      </c>
      <c r="D133" s="378">
        <f>+B133*C133</f>
        <v>94177.13788353886</v>
      </c>
      <c r="G133" s="132">
        <v>1</v>
      </c>
      <c r="H133" s="132">
        <f>+C133*G133</f>
        <v>94177.13788353886</v>
      </c>
      <c r="I133" s="132">
        <f>+H133*$J$132</f>
        <v>94177.13788353886</v>
      </c>
    </row>
    <row r="134" spans="1:10">
      <c r="A134" s="378" t="s">
        <v>1187</v>
      </c>
      <c r="B134" s="379">
        <v>0</v>
      </c>
      <c r="C134" s="379">
        <f>VLOOKUP(A134,$A$18:$B$22,2,FALSE)</f>
        <v>84612.512709566407</v>
      </c>
      <c r="D134" s="378">
        <f>+B134*C134</f>
        <v>0</v>
      </c>
      <c r="G134" s="132">
        <v>1</v>
      </c>
      <c r="H134" s="132">
        <f>+C134*G134</f>
        <v>84612.512709566407</v>
      </c>
      <c r="I134" s="132">
        <f>+H134*$J$132</f>
        <v>84612.512709566407</v>
      </c>
    </row>
    <row r="135" spans="1:10">
      <c r="A135" s="377" t="s">
        <v>1275</v>
      </c>
      <c r="B135" s="379"/>
      <c r="C135" s="379"/>
      <c r="D135" s="378"/>
      <c r="J135" s="128">
        <v>2</v>
      </c>
    </row>
    <row r="136" spans="1:10">
      <c r="A136" s="378" t="s">
        <v>1186</v>
      </c>
      <c r="B136" s="379">
        <v>2</v>
      </c>
      <c r="C136" s="379">
        <f>VLOOKUP(A136,$A$18:$B$22,2,FALSE)</f>
        <v>94177.13788353886</v>
      </c>
      <c r="D136" s="378">
        <f>+B136*C136</f>
        <v>188354.27576707772</v>
      </c>
      <c r="G136" s="132">
        <v>1</v>
      </c>
      <c r="H136" s="132">
        <f>+C136*G136</f>
        <v>94177.13788353886</v>
      </c>
      <c r="I136" s="132">
        <f>+H136*$J$135</f>
        <v>188354.27576707772</v>
      </c>
    </row>
    <row r="137" spans="1:10">
      <c r="A137" s="378" t="s">
        <v>1187</v>
      </c>
      <c r="B137" s="379">
        <v>0</v>
      </c>
      <c r="C137" s="379">
        <f>VLOOKUP(A137,$A$18:$B$22,2,FALSE)</f>
        <v>84612.512709566407</v>
      </c>
      <c r="D137" s="378">
        <f>+B137*C137</f>
        <v>0</v>
      </c>
      <c r="G137" s="132">
        <v>1</v>
      </c>
      <c r="H137" s="132">
        <f>+C137*G137</f>
        <v>84612.512709566407</v>
      </c>
      <c r="I137" s="132">
        <f>+H137*$J$135</f>
        <v>169225.02541913281</v>
      </c>
    </row>
    <row r="138" spans="1:10">
      <c r="A138" s="377" t="s">
        <v>1276</v>
      </c>
      <c r="B138" s="379"/>
      <c r="C138" s="379"/>
      <c r="D138" s="378"/>
      <c r="I138" s="381">
        <f>SUM(I133:I137)</f>
        <v>536368.95177931583</v>
      </c>
    </row>
    <row r="139" spans="1:10">
      <c r="A139" s="378" t="s">
        <v>1186</v>
      </c>
      <c r="B139" s="379">
        <v>0.1</v>
      </c>
      <c r="C139" s="379">
        <f>VLOOKUP(A139,$A$18:$B$22,2,FALSE)</f>
        <v>94177.13788353886</v>
      </c>
      <c r="D139" s="378">
        <f>+B139*C139</f>
        <v>9417.7137883538871</v>
      </c>
      <c r="E139" s="132">
        <f>+F139*C128</f>
        <v>42481.980004647819</v>
      </c>
      <c r="F139" s="132">
        <f>+SUM(D139:D141)/D128</f>
        <v>20722.917075437963</v>
      </c>
      <c r="I139" s="132">
        <f>+I138/C128</f>
        <v>261643.39111186139</v>
      </c>
    </row>
    <row r="140" spans="1:10">
      <c r="A140" s="378" t="s">
        <v>1187</v>
      </c>
      <c r="B140" s="379">
        <v>0.1</v>
      </c>
      <c r="C140" s="379">
        <f>VLOOKUP(A140,$A$18:$B$22,2,FALSE)</f>
        <v>84612.512709566407</v>
      </c>
      <c r="D140" s="378">
        <f>+B140*C140</f>
        <v>8461.2512709566417</v>
      </c>
    </row>
    <row r="141" spans="1:10">
      <c r="A141" s="378" t="s">
        <v>1189</v>
      </c>
      <c r="B141" s="379">
        <v>0.05</v>
      </c>
      <c r="C141" s="379">
        <f>VLOOKUP(A141,$A$18:$B$22,2,FALSE)</f>
        <v>67240.498860267617</v>
      </c>
      <c r="D141" s="378">
        <f>+B141*C141</f>
        <v>3362.0249430133808</v>
      </c>
    </row>
    <row r="142" spans="1:10">
      <c r="B142" s="379"/>
      <c r="C142" s="379"/>
      <c r="D142" s="378"/>
    </row>
    <row r="143" spans="1:10">
      <c r="B143" s="379"/>
      <c r="C143" s="379"/>
      <c r="D143" s="379"/>
    </row>
    <row r="144" spans="1:10">
      <c r="B144" s="379"/>
      <c r="C144" s="377" t="s">
        <v>1278</v>
      </c>
      <c r="D144" s="378">
        <f>+SUM(D133:D141)</f>
        <v>303772.40365294053</v>
      </c>
    </row>
    <row r="145" spans="1:21">
      <c r="B145" s="379"/>
      <c r="C145" s="377" t="s">
        <v>1035</v>
      </c>
      <c r="D145" s="387">
        <f>+D144/D128</f>
        <v>296363.32063701516</v>
      </c>
      <c r="F145" s="132">
        <f>+D148/G145</f>
        <v>0.63701038019015721</v>
      </c>
      <c r="G145" s="132">
        <f>+C13</f>
        <v>581551.19966127211</v>
      </c>
    </row>
    <row r="146" spans="1:21" s="128" customFormat="1">
      <c r="A146" s="132"/>
      <c r="B146" s="377" t="s">
        <v>1287</v>
      </c>
      <c r="C146" s="388">
        <v>0.25</v>
      </c>
      <c r="D146" s="378">
        <f>+C146*D145</f>
        <v>74090.83015925379</v>
      </c>
      <c r="E146" s="132"/>
      <c r="F146" s="132"/>
      <c r="G146" s="132"/>
      <c r="H146" s="132"/>
      <c r="I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</row>
    <row r="147" spans="1:21" s="128" customFormat="1">
      <c r="A147" s="132"/>
      <c r="B147" s="377" t="s">
        <v>1280</v>
      </c>
      <c r="C147" s="388">
        <v>0</v>
      </c>
      <c r="D147" s="378">
        <f>+C147*D145</f>
        <v>0</v>
      </c>
      <c r="E147" s="132"/>
      <c r="F147" s="132" t="s">
        <v>1285</v>
      </c>
      <c r="G147" s="132"/>
      <c r="H147" s="132"/>
      <c r="I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</row>
    <row r="148" spans="1:21" s="128" customFormat="1">
      <c r="A148" s="132"/>
      <c r="B148" s="379"/>
      <c r="C148" s="377" t="s">
        <v>1281</v>
      </c>
      <c r="D148" s="377">
        <f>+SUM(D145:D147)</f>
        <v>370454.15079626895</v>
      </c>
      <c r="E148" s="132"/>
      <c r="F148" s="132">
        <f>+C128</f>
        <v>2.0499999999999998</v>
      </c>
      <c r="G148" s="381">
        <f>+D148*F148</f>
        <v>759431.00913235126</v>
      </c>
      <c r="H148" s="132"/>
      <c r="I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</row>
    <row r="151" spans="1:21" s="128" customFormat="1">
      <c r="A151" s="132"/>
      <c r="B151" s="132"/>
      <c r="C151" s="132"/>
      <c r="D151" s="132"/>
      <c r="E151" s="132"/>
      <c r="F151" s="132">
        <f>+G151*F152/G152</f>
        <v>0.75397912089258412</v>
      </c>
      <c r="G151" s="381">
        <f>+G148+G123+G99+G72+G47</f>
        <v>13530488.811152613</v>
      </c>
      <c r="H151" s="132" t="s">
        <v>188</v>
      </c>
      <c r="I151" s="381"/>
      <c r="K151" s="132"/>
      <c r="L151" s="132"/>
      <c r="O151" s="132"/>
      <c r="P151" s="132"/>
      <c r="Q151" s="132"/>
      <c r="R151" s="132"/>
      <c r="S151" s="132"/>
      <c r="T151" s="132"/>
      <c r="U151" s="132"/>
    </row>
    <row r="152" spans="1:21" s="128" customFormat="1">
      <c r="A152" s="132"/>
      <c r="B152" s="132"/>
      <c r="C152" s="132"/>
      <c r="D152" s="132"/>
      <c r="E152" s="132"/>
      <c r="F152" s="132">
        <v>1</v>
      </c>
      <c r="G152" s="381">
        <f>+J15</f>
        <v>17945442.302347571</v>
      </c>
      <c r="H152" s="132" t="s">
        <v>1289</v>
      </c>
      <c r="I152" s="132"/>
      <c r="K152" s="132"/>
      <c r="L152" s="132"/>
      <c r="O152" s="132"/>
      <c r="P152" s="132"/>
      <c r="Q152" s="132"/>
      <c r="R152" s="132"/>
      <c r="S152" s="132"/>
      <c r="T152" s="132"/>
      <c r="U152" s="132"/>
    </row>
    <row r="155" spans="1:21">
      <c r="G155" s="137">
        <f>+G151/1.5</f>
        <v>9020325.8741017412</v>
      </c>
      <c r="H155" s="132" t="s">
        <v>1436</v>
      </c>
    </row>
    <row r="156" spans="1:21">
      <c r="G156" s="38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956D-3F2D-4E49-B28B-A1054C1F4A98}">
  <sheetPr>
    <tabColor rgb="FF92D050"/>
  </sheetPr>
  <dimension ref="B1:AA151"/>
  <sheetViews>
    <sheetView topLeftCell="A77" workbookViewId="0">
      <selection activeCell="D86" sqref="D86"/>
    </sheetView>
  </sheetViews>
  <sheetFormatPr defaultColWidth="11.453125" defaultRowHeight="13"/>
  <cols>
    <col min="1" max="1" width="5.453125" style="142" customWidth="1"/>
    <col min="2" max="2" width="31.54296875" style="142" bestFit="1" customWidth="1"/>
    <col min="3" max="3" width="32" style="142" bestFit="1" customWidth="1"/>
    <col min="4" max="4" width="12.453125" style="142" bestFit="1" customWidth="1"/>
    <col min="5" max="5" width="11" style="142" bestFit="1" customWidth="1"/>
    <col min="6" max="6" width="9.1796875" style="142" bestFit="1" customWidth="1"/>
    <col min="7" max="7" width="17.7265625" style="142" bestFit="1" customWidth="1"/>
    <col min="8" max="8" width="19" style="142" bestFit="1" customWidth="1"/>
    <col min="9" max="9" width="14.453125" style="142" bestFit="1" customWidth="1"/>
    <col min="10" max="10" width="13.453125" style="142" bestFit="1" customWidth="1"/>
    <col min="11" max="11" width="12.453125" style="142" bestFit="1" customWidth="1"/>
    <col min="12" max="12" width="12" style="142" bestFit="1" customWidth="1"/>
    <col min="13" max="13" width="11.1796875" style="142" bestFit="1" customWidth="1"/>
    <col min="14" max="14" width="12.81640625" style="665" bestFit="1" customWidth="1"/>
    <col min="15" max="15" width="11" style="142" bestFit="1" customWidth="1"/>
    <col min="16" max="16" width="12" style="161" bestFit="1" customWidth="1"/>
    <col min="17" max="17" width="13.54296875" style="161" bestFit="1" customWidth="1"/>
    <col min="18" max="18" width="7.453125" style="119" bestFit="1" customWidth="1"/>
    <col min="19" max="19" width="7.81640625" style="142" bestFit="1" customWidth="1"/>
    <col min="20" max="20" width="7.54296875" style="142" bestFit="1" customWidth="1"/>
    <col min="21" max="21" width="9.7265625" style="142" bestFit="1" customWidth="1"/>
    <col min="22" max="22" width="14.26953125" style="142" bestFit="1" customWidth="1"/>
    <col min="23" max="23" width="5.54296875" style="16" bestFit="1" customWidth="1"/>
    <col min="24" max="24" width="6.54296875" style="142" bestFit="1" customWidth="1"/>
    <col min="25" max="25" width="9.26953125" style="142" bestFit="1" customWidth="1"/>
    <col min="26" max="27" width="5.54296875" style="142" bestFit="1" customWidth="1"/>
    <col min="28" max="16384" width="11.453125" style="142"/>
  </cols>
  <sheetData>
    <row r="1" spans="2:25">
      <c r="B1" s="144" t="s">
        <v>1291</v>
      </c>
      <c r="C1" s="144"/>
      <c r="H1" s="145">
        <v>3.66</v>
      </c>
      <c r="I1" s="145" t="s">
        <v>526</v>
      </c>
      <c r="J1" s="145" t="s">
        <v>1292</v>
      </c>
      <c r="K1" s="145" t="s">
        <v>1293</v>
      </c>
      <c r="L1" s="145" t="s">
        <v>1294</v>
      </c>
    </row>
    <row r="2" spans="2:25">
      <c r="B2" s="146">
        <f>+Cotizaciones!F21</f>
        <v>45782</v>
      </c>
      <c r="C2" s="146"/>
      <c r="H2" s="145" t="s">
        <v>1295</v>
      </c>
      <c r="I2" s="16">
        <f>+Cotizaciones!D23</f>
        <v>2218.7379999999998</v>
      </c>
      <c r="J2" s="16">
        <f>+I2/$H$1</f>
        <v>606.21256830601089</v>
      </c>
      <c r="K2" s="666">
        <f>4*1*I9</f>
        <v>1.0935999999999999</v>
      </c>
      <c r="L2" s="610">
        <f>+J2/K2</f>
        <v>554.32751308157549</v>
      </c>
    </row>
    <row r="3" spans="2:25">
      <c r="B3" s="146"/>
      <c r="C3" s="146"/>
      <c r="H3" s="145" t="s">
        <v>1296</v>
      </c>
      <c r="I3" s="16">
        <f>+Cotizaciones!D24</f>
        <v>4992.1646666666666</v>
      </c>
      <c r="J3" s="16">
        <f>+I3/$H$1</f>
        <v>1363.9794171220401</v>
      </c>
      <c r="K3" s="666">
        <f>3*3*I9</f>
        <v>2.4605999999999999</v>
      </c>
      <c r="L3" s="610">
        <f>+J3/K3</f>
        <v>554.32797574658218</v>
      </c>
    </row>
    <row r="4" spans="2:25">
      <c r="B4" s="147" t="s">
        <v>1211</v>
      </c>
      <c r="C4" s="148" t="s">
        <v>1297</v>
      </c>
      <c r="D4" s="151" t="s">
        <v>654</v>
      </c>
      <c r="E4" s="151"/>
      <c r="K4" s="145" t="s">
        <v>1298</v>
      </c>
      <c r="L4" s="980">
        <v>560</v>
      </c>
    </row>
    <row r="5" spans="2:25">
      <c r="B5" s="142" t="s">
        <v>1299</v>
      </c>
      <c r="C5" s="145" t="s">
        <v>1300</v>
      </c>
      <c r="D5" s="119">
        <f>+L4</f>
        <v>560</v>
      </c>
      <c r="E5" s="16"/>
      <c r="G5" s="119"/>
      <c r="H5" s="119"/>
      <c r="L5" s="981"/>
    </row>
    <row r="6" spans="2:25">
      <c r="B6" s="142" t="s">
        <v>669</v>
      </c>
      <c r="C6" s="145" t="s">
        <v>670</v>
      </c>
      <c r="D6" s="119">
        <f>+Cotizaciones!D21</f>
        <v>26393.8</v>
      </c>
      <c r="E6" s="16"/>
      <c r="G6" s="119"/>
      <c r="H6" s="119"/>
    </row>
    <row r="7" spans="2:25">
      <c r="B7" s="142" t="s">
        <v>672</v>
      </c>
      <c r="C7" s="145" t="s">
        <v>670</v>
      </c>
      <c r="D7" s="119">
        <f>+Cotizaciones!D22</f>
        <v>51029.752066115703</v>
      </c>
      <c r="E7" s="16"/>
      <c r="G7" s="119"/>
      <c r="H7" s="119"/>
    </row>
    <row r="8" spans="2:25">
      <c r="D8" s="119"/>
    </row>
    <row r="9" spans="2:25">
      <c r="B9" s="139"/>
      <c r="C9" s="139"/>
      <c r="D9" s="832" t="s">
        <v>1301</v>
      </c>
      <c r="E9" s="833" t="s">
        <v>1301</v>
      </c>
      <c r="F9" s="139"/>
      <c r="G9" s="139"/>
      <c r="I9" s="149">
        <v>0.27339999999999998</v>
      </c>
      <c r="J9" s="150" t="s">
        <v>1302</v>
      </c>
      <c r="K9" s="139"/>
      <c r="L9" s="139"/>
    </row>
    <row r="10" spans="2:25">
      <c r="B10" s="647" t="s">
        <v>1194</v>
      </c>
      <c r="C10" s="647" t="s">
        <v>1303</v>
      </c>
      <c r="D10" s="214" t="s">
        <v>365</v>
      </c>
      <c r="E10" s="646" t="s">
        <v>368</v>
      </c>
      <c r="F10" s="214" t="s">
        <v>59</v>
      </c>
      <c r="G10" s="214" t="s">
        <v>1304</v>
      </c>
      <c r="H10" s="214" t="s">
        <v>1305</v>
      </c>
      <c r="I10" s="214" t="s">
        <v>1306</v>
      </c>
      <c r="J10" s="214" t="s">
        <v>1307</v>
      </c>
      <c r="K10" s="214" t="s">
        <v>1308</v>
      </c>
      <c r="L10" s="646" t="s">
        <v>188</v>
      </c>
      <c r="M10" s="148" t="s">
        <v>1252</v>
      </c>
      <c r="N10" s="148" t="s">
        <v>1309</v>
      </c>
      <c r="O10" s="148" t="s">
        <v>1310</v>
      </c>
    </row>
    <row r="11" spans="2:25">
      <c r="B11" s="656" t="s">
        <v>1311</v>
      </c>
      <c r="C11" s="651"/>
      <c r="D11" s="652"/>
      <c r="E11" s="222"/>
      <c r="F11" s="652"/>
      <c r="G11" s="652"/>
      <c r="H11" s="652"/>
      <c r="I11" s="652"/>
      <c r="J11" s="652"/>
      <c r="K11" s="652"/>
      <c r="L11" s="217"/>
      <c r="M11" s="98">
        <f>+SUM(L12:L16)</f>
        <v>9377.0939597315446</v>
      </c>
      <c r="N11" s="163">
        <v>3.5</v>
      </c>
      <c r="O11" s="16">
        <f>+M11/N11</f>
        <v>2679.1697027804412</v>
      </c>
      <c r="R11" s="648" t="s">
        <v>59</v>
      </c>
      <c r="S11" s="145" t="s">
        <v>1312</v>
      </c>
      <c r="T11" s="145" t="s">
        <v>43</v>
      </c>
      <c r="U11" s="145" t="s">
        <v>1313</v>
      </c>
      <c r="V11" s="145" t="s">
        <v>1314</v>
      </c>
      <c r="W11" s="145" t="s">
        <v>1315</v>
      </c>
      <c r="X11" s="16">
        <v>40</v>
      </c>
    </row>
    <row r="12" spans="2:25">
      <c r="B12" s="671" t="s">
        <v>1316</v>
      </c>
      <c r="C12" s="223" t="s">
        <v>1299</v>
      </c>
      <c r="D12" s="219">
        <v>2</v>
      </c>
      <c r="E12" s="219">
        <v>4</v>
      </c>
      <c r="F12" s="667">
        <v>0.5</v>
      </c>
      <c r="G12" s="667">
        <f>+W12</f>
        <v>3</v>
      </c>
      <c r="H12" s="667">
        <f>+D12*E12</f>
        <v>8</v>
      </c>
      <c r="I12" s="667">
        <f>+ROUNDUP(H12*F12*$I$9,0)</f>
        <v>2</v>
      </c>
      <c r="J12" s="669">
        <f>VLOOKUP(C12,$B$5:$D$7,3,0)</f>
        <v>560</v>
      </c>
      <c r="K12" s="220">
        <f>+I12*J12</f>
        <v>1120</v>
      </c>
      <c r="L12" s="221">
        <f t="shared" ref="L12:L24" si="0">+K12*G12</f>
        <v>3360</v>
      </c>
      <c r="Q12" s="161" t="s">
        <v>1316</v>
      </c>
      <c r="R12" s="16">
        <v>60</v>
      </c>
      <c r="S12" s="16">
        <v>0.5</v>
      </c>
      <c r="T12" s="16">
        <f>+R12/S12</f>
        <v>120</v>
      </c>
      <c r="U12" s="16">
        <v>1</v>
      </c>
      <c r="V12" s="120">
        <f>+T12*U12</f>
        <v>120</v>
      </c>
      <c r="W12" s="16">
        <f>+V12/$X$11</f>
        <v>3</v>
      </c>
    </row>
    <row r="13" spans="2:25">
      <c r="B13" s="672" t="s">
        <v>1317</v>
      </c>
      <c r="C13" s="645" t="s">
        <v>1299</v>
      </c>
      <c r="D13" s="154">
        <v>2</v>
      </c>
      <c r="E13" s="154">
        <v>3</v>
      </c>
      <c r="F13" s="659">
        <f>+U13</f>
        <v>0.5</v>
      </c>
      <c r="G13" s="659">
        <f>+W13</f>
        <v>1.5</v>
      </c>
      <c r="H13" s="659">
        <f>+D13*E13</f>
        <v>6</v>
      </c>
      <c r="I13" s="659">
        <f>+ROUNDUP(H13*F13*$I$9,0)</f>
        <v>1</v>
      </c>
      <c r="J13" s="668">
        <f>VLOOKUP(C13,$B$5:$D$7,3,0)</f>
        <v>560</v>
      </c>
      <c r="K13" s="668">
        <f>+I13*J13</f>
        <v>560</v>
      </c>
      <c r="L13" s="156">
        <f t="shared" si="0"/>
        <v>840</v>
      </c>
      <c r="Q13" s="161" t="s">
        <v>1317</v>
      </c>
      <c r="R13" s="16">
        <v>60</v>
      </c>
      <c r="S13" s="16">
        <v>0.5</v>
      </c>
      <c r="T13" s="16">
        <f>+R13/S13</f>
        <v>120</v>
      </c>
      <c r="U13" s="16">
        <v>0.5</v>
      </c>
      <c r="V13" s="120">
        <f>+T13*U13</f>
        <v>60</v>
      </c>
      <c r="W13" s="16">
        <f>+V13/$X$11</f>
        <v>1.5</v>
      </c>
    </row>
    <row r="14" spans="2:25">
      <c r="B14" s="672" t="s">
        <v>507</v>
      </c>
      <c r="C14" s="645" t="s">
        <v>1299</v>
      </c>
      <c r="D14" s="154">
        <v>2</v>
      </c>
      <c r="E14" s="154">
        <v>3</v>
      </c>
      <c r="F14" s="659">
        <v>0.3</v>
      </c>
      <c r="G14" s="659">
        <f>+G13</f>
        <v>1.5</v>
      </c>
      <c r="H14" s="659">
        <f>+D14*E14</f>
        <v>6</v>
      </c>
      <c r="I14" s="659">
        <f>+ROUNDUP(H14*F14*$I$9,0)</f>
        <v>1</v>
      </c>
      <c r="J14" s="668">
        <f>VLOOKUP(C14,$B$5:$D$7,3,0)</f>
        <v>560</v>
      </c>
      <c r="K14" s="668">
        <f>+I14*J14</f>
        <v>560</v>
      </c>
      <c r="L14" s="156">
        <f>+K14*G14</f>
        <v>840</v>
      </c>
      <c r="S14" s="161"/>
      <c r="T14" s="119"/>
      <c r="W14" s="401"/>
    </row>
    <row r="15" spans="2:25">
      <c r="B15" s="672" t="s">
        <v>1318</v>
      </c>
      <c r="C15" s="645" t="s">
        <v>1299</v>
      </c>
      <c r="D15" s="154">
        <v>2</v>
      </c>
      <c r="E15" s="154">
        <v>3</v>
      </c>
      <c r="F15" s="659">
        <f>+U15</f>
        <v>1</v>
      </c>
      <c r="G15" s="659">
        <f>+W15</f>
        <v>1.5</v>
      </c>
      <c r="H15" s="659">
        <f>+D15*E15</f>
        <v>6</v>
      </c>
      <c r="I15" s="659">
        <f>+ROUNDUP(H15*F15*$I$9,0)</f>
        <v>2</v>
      </c>
      <c r="J15" s="668">
        <f>VLOOKUP(C15,$B$5:$D$7,3,0)</f>
        <v>560</v>
      </c>
      <c r="K15" s="668">
        <f>+I15*J15</f>
        <v>1120</v>
      </c>
      <c r="L15" s="156">
        <f t="shared" si="0"/>
        <v>1680</v>
      </c>
      <c r="Q15" s="161" t="s">
        <v>1318</v>
      </c>
      <c r="R15" s="119">
        <v>60</v>
      </c>
      <c r="S15" s="142">
        <v>1</v>
      </c>
      <c r="T15" s="119">
        <f>+R15/S15</f>
        <v>60</v>
      </c>
      <c r="U15" s="142">
        <v>1</v>
      </c>
      <c r="V15" s="142">
        <f>+T15*U15</f>
        <v>60</v>
      </c>
      <c r="W15" s="401">
        <f>+V15/$X$11</f>
        <v>1.5</v>
      </c>
    </row>
    <row r="16" spans="2:25">
      <c r="B16" s="157" t="s">
        <v>1319</v>
      </c>
      <c r="C16" s="169" t="s">
        <v>669</v>
      </c>
      <c r="D16" s="158"/>
      <c r="E16" s="158"/>
      <c r="F16" s="670"/>
      <c r="G16" s="670">
        <f>+AA17</f>
        <v>0.10067114093959732</v>
      </c>
      <c r="H16" s="157">
        <f>+D16*E16</f>
        <v>0</v>
      </c>
      <c r="I16" s="157">
        <v>1</v>
      </c>
      <c r="J16" s="159">
        <f>VLOOKUP(C16,$B$5:$D$7,3,0)</f>
        <v>26393.8</v>
      </c>
      <c r="K16" s="159">
        <f>+I16*J16</f>
        <v>26393.8</v>
      </c>
      <c r="L16" s="160">
        <f t="shared" si="0"/>
        <v>2657.0939597315437</v>
      </c>
      <c r="R16" s="648" t="s">
        <v>216</v>
      </c>
      <c r="S16" s="145" t="s">
        <v>215</v>
      </c>
      <c r="T16" s="145" t="s">
        <v>4</v>
      </c>
      <c r="U16" s="145" t="s">
        <v>1320</v>
      </c>
      <c r="V16" s="145" t="s">
        <v>66</v>
      </c>
      <c r="W16" s="454"/>
      <c r="X16" s="145" t="s">
        <v>59</v>
      </c>
      <c r="Y16" s="145" t="s">
        <v>1321</v>
      </c>
    </row>
    <row r="17" spans="2:27">
      <c r="B17" s="215" t="s">
        <v>1322</v>
      </c>
      <c r="C17" s="643" t="s">
        <v>1323</v>
      </c>
      <c r="D17" s="216"/>
      <c r="E17" s="222"/>
      <c r="F17" s="216"/>
      <c r="G17" s="216"/>
      <c r="H17" s="216"/>
      <c r="I17" s="216"/>
      <c r="J17" s="216"/>
      <c r="K17" s="216"/>
      <c r="L17" s="217"/>
      <c r="M17" s="98">
        <f>+SUM(L18:L24)</f>
        <v>207572.00752485893</v>
      </c>
      <c r="N17" s="163">
        <v>3.5</v>
      </c>
      <c r="O17" s="16">
        <f>+M17/N17</f>
        <v>59306.287864245409</v>
      </c>
      <c r="Q17" s="161" t="s">
        <v>1324</v>
      </c>
      <c r="R17" s="119">
        <v>20</v>
      </c>
      <c r="S17" s="16">
        <v>10</v>
      </c>
      <c r="T17" s="401">
        <f>+R17*S17</f>
        <v>200</v>
      </c>
      <c r="U17" s="142">
        <v>0.2</v>
      </c>
      <c r="V17" s="16">
        <f>+T17*U17</f>
        <v>40</v>
      </c>
      <c r="X17" s="401">
        <f>(R17*2)+(S17*2)</f>
        <v>60</v>
      </c>
      <c r="Y17" s="401">
        <f>+U17*X17</f>
        <v>12</v>
      </c>
      <c r="Z17" s="16">
        <f>+Y17/2.98</f>
        <v>4.026845637583893</v>
      </c>
      <c r="AA17" s="401">
        <f>+Z17/V17</f>
        <v>0.10067114093959732</v>
      </c>
    </row>
    <row r="18" spans="2:27">
      <c r="B18" s="167" t="s">
        <v>1325</v>
      </c>
      <c r="C18" s="645" t="s">
        <v>1299</v>
      </c>
      <c r="D18" s="168">
        <v>1</v>
      </c>
      <c r="E18" s="168">
        <v>4</v>
      </c>
      <c r="F18" s="167">
        <v>8</v>
      </c>
      <c r="G18" s="167">
        <v>2</v>
      </c>
      <c r="H18" s="167">
        <f t="shared" ref="H18:H24" si="1">+D18*E18</f>
        <v>4</v>
      </c>
      <c r="I18" s="153">
        <f t="shared" ref="I18:I23" si="2">+ROUNDUP(H18*F18*$I$9,0)</f>
        <v>9</v>
      </c>
      <c r="J18" s="155">
        <f t="shared" ref="J18:J24" si="3">VLOOKUP(C18,$B$5:$D$7,3,0)</f>
        <v>560</v>
      </c>
      <c r="K18" s="155">
        <f t="shared" ref="K18:K24" si="4">+I18*J18</f>
        <v>5040</v>
      </c>
      <c r="L18" s="156">
        <f t="shared" si="0"/>
        <v>10080</v>
      </c>
      <c r="Q18" s="142"/>
      <c r="R18" s="142"/>
      <c r="W18" s="142"/>
    </row>
    <row r="19" spans="2:27">
      <c r="B19" s="167" t="s">
        <v>1326</v>
      </c>
      <c r="C19" s="645" t="s">
        <v>1299</v>
      </c>
      <c r="D19" s="168">
        <v>1</v>
      </c>
      <c r="E19" s="168">
        <v>4</v>
      </c>
      <c r="F19" s="167">
        <v>1</v>
      </c>
      <c r="G19" s="167">
        <f>8/0.5*2</f>
        <v>32</v>
      </c>
      <c r="H19" s="153">
        <f>+D19*E19</f>
        <v>4</v>
      </c>
      <c r="I19" s="153">
        <f t="shared" si="2"/>
        <v>2</v>
      </c>
      <c r="J19" s="155">
        <f t="shared" si="3"/>
        <v>560</v>
      </c>
      <c r="K19" s="155">
        <f t="shared" si="4"/>
        <v>1120</v>
      </c>
      <c r="L19" s="156">
        <f>+K19*G19</f>
        <v>35840</v>
      </c>
      <c r="R19" s="648"/>
      <c r="S19" s="145"/>
      <c r="T19" s="145"/>
      <c r="U19" s="145"/>
      <c r="V19" s="145"/>
      <c r="W19" s="454"/>
    </row>
    <row r="20" spans="2:27">
      <c r="B20" s="167" t="s">
        <v>1327</v>
      </c>
      <c r="C20" s="645" t="s">
        <v>1299</v>
      </c>
      <c r="D20" s="168">
        <v>2</v>
      </c>
      <c r="E20" s="168">
        <v>4</v>
      </c>
      <c r="F20" s="167">
        <v>8</v>
      </c>
      <c r="G20" s="167">
        <v>1</v>
      </c>
      <c r="H20" s="153">
        <f>+D20*E20</f>
        <v>8</v>
      </c>
      <c r="I20" s="153">
        <f t="shared" si="2"/>
        <v>18</v>
      </c>
      <c r="J20" s="155">
        <f t="shared" si="3"/>
        <v>560</v>
      </c>
      <c r="K20" s="155">
        <f t="shared" si="4"/>
        <v>10080</v>
      </c>
      <c r="L20" s="156">
        <f>+K20*G20</f>
        <v>10080</v>
      </c>
      <c r="R20" s="648"/>
      <c r="S20" s="145"/>
      <c r="T20" s="145"/>
      <c r="U20" s="145"/>
      <c r="V20" s="145"/>
      <c r="W20" s="454"/>
    </row>
    <row r="21" spans="2:27">
      <c r="B21" s="167" t="s">
        <v>1316</v>
      </c>
      <c r="C21" s="645" t="s">
        <v>1299</v>
      </c>
      <c r="D21" s="168">
        <v>2</v>
      </c>
      <c r="E21" s="168">
        <v>4</v>
      </c>
      <c r="F21" s="167">
        <v>0.5</v>
      </c>
      <c r="G21" s="167">
        <f>8/0.5*2</f>
        <v>32</v>
      </c>
      <c r="H21" s="153">
        <f t="shared" si="1"/>
        <v>8</v>
      </c>
      <c r="I21" s="153">
        <f t="shared" si="2"/>
        <v>2</v>
      </c>
      <c r="J21" s="155">
        <f t="shared" si="3"/>
        <v>560</v>
      </c>
      <c r="K21" s="155">
        <f t="shared" si="4"/>
        <v>1120</v>
      </c>
      <c r="L21" s="156">
        <f>+K21*G21</f>
        <v>35840</v>
      </c>
      <c r="R21" s="648"/>
      <c r="S21" s="145"/>
      <c r="T21" s="145"/>
      <c r="U21" s="145"/>
      <c r="V21" s="145"/>
      <c r="W21" s="454"/>
    </row>
    <row r="22" spans="2:27">
      <c r="B22" s="167" t="s">
        <v>1317</v>
      </c>
      <c r="C22" s="645" t="s">
        <v>1299</v>
      </c>
      <c r="D22" s="168">
        <v>3</v>
      </c>
      <c r="E22" s="168">
        <v>3</v>
      </c>
      <c r="F22" s="167">
        <v>0.5</v>
      </c>
      <c r="G22" s="167">
        <f>8/0.5*2</f>
        <v>32</v>
      </c>
      <c r="H22" s="153">
        <f t="shared" si="1"/>
        <v>9</v>
      </c>
      <c r="I22" s="153">
        <f t="shared" si="2"/>
        <v>2</v>
      </c>
      <c r="J22" s="155">
        <f t="shared" si="3"/>
        <v>560</v>
      </c>
      <c r="K22" s="155">
        <f t="shared" si="4"/>
        <v>1120</v>
      </c>
      <c r="L22" s="156">
        <f>+K22*G22</f>
        <v>35840</v>
      </c>
      <c r="R22" s="648"/>
      <c r="S22" s="145"/>
      <c r="T22" s="145"/>
      <c r="U22" s="145">
        <v>1</v>
      </c>
      <c r="V22" s="145" t="s">
        <v>66</v>
      </c>
      <c r="W22" s="454"/>
    </row>
    <row r="23" spans="2:27">
      <c r="B23" s="167" t="s">
        <v>1328</v>
      </c>
      <c r="C23" s="645" t="s">
        <v>1299</v>
      </c>
      <c r="D23" s="168">
        <v>1</v>
      </c>
      <c r="E23" s="168">
        <v>2</v>
      </c>
      <c r="F23" s="167">
        <v>0.4</v>
      </c>
      <c r="G23" s="167">
        <f>ROUND(8/0.5,0)</f>
        <v>16</v>
      </c>
      <c r="H23" s="153">
        <f t="shared" si="1"/>
        <v>2</v>
      </c>
      <c r="I23" s="153">
        <f t="shared" si="2"/>
        <v>1</v>
      </c>
      <c r="J23" s="155">
        <f t="shared" si="3"/>
        <v>560</v>
      </c>
      <c r="K23" s="155">
        <f t="shared" si="4"/>
        <v>560</v>
      </c>
      <c r="L23" s="156">
        <f>+K23*G23</f>
        <v>8960</v>
      </c>
      <c r="R23" s="648" t="s">
        <v>471</v>
      </c>
      <c r="S23" s="145" t="s">
        <v>218</v>
      </c>
      <c r="T23" s="145" t="s">
        <v>4</v>
      </c>
      <c r="U23" s="145" t="s">
        <v>1329</v>
      </c>
      <c r="V23" s="145"/>
      <c r="W23" s="454"/>
    </row>
    <row r="24" spans="2:27">
      <c r="B24" s="157" t="s">
        <v>1319</v>
      </c>
      <c r="C24" s="169" t="s">
        <v>669</v>
      </c>
      <c r="D24" s="158"/>
      <c r="E24" s="158"/>
      <c r="F24" s="157"/>
      <c r="G24" s="157">
        <f>+U24*2*S24/(1.22*2.44)</f>
        <v>2.6874496103198067</v>
      </c>
      <c r="H24" s="157">
        <f t="shared" si="1"/>
        <v>0</v>
      </c>
      <c r="I24" s="157">
        <v>1</v>
      </c>
      <c r="J24" s="159">
        <f t="shared" si="3"/>
        <v>26393.8</v>
      </c>
      <c r="K24" s="159">
        <f t="shared" si="4"/>
        <v>26393.8</v>
      </c>
      <c r="L24" s="160">
        <f t="shared" si="0"/>
        <v>70932.007524858913</v>
      </c>
      <c r="Q24" s="649" t="s">
        <v>1330</v>
      </c>
      <c r="R24" s="119">
        <v>0.25</v>
      </c>
      <c r="S24" s="142">
        <v>0.5</v>
      </c>
      <c r="T24" s="142">
        <f>+R24*S24</f>
        <v>0.125</v>
      </c>
      <c r="U24" s="16">
        <f>+U22/T24</f>
        <v>8</v>
      </c>
    </row>
    <row r="25" spans="2:27">
      <c r="B25" s="656" t="s">
        <v>1331</v>
      </c>
      <c r="C25" s="651" t="s">
        <v>1332</v>
      </c>
      <c r="D25" s="652"/>
      <c r="E25" s="222"/>
      <c r="F25" s="652"/>
      <c r="G25" s="652"/>
      <c r="H25" s="652"/>
      <c r="I25" s="652"/>
      <c r="J25" s="652"/>
      <c r="K25" s="652"/>
      <c r="L25" s="657"/>
      <c r="M25" s="579">
        <f>+SUM(L26:L30)</f>
        <v>222351.67785234901</v>
      </c>
      <c r="N25" s="163">
        <v>3.5</v>
      </c>
      <c r="O25" s="578">
        <f>+M25/N25</f>
        <v>63529.050814956856</v>
      </c>
      <c r="Q25" s="650"/>
      <c r="R25" s="142"/>
    </row>
    <row r="26" spans="2:27">
      <c r="B26" s="644" t="s">
        <v>1333</v>
      </c>
      <c r="C26" s="653" t="s">
        <v>1299</v>
      </c>
      <c r="D26" s="165">
        <v>2</v>
      </c>
      <c r="E26" s="165">
        <v>3</v>
      </c>
      <c r="F26" s="644">
        <v>3</v>
      </c>
      <c r="G26" s="644">
        <f>4*4</f>
        <v>16</v>
      </c>
      <c r="H26" s="644">
        <f>+D26*E26</f>
        <v>6</v>
      </c>
      <c r="I26" s="644">
        <f>+ROUNDUP(H26*F26*$I$9,0)</f>
        <v>5</v>
      </c>
      <c r="J26" s="654"/>
      <c r="K26" s="654">
        <f>+I26*J26</f>
        <v>0</v>
      </c>
      <c r="L26" s="655">
        <f>+K26*G26</f>
        <v>0</v>
      </c>
      <c r="Q26" s="650"/>
      <c r="R26" s="142"/>
    </row>
    <row r="27" spans="2:27">
      <c r="B27" s="153" t="s">
        <v>1334</v>
      </c>
      <c r="C27" s="645" t="s">
        <v>1299</v>
      </c>
      <c r="D27" s="154">
        <v>3</v>
      </c>
      <c r="E27" s="154">
        <v>3</v>
      </c>
      <c r="F27" s="153">
        <v>0.5</v>
      </c>
      <c r="G27" s="153">
        <f>4*4</f>
        <v>16</v>
      </c>
      <c r="H27" s="153">
        <f>+D27*E27</f>
        <v>9</v>
      </c>
      <c r="I27" s="153">
        <f>+ROUNDUP(H27*F27*$I$9,0)</f>
        <v>2</v>
      </c>
      <c r="J27" s="155">
        <f>VLOOKUP(C27,$B$5:$D$7,3,0)</f>
        <v>560</v>
      </c>
      <c r="K27" s="155">
        <f>+I27*J27</f>
        <v>1120</v>
      </c>
      <c r="L27" s="156">
        <f>+K27*G27</f>
        <v>17920</v>
      </c>
      <c r="Q27" s="649"/>
      <c r="U27" s="142">
        <v>1</v>
      </c>
    </row>
    <row r="28" spans="2:27">
      <c r="B28" s="153" t="s">
        <v>1335</v>
      </c>
      <c r="C28" s="645" t="s">
        <v>1299</v>
      </c>
      <c r="D28" s="154">
        <v>2</v>
      </c>
      <c r="E28" s="154">
        <v>4</v>
      </c>
      <c r="F28" s="153">
        <v>0.3</v>
      </c>
      <c r="G28" s="153">
        <f>ROUND(2.6*4/0.75,0)*2</f>
        <v>28</v>
      </c>
      <c r="H28" s="153">
        <f>+D28*E28</f>
        <v>8</v>
      </c>
      <c r="I28" s="153">
        <f>+ROUNDUP(H28*F28*$I$9,0)</f>
        <v>1</v>
      </c>
      <c r="J28" s="155">
        <f>VLOOKUP(C28,$B$5:$D$7,3,0)</f>
        <v>560</v>
      </c>
      <c r="K28" s="155">
        <f>+I28*J28</f>
        <v>560</v>
      </c>
      <c r="L28" s="156">
        <f>+K28*G28</f>
        <v>15680</v>
      </c>
      <c r="Q28" s="649"/>
    </row>
    <row r="29" spans="2:27">
      <c r="B29" s="153" t="s">
        <v>1336</v>
      </c>
      <c r="C29" s="645" t="s">
        <v>1299</v>
      </c>
      <c r="D29" s="154">
        <v>2</v>
      </c>
      <c r="E29" s="154">
        <v>4</v>
      </c>
      <c r="F29" s="153">
        <v>1</v>
      </c>
      <c r="G29" s="153">
        <f>ROUND(2.6*4/0.75,0)*2</f>
        <v>28</v>
      </c>
      <c r="H29" s="153">
        <f>+D29*E29</f>
        <v>8</v>
      </c>
      <c r="I29" s="153">
        <f>+ROUNDUP(H29*F29*$I$9,0)</f>
        <v>3</v>
      </c>
      <c r="J29" s="155">
        <f>VLOOKUP(C29,$B$5:$D$7,3,0)</f>
        <v>560</v>
      </c>
      <c r="K29" s="155">
        <f>+I29*J29</f>
        <v>1680</v>
      </c>
      <c r="L29" s="156">
        <f>+K29*G29</f>
        <v>47040</v>
      </c>
      <c r="Q29" s="649"/>
      <c r="R29" s="648" t="s">
        <v>471</v>
      </c>
      <c r="S29" s="145" t="s">
        <v>218</v>
      </c>
      <c r="T29" s="145" t="s">
        <v>4</v>
      </c>
      <c r="U29" s="145" t="s">
        <v>1329</v>
      </c>
      <c r="V29" s="142" t="s">
        <v>1337</v>
      </c>
      <c r="Y29" s="142" t="s">
        <v>1321</v>
      </c>
    </row>
    <row r="30" spans="2:27">
      <c r="B30" s="157" t="s">
        <v>1319</v>
      </c>
      <c r="C30" s="169" t="s">
        <v>669</v>
      </c>
      <c r="D30" s="158"/>
      <c r="E30" s="158"/>
      <c r="F30" s="157"/>
      <c r="G30" s="157">
        <f>+Y30</f>
        <v>5.3691275167785237</v>
      </c>
      <c r="H30" s="157">
        <f>+D30*E30</f>
        <v>0</v>
      </c>
      <c r="I30" s="157">
        <v>1</v>
      </c>
      <c r="J30" s="155">
        <f>VLOOKUP(C30,$B$5:$D$7,3,0)</f>
        <v>26393.8</v>
      </c>
      <c r="K30" s="166">
        <f>+D6</f>
        <v>26393.8</v>
      </c>
      <c r="L30" s="160">
        <f>+K30*G30</f>
        <v>141711.67785234901</v>
      </c>
      <c r="Q30" s="649" t="s">
        <v>1330</v>
      </c>
      <c r="R30" s="119">
        <v>0.15</v>
      </c>
      <c r="S30" s="142">
        <v>0.75</v>
      </c>
      <c r="T30" s="142">
        <f>+R30*S30</f>
        <v>0.11249999999999999</v>
      </c>
      <c r="U30" s="16">
        <f>+U27/T30</f>
        <v>8.8888888888888893</v>
      </c>
      <c r="V30" s="142">
        <v>2.6</v>
      </c>
      <c r="W30" s="16">
        <f>+U30/V30</f>
        <v>3.4188034188034186</v>
      </c>
      <c r="Y30" s="401">
        <f>((R30*U30*2)+(S30*U30*2))/2.98</f>
        <v>5.3691275167785237</v>
      </c>
    </row>
    <row r="31" spans="2:27">
      <c r="B31" s="656" t="s">
        <v>1338</v>
      </c>
      <c r="C31" s="651" t="s">
        <v>1332</v>
      </c>
      <c r="D31" s="652"/>
      <c r="E31" s="222"/>
      <c r="F31" s="652"/>
      <c r="G31" s="652"/>
      <c r="H31" s="652"/>
      <c r="I31" s="652"/>
      <c r="J31" s="652"/>
      <c r="K31" s="652"/>
      <c r="L31" s="657"/>
      <c r="M31" s="579">
        <f>+SUM(L32:L36)</f>
        <v>354625.24599256756</v>
      </c>
      <c r="N31" s="163">
        <v>5</v>
      </c>
      <c r="O31" s="578">
        <f>+M31/N31</f>
        <v>70925.049198513516</v>
      </c>
    </row>
    <row r="32" spans="2:27">
      <c r="B32" s="644" t="s">
        <v>1333</v>
      </c>
      <c r="C32" s="653" t="s">
        <v>1299</v>
      </c>
      <c r="D32" s="165">
        <v>2</v>
      </c>
      <c r="E32" s="165">
        <v>3</v>
      </c>
      <c r="F32" s="644">
        <v>3</v>
      </c>
      <c r="G32" s="644">
        <f>4*4</f>
        <v>16</v>
      </c>
      <c r="H32" s="644">
        <f>+D32*E32</f>
        <v>6</v>
      </c>
      <c r="I32" s="644">
        <f>+ROUNDUP(H32*F32*$I$9,0)</f>
        <v>5</v>
      </c>
      <c r="J32" s="654"/>
      <c r="K32" s="654">
        <f>+I32*J32</f>
        <v>0</v>
      </c>
      <c r="L32" s="655">
        <f>+K32*G32</f>
        <v>0</v>
      </c>
    </row>
    <row r="33" spans="2:25">
      <c r="B33" s="153" t="s">
        <v>1334</v>
      </c>
      <c r="C33" s="645" t="s">
        <v>1299</v>
      </c>
      <c r="D33" s="154">
        <v>3</v>
      </c>
      <c r="E33" s="154">
        <v>3</v>
      </c>
      <c r="F33" s="153">
        <v>0.5</v>
      </c>
      <c r="G33" s="153">
        <f>4*4</f>
        <v>16</v>
      </c>
      <c r="H33" s="153">
        <f>+D33*E33</f>
        <v>9</v>
      </c>
      <c r="I33" s="153">
        <f>+ROUNDUP(H33*F33*$I$9,0)</f>
        <v>2</v>
      </c>
      <c r="J33" s="155">
        <f t="shared" ref="J33:J47" si="5">VLOOKUP(C33,$B$5:$D$7,3,0)</f>
        <v>560</v>
      </c>
      <c r="K33" s="155">
        <f>+I33*J33</f>
        <v>1120</v>
      </c>
      <c r="L33" s="156">
        <f>+K33*G33</f>
        <v>17920</v>
      </c>
    </row>
    <row r="34" spans="2:25">
      <c r="B34" s="153" t="s">
        <v>1335</v>
      </c>
      <c r="C34" s="645" t="s">
        <v>1299</v>
      </c>
      <c r="D34" s="154">
        <v>2</v>
      </c>
      <c r="E34" s="154">
        <v>4</v>
      </c>
      <c r="F34" s="153">
        <v>0.3</v>
      </c>
      <c r="G34" s="153">
        <f>ROUND(2.6*4/0.75,0)*2</f>
        <v>28</v>
      </c>
      <c r="H34" s="153">
        <f>+D34*E34</f>
        <v>8</v>
      </c>
      <c r="I34" s="153">
        <f>+ROUNDUP(H34*F34*$I$9,0)</f>
        <v>1</v>
      </c>
      <c r="J34" s="155">
        <f t="shared" si="5"/>
        <v>560</v>
      </c>
      <c r="K34" s="155">
        <f>+I34*J34</f>
        <v>560</v>
      </c>
      <c r="L34" s="156">
        <f>+K34*G34</f>
        <v>15680</v>
      </c>
    </row>
    <row r="35" spans="2:25">
      <c r="B35" s="153" t="s">
        <v>1336</v>
      </c>
      <c r="C35" s="645" t="s">
        <v>1299</v>
      </c>
      <c r="D35" s="154">
        <v>2</v>
      </c>
      <c r="E35" s="154">
        <v>4</v>
      </c>
      <c r="F35" s="153">
        <v>1</v>
      </c>
      <c r="G35" s="153">
        <f>ROUND(2.6*4/0.75,0)*2</f>
        <v>28</v>
      </c>
      <c r="H35" s="153">
        <f>+D35*E35</f>
        <v>8</v>
      </c>
      <c r="I35" s="153">
        <f>+ROUNDUP(H35*F35*$I$9,0)</f>
        <v>3</v>
      </c>
      <c r="J35" s="155">
        <f t="shared" si="5"/>
        <v>560</v>
      </c>
      <c r="K35" s="155">
        <f>+I35*J35</f>
        <v>1680</v>
      </c>
      <c r="L35" s="156">
        <f>+K35*G35</f>
        <v>47040</v>
      </c>
    </row>
    <row r="36" spans="2:25">
      <c r="B36" s="157" t="s">
        <v>1319</v>
      </c>
      <c r="C36" s="142" t="s">
        <v>672</v>
      </c>
      <c r="D36" s="158"/>
      <c r="E36" s="158"/>
      <c r="F36" s="157"/>
      <c r="G36" s="157">
        <f>+Y30</f>
        <v>5.3691275167785237</v>
      </c>
      <c r="H36" s="157">
        <f>+D36*E36</f>
        <v>0</v>
      </c>
      <c r="I36" s="157">
        <v>1</v>
      </c>
      <c r="J36" s="155">
        <f t="shared" si="5"/>
        <v>51029.752066115703</v>
      </c>
      <c r="K36" s="155">
        <f>+I36*J36</f>
        <v>51029.752066115703</v>
      </c>
      <c r="L36" s="160">
        <f>+K36*G36</f>
        <v>273985.24599256756</v>
      </c>
      <c r="O36" s="641"/>
      <c r="S36" s="162"/>
      <c r="T36" s="162"/>
      <c r="U36" s="142">
        <v>1</v>
      </c>
    </row>
    <row r="37" spans="2:25">
      <c r="B37" s="656" t="s">
        <v>1339</v>
      </c>
      <c r="C37" s="651" t="s">
        <v>1340</v>
      </c>
      <c r="D37" s="216"/>
      <c r="E37" s="222"/>
      <c r="F37" s="832"/>
      <c r="G37" s="216"/>
      <c r="H37" s="216"/>
      <c r="I37" s="216"/>
      <c r="J37" s="216"/>
      <c r="K37" s="216"/>
      <c r="L37" s="217"/>
      <c r="M37" s="579">
        <f>+SUM(L38:L47)</f>
        <v>263812.09999999998</v>
      </c>
      <c r="N37" s="163">
        <v>3.5</v>
      </c>
      <c r="O37" s="578">
        <f>+M37/N37</f>
        <v>75374.885714285701</v>
      </c>
      <c r="P37" s="164"/>
      <c r="Q37" s="164"/>
      <c r="R37" s="648" t="s">
        <v>471</v>
      </c>
      <c r="S37" s="658" t="s">
        <v>218</v>
      </c>
      <c r="T37" s="145" t="s">
        <v>4</v>
      </c>
      <c r="U37" s="145" t="s">
        <v>1329</v>
      </c>
      <c r="V37" s="145" t="s">
        <v>1337</v>
      </c>
      <c r="Y37" s="142" t="s">
        <v>1341</v>
      </c>
    </row>
    <row r="38" spans="2:25">
      <c r="B38" s="153" t="s">
        <v>1316</v>
      </c>
      <c r="C38" s="645" t="s">
        <v>1299</v>
      </c>
      <c r="D38" s="154">
        <v>2</v>
      </c>
      <c r="E38" s="154">
        <v>4</v>
      </c>
      <c r="F38" s="153">
        <v>2.6</v>
      </c>
      <c r="G38" s="153">
        <f>ROUND(2.5/0.8*2,0)</f>
        <v>6</v>
      </c>
      <c r="H38" s="153">
        <f t="shared" ref="H38:H47" si="6">+D38*E38</f>
        <v>8</v>
      </c>
      <c r="I38" s="153">
        <f t="shared" ref="I38:I46" si="7">+ROUNDUP(H38*F38*$I$9,0)</f>
        <v>6</v>
      </c>
      <c r="J38" s="155">
        <f t="shared" si="5"/>
        <v>560</v>
      </c>
      <c r="K38" s="155">
        <f t="shared" ref="K38:K43" si="8">+I38*J38</f>
        <v>3360</v>
      </c>
      <c r="L38" s="156">
        <f t="shared" ref="L38:L45" si="9">+K38*G38</f>
        <v>20160</v>
      </c>
      <c r="Q38" s="161" t="s">
        <v>1342</v>
      </c>
      <c r="R38" s="119">
        <v>0.15</v>
      </c>
      <c r="S38" s="162">
        <v>2.6</v>
      </c>
      <c r="T38" s="142">
        <f>+R38*S38</f>
        <v>0.39</v>
      </c>
      <c r="U38" s="16">
        <f>+U36/T38</f>
        <v>2.5641025641025639</v>
      </c>
      <c r="V38" s="142">
        <v>2.6</v>
      </c>
      <c r="W38" s="16">
        <f>+U38/V38</f>
        <v>0.98619329388560151</v>
      </c>
      <c r="Y38" s="16">
        <f>+U38*S38*2/2.98</f>
        <v>4.4742729306487696</v>
      </c>
    </row>
    <row r="39" spans="2:25">
      <c r="B39" s="153" t="s">
        <v>1328</v>
      </c>
      <c r="C39" s="645" t="s">
        <v>1299</v>
      </c>
      <c r="D39" s="154">
        <v>2</v>
      </c>
      <c r="E39" s="154">
        <v>3</v>
      </c>
      <c r="F39" s="153">
        <v>0.3</v>
      </c>
      <c r="G39" s="153">
        <f>+G38/2</f>
        <v>3</v>
      </c>
      <c r="H39" s="153">
        <f t="shared" si="6"/>
        <v>6</v>
      </c>
      <c r="I39" s="153">
        <f t="shared" si="7"/>
        <v>1</v>
      </c>
      <c r="J39" s="155">
        <f t="shared" si="5"/>
        <v>560</v>
      </c>
      <c r="K39" s="155">
        <f t="shared" si="8"/>
        <v>560</v>
      </c>
      <c r="L39" s="156">
        <f t="shared" si="9"/>
        <v>1680</v>
      </c>
      <c r="S39" s="162"/>
    </row>
    <row r="40" spans="2:25">
      <c r="B40" s="153" t="s">
        <v>1343</v>
      </c>
      <c r="C40" s="645" t="s">
        <v>1299</v>
      </c>
      <c r="D40" s="154">
        <v>2</v>
      </c>
      <c r="E40" s="154">
        <v>4</v>
      </c>
      <c r="F40" s="153">
        <v>2.5</v>
      </c>
      <c r="G40" s="659">
        <f>2*2</f>
        <v>4</v>
      </c>
      <c r="H40" s="153">
        <f t="shared" si="6"/>
        <v>8</v>
      </c>
      <c r="I40" s="153">
        <f t="shared" si="7"/>
        <v>6</v>
      </c>
      <c r="J40" s="155">
        <f t="shared" si="5"/>
        <v>560</v>
      </c>
      <c r="K40" s="155">
        <f t="shared" si="8"/>
        <v>3360</v>
      </c>
      <c r="L40" s="156">
        <f t="shared" si="9"/>
        <v>13440</v>
      </c>
      <c r="S40" s="162"/>
    </row>
    <row r="41" spans="2:25">
      <c r="B41" s="659" t="s">
        <v>1344</v>
      </c>
      <c r="C41" s="661" t="s">
        <v>1299</v>
      </c>
      <c r="D41" s="662">
        <v>2</v>
      </c>
      <c r="E41" s="662">
        <v>4</v>
      </c>
      <c r="F41" s="153">
        <v>0.5</v>
      </c>
      <c r="G41" s="153">
        <v>12</v>
      </c>
      <c r="H41" s="153">
        <f t="shared" si="6"/>
        <v>8</v>
      </c>
      <c r="I41" s="153">
        <f t="shared" si="7"/>
        <v>2</v>
      </c>
      <c r="J41" s="155">
        <f t="shared" si="5"/>
        <v>560</v>
      </c>
      <c r="K41" s="155">
        <f t="shared" si="8"/>
        <v>1120</v>
      </c>
      <c r="L41" s="156">
        <f t="shared" si="9"/>
        <v>13440</v>
      </c>
      <c r="S41" s="162"/>
    </row>
    <row r="42" spans="2:25">
      <c r="B42" s="659" t="s">
        <v>1345</v>
      </c>
      <c r="C42" s="661" t="s">
        <v>1299</v>
      </c>
      <c r="D42" s="662">
        <v>2</v>
      </c>
      <c r="E42" s="662">
        <v>4</v>
      </c>
      <c r="F42" s="153">
        <v>1</v>
      </c>
      <c r="G42" s="153">
        <v>6</v>
      </c>
      <c r="H42" s="153">
        <f t="shared" si="6"/>
        <v>8</v>
      </c>
      <c r="I42" s="153">
        <f t="shared" si="7"/>
        <v>3</v>
      </c>
      <c r="J42" s="155">
        <f t="shared" si="5"/>
        <v>560</v>
      </c>
      <c r="K42" s="155">
        <f t="shared" si="8"/>
        <v>1680</v>
      </c>
      <c r="L42" s="156">
        <f t="shared" si="9"/>
        <v>10080</v>
      </c>
      <c r="S42" s="162"/>
    </row>
    <row r="43" spans="2:25">
      <c r="B43" s="153" t="s">
        <v>1346</v>
      </c>
      <c r="C43" s="645" t="s">
        <v>1299</v>
      </c>
      <c r="D43" s="154">
        <v>2</v>
      </c>
      <c r="E43" s="154">
        <v>4</v>
      </c>
      <c r="F43" s="153">
        <v>4</v>
      </c>
      <c r="G43" s="153">
        <f>+G38</f>
        <v>6</v>
      </c>
      <c r="H43" s="153">
        <f t="shared" si="6"/>
        <v>8</v>
      </c>
      <c r="I43" s="153">
        <f t="shared" si="7"/>
        <v>9</v>
      </c>
      <c r="J43" s="155">
        <f t="shared" si="5"/>
        <v>560</v>
      </c>
      <c r="K43" s="155">
        <f t="shared" si="8"/>
        <v>5040</v>
      </c>
      <c r="L43" s="156">
        <f t="shared" si="9"/>
        <v>30240</v>
      </c>
      <c r="S43" s="162"/>
    </row>
    <row r="44" spans="2:25">
      <c r="B44" s="153" t="s">
        <v>1347</v>
      </c>
      <c r="C44" s="645" t="s">
        <v>1299</v>
      </c>
      <c r="D44" s="154">
        <v>2</v>
      </c>
      <c r="E44" s="154">
        <v>4</v>
      </c>
      <c r="F44" s="153">
        <v>3</v>
      </c>
      <c r="G44" s="153">
        <f>+G38</f>
        <v>6</v>
      </c>
      <c r="H44" s="153">
        <f>+D44*E44</f>
        <v>8</v>
      </c>
      <c r="I44" s="153">
        <f>+ROUNDUP(H44*F44*$I$9,0)</f>
        <v>7</v>
      </c>
      <c r="J44" s="155">
        <f>VLOOKUP(C44,$B$5:$D$7,3,0)</f>
        <v>560</v>
      </c>
      <c r="K44" s="155">
        <f>+I44*J44</f>
        <v>3920</v>
      </c>
      <c r="L44" s="156">
        <f>+K44*G44</f>
        <v>23520</v>
      </c>
      <c r="S44" s="162"/>
    </row>
    <row r="45" spans="2:25">
      <c r="B45" s="153" t="s">
        <v>1327</v>
      </c>
      <c r="C45" s="645" t="s">
        <v>1299</v>
      </c>
      <c r="D45" s="154">
        <v>3</v>
      </c>
      <c r="E45" s="154">
        <v>3</v>
      </c>
      <c r="F45" s="153">
        <v>2.5</v>
      </c>
      <c r="G45" s="153">
        <v>4</v>
      </c>
      <c r="H45" s="153">
        <f t="shared" si="6"/>
        <v>9</v>
      </c>
      <c r="I45" s="153">
        <f t="shared" si="7"/>
        <v>7</v>
      </c>
      <c r="J45" s="155">
        <f t="shared" si="5"/>
        <v>560</v>
      </c>
      <c r="K45" s="155">
        <f>+I45*J45</f>
        <v>3920</v>
      </c>
      <c r="L45" s="156">
        <f t="shared" si="9"/>
        <v>15680</v>
      </c>
      <c r="S45" s="162"/>
    </row>
    <row r="46" spans="2:25">
      <c r="B46" s="167" t="s">
        <v>1210</v>
      </c>
      <c r="C46" s="645" t="s">
        <v>1299</v>
      </c>
      <c r="D46" s="168">
        <v>2</v>
      </c>
      <c r="E46" s="168">
        <v>4</v>
      </c>
      <c r="F46" s="167">
        <v>2</v>
      </c>
      <c r="G46" s="167">
        <f>+G38</f>
        <v>6</v>
      </c>
      <c r="H46" s="167">
        <f t="shared" si="6"/>
        <v>8</v>
      </c>
      <c r="I46" s="167">
        <f t="shared" si="7"/>
        <v>5</v>
      </c>
      <c r="J46" s="155">
        <f>VLOOKUP(C46,$B$5:$D$7,3,0)</f>
        <v>560</v>
      </c>
      <c r="K46" s="155">
        <f>+I46*J46</f>
        <v>2800</v>
      </c>
      <c r="L46" s="156">
        <f>+K46*G46</f>
        <v>16800</v>
      </c>
      <c r="S46" s="162"/>
    </row>
    <row r="47" spans="2:25">
      <c r="B47" s="157" t="s">
        <v>1319</v>
      </c>
      <c r="C47" s="169" t="s">
        <v>669</v>
      </c>
      <c r="D47" s="158"/>
      <c r="E47" s="158"/>
      <c r="F47" s="157"/>
      <c r="G47" s="157">
        <v>4.5</v>
      </c>
      <c r="H47" s="157">
        <f t="shared" si="6"/>
        <v>0</v>
      </c>
      <c r="I47" s="157">
        <v>1</v>
      </c>
      <c r="J47" s="155">
        <f t="shared" si="5"/>
        <v>26393.8</v>
      </c>
      <c r="K47" s="155">
        <f>+I47*J47</f>
        <v>26393.8</v>
      </c>
      <c r="L47" s="156">
        <f>+K47*G47</f>
        <v>118772.09999999999</v>
      </c>
      <c r="S47" s="162"/>
      <c r="T47" s="162"/>
    </row>
    <row r="48" spans="2:25">
      <c r="B48" s="656" t="s">
        <v>1348</v>
      </c>
      <c r="C48" s="651" t="s">
        <v>1340</v>
      </c>
      <c r="D48" s="216"/>
      <c r="E48" s="222"/>
      <c r="F48" s="832"/>
      <c r="G48" s="216"/>
      <c r="H48" s="216"/>
      <c r="I48" s="216"/>
      <c r="J48" s="216"/>
      <c r="K48" s="216"/>
      <c r="L48" s="217"/>
      <c r="M48" s="579">
        <f>+SUM(L49:L58)</f>
        <v>320913.88429752068</v>
      </c>
      <c r="N48" s="163">
        <v>5</v>
      </c>
      <c r="O48" s="578">
        <f>+M48/N48</f>
        <v>64182.776859504134</v>
      </c>
      <c r="P48" s="164"/>
      <c r="Q48" s="164"/>
      <c r="S48" s="162"/>
    </row>
    <row r="49" spans="2:25">
      <c r="B49" s="153" t="s">
        <v>1349</v>
      </c>
      <c r="C49" s="645" t="s">
        <v>1299</v>
      </c>
      <c r="D49" s="154">
        <v>2</v>
      </c>
      <c r="E49" s="154">
        <v>4</v>
      </c>
      <c r="F49" s="153">
        <v>2.6</v>
      </c>
      <c r="G49" s="153">
        <f>ROUND(2.5/0.8*2,0)</f>
        <v>6</v>
      </c>
      <c r="H49" s="153">
        <f t="shared" ref="H49:H58" si="10">+D49*E49</f>
        <v>8</v>
      </c>
      <c r="I49" s="153">
        <f t="shared" ref="I49:I57" si="11">+ROUNDUP(H49*F49*$I$9,0)</f>
        <v>6</v>
      </c>
      <c r="J49" s="155">
        <f t="shared" ref="J49:J66" si="12">VLOOKUP(C49,$B$5:$D$7,3,0)</f>
        <v>560</v>
      </c>
      <c r="K49" s="155">
        <f t="shared" ref="K49:K58" si="13">+I49*J49</f>
        <v>3360</v>
      </c>
      <c r="L49" s="156">
        <f t="shared" ref="L49:L58" si="14">+K49*G49</f>
        <v>20160</v>
      </c>
      <c r="S49" s="162"/>
    </row>
    <row r="50" spans="2:25">
      <c r="B50" s="153" t="s">
        <v>1328</v>
      </c>
      <c r="C50" s="645" t="s">
        <v>1299</v>
      </c>
      <c r="D50" s="154">
        <v>2</v>
      </c>
      <c r="E50" s="154">
        <v>3</v>
      </c>
      <c r="F50" s="153">
        <v>0.3</v>
      </c>
      <c r="G50" s="153">
        <f>+G49/2</f>
        <v>3</v>
      </c>
      <c r="H50" s="153">
        <f t="shared" si="10"/>
        <v>6</v>
      </c>
      <c r="I50" s="153">
        <f t="shared" si="11"/>
        <v>1</v>
      </c>
      <c r="J50" s="155">
        <f t="shared" si="12"/>
        <v>560</v>
      </c>
      <c r="K50" s="155">
        <f t="shared" si="13"/>
        <v>560</v>
      </c>
      <c r="L50" s="156">
        <f t="shared" si="14"/>
        <v>1680</v>
      </c>
      <c r="S50" s="162"/>
    </row>
    <row r="51" spans="2:25">
      <c r="B51" s="153" t="s">
        <v>1350</v>
      </c>
      <c r="C51" s="645" t="s">
        <v>1299</v>
      </c>
      <c r="D51" s="154">
        <v>2</v>
      </c>
      <c r="E51" s="154">
        <v>4</v>
      </c>
      <c r="F51" s="153">
        <v>2.5</v>
      </c>
      <c r="G51" s="659">
        <f>2*2</f>
        <v>4</v>
      </c>
      <c r="H51" s="153">
        <f t="shared" si="10"/>
        <v>8</v>
      </c>
      <c r="I51" s="153">
        <f t="shared" si="11"/>
        <v>6</v>
      </c>
      <c r="J51" s="155">
        <f t="shared" si="12"/>
        <v>560</v>
      </c>
      <c r="K51" s="155">
        <f t="shared" si="13"/>
        <v>3360</v>
      </c>
      <c r="L51" s="156">
        <f t="shared" si="14"/>
        <v>13440</v>
      </c>
      <c r="S51" s="162"/>
    </row>
    <row r="52" spans="2:25">
      <c r="B52" s="659" t="s">
        <v>1344</v>
      </c>
      <c r="C52" s="661" t="s">
        <v>1299</v>
      </c>
      <c r="D52" s="662">
        <v>2</v>
      </c>
      <c r="E52" s="662">
        <v>4</v>
      </c>
      <c r="F52" s="153">
        <v>0.5</v>
      </c>
      <c r="G52" s="153">
        <v>12</v>
      </c>
      <c r="H52" s="153">
        <f t="shared" si="10"/>
        <v>8</v>
      </c>
      <c r="I52" s="153">
        <f t="shared" si="11"/>
        <v>2</v>
      </c>
      <c r="J52" s="155">
        <f t="shared" si="12"/>
        <v>560</v>
      </c>
      <c r="K52" s="155">
        <f t="shared" si="13"/>
        <v>1120</v>
      </c>
      <c r="L52" s="156">
        <f t="shared" si="14"/>
        <v>13440</v>
      </c>
      <c r="S52" s="162"/>
    </row>
    <row r="53" spans="2:25">
      <c r="B53" s="659" t="s">
        <v>1345</v>
      </c>
      <c r="C53" s="661" t="s">
        <v>1299</v>
      </c>
      <c r="D53" s="662">
        <v>2</v>
      </c>
      <c r="E53" s="662">
        <v>4</v>
      </c>
      <c r="F53" s="153">
        <v>1</v>
      </c>
      <c r="G53" s="153">
        <v>6</v>
      </c>
      <c r="H53" s="153">
        <f t="shared" si="10"/>
        <v>8</v>
      </c>
      <c r="I53" s="153">
        <f t="shared" si="11"/>
        <v>3</v>
      </c>
      <c r="J53" s="155">
        <f t="shared" si="12"/>
        <v>560</v>
      </c>
      <c r="K53" s="155">
        <f t="shared" si="13"/>
        <v>1680</v>
      </c>
      <c r="L53" s="156">
        <f t="shared" si="14"/>
        <v>10080</v>
      </c>
      <c r="S53" s="162"/>
    </row>
    <row r="54" spans="2:25">
      <c r="B54" s="153" t="s">
        <v>1351</v>
      </c>
      <c r="C54" s="645" t="s">
        <v>1299</v>
      </c>
      <c r="D54" s="154">
        <v>2</v>
      </c>
      <c r="E54" s="154">
        <v>4</v>
      </c>
      <c r="F54" s="153">
        <v>4</v>
      </c>
      <c r="G54" s="153">
        <f>+G49</f>
        <v>6</v>
      </c>
      <c r="H54" s="153">
        <f t="shared" si="10"/>
        <v>8</v>
      </c>
      <c r="I54" s="153">
        <f t="shared" si="11"/>
        <v>9</v>
      </c>
      <c r="J54" s="155"/>
      <c r="K54" s="155">
        <f t="shared" si="13"/>
        <v>0</v>
      </c>
      <c r="L54" s="156">
        <f t="shared" si="14"/>
        <v>0</v>
      </c>
      <c r="S54" s="162"/>
    </row>
    <row r="55" spans="2:25">
      <c r="B55" s="153" t="s">
        <v>1352</v>
      </c>
      <c r="C55" s="645" t="s">
        <v>1299</v>
      </c>
      <c r="D55" s="154">
        <v>2</v>
      </c>
      <c r="E55" s="154">
        <v>4</v>
      </c>
      <c r="F55" s="153">
        <v>3</v>
      </c>
      <c r="G55" s="153">
        <f>+G49</f>
        <v>6</v>
      </c>
      <c r="H55" s="153">
        <f t="shared" si="10"/>
        <v>8</v>
      </c>
      <c r="I55" s="153">
        <f t="shared" si="11"/>
        <v>7</v>
      </c>
      <c r="J55" s="155"/>
      <c r="K55" s="155">
        <f t="shared" si="13"/>
        <v>0</v>
      </c>
      <c r="L55" s="156">
        <f t="shared" si="14"/>
        <v>0</v>
      </c>
      <c r="S55" s="162"/>
    </row>
    <row r="56" spans="2:25">
      <c r="B56" s="153" t="s">
        <v>1327</v>
      </c>
      <c r="C56" s="645" t="s">
        <v>1299</v>
      </c>
      <c r="D56" s="154">
        <v>3</v>
      </c>
      <c r="E56" s="154">
        <v>3</v>
      </c>
      <c r="F56" s="153">
        <v>2.5</v>
      </c>
      <c r="G56" s="153">
        <v>4</v>
      </c>
      <c r="H56" s="153">
        <f t="shared" si="10"/>
        <v>9</v>
      </c>
      <c r="I56" s="153">
        <f t="shared" si="11"/>
        <v>7</v>
      </c>
      <c r="J56" s="155">
        <f t="shared" si="12"/>
        <v>560</v>
      </c>
      <c r="K56" s="155">
        <f t="shared" si="13"/>
        <v>3920</v>
      </c>
      <c r="L56" s="156">
        <f t="shared" si="14"/>
        <v>15680</v>
      </c>
      <c r="S56" s="162"/>
    </row>
    <row r="57" spans="2:25">
      <c r="B57" s="167" t="s">
        <v>1210</v>
      </c>
      <c r="C57" s="645" t="s">
        <v>1299</v>
      </c>
      <c r="D57" s="168">
        <v>2</v>
      </c>
      <c r="E57" s="168">
        <v>4</v>
      </c>
      <c r="F57" s="167">
        <v>2</v>
      </c>
      <c r="G57" s="167">
        <f>+G49</f>
        <v>6</v>
      </c>
      <c r="H57" s="167">
        <f t="shared" si="10"/>
        <v>8</v>
      </c>
      <c r="I57" s="167">
        <f t="shared" si="11"/>
        <v>5</v>
      </c>
      <c r="J57" s="155">
        <f t="shared" si="12"/>
        <v>560</v>
      </c>
      <c r="K57" s="155">
        <f t="shared" si="13"/>
        <v>2800</v>
      </c>
      <c r="L57" s="156">
        <f t="shared" si="14"/>
        <v>16800</v>
      </c>
      <c r="S57" s="162"/>
    </row>
    <row r="58" spans="2:25">
      <c r="B58" s="167" t="s">
        <v>1319</v>
      </c>
      <c r="C58" s="142" t="s">
        <v>672</v>
      </c>
      <c r="D58" s="168"/>
      <c r="E58" s="168"/>
      <c r="F58" s="167"/>
      <c r="G58" s="167">
        <v>4.5</v>
      </c>
      <c r="H58" s="167">
        <f t="shared" si="10"/>
        <v>0</v>
      </c>
      <c r="I58" s="167">
        <v>1</v>
      </c>
      <c r="J58" s="663">
        <f t="shared" si="12"/>
        <v>51029.752066115703</v>
      </c>
      <c r="K58" s="663">
        <f t="shared" si="13"/>
        <v>51029.752066115703</v>
      </c>
      <c r="L58" s="660">
        <f t="shared" si="14"/>
        <v>229633.88429752068</v>
      </c>
      <c r="S58" s="162"/>
      <c r="U58" s="142">
        <v>1</v>
      </c>
    </row>
    <row r="59" spans="2:25">
      <c r="B59" s="215" t="s">
        <v>1353</v>
      </c>
      <c r="C59" s="643" t="s">
        <v>1354</v>
      </c>
      <c r="D59" s="216"/>
      <c r="E59" s="222"/>
      <c r="F59" s="216"/>
      <c r="G59" s="216"/>
      <c r="H59" s="216"/>
      <c r="I59" s="216"/>
      <c r="J59" s="216"/>
      <c r="K59" s="216"/>
      <c r="L59" s="217"/>
      <c r="M59" s="579">
        <f>+SUM(L60:L66)</f>
        <v>117866.77852348992</v>
      </c>
      <c r="N59" s="163">
        <v>3.5</v>
      </c>
      <c r="O59" s="578">
        <f>+M59/N59</f>
        <v>33676.222435282834</v>
      </c>
      <c r="R59" s="648" t="s">
        <v>471</v>
      </c>
      <c r="S59" s="658" t="s">
        <v>1320</v>
      </c>
      <c r="T59" s="145" t="s">
        <v>4</v>
      </c>
      <c r="U59" s="145" t="s">
        <v>1329</v>
      </c>
      <c r="V59" s="145"/>
      <c r="Y59" s="142" t="s">
        <v>1341</v>
      </c>
    </row>
    <row r="60" spans="2:25">
      <c r="B60" s="218" t="s">
        <v>1355</v>
      </c>
      <c r="C60" s="223" t="s">
        <v>1299</v>
      </c>
      <c r="D60" s="219">
        <v>1</v>
      </c>
      <c r="E60" s="219">
        <v>4</v>
      </c>
      <c r="F60" s="218">
        <v>10</v>
      </c>
      <c r="G60" s="218">
        <v>1.5</v>
      </c>
      <c r="H60" s="218">
        <f>+D60*E60</f>
        <v>4</v>
      </c>
      <c r="I60" s="218">
        <f>+ROUNDUP(H60*F60*$I$9,0)</f>
        <v>11</v>
      </c>
      <c r="J60" s="220">
        <f t="shared" si="12"/>
        <v>560</v>
      </c>
      <c r="K60" s="220">
        <f>+I60*J60</f>
        <v>6160</v>
      </c>
      <c r="L60" s="221">
        <f>+K60*G60</f>
        <v>9240</v>
      </c>
      <c r="Q60" s="161" t="s">
        <v>1330</v>
      </c>
      <c r="R60" s="119">
        <v>1</v>
      </c>
      <c r="S60" s="162">
        <v>0.1</v>
      </c>
      <c r="T60" s="142">
        <f>+R60*S60</f>
        <v>0.1</v>
      </c>
      <c r="U60" s="16">
        <f>+U58/T60</f>
        <v>10</v>
      </c>
      <c r="Y60" s="16">
        <f>+U60/2.98</f>
        <v>3.3557046979865772</v>
      </c>
    </row>
    <row r="61" spans="2:25">
      <c r="B61" s="153" t="s">
        <v>1333</v>
      </c>
      <c r="C61" s="645" t="s">
        <v>1299</v>
      </c>
      <c r="D61" s="154">
        <v>3</v>
      </c>
      <c r="E61" s="154">
        <v>3</v>
      </c>
      <c r="F61" s="153">
        <v>3</v>
      </c>
      <c r="G61" s="153">
        <v>30</v>
      </c>
      <c r="H61" s="153">
        <f t="shared" ref="H61:H66" si="15">+D61*E61</f>
        <v>9</v>
      </c>
      <c r="I61" s="153">
        <f>+ROUNDUP(H61*F61*$I$9,0)</f>
        <v>8</v>
      </c>
      <c r="J61" s="155"/>
      <c r="K61" s="155">
        <f t="shared" ref="K61:K66" si="16">+I61*J61</f>
        <v>0</v>
      </c>
      <c r="L61" s="156">
        <f t="shared" ref="L61:L66" si="17">+K61*G61</f>
        <v>0</v>
      </c>
      <c r="S61" s="162"/>
    </row>
    <row r="62" spans="2:25">
      <c r="B62" s="153" t="s">
        <v>1356</v>
      </c>
      <c r="C62" s="645" t="s">
        <v>1299</v>
      </c>
      <c r="D62" s="154">
        <v>2</v>
      </c>
      <c r="E62" s="154">
        <v>4</v>
      </c>
      <c r="F62" s="153">
        <v>1</v>
      </c>
      <c r="G62" s="153">
        <v>15</v>
      </c>
      <c r="H62" s="153">
        <f t="shared" si="15"/>
        <v>8</v>
      </c>
      <c r="I62" s="153">
        <f>+ROUNDUP(H62*F62*$I$9,0)</f>
        <v>3</v>
      </c>
      <c r="J62" s="155"/>
      <c r="K62" s="155">
        <f t="shared" si="16"/>
        <v>0</v>
      </c>
      <c r="L62" s="156">
        <f t="shared" si="17"/>
        <v>0</v>
      </c>
      <c r="S62" s="162"/>
    </row>
    <row r="63" spans="2:25">
      <c r="B63" s="153" t="s">
        <v>1357</v>
      </c>
      <c r="C63" s="645" t="s">
        <v>1299</v>
      </c>
      <c r="D63" s="154">
        <v>2</v>
      </c>
      <c r="E63" s="154">
        <v>3</v>
      </c>
      <c r="F63" s="153">
        <v>0.3</v>
      </c>
      <c r="G63" s="153">
        <v>20</v>
      </c>
      <c r="H63" s="153">
        <f t="shared" si="15"/>
        <v>6</v>
      </c>
      <c r="I63" s="153">
        <f>+ROUNDUP(H63*F63*$I$9,0)</f>
        <v>1</v>
      </c>
      <c r="J63" s="155"/>
      <c r="K63" s="155">
        <f t="shared" si="16"/>
        <v>0</v>
      </c>
      <c r="L63" s="156">
        <f t="shared" si="17"/>
        <v>0</v>
      </c>
      <c r="S63" s="162"/>
    </row>
    <row r="64" spans="2:25">
      <c r="B64" s="153" t="s">
        <v>1358</v>
      </c>
      <c r="C64" s="645" t="s">
        <v>1299</v>
      </c>
      <c r="D64" s="154">
        <v>1</v>
      </c>
      <c r="E64" s="154">
        <v>4</v>
      </c>
      <c r="F64" s="153">
        <v>1</v>
      </c>
      <c r="G64" s="153">
        <v>10</v>
      </c>
      <c r="H64" s="153">
        <f t="shared" si="15"/>
        <v>4</v>
      </c>
      <c r="I64" s="153">
        <f>+ROUNDUP(H64*F64*$I$9,0)</f>
        <v>2</v>
      </c>
      <c r="J64" s="155">
        <f t="shared" si="12"/>
        <v>560</v>
      </c>
      <c r="K64" s="155">
        <f t="shared" si="16"/>
        <v>1120</v>
      </c>
      <c r="L64" s="156">
        <f t="shared" si="17"/>
        <v>11200</v>
      </c>
      <c r="S64" s="162"/>
    </row>
    <row r="65" spans="2:25">
      <c r="B65" s="153" t="s">
        <v>1359</v>
      </c>
      <c r="C65" s="645" t="s">
        <v>669</v>
      </c>
      <c r="D65" s="154"/>
      <c r="E65" s="154"/>
      <c r="F65" s="153"/>
      <c r="G65" s="153">
        <f>10*0.1/2.98</f>
        <v>0.33557046979865773</v>
      </c>
      <c r="H65" s="153">
        <f t="shared" si="15"/>
        <v>0</v>
      </c>
      <c r="I65" s="153">
        <v>1</v>
      </c>
      <c r="J65" s="155">
        <f>VLOOKUP(C65,$B$5:$D$7,3,0)</f>
        <v>26393.8</v>
      </c>
      <c r="K65" s="155">
        <f>+I65*J65</f>
        <v>26393.8</v>
      </c>
      <c r="L65" s="156">
        <f>+K65*G65</f>
        <v>8856.9798657718129</v>
      </c>
      <c r="S65" s="162"/>
    </row>
    <row r="66" spans="2:25">
      <c r="B66" s="157" t="s">
        <v>1360</v>
      </c>
      <c r="C66" s="169" t="s">
        <v>669</v>
      </c>
      <c r="D66" s="158"/>
      <c r="E66" s="158"/>
      <c r="F66" s="157"/>
      <c r="G66" s="157">
        <f>+Y60</f>
        <v>3.3557046979865772</v>
      </c>
      <c r="H66" s="157">
        <f t="shared" si="15"/>
        <v>0</v>
      </c>
      <c r="I66" s="157">
        <v>1</v>
      </c>
      <c r="J66" s="159">
        <f t="shared" si="12"/>
        <v>26393.8</v>
      </c>
      <c r="K66" s="159">
        <f t="shared" si="16"/>
        <v>26393.8</v>
      </c>
      <c r="L66" s="160">
        <f t="shared" si="17"/>
        <v>88569.798657718115</v>
      </c>
      <c r="S66" s="162"/>
    </row>
    <row r="67" spans="2:25">
      <c r="B67" s="215" t="s">
        <v>1361</v>
      </c>
      <c r="C67" s="643"/>
      <c r="D67" s="216"/>
      <c r="E67" s="222"/>
      <c r="F67" s="216"/>
      <c r="G67" s="216"/>
      <c r="H67" s="216"/>
      <c r="I67" s="216"/>
      <c r="J67" s="216"/>
      <c r="K67" s="216"/>
      <c r="L67" s="217"/>
      <c r="M67" s="579">
        <f>+SUM(L68:L74)</f>
        <v>200537.75861112651</v>
      </c>
      <c r="N67" s="163">
        <v>5</v>
      </c>
      <c r="O67" s="578">
        <f>+M67/N67</f>
        <v>40107.551722225304</v>
      </c>
      <c r="P67" s="164"/>
      <c r="Q67" s="164"/>
      <c r="S67" s="162"/>
    </row>
    <row r="68" spans="2:25">
      <c r="B68" s="218" t="s">
        <v>1355</v>
      </c>
      <c r="C68" s="223" t="s">
        <v>1299</v>
      </c>
      <c r="D68" s="219">
        <v>1</v>
      </c>
      <c r="E68" s="219">
        <v>4</v>
      </c>
      <c r="F68" s="218">
        <v>10</v>
      </c>
      <c r="G68" s="218">
        <v>1.5</v>
      </c>
      <c r="H68" s="218">
        <f>+D68*E68</f>
        <v>4</v>
      </c>
      <c r="I68" s="218">
        <f>+ROUNDUP(H68*F68*$I$9,0)</f>
        <v>11</v>
      </c>
      <c r="J68" s="220">
        <f>VLOOKUP(C68,$B$5:$D$7,3,0)</f>
        <v>560</v>
      </c>
      <c r="K68" s="220">
        <f>+I68*J68</f>
        <v>6160</v>
      </c>
      <c r="L68" s="221">
        <f>+K68*G68</f>
        <v>9240</v>
      </c>
      <c r="S68" s="162"/>
    </row>
    <row r="69" spans="2:25">
      <c r="B69" s="153" t="s">
        <v>1333</v>
      </c>
      <c r="C69" s="645" t="s">
        <v>1299</v>
      </c>
      <c r="D69" s="154">
        <v>3</v>
      </c>
      <c r="E69" s="154">
        <v>3</v>
      </c>
      <c r="F69" s="153">
        <v>3</v>
      </c>
      <c r="G69" s="153">
        <v>30</v>
      </c>
      <c r="H69" s="153">
        <f t="shared" ref="H69:H74" si="18">+D69*E69</f>
        <v>9</v>
      </c>
      <c r="I69" s="153">
        <f>+ROUNDUP(H69*F69*$I$9,0)</f>
        <v>8</v>
      </c>
      <c r="J69" s="155"/>
      <c r="K69" s="155">
        <f t="shared" ref="K69:K74" si="19">+I69*J69</f>
        <v>0</v>
      </c>
      <c r="L69" s="156">
        <f t="shared" ref="L69:L74" si="20">+K69*G69</f>
        <v>0</v>
      </c>
      <c r="S69" s="162"/>
    </row>
    <row r="70" spans="2:25">
      <c r="B70" s="153" t="s">
        <v>1356</v>
      </c>
      <c r="C70" s="645" t="s">
        <v>1299</v>
      </c>
      <c r="D70" s="154">
        <v>2</v>
      </c>
      <c r="E70" s="154">
        <v>4</v>
      </c>
      <c r="F70" s="153">
        <v>1</v>
      </c>
      <c r="G70" s="153">
        <v>15</v>
      </c>
      <c r="H70" s="153">
        <f t="shared" si="18"/>
        <v>8</v>
      </c>
      <c r="I70" s="153">
        <f>+ROUNDUP(H70*F70*$I$9,0)</f>
        <v>3</v>
      </c>
      <c r="J70" s="155"/>
      <c r="K70" s="155">
        <f t="shared" si="19"/>
        <v>0</v>
      </c>
      <c r="L70" s="156">
        <f t="shared" si="20"/>
        <v>0</v>
      </c>
      <c r="S70" s="162"/>
    </row>
    <row r="71" spans="2:25">
      <c r="B71" s="153" t="s">
        <v>1357</v>
      </c>
      <c r="C71" s="645" t="s">
        <v>1299</v>
      </c>
      <c r="D71" s="154">
        <v>2</v>
      </c>
      <c r="E71" s="154">
        <v>3</v>
      </c>
      <c r="F71" s="153">
        <v>0.3</v>
      </c>
      <c r="G71" s="153">
        <v>20</v>
      </c>
      <c r="H71" s="153">
        <f t="shared" si="18"/>
        <v>6</v>
      </c>
      <c r="I71" s="153">
        <f>+ROUNDUP(H71*F71*$I$9,0)</f>
        <v>1</v>
      </c>
      <c r="J71" s="155"/>
      <c r="K71" s="155">
        <f t="shared" si="19"/>
        <v>0</v>
      </c>
      <c r="L71" s="156">
        <f t="shared" si="20"/>
        <v>0</v>
      </c>
      <c r="S71" s="162"/>
    </row>
    <row r="72" spans="2:25">
      <c r="B72" s="153" t="s">
        <v>1358</v>
      </c>
      <c r="C72" s="645" t="s">
        <v>1299</v>
      </c>
      <c r="D72" s="154">
        <v>1</v>
      </c>
      <c r="E72" s="154">
        <v>4</v>
      </c>
      <c r="F72" s="153">
        <v>1</v>
      </c>
      <c r="G72" s="153">
        <v>10</v>
      </c>
      <c r="H72" s="153">
        <f t="shared" si="18"/>
        <v>4</v>
      </c>
      <c r="I72" s="153">
        <f>+ROUNDUP(H72*F72*$I$9,0)</f>
        <v>2</v>
      </c>
      <c r="J72" s="155">
        <f t="shared" ref="J72:J83" si="21">VLOOKUP(C72,$B$5:$D$7,3,0)</f>
        <v>560</v>
      </c>
      <c r="K72" s="155">
        <f t="shared" si="19"/>
        <v>1120</v>
      </c>
      <c r="L72" s="156">
        <f t="shared" si="20"/>
        <v>11200</v>
      </c>
      <c r="S72" s="162"/>
    </row>
    <row r="73" spans="2:25">
      <c r="B73" s="153" t="s">
        <v>1359</v>
      </c>
      <c r="C73" s="645" t="s">
        <v>669</v>
      </c>
      <c r="D73" s="154"/>
      <c r="E73" s="154"/>
      <c r="F73" s="153"/>
      <c r="G73" s="153">
        <f>10*0.1/2.98</f>
        <v>0.33557046979865773</v>
      </c>
      <c r="H73" s="153">
        <f t="shared" si="18"/>
        <v>0</v>
      </c>
      <c r="I73" s="153">
        <v>1</v>
      </c>
      <c r="J73" s="155">
        <f t="shared" si="21"/>
        <v>26393.8</v>
      </c>
      <c r="K73" s="155">
        <f t="shared" si="19"/>
        <v>26393.8</v>
      </c>
      <c r="L73" s="156">
        <f t="shared" si="20"/>
        <v>8856.9798657718129</v>
      </c>
      <c r="S73" s="162"/>
    </row>
    <row r="74" spans="2:25">
      <c r="B74" s="157" t="s">
        <v>1360</v>
      </c>
      <c r="C74" s="142" t="s">
        <v>672</v>
      </c>
      <c r="D74" s="158"/>
      <c r="E74" s="158"/>
      <c r="F74" s="157"/>
      <c r="G74" s="157">
        <f>+Y60</f>
        <v>3.3557046979865772</v>
      </c>
      <c r="H74" s="157">
        <f t="shared" si="18"/>
        <v>0</v>
      </c>
      <c r="I74" s="157">
        <v>1</v>
      </c>
      <c r="J74" s="159">
        <f t="shared" si="21"/>
        <v>51029.752066115703</v>
      </c>
      <c r="K74" s="159">
        <f t="shared" si="19"/>
        <v>51029.752066115703</v>
      </c>
      <c r="L74" s="160">
        <f t="shared" si="20"/>
        <v>171240.77874535471</v>
      </c>
      <c r="S74" s="162"/>
      <c r="T74" s="162"/>
    </row>
    <row r="75" spans="2:25">
      <c r="B75" s="215" t="s">
        <v>1362</v>
      </c>
      <c r="C75" s="643" t="s">
        <v>1363</v>
      </c>
      <c r="D75" s="216"/>
      <c r="E75" s="222"/>
      <c r="F75" s="216"/>
      <c r="G75" s="216"/>
      <c r="H75" s="216"/>
      <c r="I75" s="216"/>
      <c r="J75" s="216"/>
      <c r="K75" s="216"/>
      <c r="L75" s="217"/>
      <c r="M75" s="579">
        <f>+SUM(L76:L83)</f>
        <v>349518.78076062643</v>
      </c>
      <c r="N75" s="163">
        <v>3.5</v>
      </c>
      <c r="O75" s="578">
        <f>+M75/N75</f>
        <v>99862.508788750405</v>
      </c>
      <c r="P75" s="164"/>
      <c r="S75" s="162"/>
      <c r="U75" s="142">
        <v>1</v>
      </c>
    </row>
    <row r="76" spans="2:25">
      <c r="B76" s="218" t="s">
        <v>1364</v>
      </c>
      <c r="C76" s="223" t="s">
        <v>1299</v>
      </c>
      <c r="D76" s="219">
        <v>1</v>
      </c>
      <c r="E76" s="219">
        <v>4</v>
      </c>
      <c r="F76" s="218">
        <v>20</v>
      </c>
      <c r="G76" s="218">
        <v>1</v>
      </c>
      <c r="H76" s="218">
        <f>+D76*E76</f>
        <v>4</v>
      </c>
      <c r="I76" s="218">
        <f>+ROUNDUP(H76*F76*$I$9,0)</f>
        <v>22</v>
      </c>
      <c r="J76" s="220">
        <f t="shared" si="21"/>
        <v>560</v>
      </c>
      <c r="K76" s="220">
        <f>+I76*J76</f>
        <v>12320</v>
      </c>
      <c r="L76" s="221">
        <f>+K76*G76</f>
        <v>12320</v>
      </c>
      <c r="R76" s="648" t="s">
        <v>471</v>
      </c>
      <c r="S76" s="658" t="s">
        <v>218</v>
      </c>
      <c r="T76" s="145" t="s">
        <v>4</v>
      </c>
      <c r="U76" s="145" t="s">
        <v>1329</v>
      </c>
      <c r="V76" s="145"/>
      <c r="Y76" s="142" t="s">
        <v>1341</v>
      </c>
    </row>
    <row r="77" spans="2:25">
      <c r="B77" s="153" t="s">
        <v>1333</v>
      </c>
      <c r="C77" s="645" t="s">
        <v>1299</v>
      </c>
      <c r="D77" s="154">
        <v>3</v>
      </c>
      <c r="E77" s="154">
        <v>3</v>
      </c>
      <c r="F77" s="153">
        <v>2.2000000000000002</v>
      </c>
      <c r="G77" s="153">
        <v>20</v>
      </c>
      <c r="H77" s="153">
        <f t="shared" ref="H77:H82" si="22">+D77*E77</f>
        <v>9</v>
      </c>
      <c r="I77" s="153">
        <f t="shared" ref="I77:I82" si="23">+ROUNDUP(H77*F77*$I$9,0)</f>
        <v>6</v>
      </c>
      <c r="J77" s="155"/>
      <c r="K77" s="155">
        <f t="shared" ref="K77:K83" si="24">+I77*J77</f>
        <v>0</v>
      </c>
      <c r="L77" s="156">
        <f t="shared" ref="L77:L83" si="25">+K77*G77</f>
        <v>0</v>
      </c>
      <c r="Q77" s="161" t="s">
        <v>1330</v>
      </c>
      <c r="R77" s="119">
        <v>0.12</v>
      </c>
      <c r="S77" s="162">
        <v>0.4</v>
      </c>
      <c r="T77" s="142">
        <f>+R77*S77</f>
        <v>4.8000000000000001E-2</v>
      </c>
      <c r="U77" s="16">
        <f>+U75/T77</f>
        <v>20.833333333333332</v>
      </c>
      <c r="Y77" s="16">
        <f>+(R77*U77+S77*U77*2)/2.98</f>
        <v>6.4317673378076066</v>
      </c>
    </row>
    <row r="78" spans="2:25">
      <c r="B78" s="153" t="s">
        <v>1365</v>
      </c>
      <c r="C78" s="645" t="s">
        <v>1299</v>
      </c>
      <c r="D78" s="154">
        <v>3</v>
      </c>
      <c r="E78" s="154">
        <v>3</v>
      </c>
      <c r="F78" s="153">
        <v>1</v>
      </c>
      <c r="G78" s="153">
        <v>20</v>
      </c>
      <c r="H78" s="153">
        <f t="shared" si="22"/>
        <v>9</v>
      </c>
      <c r="I78" s="153">
        <f t="shared" si="23"/>
        <v>3</v>
      </c>
      <c r="J78" s="155">
        <f t="shared" si="21"/>
        <v>560</v>
      </c>
      <c r="K78" s="155">
        <f t="shared" si="24"/>
        <v>1680</v>
      </c>
      <c r="L78" s="156">
        <f t="shared" si="25"/>
        <v>33600</v>
      </c>
      <c r="S78" s="162"/>
    </row>
    <row r="79" spans="2:25">
      <c r="B79" s="153" t="s">
        <v>1366</v>
      </c>
      <c r="C79" s="645" t="s">
        <v>1299</v>
      </c>
      <c r="D79" s="154">
        <v>2</v>
      </c>
      <c r="E79" s="154">
        <v>4</v>
      </c>
      <c r="F79" s="153">
        <v>20</v>
      </c>
      <c r="G79" s="153">
        <v>3</v>
      </c>
      <c r="H79" s="153">
        <f t="shared" si="22"/>
        <v>8</v>
      </c>
      <c r="I79" s="153">
        <f t="shared" si="23"/>
        <v>44</v>
      </c>
      <c r="J79" s="155">
        <f t="shared" si="21"/>
        <v>560</v>
      </c>
      <c r="K79" s="155">
        <f t="shared" si="24"/>
        <v>24640</v>
      </c>
      <c r="L79" s="156">
        <f t="shared" si="25"/>
        <v>73920</v>
      </c>
      <c r="S79" s="162"/>
    </row>
    <row r="80" spans="2:25">
      <c r="B80" s="153" t="s">
        <v>1326</v>
      </c>
      <c r="C80" s="645" t="s">
        <v>1299</v>
      </c>
      <c r="D80" s="154">
        <v>1</v>
      </c>
      <c r="E80" s="154">
        <v>4</v>
      </c>
      <c r="F80" s="153">
        <v>1</v>
      </c>
      <c r="G80" s="153">
        <f>10*2</f>
        <v>20</v>
      </c>
      <c r="H80" s="153">
        <f t="shared" si="22"/>
        <v>4</v>
      </c>
      <c r="I80" s="153">
        <f t="shared" si="23"/>
        <v>2</v>
      </c>
      <c r="J80" s="155">
        <f>VLOOKUP(C80,$B$5:$D$7,3,0)</f>
        <v>560</v>
      </c>
      <c r="K80" s="155">
        <f>+I80*J80</f>
        <v>1120</v>
      </c>
      <c r="L80" s="156">
        <f>+K80*G80</f>
        <v>22400</v>
      </c>
      <c r="S80" s="162"/>
    </row>
    <row r="81" spans="2:23">
      <c r="B81" s="153" t="s">
        <v>1357</v>
      </c>
      <c r="C81" s="645" t="s">
        <v>1299</v>
      </c>
      <c r="D81" s="154">
        <v>2</v>
      </c>
      <c r="E81" s="154">
        <v>3</v>
      </c>
      <c r="F81" s="153">
        <v>0.3</v>
      </c>
      <c r="G81" s="153">
        <v>20</v>
      </c>
      <c r="H81" s="153">
        <f t="shared" si="22"/>
        <v>6</v>
      </c>
      <c r="I81" s="153">
        <f t="shared" si="23"/>
        <v>1</v>
      </c>
      <c r="J81" s="155"/>
      <c r="K81" s="155">
        <f t="shared" si="24"/>
        <v>0</v>
      </c>
      <c r="L81" s="156">
        <f t="shared" si="25"/>
        <v>0</v>
      </c>
      <c r="S81" s="162"/>
    </row>
    <row r="82" spans="2:23">
      <c r="B82" s="153" t="s">
        <v>1316</v>
      </c>
      <c r="C82" s="645" t="s">
        <v>1299</v>
      </c>
      <c r="D82" s="154">
        <v>1</v>
      </c>
      <c r="E82" s="154">
        <v>4</v>
      </c>
      <c r="F82" s="153">
        <v>0.4</v>
      </c>
      <c r="G82" s="153">
        <f>ROUND(20/0.6*2,0)</f>
        <v>67</v>
      </c>
      <c r="H82" s="153">
        <f t="shared" si="22"/>
        <v>4</v>
      </c>
      <c r="I82" s="153">
        <f t="shared" si="23"/>
        <v>1</v>
      </c>
      <c r="J82" s="155">
        <f t="shared" si="21"/>
        <v>560</v>
      </c>
      <c r="K82" s="155">
        <f t="shared" si="24"/>
        <v>560</v>
      </c>
      <c r="L82" s="156">
        <f t="shared" si="25"/>
        <v>37520</v>
      </c>
      <c r="S82" s="162"/>
    </row>
    <row r="83" spans="2:23">
      <c r="B83" s="157" t="s">
        <v>1319</v>
      </c>
      <c r="C83" s="169" t="s">
        <v>669</v>
      </c>
      <c r="D83" s="158"/>
      <c r="E83" s="158"/>
      <c r="F83" s="157"/>
      <c r="G83" s="157">
        <f>+Y77</f>
        <v>6.4317673378076066</v>
      </c>
      <c r="H83" s="157"/>
      <c r="I83" s="157">
        <v>1</v>
      </c>
      <c r="J83" s="159">
        <f t="shared" si="21"/>
        <v>26393.8</v>
      </c>
      <c r="K83" s="159">
        <f t="shared" si="24"/>
        <v>26393.8</v>
      </c>
      <c r="L83" s="160">
        <f t="shared" si="25"/>
        <v>169758.7807606264</v>
      </c>
      <c r="S83" s="162"/>
      <c r="T83" s="162"/>
    </row>
    <row r="84" spans="2:23">
      <c r="B84" s="215" t="s">
        <v>1367</v>
      </c>
      <c r="C84" s="642"/>
      <c r="D84" s="152"/>
      <c r="E84" s="148"/>
      <c r="F84" s="832"/>
      <c r="G84" s="216"/>
      <c r="H84" s="216"/>
      <c r="I84" s="216"/>
      <c r="J84" s="216"/>
      <c r="K84" s="216"/>
      <c r="L84" s="217"/>
      <c r="M84" s="579">
        <f>+SUM(L85:L92)</f>
        <v>471011.49259526323</v>
      </c>
      <c r="N84" s="163">
        <v>5</v>
      </c>
      <c r="O84" s="578">
        <f>+M84/N84</f>
        <v>94202.298519052652</v>
      </c>
      <c r="P84" s="164"/>
      <c r="Q84" s="164"/>
      <c r="S84" s="162"/>
    </row>
    <row r="85" spans="2:23">
      <c r="B85" s="218" t="s">
        <v>1364</v>
      </c>
      <c r="C85" s="223" t="s">
        <v>1299</v>
      </c>
      <c r="D85" s="219">
        <v>1</v>
      </c>
      <c r="E85" s="219">
        <v>4</v>
      </c>
      <c r="F85" s="218">
        <v>20</v>
      </c>
      <c r="G85" s="218">
        <v>1</v>
      </c>
      <c r="H85" s="218">
        <f>+D85*E85</f>
        <v>4</v>
      </c>
      <c r="I85" s="218">
        <f>+ROUNDUP(H85*F85*$I$9,0)</f>
        <v>22</v>
      </c>
      <c r="J85" s="220">
        <f>VLOOKUP(C85,$B$5:$D$7,3,0)</f>
        <v>560</v>
      </c>
      <c r="K85" s="220">
        <f>+I85*J85</f>
        <v>12320</v>
      </c>
      <c r="L85" s="221">
        <f>+K85*G85</f>
        <v>12320</v>
      </c>
      <c r="S85" s="162"/>
    </row>
    <row r="86" spans="2:23">
      <c r="B86" s="153" t="s">
        <v>1333</v>
      </c>
      <c r="C86" s="645" t="s">
        <v>1299</v>
      </c>
      <c r="D86" s="154">
        <v>3</v>
      </c>
      <c r="E86" s="154">
        <v>3</v>
      </c>
      <c r="F86" s="153">
        <v>2.2000000000000002</v>
      </c>
      <c r="G86" s="153">
        <v>20</v>
      </c>
      <c r="H86" s="153">
        <f t="shared" ref="H86:H91" si="26">+D86*E86</f>
        <v>9</v>
      </c>
      <c r="I86" s="153">
        <f t="shared" ref="I86:I91" si="27">+ROUNDUP(H86*F86*$I$9,0)</f>
        <v>6</v>
      </c>
      <c r="J86" s="155"/>
      <c r="K86" s="155">
        <f t="shared" ref="K86:K92" si="28">+I86*J86</f>
        <v>0</v>
      </c>
      <c r="L86" s="156">
        <f t="shared" ref="L86:L92" si="29">+K86*G86</f>
        <v>0</v>
      </c>
      <c r="S86" s="162"/>
    </row>
    <row r="87" spans="2:23">
      <c r="B87" s="153" t="s">
        <v>1365</v>
      </c>
      <c r="C87" s="645" t="s">
        <v>1299</v>
      </c>
      <c r="D87" s="154">
        <v>3</v>
      </c>
      <c r="E87" s="154">
        <v>3</v>
      </c>
      <c r="F87" s="153">
        <v>1</v>
      </c>
      <c r="G87" s="153">
        <v>20</v>
      </c>
      <c r="H87" s="153">
        <f t="shared" si="26"/>
        <v>9</v>
      </c>
      <c r="I87" s="153">
        <f t="shared" si="27"/>
        <v>3</v>
      </c>
      <c r="J87" s="155">
        <f>VLOOKUP(C87,$B$5:$D$7,3,0)</f>
        <v>560</v>
      </c>
      <c r="K87" s="155">
        <f t="shared" si="28"/>
        <v>1680</v>
      </c>
      <c r="L87" s="156">
        <f t="shared" si="29"/>
        <v>33600</v>
      </c>
      <c r="S87" s="162"/>
    </row>
    <row r="88" spans="2:23">
      <c r="B88" s="153" t="s">
        <v>1366</v>
      </c>
      <c r="C88" s="645" t="s">
        <v>1299</v>
      </c>
      <c r="D88" s="154">
        <v>1</v>
      </c>
      <c r="E88" s="154">
        <v>4</v>
      </c>
      <c r="F88" s="153">
        <v>20</v>
      </c>
      <c r="G88" s="153">
        <v>3</v>
      </c>
      <c r="H88" s="153">
        <f t="shared" si="26"/>
        <v>4</v>
      </c>
      <c r="I88" s="153">
        <f t="shared" si="27"/>
        <v>22</v>
      </c>
      <c r="J88" s="155">
        <f>VLOOKUP(C88,$B$5:$D$7,3,0)</f>
        <v>560</v>
      </c>
      <c r="K88" s="155">
        <f t="shared" si="28"/>
        <v>12320</v>
      </c>
      <c r="L88" s="156">
        <f t="shared" si="29"/>
        <v>36960</v>
      </c>
      <c r="S88" s="162"/>
    </row>
    <row r="89" spans="2:23">
      <c r="B89" s="153" t="s">
        <v>1326</v>
      </c>
      <c r="C89" s="645" t="s">
        <v>1299</v>
      </c>
      <c r="D89" s="154">
        <v>1</v>
      </c>
      <c r="E89" s="154">
        <v>4</v>
      </c>
      <c r="F89" s="153">
        <v>1</v>
      </c>
      <c r="G89" s="153">
        <f>10*2</f>
        <v>20</v>
      </c>
      <c r="H89" s="153">
        <f t="shared" si="26"/>
        <v>4</v>
      </c>
      <c r="I89" s="153">
        <f t="shared" si="27"/>
        <v>2</v>
      </c>
      <c r="J89" s="155">
        <f>VLOOKUP(C89,$B$5:$D$7,3,0)</f>
        <v>560</v>
      </c>
      <c r="K89" s="155">
        <f t="shared" si="28"/>
        <v>1120</v>
      </c>
      <c r="L89" s="156">
        <f t="shared" si="29"/>
        <v>22400</v>
      </c>
      <c r="S89" s="162"/>
    </row>
    <row r="90" spans="2:23">
      <c r="B90" s="153" t="s">
        <v>1357</v>
      </c>
      <c r="C90" s="645" t="s">
        <v>1299</v>
      </c>
      <c r="D90" s="154">
        <v>2</v>
      </c>
      <c r="E90" s="154">
        <v>3</v>
      </c>
      <c r="F90" s="153">
        <v>0.3</v>
      </c>
      <c r="G90" s="153">
        <v>20</v>
      </c>
      <c r="H90" s="153">
        <f t="shared" si="26"/>
        <v>6</v>
      </c>
      <c r="I90" s="153">
        <f t="shared" si="27"/>
        <v>1</v>
      </c>
      <c r="J90" s="155"/>
      <c r="K90" s="155">
        <f t="shared" si="28"/>
        <v>0</v>
      </c>
      <c r="L90" s="156">
        <f t="shared" si="29"/>
        <v>0</v>
      </c>
      <c r="S90" s="162"/>
    </row>
    <row r="91" spans="2:23">
      <c r="B91" s="153" t="s">
        <v>1316</v>
      </c>
      <c r="C91" s="645" t="s">
        <v>1299</v>
      </c>
      <c r="D91" s="154">
        <v>1</v>
      </c>
      <c r="E91" s="154">
        <v>4</v>
      </c>
      <c r="F91" s="153">
        <v>0.4</v>
      </c>
      <c r="G91" s="153">
        <f>ROUND(20/0.6*2,0)</f>
        <v>67</v>
      </c>
      <c r="H91" s="153">
        <f t="shared" si="26"/>
        <v>4</v>
      </c>
      <c r="I91" s="153">
        <f t="shared" si="27"/>
        <v>1</v>
      </c>
      <c r="J91" s="155">
        <f>VLOOKUP(C91,$B$5:$D$7,3,0)</f>
        <v>560</v>
      </c>
      <c r="K91" s="155">
        <f t="shared" si="28"/>
        <v>560</v>
      </c>
      <c r="L91" s="156">
        <f t="shared" si="29"/>
        <v>37520</v>
      </c>
      <c r="S91" s="162"/>
      <c r="T91" s="162"/>
    </row>
    <row r="92" spans="2:23">
      <c r="B92" s="157" t="s">
        <v>1319</v>
      </c>
      <c r="C92" s="169" t="s">
        <v>672</v>
      </c>
      <c r="D92" s="158"/>
      <c r="E92" s="158"/>
      <c r="F92" s="157"/>
      <c r="G92" s="157">
        <f>+Y77</f>
        <v>6.4317673378076066</v>
      </c>
      <c r="H92" s="157"/>
      <c r="I92" s="157">
        <v>1</v>
      </c>
      <c r="J92" s="159">
        <f>VLOOKUP(C92,$B$5:$D$7,3,0)</f>
        <v>51029.752066115703</v>
      </c>
      <c r="K92" s="159">
        <f t="shared" si="28"/>
        <v>51029.752066115703</v>
      </c>
      <c r="L92" s="160">
        <f t="shared" si="29"/>
        <v>328211.49259526323</v>
      </c>
      <c r="N92" s="664"/>
    </row>
    <row r="93" spans="2:23">
      <c r="B93" s="834" t="s">
        <v>1368</v>
      </c>
      <c r="C93" s="642" t="s">
        <v>1369</v>
      </c>
      <c r="D93" s="152"/>
      <c r="E93" s="148"/>
      <c r="F93" s="152"/>
      <c r="G93" s="679"/>
      <c r="H93" s="679"/>
      <c r="I93" s="679"/>
      <c r="J93" s="679"/>
      <c r="K93" s="679"/>
      <c r="L93" s="835"/>
      <c r="M93" s="579">
        <f>+SUM(L94:L100)</f>
        <v>207421.31651006709</v>
      </c>
      <c r="N93" s="163">
        <v>3.5</v>
      </c>
      <c r="O93" s="578">
        <f>+M93/N93</f>
        <v>59263.2332885906</v>
      </c>
      <c r="Q93" s="161" t="s">
        <v>1342</v>
      </c>
      <c r="R93" s="119" t="s">
        <v>471</v>
      </c>
      <c r="S93" s="142" t="s">
        <v>1370</v>
      </c>
      <c r="T93" s="142" t="s">
        <v>1371</v>
      </c>
      <c r="U93" s="142" t="s">
        <v>4</v>
      </c>
      <c r="V93" s="142" t="s">
        <v>1372</v>
      </c>
      <c r="W93" s="16" t="s">
        <v>66</v>
      </c>
    </row>
    <row r="94" spans="2:23">
      <c r="B94" s="218" t="s">
        <v>1373</v>
      </c>
      <c r="C94" s="223" t="s">
        <v>669</v>
      </c>
      <c r="D94" s="219"/>
      <c r="E94" s="219"/>
      <c r="F94" s="218"/>
      <c r="G94" s="218">
        <f>0.3*3*4/2.98</f>
        <v>1.2080536912751676</v>
      </c>
      <c r="H94" s="218">
        <f t="shared" ref="H94:H100" si="30">+D94*E94</f>
        <v>0</v>
      </c>
      <c r="I94" s="218">
        <v>1</v>
      </c>
      <c r="J94" s="220">
        <f t="shared" ref="J94:J99" si="31">VLOOKUP(C94,$B$5:$D$7,3,0)</f>
        <v>26393.8</v>
      </c>
      <c r="K94" s="220">
        <f t="shared" ref="K94:K100" si="32">+I94*J94</f>
        <v>26393.8</v>
      </c>
      <c r="L94" s="221">
        <f t="shared" ref="L94:L100" si="33">+K94*G94</f>
        <v>31885.127516778517</v>
      </c>
      <c r="N94" s="664"/>
      <c r="R94" s="119">
        <v>1.2</v>
      </c>
      <c r="S94" s="142">
        <f>0.26*8+1</f>
        <v>3.08</v>
      </c>
      <c r="T94" s="142">
        <f>0.26*8+1</f>
        <v>3.08</v>
      </c>
      <c r="U94" s="401">
        <f>+R94*S94+R94*T94</f>
        <v>7.3919999999999995</v>
      </c>
      <c r="V94" s="142">
        <v>0.15</v>
      </c>
      <c r="W94" s="16">
        <f>+U94*V94</f>
        <v>1.1087999999999998</v>
      </c>
    </row>
    <row r="95" spans="2:23">
      <c r="B95" s="153" t="s">
        <v>1374</v>
      </c>
      <c r="C95" s="645" t="s">
        <v>669</v>
      </c>
      <c r="D95" s="154"/>
      <c r="E95" s="154"/>
      <c r="F95" s="153"/>
      <c r="G95" s="153">
        <f>(0.17*1.2*16)/2.98</f>
        <v>1.0953020134228189</v>
      </c>
      <c r="H95" s="153">
        <f t="shared" si="30"/>
        <v>0</v>
      </c>
      <c r="I95" s="153">
        <v>1</v>
      </c>
      <c r="J95" s="155">
        <f t="shared" si="31"/>
        <v>26393.8</v>
      </c>
      <c r="K95" s="155">
        <f t="shared" si="32"/>
        <v>26393.8</v>
      </c>
      <c r="L95" s="156">
        <f t="shared" si="33"/>
        <v>28909.182281879195</v>
      </c>
      <c r="N95" s="664"/>
    </row>
    <row r="96" spans="2:23">
      <c r="B96" s="153" t="s">
        <v>1375</v>
      </c>
      <c r="C96" s="645" t="s">
        <v>669</v>
      </c>
      <c r="D96" s="154"/>
      <c r="E96" s="154"/>
      <c r="F96" s="153"/>
      <c r="G96" s="153">
        <f>(3*1.2+3*1.2+2.4*1)/2.98</f>
        <v>3.2214765100671139</v>
      </c>
      <c r="H96" s="153">
        <f t="shared" si="30"/>
        <v>0</v>
      </c>
      <c r="I96" s="153">
        <v>1</v>
      </c>
      <c r="J96" s="155">
        <f t="shared" si="31"/>
        <v>26393.8</v>
      </c>
      <c r="K96" s="155">
        <f t="shared" si="32"/>
        <v>26393.8</v>
      </c>
      <c r="L96" s="156">
        <f t="shared" si="33"/>
        <v>85027.006711409384</v>
      </c>
      <c r="N96" s="664"/>
    </row>
    <row r="97" spans="2:19">
      <c r="B97" s="153" t="s">
        <v>1316</v>
      </c>
      <c r="C97" s="645" t="s">
        <v>1299</v>
      </c>
      <c r="D97" s="154">
        <v>2</v>
      </c>
      <c r="E97" s="154">
        <v>4</v>
      </c>
      <c r="F97" s="153">
        <v>1.2</v>
      </c>
      <c r="G97" s="153">
        <f>3*2</f>
        <v>6</v>
      </c>
      <c r="H97" s="153">
        <f t="shared" si="30"/>
        <v>8</v>
      </c>
      <c r="I97" s="153">
        <f>+ROUNDUP(H97*F97*$I$9,0)</f>
        <v>3</v>
      </c>
      <c r="J97" s="155">
        <f t="shared" si="31"/>
        <v>560</v>
      </c>
      <c r="K97" s="155">
        <f t="shared" si="32"/>
        <v>1680</v>
      </c>
      <c r="L97" s="156">
        <f t="shared" si="33"/>
        <v>10080</v>
      </c>
      <c r="N97" s="664"/>
    </row>
    <row r="98" spans="2:19">
      <c r="B98" s="153" t="s">
        <v>1325</v>
      </c>
      <c r="C98" s="645" t="s">
        <v>1299</v>
      </c>
      <c r="D98" s="154">
        <v>2</v>
      </c>
      <c r="E98" s="154">
        <v>4</v>
      </c>
      <c r="F98" s="153">
        <v>1.5</v>
      </c>
      <c r="G98" s="153">
        <f>8*2</f>
        <v>16</v>
      </c>
      <c r="H98" s="153">
        <f t="shared" si="30"/>
        <v>8</v>
      </c>
      <c r="I98" s="153">
        <f>+ROUNDUP(H98*F98*$I$9,0)</f>
        <v>4</v>
      </c>
      <c r="J98" s="155">
        <f t="shared" si="31"/>
        <v>560</v>
      </c>
      <c r="K98" s="155">
        <f t="shared" si="32"/>
        <v>2240</v>
      </c>
      <c r="L98" s="156">
        <f t="shared" si="33"/>
        <v>35840</v>
      </c>
      <c r="N98" s="664"/>
    </row>
    <row r="99" spans="2:19">
      <c r="B99" s="153" t="s">
        <v>1210</v>
      </c>
      <c r="C99" s="645" t="s">
        <v>1299</v>
      </c>
      <c r="D99" s="154">
        <v>3</v>
      </c>
      <c r="E99" s="154">
        <v>3</v>
      </c>
      <c r="F99" s="153">
        <v>1.2</v>
      </c>
      <c r="G99" s="153">
        <v>4</v>
      </c>
      <c r="H99" s="153">
        <f t="shared" si="30"/>
        <v>9</v>
      </c>
      <c r="I99" s="153">
        <f>+ROUNDUP(H99*F99*$I$9,0)</f>
        <v>3</v>
      </c>
      <c r="J99" s="155">
        <f t="shared" si="31"/>
        <v>560</v>
      </c>
      <c r="K99" s="155">
        <f t="shared" si="32"/>
        <v>1680</v>
      </c>
      <c r="L99" s="156">
        <f t="shared" si="33"/>
        <v>6720</v>
      </c>
      <c r="N99" s="664"/>
    </row>
    <row r="100" spans="2:19">
      <c r="B100" s="157" t="s">
        <v>1376</v>
      </c>
      <c r="C100" s="169" t="s">
        <v>1299</v>
      </c>
      <c r="D100" s="158">
        <v>1</v>
      </c>
      <c r="E100" s="158">
        <v>4</v>
      </c>
      <c r="F100" s="157">
        <v>1.2</v>
      </c>
      <c r="G100" s="157">
        <f>4*2</f>
        <v>8</v>
      </c>
      <c r="H100" s="153">
        <f t="shared" si="30"/>
        <v>4</v>
      </c>
      <c r="I100" s="157">
        <f>+ROUNDUP(H100*F100*$I$9,0)</f>
        <v>2</v>
      </c>
      <c r="J100" s="159">
        <f>VLOOKUP(C100,$B$5:$D$7,3,0)</f>
        <v>560</v>
      </c>
      <c r="K100" s="159">
        <f t="shared" si="32"/>
        <v>1120</v>
      </c>
      <c r="L100" s="160">
        <f t="shared" si="33"/>
        <v>8960</v>
      </c>
      <c r="N100" s="664"/>
    </row>
    <row r="101" spans="2:19">
      <c r="B101" s="834" t="s">
        <v>1377</v>
      </c>
      <c r="C101" s="642" t="s">
        <v>1369</v>
      </c>
      <c r="D101" s="152"/>
      <c r="E101" s="148"/>
      <c r="F101" s="152"/>
      <c r="G101" s="679"/>
      <c r="H101" s="679"/>
      <c r="I101" s="679"/>
      <c r="J101" s="679"/>
      <c r="K101" s="679"/>
      <c r="L101" s="835"/>
      <c r="M101" s="579">
        <f>+SUM(L102:L108)</f>
        <v>343530.81812635198</v>
      </c>
      <c r="N101" s="163">
        <v>5</v>
      </c>
      <c r="O101" s="578">
        <f>+M101/N101</f>
        <v>68706.16362527039</v>
      </c>
    </row>
    <row r="102" spans="2:19">
      <c r="B102" s="218" t="s">
        <v>1373</v>
      </c>
      <c r="C102" s="223" t="s">
        <v>672</v>
      </c>
      <c r="D102" s="219"/>
      <c r="E102" s="219"/>
      <c r="F102" s="218"/>
      <c r="G102" s="218">
        <f>0.3*3*4/2.98</f>
        <v>1.2080536912751676</v>
      </c>
      <c r="H102" s="218">
        <f>+D102*E102</f>
        <v>0</v>
      </c>
      <c r="I102" s="218">
        <v>1</v>
      </c>
      <c r="J102" s="220">
        <f t="shared" ref="J102:J108" si="34">VLOOKUP(C102,$B$5:$D$7,3,0)</f>
        <v>51029.752066115703</v>
      </c>
      <c r="K102" s="220">
        <f t="shared" ref="K102:K108" si="35">+I102*J102</f>
        <v>51029.752066115703</v>
      </c>
      <c r="L102" s="221">
        <f t="shared" ref="L102:L108" si="36">+K102*G102</f>
        <v>61646.680348327689</v>
      </c>
      <c r="N102" s="664"/>
    </row>
    <row r="103" spans="2:19">
      <c r="B103" s="153" t="s">
        <v>1374</v>
      </c>
      <c r="C103" s="645" t="s">
        <v>672</v>
      </c>
      <c r="D103" s="154"/>
      <c r="E103" s="154"/>
      <c r="F103" s="153"/>
      <c r="G103" s="153">
        <f>(0.17*1.2*16)/2.98</f>
        <v>1.0953020134228189</v>
      </c>
      <c r="H103" s="153">
        <f t="shared" ref="H103:H108" si="37">+D103*E103</f>
        <v>0</v>
      </c>
      <c r="I103" s="153">
        <v>1</v>
      </c>
      <c r="J103" s="155">
        <f t="shared" si="34"/>
        <v>51029.752066115703</v>
      </c>
      <c r="K103" s="155">
        <f t="shared" si="35"/>
        <v>51029.752066115703</v>
      </c>
      <c r="L103" s="156">
        <f t="shared" si="36"/>
        <v>55892.99018248378</v>
      </c>
      <c r="N103" s="664"/>
    </row>
    <row r="104" spans="2:19">
      <c r="B104" s="153" t="s">
        <v>1375</v>
      </c>
      <c r="C104" s="645" t="s">
        <v>672</v>
      </c>
      <c r="D104" s="154"/>
      <c r="E104" s="154"/>
      <c r="F104" s="153"/>
      <c r="G104" s="153">
        <f>(3*1.2+3*1.2+2.4*1)/2.98</f>
        <v>3.2214765100671139</v>
      </c>
      <c r="H104" s="153">
        <f t="shared" si="37"/>
        <v>0</v>
      </c>
      <c r="I104" s="153">
        <v>1</v>
      </c>
      <c r="J104" s="155">
        <f t="shared" si="34"/>
        <v>51029.752066115703</v>
      </c>
      <c r="K104" s="155">
        <f t="shared" si="35"/>
        <v>51029.752066115703</v>
      </c>
      <c r="L104" s="156">
        <f t="shared" si="36"/>
        <v>164391.1475955405</v>
      </c>
      <c r="N104" s="664"/>
    </row>
    <row r="105" spans="2:19">
      <c r="B105" s="153" t="s">
        <v>1316</v>
      </c>
      <c r="C105" s="645" t="s">
        <v>1299</v>
      </c>
      <c r="D105" s="154">
        <v>2</v>
      </c>
      <c r="E105" s="154">
        <v>4</v>
      </c>
      <c r="F105" s="153">
        <v>1.2</v>
      </c>
      <c r="G105" s="153">
        <f>3*2</f>
        <v>6</v>
      </c>
      <c r="H105" s="153">
        <f t="shared" si="37"/>
        <v>8</v>
      </c>
      <c r="I105" s="153">
        <f>+ROUNDUP(H105*F105*$I$9,0)</f>
        <v>3</v>
      </c>
      <c r="J105" s="155">
        <f t="shared" si="34"/>
        <v>560</v>
      </c>
      <c r="K105" s="155">
        <f t="shared" si="35"/>
        <v>1680</v>
      </c>
      <c r="L105" s="156">
        <f t="shared" si="36"/>
        <v>10080</v>
      </c>
      <c r="N105" s="664"/>
    </row>
    <row r="106" spans="2:19">
      <c r="B106" s="153" t="s">
        <v>1325</v>
      </c>
      <c r="C106" s="645" t="s">
        <v>1299</v>
      </c>
      <c r="D106" s="154">
        <v>2</v>
      </c>
      <c r="E106" s="154">
        <v>4</v>
      </c>
      <c r="F106" s="153">
        <v>1.5</v>
      </c>
      <c r="G106" s="153">
        <f>8*2</f>
        <v>16</v>
      </c>
      <c r="H106" s="153">
        <f t="shared" si="37"/>
        <v>8</v>
      </c>
      <c r="I106" s="153">
        <f>+ROUNDUP(H106*F106*$I$9,0)</f>
        <v>4</v>
      </c>
      <c r="J106" s="155">
        <f t="shared" si="34"/>
        <v>560</v>
      </c>
      <c r="K106" s="155">
        <f t="shared" si="35"/>
        <v>2240</v>
      </c>
      <c r="L106" s="156">
        <f t="shared" si="36"/>
        <v>35840</v>
      </c>
      <c r="N106" s="664"/>
    </row>
    <row r="107" spans="2:19">
      <c r="B107" s="153" t="s">
        <v>1210</v>
      </c>
      <c r="C107" s="645" t="s">
        <v>1299</v>
      </c>
      <c r="D107" s="154">
        <v>3</v>
      </c>
      <c r="E107" s="154">
        <v>3</v>
      </c>
      <c r="F107" s="153">
        <v>1.2</v>
      </c>
      <c r="G107" s="153">
        <v>4</v>
      </c>
      <c r="H107" s="153">
        <f t="shared" si="37"/>
        <v>9</v>
      </c>
      <c r="I107" s="153">
        <f>+ROUNDUP(H107*F107*$I$9,0)</f>
        <v>3</v>
      </c>
      <c r="J107" s="155">
        <f t="shared" si="34"/>
        <v>560</v>
      </c>
      <c r="K107" s="155">
        <f t="shared" si="35"/>
        <v>1680</v>
      </c>
      <c r="L107" s="156">
        <f t="shared" si="36"/>
        <v>6720</v>
      </c>
      <c r="N107" s="664"/>
    </row>
    <row r="108" spans="2:19">
      <c r="B108" s="157" t="s">
        <v>1376</v>
      </c>
      <c r="C108" s="169" t="s">
        <v>1299</v>
      </c>
      <c r="D108" s="158">
        <v>1</v>
      </c>
      <c r="E108" s="158">
        <v>4</v>
      </c>
      <c r="F108" s="157">
        <v>1.2</v>
      </c>
      <c r="G108" s="157">
        <f>4*2</f>
        <v>8</v>
      </c>
      <c r="H108" s="157">
        <f t="shared" si="37"/>
        <v>4</v>
      </c>
      <c r="I108" s="157">
        <f>+ROUNDUP(H108*F108*$I$9,0)</f>
        <v>2</v>
      </c>
      <c r="J108" s="159">
        <f t="shared" si="34"/>
        <v>560</v>
      </c>
      <c r="K108" s="159">
        <f t="shared" si="35"/>
        <v>1120</v>
      </c>
      <c r="L108" s="160">
        <f t="shared" si="36"/>
        <v>8960</v>
      </c>
      <c r="N108" s="664"/>
    </row>
    <row r="109" spans="2:19">
      <c r="B109" s="215" t="s">
        <v>1378</v>
      </c>
      <c r="C109" s="643"/>
      <c r="D109" s="216"/>
      <c r="E109" s="222"/>
      <c r="F109" s="216"/>
      <c r="G109" s="216"/>
      <c r="H109" s="216"/>
      <c r="I109" s="216"/>
      <c r="J109" s="216"/>
      <c r="K109" s="216"/>
      <c r="L109" s="657"/>
      <c r="M109" s="579">
        <f>+SUM(L110:L113)</f>
        <v>41155.660000000003</v>
      </c>
      <c r="N109" s="163">
        <v>1.5</v>
      </c>
      <c r="O109" s="578">
        <f>+M109/N109</f>
        <v>27437.10666666667</v>
      </c>
      <c r="S109" s="162"/>
    </row>
    <row r="110" spans="2:19">
      <c r="B110" s="218" t="s">
        <v>1379</v>
      </c>
      <c r="C110" s="223" t="s">
        <v>1299</v>
      </c>
      <c r="D110" s="219">
        <v>1</v>
      </c>
      <c r="E110" s="219">
        <v>3</v>
      </c>
      <c r="F110" s="218">
        <v>1</v>
      </c>
      <c r="G110" s="218">
        <v>6</v>
      </c>
      <c r="H110" s="218">
        <f>+D110*E110</f>
        <v>3</v>
      </c>
      <c r="I110" s="218">
        <f>+ROUNDUP(H110*F110*$I$9,0)</f>
        <v>1</v>
      </c>
      <c r="J110" s="220">
        <f>VLOOKUP(C110,$B$5:$D$7,3,0)</f>
        <v>560</v>
      </c>
      <c r="K110" s="220">
        <f>+I110*J110</f>
        <v>560</v>
      </c>
      <c r="L110" s="221">
        <f>+K110*G110</f>
        <v>3360</v>
      </c>
      <c r="S110" s="162"/>
    </row>
    <row r="111" spans="2:19">
      <c r="B111" s="153" t="s">
        <v>1380</v>
      </c>
      <c r="C111" s="645" t="s">
        <v>1299</v>
      </c>
      <c r="D111" s="154">
        <v>3</v>
      </c>
      <c r="E111" s="154">
        <v>6</v>
      </c>
      <c r="F111" s="153">
        <v>3</v>
      </c>
      <c r="G111" s="153">
        <v>1.5</v>
      </c>
      <c r="H111" s="153">
        <f>+D111*E111</f>
        <v>18</v>
      </c>
      <c r="I111" s="153">
        <f>+ROUNDUP(H111*F111*$I$9,0)</f>
        <v>15</v>
      </c>
      <c r="J111" s="155">
        <f>VLOOKUP(C111,$B$5:$D$7,3,0)</f>
        <v>560</v>
      </c>
      <c r="K111" s="155">
        <f>+I111*J111</f>
        <v>8400</v>
      </c>
      <c r="L111" s="156">
        <f>+K111*G111</f>
        <v>12600</v>
      </c>
    </row>
    <row r="112" spans="2:19">
      <c r="B112" s="153"/>
      <c r="C112" s="645" t="s">
        <v>1299</v>
      </c>
      <c r="D112" s="154">
        <v>3</v>
      </c>
      <c r="E112" s="154">
        <v>6</v>
      </c>
      <c r="F112" s="153">
        <v>1.5</v>
      </c>
      <c r="G112" s="153">
        <v>1.5</v>
      </c>
      <c r="H112" s="153">
        <f>+D112*E112</f>
        <v>18</v>
      </c>
      <c r="I112" s="153">
        <f>+ROUNDUP(H112*F112*$I$9,0)</f>
        <v>8</v>
      </c>
      <c r="J112" s="155">
        <f>VLOOKUP(C112,$B$5:$D$7,3,0)</f>
        <v>560</v>
      </c>
      <c r="K112" s="155">
        <f>+I112*J112</f>
        <v>4480</v>
      </c>
      <c r="L112" s="156">
        <f>+K112*G112</f>
        <v>6720</v>
      </c>
    </row>
    <row r="113" spans="2:14">
      <c r="B113" s="157" t="s">
        <v>1381</v>
      </c>
      <c r="C113" s="169" t="s">
        <v>669</v>
      </c>
      <c r="D113" s="158"/>
      <c r="E113" s="158"/>
      <c r="F113" s="157"/>
      <c r="G113" s="157">
        <v>0.7</v>
      </c>
      <c r="H113" s="157"/>
      <c r="I113" s="157">
        <v>1</v>
      </c>
      <c r="J113" s="159">
        <f>VLOOKUP(C113,$B$5:$D$7,3,0)</f>
        <v>26393.8</v>
      </c>
      <c r="K113" s="159">
        <f>+I113*J113</f>
        <v>26393.8</v>
      </c>
      <c r="L113" s="160">
        <f>+K113*G113</f>
        <v>18475.66</v>
      </c>
    </row>
    <row r="114" spans="2:14"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6"/>
      <c r="N114" s="664"/>
    </row>
    <row r="115" spans="2:14">
      <c r="C115" s="147" t="s">
        <v>1382</v>
      </c>
      <c r="D115" s="148" t="s">
        <v>1383</v>
      </c>
      <c r="E115" s="148" t="s">
        <v>1384</v>
      </c>
      <c r="F115" s="162"/>
      <c r="G115" s="162"/>
    </row>
    <row r="116" spans="2:14">
      <c r="C116" s="612" t="s">
        <v>1203</v>
      </c>
      <c r="D116" s="145" t="s">
        <v>66</v>
      </c>
      <c r="E116" s="170">
        <f>+O11</f>
        <v>2679.1697027804412</v>
      </c>
      <c r="F116" s="162"/>
      <c r="G116" s="162"/>
    </row>
    <row r="117" spans="2:14">
      <c r="C117" s="609" t="s">
        <v>1385</v>
      </c>
      <c r="D117" s="145" t="s">
        <v>66</v>
      </c>
      <c r="E117" s="170">
        <f>+O17</f>
        <v>59306.287864245409</v>
      </c>
      <c r="F117" s="162"/>
      <c r="G117" s="162"/>
    </row>
    <row r="118" spans="2:14">
      <c r="C118" s="609" t="s">
        <v>1208</v>
      </c>
      <c r="D118" s="145" t="s">
        <v>66</v>
      </c>
      <c r="E118" s="170">
        <f>+O25</f>
        <v>63529.050814956856</v>
      </c>
      <c r="F118" s="162"/>
      <c r="G118" s="162"/>
    </row>
    <row r="119" spans="2:14">
      <c r="C119" s="609" t="s">
        <v>1386</v>
      </c>
      <c r="D119" s="145" t="s">
        <v>66</v>
      </c>
      <c r="E119" s="170">
        <f>+O31</f>
        <v>70925.049198513516</v>
      </c>
      <c r="F119" s="162"/>
      <c r="G119" s="162"/>
    </row>
    <row r="120" spans="2:14">
      <c r="C120" s="609" t="s">
        <v>1387</v>
      </c>
      <c r="D120" s="145" t="s">
        <v>66</v>
      </c>
      <c r="E120" s="170">
        <f>+O37</f>
        <v>75374.885714285701</v>
      </c>
      <c r="F120" s="162"/>
      <c r="G120" s="162"/>
    </row>
    <row r="121" spans="2:14">
      <c r="C121" s="609" t="s">
        <v>1388</v>
      </c>
      <c r="D121" s="145" t="s">
        <v>66</v>
      </c>
      <c r="E121" s="170">
        <f>+O48</f>
        <v>64182.776859504134</v>
      </c>
    </row>
    <row r="122" spans="2:14">
      <c r="C122" s="609" t="s">
        <v>1141</v>
      </c>
      <c r="D122" s="145" t="s">
        <v>66</v>
      </c>
      <c r="E122" s="170">
        <f>+O59</f>
        <v>33676.222435282834</v>
      </c>
    </row>
    <row r="123" spans="2:14">
      <c r="C123" s="609" t="s">
        <v>1205</v>
      </c>
      <c r="D123" s="145" t="s">
        <v>66</v>
      </c>
      <c r="E123" s="170">
        <f>+O67</f>
        <v>40107.551722225304</v>
      </c>
    </row>
    <row r="124" spans="2:14">
      <c r="C124" s="609" t="s">
        <v>1389</v>
      </c>
      <c r="D124" s="145" t="s">
        <v>66</v>
      </c>
      <c r="E124" s="170">
        <f>+O75</f>
        <v>99862.508788750405</v>
      </c>
    </row>
    <row r="125" spans="2:14">
      <c r="C125" s="609" t="s">
        <v>1206</v>
      </c>
      <c r="D125" s="145" t="s">
        <v>66</v>
      </c>
      <c r="E125" s="170">
        <f>+O84</f>
        <v>94202.298519052652</v>
      </c>
    </row>
    <row r="126" spans="2:14">
      <c r="C126" s="609" t="s">
        <v>483</v>
      </c>
      <c r="D126" s="145" t="s">
        <v>66</v>
      </c>
      <c r="E126" s="170">
        <f>+O93</f>
        <v>59263.2332885906</v>
      </c>
    </row>
    <row r="127" spans="2:14">
      <c r="C127" s="609" t="s">
        <v>1390</v>
      </c>
      <c r="D127" s="145" t="s">
        <v>66</v>
      </c>
      <c r="E127" s="170">
        <f>+O101</f>
        <v>68706.16362527039</v>
      </c>
    </row>
    <row r="128" spans="2:14">
      <c r="C128" s="609" t="s">
        <v>1391</v>
      </c>
      <c r="D128" s="145" t="s">
        <v>59</v>
      </c>
      <c r="E128" s="170">
        <f>+O109</f>
        <v>27437.10666666667</v>
      </c>
    </row>
    <row r="130" spans="2:12">
      <c r="G130" s="16"/>
    </row>
    <row r="131" spans="2:12">
      <c r="B131" s="147" t="s">
        <v>1392</v>
      </c>
      <c r="C131" s="147"/>
      <c r="G131" s="172">
        <v>45536</v>
      </c>
      <c r="H131" s="16">
        <v>14366.9</v>
      </c>
    </row>
    <row r="132" spans="2:12">
      <c r="B132" s="142" t="s">
        <v>1393</v>
      </c>
      <c r="C132" s="790" t="s">
        <v>433</v>
      </c>
      <c r="E132" s="791">
        <v>45588</v>
      </c>
      <c r="F132" s="177"/>
      <c r="G132" s="172">
        <v>45778</v>
      </c>
      <c r="H132" s="16">
        <v>16521.3</v>
      </c>
    </row>
    <row r="133" spans="2:12">
      <c r="E133" s="171"/>
      <c r="H133" s="877">
        <f>+H132/H131</f>
        <v>1.1499558011818833</v>
      </c>
    </row>
    <row r="134" spans="2:12">
      <c r="D134" s="16"/>
      <c r="E134" s="172"/>
    </row>
    <row r="135" spans="2:12">
      <c r="B135" s="144" t="s">
        <v>1394</v>
      </c>
      <c r="C135" s="148" t="s">
        <v>1395</v>
      </c>
      <c r="E135" s="148" t="s">
        <v>1396</v>
      </c>
      <c r="F135" s="148" t="s">
        <v>1397</v>
      </c>
      <c r="G135" s="148" t="s">
        <v>46</v>
      </c>
    </row>
    <row r="136" spans="2:12">
      <c r="B136" s="570" t="s">
        <v>1220</v>
      </c>
      <c r="C136" s="454">
        <v>6500</v>
      </c>
      <c r="D136" s="454">
        <f t="shared" ref="D136:D146" si="38">+C136*$H$133</f>
        <v>7474.7127076822417</v>
      </c>
      <c r="E136" s="454">
        <v>0</v>
      </c>
      <c r="F136" s="454">
        <v>1</v>
      </c>
      <c r="G136" s="454">
        <f>+D136*E136*F136</f>
        <v>0</v>
      </c>
    </row>
    <row r="137" spans="2:12">
      <c r="B137" s="570" t="s">
        <v>1398</v>
      </c>
      <c r="C137" s="454">
        <v>1500</v>
      </c>
      <c r="D137" s="454">
        <f>+C137*$H$133</f>
        <v>1724.9337017728251</v>
      </c>
      <c r="E137" s="454">
        <v>0</v>
      </c>
      <c r="F137" s="454">
        <v>1</v>
      </c>
      <c r="G137" s="454">
        <f>+D137*E137*F137</f>
        <v>0</v>
      </c>
      <c r="I137" s="142">
        <v>200</v>
      </c>
      <c r="J137" s="142" t="s">
        <v>1766</v>
      </c>
      <c r="K137" s="142" t="s">
        <v>314</v>
      </c>
      <c r="L137" s="142">
        <v>1</v>
      </c>
    </row>
    <row r="138" spans="2:12">
      <c r="B138" s="570" t="s">
        <v>1222</v>
      </c>
      <c r="C138" s="454">
        <v>6500</v>
      </c>
      <c r="D138" s="454">
        <f t="shared" si="38"/>
        <v>7474.7127076822417</v>
      </c>
      <c r="E138" s="454">
        <f>+I137</f>
        <v>200</v>
      </c>
      <c r="F138" s="454">
        <f>+L137</f>
        <v>1</v>
      </c>
      <c r="G138" s="454">
        <f t="shared" ref="G138:G146" si="39">+D138*E138*F138</f>
        <v>1494942.5415364483</v>
      </c>
      <c r="I138" s="142">
        <v>160</v>
      </c>
      <c r="J138" s="142" t="s">
        <v>2100</v>
      </c>
      <c r="K138" s="142" t="s">
        <v>316</v>
      </c>
      <c r="L138" s="142">
        <v>0.75</v>
      </c>
    </row>
    <row r="139" spans="2:12">
      <c r="B139" s="570" t="s">
        <v>1399</v>
      </c>
      <c r="C139" s="16">
        <v>6500</v>
      </c>
      <c r="D139" s="454">
        <f t="shared" si="38"/>
        <v>7474.7127076822417</v>
      </c>
      <c r="E139" s="454">
        <f>+$E$138</f>
        <v>200</v>
      </c>
      <c r="F139" s="454">
        <f>+ROUNDUP(SUM(L138:L142),0)</f>
        <v>4</v>
      </c>
      <c r="G139" s="454">
        <f t="shared" si="39"/>
        <v>5979770.1661457932</v>
      </c>
      <c r="I139" s="142">
        <v>110</v>
      </c>
      <c r="J139" s="142" t="s">
        <v>2101</v>
      </c>
      <c r="K139" s="142" t="s">
        <v>318</v>
      </c>
      <c r="L139" s="142">
        <v>0.75</v>
      </c>
    </row>
    <row r="140" spans="2:12">
      <c r="B140" s="570" t="s">
        <v>1398</v>
      </c>
      <c r="C140" s="454">
        <v>1500</v>
      </c>
      <c r="D140" s="454">
        <f>+C140*$H$133</f>
        <v>1724.9337017728251</v>
      </c>
      <c r="E140" s="454">
        <f>+E139</f>
        <v>200</v>
      </c>
      <c r="F140" s="454">
        <f>+SUM(F138:F139)</f>
        <v>5</v>
      </c>
      <c r="G140" s="454">
        <f>+D140*E140*F140</f>
        <v>1724933.7017728251</v>
      </c>
      <c r="I140" s="142">
        <v>22</v>
      </c>
      <c r="J140" s="142" t="s">
        <v>19</v>
      </c>
      <c r="K140" s="142" t="s">
        <v>320</v>
      </c>
      <c r="L140" s="142">
        <v>0.75</v>
      </c>
    </row>
    <row r="141" spans="2:12">
      <c r="B141" s="570" t="s">
        <v>2102</v>
      </c>
      <c r="C141" s="16">
        <v>6500</v>
      </c>
      <c r="D141" s="454">
        <f t="shared" si="38"/>
        <v>7474.7127076822417</v>
      </c>
      <c r="E141" s="454">
        <f>+I138</f>
        <v>160</v>
      </c>
      <c r="F141" s="454">
        <f>+ROUNDUP(SUM(L143:L144),0)</f>
        <v>2</v>
      </c>
      <c r="G141" s="454">
        <f t="shared" si="39"/>
        <v>2391908.0664583175</v>
      </c>
      <c r="K141" s="142" t="s">
        <v>1983</v>
      </c>
      <c r="L141" s="142">
        <v>0.75</v>
      </c>
    </row>
    <row r="142" spans="2:12">
      <c r="B142" s="570" t="s">
        <v>1398</v>
      </c>
      <c r="C142" s="454">
        <v>1500</v>
      </c>
      <c r="D142" s="454">
        <f>+C142*$H$133</f>
        <v>1724.9337017728251</v>
      </c>
      <c r="E142" s="454">
        <f>+E141</f>
        <v>160</v>
      </c>
      <c r="F142" s="454">
        <v>2</v>
      </c>
      <c r="G142" s="454">
        <f>+D142*E142*F142</f>
        <v>551978.78456730407</v>
      </c>
      <c r="K142" s="142" t="s">
        <v>1984</v>
      </c>
      <c r="L142" s="142">
        <v>0.75</v>
      </c>
    </row>
    <row r="143" spans="2:12">
      <c r="B143" s="570" t="s">
        <v>19</v>
      </c>
      <c r="C143" s="16">
        <v>6500</v>
      </c>
      <c r="D143" s="454">
        <f t="shared" si="38"/>
        <v>7474.7127076822417</v>
      </c>
      <c r="E143" s="454">
        <v>30</v>
      </c>
      <c r="F143" s="454">
        <f>+L145</f>
        <v>0.5</v>
      </c>
      <c r="G143" s="454">
        <f t="shared" si="39"/>
        <v>112120.69061523363</v>
      </c>
      <c r="K143" s="142" t="s">
        <v>1985</v>
      </c>
      <c r="L143" s="142">
        <v>0.75</v>
      </c>
    </row>
    <row r="144" spans="2:12">
      <c r="B144" s="570" t="s">
        <v>1398</v>
      </c>
      <c r="C144" s="454">
        <v>1500</v>
      </c>
      <c r="D144" s="454">
        <f>+C144*$H$133</f>
        <v>1724.9337017728251</v>
      </c>
      <c r="E144" s="454">
        <f>+E143</f>
        <v>30</v>
      </c>
      <c r="F144" s="454">
        <v>0.5</v>
      </c>
      <c r="G144" s="454">
        <f>+D144*E144*F144</f>
        <v>25874.005526592377</v>
      </c>
      <c r="K144" s="142" t="s">
        <v>1986</v>
      </c>
      <c r="L144" s="142">
        <v>0.5</v>
      </c>
    </row>
    <row r="145" spans="2:12">
      <c r="B145" s="570" t="s">
        <v>1400</v>
      </c>
      <c r="C145" s="16">
        <v>6500</v>
      </c>
      <c r="D145" s="454">
        <f t="shared" si="38"/>
        <v>7474.7127076822417</v>
      </c>
      <c r="E145" s="16">
        <f>+E142</f>
        <v>160</v>
      </c>
      <c r="F145" s="454">
        <v>1</v>
      </c>
      <c r="G145" s="454">
        <f t="shared" si="39"/>
        <v>1195954.0332291587</v>
      </c>
      <c r="K145" s="142" t="s">
        <v>1742</v>
      </c>
      <c r="L145" s="142">
        <v>0.5</v>
      </c>
    </row>
    <row r="146" spans="2:12">
      <c r="B146" s="570" t="s">
        <v>1401</v>
      </c>
      <c r="C146" s="16">
        <v>1500</v>
      </c>
      <c r="D146" s="454">
        <f t="shared" si="38"/>
        <v>1724.9337017728251</v>
      </c>
      <c r="E146" s="16">
        <f>+E139</f>
        <v>200</v>
      </c>
      <c r="F146" s="16">
        <v>0</v>
      </c>
      <c r="G146" s="454">
        <f t="shared" si="39"/>
        <v>0</v>
      </c>
      <c r="J146" s="145">
        <v>4</v>
      </c>
      <c r="K146" s="145"/>
      <c r="L146" s="145"/>
    </row>
    <row r="147" spans="2:12">
      <c r="D147" s="16"/>
      <c r="E147" s="16"/>
      <c r="F147" s="16"/>
      <c r="G147" s="98">
        <f>SUM(G136:G146)</f>
        <v>13477481.989851672</v>
      </c>
      <c r="J147" s="145" t="s">
        <v>1402</v>
      </c>
      <c r="K147" s="145" t="s">
        <v>1403</v>
      </c>
      <c r="L147" s="145" t="s">
        <v>1404</v>
      </c>
    </row>
    <row r="148" spans="2:12">
      <c r="D148" s="16"/>
      <c r="E148" s="16"/>
      <c r="F148" s="610"/>
      <c r="G148" s="98">
        <f>+L148</f>
        <v>8984987.9932344481</v>
      </c>
      <c r="J148" s="513">
        <f>+G147*J146</f>
        <v>53909927.959406689</v>
      </c>
      <c r="K148" s="145">
        <v>6</v>
      </c>
      <c r="L148" s="513">
        <f>+J148/K148</f>
        <v>8984987.9932344481</v>
      </c>
    </row>
    <row r="149" spans="2:12">
      <c r="B149" s="119" t="s">
        <v>1405</v>
      </c>
      <c r="C149" s="119"/>
      <c r="D149" s="16">
        <v>400000</v>
      </c>
      <c r="E149" s="16">
        <v>2</v>
      </c>
      <c r="F149" s="578">
        <v>1</v>
      </c>
      <c r="G149" s="454">
        <f>+D149*E149*F149</f>
        <v>800000</v>
      </c>
    </row>
    <row r="150" spans="2:12">
      <c r="B150" s="119" t="s">
        <v>1406</v>
      </c>
      <c r="C150" s="119"/>
      <c r="D150" s="16">
        <v>400000</v>
      </c>
      <c r="E150" s="16">
        <v>2</v>
      </c>
      <c r="F150" s="578">
        <v>1</v>
      </c>
      <c r="G150" s="454">
        <f>+D150*E150*F150</f>
        <v>800000</v>
      </c>
    </row>
    <row r="151" spans="2:12">
      <c r="G151" s="611">
        <f>SUM(G148:G150)</f>
        <v>10584987.993234448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9BB6-760C-4B2D-8FC0-5DED4BACA91A}">
  <dimension ref="B1:Y218"/>
  <sheetViews>
    <sheetView workbookViewId="0"/>
  </sheetViews>
  <sheetFormatPr defaultColWidth="11.54296875" defaultRowHeight="13"/>
  <cols>
    <col min="1" max="1" width="2.1796875" style="983" customWidth="1"/>
    <col min="2" max="2" width="14.81640625" style="983" bestFit="1" customWidth="1"/>
    <col min="3" max="3" width="5.453125" style="984" bestFit="1" customWidth="1"/>
    <col min="4" max="4" width="6.26953125" style="983" bestFit="1" customWidth="1"/>
    <col min="5" max="5" width="5.54296875" style="983" customWidth="1"/>
    <col min="6" max="6" width="6.54296875" style="983" bestFit="1" customWidth="1"/>
    <col min="7" max="7" width="6.26953125" style="983" bestFit="1" customWidth="1"/>
    <col min="8" max="8" width="6.54296875" style="983" customWidth="1"/>
    <col min="9" max="9" width="10.54296875" style="985" bestFit="1" customWidth="1"/>
    <col min="10" max="10" width="9.1796875" style="983" bestFit="1" customWidth="1"/>
    <col min="11" max="11" width="2.26953125" style="983" customWidth="1"/>
    <col min="12" max="12" width="7.7265625" style="983" customWidth="1"/>
    <col min="13" max="13" width="9.1796875" style="983" customWidth="1"/>
    <col min="14" max="15" width="7.54296875" style="983" bestFit="1" customWidth="1"/>
    <col min="16" max="17" width="6.54296875" style="983" bestFit="1" customWidth="1"/>
    <col min="18" max="18" width="2.26953125" style="983" customWidth="1"/>
    <col min="19" max="19" width="11.54296875" style="983"/>
    <col min="20" max="20" width="14.453125" style="983" bestFit="1" customWidth="1"/>
    <col min="21" max="16384" width="11.54296875" style="983"/>
  </cols>
  <sheetData>
    <row r="1" spans="2:20" ht="8.5" customHeight="1"/>
    <row r="2" spans="2:20">
      <c r="L2" s="987" t="s">
        <v>1763</v>
      </c>
      <c r="M2" s="987" t="s">
        <v>1764</v>
      </c>
      <c r="N2" s="987" t="s">
        <v>1765</v>
      </c>
      <c r="O2" s="987" t="s">
        <v>197</v>
      </c>
      <c r="P2" s="987" t="s">
        <v>2191</v>
      </c>
      <c r="Q2" s="987" t="s">
        <v>2192</v>
      </c>
      <c r="T2" s="986" t="s">
        <v>2269</v>
      </c>
    </row>
    <row r="3" spans="2:20">
      <c r="B3" s="986" t="s">
        <v>41</v>
      </c>
      <c r="C3" s="987" t="s">
        <v>1766</v>
      </c>
      <c r="D3" s="987" t="s">
        <v>215</v>
      </c>
      <c r="E3" s="987" t="s">
        <v>218</v>
      </c>
      <c r="F3" s="987" t="s">
        <v>4</v>
      </c>
      <c r="G3" s="987" t="s">
        <v>1676</v>
      </c>
      <c r="H3" s="987" t="s">
        <v>4</v>
      </c>
      <c r="I3" s="988" t="s">
        <v>1452</v>
      </c>
      <c r="J3" s="987" t="s">
        <v>17</v>
      </c>
      <c r="L3" s="987" t="s">
        <v>365</v>
      </c>
      <c r="M3" s="987" t="s">
        <v>368</v>
      </c>
      <c r="N3" s="987" t="s">
        <v>33</v>
      </c>
      <c r="O3" s="987" t="s">
        <v>1677</v>
      </c>
      <c r="P3" s="987" t="s">
        <v>2193</v>
      </c>
      <c r="Q3" s="987" t="s">
        <v>2194</v>
      </c>
    </row>
    <row r="4" spans="2:20">
      <c r="B4" s="986" t="s">
        <v>18</v>
      </c>
    </row>
    <row r="5" spans="2:20">
      <c r="B5" s="983" t="s">
        <v>488</v>
      </c>
      <c r="C5" s="984" t="s">
        <v>368</v>
      </c>
      <c r="D5" s="983">
        <v>0.4</v>
      </c>
      <c r="E5" s="983">
        <f>3.12-0.45</f>
        <v>2.67</v>
      </c>
      <c r="F5" s="983">
        <f t="shared" ref="F5:F68" si="0">+D5*E5</f>
        <v>1.0680000000000001</v>
      </c>
      <c r="G5" s="983">
        <v>0</v>
      </c>
      <c r="H5" s="983">
        <f>+F5-G5</f>
        <v>1.0680000000000001</v>
      </c>
      <c r="I5" s="985">
        <v>1</v>
      </c>
      <c r="J5" s="983">
        <f>+H5*I5</f>
        <v>1.0680000000000001</v>
      </c>
      <c r="L5" s="983">
        <f t="shared" ref="L5:L40" si="1">IF(C5=$L$3,J5,0)</f>
        <v>0</v>
      </c>
      <c r="M5" s="983">
        <f>IF(C5=$M$3,J5,0)</f>
        <v>1.0680000000000001</v>
      </c>
      <c r="N5" s="983">
        <f>IF(C5=$N$3,J5,0)</f>
        <v>0</v>
      </c>
      <c r="O5" s="983">
        <f>IF(C5=$O$3,J5,0)</f>
        <v>0</v>
      </c>
      <c r="P5" s="983">
        <f t="shared" ref="P5:P40" si="2">IF(C5=$P$3,J5,0)</f>
        <v>0</v>
      </c>
      <c r="Q5" s="983">
        <f t="shared" ref="Q5:Q40" si="3">IF(C5=$Q$3,J5,0)</f>
        <v>0</v>
      </c>
      <c r="T5" s="983">
        <f>+D5</f>
        <v>0.4</v>
      </c>
    </row>
    <row r="6" spans="2:20">
      <c r="B6" s="983" t="s">
        <v>2195</v>
      </c>
      <c r="C6" s="984" t="s">
        <v>368</v>
      </c>
      <c r="D6" s="983">
        <v>0.4</v>
      </c>
      <c r="E6" s="983">
        <v>3</v>
      </c>
      <c r="F6" s="983">
        <f t="shared" si="0"/>
        <v>1.2000000000000002</v>
      </c>
      <c r="G6" s="983">
        <v>0</v>
      </c>
      <c r="H6" s="983">
        <f t="shared" ref="H6:H88" si="4">+F6-G6</f>
        <v>1.2000000000000002</v>
      </c>
      <c r="I6" s="985">
        <v>1</v>
      </c>
      <c r="J6" s="983">
        <f t="shared" ref="J6:J69" si="5">+H6*I6</f>
        <v>1.2000000000000002</v>
      </c>
      <c r="L6" s="983">
        <f t="shared" si="1"/>
        <v>0</v>
      </c>
      <c r="M6" s="983">
        <f>IF(C6=$M$3,J6,0)</f>
        <v>1.2000000000000002</v>
      </c>
      <c r="N6" s="983">
        <f>IF(C6=$N$3,J6,0)</f>
        <v>0</v>
      </c>
      <c r="O6" s="983">
        <f>IF(C6=$O$3,J6,0)</f>
        <v>0</v>
      </c>
      <c r="P6" s="983">
        <f t="shared" si="2"/>
        <v>0</v>
      </c>
      <c r="Q6" s="983">
        <f t="shared" si="3"/>
        <v>0</v>
      </c>
      <c r="T6" s="983">
        <f t="shared" ref="T6:T39" si="6">+D6</f>
        <v>0.4</v>
      </c>
    </row>
    <row r="7" spans="2:20">
      <c r="B7" s="983" t="s">
        <v>489</v>
      </c>
      <c r="C7" s="984" t="s">
        <v>368</v>
      </c>
      <c r="D7" s="983">
        <v>0.57999999999999996</v>
      </c>
      <c r="E7" s="983">
        <f>+$E$5</f>
        <v>2.67</v>
      </c>
      <c r="F7" s="983">
        <f t="shared" si="0"/>
        <v>1.5485999999999998</v>
      </c>
      <c r="G7" s="983">
        <v>0</v>
      </c>
      <c r="H7" s="983">
        <f t="shared" si="4"/>
        <v>1.5485999999999998</v>
      </c>
      <c r="I7" s="985">
        <v>1</v>
      </c>
      <c r="J7" s="983">
        <f t="shared" si="5"/>
        <v>1.5485999999999998</v>
      </c>
      <c r="L7" s="983">
        <f t="shared" si="1"/>
        <v>0</v>
      </c>
      <c r="M7" s="983">
        <f t="shared" ref="M7:M40" si="7">IF(C7=$M$3,J7,0)</f>
        <v>1.5485999999999998</v>
      </c>
      <c r="N7" s="983">
        <f t="shared" ref="N7:N40" si="8">IF(C7=$N$3,J7,0)</f>
        <v>0</v>
      </c>
      <c r="O7" s="983">
        <f t="shared" ref="O7:O40" si="9">IF(C7=$O$3,J7,0)</f>
        <v>0</v>
      </c>
      <c r="P7" s="983">
        <f t="shared" si="2"/>
        <v>0</v>
      </c>
      <c r="Q7" s="983">
        <f t="shared" si="3"/>
        <v>0</v>
      </c>
      <c r="T7" s="983">
        <f t="shared" si="6"/>
        <v>0.57999999999999996</v>
      </c>
    </row>
    <row r="8" spans="2:20">
      <c r="B8" s="983" t="s">
        <v>2196</v>
      </c>
      <c r="C8" s="984" t="s">
        <v>365</v>
      </c>
      <c r="D8" s="983">
        <v>0.57999999999999996</v>
      </c>
      <c r="E8" s="983">
        <v>3</v>
      </c>
      <c r="F8" s="983">
        <f t="shared" si="0"/>
        <v>1.7399999999999998</v>
      </c>
      <c r="G8" s="983">
        <v>0</v>
      </c>
      <c r="H8" s="983">
        <f t="shared" si="4"/>
        <v>1.7399999999999998</v>
      </c>
      <c r="I8" s="985">
        <v>1</v>
      </c>
      <c r="J8" s="983">
        <f t="shared" si="5"/>
        <v>1.7399999999999998</v>
      </c>
      <c r="L8" s="983">
        <f t="shared" si="1"/>
        <v>1.7399999999999998</v>
      </c>
      <c r="M8" s="983">
        <f t="shared" si="7"/>
        <v>0</v>
      </c>
      <c r="N8" s="983">
        <f t="shared" si="8"/>
        <v>0</v>
      </c>
      <c r="O8" s="983">
        <f t="shared" si="9"/>
        <v>0</v>
      </c>
      <c r="P8" s="983">
        <f t="shared" si="2"/>
        <v>0</v>
      </c>
      <c r="Q8" s="983">
        <f t="shared" si="3"/>
        <v>0</v>
      </c>
      <c r="T8" s="983">
        <f t="shared" si="6"/>
        <v>0.57999999999999996</v>
      </c>
    </row>
    <row r="9" spans="2:20">
      <c r="B9" s="983" t="s">
        <v>2197</v>
      </c>
      <c r="C9" s="984" t="s">
        <v>368</v>
      </c>
      <c r="D9" s="983">
        <v>0.57999999999999996</v>
      </c>
      <c r="E9" s="983">
        <v>3</v>
      </c>
      <c r="F9" s="983">
        <f t="shared" si="0"/>
        <v>1.7399999999999998</v>
      </c>
      <c r="G9" s="983">
        <v>0</v>
      </c>
      <c r="H9" s="983">
        <f t="shared" si="4"/>
        <v>1.7399999999999998</v>
      </c>
      <c r="I9" s="985">
        <v>1</v>
      </c>
      <c r="J9" s="983">
        <f t="shared" si="5"/>
        <v>1.7399999999999998</v>
      </c>
      <c r="L9" s="983">
        <f t="shared" si="1"/>
        <v>0</v>
      </c>
      <c r="M9" s="983">
        <f t="shared" si="7"/>
        <v>1.7399999999999998</v>
      </c>
      <c r="N9" s="983">
        <f t="shared" si="8"/>
        <v>0</v>
      </c>
      <c r="O9" s="983">
        <f t="shared" si="9"/>
        <v>0</v>
      </c>
      <c r="P9" s="983">
        <f t="shared" si="2"/>
        <v>0</v>
      </c>
      <c r="Q9" s="983">
        <f t="shared" si="3"/>
        <v>0</v>
      </c>
      <c r="T9" s="983">
        <f t="shared" si="6"/>
        <v>0.57999999999999996</v>
      </c>
    </row>
    <row r="10" spans="2:20">
      <c r="B10" s="983" t="s">
        <v>490</v>
      </c>
      <c r="C10" s="984" t="s">
        <v>368</v>
      </c>
      <c r="D10" s="983">
        <v>1.82</v>
      </c>
      <c r="E10" s="983">
        <f>+$E$5</f>
        <v>2.67</v>
      </c>
      <c r="F10" s="983">
        <f t="shared" si="0"/>
        <v>4.8593999999999999</v>
      </c>
      <c r="G10" s="983">
        <v>0</v>
      </c>
      <c r="H10" s="983">
        <f t="shared" si="4"/>
        <v>4.8593999999999999</v>
      </c>
      <c r="I10" s="985">
        <v>1</v>
      </c>
      <c r="J10" s="983">
        <f t="shared" si="5"/>
        <v>4.8593999999999999</v>
      </c>
      <c r="L10" s="983">
        <f t="shared" si="1"/>
        <v>0</v>
      </c>
      <c r="M10" s="983">
        <f t="shared" si="7"/>
        <v>4.8593999999999999</v>
      </c>
      <c r="N10" s="983">
        <f t="shared" si="8"/>
        <v>0</v>
      </c>
      <c r="O10" s="983">
        <f t="shared" si="9"/>
        <v>0</v>
      </c>
      <c r="P10" s="983">
        <f t="shared" si="2"/>
        <v>0</v>
      </c>
      <c r="Q10" s="983">
        <f t="shared" si="3"/>
        <v>0</v>
      </c>
      <c r="T10" s="983">
        <f t="shared" si="6"/>
        <v>1.82</v>
      </c>
    </row>
    <row r="11" spans="2:20">
      <c r="B11" s="983" t="s">
        <v>491</v>
      </c>
      <c r="C11" s="984" t="s">
        <v>368</v>
      </c>
      <c r="D11" s="983">
        <v>1</v>
      </c>
      <c r="E11" s="983">
        <v>3</v>
      </c>
      <c r="F11" s="983">
        <f t="shared" si="0"/>
        <v>3</v>
      </c>
      <c r="G11" s="983">
        <v>0</v>
      </c>
      <c r="H11" s="983">
        <f t="shared" si="4"/>
        <v>3</v>
      </c>
      <c r="I11" s="985">
        <v>1</v>
      </c>
      <c r="J11" s="983">
        <f t="shared" si="5"/>
        <v>3</v>
      </c>
      <c r="L11" s="983">
        <f t="shared" si="1"/>
        <v>0</v>
      </c>
      <c r="M11" s="983">
        <f t="shared" si="7"/>
        <v>3</v>
      </c>
      <c r="N11" s="983">
        <f t="shared" si="8"/>
        <v>0</v>
      </c>
      <c r="O11" s="983">
        <f t="shared" si="9"/>
        <v>0</v>
      </c>
      <c r="P11" s="983">
        <f t="shared" si="2"/>
        <v>0</v>
      </c>
      <c r="Q11" s="983">
        <f t="shared" si="3"/>
        <v>0</v>
      </c>
      <c r="T11" s="983">
        <f t="shared" si="6"/>
        <v>1</v>
      </c>
    </row>
    <row r="12" spans="2:20">
      <c r="B12" s="983" t="s">
        <v>1678</v>
      </c>
      <c r="C12" s="984" t="s">
        <v>368</v>
      </c>
      <c r="D12" s="983">
        <v>1.81</v>
      </c>
      <c r="E12" s="983">
        <v>3</v>
      </c>
      <c r="F12" s="983">
        <f t="shared" si="0"/>
        <v>5.43</v>
      </c>
      <c r="G12" s="983">
        <v>0</v>
      </c>
      <c r="H12" s="983">
        <f t="shared" si="4"/>
        <v>5.43</v>
      </c>
      <c r="I12" s="985">
        <v>2</v>
      </c>
      <c r="J12" s="983">
        <f t="shared" si="5"/>
        <v>10.86</v>
      </c>
      <c r="L12" s="983">
        <f t="shared" si="1"/>
        <v>0</v>
      </c>
      <c r="M12" s="983">
        <f t="shared" si="7"/>
        <v>10.86</v>
      </c>
      <c r="N12" s="983">
        <f t="shared" si="8"/>
        <v>0</v>
      </c>
      <c r="O12" s="983">
        <f t="shared" si="9"/>
        <v>0</v>
      </c>
      <c r="P12" s="983">
        <f t="shared" si="2"/>
        <v>0</v>
      </c>
      <c r="Q12" s="983">
        <f t="shared" si="3"/>
        <v>0</v>
      </c>
      <c r="T12" s="983">
        <f t="shared" si="6"/>
        <v>1.81</v>
      </c>
    </row>
    <row r="13" spans="2:20">
      <c r="B13" s="983" t="s">
        <v>1679</v>
      </c>
      <c r="C13" s="984" t="s">
        <v>33</v>
      </c>
      <c r="D13" s="983">
        <v>1</v>
      </c>
      <c r="E13" s="983">
        <v>3</v>
      </c>
      <c r="F13" s="983">
        <f t="shared" si="0"/>
        <v>3</v>
      </c>
      <c r="G13" s="983">
        <v>0</v>
      </c>
      <c r="H13" s="983">
        <f t="shared" si="4"/>
        <v>3</v>
      </c>
      <c r="I13" s="985">
        <v>1</v>
      </c>
      <c r="J13" s="983">
        <f t="shared" si="5"/>
        <v>3</v>
      </c>
      <c r="L13" s="983">
        <f t="shared" si="1"/>
        <v>0</v>
      </c>
      <c r="M13" s="983">
        <f t="shared" si="7"/>
        <v>0</v>
      </c>
      <c r="N13" s="983">
        <f t="shared" si="8"/>
        <v>3</v>
      </c>
      <c r="O13" s="983">
        <f t="shared" si="9"/>
        <v>0</v>
      </c>
      <c r="P13" s="983">
        <f t="shared" si="2"/>
        <v>0</v>
      </c>
      <c r="Q13" s="983">
        <f t="shared" si="3"/>
        <v>0</v>
      </c>
      <c r="T13" s="983">
        <f t="shared" si="6"/>
        <v>1</v>
      </c>
    </row>
    <row r="14" spans="2:20">
      <c r="B14" s="983" t="s">
        <v>1680</v>
      </c>
      <c r="C14" s="984" t="s">
        <v>2193</v>
      </c>
      <c r="D14" s="983">
        <v>2.25</v>
      </c>
      <c r="E14" s="983">
        <v>3</v>
      </c>
      <c r="F14" s="983">
        <f t="shared" si="0"/>
        <v>6.75</v>
      </c>
      <c r="G14" s="983">
        <v>0</v>
      </c>
      <c r="H14" s="983">
        <f t="shared" si="4"/>
        <v>6.75</v>
      </c>
      <c r="I14" s="985">
        <v>1</v>
      </c>
      <c r="J14" s="983">
        <f t="shared" si="5"/>
        <v>6.75</v>
      </c>
      <c r="L14" s="983">
        <f t="shared" si="1"/>
        <v>0</v>
      </c>
      <c r="M14" s="983">
        <f t="shared" si="7"/>
        <v>0</v>
      </c>
      <c r="N14" s="983">
        <f t="shared" si="8"/>
        <v>0</v>
      </c>
      <c r="O14" s="983">
        <f t="shared" si="9"/>
        <v>0</v>
      </c>
      <c r="P14" s="983">
        <f t="shared" si="2"/>
        <v>6.75</v>
      </c>
      <c r="Q14" s="983">
        <f t="shared" si="3"/>
        <v>0</v>
      </c>
      <c r="T14" s="983">
        <f t="shared" si="6"/>
        <v>2.25</v>
      </c>
    </row>
    <row r="15" spans="2:20">
      <c r="B15" s="983" t="s">
        <v>1681</v>
      </c>
      <c r="C15" s="984" t="s">
        <v>368</v>
      </c>
      <c r="D15" s="983">
        <v>2.25</v>
      </c>
      <c r="E15" s="983">
        <v>3</v>
      </c>
      <c r="F15" s="983">
        <f t="shared" si="0"/>
        <v>6.75</v>
      </c>
      <c r="G15" s="983">
        <v>0</v>
      </c>
      <c r="H15" s="983">
        <f t="shared" si="4"/>
        <v>6.75</v>
      </c>
      <c r="I15" s="985">
        <v>1</v>
      </c>
      <c r="J15" s="983">
        <f t="shared" si="5"/>
        <v>6.75</v>
      </c>
      <c r="L15" s="983">
        <f t="shared" si="1"/>
        <v>0</v>
      </c>
      <c r="M15" s="983">
        <f t="shared" si="7"/>
        <v>6.75</v>
      </c>
      <c r="N15" s="983">
        <f t="shared" si="8"/>
        <v>0</v>
      </c>
      <c r="O15" s="983">
        <f t="shared" si="9"/>
        <v>0</v>
      </c>
      <c r="P15" s="983">
        <f t="shared" si="2"/>
        <v>0</v>
      </c>
      <c r="Q15" s="983">
        <f t="shared" si="3"/>
        <v>0</v>
      </c>
      <c r="T15" s="983">
        <f t="shared" si="6"/>
        <v>2.25</v>
      </c>
    </row>
    <row r="16" spans="2:20">
      <c r="B16" s="983" t="s">
        <v>2198</v>
      </c>
      <c r="C16" s="984" t="s">
        <v>1677</v>
      </c>
      <c r="D16" s="983">
        <v>3.21</v>
      </c>
      <c r="E16" s="983">
        <f>+$E$5</f>
        <v>2.67</v>
      </c>
      <c r="F16" s="983">
        <f t="shared" si="0"/>
        <v>8.5707000000000004</v>
      </c>
      <c r="G16" s="983">
        <v>0</v>
      </c>
      <c r="H16" s="983">
        <f t="shared" si="4"/>
        <v>8.5707000000000004</v>
      </c>
      <c r="I16" s="985">
        <v>1</v>
      </c>
      <c r="J16" s="983">
        <f t="shared" si="5"/>
        <v>8.5707000000000004</v>
      </c>
      <c r="L16" s="983">
        <f t="shared" si="1"/>
        <v>0</v>
      </c>
      <c r="M16" s="983">
        <f t="shared" si="7"/>
        <v>0</v>
      </c>
      <c r="N16" s="983">
        <f t="shared" si="8"/>
        <v>0</v>
      </c>
      <c r="O16" s="983">
        <f t="shared" si="9"/>
        <v>8.5707000000000004</v>
      </c>
      <c r="P16" s="983">
        <f t="shared" si="2"/>
        <v>0</v>
      </c>
      <c r="Q16" s="983">
        <f t="shared" si="3"/>
        <v>0</v>
      </c>
      <c r="T16" s="983">
        <f t="shared" si="6"/>
        <v>3.21</v>
      </c>
    </row>
    <row r="17" spans="2:20">
      <c r="B17" s="983" t="s">
        <v>2199</v>
      </c>
      <c r="C17" s="984" t="s">
        <v>1677</v>
      </c>
      <c r="D17" s="983">
        <v>4.1500000000000004</v>
      </c>
      <c r="E17" s="983">
        <f>+$E$5</f>
        <v>2.67</v>
      </c>
      <c r="F17" s="983">
        <f t="shared" si="0"/>
        <v>11.080500000000001</v>
      </c>
      <c r="G17" s="983">
        <v>0</v>
      </c>
      <c r="H17" s="983">
        <f t="shared" si="4"/>
        <v>11.080500000000001</v>
      </c>
      <c r="I17" s="985">
        <v>1</v>
      </c>
      <c r="J17" s="983">
        <f t="shared" si="5"/>
        <v>11.080500000000001</v>
      </c>
      <c r="L17" s="983">
        <f t="shared" si="1"/>
        <v>0</v>
      </c>
      <c r="M17" s="983">
        <f t="shared" si="7"/>
        <v>0</v>
      </c>
      <c r="N17" s="983">
        <f t="shared" si="8"/>
        <v>0</v>
      </c>
      <c r="O17" s="983">
        <f t="shared" si="9"/>
        <v>11.080500000000001</v>
      </c>
      <c r="P17" s="983">
        <f t="shared" si="2"/>
        <v>0</v>
      </c>
      <c r="Q17" s="983">
        <f t="shared" si="3"/>
        <v>0</v>
      </c>
      <c r="T17" s="983">
        <f t="shared" si="6"/>
        <v>4.1500000000000004</v>
      </c>
    </row>
    <row r="18" spans="2:20">
      <c r="B18" s="983" t="s">
        <v>2200</v>
      </c>
      <c r="C18" s="984" t="s">
        <v>1677</v>
      </c>
      <c r="D18" s="983">
        <v>3.82</v>
      </c>
      <c r="E18" s="983">
        <f>+$E$5</f>
        <v>2.67</v>
      </c>
      <c r="F18" s="983">
        <f t="shared" si="0"/>
        <v>10.199399999999999</v>
      </c>
      <c r="G18" s="983">
        <v>0</v>
      </c>
      <c r="H18" s="983">
        <f t="shared" si="4"/>
        <v>10.199399999999999</v>
      </c>
      <c r="I18" s="985">
        <v>1</v>
      </c>
      <c r="J18" s="983">
        <f t="shared" si="5"/>
        <v>10.199399999999999</v>
      </c>
      <c r="L18" s="983">
        <f t="shared" si="1"/>
        <v>0</v>
      </c>
      <c r="M18" s="983">
        <f t="shared" si="7"/>
        <v>0</v>
      </c>
      <c r="N18" s="983">
        <f t="shared" si="8"/>
        <v>0</v>
      </c>
      <c r="O18" s="983">
        <f t="shared" si="9"/>
        <v>10.199399999999999</v>
      </c>
      <c r="P18" s="983">
        <f t="shared" si="2"/>
        <v>0</v>
      </c>
      <c r="Q18" s="983">
        <f t="shared" si="3"/>
        <v>0</v>
      </c>
      <c r="T18" s="983">
        <f t="shared" si="6"/>
        <v>3.82</v>
      </c>
    </row>
    <row r="19" spans="2:20">
      <c r="B19" s="983" t="s">
        <v>2201</v>
      </c>
      <c r="C19" s="984" t="s">
        <v>1677</v>
      </c>
      <c r="D19" s="983">
        <v>3.33</v>
      </c>
      <c r="E19" s="983">
        <f>+$E$5</f>
        <v>2.67</v>
      </c>
      <c r="F19" s="983">
        <f t="shared" si="0"/>
        <v>8.8910999999999998</v>
      </c>
      <c r="G19" s="983">
        <v>0</v>
      </c>
      <c r="H19" s="983">
        <f t="shared" si="4"/>
        <v>8.8910999999999998</v>
      </c>
      <c r="I19" s="985">
        <v>1</v>
      </c>
      <c r="J19" s="983">
        <f t="shared" si="5"/>
        <v>8.8910999999999998</v>
      </c>
      <c r="L19" s="983">
        <f t="shared" si="1"/>
        <v>0</v>
      </c>
      <c r="M19" s="983">
        <f t="shared" si="7"/>
        <v>0</v>
      </c>
      <c r="N19" s="983">
        <f t="shared" si="8"/>
        <v>0</v>
      </c>
      <c r="O19" s="983">
        <f t="shared" si="9"/>
        <v>8.8910999999999998</v>
      </c>
      <c r="P19" s="983">
        <f t="shared" si="2"/>
        <v>0</v>
      </c>
      <c r="Q19" s="983">
        <f t="shared" si="3"/>
        <v>0</v>
      </c>
      <c r="T19" s="983">
        <f t="shared" si="6"/>
        <v>3.33</v>
      </c>
    </row>
    <row r="20" spans="2:20">
      <c r="B20" s="983" t="s">
        <v>2202</v>
      </c>
      <c r="C20" s="984" t="s">
        <v>1677</v>
      </c>
      <c r="D20" s="983">
        <v>6.08</v>
      </c>
      <c r="E20" s="983">
        <v>3</v>
      </c>
      <c r="F20" s="983">
        <f t="shared" si="0"/>
        <v>18.240000000000002</v>
      </c>
      <c r="G20" s="983">
        <v>0</v>
      </c>
      <c r="H20" s="983">
        <f t="shared" si="4"/>
        <v>18.240000000000002</v>
      </c>
      <c r="I20" s="985">
        <v>1</v>
      </c>
      <c r="J20" s="983">
        <f t="shared" si="5"/>
        <v>18.240000000000002</v>
      </c>
      <c r="L20" s="983">
        <f t="shared" si="1"/>
        <v>0</v>
      </c>
      <c r="M20" s="983">
        <f t="shared" si="7"/>
        <v>0</v>
      </c>
      <c r="N20" s="983">
        <f t="shared" si="8"/>
        <v>0</v>
      </c>
      <c r="O20" s="983">
        <f t="shared" si="9"/>
        <v>18.240000000000002</v>
      </c>
      <c r="P20" s="983">
        <f t="shared" si="2"/>
        <v>0</v>
      </c>
      <c r="Q20" s="983">
        <f t="shared" si="3"/>
        <v>0</v>
      </c>
      <c r="T20" s="983">
        <f t="shared" si="6"/>
        <v>6.08</v>
      </c>
    </row>
    <row r="21" spans="2:20">
      <c r="B21" s="983" t="s">
        <v>2203</v>
      </c>
      <c r="C21" s="984" t="s">
        <v>1677</v>
      </c>
      <c r="D21" s="983">
        <v>6.38</v>
      </c>
      <c r="E21" s="983">
        <v>3</v>
      </c>
      <c r="F21" s="983">
        <f t="shared" si="0"/>
        <v>19.14</v>
      </c>
      <c r="G21" s="983">
        <v>0</v>
      </c>
      <c r="H21" s="983">
        <f t="shared" si="4"/>
        <v>19.14</v>
      </c>
      <c r="I21" s="985">
        <v>1</v>
      </c>
      <c r="J21" s="983">
        <f t="shared" si="5"/>
        <v>19.14</v>
      </c>
      <c r="L21" s="983">
        <f t="shared" si="1"/>
        <v>0</v>
      </c>
      <c r="M21" s="983">
        <f t="shared" si="7"/>
        <v>0</v>
      </c>
      <c r="N21" s="983">
        <f t="shared" si="8"/>
        <v>0</v>
      </c>
      <c r="O21" s="983">
        <f t="shared" si="9"/>
        <v>19.14</v>
      </c>
      <c r="P21" s="983">
        <f t="shared" si="2"/>
        <v>0</v>
      </c>
      <c r="Q21" s="983">
        <f t="shared" si="3"/>
        <v>0</v>
      </c>
      <c r="T21" s="983">
        <f t="shared" si="6"/>
        <v>6.38</v>
      </c>
    </row>
    <row r="22" spans="2:20">
      <c r="B22" s="983" t="s">
        <v>1683</v>
      </c>
      <c r="C22" s="984" t="s">
        <v>368</v>
      </c>
      <c r="D22" s="983">
        <v>4.03</v>
      </c>
      <c r="E22" s="983">
        <v>3</v>
      </c>
      <c r="F22" s="983">
        <f t="shared" si="0"/>
        <v>12.09</v>
      </c>
      <c r="G22" s="983">
        <v>0</v>
      </c>
      <c r="H22" s="983">
        <f t="shared" si="4"/>
        <v>12.09</v>
      </c>
      <c r="I22" s="985">
        <v>1</v>
      </c>
      <c r="J22" s="983">
        <f t="shared" si="5"/>
        <v>12.09</v>
      </c>
      <c r="L22" s="983">
        <f t="shared" si="1"/>
        <v>0</v>
      </c>
      <c r="M22" s="983">
        <f t="shared" si="7"/>
        <v>12.09</v>
      </c>
      <c r="N22" s="983">
        <f t="shared" si="8"/>
        <v>0</v>
      </c>
      <c r="O22" s="983">
        <f t="shared" si="9"/>
        <v>0</v>
      </c>
      <c r="P22" s="983">
        <f t="shared" si="2"/>
        <v>0</v>
      </c>
      <c r="Q22" s="983">
        <f t="shared" si="3"/>
        <v>0</v>
      </c>
      <c r="T22" s="983">
        <f t="shared" si="6"/>
        <v>4.03</v>
      </c>
    </row>
    <row r="23" spans="2:20">
      <c r="B23" s="983" t="s">
        <v>2204</v>
      </c>
      <c r="C23" s="984" t="s">
        <v>368</v>
      </c>
      <c r="D23" s="983">
        <v>3.2</v>
      </c>
      <c r="E23" s="983">
        <f>+$E$5</f>
        <v>2.67</v>
      </c>
      <c r="F23" s="983">
        <f t="shared" si="0"/>
        <v>8.5440000000000005</v>
      </c>
      <c r="G23" s="983">
        <v>0</v>
      </c>
      <c r="H23" s="983">
        <f t="shared" si="4"/>
        <v>8.5440000000000005</v>
      </c>
      <c r="I23" s="985">
        <v>1</v>
      </c>
      <c r="J23" s="983">
        <f t="shared" si="5"/>
        <v>8.5440000000000005</v>
      </c>
      <c r="L23" s="983">
        <f t="shared" si="1"/>
        <v>0</v>
      </c>
      <c r="M23" s="983">
        <f t="shared" si="7"/>
        <v>8.5440000000000005</v>
      </c>
      <c r="N23" s="983">
        <f t="shared" si="8"/>
        <v>0</v>
      </c>
      <c r="O23" s="983">
        <f t="shared" si="9"/>
        <v>0</v>
      </c>
      <c r="P23" s="983">
        <f t="shared" si="2"/>
        <v>0</v>
      </c>
      <c r="Q23" s="983">
        <f t="shared" si="3"/>
        <v>0</v>
      </c>
      <c r="T23" s="983">
        <f t="shared" si="6"/>
        <v>3.2</v>
      </c>
    </row>
    <row r="24" spans="2:20">
      <c r="B24" s="983" t="s">
        <v>1684</v>
      </c>
      <c r="C24" s="984" t="s">
        <v>368</v>
      </c>
      <c r="D24" s="983">
        <v>4.03</v>
      </c>
      <c r="E24" s="983">
        <v>3</v>
      </c>
      <c r="F24" s="983">
        <f t="shared" si="0"/>
        <v>12.09</v>
      </c>
      <c r="G24" s="983">
        <v>0</v>
      </c>
      <c r="H24" s="983">
        <f t="shared" si="4"/>
        <v>12.09</v>
      </c>
      <c r="I24" s="985">
        <v>1</v>
      </c>
      <c r="J24" s="983">
        <f t="shared" si="5"/>
        <v>12.09</v>
      </c>
      <c r="L24" s="983">
        <f t="shared" si="1"/>
        <v>0</v>
      </c>
      <c r="M24" s="983">
        <f t="shared" si="7"/>
        <v>12.09</v>
      </c>
      <c r="N24" s="983">
        <f t="shared" si="8"/>
        <v>0</v>
      </c>
      <c r="O24" s="983">
        <f t="shared" si="9"/>
        <v>0</v>
      </c>
      <c r="P24" s="983">
        <f t="shared" si="2"/>
        <v>0</v>
      </c>
      <c r="Q24" s="983">
        <f t="shared" si="3"/>
        <v>0</v>
      </c>
      <c r="T24" s="983">
        <f t="shared" si="6"/>
        <v>4.03</v>
      </c>
    </row>
    <row r="25" spans="2:20">
      <c r="B25" s="983" t="s">
        <v>1685</v>
      </c>
      <c r="C25" s="984" t="s">
        <v>368</v>
      </c>
      <c r="D25" s="983">
        <v>0.75</v>
      </c>
      <c r="E25" s="983">
        <v>3</v>
      </c>
      <c r="F25" s="983">
        <f t="shared" si="0"/>
        <v>2.25</v>
      </c>
      <c r="G25" s="983">
        <v>0</v>
      </c>
      <c r="H25" s="983">
        <f t="shared" si="4"/>
        <v>2.25</v>
      </c>
      <c r="I25" s="985">
        <v>1</v>
      </c>
      <c r="J25" s="983">
        <f t="shared" si="5"/>
        <v>2.25</v>
      </c>
      <c r="L25" s="983">
        <f t="shared" si="1"/>
        <v>0</v>
      </c>
      <c r="M25" s="983">
        <f t="shared" si="7"/>
        <v>2.25</v>
      </c>
      <c r="N25" s="983">
        <f t="shared" si="8"/>
        <v>0</v>
      </c>
      <c r="O25" s="983">
        <f t="shared" si="9"/>
        <v>0</v>
      </c>
      <c r="P25" s="983">
        <f t="shared" si="2"/>
        <v>0</v>
      </c>
      <c r="Q25" s="983">
        <f t="shared" si="3"/>
        <v>0</v>
      </c>
      <c r="T25" s="983">
        <f t="shared" si="6"/>
        <v>0.75</v>
      </c>
    </row>
    <row r="26" spans="2:20">
      <c r="B26" s="983" t="s">
        <v>1686</v>
      </c>
      <c r="C26" s="984" t="s">
        <v>368</v>
      </c>
      <c r="D26" s="983">
        <v>4.05</v>
      </c>
      <c r="E26" s="983">
        <v>3</v>
      </c>
      <c r="F26" s="983">
        <f t="shared" si="0"/>
        <v>12.149999999999999</v>
      </c>
      <c r="G26" s="983">
        <v>0</v>
      </c>
      <c r="H26" s="983">
        <f t="shared" si="4"/>
        <v>12.149999999999999</v>
      </c>
      <c r="I26" s="985">
        <v>1</v>
      </c>
      <c r="J26" s="983">
        <f t="shared" si="5"/>
        <v>12.149999999999999</v>
      </c>
      <c r="L26" s="983">
        <f t="shared" si="1"/>
        <v>0</v>
      </c>
      <c r="M26" s="983">
        <f t="shared" si="7"/>
        <v>12.149999999999999</v>
      </c>
      <c r="N26" s="983">
        <f t="shared" si="8"/>
        <v>0</v>
      </c>
      <c r="O26" s="983">
        <f t="shared" si="9"/>
        <v>0</v>
      </c>
      <c r="P26" s="983">
        <f t="shared" si="2"/>
        <v>0</v>
      </c>
      <c r="Q26" s="983">
        <f t="shared" si="3"/>
        <v>0</v>
      </c>
      <c r="T26" s="983">
        <f t="shared" si="6"/>
        <v>4.05</v>
      </c>
    </row>
    <row r="27" spans="2:20">
      <c r="B27" s="983" t="s">
        <v>1687</v>
      </c>
      <c r="C27" s="984" t="s">
        <v>33</v>
      </c>
      <c r="D27" s="983">
        <v>1.52</v>
      </c>
      <c r="E27" s="983">
        <f>+$E$5</f>
        <v>2.67</v>
      </c>
      <c r="F27" s="983">
        <f t="shared" si="0"/>
        <v>4.0583999999999998</v>
      </c>
      <c r="G27" s="983">
        <v>0</v>
      </c>
      <c r="H27" s="983">
        <f t="shared" si="4"/>
        <v>4.0583999999999998</v>
      </c>
      <c r="I27" s="985">
        <v>1</v>
      </c>
      <c r="J27" s="983">
        <f t="shared" si="5"/>
        <v>4.0583999999999998</v>
      </c>
      <c r="L27" s="983">
        <f t="shared" si="1"/>
        <v>0</v>
      </c>
      <c r="M27" s="983">
        <f t="shared" si="7"/>
        <v>0</v>
      </c>
      <c r="N27" s="983">
        <f t="shared" si="8"/>
        <v>4.0583999999999998</v>
      </c>
      <c r="O27" s="983">
        <f t="shared" si="9"/>
        <v>0</v>
      </c>
      <c r="P27" s="983">
        <f t="shared" si="2"/>
        <v>0</v>
      </c>
      <c r="Q27" s="983">
        <f t="shared" si="3"/>
        <v>0</v>
      </c>
      <c r="T27" s="983">
        <f t="shared" si="6"/>
        <v>1.52</v>
      </c>
    </row>
    <row r="28" spans="2:20">
      <c r="B28" s="983" t="s">
        <v>1688</v>
      </c>
      <c r="C28" s="984" t="s">
        <v>368</v>
      </c>
      <c r="D28" s="983">
        <f>5.4+0.64+0.19</f>
        <v>6.23</v>
      </c>
      <c r="E28" s="989">
        <v>2.8</v>
      </c>
      <c r="F28" s="983">
        <f t="shared" si="0"/>
        <v>17.443999999999999</v>
      </c>
      <c r="G28" s="983">
        <v>0</v>
      </c>
      <c r="H28" s="983">
        <f t="shared" si="4"/>
        <v>17.443999999999999</v>
      </c>
      <c r="I28" s="985">
        <v>1</v>
      </c>
      <c r="J28" s="983">
        <f t="shared" si="5"/>
        <v>17.443999999999999</v>
      </c>
      <c r="L28" s="983">
        <f t="shared" si="1"/>
        <v>0</v>
      </c>
      <c r="M28" s="983">
        <f t="shared" si="7"/>
        <v>17.443999999999999</v>
      </c>
      <c r="N28" s="983">
        <f t="shared" si="8"/>
        <v>0</v>
      </c>
      <c r="O28" s="983">
        <f t="shared" si="9"/>
        <v>0</v>
      </c>
      <c r="P28" s="983">
        <f t="shared" si="2"/>
        <v>0</v>
      </c>
      <c r="Q28" s="983">
        <f t="shared" si="3"/>
        <v>0</v>
      </c>
      <c r="T28" s="983">
        <f t="shared" si="6"/>
        <v>6.23</v>
      </c>
    </row>
    <row r="29" spans="2:20">
      <c r="B29" s="983" t="s">
        <v>1689</v>
      </c>
      <c r="C29" s="984" t="s">
        <v>33</v>
      </c>
      <c r="D29" s="983">
        <v>3.36</v>
      </c>
      <c r="E29" s="983">
        <v>3</v>
      </c>
      <c r="F29" s="983">
        <f t="shared" si="0"/>
        <v>10.08</v>
      </c>
      <c r="G29" s="983">
        <v>0</v>
      </c>
      <c r="H29" s="983">
        <f t="shared" si="4"/>
        <v>10.08</v>
      </c>
      <c r="I29" s="985">
        <v>1</v>
      </c>
      <c r="J29" s="983">
        <f t="shared" si="5"/>
        <v>10.08</v>
      </c>
      <c r="L29" s="983">
        <f t="shared" si="1"/>
        <v>0</v>
      </c>
      <c r="M29" s="983">
        <f t="shared" si="7"/>
        <v>0</v>
      </c>
      <c r="N29" s="983">
        <f t="shared" si="8"/>
        <v>10.08</v>
      </c>
      <c r="O29" s="983">
        <f t="shared" si="9"/>
        <v>0</v>
      </c>
      <c r="P29" s="983">
        <f t="shared" si="2"/>
        <v>0</v>
      </c>
      <c r="Q29" s="983">
        <f t="shared" si="3"/>
        <v>0</v>
      </c>
      <c r="T29" s="983">
        <f t="shared" si="6"/>
        <v>3.36</v>
      </c>
    </row>
    <row r="30" spans="2:20">
      <c r="B30" s="983" t="s">
        <v>2205</v>
      </c>
      <c r="C30" s="984" t="s">
        <v>1677</v>
      </c>
      <c r="D30" s="983">
        <v>3.22</v>
      </c>
      <c r="E30" s="983">
        <f>+$E$5</f>
        <v>2.67</v>
      </c>
      <c r="F30" s="983">
        <f t="shared" si="0"/>
        <v>8.5974000000000004</v>
      </c>
      <c r="G30" s="983">
        <v>0</v>
      </c>
      <c r="H30" s="983">
        <f t="shared" si="4"/>
        <v>8.5974000000000004</v>
      </c>
      <c r="I30" s="985">
        <v>1</v>
      </c>
      <c r="J30" s="983">
        <f t="shared" si="5"/>
        <v>8.5974000000000004</v>
      </c>
      <c r="L30" s="983">
        <f t="shared" si="1"/>
        <v>0</v>
      </c>
      <c r="M30" s="983">
        <f t="shared" si="7"/>
        <v>0</v>
      </c>
      <c r="N30" s="983">
        <f t="shared" si="8"/>
        <v>0</v>
      </c>
      <c r="O30" s="983">
        <f t="shared" si="9"/>
        <v>8.5974000000000004</v>
      </c>
      <c r="P30" s="983">
        <f t="shared" si="2"/>
        <v>0</v>
      </c>
      <c r="Q30" s="983">
        <f t="shared" si="3"/>
        <v>0</v>
      </c>
      <c r="T30" s="983">
        <f t="shared" si="6"/>
        <v>3.22</v>
      </c>
    </row>
    <row r="31" spans="2:20">
      <c r="B31" s="983" t="s">
        <v>2206</v>
      </c>
      <c r="C31" s="984" t="s">
        <v>1677</v>
      </c>
      <c r="D31" s="983">
        <v>4.68</v>
      </c>
      <c r="E31" s="983">
        <f>+$E$5</f>
        <v>2.67</v>
      </c>
      <c r="F31" s="983">
        <f t="shared" si="0"/>
        <v>12.4956</v>
      </c>
      <c r="G31" s="983">
        <v>0</v>
      </c>
      <c r="H31" s="983">
        <f t="shared" si="4"/>
        <v>12.4956</v>
      </c>
      <c r="I31" s="985">
        <v>1</v>
      </c>
      <c r="J31" s="983">
        <f t="shared" si="5"/>
        <v>12.4956</v>
      </c>
      <c r="L31" s="983">
        <f t="shared" si="1"/>
        <v>0</v>
      </c>
      <c r="M31" s="983">
        <f t="shared" si="7"/>
        <v>0</v>
      </c>
      <c r="N31" s="983">
        <f t="shared" si="8"/>
        <v>0</v>
      </c>
      <c r="O31" s="983">
        <f t="shared" si="9"/>
        <v>12.4956</v>
      </c>
      <c r="P31" s="983">
        <f t="shared" si="2"/>
        <v>0</v>
      </c>
      <c r="Q31" s="983">
        <f t="shared" si="3"/>
        <v>0</v>
      </c>
      <c r="T31" s="983">
        <f t="shared" si="6"/>
        <v>4.68</v>
      </c>
    </row>
    <row r="32" spans="2:20">
      <c r="B32" s="983" t="s">
        <v>2207</v>
      </c>
      <c r="C32" s="984" t="s">
        <v>1677</v>
      </c>
      <c r="D32" s="983">
        <v>3.36</v>
      </c>
      <c r="E32" s="983">
        <f>+$E$5</f>
        <v>2.67</v>
      </c>
      <c r="F32" s="983">
        <f t="shared" si="0"/>
        <v>8.9711999999999996</v>
      </c>
      <c r="G32" s="983">
        <v>0</v>
      </c>
      <c r="H32" s="983">
        <f t="shared" si="4"/>
        <v>8.9711999999999996</v>
      </c>
      <c r="I32" s="985">
        <v>1</v>
      </c>
      <c r="J32" s="983">
        <f t="shared" si="5"/>
        <v>8.9711999999999996</v>
      </c>
      <c r="L32" s="983">
        <f t="shared" si="1"/>
        <v>0</v>
      </c>
      <c r="M32" s="983">
        <f t="shared" si="7"/>
        <v>0</v>
      </c>
      <c r="N32" s="983">
        <f t="shared" si="8"/>
        <v>0</v>
      </c>
      <c r="O32" s="983">
        <f t="shared" si="9"/>
        <v>8.9711999999999996</v>
      </c>
      <c r="P32" s="983">
        <f t="shared" si="2"/>
        <v>0</v>
      </c>
      <c r="Q32" s="983">
        <f t="shared" si="3"/>
        <v>0</v>
      </c>
      <c r="T32" s="983">
        <f t="shared" si="6"/>
        <v>3.36</v>
      </c>
    </row>
    <row r="33" spans="2:21">
      <c r="B33" s="983" t="s">
        <v>2208</v>
      </c>
      <c r="C33" s="984" t="s">
        <v>1677</v>
      </c>
      <c r="D33" s="983">
        <v>4.3499999999999996</v>
      </c>
      <c r="E33" s="983">
        <f>+$E$5</f>
        <v>2.67</v>
      </c>
      <c r="F33" s="983">
        <f t="shared" si="0"/>
        <v>11.6145</v>
      </c>
      <c r="G33" s="983">
        <v>0</v>
      </c>
      <c r="H33" s="983">
        <f t="shared" si="4"/>
        <v>11.6145</v>
      </c>
      <c r="I33" s="985">
        <v>1</v>
      </c>
      <c r="J33" s="983">
        <f t="shared" si="5"/>
        <v>11.6145</v>
      </c>
      <c r="L33" s="983">
        <f t="shared" si="1"/>
        <v>0</v>
      </c>
      <c r="M33" s="983">
        <f t="shared" si="7"/>
        <v>0</v>
      </c>
      <c r="N33" s="983">
        <f t="shared" si="8"/>
        <v>0</v>
      </c>
      <c r="O33" s="983">
        <f t="shared" si="9"/>
        <v>11.6145</v>
      </c>
      <c r="P33" s="983">
        <f t="shared" si="2"/>
        <v>0</v>
      </c>
      <c r="Q33" s="983">
        <f t="shared" si="3"/>
        <v>0</v>
      </c>
      <c r="T33" s="983">
        <f t="shared" si="6"/>
        <v>4.3499999999999996</v>
      </c>
    </row>
    <row r="34" spans="2:21">
      <c r="B34" s="983" t="s">
        <v>2209</v>
      </c>
      <c r="C34" s="984" t="s">
        <v>1677</v>
      </c>
      <c r="D34" s="983">
        <v>3.32</v>
      </c>
      <c r="E34" s="983">
        <f>+$E$5</f>
        <v>2.67</v>
      </c>
      <c r="F34" s="983">
        <f t="shared" si="0"/>
        <v>8.8643999999999998</v>
      </c>
      <c r="G34" s="983">
        <v>0</v>
      </c>
      <c r="H34" s="983">
        <f t="shared" si="4"/>
        <v>8.8643999999999998</v>
      </c>
      <c r="I34" s="985">
        <v>1</v>
      </c>
      <c r="J34" s="983">
        <f t="shared" si="5"/>
        <v>8.8643999999999998</v>
      </c>
      <c r="L34" s="983">
        <f t="shared" si="1"/>
        <v>0</v>
      </c>
      <c r="M34" s="983">
        <f t="shared" si="7"/>
        <v>0</v>
      </c>
      <c r="N34" s="983">
        <f t="shared" si="8"/>
        <v>0</v>
      </c>
      <c r="O34" s="983">
        <f t="shared" si="9"/>
        <v>8.8643999999999998</v>
      </c>
      <c r="P34" s="983">
        <f t="shared" si="2"/>
        <v>0</v>
      </c>
      <c r="Q34" s="983">
        <f t="shared" si="3"/>
        <v>0</v>
      </c>
      <c r="T34" s="983">
        <f t="shared" si="6"/>
        <v>3.32</v>
      </c>
    </row>
    <row r="35" spans="2:21">
      <c r="B35" s="983" t="s">
        <v>2210</v>
      </c>
      <c r="C35" s="984" t="s">
        <v>1677</v>
      </c>
      <c r="D35" s="983">
        <v>6.14</v>
      </c>
      <c r="E35" s="983">
        <v>3</v>
      </c>
      <c r="F35" s="983">
        <f t="shared" si="0"/>
        <v>18.419999999999998</v>
      </c>
      <c r="G35" s="983">
        <v>0</v>
      </c>
      <c r="H35" s="983">
        <f t="shared" si="4"/>
        <v>18.419999999999998</v>
      </c>
      <c r="I35" s="985">
        <v>1</v>
      </c>
      <c r="J35" s="983">
        <f t="shared" si="5"/>
        <v>18.419999999999998</v>
      </c>
      <c r="L35" s="983">
        <f t="shared" si="1"/>
        <v>0</v>
      </c>
      <c r="M35" s="983">
        <f t="shared" si="7"/>
        <v>0</v>
      </c>
      <c r="N35" s="983">
        <f t="shared" si="8"/>
        <v>0</v>
      </c>
      <c r="O35" s="983">
        <f t="shared" si="9"/>
        <v>18.419999999999998</v>
      </c>
      <c r="P35" s="983">
        <f t="shared" si="2"/>
        <v>0</v>
      </c>
      <c r="Q35" s="983">
        <f t="shared" si="3"/>
        <v>0</v>
      </c>
      <c r="T35" s="983">
        <f t="shared" si="6"/>
        <v>6.14</v>
      </c>
    </row>
    <row r="36" spans="2:21">
      <c r="B36" s="983" t="s">
        <v>1691</v>
      </c>
      <c r="C36" s="984" t="s">
        <v>1677</v>
      </c>
      <c r="D36" s="983">
        <v>8.0500000000000007</v>
      </c>
      <c r="E36" s="983">
        <v>3</v>
      </c>
      <c r="F36" s="983">
        <f t="shared" si="0"/>
        <v>24.150000000000002</v>
      </c>
      <c r="G36" s="983">
        <v>0</v>
      </c>
      <c r="H36" s="983">
        <f t="shared" si="4"/>
        <v>24.150000000000002</v>
      </c>
      <c r="I36" s="985">
        <v>1</v>
      </c>
      <c r="J36" s="983">
        <f t="shared" si="5"/>
        <v>24.150000000000002</v>
      </c>
      <c r="L36" s="983">
        <f t="shared" si="1"/>
        <v>0</v>
      </c>
      <c r="M36" s="983">
        <f t="shared" si="7"/>
        <v>0</v>
      </c>
      <c r="N36" s="983">
        <f t="shared" si="8"/>
        <v>0</v>
      </c>
      <c r="O36" s="983">
        <f t="shared" si="9"/>
        <v>24.150000000000002</v>
      </c>
      <c r="P36" s="983">
        <f t="shared" si="2"/>
        <v>0</v>
      </c>
      <c r="Q36" s="983">
        <f t="shared" si="3"/>
        <v>0</v>
      </c>
      <c r="T36" s="983">
        <f t="shared" si="6"/>
        <v>8.0500000000000007</v>
      </c>
    </row>
    <row r="37" spans="2:21">
      <c r="B37" s="983" t="s">
        <v>2211</v>
      </c>
      <c r="C37" s="984" t="s">
        <v>2194</v>
      </c>
      <c r="D37" s="983">
        <v>4.1399999999999997</v>
      </c>
      <c r="E37" s="983">
        <f>+$E$5</f>
        <v>2.67</v>
      </c>
      <c r="F37" s="983">
        <f t="shared" si="0"/>
        <v>11.053799999999999</v>
      </c>
      <c r="G37" s="983">
        <v>0</v>
      </c>
      <c r="H37" s="983">
        <f t="shared" si="4"/>
        <v>11.053799999999999</v>
      </c>
      <c r="I37" s="985">
        <v>1</v>
      </c>
      <c r="J37" s="983">
        <f t="shared" si="5"/>
        <v>11.053799999999999</v>
      </c>
      <c r="L37" s="983">
        <f t="shared" si="1"/>
        <v>0</v>
      </c>
      <c r="M37" s="983">
        <f t="shared" si="7"/>
        <v>0</v>
      </c>
      <c r="N37" s="983">
        <f t="shared" si="8"/>
        <v>0</v>
      </c>
      <c r="O37" s="983">
        <f t="shared" si="9"/>
        <v>0</v>
      </c>
      <c r="P37" s="983">
        <f t="shared" si="2"/>
        <v>0</v>
      </c>
      <c r="Q37" s="983">
        <f t="shared" si="3"/>
        <v>11.053799999999999</v>
      </c>
      <c r="T37" s="983">
        <f t="shared" si="6"/>
        <v>4.1399999999999997</v>
      </c>
    </row>
    <row r="38" spans="2:21">
      <c r="B38" s="983" t="s">
        <v>2212</v>
      </c>
      <c r="C38" s="984" t="s">
        <v>2194</v>
      </c>
      <c r="D38" s="983">
        <v>5.55</v>
      </c>
      <c r="E38" s="983">
        <f>+$E$5</f>
        <v>2.67</v>
      </c>
      <c r="F38" s="983">
        <f t="shared" si="0"/>
        <v>14.818499999999998</v>
      </c>
      <c r="G38" s="983">
        <v>0</v>
      </c>
      <c r="H38" s="983">
        <f t="shared" si="4"/>
        <v>14.818499999999998</v>
      </c>
      <c r="I38" s="985">
        <v>1</v>
      </c>
      <c r="J38" s="983">
        <f t="shared" si="5"/>
        <v>14.818499999999998</v>
      </c>
      <c r="L38" s="983">
        <f t="shared" si="1"/>
        <v>0</v>
      </c>
      <c r="M38" s="983">
        <f t="shared" si="7"/>
        <v>0</v>
      </c>
      <c r="N38" s="983">
        <f t="shared" si="8"/>
        <v>0</v>
      </c>
      <c r="O38" s="983">
        <f t="shared" si="9"/>
        <v>0</v>
      </c>
      <c r="P38" s="983">
        <f t="shared" si="2"/>
        <v>0</v>
      </c>
      <c r="Q38" s="983">
        <f t="shared" si="3"/>
        <v>14.818499999999998</v>
      </c>
      <c r="T38" s="983">
        <f t="shared" si="6"/>
        <v>5.55</v>
      </c>
    </row>
    <row r="39" spans="2:21">
      <c r="B39" s="983" t="s">
        <v>2213</v>
      </c>
      <c r="C39" s="984" t="s">
        <v>2194</v>
      </c>
      <c r="D39" s="983">
        <v>1.22</v>
      </c>
      <c r="E39" s="983">
        <v>3</v>
      </c>
      <c r="F39" s="983">
        <f t="shared" si="0"/>
        <v>3.66</v>
      </c>
      <c r="G39" s="983">
        <v>0</v>
      </c>
      <c r="H39" s="983">
        <f t="shared" si="4"/>
        <v>3.66</v>
      </c>
      <c r="I39" s="985">
        <v>1</v>
      </c>
      <c r="J39" s="983">
        <f t="shared" si="5"/>
        <v>3.66</v>
      </c>
      <c r="L39" s="983">
        <f t="shared" si="1"/>
        <v>0</v>
      </c>
      <c r="M39" s="983">
        <f t="shared" si="7"/>
        <v>0</v>
      </c>
      <c r="N39" s="983">
        <f t="shared" si="8"/>
        <v>0</v>
      </c>
      <c r="O39" s="983">
        <f t="shared" si="9"/>
        <v>0</v>
      </c>
      <c r="P39" s="983">
        <f t="shared" si="2"/>
        <v>0</v>
      </c>
      <c r="Q39" s="983">
        <f t="shared" si="3"/>
        <v>3.66</v>
      </c>
      <c r="T39" s="983">
        <f t="shared" si="6"/>
        <v>1.22</v>
      </c>
    </row>
    <row r="40" spans="2:21">
      <c r="B40" s="983" t="s">
        <v>1693</v>
      </c>
      <c r="C40" s="984" t="s">
        <v>2194</v>
      </c>
      <c r="D40" s="983">
        <v>1.4</v>
      </c>
      <c r="E40" s="983">
        <v>3</v>
      </c>
      <c r="F40" s="983">
        <f t="shared" si="0"/>
        <v>4.1999999999999993</v>
      </c>
      <c r="G40" s="983">
        <v>0</v>
      </c>
      <c r="H40" s="983">
        <f t="shared" si="4"/>
        <v>4.1999999999999993</v>
      </c>
      <c r="I40" s="985">
        <v>1</v>
      </c>
      <c r="J40" s="983">
        <f t="shared" si="5"/>
        <v>4.1999999999999993</v>
      </c>
      <c r="L40" s="983">
        <f t="shared" si="1"/>
        <v>0</v>
      </c>
      <c r="M40" s="983">
        <f t="shared" si="7"/>
        <v>0</v>
      </c>
      <c r="N40" s="983">
        <f t="shared" si="8"/>
        <v>0</v>
      </c>
      <c r="O40" s="983">
        <f t="shared" si="9"/>
        <v>0</v>
      </c>
      <c r="P40" s="983">
        <f t="shared" si="2"/>
        <v>0</v>
      </c>
      <c r="Q40" s="983">
        <f t="shared" si="3"/>
        <v>4.1999999999999993</v>
      </c>
      <c r="T40" s="983">
        <f>+D40</f>
        <v>1.4</v>
      </c>
    </row>
    <row r="41" spans="2:21">
      <c r="B41" s="986" t="s">
        <v>2214</v>
      </c>
      <c r="T41" s="986">
        <f>+SUM(T5:T40)</f>
        <v>112.24</v>
      </c>
      <c r="U41" s="992">
        <f>+ROUNDUP(T41,0)</f>
        <v>113</v>
      </c>
    </row>
    <row r="42" spans="2:21">
      <c r="B42" s="838" t="s">
        <v>2195</v>
      </c>
      <c r="C42" s="984" t="s">
        <v>368</v>
      </c>
      <c r="D42" s="983">
        <v>0.79</v>
      </c>
      <c r="E42" s="983">
        <f>2.8-0.45</f>
        <v>2.3499999999999996</v>
      </c>
      <c r="F42" s="983">
        <f t="shared" si="0"/>
        <v>1.8564999999999998</v>
      </c>
      <c r="G42" s="983">
        <v>0</v>
      </c>
      <c r="H42" s="983">
        <f t="shared" si="4"/>
        <v>1.8564999999999998</v>
      </c>
      <c r="I42" s="985">
        <v>5</v>
      </c>
      <c r="J42" s="983">
        <f t="shared" si="5"/>
        <v>9.2824999999999989</v>
      </c>
      <c r="L42" s="983">
        <f t="shared" ref="L42:L98" si="10">IF(C42=$L$3,J42,0)</f>
        <v>0</v>
      </c>
      <c r="M42" s="983">
        <f t="shared" ref="M42:M98" si="11">IF(C42=$M$3,J42,0)</f>
        <v>9.2824999999999989</v>
      </c>
      <c r="N42" s="983">
        <f t="shared" ref="N42:N98" si="12">IF(C42=$N$3,J42,0)</f>
        <v>0</v>
      </c>
      <c r="O42" s="983">
        <f t="shared" ref="O42:O98" si="13">IF(C42=$O$3,J42,0)</f>
        <v>0</v>
      </c>
      <c r="P42" s="983">
        <f t="shared" ref="P42:P98" si="14">IF(C42=$P$3,J42,0)</f>
        <v>0</v>
      </c>
      <c r="Q42" s="983">
        <f t="shared" ref="Q42:Q98" si="15">IF(C42=$Q$3,J42,0)</f>
        <v>0</v>
      </c>
    </row>
    <row r="43" spans="2:21">
      <c r="B43" s="838" t="s">
        <v>2215</v>
      </c>
      <c r="C43" s="984" t="s">
        <v>368</v>
      </c>
      <c r="D43" s="983">
        <v>0.88</v>
      </c>
      <c r="E43" s="983">
        <f>+$E$42</f>
        <v>2.3499999999999996</v>
      </c>
      <c r="F43" s="983">
        <f t="shared" si="0"/>
        <v>2.0679999999999996</v>
      </c>
      <c r="G43" s="983">
        <v>0</v>
      </c>
      <c r="H43" s="983">
        <f t="shared" si="4"/>
        <v>2.0679999999999996</v>
      </c>
      <c r="I43" s="985">
        <v>5</v>
      </c>
      <c r="J43" s="983">
        <f t="shared" si="5"/>
        <v>10.339999999999998</v>
      </c>
      <c r="L43" s="983">
        <f t="shared" si="10"/>
        <v>0</v>
      </c>
      <c r="M43" s="983">
        <f t="shared" si="11"/>
        <v>10.339999999999998</v>
      </c>
      <c r="N43" s="983">
        <f t="shared" si="12"/>
        <v>0</v>
      </c>
      <c r="O43" s="983">
        <f t="shared" si="13"/>
        <v>0</v>
      </c>
      <c r="P43" s="983">
        <f t="shared" si="14"/>
        <v>0</v>
      </c>
      <c r="Q43" s="983">
        <f t="shared" si="15"/>
        <v>0</v>
      </c>
    </row>
    <row r="44" spans="2:21">
      <c r="B44" s="838" t="s">
        <v>2216</v>
      </c>
      <c r="C44" s="984" t="s">
        <v>368</v>
      </c>
      <c r="D44" s="983">
        <v>0.54</v>
      </c>
      <c r="E44" s="983">
        <f>+$E$42</f>
        <v>2.3499999999999996</v>
      </c>
      <c r="F44" s="983">
        <f t="shared" si="0"/>
        <v>1.2689999999999999</v>
      </c>
      <c r="G44" s="983">
        <v>0</v>
      </c>
      <c r="H44" s="983">
        <f t="shared" si="4"/>
        <v>1.2689999999999999</v>
      </c>
      <c r="I44" s="985">
        <v>5</v>
      </c>
      <c r="J44" s="983">
        <f t="shared" si="5"/>
        <v>6.3449999999999998</v>
      </c>
      <c r="L44" s="983">
        <f t="shared" si="10"/>
        <v>0</v>
      </c>
      <c r="M44" s="983">
        <f t="shared" si="11"/>
        <v>6.3449999999999998</v>
      </c>
      <c r="N44" s="983">
        <f t="shared" si="12"/>
        <v>0</v>
      </c>
      <c r="O44" s="983">
        <f t="shared" si="13"/>
        <v>0</v>
      </c>
      <c r="P44" s="983">
        <f t="shared" si="14"/>
        <v>0</v>
      </c>
      <c r="Q44" s="983">
        <f t="shared" si="15"/>
        <v>0</v>
      </c>
    </row>
    <row r="45" spans="2:21">
      <c r="B45" s="838" t="s">
        <v>2217</v>
      </c>
      <c r="C45" s="984" t="s">
        <v>368</v>
      </c>
      <c r="D45" s="983">
        <v>0.33</v>
      </c>
      <c r="E45" s="983">
        <f>+$E$42</f>
        <v>2.3499999999999996</v>
      </c>
      <c r="F45" s="983">
        <f t="shared" si="0"/>
        <v>0.77549999999999997</v>
      </c>
      <c r="G45" s="983">
        <v>0</v>
      </c>
      <c r="H45" s="983">
        <f t="shared" si="4"/>
        <v>0.77549999999999997</v>
      </c>
      <c r="I45" s="985">
        <v>5</v>
      </c>
      <c r="J45" s="983">
        <f t="shared" si="5"/>
        <v>3.8774999999999999</v>
      </c>
      <c r="L45" s="983">
        <f t="shared" si="10"/>
        <v>0</v>
      </c>
      <c r="M45" s="983">
        <f t="shared" si="11"/>
        <v>3.8774999999999999</v>
      </c>
      <c r="N45" s="983">
        <f t="shared" si="12"/>
        <v>0</v>
      </c>
      <c r="O45" s="983">
        <f t="shared" si="13"/>
        <v>0</v>
      </c>
      <c r="P45" s="983">
        <f t="shared" si="14"/>
        <v>0</v>
      </c>
      <c r="Q45" s="983">
        <f t="shared" si="15"/>
        <v>0</v>
      </c>
    </row>
    <row r="46" spans="2:21">
      <c r="B46" s="838" t="s">
        <v>490</v>
      </c>
      <c r="C46" s="984" t="s">
        <v>368</v>
      </c>
      <c r="D46" s="983">
        <v>2.86</v>
      </c>
      <c r="E46" s="983">
        <f>2.8-0.12</f>
        <v>2.6799999999999997</v>
      </c>
      <c r="F46" s="983">
        <f t="shared" si="0"/>
        <v>7.6647999999999987</v>
      </c>
      <c r="G46" s="983">
        <v>0</v>
      </c>
      <c r="H46" s="983">
        <f t="shared" si="4"/>
        <v>7.6647999999999987</v>
      </c>
      <c r="I46" s="985">
        <v>5</v>
      </c>
      <c r="J46" s="983">
        <f t="shared" si="5"/>
        <v>38.323999999999991</v>
      </c>
      <c r="L46" s="983">
        <f t="shared" si="10"/>
        <v>0</v>
      </c>
      <c r="M46" s="983">
        <f t="shared" si="11"/>
        <v>38.323999999999991</v>
      </c>
      <c r="N46" s="983">
        <f t="shared" si="12"/>
        <v>0</v>
      </c>
      <c r="O46" s="983">
        <f t="shared" si="13"/>
        <v>0</v>
      </c>
      <c r="P46" s="983">
        <f t="shared" si="14"/>
        <v>0</v>
      </c>
      <c r="Q46" s="983">
        <f t="shared" si="15"/>
        <v>0</v>
      </c>
    </row>
    <row r="47" spans="2:21">
      <c r="B47" s="838" t="s">
        <v>491</v>
      </c>
      <c r="C47" s="984" t="s">
        <v>368</v>
      </c>
      <c r="D47" s="983">
        <v>1.2</v>
      </c>
      <c r="E47" s="983">
        <f t="shared" ref="E47:E52" si="16">+$E$46</f>
        <v>2.6799999999999997</v>
      </c>
      <c r="F47" s="983">
        <f t="shared" si="0"/>
        <v>3.2159999999999997</v>
      </c>
      <c r="G47" s="983">
        <v>0</v>
      </c>
      <c r="H47" s="983">
        <f t="shared" si="4"/>
        <v>3.2159999999999997</v>
      </c>
      <c r="I47" s="985">
        <v>5</v>
      </c>
      <c r="J47" s="983">
        <f t="shared" si="5"/>
        <v>16.079999999999998</v>
      </c>
      <c r="L47" s="983">
        <f t="shared" si="10"/>
        <v>0</v>
      </c>
      <c r="M47" s="983">
        <f t="shared" si="11"/>
        <v>16.079999999999998</v>
      </c>
      <c r="N47" s="983">
        <f t="shared" si="12"/>
        <v>0</v>
      </c>
      <c r="O47" s="983">
        <f t="shared" si="13"/>
        <v>0</v>
      </c>
      <c r="P47" s="983">
        <f t="shared" si="14"/>
        <v>0</v>
      </c>
      <c r="Q47" s="983">
        <f t="shared" si="15"/>
        <v>0</v>
      </c>
    </row>
    <row r="48" spans="2:21">
      <c r="B48" s="838" t="s">
        <v>1678</v>
      </c>
      <c r="C48" s="984" t="s">
        <v>365</v>
      </c>
      <c r="D48" s="983">
        <v>0.2</v>
      </c>
      <c r="E48" s="983">
        <f t="shared" si="16"/>
        <v>2.6799999999999997</v>
      </c>
      <c r="F48" s="983">
        <f t="shared" si="0"/>
        <v>0.53599999999999992</v>
      </c>
      <c r="G48" s="983">
        <v>0</v>
      </c>
      <c r="H48" s="983">
        <f t="shared" si="4"/>
        <v>0.53599999999999992</v>
      </c>
      <c r="I48" s="985">
        <v>5</v>
      </c>
      <c r="J48" s="983">
        <f t="shared" si="5"/>
        <v>2.6799999999999997</v>
      </c>
      <c r="L48" s="983">
        <f t="shared" si="10"/>
        <v>2.6799999999999997</v>
      </c>
      <c r="M48" s="983">
        <f t="shared" si="11"/>
        <v>0</v>
      </c>
      <c r="N48" s="983">
        <f t="shared" si="12"/>
        <v>0</v>
      </c>
      <c r="O48" s="983">
        <f t="shared" si="13"/>
        <v>0</v>
      </c>
      <c r="P48" s="983">
        <f t="shared" si="14"/>
        <v>0</v>
      </c>
      <c r="Q48" s="983">
        <f t="shared" si="15"/>
        <v>0</v>
      </c>
    </row>
    <row r="49" spans="2:17">
      <c r="B49" s="838" t="s">
        <v>1679</v>
      </c>
      <c r="C49" s="984" t="s">
        <v>365</v>
      </c>
      <c r="D49" s="983">
        <v>1.5</v>
      </c>
      <c r="E49" s="983">
        <f t="shared" si="16"/>
        <v>2.6799999999999997</v>
      </c>
      <c r="F49" s="983">
        <f t="shared" si="0"/>
        <v>4.0199999999999996</v>
      </c>
      <c r="G49" s="983">
        <v>0</v>
      </c>
      <c r="H49" s="983">
        <f t="shared" si="4"/>
        <v>4.0199999999999996</v>
      </c>
      <c r="I49" s="985">
        <v>5</v>
      </c>
      <c r="J49" s="983">
        <f t="shared" si="5"/>
        <v>20.099999999999998</v>
      </c>
      <c r="L49" s="983">
        <f t="shared" si="10"/>
        <v>20.099999999999998</v>
      </c>
      <c r="M49" s="983">
        <f t="shared" si="11"/>
        <v>0</v>
      </c>
      <c r="N49" s="983">
        <f t="shared" si="12"/>
        <v>0</v>
      </c>
      <c r="O49" s="983">
        <f t="shared" si="13"/>
        <v>0</v>
      </c>
      <c r="P49" s="983">
        <f t="shared" si="14"/>
        <v>0</v>
      </c>
      <c r="Q49" s="983">
        <f t="shared" si="15"/>
        <v>0</v>
      </c>
    </row>
    <row r="50" spans="2:17">
      <c r="B50" s="983" t="s">
        <v>1680</v>
      </c>
      <c r="C50" s="984" t="s">
        <v>365</v>
      </c>
      <c r="D50" s="983">
        <v>2.2799999999999998</v>
      </c>
      <c r="E50" s="983">
        <f t="shared" si="16"/>
        <v>2.6799999999999997</v>
      </c>
      <c r="F50" s="983">
        <f t="shared" si="0"/>
        <v>6.1103999999999985</v>
      </c>
      <c r="G50" s="983">
        <v>0</v>
      </c>
      <c r="H50" s="983">
        <f t="shared" si="4"/>
        <v>6.1103999999999985</v>
      </c>
      <c r="I50" s="985">
        <v>5</v>
      </c>
      <c r="J50" s="983">
        <f t="shared" si="5"/>
        <v>30.551999999999992</v>
      </c>
      <c r="L50" s="983">
        <f t="shared" si="10"/>
        <v>30.551999999999992</v>
      </c>
      <c r="M50" s="983">
        <f t="shared" si="11"/>
        <v>0</v>
      </c>
      <c r="N50" s="983">
        <f t="shared" si="12"/>
        <v>0</v>
      </c>
      <c r="O50" s="983">
        <f t="shared" si="13"/>
        <v>0</v>
      </c>
      <c r="P50" s="983">
        <f t="shared" si="14"/>
        <v>0</v>
      </c>
      <c r="Q50" s="983">
        <f t="shared" si="15"/>
        <v>0</v>
      </c>
    </row>
    <row r="51" spans="2:17">
      <c r="B51" s="983" t="s">
        <v>1681</v>
      </c>
      <c r="C51" s="984" t="s">
        <v>365</v>
      </c>
      <c r="D51" s="983">
        <v>0.2</v>
      </c>
      <c r="E51" s="983">
        <f t="shared" si="16"/>
        <v>2.6799999999999997</v>
      </c>
      <c r="F51" s="983">
        <f t="shared" si="0"/>
        <v>0.53599999999999992</v>
      </c>
      <c r="G51" s="983">
        <v>0</v>
      </c>
      <c r="H51" s="983">
        <f t="shared" si="4"/>
        <v>0.53599999999999992</v>
      </c>
      <c r="I51" s="985">
        <v>5</v>
      </c>
      <c r="J51" s="983">
        <f t="shared" si="5"/>
        <v>2.6799999999999997</v>
      </c>
      <c r="L51" s="983">
        <f t="shared" si="10"/>
        <v>2.6799999999999997</v>
      </c>
      <c r="M51" s="983">
        <f t="shared" si="11"/>
        <v>0</v>
      </c>
      <c r="N51" s="983">
        <f t="shared" si="12"/>
        <v>0</v>
      </c>
      <c r="O51" s="983">
        <f t="shared" si="13"/>
        <v>0</v>
      </c>
      <c r="P51" s="983">
        <f t="shared" si="14"/>
        <v>0</v>
      </c>
      <c r="Q51" s="983">
        <f t="shared" si="15"/>
        <v>0</v>
      </c>
    </row>
    <row r="52" spans="2:17">
      <c r="B52" s="983" t="s">
        <v>1682</v>
      </c>
      <c r="C52" s="984" t="s">
        <v>365</v>
      </c>
      <c r="D52" s="983">
        <v>0.7</v>
      </c>
      <c r="E52" s="983">
        <f t="shared" si="16"/>
        <v>2.6799999999999997</v>
      </c>
      <c r="F52" s="983">
        <f t="shared" si="0"/>
        <v>1.8759999999999997</v>
      </c>
      <c r="G52" s="983">
        <v>0</v>
      </c>
      <c r="H52" s="983">
        <f t="shared" si="4"/>
        <v>1.8759999999999997</v>
      </c>
      <c r="I52" s="985">
        <v>5</v>
      </c>
      <c r="J52" s="983">
        <f t="shared" si="5"/>
        <v>9.379999999999999</v>
      </c>
      <c r="L52" s="983">
        <f t="shared" si="10"/>
        <v>9.379999999999999</v>
      </c>
      <c r="M52" s="983">
        <f t="shared" si="11"/>
        <v>0</v>
      </c>
      <c r="N52" s="983">
        <f t="shared" si="12"/>
        <v>0</v>
      </c>
      <c r="O52" s="983">
        <f t="shared" si="13"/>
        <v>0</v>
      </c>
      <c r="P52" s="983">
        <f t="shared" si="14"/>
        <v>0</v>
      </c>
      <c r="Q52" s="983">
        <f t="shared" si="15"/>
        <v>0</v>
      </c>
    </row>
    <row r="53" spans="2:17">
      <c r="B53" s="983" t="s">
        <v>1683</v>
      </c>
      <c r="C53" s="984" t="s">
        <v>368</v>
      </c>
      <c r="D53" s="983">
        <v>4.17</v>
      </c>
      <c r="E53" s="983">
        <f>+$E$42</f>
        <v>2.3499999999999996</v>
      </c>
      <c r="F53" s="983">
        <f t="shared" si="0"/>
        <v>9.7994999999999983</v>
      </c>
      <c r="G53" s="983">
        <v>0</v>
      </c>
      <c r="H53" s="983">
        <f t="shared" si="4"/>
        <v>9.7994999999999983</v>
      </c>
      <c r="I53" s="985">
        <v>5</v>
      </c>
      <c r="J53" s="983">
        <f t="shared" si="5"/>
        <v>48.997499999999988</v>
      </c>
      <c r="L53" s="983">
        <f t="shared" si="10"/>
        <v>0</v>
      </c>
      <c r="M53" s="983">
        <f t="shared" si="11"/>
        <v>48.997499999999988</v>
      </c>
      <c r="N53" s="983">
        <f t="shared" si="12"/>
        <v>0</v>
      </c>
      <c r="O53" s="983">
        <f t="shared" si="13"/>
        <v>0</v>
      </c>
      <c r="P53" s="983">
        <f t="shared" si="14"/>
        <v>0</v>
      </c>
      <c r="Q53" s="983">
        <f t="shared" si="15"/>
        <v>0</v>
      </c>
    </row>
    <row r="54" spans="2:17">
      <c r="B54" s="983" t="s">
        <v>1684</v>
      </c>
      <c r="C54" s="984" t="s">
        <v>368</v>
      </c>
      <c r="D54" s="983">
        <v>0.38</v>
      </c>
      <c r="E54" s="983">
        <f>+$E$42</f>
        <v>2.3499999999999996</v>
      </c>
      <c r="F54" s="983">
        <f t="shared" si="0"/>
        <v>0.8929999999999999</v>
      </c>
      <c r="G54" s="983">
        <v>0</v>
      </c>
      <c r="H54" s="983">
        <f t="shared" si="4"/>
        <v>0.8929999999999999</v>
      </c>
      <c r="I54" s="985">
        <v>5</v>
      </c>
      <c r="J54" s="983">
        <f t="shared" si="5"/>
        <v>4.4649999999999999</v>
      </c>
      <c r="L54" s="983">
        <f t="shared" si="10"/>
        <v>0</v>
      </c>
      <c r="M54" s="983">
        <f t="shared" si="11"/>
        <v>4.4649999999999999</v>
      </c>
      <c r="N54" s="983">
        <f t="shared" si="12"/>
        <v>0</v>
      </c>
      <c r="O54" s="983">
        <f t="shared" si="13"/>
        <v>0</v>
      </c>
      <c r="P54" s="983">
        <f t="shared" si="14"/>
        <v>0</v>
      </c>
      <c r="Q54" s="983">
        <f t="shared" si="15"/>
        <v>0</v>
      </c>
    </row>
    <row r="55" spans="2:17">
      <c r="B55" s="983" t="s">
        <v>1685</v>
      </c>
      <c r="C55" s="984" t="s">
        <v>33</v>
      </c>
      <c r="D55" s="983">
        <v>0.48</v>
      </c>
      <c r="E55" s="983">
        <f>+$E$42</f>
        <v>2.3499999999999996</v>
      </c>
      <c r="F55" s="983">
        <f t="shared" si="0"/>
        <v>1.1279999999999999</v>
      </c>
      <c r="G55" s="983">
        <v>0</v>
      </c>
      <c r="H55" s="983">
        <f t="shared" si="4"/>
        <v>1.1279999999999999</v>
      </c>
      <c r="I55" s="985">
        <v>5</v>
      </c>
      <c r="J55" s="983">
        <f t="shared" si="5"/>
        <v>5.64</v>
      </c>
      <c r="L55" s="983">
        <f t="shared" si="10"/>
        <v>0</v>
      </c>
      <c r="M55" s="983">
        <f t="shared" si="11"/>
        <v>0</v>
      </c>
      <c r="N55" s="983">
        <f t="shared" si="12"/>
        <v>5.64</v>
      </c>
      <c r="O55" s="983">
        <f t="shared" si="13"/>
        <v>0</v>
      </c>
      <c r="P55" s="983">
        <f t="shared" si="14"/>
        <v>0</v>
      </c>
      <c r="Q55" s="983">
        <f t="shared" si="15"/>
        <v>0</v>
      </c>
    </row>
    <row r="56" spans="2:17">
      <c r="B56" s="983" t="s">
        <v>1686</v>
      </c>
      <c r="C56" s="984" t="s">
        <v>368</v>
      </c>
      <c r="D56" s="983">
        <v>0.92</v>
      </c>
      <c r="E56" s="983">
        <f>+$E$46</f>
        <v>2.6799999999999997</v>
      </c>
      <c r="F56" s="983">
        <f t="shared" si="0"/>
        <v>2.4655999999999998</v>
      </c>
      <c r="G56" s="983">
        <v>0</v>
      </c>
      <c r="H56" s="983">
        <f t="shared" si="4"/>
        <v>2.4655999999999998</v>
      </c>
      <c r="I56" s="985">
        <v>5</v>
      </c>
      <c r="J56" s="983">
        <f t="shared" si="5"/>
        <v>12.327999999999999</v>
      </c>
      <c r="L56" s="983">
        <f t="shared" si="10"/>
        <v>0</v>
      </c>
      <c r="M56" s="983">
        <f t="shared" si="11"/>
        <v>12.327999999999999</v>
      </c>
      <c r="N56" s="983">
        <f t="shared" si="12"/>
        <v>0</v>
      </c>
      <c r="O56" s="983">
        <f t="shared" si="13"/>
        <v>0</v>
      </c>
      <c r="P56" s="983">
        <f t="shared" si="14"/>
        <v>0</v>
      </c>
      <c r="Q56" s="983">
        <f t="shared" si="15"/>
        <v>0</v>
      </c>
    </row>
    <row r="57" spans="2:17">
      <c r="B57" s="983" t="s">
        <v>1687</v>
      </c>
      <c r="C57" s="984" t="s">
        <v>368</v>
      </c>
      <c r="D57" s="983">
        <v>4.17</v>
      </c>
      <c r="E57" s="983">
        <f>+$E$42</f>
        <v>2.3499999999999996</v>
      </c>
      <c r="F57" s="983">
        <f t="shared" si="0"/>
        <v>9.7994999999999983</v>
      </c>
      <c r="G57" s="983">
        <v>0</v>
      </c>
      <c r="H57" s="983">
        <f t="shared" si="4"/>
        <v>9.7994999999999983</v>
      </c>
      <c r="I57" s="985">
        <v>5</v>
      </c>
      <c r="J57" s="983">
        <f t="shared" si="5"/>
        <v>48.997499999999988</v>
      </c>
      <c r="L57" s="983">
        <f t="shared" si="10"/>
        <v>0</v>
      </c>
      <c r="M57" s="983">
        <f t="shared" si="11"/>
        <v>48.997499999999988</v>
      </c>
      <c r="N57" s="983">
        <f t="shared" si="12"/>
        <v>0</v>
      </c>
      <c r="O57" s="983">
        <f t="shared" si="13"/>
        <v>0</v>
      </c>
      <c r="P57" s="983">
        <f t="shared" si="14"/>
        <v>0</v>
      </c>
      <c r="Q57" s="983">
        <f t="shared" si="15"/>
        <v>0</v>
      </c>
    </row>
    <row r="58" spans="2:17">
      <c r="B58" s="983" t="s">
        <v>1688</v>
      </c>
      <c r="C58" s="984" t="s">
        <v>365</v>
      </c>
      <c r="D58" s="983">
        <v>0.65</v>
      </c>
      <c r="E58" s="983">
        <f t="shared" ref="E58:E63" si="17">+$E$46</f>
        <v>2.6799999999999997</v>
      </c>
      <c r="F58" s="983">
        <f t="shared" si="0"/>
        <v>1.7419999999999998</v>
      </c>
      <c r="G58" s="983">
        <v>0</v>
      </c>
      <c r="H58" s="983">
        <f t="shared" si="4"/>
        <v>1.7419999999999998</v>
      </c>
      <c r="I58" s="985">
        <v>5</v>
      </c>
      <c r="J58" s="983">
        <f t="shared" si="5"/>
        <v>8.7099999999999991</v>
      </c>
      <c r="L58" s="983">
        <f t="shared" si="10"/>
        <v>8.7099999999999991</v>
      </c>
      <c r="M58" s="983">
        <f t="shared" si="11"/>
        <v>0</v>
      </c>
      <c r="N58" s="983">
        <f t="shared" si="12"/>
        <v>0</v>
      </c>
      <c r="O58" s="983">
        <f t="shared" si="13"/>
        <v>0</v>
      </c>
      <c r="P58" s="983">
        <f t="shared" si="14"/>
        <v>0</v>
      </c>
      <c r="Q58" s="983">
        <f t="shared" si="15"/>
        <v>0</v>
      </c>
    </row>
    <row r="59" spans="2:17">
      <c r="B59" s="983" t="s">
        <v>1689</v>
      </c>
      <c r="C59" s="984" t="s">
        <v>365</v>
      </c>
      <c r="D59" s="983">
        <v>0.41</v>
      </c>
      <c r="E59" s="983">
        <f t="shared" si="17"/>
        <v>2.6799999999999997</v>
      </c>
      <c r="F59" s="983">
        <f t="shared" si="0"/>
        <v>1.0987999999999998</v>
      </c>
      <c r="G59" s="983">
        <v>0</v>
      </c>
      <c r="H59" s="983">
        <f t="shared" si="4"/>
        <v>1.0987999999999998</v>
      </c>
      <c r="I59" s="985">
        <v>5</v>
      </c>
      <c r="J59" s="983">
        <f t="shared" si="5"/>
        <v>5.4939999999999989</v>
      </c>
      <c r="L59" s="983">
        <f t="shared" si="10"/>
        <v>5.4939999999999989</v>
      </c>
      <c r="M59" s="983">
        <f t="shared" si="11"/>
        <v>0</v>
      </c>
      <c r="N59" s="983">
        <f t="shared" si="12"/>
        <v>0</v>
      </c>
      <c r="O59" s="983">
        <f t="shared" si="13"/>
        <v>0</v>
      </c>
      <c r="P59" s="983">
        <f t="shared" si="14"/>
        <v>0</v>
      </c>
      <c r="Q59" s="983">
        <f t="shared" si="15"/>
        <v>0</v>
      </c>
    </row>
    <row r="60" spans="2:17">
      <c r="B60" s="983" t="s">
        <v>1690</v>
      </c>
      <c r="C60" s="984" t="s">
        <v>365</v>
      </c>
      <c r="D60" s="983">
        <v>2.27</v>
      </c>
      <c r="E60" s="983">
        <f t="shared" si="17"/>
        <v>2.6799999999999997</v>
      </c>
      <c r="F60" s="983">
        <f t="shared" si="0"/>
        <v>6.0835999999999997</v>
      </c>
      <c r="G60" s="983">
        <v>0</v>
      </c>
      <c r="H60" s="983">
        <f t="shared" si="4"/>
        <v>6.0835999999999997</v>
      </c>
      <c r="I60" s="985">
        <v>5</v>
      </c>
      <c r="J60" s="983">
        <f t="shared" si="5"/>
        <v>30.417999999999999</v>
      </c>
      <c r="L60" s="983">
        <f t="shared" si="10"/>
        <v>30.417999999999999</v>
      </c>
      <c r="M60" s="983">
        <f t="shared" si="11"/>
        <v>0</v>
      </c>
      <c r="N60" s="983">
        <f t="shared" si="12"/>
        <v>0</v>
      </c>
      <c r="O60" s="983">
        <f t="shared" si="13"/>
        <v>0</v>
      </c>
      <c r="P60" s="983">
        <f t="shared" si="14"/>
        <v>0</v>
      </c>
      <c r="Q60" s="983">
        <f t="shared" si="15"/>
        <v>0</v>
      </c>
    </row>
    <row r="61" spans="2:17">
      <c r="B61" s="983" t="s">
        <v>1691</v>
      </c>
      <c r="C61" s="984" t="s">
        <v>365</v>
      </c>
      <c r="D61" s="983">
        <v>1.51</v>
      </c>
      <c r="E61" s="983">
        <f t="shared" si="17"/>
        <v>2.6799999999999997</v>
      </c>
      <c r="F61" s="983">
        <f t="shared" si="0"/>
        <v>4.0467999999999993</v>
      </c>
      <c r="G61" s="983">
        <v>0</v>
      </c>
      <c r="H61" s="983">
        <f t="shared" si="4"/>
        <v>4.0467999999999993</v>
      </c>
      <c r="I61" s="985">
        <v>5</v>
      </c>
      <c r="J61" s="983">
        <f t="shared" si="5"/>
        <v>20.233999999999995</v>
      </c>
      <c r="L61" s="983">
        <f t="shared" si="10"/>
        <v>20.233999999999995</v>
      </c>
      <c r="M61" s="983">
        <f t="shared" si="11"/>
        <v>0</v>
      </c>
      <c r="N61" s="983">
        <f t="shared" si="12"/>
        <v>0</v>
      </c>
      <c r="O61" s="983">
        <f t="shared" si="13"/>
        <v>0</v>
      </c>
      <c r="P61" s="983">
        <f t="shared" si="14"/>
        <v>0</v>
      </c>
      <c r="Q61" s="983">
        <f t="shared" si="15"/>
        <v>0</v>
      </c>
    </row>
    <row r="62" spans="2:17">
      <c r="B62" s="983" t="s">
        <v>1692</v>
      </c>
      <c r="C62" s="984" t="s">
        <v>368</v>
      </c>
      <c r="D62" s="983">
        <v>1.22</v>
      </c>
      <c r="E62" s="983">
        <f t="shared" si="17"/>
        <v>2.6799999999999997</v>
      </c>
      <c r="F62" s="983">
        <f t="shared" si="0"/>
        <v>3.2695999999999996</v>
      </c>
      <c r="G62" s="983">
        <v>0</v>
      </c>
      <c r="H62" s="983">
        <f t="shared" si="4"/>
        <v>3.2695999999999996</v>
      </c>
      <c r="I62" s="985">
        <v>5</v>
      </c>
      <c r="J62" s="983">
        <f t="shared" si="5"/>
        <v>16.347999999999999</v>
      </c>
      <c r="L62" s="983">
        <f t="shared" si="10"/>
        <v>0</v>
      </c>
      <c r="M62" s="983">
        <f t="shared" si="11"/>
        <v>16.347999999999999</v>
      </c>
      <c r="N62" s="983">
        <f t="shared" si="12"/>
        <v>0</v>
      </c>
      <c r="O62" s="983">
        <f t="shared" si="13"/>
        <v>0</v>
      </c>
      <c r="P62" s="983">
        <f t="shared" si="14"/>
        <v>0</v>
      </c>
      <c r="Q62" s="983">
        <f t="shared" si="15"/>
        <v>0</v>
      </c>
    </row>
    <row r="63" spans="2:17">
      <c r="B63" s="983" t="s">
        <v>1693</v>
      </c>
      <c r="C63" s="984" t="s">
        <v>368</v>
      </c>
      <c r="D63" s="983">
        <v>2.54</v>
      </c>
      <c r="E63" s="983">
        <f t="shared" si="17"/>
        <v>2.6799999999999997</v>
      </c>
      <c r="F63" s="983">
        <f t="shared" si="0"/>
        <v>6.807199999999999</v>
      </c>
      <c r="G63" s="983">
        <v>0</v>
      </c>
      <c r="H63" s="983">
        <f t="shared" si="4"/>
        <v>6.807199999999999</v>
      </c>
      <c r="I63" s="985">
        <v>5</v>
      </c>
      <c r="J63" s="983">
        <f t="shared" si="5"/>
        <v>34.035999999999994</v>
      </c>
      <c r="L63" s="983">
        <f t="shared" si="10"/>
        <v>0</v>
      </c>
      <c r="M63" s="983">
        <f t="shared" si="11"/>
        <v>34.035999999999994</v>
      </c>
      <c r="N63" s="983">
        <f t="shared" si="12"/>
        <v>0</v>
      </c>
      <c r="O63" s="983">
        <f t="shared" si="13"/>
        <v>0</v>
      </c>
      <c r="P63" s="983">
        <f t="shared" si="14"/>
        <v>0</v>
      </c>
      <c r="Q63" s="983">
        <f t="shared" si="15"/>
        <v>0</v>
      </c>
    </row>
    <row r="64" spans="2:17">
      <c r="B64" s="983" t="s">
        <v>2218</v>
      </c>
      <c r="C64" s="984" t="s">
        <v>368</v>
      </c>
      <c r="D64" s="983">
        <v>0.79</v>
      </c>
      <c r="E64" s="983">
        <f t="shared" ref="E64:E71" si="18">+$E$42</f>
        <v>2.3499999999999996</v>
      </c>
      <c r="F64" s="983">
        <f t="shared" si="0"/>
        <v>1.8564999999999998</v>
      </c>
      <c r="G64" s="983">
        <v>0</v>
      </c>
      <c r="H64" s="983">
        <f t="shared" si="4"/>
        <v>1.8564999999999998</v>
      </c>
      <c r="I64" s="985">
        <v>5</v>
      </c>
      <c r="J64" s="983">
        <f t="shared" si="5"/>
        <v>9.2824999999999989</v>
      </c>
      <c r="L64" s="983">
        <f t="shared" si="10"/>
        <v>0</v>
      </c>
      <c r="M64" s="983">
        <f t="shared" si="11"/>
        <v>9.2824999999999989</v>
      </c>
      <c r="N64" s="983">
        <f t="shared" si="12"/>
        <v>0</v>
      </c>
      <c r="O64" s="983">
        <f t="shared" si="13"/>
        <v>0</v>
      </c>
      <c r="P64" s="983">
        <f t="shared" si="14"/>
        <v>0</v>
      </c>
      <c r="Q64" s="983">
        <f t="shared" si="15"/>
        <v>0</v>
      </c>
    </row>
    <row r="65" spans="2:17">
      <c r="B65" s="983" t="s">
        <v>2219</v>
      </c>
      <c r="C65" s="984" t="s">
        <v>368</v>
      </c>
      <c r="D65" s="983">
        <v>0.88</v>
      </c>
      <c r="E65" s="983">
        <f t="shared" si="18"/>
        <v>2.3499999999999996</v>
      </c>
      <c r="F65" s="983">
        <f t="shared" si="0"/>
        <v>2.0679999999999996</v>
      </c>
      <c r="G65" s="983">
        <v>0</v>
      </c>
      <c r="H65" s="983">
        <f t="shared" si="4"/>
        <v>2.0679999999999996</v>
      </c>
      <c r="I65" s="985">
        <v>5</v>
      </c>
      <c r="J65" s="983">
        <f t="shared" si="5"/>
        <v>10.339999999999998</v>
      </c>
      <c r="L65" s="983">
        <f t="shared" si="10"/>
        <v>0</v>
      </c>
      <c r="M65" s="983">
        <f t="shared" si="11"/>
        <v>10.339999999999998</v>
      </c>
      <c r="N65" s="983">
        <f t="shared" si="12"/>
        <v>0</v>
      </c>
      <c r="O65" s="983">
        <f t="shared" si="13"/>
        <v>0</v>
      </c>
      <c r="P65" s="983">
        <f t="shared" si="14"/>
        <v>0</v>
      </c>
      <c r="Q65" s="983">
        <f t="shared" si="15"/>
        <v>0</v>
      </c>
    </row>
    <row r="66" spans="2:17">
      <c r="B66" s="983" t="s">
        <v>2220</v>
      </c>
      <c r="C66" s="984" t="s">
        <v>368</v>
      </c>
      <c r="D66" s="983">
        <v>0.54</v>
      </c>
      <c r="E66" s="983">
        <f t="shared" si="18"/>
        <v>2.3499999999999996</v>
      </c>
      <c r="F66" s="983">
        <f t="shared" si="0"/>
        <v>1.2689999999999999</v>
      </c>
      <c r="G66" s="983">
        <v>0</v>
      </c>
      <c r="H66" s="983">
        <f t="shared" si="4"/>
        <v>1.2689999999999999</v>
      </c>
      <c r="I66" s="985">
        <v>5</v>
      </c>
      <c r="J66" s="983">
        <f t="shared" si="5"/>
        <v>6.3449999999999998</v>
      </c>
      <c r="L66" s="983">
        <f t="shared" si="10"/>
        <v>0</v>
      </c>
      <c r="M66" s="983">
        <f t="shared" si="11"/>
        <v>6.3449999999999998</v>
      </c>
      <c r="N66" s="983">
        <f t="shared" si="12"/>
        <v>0</v>
      </c>
      <c r="O66" s="983">
        <f t="shared" si="13"/>
        <v>0</v>
      </c>
      <c r="P66" s="983">
        <f t="shared" si="14"/>
        <v>0</v>
      </c>
      <c r="Q66" s="983">
        <f t="shared" si="15"/>
        <v>0</v>
      </c>
    </row>
    <row r="67" spans="2:17">
      <c r="B67" s="983" t="s">
        <v>2221</v>
      </c>
      <c r="C67" s="984" t="s">
        <v>368</v>
      </c>
      <c r="D67" s="983">
        <v>0.28999999999999998</v>
      </c>
      <c r="E67" s="983">
        <f t="shared" si="18"/>
        <v>2.3499999999999996</v>
      </c>
      <c r="F67" s="983">
        <f t="shared" si="0"/>
        <v>0.68149999999999988</v>
      </c>
      <c r="G67" s="983">
        <v>0</v>
      </c>
      <c r="H67" s="983">
        <f t="shared" si="4"/>
        <v>0.68149999999999988</v>
      </c>
      <c r="I67" s="985">
        <v>5</v>
      </c>
      <c r="J67" s="983">
        <f t="shared" si="5"/>
        <v>3.4074999999999993</v>
      </c>
      <c r="L67" s="983">
        <f t="shared" si="10"/>
        <v>0</v>
      </c>
      <c r="M67" s="983">
        <f t="shared" si="11"/>
        <v>3.4074999999999993</v>
      </c>
      <c r="N67" s="983">
        <f t="shared" si="12"/>
        <v>0</v>
      </c>
      <c r="O67" s="983">
        <f t="shared" si="13"/>
        <v>0</v>
      </c>
      <c r="P67" s="983">
        <f t="shared" si="14"/>
        <v>0</v>
      </c>
      <c r="Q67" s="983">
        <f t="shared" si="15"/>
        <v>0</v>
      </c>
    </row>
    <row r="68" spans="2:17">
      <c r="B68" s="983" t="s">
        <v>1696</v>
      </c>
      <c r="C68" s="984" t="s">
        <v>33</v>
      </c>
      <c r="D68" s="983">
        <v>3.2</v>
      </c>
      <c r="E68" s="983">
        <f t="shared" si="18"/>
        <v>2.3499999999999996</v>
      </c>
      <c r="F68" s="983">
        <f t="shared" si="0"/>
        <v>7.52</v>
      </c>
      <c r="G68" s="983">
        <v>0</v>
      </c>
      <c r="H68" s="983">
        <f t="shared" si="4"/>
        <v>7.52</v>
      </c>
      <c r="I68" s="985">
        <v>5</v>
      </c>
      <c r="J68" s="983">
        <f t="shared" si="5"/>
        <v>37.599999999999994</v>
      </c>
      <c r="L68" s="983">
        <f t="shared" si="10"/>
        <v>0</v>
      </c>
      <c r="M68" s="983">
        <f t="shared" si="11"/>
        <v>0</v>
      </c>
      <c r="N68" s="983">
        <f t="shared" si="12"/>
        <v>37.599999999999994</v>
      </c>
      <c r="O68" s="983">
        <f t="shared" si="13"/>
        <v>0</v>
      </c>
      <c r="P68" s="983">
        <f t="shared" si="14"/>
        <v>0</v>
      </c>
      <c r="Q68" s="983">
        <f t="shared" si="15"/>
        <v>0</v>
      </c>
    </row>
    <row r="69" spans="2:17">
      <c r="B69" s="983" t="s">
        <v>1697</v>
      </c>
      <c r="C69" s="984" t="s">
        <v>33</v>
      </c>
      <c r="D69" s="983">
        <v>4.0999999999999996</v>
      </c>
      <c r="E69" s="983">
        <f t="shared" si="18"/>
        <v>2.3499999999999996</v>
      </c>
      <c r="F69" s="983">
        <f t="shared" ref="F69:F132" si="19">+D69*E69</f>
        <v>9.634999999999998</v>
      </c>
      <c r="G69" s="983">
        <v>0</v>
      </c>
      <c r="H69" s="983">
        <f t="shared" si="4"/>
        <v>9.634999999999998</v>
      </c>
      <c r="I69" s="985">
        <v>5</v>
      </c>
      <c r="J69" s="983">
        <f t="shared" si="5"/>
        <v>48.17499999999999</v>
      </c>
      <c r="L69" s="983">
        <f t="shared" si="10"/>
        <v>0</v>
      </c>
      <c r="M69" s="983">
        <f t="shared" si="11"/>
        <v>0</v>
      </c>
      <c r="N69" s="983">
        <f t="shared" si="12"/>
        <v>48.17499999999999</v>
      </c>
      <c r="O69" s="983">
        <f t="shared" si="13"/>
        <v>0</v>
      </c>
      <c r="P69" s="983">
        <f t="shared" si="14"/>
        <v>0</v>
      </c>
      <c r="Q69" s="983">
        <f t="shared" si="15"/>
        <v>0</v>
      </c>
    </row>
    <row r="70" spans="2:17">
      <c r="B70" s="983" t="s">
        <v>1698</v>
      </c>
      <c r="C70" s="984" t="s">
        <v>33</v>
      </c>
      <c r="D70" s="983">
        <v>3.82</v>
      </c>
      <c r="E70" s="983">
        <f t="shared" si="18"/>
        <v>2.3499999999999996</v>
      </c>
      <c r="F70" s="983">
        <f t="shared" si="19"/>
        <v>8.9769999999999985</v>
      </c>
      <c r="G70" s="983">
        <v>0</v>
      </c>
      <c r="H70" s="983">
        <f t="shared" si="4"/>
        <v>8.9769999999999985</v>
      </c>
      <c r="I70" s="985">
        <v>5</v>
      </c>
      <c r="J70" s="983">
        <f t="shared" ref="J70:J133" si="20">+H70*I70</f>
        <v>44.884999999999991</v>
      </c>
      <c r="L70" s="983">
        <f t="shared" si="10"/>
        <v>0</v>
      </c>
      <c r="M70" s="983">
        <f t="shared" si="11"/>
        <v>0</v>
      </c>
      <c r="N70" s="983">
        <f t="shared" si="12"/>
        <v>44.884999999999991</v>
      </c>
      <c r="O70" s="983">
        <f t="shared" si="13"/>
        <v>0</v>
      </c>
      <c r="P70" s="983">
        <f t="shared" si="14"/>
        <v>0</v>
      </c>
      <c r="Q70" s="983">
        <f t="shared" si="15"/>
        <v>0</v>
      </c>
    </row>
    <row r="71" spans="2:17">
      <c r="B71" s="983" t="s">
        <v>1699</v>
      </c>
      <c r="C71" s="984" t="s">
        <v>33</v>
      </c>
      <c r="D71" s="983">
        <v>3.48</v>
      </c>
      <c r="E71" s="983">
        <f t="shared" si="18"/>
        <v>2.3499999999999996</v>
      </c>
      <c r="F71" s="983">
        <f t="shared" si="19"/>
        <v>8.177999999999999</v>
      </c>
      <c r="G71" s="983">
        <v>0</v>
      </c>
      <c r="H71" s="983">
        <f t="shared" si="4"/>
        <v>8.177999999999999</v>
      </c>
      <c r="I71" s="985">
        <v>5</v>
      </c>
      <c r="J71" s="983">
        <f t="shared" si="20"/>
        <v>40.889999999999993</v>
      </c>
      <c r="L71" s="983">
        <f t="shared" si="10"/>
        <v>0</v>
      </c>
      <c r="M71" s="983">
        <f t="shared" si="11"/>
        <v>0</v>
      </c>
      <c r="N71" s="983">
        <f t="shared" si="12"/>
        <v>40.889999999999993</v>
      </c>
      <c r="O71" s="983">
        <f t="shared" si="13"/>
        <v>0</v>
      </c>
      <c r="P71" s="983">
        <f t="shared" si="14"/>
        <v>0</v>
      </c>
      <c r="Q71" s="983">
        <f t="shared" si="15"/>
        <v>0</v>
      </c>
    </row>
    <row r="72" spans="2:17">
      <c r="B72" s="983" t="s">
        <v>1700</v>
      </c>
      <c r="C72" s="984" t="s">
        <v>365</v>
      </c>
      <c r="D72" s="983">
        <v>4</v>
      </c>
      <c r="E72" s="983">
        <f>+$E$46</f>
        <v>2.6799999999999997</v>
      </c>
      <c r="F72" s="983">
        <f t="shared" si="19"/>
        <v>10.719999999999999</v>
      </c>
      <c r="G72" s="983">
        <v>0</v>
      </c>
      <c r="H72" s="983">
        <f t="shared" si="4"/>
        <v>10.719999999999999</v>
      </c>
      <c r="I72" s="985">
        <v>5</v>
      </c>
      <c r="J72" s="983">
        <f t="shared" si="20"/>
        <v>53.599999999999994</v>
      </c>
      <c r="L72" s="983">
        <f t="shared" si="10"/>
        <v>53.599999999999994</v>
      </c>
      <c r="M72" s="983">
        <f t="shared" si="11"/>
        <v>0</v>
      </c>
      <c r="N72" s="983">
        <f t="shared" si="12"/>
        <v>0</v>
      </c>
      <c r="O72" s="983">
        <f t="shared" si="13"/>
        <v>0</v>
      </c>
      <c r="P72" s="983">
        <f t="shared" si="14"/>
        <v>0</v>
      </c>
      <c r="Q72" s="983">
        <f t="shared" si="15"/>
        <v>0</v>
      </c>
    </row>
    <row r="73" spans="2:17">
      <c r="B73" s="983" t="s">
        <v>1767</v>
      </c>
      <c r="C73" s="984" t="s">
        <v>365</v>
      </c>
      <c r="D73" s="983">
        <v>4.13</v>
      </c>
      <c r="E73" s="784">
        <f>+$E$47</f>
        <v>2.6799999999999997</v>
      </c>
      <c r="F73" s="983">
        <f t="shared" si="19"/>
        <v>11.068399999999999</v>
      </c>
      <c r="G73" s="983">
        <v>0</v>
      </c>
      <c r="H73" s="983">
        <f t="shared" si="4"/>
        <v>11.068399999999999</v>
      </c>
      <c r="I73" s="985">
        <v>5</v>
      </c>
      <c r="J73" s="983">
        <f t="shared" si="20"/>
        <v>55.341999999999992</v>
      </c>
      <c r="L73" s="983">
        <f t="shared" si="10"/>
        <v>55.341999999999992</v>
      </c>
      <c r="M73" s="983">
        <f t="shared" si="11"/>
        <v>0</v>
      </c>
      <c r="N73" s="983">
        <f t="shared" si="12"/>
        <v>0</v>
      </c>
      <c r="O73" s="983">
        <f t="shared" si="13"/>
        <v>0</v>
      </c>
      <c r="P73" s="983">
        <f t="shared" si="14"/>
        <v>0</v>
      </c>
      <c r="Q73" s="983">
        <f t="shared" si="15"/>
        <v>0</v>
      </c>
    </row>
    <row r="74" spans="2:17">
      <c r="B74" s="983" t="s">
        <v>1768</v>
      </c>
      <c r="C74" s="984" t="s">
        <v>365</v>
      </c>
      <c r="D74" s="983">
        <v>1.35</v>
      </c>
      <c r="E74" s="983">
        <f>+$E$46</f>
        <v>2.6799999999999997</v>
      </c>
      <c r="F74" s="983">
        <f t="shared" si="19"/>
        <v>3.6179999999999999</v>
      </c>
      <c r="G74" s="983">
        <v>0</v>
      </c>
      <c r="H74" s="983">
        <f t="shared" si="4"/>
        <v>3.6179999999999999</v>
      </c>
      <c r="I74" s="985">
        <v>5</v>
      </c>
      <c r="J74" s="983">
        <f t="shared" si="20"/>
        <v>18.09</v>
      </c>
      <c r="L74" s="983">
        <f t="shared" si="10"/>
        <v>18.09</v>
      </c>
      <c r="M74" s="983">
        <f t="shared" si="11"/>
        <v>0</v>
      </c>
      <c r="N74" s="983">
        <f t="shared" si="12"/>
        <v>0</v>
      </c>
      <c r="O74" s="983">
        <f t="shared" si="13"/>
        <v>0</v>
      </c>
      <c r="P74" s="983">
        <f t="shared" si="14"/>
        <v>0</v>
      </c>
      <c r="Q74" s="983">
        <f t="shared" si="15"/>
        <v>0</v>
      </c>
    </row>
    <row r="75" spans="2:17">
      <c r="B75" s="983" t="s">
        <v>1769</v>
      </c>
      <c r="C75" s="984" t="s">
        <v>365</v>
      </c>
      <c r="D75" s="983">
        <v>0.7</v>
      </c>
      <c r="E75" s="983">
        <f>+$E$46</f>
        <v>2.6799999999999997</v>
      </c>
      <c r="F75" s="983">
        <f t="shared" si="19"/>
        <v>1.8759999999999997</v>
      </c>
      <c r="G75" s="983">
        <v>0</v>
      </c>
      <c r="H75" s="983">
        <f t="shared" si="4"/>
        <v>1.8759999999999997</v>
      </c>
      <c r="I75" s="985">
        <v>5</v>
      </c>
      <c r="J75" s="983">
        <f t="shared" si="20"/>
        <v>9.379999999999999</v>
      </c>
      <c r="L75" s="983">
        <f t="shared" si="10"/>
        <v>9.379999999999999</v>
      </c>
      <c r="M75" s="983">
        <f t="shared" si="11"/>
        <v>0</v>
      </c>
      <c r="N75" s="983">
        <f t="shared" si="12"/>
        <v>0</v>
      </c>
      <c r="O75" s="983">
        <f t="shared" si="13"/>
        <v>0</v>
      </c>
      <c r="P75" s="983">
        <f t="shared" si="14"/>
        <v>0</v>
      </c>
      <c r="Q75" s="983">
        <f t="shared" si="15"/>
        <v>0</v>
      </c>
    </row>
    <row r="76" spans="2:17">
      <c r="B76" s="983" t="s">
        <v>1770</v>
      </c>
      <c r="C76" s="984" t="s">
        <v>365</v>
      </c>
      <c r="D76" s="983">
        <v>0.72</v>
      </c>
      <c r="E76" s="983">
        <f>+$E$46</f>
        <v>2.6799999999999997</v>
      </c>
      <c r="F76" s="983">
        <f t="shared" si="19"/>
        <v>1.9295999999999998</v>
      </c>
      <c r="G76" s="983">
        <v>0</v>
      </c>
      <c r="H76" s="983">
        <f t="shared" si="4"/>
        <v>1.9295999999999998</v>
      </c>
      <c r="I76" s="985">
        <v>5</v>
      </c>
      <c r="J76" s="983">
        <f t="shared" si="20"/>
        <v>9.6479999999999997</v>
      </c>
      <c r="L76" s="983">
        <f t="shared" si="10"/>
        <v>9.6479999999999997</v>
      </c>
      <c r="M76" s="983">
        <f t="shared" si="11"/>
        <v>0</v>
      </c>
      <c r="N76" s="983">
        <f t="shared" si="12"/>
        <v>0</v>
      </c>
      <c r="O76" s="983">
        <f t="shared" si="13"/>
        <v>0</v>
      </c>
      <c r="P76" s="983">
        <f t="shared" si="14"/>
        <v>0</v>
      </c>
      <c r="Q76" s="983">
        <f t="shared" si="15"/>
        <v>0</v>
      </c>
    </row>
    <row r="77" spans="2:17">
      <c r="B77" s="983" t="s">
        <v>1771</v>
      </c>
      <c r="C77" s="984" t="s">
        <v>368</v>
      </c>
      <c r="D77" s="983">
        <v>3.2</v>
      </c>
      <c r="E77" s="983">
        <f>+$E$42</f>
        <v>2.3499999999999996</v>
      </c>
      <c r="F77" s="983">
        <f t="shared" si="19"/>
        <v>7.52</v>
      </c>
      <c r="G77" s="983">
        <v>0</v>
      </c>
      <c r="H77" s="983">
        <f t="shared" si="4"/>
        <v>7.52</v>
      </c>
      <c r="I77" s="985">
        <v>5</v>
      </c>
      <c r="J77" s="983">
        <f t="shared" si="20"/>
        <v>37.599999999999994</v>
      </c>
      <c r="L77" s="983">
        <f t="shared" si="10"/>
        <v>0</v>
      </c>
      <c r="M77" s="983">
        <f t="shared" si="11"/>
        <v>37.599999999999994</v>
      </c>
      <c r="N77" s="983">
        <f t="shared" si="12"/>
        <v>0</v>
      </c>
      <c r="O77" s="983">
        <f t="shared" si="13"/>
        <v>0</v>
      </c>
      <c r="P77" s="983">
        <f t="shared" si="14"/>
        <v>0</v>
      </c>
      <c r="Q77" s="983">
        <f t="shared" si="15"/>
        <v>0</v>
      </c>
    </row>
    <row r="78" spans="2:17">
      <c r="B78" s="983" t="s">
        <v>1772</v>
      </c>
      <c r="C78" s="984" t="s">
        <v>368</v>
      </c>
      <c r="D78" s="983">
        <v>4.68</v>
      </c>
      <c r="E78" s="983">
        <f>+$E$42</f>
        <v>2.3499999999999996</v>
      </c>
      <c r="F78" s="983">
        <f t="shared" si="19"/>
        <v>10.997999999999998</v>
      </c>
      <c r="G78" s="983">
        <v>0</v>
      </c>
      <c r="H78" s="983">
        <f t="shared" si="4"/>
        <v>10.997999999999998</v>
      </c>
      <c r="I78" s="985">
        <v>5</v>
      </c>
      <c r="J78" s="983">
        <f t="shared" si="20"/>
        <v>54.989999999999988</v>
      </c>
      <c r="L78" s="983">
        <f t="shared" si="10"/>
        <v>0</v>
      </c>
      <c r="M78" s="983">
        <f t="shared" si="11"/>
        <v>54.989999999999988</v>
      </c>
      <c r="N78" s="983">
        <f t="shared" si="12"/>
        <v>0</v>
      </c>
      <c r="O78" s="983">
        <f t="shared" si="13"/>
        <v>0</v>
      </c>
      <c r="P78" s="983">
        <f t="shared" si="14"/>
        <v>0</v>
      </c>
      <c r="Q78" s="983">
        <f t="shared" si="15"/>
        <v>0</v>
      </c>
    </row>
    <row r="79" spans="2:17">
      <c r="B79" s="989" t="s">
        <v>1773</v>
      </c>
      <c r="C79" s="984" t="s">
        <v>368</v>
      </c>
      <c r="D79" s="989">
        <v>5</v>
      </c>
      <c r="E79" s="983">
        <f>+$E$42</f>
        <v>2.3499999999999996</v>
      </c>
      <c r="F79" s="983">
        <f t="shared" si="19"/>
        <v>11.749999999999998</v>
      </c>
      <c r="G79" s="983">
        <v>0</v>
      </c>
      <c r="H79" s="983">
        <f t="shared" si="4"/>
        <v>11.749999999999998</v>
      </c>
      <c r="I79" s="985">
        <v>5</v>
      </c>
      <c r="J79" s="983">
        <f t="shared" si="20"/>
        <v>58.749999999999993</v>
      </c>
      <c r="L79" s="983">
        <f t="shared" si="10"/>
        <v>0</v>
      </c>
      <c r="M79" s="983">
        <f t="shared" si="11"/>
        <v>58.749999999999993</v>
      </c>
      <c r="N79" s="983">
        <f t="shared" si="12"/>
        <v>0</v>
      </c>
      <c r="O79" s="983">
        <f t="shared" si="13"/>
        <v>0</v>
      </c>
      <c r="P79" s="983">
        <f t="shared" si="14"/>
        <v>0</v>
      </c>
      <c r="Q79" s="983">
        <f t="shared" si="15"/>
        <v>0</v>
      </c>
    </row>
    <row r="80" spans="2:17">
      <c r="B80" s="983" t="s">
        <v>1774</v>
      </c>
      <c r="C80" s="984" t="s">
        <v>368</v>
      </c>
      <c r="D80" s="983">
        <v>4.4000000000000004</v>
      </c>
      <c r="E80" s="983">
        <f>+$E$42</f>
        <v>2.3499999999999996</v>
      </c>
      <c r="F80" s="983">
        <f t="shared" si="19"/>
        <v>10.34</v>
      </c>
      <c r="G80" s="983">
        <v>0</v>
      </c>
      <c r="H80" s="983">
        <f t="shared" si="4"/>
        <v>10.34</v>
      </c>
      <c r="I80" s="985">
        <v>5</v>
      </c>
      <c r="J80" s="983">
        <f t="shared" si="20"/>
        <v>51.7</v>
      </c>
      <c r="L80" s="983">
        <f t="shared" si="10"/>
        <v>0</v>
      </c>
      <c r="M80" s="983">
        <f t="shared" si="11"/>
        <v>51.7</v>
      </c>
      <c r="N80" s="983">
        <f t="shared" si="12"/>
        <v>0</v>
      </c>
      <c r="O80" s="983">
        <f t="shared" si="13"/>
        <v>0</v>
      </c>
      <c r="P80" s="983">
        <f t="shared" si="14"/>
        <v>0</v>
      </c>
      <c r="Q80" s="983">
        <f t="shared" si="15"/>
        <v>0</v>
      </c>
    </row>
    <row r="81" spans="2:17">
      <c r="B81" s="983" t="s">
        <v>1775</v>
      </c>
      <c r="C81" s="984" t="s">
        <v>368</v>
      </c>
      <c r="D81" s="983">
        <v>3.48</v>
      </c>
      <c r="E81" s="983">
        <f>+$E$42</f>
        <v>2.3499999999999996</v>
      </c>
      <c r="F81" s="983">
        <f t="shared" si="19"/>
        <v>8.177999999999999</v>
      </c>
      <c r="G81" s="983">
        <v>0</v>
      </c>
      <c r="H81" s="983">
        <f t="shared" si="4"/>
        <v>8.177999999999999</v>
      </c>
      <c r="I81" s="985">
        <v>5</v>
      </c>
      <c r="J81" s="983">
        <f t="shared" si="20"/>
        <v>40.889999999999993</v>
      </c>
      <c r="L81" s="983">
        <f t="shared" si="10"/>
        <v>0</v>
      </c>
      <c r="M81" s="983">
        <f t="shared" si="11"/>
        <v>40.889999999999993</v>
      </c>
      <c r="N81" s="983">
        <f t="shared" si="12"/>
        <v>0</v>
      </c>
      <c r="O81" s="983">
        <f t="shared" si="13"/>
        <v>0</v>
      </c>
      <c r="P81" s="983">
        <f t="shared" si="14"/>
        <v>0</v>
      </c>
      <c r="Q81" s="983">
        <f t="shared" si="15"/>
        <v>0</v>
      </c>
    </row>
    <row r="82" spans="2:17">
      <c r="B82" s="983" t="s">
        <v>1776</v>
      </c>
      <c r="C82" s="984" t="s">
        <v>368</v>
      </c>
      <c r="D82" s="983">
        <v>3.78</v>
      </c>
      <c r="E82" s="983">
        <f>+$E$46</f>
        <v>2.6799999999999997</v>
      </c>
      <c r="F82" s="983">
        <f t="shared" si="19"/>
        <v>10.130399999999998</v>
      </c>
      <c r="G82" s="983">
        <v>0</v>
      </c>
      <c r="H82" s="983">
        <f t="shared" si="4"/>
        <v>10.130399999999998</v>
      </c>
      <c r="I82" s="985">
        <v>5</v>
      </c>
      <c r="J82" s="983">
        <f t="shared" si="20"/>
        <v>50.651999999999987</v>
      </c>
      <c r="L82" s="983">
        <f t="shared" si="10"/>
        <v>0</v>
      </c>
      <c r="M82" s="983">
        <f t="shared" si="11"/>
        <v>50.651999999999987</v>
      </c>
      <c r="N82" s="983">
        <f t="shared" si="12"/>
        <v>0</v>
      </c>
      <c r="O82" s="983">
        <f t="shared" si="13"/>
        <v>0</v>
      </c>
      <c r="P82" s="983">
        <f t="shared" si="14"/>
        <v>0</v>
      </c>
      <c r="Q82" s="983">
        <f t="shared" si="15"/>
        <v>0</v>
      </c>
    </row>
    <row r="83" spans="2:17">
      <c r="B83" s="983" t="s">
        <v>1777</v>
      </c>
      <c r="C83" s="984" t="s">
        <v>365</v>
      </c>
      <c r="D83" s="983">
        <v>0.35</v>
      </c>
      <c r="E83" s="983">
        <f>+$E$46</f>
        <v>2.6799999999999997</v>
      </c>
      <c r="F83" s="983">
        <f t="shared" si="19"/>
        <v>0.93799999999999983</v>
      </c>
      <c r="G83" s="983">
        <v>0</v>
      </c>
      <c r="H83" s="983">
        <f t="shared" si="4"/>
        <v>0.93799999999999983</v>
      </c>
      <c r="I83" s="985">
        <v>5</v>
      </c>
      <c r="J83" s="983">
        <f t="shared" si="20"/>
        <v>4.6899999999999995</v>
      </c>
      <c r="L83" s="983">
        <f t="shared" si="10"/>
        <v>4.6899999999999995</v>
      </c>
      <c r="M83" s="983">
        <f t="shared" si="11"/>
        <v>0</v>
      </c>
      <c r="N83" s="983">
        <f t="shared" si="12"/>
        <v>0</v>
      </c>
      <c r="O83" s="983">
        <f t="shared" si="13"/>
        <v>0</v>
      </c>
      <c r="P83" s="983">
        <f t="shared" si="14"/>
        <v>0</v>
      </c>
      <c r="Q83" s="983">
        <f t="shared" si="15"/>
        <v>0</v>
      </c>
    </row>
    <row r="84" spans="2:17">
      <c r="B84" s="983" t="s">
        <v>1778</v>
      </c>
      <c r="C84" s="984" t="s">
        <v>33</v>
      </c>
      <c r="D84" s="983">
        <v>1.53</v>
      </c>
      <c r="E84" s="983">
        <f>+$E$42</f>
        <v>2.3499999999999996</v>
      </c>
      <c r="F84" s="983">
        <f t="shared" si="19"/>
        <v>3.5954999999999995</v>
      </c>
      <c r="G84" s="983">
        <v>0</v>
      </c>
      <c r="H84" s="983">
        <f t="shared" si="4"/>
        <v>3.5954999999999995</v>
      </c>
      <c r="I84" s="985">
        <v>5</v>
      </c>
      <c r="J84" s="983">
        <f t="shared" si="20"/>
        <v>17.977499999999999</v>
      </c>
      <c r="L84" s="983">
        <f t="shared" si="10"/>
        <v>0</v>
      </c>
      <c r="M84" s="983">
        <f t="shared" si="11"/>
        <v>0</v>
      </c>
      <c r="N84" s="983">
        <f t="shared" si="12"/>
        <v>17.977499999999999</v>
      </c>
      <c r="O84" s="983">
        <f t="shared" si="13"/>
        <v>0</v>
      </c>
      <c r="P84" s="983">
        <f t="shared" si="14"/>
        <v>0</v>
      </c>
      <c r="Q84" s="983">
        <f t="shared" si="15"/>
        <v>0</v>
      </c>
    </row>
    <row r="85" spans="2:17">
      <c r="B85" s="983" t="s">
        <v>1779</v>
      </c>
      <c r="C85" s="984" t="s">
        <v>33</v>
      </c>
      <c r="D85" s="983">
        <v>4.5199999999999996</v>
      </c>
      <c r="E85" s="983">
        <f>+$E$42</f>
        <v>2.3499999999999996</v>
      </c>
      <c r="F85" s="983">
        <f t="shared" si="19"/>
        <v>10.621999999999998</v>
      </c>
      <c r="G85" s="983">
        <v>0</v>
      </c>
      <c r="H85" s="983">
        <f t="shared" si="4"/>
        <v>10.621999999999998</v>
      </c>
      <c r="I85" s="985">
        <v>5</v>
      </c>
      <c r="J85" s="983">
        <f t="shared" si="20"/>
        <v>53.109999999999992</v>
      </c>
      <c r="L85" s="983">
        <f t="shared" si="10"/>
        <v>0</v>
      </c>
      <c r="M85" s="983">
        <f t="shared" si="11"/>
        <v>0</v>
      </c>
      <c r="N85" s="983">
        <f t="shared" si="12"/>
        <v>53.109999999999992</v>
      </c>
      <c r="O85" s="983">
        <f t="shared" si="13"/>
        <v>0</v>
      </c>
      <c r="P85" s="983">
        <f t="shared" si="14"/>
        <v>0</v>
      </c>
      <c r="Q85" s="983">
        <f t="shared" si="15"/>
        <v>0</v>
      </c>
    </row>
    <row r="86" spans="2:17">
      <c r="B86" s="983" t="s">
        <v>1780</v>
      </c>
      <c r="C86" s="984" t="s">
        <v>368</v>
      </c>
      <c r="D86" s="983">
        <v>3.78</v>
      </c>
      <c r="E86" s="983">
        <f>+$E$46</f>
        <v>2.6799999999999997</v>
      </c>
      <c r="F86" s="983">
        <f t="shared" si="19"/>
        <v>10.130399999999998</v>
      </c>
      <c r="G86" s="983">
        <v>0</v>
      </c>
      <c r="H86" s="983">
        <f t="shared" si="4"/>
        <v>10.130399999999998</v>
      </c>
      <c r="I86" s="985">
        <v>5</v>
      </c>
      <c r="J86" s="983">
        <f t="shared" si="20"/>
        <v>50.651999999999987</v>
      </c>
      <c r="L86" s="983">
        <f t="shared" si="10"/>
        <v>0</v>
      </c>
      <c r="M86" s="983">
        <f t="shared" si="11"/>
        <v>50.651999999999987</v>
      </c>
      <c r="N86" s="983">
        <f t="shared" si="12"/>
        <v>0</v>
      </c>
      <c r="O86" s="983">
        <f t="shared" si="13"/>
        <v>0</v>
      </c>
      <c r="P86" s="983">
        <f t="shared" si="14"/>
        <v>0</v>
      </c>
      <c r="Q86" s="983">
        <f t="shared" si="15"/>
        <v>0</v>
      </c>
    </row>
    <row r="87" spans="2:17">
      <c r="B87" s="983" t="s">
        <v>1781</v>
      </c>
      <c r="C87" s="984" t="s">
        <v>2193</v>
      </c>
      <c r="D87" s="983">
        <v>2.42</v>
      </c>
      <c r="E87" s="983">
        <f>+$E$46</f>
        <v>2.6799999999999997</v>
      </c>
      <c r="F87" s="983">
        <f t="shared" si="19"/>
        <v>6.4855999999999989</v>
      </c>
      <c r="G87" s="983">
        <v>0</v>
      </c>
      <c r="H87" s="983">
        <f t="shared" si="4"/>
        <v>6.4855999999999989</v>
      </c>
      <c r="I87" s="985">
        <v>5</v>
      </c>
      <c r="J87" s="983">
        <f t="shared" si="20"/>
        <v>32.427999999999997</v>
      </c>
      <c r="L87" s="983">
        <f t="shared" si="10"/>
        <v>0</v>
      </c>
      <c r="M87" s="983">
        <f t="shared" si="11"/>
        <v>0</v>
      </c>
      <c r="N87" s="983">
        <f t="shared" si="12"/>
        <v>0</v>
      </c>
      <c r="O87" s="983">
        <f t="shared" si="13"/>
        <v>0</v>
      </c>
      <c r="P87" s="983">
        <f t="shared" si="14"/>
        <v>32.427999999999997</v>
      </c>
      <c r="Q87" s="983">
        <f t="shared" si="15"/>
        <v>0</v>
      </c>
    </row>
    <row r="88" spans="2:17">
      <c r="B88" s="983" t="s">
        <v>1782</v>
      </c>
      <c r="C88" s="984" t="s">
        <v>33</v>
      </c>
      <c r="D88" s="983">
        <v>3.2</v>
      </c>
      <c r="E88" s="983">
        <f t="shared" ref="E88:E95" si="21">+$E$42</f>
        <v>2.3499999999999996</v>
      </c>
      <c r="F88" s="983">
        <f t="shared" si="19"/>
        <v>7.52</v>
      </c>
      <c r="G88" s="983">
        <v>0</v>
      </c>
      <c r="H88" s="983">
        <f t="shared" si="4"/>
        <v>7.52</v>
      </c>
      <c r="I88" s="985">
        <v>5</v>
      </c>
      <c r="J88" s="983">
        <f t="shared" si="20"/>
        <v>37.599999999999994</v>
      </c>
      <c r="L88" s="983">
        <f t="shared" si="10"/>
        <v>0</v>
      </c>
      <c r="M88" s="983">
        <f t="shared" si="11"/>
        <v>0</v>
      </c>
      <c r="N88" s="983">
        <f t="shared" si="12"/>
        <v>37.599999999999994</v>
      </c>
      <c r="O88" s="983">
        <f t="shared" si="13"/>
        <v>0</v>
      </c>
      <c r="P88" s="983">
        <f t="shared" si="14"/>
        <v>0</v>
      </c>
      <c r="Q88" s="983">
        <f t="shared" si="15"/>
        <v>0</v>
      </c>
    </row>
    <row r="89" spans="2:17">
      <c r="B89" s="983" t="s">
        <v>2222</v>
      </c>
      <c r="C89" s="984" t="s">
        <v>1677</v>
      </c>
      <c r="D89" s="983">
        <v>4.68</v>
      </c>
      <c r="E89" s="983">
        <f t="shared" si="21"/>
        <v>2.3499999999999996</v>
      </c>
      <c r="F89" s="983">
        <f t="shared" si="19"/>
        <v>10.997999999999998</v>
      </c>
      <c r="G89" s="983">
        <v>0</v>
      </c>
      <c r="H89" s="983">
        <f t="shared" ref="H89:H149" si="22">+F89-G89</f>
        <v>10.997999999999998</v>
      </c>
      <c r="I89" s="985">
        <v>1</v>
      </c>
      <c r="J89" s="983">
        <f t="shared" si="20"/>
        <v>10.997999999999998</v>
      </c>
      <c r="L89" s="983">
        <f t="shared" si="10"/>
        <v>0</v>
      </c>
      <c r="M89" s="983">
        <f t="shared" si="11"/>
        <v>0</v>
      </c>
      <c r="N89" s="983">
        <f t="shared" si="12"/>
        <v>0</v>
      </c>
      <c r="O89" s="983">
        <f t="shared" si="13"/>
        <v>10.997999999999998</v>
      </c>
      <c r="P89" s="983">
        <f t="shared" si="14"/>
        <v>0</v>
      </c>
      <c r="Q89" s="983">
        <f t="shared" si="15"/>
        <v>0</v>
      </c>
    </row>
    <row r="90" spans="2:17">
      <c r="B90" s="983" t="s">
        <v>2223</v>
      </c>
      <c r="C90" s="984" t="s">
        <v>33</v>
      </c>
      <c r="D90" s="983">
        <v>4.68</v>
      </c>
      <c r="E90" s="983">
        <f t="shared" si="21"/>
        <v>2.3499999999999996</v>
      </c>
      <c r="F90" s="983">
        <f t="shared" si="19"/>
        <v>10.997999999999998</v>
      </c>
      <c r="G90" s="983">
        <v>0</v>
      </c>
      <c r="H90" s="983">
        <f t="shared" si="22"/>
        <v>10.997999999999998</v>
      </c>
      <c r="I90" s="985">
        <v>4</v>
      </c>
      <c r="J90" s="983">
        <f t="shared" si="20"/>
        <v>43.99199999999999</v>
      </c>
      <c r="L90" s="983">
        <f t="shared" si="10"/>
        <v>0</v>
      </c>
      <c r="M90" s="983">
        <f t="shared" si="11"/>
        <v>0</v>
      </c>
      <c r="N90" s="983">
        <f t="shared" si="12"/>
        <v>43.99199999999999</v>
      </c>
      <c r="O90" s="983">
        <f t="shared" si="13"/>
        <v>0</v>
      </c>
      <c r="P90" s="983">
        <f t="shared" si="14"/>
        <v>0</v>
      </c>
      <c r="Q90" s="983">
        <f t="shared" si="15"/>
        <v>0</v>
      </c>
    </row>
    <row r="91" spans="2:17">
      <c r="B91" s="983" t="s">
        <v>2224</v>
      </c>
      <c r="C91" s="984" t="s">
        <v>1677</v>
      </c>
      <c r="D91" s="983">
        <v>3.36</v>
      </c>
      <c r="E91" s="983">
        <f t="shared" si="21"/>
        <v>2.3499999999999996</v>
      </c>
      <c r="F91" s="983">
        <f t="shared" si="19"/>
        <v>7.8959999999999981</v>
      </c>
      <c r="G91" s="983">
        <v>0</v>
      </c>
      <c r="H91" s="983">
        <f t="shared" si="22"/>
        <v>7.8959999999999981</v>
      </c>
      <c r="I91" s="985">
        <v>1</v>
      </c>
      <c r="J91" s="983">
        <f t="shared" si="20"/>
        <v>7.8959999999999981</v>
      </c>
      <c r="L91" s="983">
        <f t="shared" si="10"/>
        <v>0</v>
      </c>
      <c r="M91" s="983">
        <f t="shared" si="11"/>
        <v>0</v>
      </c>
      <c r="N91" s="983">
        <f t="shared" si="12"/>
        <v>0</v>
      </c>
      <c r="O91" s="983">
        <f t="shared" si="13"/>
        <v>7.8959999999999981</v>
      </c>
      <c r="P91" s="983">
        <f t="shared" si="14"/>
        <v>0</v>
      </c>
      <c r="Q91" s="983">
        <f t="shared" si="15"/>
        <v>0</v>
      </c>
    </row>
    <row r="92" spans="2:17">
      <c r="B92" s="983" t="s">
        <v>2225</v>
      </c>
      <c r="C92" s="984" t="s">
        <v>33</v>
      </c>
      <c r="D92" s="983">
        <v>3.36</v>
      </c>
      <c r="E92" s="983">
        <f t="shared" si="21"/>
        <v>2.3499999999999996</v>
      </c>
      <c r="F92" s="983">
        <f t="shared" si="19"/>
        <v>7.8959999999999981</v>
      </c>
      <c r="G92" s="983">
        <v>0</v>
      </c>
      <c r="H92" s="983">
        <f t="shared" si="22"/>
        <v>7.8959999999999981</v>
      </c>
      <c r="I92" s="985">
        <v>4</v>
      </c>
      <c r="J92" s="983">
        <f t="shared" si="20"/>
        <v>31.583999999999993</v>
      </c>
      <c r="L92" s="983">
        <f t="shared" si="10"/>
        <v>0</v>
      </c>
      <c r="M92" s="983">
        <f t="shared" si="11"/>
        <v>0</v>
      </c>
      <c r="N92" s="983">
        <f t="shared" si="12"/>
        <v>31.583999999999993</v>
      </c>
      <c r="O92" s="983">
        <f t="shared" si="13"/>
        <v>0</v>
      </c>
      <c r="P92" s="983">
        <f t="shared" si="14"/>
        <v>0</v>
      </c>
      <c r="Q92" s="983">
        <f t="shared" si="15"/>
        <v>0</v>
      </c>
    </row>
    <row r="93" spans="2:17">
      <c r="B93" s="983" t="s">
        <v>2226</v>
      </c>
      <c r="C93" s="984" t="s">
        <v>1677</v>
      </c>
      <c r="D93" s="983">
        <v>4.4000000000000004</v>
      </c>
      <c r="E93" s="983">
        <f t="shared" si="21"/>
        <v>2.3499999999999996</v>
      </c>
      <c r="F93" s="983">
        <f t="shared" si="19"/>
        <v>10.34</v>
      </c>
      <c r="G93" s="983">
        <v>0</v>
      </c>
      <c r="H93" s="983">
        <f t="shared" si="22"/>
        <v>10.34</v>
      </c>
      <c r="I93" s="985">
        <v>1</v>
      </c>
      <c r="J93" s="983">
        <f t="shared" si="20"/>
        <v>10.34</v>
      </c>
      <c r="L93" s="983">
        <f t="shared" si="10"/>
        <v>0</v>
      </c>
      <c r="M93" s="983">
        <f t="shared" si="11"/>
        <v>0</v>
      </c>
      <c r="N93" s="983">
        <f t="shared" si="12"/>
        <v>0</v>
      </c>
      <c r="O93" s="983">
        <f t="shared" si="13"/>
        <v>10.34</v>
      </c>
      <c r="P93" s="983">
        <f t="shared" si="14"/>
        <v>0</v>
      </c>
      <c r="Q93" s="983">
        <f t="shared" si="15"/>
        <v>0</v>
      </c>
    </row>
    <row r="94" spans="2:17">
      <c r="B94" s="983" t="s">
        <v>2227</v>
      </c>
      <c r="C94" s="984" t="s">
        <v>33</v>
      </c>
      <c r="D94" s="983">
        <v>4.4000000000000004</v>
      </c>
      <c r="E94" s="983">
        <f t="shared" si="21"/>
        <v>2.3499999999999996</v>
      </c>
      <c r="F94" s="983">
        <f t="shared" si="19"/>
        <v>10.34</v>
      </c>
      <c r="G94" s="983">
        <v>0</v>
      </c>
      <c r="H94" s="983">
        <f t="shared" si="22"/>
        <v>10.34</v>
      </c>
      <c r="I94" s="985">
        <v>4</v>
      </c>
      <c r="J94" s="983">
        <f t="shared" si="20"/>
        <v>41.36</v>
      </c>
      <c r="L94" s="983">
        <f t="shared" si="10"/>
        <v>0</v>
      </c>
      <c r="M94" s="983">
        <f t="shared" si="11"/>
        <v>0</v>
      </c>
      <c r="N94" s="983">
        <f t="shared" si="12"/>
        <v>41.36</v>
      </c>
      <c r="O94" s="983">
        <f t="shared" si="13"/>
        <v>0</v>
      </c>
      <c r="P94" s="983">
        <f t="shared" si="14"/>
        <v>0</v>
      </c>
      <c r="Q94" s="983">
        <f t="shared" si="15"/>
        <v>0</v>
      </c>
    </row>
    <row r="95" spans="2:17">
      <c r="B95" s="983" t="s">
        <v>1786</v>
      </c>
      <c r="C95" s="984" t="s">
        <v>33</v>
      </c>
      <c r="D95" s="983">
        <v>3.49</v>
      </c>
      <c r="E95" s="983">
        <f t="shared" si="21"/>
        <v>2.3499999999999996</v>
      </c>
      <c r="F95" s="983">
        <f t="shared" si="19"/>
        <v>8.2014999999999993</v>
      </c>
      <c r="G95" s="983">
        <v>0</v>
      </c>
      <c r="H95" s="983">
        <f t="shared" si="22"/>
        <v>8.2014999999999993</v>
      </c>
      <c r="I95" s="985">
        <v>5</v>
      </c>
      <c r="J95" s="983">
        <f t="shared" si="20"/>
        <v>41.007499999999993</v>
      </c>
      <c r="L95" s="983">
        <f t="shared" si="10"/>
        <v>0</v>
      </c>
      <c r="M95" s="983">
        <f t="shared" si="11"/>
        <v>0</v>
      </c>
      <c r="N95" s="983">
        <f t="shared" si="12"/>
        <v>41.007499999999993</v>
      </c>
      <c r="O95" s="983">
        <f t="shared" si="13"/>
        <v>0</v>
      </c>
      <c r="P95" s="983">
        <f t="shared" si="14"/>
        <v>0</v>
      </c>
      <c r="Q95" s="983">
        <f t="shared" si="15"/>
        <v>0</v>
      </c>
    </row>
    <row r="96" spans="2:17">
      <c r="B96" s="983" t="s">
        <v>1787</v>
      </c>
      <c r="C96" s="984" t="s">
        <v>368</v>
      </c>
      <c r="D96" s="983">
        <v>1.4</v>
      </c>
      <c r="E96" s="983">
        <v>0.4</v>
      </c>
      <c r="F96" s="983">
        <f t="shared" si="19"/>
        <v>0.55999999999999994</v>
      </c>
      <c r="G96" s="983">
        <v>0</v>
      </c>
      <c r="H96" s="983">
        <f t="shared" si="22"/>
        <v>0.55999999999999994</v>
      </c>
      <c r="I96" s="985">
        <v>5</v>
      </c>
      <c r="J96" s="983">
        <f t="shared" si="20"/>
        <v>2.8</v>
      </c>
      <c r="L96" s="983">
        <f t="shared" si="10"/>
        <v>0</v>
      </c>
      <c r="M96" s="983">
        <f t="shared" si="11"/>
        <v>2.8</v>
      </c>
      <c r="N96" s="983">
        <f t="shared" si="12"/>
        <v>0</v>
      </c>
      <c r="O96" s="983">
        <f t="shared" si="13"/>
        <v>0</v>
      </c>
      <c r="P96" s="983">
        <f t="shared" si="14"/>
        <v>0</v>
      </c>
      <c r="Q96" s="983">
        <f t="shared" si="15"/>
        <v>0</v>
      </c>
    </row>
    <row r="97" spans="2:17">
      <c r="B97" s="983" t="s">
        <v>1788</v>
      </c>
      <c r="C97" s="984" t="s">
        <v>368</v>
      </c>
      <c r="D97" s="983">
        <v>1.4</v>
      </c>
      <c r="E97" s="983">
        <v>0.4</v>
      </c>
      <c r="F97" s="983">
        <f t="shared" si="19"/>
        <v>0.55999999999999994</v>
      </c>
      <c r="G97" s="983">
        <v>0</v>
      </c>
      <c r="H97" s="983">
        <f t="shared" si="22"/>
        <v>0.55999999999999994</v>
      </c>
      <c r="I97" s="985">
        <v>5</v>
      </c>
      <c r="J97" s="983">
        <f t="shared" si="20"/>
        <v>2.8</v>
      </c>
      <c r="L97" s="983">
        <f t="shared" si="10"/>
        <v>0</v>
      </c>
      <c r="M97" s="983">
        <f t="shared" si="11"/>
        <v>2.8</v>
      </c>
      <c r="N97" s="983">
        <f t="shared" si="12"/>
        <v>0</v>
      </c>
      <c r="O97" s="983">
        <f t="shared" si="13"/>
        <v>0</v>
      </c>
      <c r="P97" s="983">
        <f t="shared" si="14"/>
        <v>0</v>
      </c>
      <c r="Q97" s="983">
        <f t="shared" si="15"/>
        <v>0</v>
      </c>
    </row>
    <row r="98" spans="2:17">
      <c r="B98" s="983" t="s">
        <v>2228</v>
      </c>
      <c r="C98" s="984" t="s">
        <v>365</v>
      </c>
      <c r="D98" s="983">
        <v>7.5</v>
      </c>
      <c r="E98" s="983">
        <v>0.7</v>
      </c>
      <c r="F98" s="983">
        <f t="shared" si="19"/>
        <v>5.25</v>
      </c>
      <c r="G98" s="983">
        <v>0</v>
      </c>
      <c r="H98" s="983">
        <f t="shared" si="22"/>
        <v>5.25</v>
      </c>
      <c r="I98" s="985">
        <v>1</v>
      </c>
      <c r="J98" s="983">
        <f t="shared" si="20"/>
        <v>5.25</v>
      </c>
      <c r="L98" s="983">
        <f t="shared" si="10"/>
        <v>5.25</v>
      </c>
      <c r="M98" s="983">
        <f t="shared" si="11"/>
        <v>0</v>
      </c>
      <c r="N98" s="983">
        <f t="shared" si="12"/>
        <v>0</v>
      </c>
      <c r="O98" s="983">
        <f t="shared" si="13"/>
        <v>0</v>
      </c>
      <c r="P98" s="983">
        <f t="shared" si="14"/>
        <v>0</v>
      </c>
      <c r="Q98" s="983">
        <f t="shared" si="15"/>
        <v>0</v>
      </c>
    </row>
    <row r="99" spans="2:17">
      <c r="B99" s="986" t="s">
        <v>2229</v>
      </c>
    </row>
    <row r="100" spans="2:17">
      <c r="B100" s="983" t="s">
        <v>488</v>
      </c>
      <c r="C100" s="984" t="s">
        <v>368</v>
      </c>
      <c r="D100" s="983">
        <v>4.17</v>
      </c>
      <c r="E100" s="983">
        <f>2.8-0.45</f>
        <v>2.3499999999999996</v>
      </c>
      <c r="F100" s="983">
        <f t="shared" si="19"/>
        <v>9.7994999999999983</v>
      </c>
      <c r="G100" s="983">
        <v>0</v>
      </c>
      <c r="H100" s="983">
        <f t="shared" si="22"/>
        <v>9.7994999999999983</v>
      </c>
      <c r="I100" s="985">
        <v>1</v>
      </c>
      <c r="J100" s="983">
        <f t="shared" si="20"/>
        <v>9.7994999999999983</v>
      </c>
      <c r="L100" s="983">
        <f t="shared" ref="L100:L210" si="23">IF(C100=$L$3,J100,0)</f>
        <v>0</v>
      </c>
      <c r="M100" s="983">
        <f t="shared" ref="M100:M210" si="24">IF(C100=$M$3,J100,0)</f>
        <v>9.7994999999999983</v>
      </c>
      <c r="N100" s="983">
        <f t="shared" ref="N100:N210" si="25">IF(C100=$N$3,J100,0)</f>
        <v>0</v>
      </c>
      <c r="O100" s="983">
        <f t="shared" ref="O100:O210" si="26">IF(C100=$O$3,J100,0)</f>
        <v>0</v>
      </c>
      <c r="P100" s="983">
        <f t="shared" ref="P100:P149" si="27">IF(C100=$P$3,J100,0)</f>
        <v>0</v>
      </c>
      <c r="Q100" s="983">
        <f t="shared" ref="Q100:Q149" si="28">IF(C100=$Q$3,J100,0)</f>
        <v>0</v>
      </c>
    </row>
    <row r="101" spans="2:17">
      <c r="B101" s="983" t="s">
        <v>489</v>
      </c>
      <c r="C101" s="984" t="s">
        <v>368</v>
      </c>
      <c r="D101" s="983">
        <v>3.56</v>
      </c>
      <c r="E101" s="983">
        <f>+$E$100</f>
        <v>2.3499999999999996</v>
      </c>
      <c r="F101" s="983">
        <f t="shared" si="19"/>
        <v>8.3659999999999997</v>
      </c>
      <c r="G101" s="983">
        <v>0</v>
      </c>
      <c r="H101" s="983">
        <f t="shared" si="22"/>
        <v>8.3659999999999997</v>
      </c>
      <c r="I101" s="985">
        <v>1</v>
      </c>
      <c r="J101" s="983">
        <f t="shared" si="20"/>
        <v>8.3659999999999997</v>
      </c>
      <c r="L101" s="983">
        <f t="shared" si="23"/>
        <v>0</v>
      </c>
      <c r="M101" s="983">
        <f t="shared" si="24"/>
        <v>8.3659999999999997</v>
      </c>
      <c r="N101" s="983">
        <f t="shared" si="25"/>
        <v>0</v>
      </c>
      <c r="O101" s="983">
        <f t="shared" si="26"/>
        <v>0</v>
      </c>
      <c r="P101" s="983">
        <f t="shared" si="27"/>
        <v>0</v>
      </c>
      <c r="Q101" s="983">
        <f t="shared" si="28"/>
        <v>0</v>
      </c>
    </row>
    <row r="102" spans="2:17">
      <c r="B102" s="784" t="s">
        <v>490</v>
      </c>
      <c r="C102" s="984" t="s">
        <v>365</v>
      </c>
      <c r="D102" s="983">
        <v>1.51</v>
      </c>
      <c r="E102" s="983">
        <f>2.8-0.1</f>
        <v>2.6999999999999997</v>
      </c>
      <c r="F102" s="983">
        <f t="shared" si="19"/>
        <v>4.077</v>
      </c>
      <c r="G102" s="983">
        <v>0</v>
      </c>
      <c r="H102" s="983">
        <f t="shared" si="22"/>
        <v>4.077</v>
      </c>
      <c r="I102" s="985">
        <v>1</v>
      </c>
      <c r="J102" s="983">
        <f t="shared" si="20"/>
        <v>4.077</v>
      </c>
      <c r="L102" s="983">
        <f t="shared" si="23"/>
        <v>4.077</v>
      </c>
      <c r="M102" s="983">
        <f t="shared" si="24"/>
        <v>0</v>
      </c>
      <c r="N102" s="983">
        <f t="shared" si="25"/>
        <v>0</v>
      </c>
      <c r="O102" s="983">
        <f t="shared" si="26"/>
        <v>0</v>
      </c>
      <c r="P102" s="983">
        <f t="shared" si="27"/>
        <v>0</v>
      </c>
      <c r="Q102" s="983">
        <f t="shared" si="28"/>
        <v>0</v>
      </c>
    </row>
    <row r="103" spans="2:17">
      <c r="B103" s="983" t="s">
        <v>491</v>
      </c>
      <c r="C103" s="984" t="s">
        <v>365</v>
      </c>
      <c r="D103" s="983">
        <v>0.45</v>
      </c>
      <c r="E103" s="983">
        <f>+$E$102</f>
        <v>2.6999999999999997</v>
      </c>
      <c r="F103" s="983">
        <f t="shared" si="19"/>
        <v>1.2149999999999999</v>
      </c>
      <c r="G103" s="983">
        <v>0</v>
      </c>
      <c r="H103" s="983">
        <f t="shared" si="22"/>
        <v>1.2149999999999999</v>
      </c>
      <c r="I103" s="985">
        <v>1</v>
      </c>
      <c r="J103" s="983">
        <f t="shared" si="20"/>
        <v>1.2149999999999999</v>
      </c>
      <c r="L103" s="983">
        <f t="shared" si="23"/>
        <v>1.2149999999999999</v>
      </c>
      <c r="M103" s="983">
        <f t="shared" si="24"/>
        <v>0</v>
      </c>
      <c r="N103" s="983">
        <f t="shared" si="25"/>
        <v>0</v>
      </c>
      <c r="O103" s="983">
        <f t="shared" si="26"/>
        <v>0</v>
      </c>
      <c r="P103" s="983">
        <f t="shared" si="27"/>
        <v>0</v>
      </c>
      <c r="Q103" s="983">
        <f t="shared" si="28"/>
        <v>0</v>
      </c>
    </row>
    <row r="104" spans="2:17">
      <c r="B104" s="983" t="s">
        <v>1678</v>
      </c>
      <c r="C104" s="984" t="s">
        <v>365</v>
      </c>
      <c r="D104" s="983">
        <v>4.1900000000000004</v>
      </c>
      <c r="E104" s="983">
        <f>+$E$102</f>
        <v>2.6999999999999997</v>
      </c>
      <c r="F104" s="983">
        <f t="shared" si="19"/>
        <v>11.313000000000001</v>
      </c>
      <c r="G104" s="983">
        <v>0</v>
      </c>
      <c r="H104" s="983">
        <f t="shared" si="22"/>
        <v>11.313000000000001</v>
      </c>
      <c r="I104" s="985">
        <v>1</v>
      </c>
      <c r="J104" s="983">
        <f t="shared" si="20"/>
        <v>11.313000000000001</v>
      </c>
      <c r="L104" s="983">
        <f t="shared" si="23"/>
        <v>11.313000000000001</v>
      </c>
      <c r="M104" s="983">
        <f t="shared" si="24"/>
        <v>0</v>
      </c>
      <c r="N104" s="983">
        <f t="shared" si="25"/>
        <v>0</v>
      </c>
      <c r="O104" s="983">
        <f t="shared" si="26"/>
        <v>0</v>
      </c>
      <c r="P104" s="983">
        <f t="shared" si="27"/>
        <v>0</v>
      </c>
      <c r="Q104" s="983">
        <f t="shared" si="28"/>
        <v>0</v>
      </c>
    </row>
    <row r="105" spans="2:17">
      <c r="B105" s="983" t="s">
        <v>1679</v>
      </c>
      <c r="C105" s="984" t="s">
        <v>368</v>
      </c>
      <c r="D105" s="983">
        <v>1.23</v>
      </c>
      <c r="E105" s="983">
        <f>+$E$102</f>
        <v>2.6999999999999997</v>
      </c>
      <c r="F105" s="983">
        <f t="shared" si="19"/>
        <v>3.3209999999999997</v>
      </c>
      <c r="G105" s="983">
        <v>0</v>
      </c>
      <c r="H105" s="983">
        <f t="shared" si="22"/>
        <v>3.3209999999999997</v>
      </c>
      <c r="I105" s="985">
        <v>1</v>
      </c>
      <c r="J105" s="983">
        <f t="shared" si="20"/>
        <v>3.3209999999999997</v>
      </c>
      <c r="L105" s="983">
        <f t="shared" si="23"/>
        <v>0</v>
      </c>
      <c r="M105" s="983">
        <f t="shared" si="24"/>
        <v>3.3209999999999997</v>
      </c>
      <c r="N105" s="983">
        <f t="shared" si="25"/>
        <v>0</v>
      </c>
      <c r="O105" s="983">
        <f t="shared" si="26"/>
        <v>0</v>
      </c>
      <c r="P105" s="983">
        <f t="shared" si="27"/>
        <v>0</v>
      </c>
      <c r="Q105" s="983">
        <f t="shared" si="28"/>
        <v>0</v>
      </c>
    </row>
    <row r="106" spans="2:17">
      <c r="B106" s="983" t="s">
        <v>1680</v>
      </c>
      <c r="C106" s="984" t="s">
        <v>365</v>
      </c>
      <c r="D106" s="983">
        <v>0.2</v>
      </c>
      <c r="E106" s="983">
        <f>+$E$102</f>
        <v>2.6999999999999997</v>
      </c>
      <c r="F106" s="983">
        <f t="shared" si="19"/>
        <v>0.53999999999999992</v>
      </c>
      <c r="G106" s="983">
        <v>0</v>
      </c>
      <c r="H106" s="983">
        <f t="shared" si="22"/>
        <v>0.53999999999999992</v>
      </c>
      <c r="I106" s="985">
        <v>1</v>
      </c>
      <c r="J106" s="983">
        <f t="shared" si="20"/>
        <v>0.53999999999999992</v>
      </c>
      <c r="L106" s="983">
        <f t="shared" si="23"/>
        <v>0.53999999999999992</v>
      </c>
      <c r="M106" s="983">
        <f t="shared" si="24"/>
        <v>0</v>
      </c>
      <c r="N106" s="983">
        <f t="shared" si="25"/>
        <v>0</v>
      </c>
      <c r="O106" s="983">
        <f t="shared" si="26"/>
        <v>0</v>
      </c>
      <c r="P106" s="983">
        <f t="shared" si="27"/>
        <v>0</v>
      </c>
      <c r="Q106" s="983">
        <f t="shared" si="28"/>
        <v>0</v>
      </c>
    </row>
    <row r="107" spans="2:17">
      <c r="B107" s="983" t="s">
        <v>1681</v>
      </c>
      <c r="C107" s="984" t="s">
        <v>368</v>
      </c>
      <c r="D107" s="983">
        <v>1.97</v>
      </c>
      <c r="E107" s="983">
        <f>+$E$102</f>
        <v>2.6999999999999997</v>
      </c>
      <c r="F107" s="983">
        <f t="shared" si="19"/>
        <v>5.3189999999999991</v>
      </c>
      <c r="G107" s="983">
        <v>0</v>
      </c>
      <c r="H107" s="983">
        <f t="shared" si="22"/>
        <v>5.3189999999999991</v>
      </c>
      <c r="I107" s="985">
        <v>1</v>
      </c>
      <c r="J107" s="983">
        <f t="shared" si="20"/>
        <v>5.3189999999999991</v>
      </c>
      <c r="L107" s="983">
        <f t="shared" si="23"/>
        <v>0</v>
      </c>
      <c r="M107" s="983">
        <f t="shared" si="24"/>
        <v>5.3189999999999991</v>
      </c>
      <c r="N107" s="983">
        <f t="shared" si="25"/>
        <v>0</v>
      </c>
      <c r="O107" s="983">
        <f t="shared" si="26"/>
        <v>0</v>
      </c>
      <c r="P107" s="983">
        <f t="shared" si="27"/>
        <v>0</v>
      </c>
      <c r="Q107" s="983">
        <f t="shared" si="28"/>
        <v>0</v>
      </c>
    </row>
    <row r="108" spans="2:17">
      <c r="B108" s="983" t="s">
        <v>1682</v>
      </c>
      <c r="C108" s="984" t="s">
        <v>368</v>
      </c>
      <c r="D108" s="983">
        <v>4.17</v>
      </c>
      <c r="E108" s="983">
        <f>+$E$100</f>
        <v>2.3499999999999996</v>
      </c>
      <c r="F108" s="983">
        <f t="shared" si="19"/>
        <v>9.7994999999999983</v>
      </c>
      <c r="G108" s="983">
        <v>0</v>
      </c>
      <c r="H108" s="983">
        <f t="shared" si="22"/>
        <v>9.7994999999999983</v>
      </c>
      <c r="I108" s="985">
        <v>1</v>
      </c>
      <c r="J108" s="983">
        <f t="shared" si="20"/>
        <v>9.7994999999999983</v>
      </c>
      <c r="L108" s="983">
        <f t="shared" si="23"/>
        <v>0</v>
      </c>
      <c r="M108" s="983">
        <f t="shared" si="24"/>
        <v>9.7994999999999983</v>
      </c>
      <c r="N108" s="983">
        <f t="shared" si="25"/>
        <v>0</v>
      </c>
      <c r="O108" s="983">
        <f t="shared" si="26"/>
        <v>0</v>
      </c>
      <c r="P108" s="983">
        <f t="shared" si="27"/>
        <v>0</v>
      </c>
      <c r="Q108" s="983">
        <f t="shared" si="28"/>
        <v>0</v>
      </c>
    </row>
    <row r="109" spans="2:17">
      <c r="B109" s="983" t="s">
        <v>1683</v>
      </c>
      <c r="C109" s="984" t="s">
        <v>368</v>
      </c>
      <c r="D109" s="983">
        <v>0.38</v>
      </c>
      <c r="E109" s="983">
        <f>+$E$100</f>
        <v>2.3499999999999996</v>
      </c>
      <c r="F109" s="983">
        <f t="shared" si="19"/>
        <v>0.8929999999999999</v>
      </c>
      <c r="G109" s="983">
        <v>0</v>
      </c>
      <c r="H109" s="983">
        <f t="shared" si="22"/>
        <v>0.8929999999999999</v>
      </c>
      <c r="I109" s="985">
        <v>1</v>
      </c>
      <c r="J109" s="983">
        <f t="shared" si="20"/>
        <v>0.8929999999999999</v>
      </c>
      <c r="L109" s="983">
        <f t="shared" si="23"/>
        <v>0</v>
      </c>
      <c r="M109" s="983">
        <f t="shared" si="24"/>
        <v>0.8929999999999999</v>
      </c>
      <c r="N109" s="983">
        <f t="shared" si="25"/>
        <v>0</v>
      </c>
      <c r="O109" s="983">
        <f t="shared" si="26"/>
        <v>0</v>
      </c>
      <c r="P109" s="983">
        <f t="shared" si="27"/>
        <v>0</v>
      </c>
      <c r="Q109" s="983">
        <f t="shared" si="28"/>
        <v>0</v>
      </c>
    </row>
    <row r="110" spans="2:17">
      <c r="B110" s="983" t="s">
        <v>1684</v>
      </c>
      <c r="C110" s="984" t="s">
        <v>33</v>
      </c>
      <c r="D110" s="983">
        <v>0.48</v>
      </c>
      <c r="E110" s="983">
        <f>+$E$100</f>
        <v>2.3499999999999996</v>
      </c>
      <c r="F110" s="983">
        <f t="shared" si="19"/>
        <v>1.1279999999999999</v>
      </c>
      <c r="G110" s="983">
        <v>0</v>
      </c>
      <c r="H110" s="983">
        <f t="shared" si="22"/>
        <v>1.1279999999999999</v>
      </c>
      <c r="I110" s="985">
        <v>1</v>
      </c>
      <c r="J110" s="983">
        <f t="shared" si="20"/>
        <v>1.1279999999999999</v>
      </c>
      <c r="L110" s="983">
        <f t="shared" si="23"/>
        <v>0</v>
      </c>
      <c r="M110" s="983">
        <f t="shared" si="24"/>
        <v>0</v>
      </c>
      <c r="N110" s="983">
        <f t="shared" si="25"/>
        <v>1.1279999999999999</v>
      </c>
      <c r="O110" s="983">
        <f t="shared" si="26"/>
        <v>0</v>
      </c>
      <c r="P110" s="983">
        <f t="shared" si="27"/>
        <v>0</v>
      </c>
      <c r="Q110" s="983">
        <f t="shared" si="28"/>
        <v>0</v>
      </c>
    </row>
    <row r="111" spans="2:17">
      <c r="B111" s="983" t="s">
        <v>1685</v>
      </c>
      <c r="C111" s="984" t="s">
        <v>33</v>
      </c>
      <c r="D111" s="983">
        <v>0.92</v>
      </c>
      <c r="E111" s="983">
        <f>+$E$100</f>
        <v>2.3499999999999996</v>
      </c>
      <c r="F111" s="983">
        <f t="shared" si="19"/>
        <v>2.1619999999999999</v>
      </c>
      <c r="G111" s="983">
        <v>0</v>
      </c>
      <c r="H111" s="983">
        <f t="shared" si="22"/>
        <v>2.1619999999999999</v>
      </c>
      <c r="I111" s="985">
        <v>1</v>
      </c>
      <c r="J111" s="983">
        <f t="shared" si="20"/>
        <v>2.1619999999999999</v>
      </c>
      <c r="L111" s="983">
        <f t="shared" si="23"/>
        <v>0</v>
      </c>
      <c r="M111" s="983">
        <f t="shared" si="24"/>
        <v>0</v>
      </c>
      <c r="N111" s="983">
        <f t="shared" si="25"/>
        <v>2.1619999999999999</v>
      </c>
      <c r="O111" s="983">
        <f t="shared" si="26"/>
        <v>0</v>
      </c>
      <c r="P111" s="983">
        <f t="shared" si="27"/>
        <v>0</v>
      </c>
      <c r="Q111" s="983">
        <f t="shared" si="28"/>
        <v>0</v>
      </c>
    </row>
    <row r="112" spans="2:17">
      <c r="B112" s="983" t="s">
        <v>1686</v>
      </c>
      <c r="C112" s="984" t="s">
        <v>368</v>
      </c>
      <c r="D112" s="983">
        <v>4.17</v>
      </c>
      <c r="E112" s="983">
        <f>+$E$100</f>
        <v>2.3499999999999996</v>
      </c>
      <c r="F112" s="983">
        <f t="shared" si="19"/>
        <v>9.7994999999999983</v>
      </c>
      <c r="G112" s="983">
        <v>0</v>
      </c>
      <c r="H112" s="983">
        <f t="shared" si="22"/>
        <v>9.7994999999999983</v>
      </c>
      <c r="I112" s="985">
        <v>1</v>
      </c>
      <c r="J112" s="983">
        <f t="shared" si="20"/>
        <v>9.7994999999999983</v>
      </c>
      <c r="L112" s="983">
        <f t="shared" si="23"/>
        <v>0</v>
      </c>
      <c r="M112" s="983">
        <f t="shared" si="24"/>
        <v>9.7994999999999983</v>
      </c>
      <c r="N112" s="983">
        <f t="shared" si="25"/>
        <v>0</v>
      </c>
      <c r="O112" s="983">
        <f t="shared" si="26"/>
        <v>0</v>
      </c>
      <c r="P112" s="983">
        <f t="shared" si="27"/>
        <v>0</v>
      </c>
      <c r="Q112" s="983">
        <f t="shared" si="28"/>
        <v>0</v>
      </c>
    </row>
    <row r="113" spans="2:17">
      <c r="B113" s="983" t="s">
        <v>1687</v>
      </c>
      <c r="C113" s="984" t="s">
        <v>365</v>
      </c>
      <c r="D113" s="983">
        <v>0.65</v>
      </c>
      <c r="E113" s="983">
        <f t="shared" ref="E113:E119" si="29">+$E$102</f>
        <v>2.6999999999999997</v>
      </c>
      <c r="F113" s="983">
        <f t="shared" si="19"/>
        <v>1.7549999999999999</v>
      </c>
      <c r="G113" s="983">
        <v>0</v>
      </c>
      <c r="H113" s="983">
        <f t="shared" si="22"/>
        <v>1.7549999999999999</v>
      </c>
      <c r="I113" s="985">
        <v>1</v>
      </c>
      <c r="J113" s="983">
        <f t="shared" si="20"/>
        <v>1.7549999999999999</v>
      </c>
      <c r="L113" s="983">
        <f t="shared" si="23"/>
        <v>1.7549999999999999</v>
      </c>
      <c r="M113" s="983">
        <f t="shared" si="24"/>
        <v>0</v>
      </c>
      <c r="N113" s="983">
        <f t="shared" si="25"/>
        <v>0</v>
      </c>
      <c r="O113" s="983">
        <f t="shared" si="26"/>
        <v>0</v>
      </c>
      <c r="P113" s="983">
        <f t="shared" si="27"/>
        <v>0</v>
      </c>
      <c r="Q113" s="983">
        <f t="shared" si="28"/>
        <v>0</v>
      </c>
    </row>
    <row r="114" spans="2:17">
      <c r="B114" s="983" t="s">
        <v>1688</v>
      </c>
      <c r="C114" s="984" t="s">
        <v>365</v>
      </c>
      <c r="D114" s="983">
        <v>0.41</v>
      </c>
      <c r="E114" s="983">
        <f t="shared" si="29"/>
        <v>2.6999999999999997</v>
      </c>
      <c r="F114" s="983">
        <f t="shared" si="19"/>
        <v>1.1069999999999998</v>
      </c>
      <c r="G114" s="983">
        <v>0</v>
      </c>
      <c r="H114" s="983">
        <f t="shared" si="22"/>
        <v>1.1069999999999998</v>
      </c>
      <c r="I114" s="985">
        <v>1</v>
      </c>
      <c r="J114" s="983">
        <f t="shared" si="20"/>
        <v>1.1069999999999998</v>
      </c>
      <c r="L114" s="983">
        <f t="shared" si="23"/>
        <v>1.1069999999999998</v>
      </c>
      <c r="M114" s="983">
        <f t="shared" si="24"/>
        <v>0</v>
      </c>
      <c r="N114" s="983">
        <f t="shared" si="25"/>
        <v>0</v>
      </c>
      <c r="O114" s="983">
        <f t="shared" si="26"/>
        <v>0</v>
      </c>
      <c r="P114" s="983">
        <f t="shared" si="27"/>
        <v>0</v>
      </c>
      <c r="Q114" s="983">
        <f t="shared" si="28"/>
        <v>0</v>
      </c>
    </row>
    <row r="115" spans="2:17">
      <c r="B115" s="983" t="s">
        <v>1689</v>
      </c>
      <c r="C115" s="984" t="s">
        <v>365</v>
      </c>
      <c r="D115" s="983">
        <v>2.27</v>
      </c>
      <c r="E115" s="983">
        <f t="shared" si="29"/>
        <v>2.6999999999999997</v>
      </c>
      <c r="F115" s="983">
        <f t="shared" si="19"/>
        <v>6.1289999999999996</v>
      </c>
      <c r="G115" s="983">
        <v>0</v>
      </c>
      <c r="H115" s="983">
        <f t="shared" si="22"/>
        <v>6.1289999999999996</v>
      </c>
      <c r="I115" s="985">
        <v>1</v>
      </c>
      <c r="J115" s="983">
        <f t="shared" si="20"/>
        <v>6.1289999999999996</v>
      </c>
      <c r="L115" s="983">
        <f t="shared" si="23"/>
        <v>6.1289999999999996</v>
      </c>
      <c r="M115" s="983">
        <f t="shared" si="24"/>
        <v>0</v>
      </c>
      <c r="N115" s="983">
        <f t="shared" si="25"/>
        <v>0</v>
      </c>
      <c r="O115" s="983">
        <f t="shared" si="26"/>
        <v>0</v>
      </c>
      <c r="P115" s="983">
        <f t="shared" si="27"/>
        <v>0</v>
      </c>
      <c r="Q115" s="983">
        <f t="shared" si="28"/>
        <v>0</v>
      </c>
    </row>
    <row r="116" spans="2:17">
      <c r="B116" s="983" t="s">
        <v>1690</v>
      </c>
      <c r="C116" s="984" t="s">
        <v>365</v>
      </c>
      <c r="D116" s="983">
        <v>1.51</v>
      </c>
      <c r="E116" s="983">
        <f t="shared" si="29"/>
        <v>2.6999999999999997</v>
      </c>
      <c r="F116" s="983">
        <f t="shared" si="19"/>
        <v>4.077</v>
      </c>
      <c r="G116" s="983">
        <v>0</v>
      </c>
      <c r="H116" s="983">
        <f t="shared" si="22"/>
        <v>4.077</v>
      </c>
      <c r="I116" s="985">
        <v>1</v>
      </c>
      <c r="J116" s="983">
        <f t="shared" si="20"/>
        <v>4.077</v>
      </c>
      <c r="L116" s="983">
        <f t="shared" si="23"/>
        <v>4.077</v>
      </c>
      <c r="M116" s="983">
        <f t="shared" si="24"/>
        <v>0</v>
      </c>
      <c r="N116" s="983">
        <f t="shared" si="25"/>
        <v>0</v>
      </c>
      <c r="O116" s="983">
        <f t="shared" si="26"/>
        <v>0</v>
      </c>
      <c r="P116" s="983">
        <f t="shared" si="27"/>
        <v>0</v>
      </c>
      <c r="Q116" s="983">
        <f t="shared" si="28"/>
        <v>0</v>
      </c>
    </row>
    <row r="117" spans="2:17">
      <c r="B117" s="983" t="s">
        <v>1691</v>
      </c>
      <c r="C117" s="984" t="s">
        <v>365</v>
      </c>
      <c r="D117" s="983">
        <v>0.2</v>
      </c>
      <c r="E117" s="983">
        <f t="shared" si="29"/>
        <v>2.6999999999999997</v>
      </c>
      <c r="F117" s="983">
        <f t="shared" si="19"/>
        <v>0.53999999999999992</v>
      </c>
      <c r="G117" s="983">
        <v>0</v>
      </c>
      <c r="H117" s="983">
        <f t="shared" si="22"/>
        <v>0.53999999999999992</v>
      </c>
      <c r="I117" s="985">
        <v>1</v>
      </c>
      <c r="J117" s="983">
        <f t="shared" si="20"/>
        <v>0.53999999999999992</v>
      </c>
      <c r="L117" s="983">
        <f t="shared" si="23"/>
        <v>0.53999999999999992</v>
      </c>
      <c r="M117" s="983">
        <f t="shared" si="24"/>
        <v>0</v>
      </c>
      <c r="N117" s="983">
        <f t="shared" si="25"/>
        <v>0</v>
      </c>
      <c r="O117" s="983">
        <f t="shared" si="26"/>
        <v>0</v>
      </c>
      <c r="P117" s="983">
        <f t="shared" si="27"/>
        <v>0</v>
      </c>
      <c r="Q117" s="983">
        <f t="shared" si="28"/>
        <v>0</v>
      </c>
    </row>
    <row r="118" spans="2:17">
      <c r="B118" s="983" t="s">
        <v>1692</v>
      </c>
      <c r="C118" s="984" t="s">
        <v>368</v>
      </c>
      <c r="D118" s="983">
        <v>1.22</v>
      </c>
      <c r="E118" s="983">
        <f t="shared" si="29"/>
        <v>2.6999999999999997</v>
      </c>
      <c r="F118" s="983">
        <f t="shared" si="19"/>
        <v>3.2939999999999996</v>
      </c>
      <c r="G118" s="983">
        <v>0</v>
      </c>
      <c r="H118" s="983">
        <f t="shared" si="22"/>
        <v>3.2939999999999996</v>
      </c>
      <c r="I118" s="985">
        <v>1</v>
      </c>
      <c r="J118" s="983">
        <f t="shared" si="20"/>
        <v>3.2939999999999996</v>
      </c>
      <c r="L118" s="983">
        <f t="shared" si="23"/>
        <v>0</v>
      </c>
      <c r="M118" s="983">
        <f t="shared" si="24"/>
        <v>3.2939999999999996</v>
      </c>
      <c r="N118" s="983">
        <f t="shared" si="25"/>
        <v>0</v>
      </c>
      <c r="O118" s="983">
        <f t="shared" si="26"/>
        <v>0</v>
      </c>
      <c r="P118" s="983">
        <f t="shared" si="27"/>
        <v>0</v>
      </c>
      <c r="Q118" s="983">
        <f t="shared" si="28"/>
        <v>0</v>
      </c>
    </row>
    <row r="119" spans="2:17">
      <c r="B119" s="983" t="s">
        <v>1693</v>
      </c>
      <c r="C119" s="984" t="s">
        <v>368</v>
      </c>
      <c r="D119" s="983">
        <v>2.86</v>
      </c>
      <c r="E119" s="983">
        <f t="shared" si="29"/>
        <v>2.6999999999999997</v>
      </c>
      <c r="F119" s="983">
        <f t="shared" si="19"/>
        <v>7.7219999999999986</v>
      </c>
      <c r="G119" s="983">
        <v>0</v>
      </c>
      <c r="H119" s="983">
        <f t="shared" si="22"/>
        <v>7.7219999999999986</v>
      </c>
      <c r="I119" s="985">
        <v>1</v>
      </c>
      <c r="J119" s="983">
        <f t="shared" si="20"/>
        <v>7.7219999999999986</v>
      </c>
      <c r="L119" s="983">
        <f t="shared" si="23"/>
        <v>0</v>
      </c>
      <c r="M119" s="983">
        <f t="shared" si="24"/>
        <v>7.7219999999999986</v>
      </c>
      <c r="N119" s="983">
        <f t="shared" si="25"/>
        <v>0</v>
      </c>
      <c r="O119" s="983">
        <f t="shared" si="26"/>
        <v>0</v>
      </c>
      <c r="P119" s="983">
        <f t="shared" si="27"/>
        <v>0</v>
      </c>
      <c r="Q119" s="983">
        <f t="shared" si="28"/>
        <v>0</v>
      </c>
    </row>
    <row r="120" spans="2:17">
      <c r="B120" s="983" t="s">
        <v>2218</v>
      </c>
      <c r="C120" s="984" t="s">
        <v>368</v>
      </c>
      <c r="D120" s="983">
        <v>0.79</v>
      </c>
      <c r="E120" s="983">
        <f t="shared" ref="E120:E127" si="30">+$E$100</f>
        <v>2.3499999999999996</v>
      </c>
      <c r="F120" s="983">
        <f t="shared" si="19"/>
        <v>1.8564999999999998</v>
      </c>
      <c r="G120" s="983">
        <v>0</v>
      </c>
      <c r="H120" s="983">
        <f t="shared" si="22"/>
        <v>1.8564999999999998</v>
      </c>
      <c r="I120" s="985">
        <v>1</v>
      </c>
      <c r="J120" s="983">
        <f t="shared" si="20"/>
        <v>1.8564999999999998</v>
      </c>
      <c r="L120" s="983">
        <f t="shared" si="23"/>
        <v>0</v>
      </c>
      <c r="M120" s="983">
        <f t="shared" si="24"/>
        <v>1.8564999999999998</v>
      </c>
      <c r="N120" s="983">
        <f t="shared" si="25"/>
        <v>0</v>
      </c>
      <c r="O120" s="983">
        <f t="shared" si="26"/>
        <v>0</v>
      </c>
      <c r="P120" s="983">
        <f t="shared" si="27"/>
        <v>0</v>
      </c>
      <c r="Q120" s="983">
        <f t="shared" si="28"/>
        <v>0</v>
      </c>
    </row>
    <row r="121" spans="2:17">
      <c r="B121" s="983" t="s">
        <v>2219</v>
      </c>
      <c r="C121" s="984" t="s">
        <v>368</v>
      </c>
      <c r="D121" s="983">
        <v>0.88</v>
      </c>
      <c r="E121" s="983">
        <f t="shared" si="30"/>
        <v>2.3499999999999996</v>
      </c>
      <c r="F121" s="983">
        <f t="shared" si="19"/>
        <v>2.0679999999999996</v>
      </c>
      <c r="G121" s="983">
        <v>0</v>
      </c>
      <c r="H121" s="983">
        <f t="shared" si="22"/>
        <v>2.0679999999999996</v>
      </c>
      <c r="I121" s="985">
        <v>1</v>
      </c>
      <c r="J121" s="983">
        <f t="shared" si="20"/>
        <v>2.0679999999999996</v>
      </c>
      <c r="L121" s="983">
        <f t="shared" si="23"/>
        <v>0</v>
      </c>
      <c r="M121" s="983">
        <f t="shared" si="24"/>
        <v>2.0679999999999996</v>
      </c>
      <c r="N121" s="983">
        <f t="shared" si="25"/>
        <v>0</v>
      </c>
      <c r="O121" s="983">
        <f t="shared" si="26"/>
        <v>0</v>
      </c>
      <c r="P121" s="983">
        <f t="shared" si="27"/>
        <v>0</v>
      </c>
      <c r="Q121" s="983">
        <f t="shared" si="28"/>
        <v>0</v>
      </c>
    </row>
    <row r="122" spans="2:17">
      <c r="B122" s="983" t="s">
        <v>2220</v>
      </c>
      <c r="C122" s="984" t="s">
        <v>368</v>
      </c>
      <c r="D122" s="983">
        <v>0.53</v>
      </c>
      <c r="E122" s="983">
        <f t="shared" si="30"/>
        <v>2.3499999999999996</v>
      </c>
      <c r="F122" s="983">
        <f t="shared" si="19"/>
        <v>1.2454999999999998</v>
      </c>
      <c r="G122" s="983">
        <v>0</v>
      </c>
      <c r="H122" s="983">
        <f t="shared" si="22"/>
        <v>1.2454999999999998</v>
      </c>
      <c r="I122" s="985">
        <v>1</v>
      </c>
      <c r="J122" s="983">
        <f t="shared" si="20"/>
        <v>1.2454999999999998</v>
      </c>
      <c r="L122" s="983">
        <f t="shared" si="23"/>
        <v>0</v>
      </c>
      <c r="M122" s="983">
        <f t="shared" si="24"/>
        <v>1.2454999999999998</v>
      </c>
      <c r="N122" s="983">
        <f t="shared" si="25"/>
        <v>0</v>
      </c>
      <c r="O122" s="983">
        <f t="shared" si="26"/>
        <v>0</v>
      </c>
      <c r="P122" s="983">
        <f t="shared" si="27"/>
        <v>0</v>
      </c>
      <c r="Q122" s="983">
        <f t="shared" si="28"/>
        <v>0</v>
      </c>
    </row>
    <row r="123" spans="2:17">
      <c r="B123" s="983" t="s">
        <v>2221</v>
      </c>
      <c r="C123" s="984" t="s">
        <v>368</v>
      </c>
      <c r="D123" s="983">
        <v>0.28999999999999998</v>
      </c>
      <c r="E123" s="983">
        <f t="shared" si="30"/>
        <v>2.3499999999999996</v>
      </c>
      <c r="F123" s="983">
        <f t="shared" si="19"/>
        <v>0.68149999999999988</v>
      </c>
      <c r="G123" s="983">
        <v>0</v>
      </c>
      <c r="H123" s="983">
        <f t="shared" si="22"/>
        <v>0.68149999999999988</v>
      </c>
      <c r="I123" s="985">
        <v>1</v>
      </c>
      <c r="J123" s="983">
        <f t="shared" si="20"/>
        <v>0.68149999999999988</v>
      </c>
      <c r="L123" s="983">
        <f t="shared" si="23"/>
        <v>0</v>
      </c>
      <c r="M123" s="983">
        <f t="shared" si="24"/>
        <v>0.68149999999999988</v>
      </c>
      <c r="N123" s="983">
        <f t="shared" si="25"/>
        <v>0</v>
      </c>
      <c r="O123" s="983">
        <f t="shared" si="26"/>
        <v>0</v>
      </c>
      <c r="P123" s="983">
        <f t="shared" si="27"/>
        <v>0</v>
      </c>
      <c r="Q123" s="983">
        <f t="shared" si="28"/>
        <v>0</v>
      </c>
    </row>
    <row r="124" spans="2:17">
      <c r="B124" s="983" t="s">
        <v>1696</v>
      </c>
      <c r="C124" s="984" t="s">
        <v>33</v>
      </c>
      <c r="D124" s="983">
        <v>1.3</v>
      </c>
      <c r="E124" s="983">
        <f t="shared" si="30"/>
        <v>2.3499999999999996</v>
      </c>
      <c r="F124" s="983">
        <f t="shared" si="19"/>
        <v>3.0549999999999997</v>
      </c>
      <c r="G124" s="983">
        <v>0</v>
      </c>
      <c r="H124" s="983">
        <f t="shared" si="22"/>
        <v>3.0549999999999997</v>
      </c>
      <c r="I124" s="985">
        <v>1</v>
      </c>
      <c r="J124" s="983">
        <f t="shared" si="20"/>
        <v>3.0549999999999997</v>
      </c>
      <c r="L124" s="983">
        <f t="shared" si="23"/>
        <v>0</v>
      </c>
      <c r="M124" s="983">
        <f t="shared" si="24"/>
        <v>0</v>
      </c>
      <c r="N124" s="983">
        <f t="shared" si="25"/>
        <v>3.0549999999999997</v>
      </c>
      <c r="O124" s="983">
        <f t="shared" si="26"/>
        <v>0</v>
      </c>
      <c r="P124" s="983">
        <f t="shared" si="27"/>
        <v>0</v>
      </c>
      <c r="Q124" s="983">
        <f t="shared" si="28"/>
        <v>0</v>
      </c>
    </row>
    <row r="125" spans="2:17">
      <c r="B125" s="983" t="s">
        <v>1697</v>
      </c>
      <c r="C125" s="984" t="s">
        <v>33</v>
      </c>
      <c r="D125" s="983">
        <v>4.0999999999999996</v>
      </c>
      <c r="E125" s="983">
        <f t="shared" si="30"/>
        <v>2.3499999999999996</v>
      </c>
      <c r="F125" s="983">
        <f t="shared" si="19"/>
        <v>9.634999999999998</v>
      </c>
      <c r="G125" s="983">
        <v>0</v>
      </c>
      <c r="H125" s="983">
        <f t="shared" si="22"/>
        <v>9.634999999999998</v>
      </c>
      <c r="I125" s="985">
        <v>1</v>
      </c>
      <c r="J125" s="983">
        <f t="shared" si="20"/>
        <v>9.634999999999998</v>
      </c>
      <c r="L125" s="983">
        <f t="shared" si="23"/>
        <v>0</v>
      </c>
      <c r="M125" s="983">
        <f t="shared" si="24"/>
        <v>0</v>
      </c>
      <c r="N125" s="983">
        <f t="shared" si="25"/>
        <v>9.634999999999998</v>
      </c>
      <c r="O125" s="983">
        <f t="shared" si="26"/>
        <v>0</v>
      </c>
      <c r="P125" s="983">
        <f t="shared" si="27"/>
        <v>0</v>
      </c>
      <c r="Q125" s="983">
        <f t="shared" si="28"/>
        <v>0</v>
      </c>
    </row>
    <row r="126" spans="2:17">
      <c r="B126" s="983" t="s">
        <v>1698</v>
      </c>
      <c r="C126" s="984" t="s">
        <v>33</v>
      </c>
      <c r="D126" s="983">
        <v>3.92</v>
      </c>
      <c r="E126" s="983">
        <f t="shared" si="30"/>
        <v>2.3499999999999996</v>
      </c>
      <c r="F126" s="983">
        <f t="shared" si="19"/>
        <v>9.211999999999998</v>
      </c>
      <c r="G126" s="983">
        <v>0</v>
      </c>
      <c r="H126" s="983">
        <f t="shared" si="22"/>
        <v>9.211999999999998</v>
      </c>
      <c r="I126" s="985">
        <v>1</v>
      </c>
      <c r="J126" s="983">
        <f t="shared" si="20"/>
        <v>9.211999999999998</v>
      </c>
      <c r="L126" s="983">
        <f t="shared" si="23"/>
        <v>0</v>
      </c>
      <c r="M126" s="983">
        <f t="shared" si="24"/>
        <v>0</v>
      </c>
      <c r="N126" s="983">
        <f t="shared" si="25"/>
        <v>9.211999999999998</v>
      </c>
      <c r="O126" s="983">
        <f t="shared" si="26"/>
        <v>0</v>
      </c>
      <c r="P126" s="983">
        <f t="shared" si="27"/>
        <v>0</v>
      </c>
      <c r="Q126" s="983">
        <f t="shared" si="28"/>
        <v>0</v>
      </c>
    </row>
    <row r="127" spans="2:17">
      <c r="B127" s="983" t="s">
        <v>1699</v>
      </c>
      <c r="C127" s="984" t="s">
        <v>33</v>
      </c>
      <c r="D127" s="983">
        <v>3.58</v>
      </c>
      <c r="E127" s="983">
        <f t="shared" si="30"/>
        <v>2.3499999999999996</v>
      </c>
      <c r="F127" s="983">
        <f t="shared" si="19"/>
        <v>8.4129999999999985</v>
      </c>
      <c r="G127" s="983">
        <v>0</v>
      </c>
      <c r="H127" s="983">
        <f t="shared" si="22"/>
        <v>8.4129999999999985</v>
      </c>
      <c r="I127" s="985">
        <v>1</v>
      </c>
      <c r="J127" s="983">
        <f t="shared" si="20"/>
        <v>8.4129999999999985</v>
      </c>
      <c r="L127" s="983">
        <f t="shared" si="23"/>
        <v>0</v>
      </c>
      <c r="M127" s="983">
        <f t="shared" si="24"/>
        <v>0</v>
      </c>
      <c r="N127" s="983">
        <f t="shared" si="25"/>
        <v>8.4129999999999985</v>
      </c>
      <c r="O127" s="983">
        <f t="shared" si="26"/>
        <v>0</v>
      </c>
      <c r="P127" s="983">
        <f t="shared" si="27"/>
        <v>0</v>
      </c>
      <c r="Q127" s="983">
        <f t="shared" si="28"/>
        <v>0</v>
      </c>
    </row>
    <row r="128" spans="2:17">
      <c r="B128" s="983" t="s">
        <v>1700</v>
      </c>
      <c r="C128" s="984" t="s">
        <v>365</v>
      </c>
      <c r="D128" s="983">
        <v>3.61</v>
      </c>
      <c r="E128" s="983">
        <f t="shared" ref="E128:E134" si="31">+$E$102</f>
        <v>2.6999999999999997</v>
      </c>
      <c r="F128" s="983">
        <f t="shared" si="19"/>
        <v>9.7469999999999981</v>
      </c>
      <c r="G128" s="983">
        <v>0</v>
      </c>
      <c r="H128" s="983">
        <f t="shared" si="22"/>
        <v>9.7469999999999981</v>
      </c>
      <c r="I128" s="985">
        <v>1</v>
      </c>
      <c r="J128" s="983">
        <f t="shared" si="20"/>
        <v>9.7469999999999981</v>
      </c>
      <c r="L128" s="983">
        <f t="shared" si="23"/>
        <v>9.7469999999999981</v>
      </c>
      <c r="M128" s="983">
        <f t="shared" si="24"/>
        <v>0</v>
      </c>
      <c r="N128" s="983">
        <f t="shared" si="25"/>
        <v>0</v>
      </c>
      <c r="O128" s="983">
        <f t="shared" si="26"/>
        <v>0</v>
      </c>
      <c r="P128" s="983">
        <f t="shared" si="27"/>
        <v>0</v>
      </c>
      <c r="Q128" s="983">
        <f t="shared" si="28"/>
        <v>0</v>
      </c>
    </row>
    <row r="129" spans="2:17">
      <c r="B129" s="983" t="s">
        <v>1767</v>
      </c>
      <c r="C129" s="984" t="s">
        <v>365</v>
      </c>
      <c r="D129" s="983">
        <v>2.02</v>
      </c>
      <c r="E129" s="983">
        <f t="shared" si="31"/>
        <v>2.6999999999999997</v>
      </c>
      <c r="F129" s="983">
        <f t="shared" si="19"/>
        <v>5.4539999999999997</v>
      </c>
      <c r="G129" s="983">
        <v>0</v>
      </c>
      <c r="H129" s="983">
        <f t="shared" si="22"/>
        <v>5.4539999999999997</v>
      </c>
      <c r="I129" s="985">
        <v>1</v>
      </c>
      <c r="J129" s="983">
        <f t="shared" si="20"/>
        <v>5.4539999999999997</v>
      </c>
      <c r="L129" s="983">
        <f t="shared" si="23"/>
        <v>5.4539999999999997</v>
      </c>
      <c r="M129" s="983">
        <f t="shared" si="24"/>
        <v>0</v>
      </c>
      <c r="N129" s="983">
        <f t="shared" si="25"/>
        <v>0</v>
      </c>
      <c r="O129" s="983">
        <f t="shared" si="26"/>
        <v>0</v>
      </c>
      <c r="P129" s="983">
        <f t="shared" si="27"/>
        <v>0</v>
      </c>
      <c r="Q129" s="983">
        <f t="shared" si="28"/>
        <v>0</v>
      </c>
    </row>
    <row r="130" spans="2:17">
      <c r="B130" s="983" t="s">
        <v>1768</v>
      </c>
      <c r="C130" s="984" t="s">
        <v>365</v>
      </c>
      <c r="D130" s="983">
        <v>3.98</v>
      </c>
      <c r="E130" s="983">
        <f t="shared" si="31"/>
        <v>2.6999999999999997</v>
      </c>
      <c r="F130" s="983">
        <f t="shared" si="19"/>
        <v>10.745999999999999</v>
      </c>
      <c r="G130" s="983">
        <v>0</v>
      </c>
      <c r="H130" s="983">
        <f t="shared" si="22"/>
        <v>10.745999999999999</v>
      </c>
      <c r="I130" s="985">
        <v>1</v>
      </c>
      <c r="J130" s="983">
        <f t="shared" si="20"/>
        <v>10.745999999999999</v>
      </c>
      <c r="L130" s="983">
        <f t="shared" si="23"/>
        <v>10.745999999999999</v>
      </c>
      <c r="M130" s="983">
        <f t="shared" si="24"/>
        <v>0</v>
      </c>
      <c r="N130" s="983">
        <f t="shared" si="25"/>
        <v>0</v>
      </c>
      <c r="O130" s="983">
        <f t="shared" si="26"/>
        <v>0</v>
      </c>
      <c r="P130" s="983">
        <f t="shared" si="27"/>
        <v>0</v>
      </c>
      <c r="Q130" s="983">
        <f t="shared" si="28"/>
        <v>0</v>
      </c>
    </row>
    <row r="131" spans="2:17">
      <c r="B131" s="983" t="s">
        <v>1769</v>
      </c>
      <c r="C131" s="984" t="s">
        <v>365</v>
      </c>
      <c r="D131" s="983">
        <v>1.35</v>
      </c>
      <c r="E131" s="983">
        <f t="shared" si="31"/>
        <v>2.6999999999999997</v>
      </c>
      <c r="F131" s="983">
        <f t="shared" si="19"/>
        <v>3.645</v>
      </c>
      <c r="G131" s="983">
        <v>0</v>
      </c>
      <c r="H131" s="983">
        <f t="shared" si="22"/>
        <v>3.645</v>
      </c>
      <c r="I131" s="985">
        <v>1</v>
      </c>
      <c r="J131" s="983">
        <f t="shared" si="20"/>
        <v>3.645</v>
      </c>
      <c r="L131" s="983">
        <f t="shared" si="23"/>
        <v>3.645</v>
      </c>
      <c r="M131" s="983">
        <f t="shared" si="24"/>
        <v>0</v>
      </c>
      <c r="N131" s="983">
        <f t="shared" si="25"/>
        <v>0</v>
      </c>
      <c r="O131" s="983">
        <f t="shared" si="26"/>
        <v>0</v>
      </c>
      <c r="P131" s="983">
        <f t="shared" si="27"/>
        <v>0</v>
      </c>
      <c r="Q131" s="983">
        <f t="shared" si="28"/>
        <v>0</v>
      </c>
    </row>
    <row r="132" spans="2:17">
      <c r="B132" s="983" t="s">
        <v>1770</v>
      </c>
      <c r="C132" s="984" t="s">
        <v>365</v>
      </c>
      <c r="D132" s="983">
        <v>0.2</v>
      </c>
      <c r="E132" s="983">
        <f t="shared" si="31"/>
        <v>2.6999999999999997</v>
      </c>
      <c r="F132" s="983">
        <f t="shared" si="19"/>
        <v>0.53999999999999992</v>
      </c>
      <c r="G132" s="983">
        <v>0</v>
      </c>
      <c r="H132" s="983">
        <f t="shared" si="22"/>
        <v>0.53999999999999992</v>
      </c>
      <c r="I132" s="985">
        <v>1</v>
      </c>
      <c r="J132" s="983">
        <f t="shared" si="20"/>
        <v>0.53999999999999992</v>
      </c>
      <c r="L132" s="983">
        <f t="shared" si="23"/>
        <v>0.53999999999999992</v>
      </c>
      <c r="M132" s="983">
        <f t="shared" si="24"/>
        <v>0</v>
      </c>
      <c r="N132" s="983">
        <f t="shared" si="25"/>
        <v>0</v>
      </c>
      <c r="O132" s="983">
        <f t="shared" si="26"/>
        <v>0</v>
      </c>
      <c r="P132" s="983">
        <f t="shared" si="27"/>
        <v>0</v>
      </c>
      <c r="Q132" s="983">
        <f t="shared" si="28"/>
        <v>0</v>
      </c>
    </row>
    <row r="133" spans="2:17">
      <c r="B133" s="983" t="s">
        <v>1771</v>
      </c>
      <c r="C133" s="984" t="s">
        <v>365</v>
      </c>
      <c r="D133" s="983">
        <v>0.7</v>
      </c>
      <c r="E133" s="983">
        <f t="shared" si="31"/>
        <v>2.6999999999999997</v>
      </c>
      <c r="F133" s="983">
        <f t="shared" ref="F133:F196" si="32">+D133*E133</f>
        <v>1.8899999999999997</v>
      </c>
      <c r="G133" s="983">
        <v>0</v>
      </c>
      <c r="H133" s="983">
        <f t="shared" si="22"/>
        <v>1.8899999999999997</v>
      </c>
      <c r="I133" s="985">
        <v>1</v>
      </c>
      <c r="J133" s="983">
        <f t="shared" si="20"/>
        <v>1.8899999999999997</v>
      </c>
      <c r="L133" s="983">
        <f t="shared" si="23"/>
        <v>1.8899999999999997</v>
      </c>
      <c r="M133" s="983">
        <f t="shared" si="24"/>
        <v>0</v>
      </c>
      <c r="N133" s="983">
        <f t="shared" si="25"/>
        <v>0</v>
      </c>
      <c r="O133" s="983">
        <f t="shared" si="26"/>
        <v>0</v>
      </c>
      <c r="P133" s="983">
        <f t="shared" si="27"/>
        <v>0</v>
      </c>
      <c r="Q133" s="983">
        <f t="shared" si="28"/>
        <v>0</v>
      </c>
    </row>
    <row r="134" spans="2:17">
      <c r="B134" s="983" t="s">
        <v>1772</v>
      </c>
      <c r="C134" s="984" t="s">
        <v>365</v>
      </c>
      <c r="D134" s="983">
        <v>0.72</v>
      </c>
      <c r="E134" s="983">
        <f t="shared" si="31"/>
        <v>2.6999999999999997</v>
      </c>
      <c r="F134" s="983">
        <f t="shared" si="32"/>
        <v>1.9439999999999997</v>
      </c>
      <c r="G134" s="983">
        <v>0</v>
      </c>
      <c r="H134" s="983">
        <f t="shared" si="22"/>
        <v>1.9439999999999997</v>
      </c>
      <c r="I134" s="985">
        <v>1</v>
      </c>
      <c r="J134" s="983">
        <f t="shared" ref="J134:J197" si="33">+H134*I134</f>
        <v>1.9439999999999997</v>
      </c>
      <c r="L134" s="983">
        <f t="shared" si="23"/>
        <v>1.9439999999999997</v>
      </c>
      <c r="M134" s="983">
        <f t="shared" si="24"/>
        <v>0</v>
      </c>
      <c r="N134" s="983">
        <f t="shared" si="25"/>
        <v>0</v>
      </c>
      <c r="O134" s="983">
        <f t="shared" si="26"/>
        <v>0</v>
      </c>
      <c r="P134" s="983">
        <f t="shared" si="27"/>
        <v>0</v>
      </c>
      <c r="Q134" s="983">
        <f t="shared" si="28"/>
        <v>0</v>
      </c>
    </row>
    <row r="135" spans="2:17">
      <c r="B135" s="983" t="s">
        <v>1773</v>
      </c>
      <c r="C135" s="984" t="s">
        <v>368</v>
      </c>
      <c r="D135" s="983">
        <v>1.4</v>
      </c>
      <c r="E135" s="983">
        <f t="shared" ref="E135:E141" si="34">+$E$100</f>
        <v>2.3499999999999996</v>
      </c>
      <c r="F135" s="983">
        <f t="shared" si="32"/>
        <v>3.2899999999999991</v>
      </c>
      <c r="G135" s="983">
        <v>0</v>
      </c>
      <c r="H135" s="983">
        <f t="shared" si="22"/>
        <v>3.2899999999999991</v>
      </c>
      <c r="I135" s="985">
        <v>1</v>
      </c>
      <c r="J135" s="983">
        <f t="shared" si="33"/>
        <v>3.2899999999999991</v>
      </c>
      <c r="L135" s="983">
        <f t="shared" si="23"/>
        <v>0</v>
      </c>
      <c r="M135" s="983">
        <f t="shared" si="24"/>
        <v>3.2899999999999991</v>
      </c>
      <c r="N135" s="983">
        <f t="shared" si="25"/>
        <v>0</v>
      </c>
      <c r="O135" s="983">
        <f t="shared" si="26"/>
        <v>0</v>
      </c>
      <c r="P135" s="983">
        <f t="shared" si="27"/>
        <v>0</v>
      </c>
      <c r="Q135" s="983">
        <f t="shared" si="28"/>
        <v>0</v>
      </c>
    </row>
    <row r="136" spans="2:17">
      <c r="B136" s="983" t="s">
        <v>1774</v>
      </c>
      <c r="C136" s="984" t="s">
        <v>368</v>
      </c>
      <c r="D136" s="983">
        <v>3.55</v>
      </c>
      <c r="E136" s="983">
        <f t="shared" si="34"/>
        <v>2.3499999999999996</v>
      </c>
      <c r="F136" s="983">
        <f t="shared" si="32"/>
        <v>8.3424999999999976</v>
      </c>
      <c r="G136" s="983">
        <v>0</v>
      </c>
      <c r="H136" s="983">
        <f t="shared" si="22"/>
        <v>8.3424999999999976</v>
      </c>
      <c r="I136" s="985">
        <v>1</v>
      </c>
      <c r="J136" s="983">
        <f t="shared" si="33"/>
        <v>8.3424999999999976</v>
      </c>
      <c r="L136" s="983">
        <f t="shared" si="23"/>
        <v>0</v>
      </c>
      <c r="M136" s="983">
        <f t="shared" si="24"/>
        <v>8.3424999999999976</v>
      </c>
      <c r="N136" s="983">
        <f t="shared" si="25"/>
        <v>0</v>
      </c>
      <c r="O136" s="983">
        <f t="shared" si="26"/>
        <v>0</v>
      </c>
      <c r="P136" s="983">
        <f t="shared" si="27"/>
        <v>0</v>
      </c>
      <c r="Q136" s="983">
        <f t="shared" si="28"/>
        <v>0</v>
      </c>
    </row>
    <row r="137" spans="2:17">
      <c r="B137" s="989" t="s">
        <v>1775</v>
      </c>
      <c r="C137" s="984" t="s">
        <v>368</v>
      </c>
      <c r="D137" s="983">
        <v>5.1100000000000003</v>
      </c>
      <c r="E137" s="983">
        <f t="shared" si="34"/>
        <v>2.3499999999999996</v>
      </c>
      <c r="F137" s="983">
        <f t="shared" si="32"/>
        <v>12.0085</v>
      </c>
      <c r="G137" s="983">
        <v>0</v>
      </c>
      <c r="H137" s="983">
        <f t="shared" si="22"/>
        <v>12.0085</v>
      </c>
      <c r="I137" s="985">
        <v>1</v>
      </c>
      <c r="J137" s="983">
        <f t="shared" si="33"/>
        <v>12.0085</v>
      </c>
      <c r="L137" s="983">
        <f t="shared" si="23"/>
        <v>0</v>
      </c>
      <c r="M137" s="983">
        <f t="shared" si="24"/>
        <v>12.0085</v>
      </c>
      <c r="N137" s="983">
        <f t="shared" si="25"/>
        <v>0</v>
      </c>
      <c r="O137" s="983">
        <f t="shared" si="26"/>
        <v>0</v>
      </c>
      <c r="P137" s="983">
        <f t="shared" si="27"/>
        <v>0</v>
      </c>
      <c r="Q137" s="983">
        <f t="shared" si="28"/>
        <v>0</v>
      </c>
    </row>
    <row r="138" spans="2:17">
      <c r="B138" s="983" t="s">
        <v>1776</v>
      </c>
      <c r="C138" s="984" t="s">
        <v>368</v>
      </c>
      <c r="D138" s="983">
        <v>4.4000000000000004</v>
      </c>
      <c r="E138" s="983">
        <f t="shared" si="34"/>
        <v>2.3499999999999996</v>
      </c>
      <c r="F138" s="983">
        <f t="shared" si="32"/>
        <v>10.34</v>
      </c>
      <c r="G138" s="983">
        <v>0</v>
      </c>
      <c r="H138" s="983">
        <f t="shared" si="22"/>
        <v>10.34</v>
      </c>
      <c r="I138" s="985">
        <v>1</v>
      </c>
      <c r="J138" s="983">
        <f t="shared" si="33"/>
        <v>10.34</v>
      </c>
      <c r="L138" s="983">
        <f t="shared" si="23"/>
        <v>0</v>
      </c>
      <c r="M138" s="983">
        <f t="shared" si="24"/>
        <v>10.34</v>
      </c>
      <c r="N138" s="983">
        <f t="shared" si="25"/>
        <v>0</v>
      </c>
      <c r="O138" s="983">
        <f t="shared" si="26"/>
        <v>0</v>
      </c>
      <c r="P138" s="983">
        <f t="shared" si="27"/>
        <v>0</v>
      </c>
      <c r="Q138" s="983">
        <f t="shared" si="28"/>
        <v>0</v>
      </c>
    </row>
    <row r="139" spans="2:17">
      <c r="B139" s="983" t="s">
        <v>1777</v>
      </c>
      <c r="C139" s="984" t="s">
        <v>368</v>
      </c>
      <c r="D139" s="983">
        <v>3.58</v>
      </c>
      <c r="E139" s="983">
        <f t="shared" si="34"/>
        <v>2.3499999999999996</v>
      </c>
      <c r="F139" s="983">
        <f t="shared" si="32"/>
        <v>8.4129999999999985</v>
      </c>
      <c r="G139" s="983">
        <v>0</v>
      </c>
      <c r="H139" s="983">
        <f t="shared" si="22"/>
        <v>8.4129999999999985</v>
      </c>
      <c r="I139" s="985">
        <v>1</v>
      </c>
      <c r="J139" s="983">
        <f t="shared" si="33"/>
        <v>8.4129999999999985</v>
      </c>
      <c r="L139" s="983">
        <f t="shared" si="23"/>
        <v>0</v>
      </c>
      <c r="M139" s="983">
        <f t="shared" si="24"/>
        <v>8.4129999999999985</v>
      </c>
      <c r="N139" s="983">
        <f t="shared" si="25"/>
        <v>0</v>
      </c>
      <c r="O139" s="983">
        <f t="shared" si="26"/>
        <v>0</v>
      </c>
      <c r="P139" s="983">
        <f t="shared" si="27"/>
        <v>0</v>
      </c>
      <c r="Q139" s="983">
        <f t="shared" si="28"/>
        <v>0</v>
      </c>
    </row>
    <row r="140" spans="2:17">
      <c r="B140" s="983" t="s">
        <v>1778</v>
      </c>
      <c r="C140" s="984" t="s">
        <v>33</v>
      </c>
      <c r="D140" s="983">
        <v>1.53</v>
      </c>
      <c r="E140" s="983">
        <f t="shared" si="34"/>
        <v>2.3499999999999996</v>
      </c>
      <c r="F140" s="983">
        <f t="shared" si="32"/>
        <v>3.5954999999999995</v>
      </c>
      <c r="G140" s="983">
        <v>0</v>
      </c>
      <c r="H140" s="983">
        <f t="shared" si="22"/>
        <v>3.5954999999999995</v>
      </c>
      <c r="I140" s="985">
        <v>1</v>
      </c>
      <c r="J140" s="983">
        <f t="shared" si="33"/>
        <v>3.5954999999999995</v>
      </c>
      <c r="L140" s="983">
        <f t="shared" si="23"/>
        <v>0</v>
      </c>
      <c r="M140" s="983">
        <f t="shared" si="24"/>
        <v>0</v>
      </c>
      <c r="N140" s="983">
        <f t="shared" si="25"/>
        <v>3.5954999999999995</v>
      </c>
      <c r="O140" s="983">
        <f t="shared" si="26"/>
        <v>0</v>
      </c>
      <c r="P140" s="983">
        <f t="shared" si="27"/>
        <v>0</v>
      </c>
      <c r="Q140" s="983">
        <f t="shared" si="28"/>
        <v>0</v>
      </c>
    </row>
    <row r="141" spans="2:17">
      <c r="B141" s="983" t="s">
        <v>1779</v>
      </c>
      <c r="C141" s="984" t="s">
        <v>33</v>
      </c>
      <c r="D141" s="983">
        <v>4.5199999999999996</v>
      </c>
      <c r="E141" s="983">
        <f t="shared" si="34"/>
        <v>2.3499999999999996</v>
      </c>
      <c r="F141" s="983">
        <f t="shared" si="32"/>
        <v>10.621999999999998</v>
      </c>
      <c r="G141" s="983">
        <v>0</v>
      </c>
      <c r="H141" s="983">
        <f t="shared" si="22"/>
        <v>10.621999999999998</v>
      </c>
      <c r="I141" s="985">
        <v>1</v>
      </c>
      <c r="J141" s="983">
        <f t="shared" si="33"/>
        <v>10.621999999999998</v>
      </c>
      <c r="L141" s="983">
        <f t="shared" si="23"/>
        <v>0</v>
      </c>
      <c r="M141" s="983">
        <f t="shared" si="24"/>
        <v>0</v>
      </c>
      <c r="N141" s="983">
        <f t="shared" si="25"/>
        <v>10.621999999999998</v>
      </c>
      <c r="O141" s="983">
        <f t="shared" si="26"/>
        <v>0</v>
      </c>
      <c r="P141" s="983">
        <f t="shared" si="27"/>
        <v>0</v>
      </c>
      <c r="Q141" s="983">
        <f t="shared" si="28"/>
        <v>0</v>
      </c>
    </row>
    <row r="142" spans="2:17">
      <c r="B142" s="983" t="s">
        <v>1780</v>
      </c>
      <c r="C142" s="984" t="s">
        <v>368</v>
      </c>
      <c r="D142" s="983">
        <v>3.78</v>
      </c>
      <c r="E142" s="983">
        <f>+$E$102</f>
        <v>2.6999999999999997</v>
      </c>
      <c r="F142" s="983">
        <f t="shared" si="32"/>
        <v>10.205999999999998</v>
      </c>
      <c r="G142" s="983">
        <v>0</v>
      </c>
      <c r="H142" s="983">
        <f t="shared" si="22"/>
        <v>10.205999999999998</v>
      </c>
      <c r="I142" s="985">
        <v>1</v>
      </c>
      <c r="J142" s="983">
        <f t="shared" si="33"/>
        <v>10.205999999999998</v>
      </c>
      <c r="L142" s="983">
        <f t="shared" si="23"/>
        <v>0</v>
      </c>
      <c r="M142" s="983">
        <f t="shared" si="24"/>
        <v>10.205999999999998</v>
      </c>
      <c r="N142" s="983">
        <f t="shared" si="25"/>
        <v>0</v>
      </c>
      <c r="O142" s="983">
        <f t="shared" si="26"/>
        <v>0</v>
      </c>
      <c r="P142" s="983">
        <f t="shared" si="27"/>
        <v>0</v>
      </c>
      <c r="Q142" s="983">
        <f t="shared" si="28"/>
        <v>0</v>
      </c>
    </row>
    <row r="143" spans="2:17">
      <c r="B143" s="983" t="s">
        <v>1781</v>
      </c>
      <c r="C143" s="984" t="s">
        <v>33</v>
      </c>
      <c r="D143" s="983">
        <v>1.4</v>
      </c>
      <c r="E143" s="983">
        <f>+$E$100</f>
        <v>2.3499999999999996</v>
      </c>
      <c r="F143" s="983">
        <f t="shared" si="32"/>
        <v>3.2899999999999991</v>
      </c>
      <c r="G143" s="983">
        <v>0</v>
      </c>
      <c r="H143" s="983">
        <f t="shared" si="22"/>
        <v>3.2899999999999991</v>
      </c>
      <c r="I143" s="985">
        <v>1</v>
      </c>
      <c r="J143" s="983">
        <f t="shared" si="33"/>
        <v>3.2899999999999991</v>
      </c>
      <c r="L143" s="983">
        <f t="shared" si="23"/>
        <v>0</v>
      </c>
      <c r="M143" s="983">
        <f t="shared" si="24"/>
        <v>0</v>
      </c>
      <c r="N143" s="983">
        <f t="shared" si="25"/>
        <v>3.2899999999999991</v>
      </c>
      <c r="O143" s="983">
        <f t="shared" si="26"/>
        <v>0</v>
      </c>
      <c r="P143" s="983">
        <f t="shared" si="27"/>
        <v>0</v>
      </c>
      <c r="Q143" s="983">
        <f t="shared" si="28"/>
        <v>0</v>
      </c>
    </row>
    <row r="144" spans="2:17">
      <c r="B144" s="983" t="s">
        <v>1782</v>
      </c>
      <c r="C144" s="984" t="s">
        <v>33</v>
      </c>
      <c r="D144" s="983">
        <v>4.68</v>
      </c>
      <c r="E144" s="983">
        <f>+$E$100</f>
        <v>2.3499999999999996</v>
      </c>
      <c r="F144" s="983">
        <f t="shared" si="32"/>
        <v>10.997999999999998</v>
      </c>
      <c r="G144" s="983">
        <v>0</v>
      </c>
      <c r="H144" s="983">
        <f t="shared" si="22"/>
        <v>10.997999999999998</v>
      </c>
      <c r="I144" s="985">
        <v>1</v>
      </c>
      <c r="J144" s="983">
        <f t="shared" si="33"/>
        <v>10.997999999999998</v>
      </c>
      <c r="L144" s="983">
        <f t="shared" si="23"/>
        <v>0</v>
      </c>
      <c r="M144" s="983">
        <f t="shared" si="24"/>
        <v>0</v>
      </c>
      <c r="N144" s="983">
        <f t="shared" si="25"/>
        <v>10.997999999999998</v>
      </c>
      <c r="O144" s="983">
        <f t="shared" si="26"/>
        <v>0</v>
      </c>
      <c r="P144" s="983">
        <f t="shared" si="27"/>
        <v>0</v>
      </c>
      <c r="Q144" s="983">
        <f t="shared" si="28"/>
        <v>0</v>
      </c>
    </row>
    <row r="145" spans="2:17">
      <c r="B145" s="983" t="s">
        <v>1783</v>
      </c>
      <c r="C145" s="984" t="s">
        <v>33</v>
      </c>
      <c r="D145" s="983">
        <v>3.36</v>
      </c>
      <c r="E145" s="983">
        <f>+$E$100</f>
        <v>2.3499999999999996</v>
      </c>
      <c r="F145" s="983">
        <f t="shared" si="32"/>
        <v>7.8959999999999981</v>
      </c>
      <c r="G145" s="983">
        <v>0</v>
      </c>
      <c r="H145" s="983">
        <f t="shared" si="22"/>
        <v>7.8959999999999981</v>
      </c>
      <c r="I145" s="985">
        <v>1</v>
      </c>
      <c r="J145" s="983">
        <f t="shared" si="33"/>
        <v>7.8959999999999981</v>
      </c>
      <c r="L145" s="983">
        <f t="shared" si="23"/>
        <v>0</v>
      </c>
      <c r="M145" s="983">
        <f t="shared" si="24"/>
        <v>0</v>
      </c>
      <c r="N145" s="983">
        <f t="shared" si="25"/>
        <v>7.8959999999999981</v>
      </c>
      <c r="O145" s="983">
        <f t="shared" si="26"/>
        <v>0</v>
      </c>
      <c r="P145" s="983">
        <f t="shared" si="27"/>
        <v>0</v>
      </c>
      <c r="Q145" s="983">
        <f t="shared" si="28"/>
        <v>0</v>
      </c>
    </row>
    <row r="146" spans="2:17">
      <c r="B146" s="983" t="s">
        <v>1784</v>
      </c>
      <c r="C146" s="984" t="s">
        <v>33</v>
      </c>
      <c r="D146" s="983">
        <v>4.4000000000000004</v>
      </c>
      <c r="E146" s="983">
        <f>+$E$100</f>
        <v>2.3499999999999996</v>
      </c>
      <c r="F146" s="983">
        <f t="shared" si="32"/>
        <v>10.34</v>
      </c>
      <c r="G146" s="983">
        <v>0</v>
      </c>
      <c r="H146" s="983">
        <f t="shared" si="22"/>
        <v>10.34</v>
      </c>
      <c r="I146" s="985">
        <v>1</v>
      </c>
      <c r="J146" s="983">
        <f t="shared" si="33"/>
        <v>10.34</v>
      </c>
      <c r="L146" s="983">
        <f t="shared" si="23"/>
        <v>0</v>
      </c>
      <c r="M146" s="983">
        <f t="shared" si="24"/>
        <v>0</v>
      </c>
      <c r="N146" s="983">
        <f t="shared" si="25"/>
        <v>10.34</v>
      </c>
      <c r="O146" s="983">
        <f t="shared" si="26"/>
        <v>0</v>
      </c>
      <c r="P146" s="983">
        <f t="shared" si="27"/>
        <v>0</v>
      </c>
      <c r="Q146" s="983">
        <f t="shared" si="28"/>
        <v>0</v>
      </c>
    </row>
    <row r="147" spans="2:17">
      <c r="B147" s="983" t="s">
        <v>1785</v>
      </c>
      <c r="C147" s="984" t="s">
        <v>33</v>
      </c>
      <c r="D147" s="983">
        <v>3.49</v>
      </c>
      <c r="E147" s="983">
        <f>+$E$100</f>
        <v>2.3499999999999996</v>
      </c>
      <c r="F147" s="983">
        <f t="shared" si="32"/>
        <v>8.2014999999999993</v>
      </c>
      <c r="G147" s="983">
        <v>0</v>
      </c>
      <c r="H147" s="983">
        <f t="shared" si="22"/>
        <v>8.2014999999999993</v>
      </c>
      <c r="I147" s="985">
        <v>1</v>
      </c>
      <c r="J147" s="983">
        <f t="shared" si="33"/>
        <v>8.2014999999999993</v>
      </c>
      <c r="L147" s="983">
        <f t="shared" si="23"/>
        <v>0</v>
      </c>
      <c r="M147" s="983">
        <f t="shared" si="24"/>
        <v>0</v>
      </c>
      <c r="N147" s="983">
        <f t="shared" si="25"/>
        <v>8.2014999999999993</v>
      </c>
      <c r="O147" s="983">
        <f t="shared" si="26"/>
        <v>0</v>
      </c>
      <c r="P147" s="983">
        <f t="shared" si="27"/>
        <v>0</v>
      </c>
      <c r="Q147" s="983">
        <f t="shared" si="28"/>
        <v>0</v>
      </c>
    </row>
    <row r="148" spans="2:17">
      <c r="B148" s="983" t="s">
        <v>1786</v>
      </c>
      <c r="C148" s="984" t="s">
        <v>368</v>
      </c>
      <c r="D148" s="983">
        <v>1.4</v>
      </c>
      <c r="E148" s="983">
        <v>0.4</v>
      </c>
      <c r="F148" s="983">
        <f t="shared" si="32"/>
        <v>0.55999999999999994</v>
      </c>
      <c r="G148" s="983">
        <v>0</v>
      </c>
      <c r="H148" s="983">
        <f t="shared" si="22"/>
        <v>0.55999999999999994</v>
      </c>
      <c r="I148" s="985">
        <v>1</v>
      </c>
      <c r="J148" s="983">
        <f t="shared" si="33"/>
        <v>0.55999999999999994</v>
      </c>
      <c r="L148" s="983">
        <f t="shared" si="23"/>
        <v>0</v>
      </c>
      <c r="M148" s="983">
        <f t="shared" si="24"/>
        <v>0.55999999999999994</v>
      </c>
      <c r="N148" s="983">
        <f t="shared" si="25"/>
        <v>0</v>
      </c>
      <c r="O148" s="983">
        <f t="shared" si="26"/>
        <v>0</v>
      </c>
      <c r="P148" s="983">
        <f t="shared" si="27"/>
        <v>0</v>
      </c>
      <c r="Q148" s="983">
        <f t="shared" si="28"/>
        <v>0</v>
      </c>
    </row>
    <row r="149" spans="2:17">
      <c r="B149" s="983" t="s">
        <v>1787</v>
      </c>
      <c r="C149" s="984" t="s">
        <v>33</v>
      </c>
      <c r="D149" s="983">
        <v>2</v>
      </c>
      <c r="E149" s="983">
        <v>2</v>
      </c>
      <c r="F149" s="983">
        <f t="shared" si="32"/>
        <v>4</v>
      </c>
      <c r="G149" s="983">
        <v>0</v>
      </c>
      <c r="H149" s="983">
        <f t="shared" si="22"/>
        <v>4</v>
      </c>
      <c r="I149" s="985">
        <v>2</v>
      </c>
      <c r="J149" s="983">
        <f t="shared" si="33"/>
        <v>8</v>
      </c>
      <c r="L149" s="983">
        <f t="shared" si="23"/>
        <v>0</v>
      </c>
      <c r="M149" s="983">
        <f t="shared" si="24"/>
        <v>0</v>
      </c>
      <c r="N149" s="983">
        <f t="shared" si="25"/>
        <v>8</v>
      </c>
      <c r="O149" s="983">
        <f t="shared" si="26"/>
        <v>0</v>
      </c>
      <c r="P149" s="983">
        <f t="shared" si="27"/>
        <v>0</v>
      </c>
      <c r="Q149" s="983">
        <f t="shared" si="28"/>
        <v>0</v>
      </c>
    </row>
    <row r="150" spans="2:17">
      <c r="B150" s="986" t="s">
        <v>2230</v>
      </c>
    </row>
    <row r="151" spans="2:17">
      <c r="B151" s="983" t="s">
        <v>488</v>
      </c>
      <c r="C151" s="984" t="s">
        <v>368</v>
      </c>
      <c r="D151" s="983">
        <v>7.8</v>
      </c>
      <c r="E151" s="983">
        <v>1.2</v>
      </c>
      <c r="F151" s="983">
        <f t="shared" ref="F151:F190" si="35">+D151*E151</f>
        <v>9.36</v>
      </c>
      <c r="G151" s="983">
        <v>0</v>
      </c>
      <c r="H151" s="983">
        <f t="shared" ref="H151:H215" si="36">+F151-G151</f>
        <v>9.36</v>
      </c>
      <c r="I151" s="985">
        <v>1</v>
      </c>
      <c r="J151" s="983">
        <f t="shared" si="33"/>
        <v>9.36</v>
      </c>
      <c r="L151" s="983">
        <f t="shared" ref="L151:L190" si="37">IF(C151=$L$3,J151,0)</f>
        <v>0</v>
      </c>
      <c r="M151" s="983">
        <f t="shared" ref="M151:M190" si="38">IF(C151=$M$3,J151,0)</f>
        <v>9.36</v>
      </c>
      <c r="N151" s="983">
        <f t="shared" ref="N151:N190" si="39">IF(C151=$N$3,J151,0)</f>
        <v>0</v>
      </c>
      <c r="O151" s="983">
        <f t="shared" ref="O151:O190" si="40">IF(C151=$O$3,J151,0)</f>
        <v>0</v>
      </c>
      <c r="P151" s="983">
        <f t="shared" ref="P151:P190" si="41">IF(C151=$P$3,J151,0)</f>
        <v>0</v>
      </c>
      <c r="Q151" s="983">
        <f t="shared" ref="Q151:Q190" si="42">IF(C151=$Q$3,J151,0)</f>
        <v>0</v>
      </c>
    </row>
    <row r="152" spans="2:17">
      <c r="B152" s="983" t="s">
        <v>489</v>
      </c>
      <c r="C152" s="984" t="s">
        <v>368</v>
      </c>
      <c r="D152" s="983">
        <v>7.85</v>
      </c>
      <c r="E152" s="983">
        <f>2.8-0.45</f>
        <v>2.3499999999999996</v>
      </c>
      <c r="F152" s="983">
        <f t="shared" si="35"/>
        <v>18.447499999999998</v>
      </c>
      <c r="G152" s="983">
        <v>0</v>
      </c>
      <c r="H152" s="983">
        <f t="shared" si="36"/>
        <v>18.447499999999998</v>
      </c>
      <c r="I152" s="985">
        <v>1</v>
      </c>
      <c r="J152" s="983">
        <f t="shared" si="33"/>
        <v>18.447499999999998</v>
      </c>
      <c r="L152" s="983">
        <f t="shared" si="37"/>
        <v>0</v>
      </c>
      <c r="M152" s="983">
        <f t="shared" si="38"/>
        <v>18.447499999999998</v>
      </c>
      <c r="N152" s="983">
        <f t="shared" si="39"/>
        <v>0</v>
      </c>
      <c r="O152" s="983">
        <f t="shared" si="40"/>
        <v>0</v>
      </c>
      <c r="P152" s="983">
        <f t="shared" si="41"/>
        <v>0</v>
      </c>
      <c r="Q152" s="983">
        <f t="shared" si="42"/>
        <v>0</v>
      </c>
    </row>
    <row r="153" spans="2:17">
      <c r="B153" s="784" t="s">
        <v>490</v>
      </c>
      <c r="C153" s="984" t="s">
        <v>365</v>
      </c>
      <c r="D153" s="983">
        <f>0.5+0.5+0.4</f>
        <v>1.4</v>
      </c>
      <c r="E153" s="983">
        <f>2.8-0.12</f>
        <v>2.6799999999999997</v>
      </c>
      <c r="F153" s="983">
        <f t="shared" si="35"/>
        <v>3.7519999999999993</v>
      </c>
      <c r="G153" s="983">
        <v>0</v>
      </c>
      <c r="H153" s="983">
        <f t="shared" si="36"/>
        <v>3.7519999999999993</v>
      </c>
      <c r="I153" s="985">
        <v>1</v>
      </c>
      <c r="J153" s="983">
        <f t="shared" si="33"/>
        <v>3.7519999999999993</v>
      </c>
      <c r="L153" s="983">
        <f t="shared" si="37"/>
        <v>3.7519999999999993</v>
      </c>
      <c r="M153" s="983">
        <f t="shared" si="38"/>
        <v>0</v>
      </c>
      <c r="N153" s="983">
        <f t="shared" si="39"/>
        <v>0</v>
      </c>
      <c r="O153" s="983">
        <f t="shared" si="40"/>
        <v>0</v>
      </c>
      <c r="P153" s="983">
        <f t="shared" si="41"/>
        <v>0</v>
      </c>
      <c r="Q153" s="983">
        <f t="shared" si="42"/>
        <v>0</v>
      </c>
    </row>
    <row r="154" spans="2:17">
      <c r="B154" s="983" t="s">
        <v>491</v>
      </c>
      <c r="C154" s="984" t="s">
        <v>365</v>
      </c>
      <c r="D154" s="983">
        <v>0.6</v>
      </c>
      <c r="E154" s="983">
        <f>+$E$153</f>
        <v>2.6799999999999997</v>
      </c>
      <c r="F154" s="983">
        <f t="shared" si="35"/>
        <v>1.6079999999999999</v>
      </c>
      <c r="G154" s="983">
        <v>0</v>
      </c>
      <c r="H154" s="983">
        <f t="shared" si="36"/>
        <v>1.6079999999999999</v>
      </c>
      <c r="I154" s="985">
        <v>1</v>
      </c>
      <c r="J154" s="983">
        <f t="shared" si="33"/>
        <v>1.6079999999999999</v>
      </c>
      <c r="L154" s="983">
        <f t="shared" si="37"/>
        <v>1.6079999999999999</v>
      </c>
      <c r="M154" s="983">
        <f t="shared" si="38"/>
        <v>0</v>
      </c>
      <c r="N154" s="983">
        <f t="shared" si="39"/>
        <v>0</v>
      </c>
      <c r="O154" s="983">
        <f t="shared" si="40"/>
        <v>0</v>
      </c>
      <c r="P154" s="983">
        <f t="shared" si="41"/>
        <v>0</v>
      </c>
      <c r="Q154" s="983">
        <f t="shared" si="42"/>
        <v>0</v>
      </c>
    </row>
    <row r="155" spans="2:17">
      <c r="B155" s="983" t="s">
        <v>1678</v>
      </c>
      <c r="C155" s="984" t="s">
        <v>365</v>
      </c>
      <c r="D155" s="983">
        <v>4.3099999999999996</v>
      </c>
      <c r="E155" s="983">
        <f>+$E$153</f>
        <v>2.6799999999999997</v>
      </c>
      <c r="F155" s="983">
        <f t="shared" si="35"/>
        <v>11.550799999999997</v>
      </c>
      <c r="G155" s="983">
        <v>0</v>
      </c>
      <c r="H155" s="983">
        <f t="shared" si="36"/>
        <v>11.550799999999997</v>
      </c>
      <c r="I155" s="985">
        <v>1</v>
      </c>
      <c r="J155" s="983">
        <f t="shared" si="33"/>
        <v>11.550799999999997</v>
      </c>
      <c r="L155" s="983">
        <f t="shared" si="37"/>
        <v>11.550799999999997</v>
      </c>
      <c r="M155" s="983">
        <f t="shared" si="38"/>
        <v>0</v>
      </c>
      <c r="N155" s="983">
        <f t="shared" si="39"/>
        <v>0</v>
      </c>
      <c r="O155" s="983">
        <f t="shared" si="40"/>
        <v>0</v>
      </c>
      <c r="P155" s="983">
        <f t="shared" si="41"/>
        <v>0</v>
      </c>
      <c r="Q155" s="983">
        <f t="shared" si="42"/>
        <v>0</v>
      </c>
    </row>
    <row r="156" spans="2:17">
      <c r="B156" s="983" t="s">
        <v>1679</v>
      </c>
      <c r="C156" s="984" t="s">
        <v>365</v>
      </c>
      <c r="D156" s="983">
        <v>0.33</v>
      </c>
      <c r="E156" s="983">
        <f>+$E$153</f>
        <v>2.6799999999999997</v>
      </c>
      <c r="F156" s="983">
        <f t="shared" si="35"/>
        <v>0.88439999999999996</v>
      </c>
      <c r="G156" s="983">
        <v>0</v>
      </c>
      <c r="H156" s="983">
        <f t="shared" si="36"/>
        <v>0.88439999999999996</v>
      </c>
      <c r="I156" s="985">
        <v>1</v>
      </c>
      <c r="J156" s="983">
        <f t="shared" si="33"/>
        <v>0.88439999999999996</v>
      </c>
      <c r="L156" s="983">
        <f t="shared" si="37"/>
        <v>0.88439999999999996</v>
      </c>
      <c r="M156" s="983">
        <f t="shared" si="38"/>
        <v>0</v>
      </c>
      <c r="N156" s="983">
        <f t="shared" si="39"/>
        <v>0</v>
      </c>
      <c r="O156" s="983">
        <f t="shared" si="40"/>
        <v>0</v>
      </c>
      <c r="P156" s="983">
        <f t="shared" si="41"/>
        <v>0</v>
      </c>
      <c r="Q156" s="983">
        <f t="shared" si="42"/>
        <v>0</v>
      </c>
    </row>
    <row r="157" spans="2:17">
      <c r="B157" s="983" t="s">
        <v>1680</v>
      </c>
      <c r="C157" s="984" t="s">
        <v>368</v>
      </c>
      <c r="D157" s="983">
        <v>1.95</v>
      </c>
      <c r="E157" s="983">
        <f>+$E$153</f>
        <v>2.6799999999999997</v>
      </c>
      <c r="F157" s="983">
        <f t="shared" si="35"/>
        <v>5.2259999999999991</v>
      </c>
      <c r="G157" s="983">
        <v>0</v>
      </c>
      <c r="H157" s="983">
        <f t="shared" si="36"/>
        <v>5.2259999999999991</v>
      </c>
      <c r="I157" s="985">
        <v>1</v>
      </c>
      <c r="J157" s="983">
        <f t="shared" si="33"/>
        <v>5.2259999999999991</v>
      </c>
      <c r="L157" s="983">
        <f t="shared" si="37"/>
        <v>0</v>
      </c>
      <c r="M157" s="983">
        <f t="shared" si="38"/>
        <v>5.2259999999999991</v>
      </c>
      <c r="N157" s="983">
        <f t="shared" si="39"/>
        <v>0</v>
      </c>
      <c r="O157" s="983">
        <f t="shared" si="40"/>
        <v>0</v>
      </c>
      <c r="P157" s="983">
        <f t="shared" si="41"/>
        <v>0</v>
      </c>
      <c r="Q157" s="983">
        <f t="shared" si="42"/>
        <v>0</v>
      </c>
    </row>
    <row r="158" spans="2:17">
      <c r="B158" s="983" t="s">
        <v>1681</v>
      </c>
      <c r="C158" s="984" t="s">
        <v>368</v>
      </c>
      <c r="D158" s="983">
        <v>4.17</v>
      </c>
      <c r="E158" s="983">
        <f>+$E$152</f>
        <v>2.3499999999999996</v>
      </c>
      <c r="F158" s="983">
        <f t="shared" si="35"/>
        <v>9.7994999999999983</v>
      </c>
      <c r="G158" s="983">
        <v>0</v>
      </c>
      <c r="H158" s="983">
        <f t="shared" si="36"/>
        <v>9.7994999999999983</v>
      </c>
      <c r="I158" s="985">
        <v>1</v>
      </c>
      <c r="J158" s="983">
        <f t="shared" si="33"/>
        <v>9.7994999999999983</v>
      </c>
      <c r="L158" s="983">
        <f t="shared" si="37"/>
        <v>0</v>
      </c>
      <c r="M158" s="983">
        <f t="shared" si="38"/>
        <v>9.7994999999999983</v>
      </c>
      <c r="N158" s="983">
        <f t="shared" si="39"/>
        <v>0</v>
      </c>
      <c r="O158" s="983">
        <f t="shared" si="40"/>
        <v>0</v>
      </c>
      <c r="P158" s="983">
        <f t="shared" si="41"/>
        <v>0</v>
      </c>
      <c r="Q158" s="983">
        <f t="shared" si="42"/>
        <v>0</v>
      </c>
    </row>
    <row r="159" spans="2:17">
      <c r="B159" s="983" t="s">
        <v>1682</v>
      </c>
      <c r="C159" s="984" t="s">
        <v>368</v>
      </c>
      <c r="D159" s="983">
        <v>0.36</v>
      </c>
      <c r="E159" s="983">
        <f>+$E$152</f>
        <v>2.3499999999999996</v>
      </c>
      <c r="F159" s="983">
        <f t="shared" si="35"/>
        <v>0.84599999999999986</v>
      </c>
      <c r="G159" s="983">
        <v>0</v>
      </c>
      <c r="H159" s="983">
        <f t="shared" si="36"/>
        <v>0.84599999999999986</v>
      </c>
      <c r="I159" s="985">
        <v>1</v>
      </c>
      <c r="J159" s="983">
        <f t="shared" si="33"/>
        <v>0.84599999999999986</v>
      </c>
      <c r="L159" s="983">
        <f t="shared" si="37"/>
        <v>0</v>
      </c>
      <c r="M159" s="983">
        <f t="shared" si="38"/>
        <v>0.84599999999999986</v>
      </c>
      <c r="N159" s="983">
        <f t="shared" si="39"/>
        <v>0</v>
      </c>
      <c r="O159" s="983">
        <f t="shared" si="40"/>
        <v>0</v>
      </c>
      <c r="P159" s="983">
        <f t="shared" si="41"/>
        <v>0</v>
      </c>
      <c r="Q159" s="983">
        <f t="shared" si="42"/>
        <v>0</v>
      </c>
    </row>
    <row r="160" spans="2:17">
      <c r="B160" s="983" t="s">
        <v>1683</v>
      </c>
      <c r="C160" s="984" t="s">
        <v>33</v>
      </c>
      <c r="D160" s="983">
        <v>0.48</v>
      </c>
      <c r="E160" s="983">
        <f>+$E$152</f>
        <v>2.3499999999999996</v>
      </c>
      <c r="F160" s="983">
        <f t="shared" si="35"/>
        <v>1.1279999999999999</v>
      </c>
      <c r="G160" s="983">
        <v>0</v>
      </c>
      <c r="H160" s="983">
        <f t="shared" si="36"/>
        <v>1.1279999999999999</v>
      </c>
      <c r="I160" s="985">
        <v>1</v>
      </c>
      <c r="J160" s="983">
        <f t="shared" si="33"/>
        <v>1.1279999999999999</v>
      </c>
      <c r="L160" s="983">
        <f t="shared" si="37"/>
        <v>0</v>
      </c>
      <c r="M160" s="983">
        <f t="shared" si="38"/>
        <v>0</v>
      </c>
      <c r="N160" s="983">
        <f t="shared" si="39"/>
        <v>1.1279999999999999</v>
      </c>
      <c r="O160" s="983">
        <f t="shared" si="40"/>
        <v>0</v>
      </c>
      <c r="P160" s="983">
        <f t="shared" si="41"/>
        <v>0</v>
      </c>
      <c r="Q160" s="983">
        <f t="shared" si="42"/>
        <v>0</v>
      </c>
    </row>
    <row r="161" spans="2:17">
      <c r="B161" s="983" t="s">
        <v>1684</v>
      </c>
      <c r="C161" s="984" t="s">
        <v>33</v>
      </c>
      <c r="D161" s="983">
        <v>0.92</v>
      </c>
      <c r="E161" s="983">
        <f>+$E$153</f>
        <v>2.6799999999999997</v>
      </c>
      <c r="F161" s="983">
        <f t="shared" si="35"/>
        <v>2.4655999999999998</v>
      </c>
      <c r="G161" s="983">
        <v>0</v>
      </c>
      <c r="H161" s="983">
        <f t="shared" si="36"/>
        <v>2.4655999999999998</v>
      </c>
      <c r="I161" s="985">
        <v>1</v>
      </c>
      <c r="J161" s="983">
        <f t="shared" si="33"/>
        <v>2.4655999999999998</v>
      </c>
      <c r="L161" s="983">
        <f t="shared" si="37"/>
        <v>0</v>
      </c>
      <c r="M161" s="983">
        <f t="shared" si="38"/>
        <v>0</v>
      </c>
      <c r="N161" s="983">
        <f t="shared" si="39"/>
        <v>2.4655999999999998</v>
      </c>
      <c r="O161" s="983">
        <f t="shared" si="40"/>
        <v>0</v>
      </c>
      <c r="P161" s="983">
        <f t="shared" si="41"/>
        <v>0</v>
      </c>
      <c r="Q161" s="983">
        <f t="shared" si="42"/>
        <v>0</v>
      </c>
    </row>
    <row r="162" spans="2:17">
      <c r="B162" s="983" t="s">
        <v>1685</v>
      </c>
      <c r="C162" s="984" t="s">
        <v>368</v>
      </c>
      <c r="D162" s="983">
        <v>4.17</v>
      </c>
      <c r="E162" s="983">
        <f>+$E$152</f>
        <v>2.3499999999999996</v>
      </c>
      <c r="F162" s="983">
        <f t="shared" si="35"/>
        <v>9.7994999999999983</v>
      </c>
      <c r="G162" s="983">
        <v>0</v>
      </c>
      <c r="H162" s="983">
        <f t="shared" si="36"/>
        <v>9.7994999999999983</v>
      </c>
      <c r="I162" s="985">
        <v>1</v>
      </c>
      <c r="J162" s="983">
        <f t="shared" si="33"/>
        <v>9.7994999999999983</v>
      </c>
      <c r="L162" s="983">
        <f t="shared" si="37"/>
        <v>0</v>
      </c>
      <c r="M162" s="983">
        <f t="shared" si="38"/>
        <v>9.7994999999999983</v>
      </c>
      <c r="N162" s="983">
        <f t="shared" si="39"/>
        <v>0</v>
      </c>
      <c r="O162" s="983">
        <f t="shared" si="40"/>
        <v>0</v>
      </c>
      <c r="P162" s="983">
        <f t="shared" si="41"/>
        <v>0</v>
      </c>
      <c r="Q162" s="983">
        <f t="shared" si="42"/>
        <v>0</v>
      </c>
    </row>
    <row r="163" spans="2:17">
      <c r="B163" s="983" t="s">
        <v>1686</v>
      </c>
      <c r="C163" s="984" t="s">
        <v>368</v>
      </c>
      <c r="D163" s="983">
        <v>1.95</v>
      </c>
      <c r="E163" s="983">
        <f>+$E$153</f>
        <v>2.6799999999999997</v>
      </c>
      <c r="F163" s="983">
        <f t="shared" si="35"/>
        <v>5.2259999999999991</v>
      </c>
      <c r="G163" s="983">
        <v>0</v>
      </c>
      <c r="H163" s="983">
        <f t="shared" si="36"/>
        <v>5.2259999999999991</v>
      </c>
      <c r="I163" s="985">
        <v>1</v>
      </c>
      <c r="J163" s="983">
        <f t="shared" si="33"/>
        <v>5.2259999999999991</v>
      </c>
      <c r="L163" s="983">
        <f t="shared" si="37"/>
        <v>0</v>
      </c>
      <c r="M163" s="983">
        <f t="shared" si="38"/>
        <v>5.2259999999999991</v>
      </c>
      <c r="N163" s="983">
        <f t="shared" si="39"/>
        <v>0</v>
      </c>
      <c r="O163" s="983">
        <f t="shared" si="40"/>
        <v>0</v>
      </c>
      <c r="P163" s="983">
        <f t="shared" si="41"/>
        <v>0</v>
      </c>
      <c r="Q163" s="983">
        <f t="shared" si="42"/>
        <v>0</v>
      </c>
    </row>
    <row r="164" spans="2:17">
      <c r="B164" s="983" t="s">
        <v>1687</v>
      </c>
      <c r="C164" s="984" t="s">
        <v>365</v>
      </c>
      <c r="D164" s="983">
        <v>0.4</v>
      </c>
      <c r="E164" s="983">
        <f>+$E$153</f>
        <v>2.6799999999999997</v>
      </c>
      <c r="F164" s="983">
        <f t="shared" si="35"/>
        <v>1.0719999999999998</v>
      </c>
      <c r="G164" s="983">
        <v>0</v>
      </c>
      <c r="H164" s="983">
        <f t="shared" si="36"/>
        <v>1.0719999999999998</v>
      </c>
      <c r="I164" s="985">
        <v>1</v>
      </c>
      <c r="J164" s="983">
        <f t="shared" si="33"/>
        <v>1.0719999999999998</v>
      </c>
      <c r="L164" s="983">
        <f t="shared" si="37"/>
        <v>1.0719999999999998</v>
      </c>
      <c r="M164" s="983">
        <f t="shared" si="38"/>
        <v>0</v>
      </c>
      <c r="N164" s="983">
        <f t="shared" si="39"/>
        <v>0</v>
      </c>
      <c r="O164" s="983">
        <f t="shared" si="40"/>
        <v>0</v>
      </c>
      <c r="P164" s="983">
        <f t="shared" si="41"/>
        <v>0</v>
      </c>
      <c r="Q164" s="983">
        <f t="shared" si="42"/>
        <v>0</v>
      </c>
    </row>
    <row r="165" spans="2:17">
      <c r="B165" s="983" t="s">
        <v>1688</v>
      </c>
      <c r="C165" s="984" t="s">
        <v>365</v>
      </c>
      <c r="D165" s="983">
        <v>4.28</v>
      </c>
      <c r="E165" s="983">
        <f>+$E$153</f>
        <v>2.6799999999999997</v>
      </c>
      <c r="F165" s="983">
        <f t="shared" si="35"/>
        <v>11.4704</v>
      </c>
      <c r="G165" s="983">
        <v>0</v>
      </c>
      <c r="H165" s="983">
        <f t="shared" si="36"/>
        <v>11.4704</v>
      </c>
      <c r="I165" s="985">
        <v>1</v>
      </c>
      <c r="J165" s="983">
        <f t="shared" si="33"/>
        <v>11.4704</v>
      </c>
      <c r="L165" s="983">
        <f t="shared" si="37"/>
        <v>11.4704</v>
      </c>
      <c r="M165" s="983">
        <f t="shared" si="38"/>
        <v>0</v>
      </c>
      <c r="N165" s="983">
        <f t="shared" si="39"/>
        <v>0</v>
      </c>
      <c r="O165" s="983">
        <f t="shared" si="40"/>
        <v>0</v>
      </c>
      <c r="P165" s="983">
        <f t="shared" si="41"/>
        <v>0</v>
      </c>
      <c r="Q165" s="983">
        <f t="shared" si="42"/>
        <v>0</v>
      </c>
    </row>
    <row r="166" spans="2:17">
      <c r="B166" s="983" t="s">
        <v>1689</v>
      </c>
      <c r="C166" s="984" t="s">
        <v>365</v>
      </c>
      <c r="D166" s="983">
        <v>0.6</v>
      </c>
      <c r="E166" s="983">
        <f>+$E$153</f>
        <v>2.6799999999999997</v>
      </c>
      <c r="F166" s="983">
        <f t="shared" si="35"/>
        <v>1.6079999999999999</v>
      </c>
      <c r="G166" s="983">
        <v>0</v>
      </c>
      <c r="H166" s="983">
        <f t="shared" si="36"/>
        <v>1.6079999999999999</v>
      </c>
      <c r="I166" s="985">
        <v>1</v>
      </c>
      <c r="J166" s="983">
        <f t="shared" si="33"/>
        <v>1.6079999999999999</v>
      </c>
      <c r="L166" s="983">
        <f t="shared" si="37"/>
        <v>1.6079999999999999</v>
      </c>
      <c r="M166" s="983">
        <f t="shared" si="38"/>
        <v>0</v>
      </c>
      <c r="N166" s="983">
        <f t="shared" si="39"/>
        <v>0</v>
      </c>
      <c r="O166" s="983">
        <f t="shared" si="40"/>
        <v>0</v>
      </c>
      <c r="P166" s="983">
        <f t="shared" si="41"/>
        <v>0</v>
      </c>
      <c r="Q166" s="983">
        <f t="shared" si="42"/>
        <v>0</v>
      </c>
    </row>
    <row r="167" spans="2:17">
      <c r="B167" s="983" t="s">
        <v>1690</v>
      </c>
      <c r="C167" s="984" t="s">
        <v>365</v>
      </c>
      <c r="D167" s="983">
        <f>0.5+0.5+0.4</f>
        <v>1.4</v>
      </c>
      <c r="E167" s="983">
        <f>+$E$153</f>
        <v>2.6799999999999997</v>
      </c>
      <c r="F167" s="983">
        <f t="shared" si="35"/>
        <v>3.7519999999999993</v>
      </c>
      <c r="G167" s="983">
        <v>0</v>
      </c>
      <c r="H167" s="983">
        <f t="shared" si="36"/>
        <v>3.7519999999999993</v>
      </c>
      <c r="I167" s="985">
        <v>1</v>
      </c>
      <c r="J167" s="983">
        <f t="shared" si="33"/>
        <v>3.7519999999999993</v>
      </c>
      <c r="L167" s="983">
        <f t="shared" si="37"/>
        <v>3.7519999999999993</v>
      </c>
      <c r="M167" s="983">
        <f t="shared" si="38"/>
        <v>0</v>
      </c>
      <c r="N167" s="983">
        <f t="shared" si="39"/>
        <v>0</v>
      </c>
      <c r="O167" s="983">
        <f t="shared" si="40"/>
        <v>0</v>
      </c>
      <c r="P167" s="983">
        <f t="shared" si="41"/>
        <v>0</v>
      </c>
      <c r="Q167" s="983">
        <f t="shared" si="42"/>
        <v>0</v>
      </c>
    </row>
    <row r="168" spans="2:17">
      <c r="B168" s="983" t="s">
        <v>1691</v>
      </c>
      <c r="C168" s="984" t="s">
        <v>368</v>
      </c>
      <c r="D168" s="983">
        <v>8.07</v>
      </c>
      <c r="E168" s="983">
        <f>+$E$152</f>
        <v>2.3499999999999996</v>
      </c>
      <c r="F168" s="983">
        <f t="shared" si="35"/>
        <v>18.964499999999997</v>
      </c>
      <c r="G168" s="983">
        <v>0</v>
      </c>
      <c r="H168" s="983">
        <f t="shared" si="36"/>
        <v>18.964499999999997</v>
      </c>
      <c r="I168" s="985">
        <v>1</v>
      </c>
      <c r="J168" s="983">
        <f t="shared" si="33"/>
        <v>18.964499999999997</v>
      </c>
      <c r="L168" s="983">
        <f t="shared" si="37"/>
        <v>0</v>
      </c>
      <c r="M168" s="983">
        <f t="shared" si="38"/>
        <v>18.964499999999997</v>
      </c>
      <c r="N168" s="983">
        <f t="shared" si="39"/>
        <v>0</v>
      </c>
      <c r="O168" s="983">
        <f t="shared" si="40"/>
        <v>0</v>
      </c>
      <c r="P168" s="983">
        <f t="shared" si="41"/>
        <v>0</v>
      </c>
      <c r="Q168" s="983">
        <f t="shared" si="42"/>
        <v>0</v>
      </c>
    </row>
    <row r="169" spans="2:17">
      <c r="B169" s="983" t="s">
        <v>1692</v>
      </c>
      <c r="C169" s="984" t="s">
        <v>33</v>
      </c>
      <c r="D169" s="983">
        <v>2</v>
      </c>
      <c r="E169" s="983">
        <v>2</v>
      </c>
      <c r="F169" s="983">
        <f t="shared" si="35"/>
        <v>4</v>
      </c>
      <c r="G169" s="983">
        <v>0</v>
      </c>
      <c r="H169" s="983">
        <f t="shared" si="36"/>
        <v>4</v>
      </c>
      <c r="I169" s="985">
        <v>1</v>
      </c>
      <c r="J169" s="983">
        <f t="shared" si="33"/>
        <v>4</v>
      </c>
      <c r="L169" s="983">
        <f t="shared" si="37"/>
        <v>0</v>
      </c>
      <c r="M169" s="983">
        <f t="shared" si="38"/>
        <v>0</v>
      </c>
      <c r="N169" s="983">
        <f t="shared" si="39"/>
        <v>4</v>
      </c>
      <c r="O169" s="983">
        <f t="shared" si="40"/>
        <v>0</v>
      </c>
      <c r="P169" s="983">
        <f t="shared" si="41"/>
        <v>0</v>
      </c>
      <c r="Q169" s="983">
        <f t="shared" si="42"/>
        <v>0</v>
      </c>
    </row>
    <row r="170" spans="2:17">
      <c r="B170" s="983" t="s">
        <v>1693</v>
      </c>
      <c r="C170" s="984" t="s">
        <v>33</v>
      </c>
      <c r="D170" s="983">
        <v>4.2</v>
      </c>
      <c r="E170" s="983">
        <f>+$E$152</f>
        <v>2.3499999999999996</v>
      </c>
      <c r="F170" s="983">
        <f t="shared" si="35"/>
        <v>9.8699999999999992</v>
      </c>
      <c r="G170" s="983">
        <v>0</v>
      </c>
      <c r="H170" s="983">
        <f t="shared" si="36"/>
        <v>9.8699999999999992</v>
      </c>
      <c r="I170" s="985">
        <v>1</v>
      </c>
      <c r="J170" s="983">
        <f t="shared" si="33"/>
        <v>9.8699999999999992</v>
      </c>
      <c r="L170" s="983">
        <f t="shared" si="37"/>
        <v>0</v>
      </c>
      <c r="M170" s="983">
        <f t="shared" si="38"/>
        <v>0</v>
      </c>
      <c r="N170" s="983">
        <f t="shared" si="39"/>
        <v>9.8699999999999992</v>
      </c>
      <c r="O170" s="983">
        <f t="shared" si="40"/>
        <v>0</v>
      </c>
      <c r="P170" s="983">
        <f t="shared" si="41"/>
        <v>0</v>
      </c>
      <c r="Q170" s="983">
        <f t="shared" si="42"/>
        <v>0</v>
      </c>
    </row>
    <row r="171" spans="2:17">
      <c r="B171" s="983" t="s">
        <v>1694</v>
      </c>
      <c r="C171" s="984" t="s">
        <v>33</v>
      </c>
      <c r="D171" s="983">
        <v>4.0199999999999996</v>
      </c>
      <c r="E171" s="983">
        <f>+$E$152</f>
        <v>2.3499999999999996</v>
      </c>
      <c r="F171" s="983">
        <f t="shared" si="35"/>
        <v>9.4469999999999974</v>
      </c>
      <c r="G171" s="983">
        <v>0</v>
      </c>
      <c r="H171" s="983">
        <f t="shared" si="36"/>
        <v>9.4469999999999974</v>
      </c>
      <c r="I171" s="985">
        <v>1</v>
      </c>
      <c r="J171" s="983">
        <f t="shared" si="33"/>
        <v>9.4469999999999974</v>
      </c>
      <c r="L171" s="983">
        <f t="shared" si="37"/>
        <v>0</v>
      </c>
      <c r="M171" s="983">
        <f t="shared" si="38"/>
        <v>0</v>
      </c>
      <c r="N171" s="983">
        <f t="shared" si="39"/>
        <v>9.4469999999999974</v>
      </c>
      <c r="O171" s="983">
        <f t="shared" si="40"/>
        <v>0</v>
      </c>
      <c r="P171" s="983">
        <f t="shared" si="41"/>
        <v>0</v>
      </c>
      <c r="Q171" s="983">
        <f t="shared" si="42"/>
        <v>0</v>
      </c>
    </row>
    <row r="172" spans="2:17">
      <c r="B172" s="983" t="s">
        <v>1695</v>
      </c>
      <c r="C172" s="984" t="s">
        <v>33</v>
      </c>
      <c r="D172" s="983">
        <v>4</v>
      </c>
      <c r="E172" s="983">
        <v>2</v>
      </c>
      <c r="F172" s="983">
        <f t="shared" si="35"/>
        <v>8</v>
      </c>
      <c r="G172" s="983">
        <v>0</v>
      </c>
      <c r="H172" s="983">
        <f t="shared" si="36"/>
        <v>8</v>
      </c>
      <c r="I172" s="985">
        <v>1</v>
      </c>
      <c r="J172" s="983">
        <f t="shared" si="33"/>
        <v>8</v>
      </c>
      <c r="L172" s="983">
        <f t="shared" si="37"/>
        <v>0</v>
      </c>
      <c r="M172" s="983">
        <f t="shared" si="38"/>
        <v>0</v>
      </c>
      <c r="N172" s="983">
        <f t="shared" si="39"/>
        <v>8</v>
      </c>
      <c r="O172" s="983">
        <f t="shared" si="40"/>
        <v>0</v>
      </c>
      <c r="P172" s="983">
        <f t="shared" si="41"/>
        <v>0</v>
      </c>
      <c r="Q172" s="983">
        <f t="shared" si="42"/>
        <v>0</v>
      </c>
    </row>
    <row r="173" spans="2:17">
      <c r="B173" s="983" t="s">
        <v>1696</v>
      </c>
      <c r="C173" s="984" t="s">
        <v>368</v>
      </c>
      <c r="D173" s="983">
        <v>1.5</v>
      </c>
      <c r="E173" s="983">
        <f>+$E$153</f>
        <v>2.6799999999999997</v>
      </c>
      <c r="F173" s="983">
        <f t="shared" si="35"/>
        <v>4.0199999999999996</v>
      </c>
      <c r="G173" s="983">
        <v>0</v>
      </c>
      <c r="H173" s="983">
        <f t="shared" si="36"/>
        <v>4.0199999999999996</v>
      </c>
      <c r="I173" s="985">
        <v>1</v>
      </c>
      <c r="J173" s="983">
        <f t="shared" si="33"/>
        <v>4.0199999999999996</v>
      </c>
      <c r="L173" s="983">
        <f t="shared" si="37"/>
        <v>0</v>
      </c>
      <c r="M173" s="983">
        <f t="shared" si="38"/>
        <v>4.0199999999999996</v>
      </c>
      <c r="N173" s="983">
        <f t="shared" si="39"/>
        <v>0</v>
      </c>
      <c r="O173" s="983">
        <f t="shared" si="40"/>
        <v>0</v>
      </c>
      <c r="P173" s="983">
        <f t="shared" si="41"/>
        <v>0</v>
      </c>
      <c r="Q173" s="983">
        <f t="shared" si="42"/>
        <v>0</v>
      </c>
    </row>
    <row r="174" spans="2:17">
      <c r="B174" s="983" t="s">
        <v>1697</v>
      </c>
      <c r="C174" s="984" t="s">
        <v>368</v>
      </c>
      <c r="D174" s="983">
        <v>1.5</v>
      </c>
      <c r="E174" s="983">
        <f>+$E$153</f>
        <v>2.6799999999999997</v>
      </c>
      <c r="F174" s="983">
        <f t="shared" si="35"/>
        <v>4.0199999999999996</v>
      </c>
      <c r="G174" s="983">
        <v>0</v>
      </c>
      <c r="H174" s="983">
        <f t="shared" si="36"/>
        <v>4.0199999999999996</v>
      </c>
      <c r="I174" s="985">
        <v>1</v>
      </c>
      <c r="J174" s="983">
        <f t="shared" si="33"/>
        <v>4.0199999999999996</v>
      </c>
      <c r="L174" s="983">
        <f t="shared" si="37"/>
        <v>0</v>
      </c>
      <c r="M174" s="983">
        <f t="shared" si="38"/>
        <v>4.0199999999999996</v>
      </c>
      <c r="N174" s="983">
        <f t="shared" si="39"/>
        <v>0</v>
      </c>
      <c r="O174" s="983">
        <f t="shared" si="40"/>
        <v>0</v>
      </c>
      <c r="P174" s="983">
        <f t="shared" si="41"/>
        <v>0</v>
      </c>
      <c r="Q174" s="983">
        <f t="shared" si="42"/>
        <v>0</v>
      </c>
    </row>
    <row r="175" spans="2:17">
      <c r="B175" s="983" t="s">
        <v>1698</v>
      </c>
      <c r="C175" s="984" t="s">
        <v>365</v>
      </c>
      <c r="D175" s="983">
        <v>3.51</v>
      </c>
      <c r="E175" s="983">
        <f>+$E$152</f>
        <v>2.3499999999999996</v>
      </c>
      <c r="F175" s="983">
        <f t="shared" si="35"/>
        <v>8.2484999999999982</v>
      </c>
      <c r="G175" s="983">
        <v>0</v>
      </c>
      <c r="H175" s="983">
        <f t="shared" si="36"/>
        <v>8.2484999999999982</v>
      </c>
      <c r="I175" s="985">
        <v>1</v>
      </c>
      <c r="J175" s="983">
        <f t="shared" si="33"/>
        <v>8.2484999999999982</v>
      </c>
      <c r="L175" s="983">
        <f t="shared" si="37"/>
        <v>8.2484999999999982</v>
      </c>
      <c r="M175" s="983">
        <f t="shared" si="38"/>
        <v>0</v>
      </c>
      <c r="N175" s="983">
        <f t="shared" si="39"/>
        <v>0</v>
      </c>
      <c r="O175" s="983">
        <f t="shared" si="40"/>
        <v>0</v>
      </c>
      <c r="P175" s="983">
        <f t="shared" si="41"/>
        <v>0</v>
      </c>
      <c r="Q175" s="983">
        <f t="shared" si="42"/>
        <v>0</v>
      </c>
    </row>
    <row r="176" spans="2:17">
      <c r="B176" s="983" t="s">
        <v>1699</v>
      </c>
      <c r="C176" s="984" t="s">
        <v>365</v>
      </c>
      <c r="D176" s="983">
        <v>3.51</v>
      </c>
      <c r="E176" s="983">
        <f>+$E$152</f>
        <v>2.3499999999999996</v>
      </c>
      <c r="F176" s="983">
        <f t="shared" si="35"/>
        <v>8.2484999999999982</v>
      </c>
      <c r="G176" s="983">
        <v>0</v>
      </c>
      <c r="H176" s="983">
        <f t="shared" si="36"/>
        <v>8.2484999999999982</v>
      </c>
      <c r="I176" s="985">
        <v>1</v>
      </c>
      <c r="J176" s="983">
        <f t="shared" si="33"/>
        <v>8.2484999999999982</v>
      </c>
      <c r="L176" s="983">
        <f t="shared" si="37"/>
        <v>8.2484999999999982</v>
      </c>
      <c r="M176" s="983">
        <f t="shared" si="38"/>
        <v>0</v>
      </c>
      <c r="N176" s="983">
        <f t="shared" si="39"/>
        <v>0</v>
      </c>
      <c r="O176" s="983">
        <f t="shared" si="40"/>
        <v>0</v>
      </c>
      <c r="P176" s="983">
        <f t="shared" si="41"/>
        <v>0</v>
      </c>
      <c r="Q176" s="983">
        <f t="shared" si="42"/>
        <v>0</v>
      </c>
    </row>
    <row r="177" spans="2:17">
      <c r="B177" s="983" t="s">
        <v>1700</v>
      </c>
      <c r="C177" s="984" t="s">
        <v>365</v>
      </c>
      <c r="D177" s="983">
        <v>0.7</v>
      </c>
      <c r="E177" s="983">
        <f>+$E$153</f>
        <v>2.6799999999999997</v>
      </c>
      <c r="F177" s="983">
        <f t="shared" si="35"/>
        <v>1.8759999999999997</v>
      </c>
      <c r="G177" s="983">
        <v>0</v>
      </c>
      <c r="H177" s="983">
        <f t="shared" si="36"/>
        <v>1.8759999999999997</v>
      </c>
      <c r="I177" s="985">
        <v>1</v>
      </c>
      <c r="J177" s="983">
        <f t="shared" si="33"/>
        <v>1.8759999999999997</v>
      </c>
      <c r="L177" s="983">
        <f t="shared" si="37"/>
        <v>1.8759999999999997</v>
      </c>
      <c r="M177" s="983">
        <f t="shared" si="38"/>
        <v>0</v>
      </c>
      <c r="N177" s="983">
        <f t="shared" si="39"/>
        <v>0</v>
      </c>
      <c r="O177" s="983">
        <f t="shared" si="40"/>
        <v>0</v>
      </c>
      <c r="P177" s="983">
        <f t="shared" si="41"/>
        <v>0</v>
      </c>
      <c r="Q177" s="983">
        <f t="shared" si="42"/>
        <v>0</v>
      </c>
    </row>
    <row r="178" spans="2:17">
      <c r="B178" s="983" t="s">
        <v>1767</v>
      </c>
      <c r="C178" s="984" t="s">
        <v>365</v>
      </c>
      <c r="D178" s="983">
        <v>0.7</v>
      </c>
      <c r="E178" s="983">
        <f>+$E$153</f>
        <v>2.6799999999999997</v>
      </c>
      <c r="F178" s="983">
        <f t="shared" si="35"/>
        <v>1.8759999999999997</v>
      </c>
      <c r="G178" s="983">
        <v>0</v>
      </c>
      <c r="H178" s="983">
        <f t="shared" si="36"/>
        <v>1.8759999999999997</v>
      </c>
      <c r="I178" s="985">
        <v>1</v>
      </c>
      <c r="J178" s="983">
        <f t="shared" si="33"/>
        <v>1.8759999999999997</v>
      </c>
      <c r="L178" s="983">
        <f t="shared" si="37"/>
        <v>1.8759999999999997</v>
      </c>
      <c r="M178" s="983">
        <f t="shared" si="38"/>
        <v>0</v>
      </c>
      <c r="N178" s="983">
        <f t="shared" si="39"/>
        <v>0</v>
      </c>
      <c r="O178" s="983">
        <f t="shared" si="40"/>
        <v>0</v>
      </c>
      <c r="P178" s="983">
        <f t="shared" si="41"/>
        <v>0</v>
      </c>
      <c r="Q178" s="983">
        <f t="shared" si="42"/>
        <v>0</v>
      </c>
    </row>
    <row r="179" spans="2:17">
      <c r="B179" s="983" t="s">
        <v>1768</v>
      </c>
      <c r="C179" s="984" t="s">
        <v>368</v>
      </c>
      <c r="D179" s="983">
        <v>1.51</v>
      </c>
      <c r="E179" s="983">
        <f>+$E$153</f>
        <v>2.6799999999999997</v>
      </c>
      <c r="F179" s="983">
        <f t="shared" si="35"/>
        <v>4.0467999999999993</v>
      </c>
      <c r="G179" s="983">
        <v>0</v>
      </c>
      <c r="H179" s="983">
        <f t="shared" si="36"/>
        <v>4.0467999999999993</v>
      </c>
      <c r="I179" s="985">
        <v>1</v>
      </c>
      <c r="J179" s="983">
        <f t="shared" si="33"/>
        <v>4.0467999999999993</v>
      </c>
      <c r="L179" s="983">
        <f t="shared" si="37"/>
        <v>0</v>
      </c>
      <c r="M179" s="983">
        <f t="shared" si="38"/>
        <v>4.0467999999999993</v>
      </c>
      <c r="N179" s="983">
        <f t="shared" si="39"/>
        <v>0</v>
      </c>
      <c r="O179" s="983">
        <f t="shared" si="40"/>
        <v>0</v>
      </c>
      <c r="P179" s="983">
        <f t="shared" si="41"/>
        <v>0</v>
      </c>
      <c r="Q179" s="983">
        <f t="shared" si="42"/>
        <v>0</v>
      </c>
    </row>
    <row r="180" spans="2:17">
      <c r="B180" s="983" t="s">
        <v>1769</v>
      </c>
      <c r="C180" s="984" t="s">
        <v>368</v>
      </c>
      <c r="D180" s="983">
        <v>5.1100000000000003</v>
      </c>
      <c r="E180" s="983">
        <f>+$E$152</f>
        <v>2.3499999999999996</v>
      </c>
      <c r="F180" s="983">
        <f t="shared" si="35"/>
        <v>12.0085</v>
      </c>
      <c r="G180" s="983">
        <v>0</v>
      </c>
      <c r="H180" s="983">
        <f t="shared" si="36"/>
        <v>12.0085</v>
      </c>
      <c r="I180" s="985">
        <v>1</v>
      </c>
      <c r="J180" s="983">
        <f t="shared" si="33"/>
        <v>12.0085</v>
      </c>
      <c r="L180" s="983">
        <f t="shared" si="37"/>
        <v>0</v>
      </c>
      <c r="M180" s="983">
        <f t="shared" si="38"/>
        <v>12.0085</v>
      </c>
      <c r="N180" s="983">
        <f t="shared" si="39"/>
        <v>0</v>
      </c>
      <c r="O180" s="983">
        <f t="shared" si="40"/>
        <v>0</v>
      </c>
      <c r="P180" s="983">
        <f t="shared" si="41"/>
        <v>0</v>
      </c>
      <c r="Q180" s="983">
        <f t="shared" si="42"/>
        <v>0</v>
      </c>
    </row>
    <row r="181" spans="2:17">
      <c r="B181" s="983" t="s">
        <v>1770</v>
      </c>
      <c r="C181" s="984" t="s">
        <v>368</v>
      </c>
      <c r="D181" s="983">
        <v>1.52</v>
      </c>
      <c r="E181" s="983">
        <f>+$E$153</f>
        <v>2.6799999999999997</v>
      </c>
      <c r="F181" s="983">
        <f t="shared" si="35"/>
        <v>4.0735999999999999</v>
      </c>
      <c r="G181" s="983">
        <v>0</v>
      </c>
      <c r="H181" s="983">
        <f t="shared" si="36"/>
        <v>4.0735999999999999</v>
      </c>
      <c r="I181" s="985">
        <v>1</v>
      </c>
      <c r="J181" s="983">
        <f t="shared" si="33"/>
        <v>4.0735999999999999</v>
      </c>
      <c r="L181" s="983">
        <f t="shared" si="37"/>
        <v>0</v>
      </c>
      <c r="M181" s="983">
        <f t="shared" si="38"/>
        <v>4.0735999999999999</v>
      </c>
      <c r="N181" s="983">
        <f t="shared" si="39"/>
        <v>0</v>
      </c>
      <c r="O181" s="983">
        <f t="shared" si="40"/>
        <v>0</v>
      </c>
      <c r="P181" s="983">
        <f t="shared" si="41"/>
        <v>0</v>
      </c>
      <c r="Q181" s="983">
        <f t="shared" si="42"/>
        <v>0</v>
      </c>
    </row>
    <row r="182" spans="2:17">
      <c r="B182" s="983" t="s">
        <v>1771</v>
      </c>
      <c r="C182" s="984" t="s">
        <v>365</v>
      </c>
      <c r="D182" s="983">
        <v>0.3</v>
      </c>
      <c r="E182" s="983">
        <f>+$E$153</f>
        <v>2.6799999999999997</v>
      </c>
      <c r="F182" s="983">
        <f t="shared" si="35"/>
        <v>0.80399999999999994</v>
      </c>
      <c r="G182" s="983">
        <v>0</v>
      </c>
      <c r="H182" s="983">
        <f t="shared" si="36"/>
        <v>0.80399999999999994</v>
      </c>
      <c r="I182" s="985">
        <v>3</v>
      </c>
      <c r="J182" s="983">
        <f t="shared" si="33"/>
        <v>2.4119999999999999</v>
      </c>
      <c r="L182" s="983">
        <f t="shared" si="37"/>
        <v>2.4119999999999999</v>
      </c>
      <c r="M182" s="983">
        <f t="shared" si="38"/>
        <v>0</v>
      </c>
      <c r="N182" s="983">
        <f t="shared" si="39"/>
        <v>0</v>
      </c>
      <c r="O182" s="983">
        <f t="shared" si="40"/>
        <v>0</v>
      </c>
      <c r="P182" s="983">
        <f t="shared" si="41"/>
        <v>0</v>
      </c>
      <c r="Q182" s="983">
        <f t="shared" si="42"/>
        <v>0</v>
      </c>
    </row>
    <row r="183" spans="2:17">
      <c r="B183" s="983" t="s">
        <v>1772</v>
      </c>
      <c r="C183" s="984" t="s">
        <v>33</v>
      </c>
      <c r="D183" s="983">
        <v>1.53</v>
      </c>
      <c r="E183" s="983">
        <f>+$E$152</f>
        <v>2.3499999999999996</v>
      </c>
      <c r="F183" s="983">
        <f t="shared" si="35"/>
        <v>3.5954999999999995</v>
      </c>
      <c r="G183" s="983">
        <v>0</v>
      </c>
      <c r="H183" s="983">
        <f t="shared" si="36"/>
        <v>3.5954999999999995</v>
      </c>
      <c r="I183" s="985">
        <v>1</v>
      </c>
      <c r="J183" s="983">
        <f t="shared" si="33"/>
        <v>3.5954999999999995</v>
      </c>
      <c r="L183" s="983">
        <f t="shared" si="37"/>
        <v>0</v>
      </c>
      <c r="M183" s="983">
        <f t="shared" si="38"/>
        <v>0</v>
      </c>
      <c r="N183" s="983">
        <f t="shared" si="39"/>
        <v>3.5954999999999995</v>
      </c>
      <c r="O183" s="983">
        <f t="shared" si="40"/>
        <v>0</v>
      </c>
      <c r="P183" s="983">
        <f t="shared" si="41"/>
        <v>0</v>
      </c>
      <c r="Q183" s="983">
        <f t="shared" si="42"/>
        <v>0</v>
      </c>
    </row>
    <row r="184" spans="2:17">
      <c r="B184" s="983" t="s">
        <v>1773</v>
      </c>
      <c r="C184" s="984" t="s">
        <v>33</v>
      </c>
      <c r="D184" s="983">
        <v>5.25</v>
      </c>
      <c r="E184" s="983">
        <f>+$E$152</f>
        <v>2.3499999999999996</v>
      </c>
      <c r="F184" s="983">
        <f t="shared" si="35"/>
        <v>12.337499999999999</v>
      </c>
      <c r="G184" s="983">
        <v>0</v>
      </c>
      <c r="H184" s="983">
        <f t="shared" si="36"/>
        <v>12.337499999999999</v>
      </c>
      <c r="I184" s="985">
        <v>1</v>
      </c>
      <c r="J184" s="983">
        <f t="shared" si="33"/>
        <v>12.337499999999999</v>
      </c>
      <c r="L184" s="983">
        <f t="shared" si="37"/>
        <v>0</v>
      </c>
      <c r="M184" s="983">
        <f t="shared" si="38"/>
        <v>0</v>
      </c>
      <c r="N184" s="983">
        <f t="shared" si="39"/>
        <v>12.337499999999999</v>
      </c>
      <c r="O184" s="983">
        <f t="shared" si="40"/>
        <v>0</v>
      </c>
      <c r="P184" s="983">
        <f t="shared" si="41"/>
        <v>0</v>
      </c>
      <c r="Q184" s="983">
        <f t="shared" si="42"/>
        <v>0</v>
      </c>
    </row>
    <row r="185" spans="2:17">
      <c r="B185" s="983" t="s">
        <v>1774</v>
      </c>
      <c r="C185" s="984" t="s">
        <v>365</v>
      </c>
      <c r="D185" s="983">
        <v>0.36</v>
      </c>
      <c r="E185" s="983">
        <f>+$E$153</f>
        <v>2.6799999999999997</v>
      </c>
      <c r="F185" s="983">
        <f t="shared" si="35"/>
        <v>0.96479999999999988</v>
      </c>
      <c r="G185" s="983">
        <v>0</v>
      </c>
      <c r="H185" s="983">
        <f t="shared" si="36"/>
        <v>0.96479999999999988</v>
      </c>
      <c r="I185" s="985">
        <v>1</v>
      </c>
      <c r="J185" s="983">
        <f t="shared" si="33"/>
        <v>0.96479999999999988</v>
      </c>
      <c r="L185" s="983">
        <f t="shared" si="37"/>
        <v>0.96479999999999988</v>
      </c>
      <c r="M185" s="983">
        <f t="shared" si="38"/>
        <v>0</v>
      </c>
      <c r="N185" s="983">
        <f t="shared" si="39"/>
        <v>0</v>
      </c>
      <c r="O185" s="983">
        <f t="shared" si="40"/>
        <v>0</v>
      </c>
      <c r="P185" s="983">
        <f t="shared" si="41"/>
        <v>0</v>
      </c>
      <c r="Q185" s="983">
        <f t="shared" si="42"/>
        <v>0</v>
      </c>
    </row>
    <row r="186" spans="2:17">
      <c r="B186" s="983" t="s">
        <v>1775</v>
      </c>
      <c r="C186" s="984" t="s">
        <v>33</v>
      </c>
      <c r="D186" s="983">
        <v>2</v>
      </c>
      <c r="E186" s="983">
        <v>2</v>
      </c>
      <c r="F186" s="983">
        <f t="shared" si="35"/>
        <v>4</v>
      </c>
      <c r="G186" s="983">
        <v>0</v>
      </c>
      <c r="H186" s="983">
        <f t="shared" si="36"/>
        <v>4</v>
      </c>
      <c r="I186" s="985">
        <v>1</v>
      </c>
      <c r="J186" s="983">
        <f t="shared" si="33"/>
        <v>4</v>
      </c>
      <c r="L186" s="983">
        <f t="shared" si="37"/>
        <v>0</v>
      </c>
      <c r="M186" s="983">
        <f t="shared" si="38"/>
        <v>0</v>
      </c>
      <c r="N186" s="983">
        <f t="shared" si="39"/>
        <v>4</v>
      </c>
      <c r="O186" s="983">
        <f t="shared" si="40"/>
        <v>0</v>
      </c>
      <c r="P186" s="983">
        <f t="shared" si="41"/>
        <v>0</v>
      </c>
      <c r="Q186" s="983">
        <f t="shared" si="42"/>
        <v>0</v>
      </c>
    </row>
    <row r="187" spans="2:17">
      <c r="B187" s="983" t="s">
        <v>1776</v>
      </c>
      <c r="C187" s="984" t="s">
        <v>33</v>
      </c>
      <c r="D187" s="983">
        <v>4.68</v>
      </c>
      <c r="E187" s="983">
        <f>2.8-0.6</f>
        <v>2.1999999999999997</v>
      </c>
      <c r="F187" s="983">
        <f t="shared" si="35"/>
        <v>10.295999999999998</v>
      </c>
      <c r="G187" s="983">
        <v>0</v>
      </c>
      <c r="H187" s="983">
        <f t="shared" si="36"/>
        <v>10.295999999999998</v>
      </c>
      <c r="I187" s="985">
        <v>1</v>
      </c>
      <c r="J187" s="983">
        <f t="shared" si="33"/>
        <v>10.295999999999998</v>
      </c>
      <c r="L187" s="983">
        <f t="shared" si="37"/>
        <v>0</v>
      </c>
      <c r="M187" s="983">
        <f t="shared" si="38"/>
        <v>0</v>
      </c>
      <c r="N187" s="983">
        <f t="shared" si="39"/>
        <v>10.295999999999998</v>
      </c>
      <c r="O187" s="983">
        <f t="shared" si="40"/>
        <v>0</v>
      </c>
      <c r="P187" s="983">
        <f t="shared" si="41"/>
        <v>0</v>
      </c>
      <c r="Q187" s="983">
        <f t="shared" si="42"/>
        <v>0</v>
      </c>
    </row>
    <row r="188" spans="2:17">
      <c r="B188" s="983" t="s">
        <v>1777</v>
      </c>
      <c r="C188" s="984" t="s">
        <v>33</v>
      </c>
      <c r="D188" s="983">
        <v>3.38</v>
      </c>
      <c r="E188" s="983">
        <f>+$E$152</f>
        <v>2.3499999999999996</v>
      </c>
      <c r="F188" s="983">
        <f t="shared" si="35"/>
        <v>7.9429999999999987</v>
      </c>
      <c r="G188" s="983">
        <v>0</v>
      </c>
      <c r="H188" s="983">
        <f t="shared" si="36"/>
        <v>7.9429999999999987</v>
      </c>
      <c r="I188" s="985">
        <v>1</v>
      </c>
      <c r="J188" s="983">
        <f t="shared" si="33"/>
        <v>7.9429999999999987</v>
      </c>
      <c r="L188" s="983">
        <f t="shared" si="37"/>
        <v>0</v>
      </c>
      <c r="M188" s="983">
        <f t="shared" si="38"/>
        <v>0</v>
      </c>
      <c r="N188" s="983">
        <f t="shared" si="39"/>
        <v>7.9429999999999987</v>
      </c>
      <c r="O188" s="983">
        <f t="shared" si="40"/>
        <v>0</v>
      </c>
      <c r="P188" s="983">
        <f t="shared" si="41"/>
        <v>0</v>
      </c>
      <c r="Q188" s="983">
        <f t="shared" si="42"/>
        <v>0</v>
      </c>
    </row>
    <row r="189" spans="2:17">
      <c r="B189" s="983" t="s">
        <v>1778</v>
      </c>
      <c r="C189" s="984" t="s">
        <v>33</v>
      </c>
      <c r="D189" s="983">
        <v>4.5</v>
      </c>
      <c r="E189" s="983">
        <f>+$E$152</f>
        <v>2.3499999999999996</v>
      </c>
      <c r="F189" s="983">
        <f t="shared" si="35"/>
        <v>10.574999999999999</v>
      </c>
      <c r="G189" s="983">
        <v>0</v>
      </c>
      <c r="H189" s="983">
        <f t="shared" si="36"/>
        <v>10.574999999999999</v>
      </c>
      <c r="I189" s="985">
        <v>1</v>
      </c>
      <c r="J189" s="983">
        <f t="shared" si="33"/>
        <v>10.574999999999999</v>
      </c>
      <c r="L189" s="983">
        <f t="shared" si="37"/>
        <v>0</v>
      </c>
      <c r="M189" s="983">
        <f t="shared" si="38"/>
        <v>0</v>
      </c>
      <c r="N189" s="983">
        <f t="shared" si="39"/>
        <v>10.574999999999999</v>
      </c>
      <c r="O189" s="983">
        <f t="shared" si="40"/>
        <v>0</v>
      </c>
      <c r="P189" s="983">
        <f t="shared" si="41"/>
        <v>0</v>
      </c>
      <c r="Q189" s="983">
        <f t="shared" si="42"/>
        <v>0</v>
      </c>
    </row>
    <row r="190" spans="2:17">
      <c r="B190" s="983" t="s">
        <v>1779</v>
      </c>
      <c r="C190" s="984" t="s">
        <v>33</v>
      </c>
      <c r="D190" s="983">
        <v>4</v>
      </c>
      <c r="E190" s="983">
        <v>2</v>
      </c>
      <c r="F190" s="983">
        <f t="shared" si="35"/>
        <v>8</v>
      </c>
      <c r="G190" s="983">
        <v>0</v>
      </c>
      <c r="H190" s="983">
        <f t="shared" si="36"/>
        <v>8</v>
      </c>
      <c r="I190" s="985">
        <v>1</v>
      </c>
      <c r="J190" s="983">
        <f t="shared" si="33"/>
        <v>8</v>
      </c>
      <c r="L190" s="983">
        <f t="shared" si="37"/>
        <v>0</v>
      </c>
      <c r="M190" s="983">
        <f t="shared" si="38"/>
        <v>0</v>
      </c>
      <c r="N190" s="983">
        <f t="shared" si="39"/>
        <v>8</v>
      </c>
      <c r="O190" s="983">
        <f t="shared" si="40"/>
        <v>0</v>
      </c>
      <c r="P190" s="983">
        <f t="shared" si="41"/>
        <v>0</v>
      </c>
      <c r="Q190" s="983">
        <f t="shared" si="42"/>
        <v>0</v>
      </c>
    </row>
    <row r="191" spans="2:17">
      <c r="B191" s="986" t="s">
        <v>1981</v>
      </c>
    </row>
    <row r="192" spans="2:17">
      <c r="B192" s="983" t="s">
        <v>488</v>
      </c>
      <c r="C192" s="984" t="s">
        <v>368</v>
      </c>
      <c r="D192" s="983">
        <v>7.79</v>
      </c>
      <c r="E192" s="983">
        <v>1.2</v>
      </c>
      <c r="F192" s="983">
        <f t="shared" si="32"/>
        <v>9.347999999999999</v>
      </c>
      <c r="G192" s="983">
        <v>0</v>
      </c>
      <c r="H192" s="983">
        <f t="shared" si="36"/>
        <v>9.347999999999999</v>
      </c>
      <c r="I192" s="985">
        <v>1</v>
      </c>
      <c r="J192" s="983">
        <f t="shared" si="33"/>
        <v>9.347999999999999</v>
      </c>
      <c r="L192" s="983">
        <f t="shared" si="23"/>
        <v>0</v>
      </c>
      <c r="M192" s="983">
        <f t="shared" si="24"/>
        <v>9.347999999999999</v>
      </c>
      <c r="N192" s="983">
        <f t="shared" si="25"/>
        <v>0</v>
      </c>
      <c r="O192" s="983">
        <f t="shared" si="26"/>
        <v>0</v>
      </c>
      <c r="P192" s="983">
        <f t="shared" ref="P192:P216" si="43">IF(C192=$P$3,J192,0)</f>
        <v>0</v>
      </c>
      <c r="Q192" s="983">
        <f t="shared" ref="Q192:Q216" si="44">IF(C192=$Q$3,J192,0)</f>
        <v>0</v>
      </c>
    </row>
    <row r="193" spans="2:25">
      <c r="B193" s="983" t="s">
        <v>489</v>
      </c>
      <c r="C193" s="984" t="s">
        <v>368</v>
      </c>
      <c r="D193" s="983">
        <v>3.83</v>
      </c>
      <c r="E193" s="983">
        <v>1.2</v>
      </c>
      <c r="F193" s="983">
        <f t="shared" si="32"/>
        <v>4.5960000000000001</v>
      </c>
      <c r="G193" s="983">
        <v>0</v>
      </c>
      <c r="H193" s="983">
        <f t="shared" si="36"/>
        <v>4.5960000000000001</v>
      </c>
      <c r="I193" s="985">
        <v>1</v>
      </c>
      <c r="J193" s="983">
        <f t="shared" si="33"/>
        <v>4.5960000000000001</v>
      </c>
      <c r="L193" s="983">
        <f t="shared" si="23"/>
        <v>0</v>
      </c>
      <c r="M193" s="983">
        <f t="shared" si="24"/>
        <v>4.5960000000000001</v>
      </c>
      <c r="N193" s="983">
        <f t="shared" si="25"/>
        <v>0</v>
      </c>
      <c r="O193" s="983">
        <f t="shared" si="26"/>
        <v>0</v>
      </c>
      <c r="P193" s="983">
        <f t="shared" si="43"/>
        <v>0</v>
      </c>
      <c r="Q193" s="983">
        <f t="shared" si="44"/>
        <v>0</v>
      </c>
    </row>
    <row r="194" spans="2:25">
      <c r="B194" s="989" t="s">
        <v>490</v>
      </c>
      <c r="C194" s="984" t="s">
        <v>368</v>
      </c>
      <c r="D194" s="983">
        <v>3.63</v>
      </c>
      <c r="E194" s="983">
        <v>1.2</v>
      </c>
      <c r="F194" s="983">
        <f t="shared" si="32"/>
        <v>4.3559999999999999</v>
      </c>
      <c r="G194" s="983">
        <v>0</v>
      </c>
      <c r="H194" s="983">
        <f t="shared" si="36"/>
        <v>4.3559999999999999</v>
      </c>
      <c r="I194" s="985">
        <v>1</v>
      </c>
      <c r="J194" s="983">
        <f t="shared" si="33"/>
        <v>4.3559999999999999</v>
      </c>
      <c r="L194" s="983">
        <f t="shared" si="23"/>
        <v>0</v>
      </c>
      <c r="M194" s="983">
        <f t="shared" si="24"/>
        <v>4.3559999999999999</v>
      </c>
      <c r="N194" s="983">
        <f t="shared" si="25"/>
        <v>0</v>
      </c>
      <c r="O194" s="983">
        <f t="shared" si="26"/>
        <v>0</v>
      </c>
      <c r="P194" s="983">
        <f t="shared" si="43"/>
        <v>0</v>
      </c>
      <c r="Q194" s="983">
        <f t="shared" si="44"/>
        <v>0</v>
      </c>
    </row>
    <row r="195" spans="2:25">
      <c r="B195" s="983" t="s">
        <v>491</v>
      </c>
      <c r="C195" s="984" t="s">
        <v>368</v>
      </c>
      <c r="D195" s="983">
        <v>7.77</v>
      </c>
      <c r="E195" s="983">
        <v>1.2</v>
      </c>
      <c r="F195" s="983">
        <f t="shared" si="32"/>
        <v>9.3239999999999998</v>
      </c>
      <c r="G195" s="983">
        <v>0</v>
      </c>
      <c r="H195" s="983">
        <f t="shared" si="36"/>
        <v>9.3239999999999998</v>
      </c>
      <c r="I195" s="985">
        <v>1</v>
      </c>
      <c r="J195" s="983">
        <f t="shared" si="33"/>
        <v>9.3239999999999998</v>
      </c>
      <c r="L195" s="983">
        <f t="shared" si="23"/>
        <v>0</v>
      </c>
      <c r="M195" s="983">
        <f t="shared" si="24"/>
        <v>9.3239999999999998</v>
      </c>
      <c r="N195" s="983">
        <f t="shared" si="25"/>
        <v>0</v>
      </c>
      <c r="O195" s="983">
        <f t="shared" si="26"/>
        <v>0</v>
      </c>
      <c r="P195" s="983">
        <f t="shared" si="43"/>
        <v>0</v>
      </c>
      <c r="Q195" s="983">
        <f t="shared" si="44"/>
        <v>0</v>
      </c>
    </row>
    <row r="196" spans="2:25">
      <c r="B196" s="983" t="s">
        <v>1678</v>
      </c>
      <c r="C196" s="984" t="s">
        <v>33</v>
      </c>
      <c r="D196" s="983">
        <v>5.43</v>
      </c>
      <c r="E196" s="983">
        <v>2</v>
      </c>
      <c r="F196" s="983">
        <f t="shared" si="32"/>
        <v>10.86</v>
      </c>
      <c r="G196" s="983">
        <v>0</v>
      </c>
      <c r="H196" s="983">
        <f t="shared" si="36"/>
        <v>10.86</v>
      </c>
      <c r="I196" s="985">
        <v>1</v>
      </c>
      <c r="J196" s="983">
        <f t="shared" si="33"/>
        <v>10.86</v>
      </c>
      <c r="L196" s="983">
        <f t="shared" si="23"/>
        <v>0</v>
      </c>
      <c r="M196" s="983">
        <f t="shared" si="24"/>
        <v>0</v>
      </c>
      <c r="N196" s="983">
        <f t="shared" si="25"/>
        <v>10.86</v>
      </c>
      <c r="O196" s="983">
        <f t="shared" si="26"/>
        <v>0</v>
      </c>
      <c r="P196" s="983">
        <f t="shared" si="43"/>
        <v>0</v>
      </c>
      <c r="Q196" s="983">
        <f t="shared" si="44"/>
        <v>0</v>
      </c>
    </row>
    <row r="197" spans="2:25">
      <c r="B197" s="983" t="s">
        <v>1679</v>
      </c>
      <c r="C197" s="984" t="s">
        <v>33</v>
      </c>
      <c r="D197" s="983">
        <v>5.43</v>
      </c>
      <c r="E197" s="983">
        <v>2</v>
      </c>
      <c r="F197" s="983">
        <f t="shared" ref="F197:F216" si="45">+D197*E197</f>
        <v>10.86</v>
      </c>
      <c r="G197" s="983">
        <v>0</v>
      </c>
      <c r="H197" s="983">
        <f t="shared" si="36"/>
        <v>10.86</v>
      </c>
      <c r="I197" s="985">
        <v>1</v>
      </c>
      <c r="J197" s="983">
        <f t="shared" si="33"/>
        <v>10.86</v>
      </c>
      <c r="L197" s="983">
        <f t="shared" si="23"/>
        <v>0</v>
      </c>
      <c r="M197" s="983">
        <f t="shared" si="24"/>
        <v>0</v>
      </c>
      <c r="N197" s="983">
        <f t="shared" si="25"/>
        <v>10.86</v>
      </c>
      <c r="O197" s="983">
        <f t="shared" si="26"/>
        <v>0</v>
      </c>
      <c r="P197" s="983">
        <f t="shared" si="43"/>
        <v>0</v>
      </c>
      <c r="Q197" s="983">
        <f t="shared" si="44"/>
        <v>0</v>
      </c>
    </row>
    <row r="198" spans="2:25">
      <c r="B198" s="983" t="s">
        <v>1680</v>
      </c>
      <c r="C198" s="984" t="s">
        <v>33</v>
      </c>
      <c r="D198" s="983">
        <v>3.18</v>
      </c>
      <c r="E198" s="983">
        <v>2</v>
      </c>
      <c r="F198" s="983">
        <f t="shared" si="45"/>
        <v>6.36</v>
      </c>
      <c r="G198" s="983">
        <v>0</v>
      </c>
      <c r="H198" s="983">
        <f t="shared" si="36"/>
        <v>6.36</v>
      </c>
      <c r="I198" s="985">
        <v>1</v>
      </c>
      <c r="J198" s="983">
        <f t="shared" ref="J198:J216" si="46">+H198*I198</f>
        <v>6.36</v>
      </c>
      <c r="L198" s="983">
        <f t="shared" si="23"/>
        <v>0</v>
      </c>
      <c r="M198" s="983">
        <f t="shared" si="24"/>
        <v>0</v>
      </c>
      <c r="N198" s="983">
        <f t="shared" si="25"/>
        <v>6.36</v>
      </c>
      <c r="O198" s="983">
        <f t="shared" si="26"/>
        <v>0</v>
      </c>
      <c r="P198" s="983">
        <f t="shared" si="43"/>
        <v>0</v>
      </c>
      <c r="Q198" s="983">
        <f t="shared" si="44"/>
        <v>0</v>
      </c>
    </row>
    <row r="199" spans="2:25">
      <c r="B199" s="983" t="s">
        <v>1681</v>
      </c>
      <c r="C199" s="984" t="s">
        <v>33</v>
      </c>
      <c r="D199" s="983">
        <v>5.28</v>
      </c>
      <c r="E199" s="983">
        <v>2</v>
      </c>
      <c r="F199" s="983">
        <f t="shared" si="45"/>
        <v>10.56</v>
      </c>
      <c r="G199" s="983">
        <v>0</v>
      </c>
      <c r="H199" s="983">
        <f t="shared" si="36"/>
        <v>10.56</v>
      </c>
      <c r="I199" s="985">
        <v>1</v>
      </c>
      <c r="J199" s="983">
        <f t="shared" si="46"/>
        <v>10.56</v>
      </c>
      <c r="L199" s="983">
        <f t="shared" si="23"/>
        <v>0</v>
      </c>
      <c r="M199" s="983">
        <f t="shared" si="24"/>
        <v>0</v>
      </c>
      <c r="N199" s="983">
        <f t="shared" si="25"/>
        <v>10.56</v>
      </c>
      <c r="O199" s="983">
        <f t="shared" si="26"/>
        <v>0</v>
      </c>
      <c r="P199" s="983">
        <f t="shared" si="43"/>
        <v>0</v>
      </c>
      <c r="Q199" s="983">
        <f t="shared" si="44"/>
        <v>0</v>
      </c>
    </row>
    <row r="200" spans="2:25">
      <c r="B200" s="983" t="s">
        <v>1682</v>
      </c>
      <c r="C200" s="984" t="s">
        <v>368</v>
      </c>
      <c r="D200" s="983">
        <v>6.14</v>
      </c>
      <c r="E200" s="983">
        <v>1.2</v>
      </c>
      <c r="F200" s="983">
        <f t="shared" si="45"/>
        <v>7.3679999999999994</v>
      </c>
      <c r="G200" s="983">
        <v>0</v>
      </c>
      <c r="H200" s="983">
        <f t="shared" si="36"/>
        <v>7.3679999999999994</v>
      </c>
      <c r="I200" s="985">
        <v>1</v>
      </c>
      <c r="J200" s="983">
        <f t="shared" si="46"/>
        <v>7.3679999999999994</v>
      </c>
      <c r="L200" s="983">
        <f t="shared" si="23"/>
        <v>0</v>
      </c>
      <c r="M200" s="983">
        <f t="shared" si="24"/>
        <v>7.3679999999999994</v>
      </c>
      <c r="N200" s="983">
        <f t="shared" si="25"/>
        <v>0</v>
      </c>
      <c r="O200" s="983">
        <f t="shared" si="26"/>
        <v>0</v>
      </c>
      <c r="P200" s="983">
        <f t="shared" si="43"/>
        <v>0</v>
      </c>
      <c r="Q200" s="983">
        <f t="shared" si="44"/>
        <v>0</v>
      </c>
    </row>
    <row r="201" spans="2:25">
      <c r="B201" s="983" t="s">
        <v>1683</v>
      </c>
      <c r="C201" s="984" t="s">
        <v>33</v>
      </c>
      <c r="D201" s="983">
        <v>4.6399999999999997</v>
      </c>
      <c r="E201" s="983">
        <f>3.3-0.18</f>
        <v>3.1199999999999997</v>
      </c>
      <c r="F201" s="983">
        <f t="shared" si="45"/>
        <v>14.476799999999997</v>
      </c>
      <c r="G201" s="983">
        <v>0</v>
      </c>
      <c r="H201" s="983">
        <f t="shared" si="36"/>
        <v>14.476799999999997</v>
      </c>
      <c r="I201" s="985">
        <v>1</v>
      </c>
      <c r="J201" s="983">
        <f t="shared" si="46"/>
        <v>14.476799999999997</v>
      </c>
      <c r="L201" s="983">
        <f t="shared" si="23"/>
        <v>0</v>
      </c>
      <c r="M201" s="983">
        <f t="shared" si="24"/>
        <v>0</v>
      </c>
      <c r="N201" s="983">
        <f t="shared" si="25"/>
        <v>14.476799999999997</v>
      </c>
      <c r="O201" s="983">
        <f t="shared" si="26"/>
        <v>0</v>
      </c>
      <c r="P201" s="983">
        <f t="shared" si="43"/>
        <v>0</v>
      </c>
      <c r="Q201" s="983">
        <f t="shared" si="44"/>
        <v>0</v>
      </c>
    </row>
    <row r="202" spans="2:25">
      <c r="B202" s="983" t="s">
        <v>2231</v>
      </c>
      <c r="C202" s="984" t="s">
        <v>368</v>
      </c>
      <c r="D202" s="983">
        <v>3.9</v>
      </c>
      <c r="E202" s="983">
        <f>+E201-0.5</f>
        <v>2.6199999999999997</v>
      </c>
      <c r="F202" s="983">
        <f t="shared" si="45"/>
        <v>10.217999999999998</v>
      </c>
      <c r="G202" s="983">
        <v>0</v>
      </c>
      <c r="H202" s="983">
        <f t="shared" si="36"/>
        <v>10.217999999999998</v>
      </c>
      <c r="I202" s="985">
        <v>1</v>
      </c>
      <c r="J202" s="983">
        <f t="shared" si="46"/>
        <v>10.217999999999998</v>
      </c>
      <c r="L202" s="983">
        <f t="shared" si="23"/>
        <v>0</v>
      </c>
      <c r="M202" s="983">
        <f t="shared" si="24"/>
        <v>10.217999999999998</v>
      </c>
      <c r="N202" s="983">
        <f t="shared" si="25"/>
        <v>0</v>
      </c>
      <c r="O202" s="983">
        <f t="shared" si="26"/>
        <v>0</v>
      </c>
      <c r="P202" s="983">
        <f t="shared" si="43"/>
        <v>0</v>
      </c>
      <c r="Q202" s="983">
        <f t="shared" si="44"/>
        <v>0</v>
      </c>
    </row>
    <row r="203" spans="2:25">
      <c r="B203" s="983" t="s">
        <v>1684</v>
      </c>
      <c r="C203" s="984" t="s">
        <v>33</v>
      </c>
      <c r="D203" s="983">
        <v>1.52</v>
      </c>
      <c r="E203" s="983">
        <f>+$E$202</f>
        <v>2.6199999999999997</v>
      </c>
      <c r="F203" s="983">
        <f t="shared" si="45"/>
        <v>3.9823999999999997</v>
      </c>
      <c r="G203" s="983">
        <v>0</v>
      </c>
      <c r="H203" s="983">
        <f t="shared" si="36"/>
        <v>3.9823999999999997</v>
      </c>
      <c r="I203" s="985">
        <v>1</v>
      </c>
      <c r="J203" s="983">
        <f t="shared" si="46"/>
        <v>3.9823999999999997</v>
      </c>
      <c r="L203" s="983">
        <f t="shared" si="23"/>
        <v>0</v>
      </c>
      <c r="M203" s="983">
        <f t="shared" si="24"/>
        <v>0</v>
      </c>
      <c r="N203" s="983">
        <f t="shared" si="25"/>
        <v>3.9823999999999997</v>
      </c>
      <c r="O203" s="983">
        <f t="shared" si="26"/>
        <v>0</v>
      </c>
      <c r="P203" s="983">
        <f t="shared" si="43"/>
        <v>0</v>
      </c>
      <c r="Q203" s="983">
        <f t="shared" si="44"/>
        <v>0</v>
      </c>
    </row>
    <row r="204" spans="2:25">
      <c r="B204" s="983" t="s">
        <v>1685</v>
      </c>
      <c r="C204" s="984" t="s">
        <v>33</v>
      </c>
      <c r="D204" s="983">
        <v>3.36</v>
      </c>
      <c r="E204" s="983">
        <f>+E201</f>
        <v>3.1199999999999997</v>
      </c>
      <c r="F204" s="983">
        <f t="shared" si="45"/>
        <v>10.483199999999998</v>
      </c>
      <c r="G204" s="983">
        <v>0</v>
      </c>
      <c r="H204" s="983">
        <f t="shared" si="36"/>
        <v>10.483199999999998</v>
      </c>
      <c r="I204" s="985">
        <v>1</v>
      </c>
      <c r="J204" s="983">
        <f t="shared" si="46"/>
        <v>10.483199999999998</v>
      </c>
      <c r="L204" s="983">
        <f t="shared" si="23"/>
        <v>0</v>
      </c>
      <c r="M204" s="983">
        <f t="shared" si="24"/>
        <v>0</v>
      </c>
      <c r="N204" s="983">
        <f t="shared" si="25"/>
        <v>10.483199999999998</v>
      </c>
      <c r="O204" s="983">
        <f t="shared" si="26"/>
        <v>0</v>
      </c>
      <c r="P204" s="983">
        <f t="shared" si="43"/>
        <v>0</v>
      </c>
      <c r="Q204" s="983">
        <f t="shared" si="44"/>
        <v>0</v>
      </c>
    </row>
    <row r="205" spans="2:25">
      <c r="B205" s="983" t="s">
        <v>1686</v>
      </c>
      <c r="C205" s="984" t="s">
        <v>33</v>
      </c>
      <c r="D205" s="983">
        <v>0.92</v>
      </c>
      <c r="E205" s="983">
        <v>3.3</v>
      </c>
      <c r="F205" s="983">
        <f t="shared" si="45"/>
        <v>3.036</v>
      </c>
      <c r="G205" s="983">
        <v>0</v>
      </c>
      <c r="H205" s="983">
        <f t="shared" si="36"/>
        <v>3.036</v>
      </c>
      <c r="I205" s="985">
        <v>1</v>
      </c>
      <c r="J205" s="983">
        <f t="shared" si="46"/>
        <v>3.036</v>
      </c>
      <c r="L205" s="983">
        <f t="shared" si="23"/>
        <v>0</v>
      </c>
      <c r="M205" s="983">
        <f t="shared" si="24"/>
        <v>0</v>
      </c>
      <c r="N205" s="983">
        <f t="shared" si="25"/>
        <v>3.036</v>
      </c>
      <c r="O205" s="983">
        <f t="shared" si="26"/>
        <v>0</v>
      </c>
      <c r="P205" s="983">
        <f t="shared" si="43"/>
        <v>0</v>
      </c>
      <c r="Q205" s="983">
        <f t="shared" si="44"/>
        <v>0</v>
      </c>
      <c r="Y205" s="990"/>
    </row>
    <row r="206" spans="2:25">
      <c r="B206" s="983" t="s">
        <v>1687</v>
      </c>
      <c r="C206" s="984" t="s">
        <v>33</v>
      </c>
      <c r="D206" s="983">
        <v>0.34</v>
      </c>
      <c r="E206" s="983">
        <f>+E202</f>
        <v>2.6199999999999997</v>
      </c>
      <c r="F206" s="983">
        <f t="shared" si="45"/>
        <v>0.89079999999999993</v>
      </c>
      <c r="G206" s="983">
        <v>0</v>
      </c>
      <c r="H206" s="983">
        <f t="shared" si="36"/>
        <v>0.89079999999999993</v>
      </c>
      <c r="I206" s="985">
        <v>1</v>
      </c>
      <c r="J206" s="983">
        <f t="shared" si="46"/>
        <v>0.89079999999999993</v>
      </c>
      <c r="L206" s="983">
        <f t="shared" si="23"/>
        <v>0</v>
      </c>
      <c r="M206" s="983">
        <f t="shared" si="24"/>
        <v>0</v>
      </c>
      <c r="N206" s="983">
        <f t="shared" si="25"/>
        <v>0.89079999999999993</v>
      </c>
      <c r="O206" s="983">
        <f t="shared" si="26"/>
        <v>0</v>
      </c>
      <c r="P206" s="983">
        <f t="shared" si="43"/>
        <v>0</v>
      </c>
      <c r="Q206" s="983">
        <f t="shared" si="44"/>
        <v>0</v>
      </c>
    </row>
    <row r="207" spans="2:25">
      <c r="B207" s="983" t="s">
        <v>1688</v>
      </c>
      <c r="C207" s="984" t="s">
        <v>33</v>
      </c>
      <c r="D207" s="983">
        <v>0.95</v>
      </c>
      <c r="E207" s="983">
        <f>2.3-0.18</f>
        <v>2.1199999999999997</v>
      </c>
      <c r="F207" s="983">
        <f t="shared" si="45"/>
        <v>2.0139999999999998</v>
      </c>
      <c r="G207" s="983">
        <v>0</v>
      </c>
      <c r="H207" s="983">
        <f t="shared" si="36"/>
        <v>2.0139999999999998</v>
      </c>
      <c r="I207" s="985">
        <v>1</v>
      </c>
      <c r="J207" s="983">
        <f t="shared" si="46"/>
        <v>2.0139999999999998</v>
      </c>
      <c r="L207" s="983">
        <f t="shared" si="23"/>
        <v>0</v>
      </c>
      <c r="M207" s="983">
        <f t="shared" si="24"/>
        <v>0</v>
      </c>
      <c r="N207" s="983">
        <f t="shared" si="25"/>
        <v>2.0139999999999998</v>
      </c>
      <c r="O207" s="983">
        <f t="shared" si="26"/>
        <v>0</v>
      </c>
      <c r="P207" s="983">
        <f t="shared" si="43"/>
        <v>0</v>
      </c>
      <c r="Q207" s="983">
        <f t="shared" si="44"/>
        <v>0</v>
      </c>
    </row>
    <row r="208" spans="2:25">
      <c r="B208" s="983" t="s">
        <v>1689</v>
      </c>
      <c r="C208" s="984" t="s">
        <v>368</v>
      </c>
      <c r="D208" s="983">
        <v>2.2599999999999998</v>
      </c>
      <c r="E208" s="983">
        <f>+$E$202</f>
        <v>2.6199999999999997</v>
      </c>
      <c r="F208" s="983">
        <f t="shared" si="45"/>
        <v>5.9211999999999989</v>
      </c>
      <c r="G208" s="983">
        <v>0</v>
      </c>
      <c r="H208" s="983">
        <f t="shared" si="36"/>
        <v>5.9211999999999989</v>
      </c>
      <c r="I208" s="985">
        <v>1</v>
      </c>
      <c r="J208" s="983">
        <f t="shared" si="46"/>
        <v>5.9211999999999989</v>
      </c>
      <c r="L208" s="983">
        <f t="shared" si="23"/>
        <v>0</v>
      </c>
      <c r="M208" s="983">
        <f t="shared" si="24"/>
        <v>5.9211999999999989</v>
      </c>
      <c r="N208" s="983">
        <f t="shared" si="25"/>
        <v>0</v>
      </c>
      <c r="O208" s="983">
        <f t="shared" si="26"/>
        <v>0</v>
      </c>
      <c r="P208" s="983">
        <f t="shared" si="43"/>
        <v>0</v>
      </c>
      <c r="Q208" s="983">
        <f t="shared" si="44"/>
        <v>0</v>
      </c>
    </row>
    <row r="209" spans="2:21">
      <c r="B209" s="983" t="s">
        <v>1690</v>
      </c>
      <c r="C209" s="984" t="s">
        <v>365</v>
      </c>
      <c r="D209" s="983">
        <f>0.9+0.15+0.15</f>
        <v>1.2</v>
      </c>
      <c r="E209" s="983">
        <f>+E207</f>
        <v>2.1199999999999997</v>
      </c>
      <c r="F209" s="983">
        <f t="shared" si="45"/>
        <v>2.5439999999999996</v>
      </c>
      <c r="G209" s="983">
        <v>0</v>
      </c>
      <c r="H209" s="983">
        <f t="shared" si="36"/>
        <v>2.5439999999999996</v>
      </c>
      <c r="I209" s="985">
        <v>1</v>
      </c>
      <c r="J209" s="983">
        <f t="shared" si="46"/>
        <v>2.5439999999999996</v>
      </c>
      <c r="L209" s="983">
        <f t="shared" si="23"/>
        <v>2.5439999999999996</v>
      </c>
      <c r="M209" s="983">
        <f t="shared" si="24"/>
        <v>0</v>
      </c>
      <c r="N209" s="983">
        <f t="shared" si="25"/>
        <v>0</v>
      </c>
      <c r="O209" s="983">
        <f t="shared" si="26"/>
        <v>0</v>
      </c>
      <c r="P209" s="983">
        <f t="shared" si="43"/>
        <v>0</v>
      </c>
      <c r="Q209" s="983">
        <f t="shared" si="44"/>
        <v>0</v>
      </c>
    </row>
    <row r="210" spans="2:21">
      <c r="B210" s="983" t="s">
        <v>1691</v>
      </c>
      <c r="C210" s="984" t="s">
        <v>365</v>
      </c>
      <c r="D210" s="983">
        <v>0.35</v>
      </c>
      <c r="E210" s="983">
        <v>3.3</v>
      </c>
      <c r="F210" s="983">
        <f t="shared" si="45"/>
        <v>1.1549999999999998</v>
      </c>
      <c r="G210" s="983">
        <v>0</v>
      </c>
      <c r="H210" s="983">
        <f t="shared" si="36"/>
        <v>1.1549999999999998</v>
      </c>
      <c r="I210" s="985">
        <v>2</v>
      </c>
      <c r="J210" s="983">
        <f t="shared" si="46"/>
        <v>2.3099999999999996</v>
      </c>
      <c r="L210" s="983">
        <f t="shared" si="23"/>
        <v>2.3099999999999996</v>
      </c>
      <c r="M210" s="983">
        <f t="shared" si="24"/>
        <v>0</v>
      </c>
      <c r="N210" s="983">
        <f t="shared" si="25"/>
        <v>0</v>
      </c>
      <c r="O210" s="983">
        <f t="shared" si="26"/>
        <v>0</v>
      </c>
      <c r="P210" s="983">
        <f t="shared" si="43"/>
        <v>0</v>
      </c>
      <c r="Q210" s="983">
        <f t="shared" si="44"/>
        <v>0</v>
      </c>
    </row>
    <row r="211" spans="2:21">
      <c r="B211" s="983" t="s">
        <v>1692</v>
      </c>
      <c r="C211" s="984" t="s">
        <v>365</v>
      </c>
      <c r="D211" s="983">
        <v>0.85</v>
      </c>
      <c r="E211" s="983">
        <v>3.3</v>
      </c>
      <c r="F211" s="983">
        <f t="shared" si="45"/>
        <v>2.8049999999999997</v>
      </c>
      <c r="G211" s="983">
        <v>0</v>
      </c>
      <c r="H211" s="983">
        <f t="shared" si="36"/>
        <v>2.8049999999999997</v>
      </c>
      <c r="I211" s="985">
        <v>1</v>
      </c>
      <c r="J211" s="983">
        <f t="shared" si="46"/>
        <v>2.8049999999999997</v>
      </c>
      <c r="L211" s="983">
        <f t="shared" ref="L211:L216" si="47">IF(C211=$L$3,J211,0)</f>
        <v>2.8049999999999997</v>
      </c>
      <c r="M211" s="983">
        <f t="shared" ref="M211:M216" si="48">IF(C211=$M$3,J211,0)</f>
        <v>0</v>
      </c>
      <c r="N211" s="983">
        <f t="shared" ref="N211:N216" si="49">IF(C211=$N$3,J211,0)</f>
        <v>0</v>
      </c>
      <c r="O211" s="983">
        <f t="shared" ref="O211:O216" si="50">IF(C211=$O$3,J211,0)</f>
        <v>0</v>
      </c>
      <c r="P211" s="983">
        <f t="shared" si="43"/>
        <v>0</v>
      </c>
      <c r="Q211" s="983">
        <f t="shared" si="44"/>
        <v>0</v>
      </c>
    </row>
    <row r="212" spans="2:21">
      <c r="B212" s="983" t="s">
        <v>2232</v>
      </c>
      <c r="C212" s="984" t="s">
        <v>365</v>
      </c>
      <c r="D212" s="983">
        <f>0.5+0.5+0.2+0.2</f>
        <v>1.4</v>
      </c>
      <c r="E212" s="983">
        <v>3.3</v>
      </c>
      <c r="F212" s="983">
        <f t="shared" si="45"/>
        <v>4.6199999999999992</v>
      </c>
      <c r="G212" s="983">
        <v>0</v>
      </c>
      <c r="H212" s="983">
        <f t="shared" si="36"/>
        <v>4.6199999999999992</v>
      </c>
      <c r="I212" s="985">
        <v>2</v>
      </c>
      <c r="J212" s="983">
        <f t="shared" si="46"/>
        <v>9.2399999999999984</v>
      </c>
      <c r="L212" s="983">
        <f t="shared" si="47"/>
        <v>9.2399999999999984</v>
      </c>
      <c r="M212" s="983">
        <f t="shared" si="48"/>
        <v>0</v>
      </c>
      <c r="N212" s="983">
        <f t="shared" si="49"/>
        <v>0</v>
      </c>
      <c r="O212" s="983">
        <f t="shared" si="50"/>
        <v>0</v>
      </c>
      <c r="P212" s="983">
        <f t="shared" si="43"/>
        <v>0</v>
      </c>
      <c r="Q212" s="983">
        <f t="shared" si="44"/>
        <v>0</v>
      </c>
    </row>
    <row r="213" spans="2:21">
      <c r="B213" s="983" t="s">
        <v>2233</v>
      </c>
      <c r="C213" s="984" t="s">
        <v>365</v>
      </c>
      <c r="D213" s="983">
        <f>0.6+0.45</f>
        <v>1.05</v>
      </c>
      <c r="E213" s="983">
        <v>3.3</v>
      </c>
      <c r="F213" s="983">
        <f t="shared" si="45"/>
        <v>3.4649999999999999</v>
      </c>
      <c r="G213" s="983">
        <v>0</v>
      </c>
      <c r="H213" s="983">
        <f t="shared" si="36"/>
        <v>3.4649999999999999</v>
      </c>
      <c r="I213" s="985">
        <v>1</v>
      </c>
      <c r="J213" s="983">
        <f t="shared" si="46"/>
        <v>3.4649999999999999</v>
      </c>
      <c r="L213" s="983">
        <f t="shared" si="47"/>
        <v>3.4649999999999999</v>
      </c>
      <c r="M213" s="983">
        <f t="shared" si="48"/>
        <v>0</v>
      </c>
      <c r="N213" s="983">
        <f t="shared" si="49"/>
        <v>0</v>
      </c>
      <c r="O213" s="983">
        <f t="shared" si="50"/>
        <v>0</v>
      </c>
      <c r="P213" s="983">
        <f t="shared" si="43"/>
        <v>0</v>
      </c>
      <c r="Q213" s="983">
        <f t="shared" si="44"/>
        <v>0</v>
      </c>
    </row>
    <row r="214" spans="2:21">
      <c r="B214" s="983" t="s">
        <v>2233</v>
      </c>
      <c r="C214" s="984" t="s">
        <v>368</v>
      </c>
      <c r="D214" s="983">
        <f>+D213</f>
        <v>1.05</v>
      </c>
      <c r="E214" s="983">
        <v>3.3</v>
      </c>
      <c r="F214" s="983">
        <f t="shared" si="45"/>
        <v>3.4649999999999999</v>
      </c>
      <c r="G214" s="983">
        <v>0</v>
      </c>
      <c r="H214" s="983">
        <f t="shared" si="36"/>
        <v>3.4649999999999999</v>
      </c>
      <c r="I214" s="985">
        <v>1</v>
      </c>
      <c r="J214" s="983">
        <f t="shared" si="46"/>
        <v>3.4649999999999999</v>
      </c>
      <c r="L214" s="983">
        <f t="shared" si="47"/>
        <v>0</v>
      </c>
      <c r="M214" s="983">
        <f t="shared" si="48"/>
        <v>3.4649999999999999</v>
      </c>
      <c r="N214" s="983">
        <f t="shared" si="49"/>
        <v>0</v>
      </c>
      <c r="O214" s="983">
        <f t="shared" si="50"/>
        <v>0</v>
      </c>
      <c r="P214" s="983">
        <f t="shared" si="43"/>
        <v>0</v>
      </c>
      <c r="Q214" s="983">
        <f t="shared" si="44"/>
        <v>0</v>
      </c>
    </row>
    <row r="215" spans="2:21">
      <c r="B215" s="983" t="s">
        <v>2234</v>
      </c>
      <c r="C215" s="984" t="s">
        <v>365</v>
      </c>
      <c r="D215" s="983">
        <f>0.6+0.65</f>
        <v>1.25</v>
      </c>
      <c r="E215" s="983">
        <v>3.3</v>
      </c>
      <c r="F215" s="983">
        <f t="shared" si="45"/>
        <v>4.125</v>
      </c>
      <c r="G215" s="983">
        <v>0</v>
      </c>
      <c r="H215" s="983">
        <f t="shared" si="36"/>
        <v>4.125</v>
      </c>
      <c r="I215" s="985">
        <v>1</v>
      </c>
      <c r="J215" s="983">
        <f t="shared" si="46"/>
        <v>4.125</v>
      </c>
      <c r="L215" s="983">
        <f t="shared" si="47"/>
        <v>4.125</v>
      </c>
      <c r="M215" s="983">
        <f t="shared" si="48"/>
        <v>0</v>
      </c>
      <c r="N215" s="983">
        <f t="shared" si="49"/>
        <v>0</v>
      </c>
      <c r="O215" s="983">
        <f t="shared" si="50"/>
        <v>0</v>
      </c>
      <c r="P215" s="983">
        <f t="shared" si="43"/>
        <v>0</v>
      </c>
      <c r="Q215" s="983">
        <f t="shared" si="44"/>
        <v>0</v>
      </c>
    </row>
    <row r="216" spans="2:21">
      <c r="B216" s="983" t="s">
        <v>2234</v>
      </c>
      <c r="C216" s="984" t="s">
        <v>368</v>
      </c>
      <c r="D216" s="983">
        <f>+D215</f>
        <v>1.25</v>
      </c>
      <c r="E216" s="983">
        <v>3.3</v>
      </c>
      <c r="F216" s="983">
        <f t="shared" si="45"/>
        <v>4.125</v>
      </c>
      <c r="G216" s="983">
        <v>0</v>
      </c>
      <c r="H216" s="983">
        <f t="shared" ref="H216" si="51">+F216-G216</f>
        <v>4.125</v>
      </c>
      <c r="I216" s="985">
        <v>1</v>
      </c>
      <c r="J216" s="983">
        <f t="shared" si="46"/>
        <v>4.125</v>
      </c>
      <c r="L216" s="983">
        <f t="shared" si="47"/>
        <v>0</v>
      </c>
      <c r="M216" s="983">
        <f t="shared" si="48"/>
        <v>4.125</v>
      </c>
      <c r="N216" s="983">
        <f t="shared" si="49"/>
        <v>0</v>
      </c>
      <c r="O216" s="983">
        <f t="shared" si="50"/>
        <v>0</v>
      </c>
      <c r="P216" s="983">
        <f t="shared" si="43"/>
        <v>0</v>
      </c>
      <c r="Q216" s="983">
        <f t="shared" si="44"/>
        <v>0</v>
      </c>
    </row>
    <row r="217" spans="2:21">
      <c r="L217" s="986">
        <f>+SUM(L4:L216)</f>
        <v>436.51939999999996</v>
      </c>
      <c r="M217" s="986">
        <f t="shared" ref="M217:Q217" si="52">+SUM(M4:M216)</f>
        <v>1007.1080999999997</v>
      </c>
      <c r="N217" s="986">
        <f t="shared" si="52"/>
        <v>722.68820000000005</v>
      </c>
      <c r="O217" s="986">
        <f t="shared" si="52"/>
        <v>198.46879999999999</v>
      </c>
      <c r="P217" s="986">
        <f t="shared" si="52"/>
        <v>39.177999999999997</v>
      </c>
      <c r="Q217" s="986">
        <f t="shared" si="52"/>
        <v>33.732299999999995</v>
      </c>
      <c r="S217" s="986">
        <f>+SUM(L217:Q217)</f>
        <v>2437.6947999999998</v>
      </c>
      <c r="T217" s="983">
        <f>+J218</f>
        <v>2437.6948000000011</v>
      </c>
      <c r="U217" s="983">
        <f>+S217-T217</f>
        <v>0</v>
      </c>
    </row>
    <row r="218" spans="2:21">
      <c r="J218" s="986">
        <f>+SUM(J4:J216)</f>
        <v>2437.6948000000011</v>
      </c>
      <c r="L218" s="991">
        <f>ROUNDUP(L217,0)</f>
        <v>437</v>
      </c>
      <c r="M218" s="991">
        <f>ROUNDUP(M217,0)</f>
        <v>1008</v>
      </c>
      <c r="N218" s="991">
        <f>ROUNDUP(N217,0)</f>
        <v>723</v>
      </c>
      <c r="O218" s="991">
        <f t="shared" ref="O218:Q218" si="53">ROUNDUP(O217,0)</f>
        <v>199</v>
      </c>
      <c r="P218" s="991">
        <f t="shared" si="53"/>
        <v>40</v>
      </c>
      <c r="Q218" s="991">
        <f t="shared" si="53"/>
        <v>34</v>
      </c>
      <c r="S218" s="983">
        <f>+SUM(L218:Q218)</f>
        <v>2441</v>
      </c>
    </row>
  </sheetData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58FA-A6B1-40B6-8977-4D7B4F8438EC}">
  <sheetPr>
    <tabColor rgb="FF92D050"/>
  </sheetPr>
  <dimension ref="B2:S89"/>
  <sheetViews>
    <sheetView workbookViewId="0"/>
  </sheetViews>
  <sheetFormatPr defaultColWidth="11.54296875" defaultRowHeight="13"/>
  <cols>
    <col min="1" max="1" width="11.54296875" style="836"/>
    <col min="2" max="2" width="30.26953125" style="836" bestFit="1" customWidth="1"/>
    <col min="3" max="3" width="6.54296875" style="836" bestFit="1" customWidth="1"/>
    <col min="4" max="4" width="5.54296875" style="836" bestFit="1" customWidth="1"/>
    <col min="5" max="5" width="7.54296875" style="836" bestFit="1" customWidth="1"/>
    <col min="6" max="6" width="5.54296875" style="836" bestFit="1" customWidth="1"/>
    <col min="7" max="7" width="7.54296875" style="836" bestFit="1" customWidth="1"/>
    <col min="8" max="8" width="5.54296875" style="836" bestFit="1" customWidth="1"/>
    <col min="9" max="9" width="9" style="836" bestFit="1" customWidth="1"/>
    <col min="10" max="10" width="9.1796875" style="836" bestFit="1" customWidth="1"/>
    <col min="11" max="12" width="11.54296875" style="836"/>
    <col min="13" max="13" width="4.54296875" style="839" bestFit="1" customWidth="1"/>
    <col min="14" max="14" width="7.54296875" style="836" bestFit="1" customWidth="1"/>
    <col min="15" max="15" width="7.7265625" style="836" bestFit="1" customWidth="1"/>
    <col min="16" max="16" width="7.26953125" style="836" bestFit="1" customWidth="1"/>
    <col min="17" max="17" width="7.7265625" style="836" bestFit="1" customWidth="1"/>
    <col min="18" max="16384" width="11.54296875" style="836"/>
  </cols>
  <sheetData>
    <row r="2" spans="2:19">
      <c r="B2" s="836" t="s">
        <v>1842</v>
      </c>
    </row>
    <row r="3" spans="2:19">
      <c r="B3" s="836" t="s">
        <v>1843</v>
      </c>
    </row>
    <row r="4" spans="2:19">
      <c r="N4" s="839" t="s">
        <v>365</v>
      </c>
      <c r="O4" s="839" t="s">
        <v>368</v>
      </c>
      <c r="P4" s="839" t="s">
        <v>33</v>
      </c>
      <c r="Q4" s="839" t="s">
        <v>1677</v>
      </c>
    </row>
    <row r="5" spans="2:19">
      <c r="C5" s="839" t="s">
        <v>365</v>
      </c>
      <c r="D5" s="839" t="s">
        <v>218</v>
      </c>
      <c r="E5" s="839" t="s">
        <v>4</v>
      </c>
      <c r="F5" s="839" t="s">
        <v>1676</v>
      </c>
      <c r="G5" s="839" t="s">
        <v>4</v>
      </c>
      <c r="H5" s="839" t="s">
        <v>515</v>
      </c>
      <c r="I5" s="839" t="s">
        <v>17</v>
      </c>
      <c r="M5" s="839" t="s">
        <v>1844</v>
      </c>
      <c r="N5" s="839" t="s">
        <v>1845</v>
      </c>
      <c r="O5" s="839" t="s">
        <v>1846</v>
      </c>
      <c r="P5" s="839" t="s">
        <v>1847</v>
      </c>
      <c r="Q5" s="839" t="s">
        <v>1848</v>
      </c>
    </row>
    <row r="6" spans="2:19">
      <c r="B6" s="1157" t="s">
        <v>1849</v>
      </c>
      <c r="C6" s="983"/>
      <c r="D6" s="983"/>
      <c r="E6" s="983"/>
      <c r="F6" s="983"/>
      <c r="G6" s="983"/>
      <c r="H6" s="983"/>
      <c r="I6" s="983"/>
      <c r="J6" s="983"/>
    </row>
    <row r="7" spans="2:19">
      <c r="B7" s="1157" t="s">
        <v>18</v>
      </c>
      <c r="C7" s="983"/>
      <c r="D7" s="983"/>
      <c r="E7" s="983"/>
      <c r="F7" s="983"/>
      <c r="G7" s="983"/>
      <c r="H7" s="983"/>
      <c r="I7" s="983"/>
      <c r="J7" s="986">
        <f>+SUM(I8:I15)</f>
        <v>313.21999999999997</v>
      </c>
    </row>
    <row r="8" spans="2:19">
      <c r="B8" s="836" t="s">
        <v>2270</v>
      </c>
      <c r="C8" s="983">
        <v>11.17</v>
      </c>
      <c r="D8" s="983">
        <v>3</v>
      </c>
      <c r="E8" s="983">
        <f t="shared" ref="E8:E15" si="0">+C8*D8</f>
        <v>33.51</v>
      </c>
      <c r="F8" s="983">
        <v>0</v>
      </c>
      <c r="G8" s="983">
        <f t="shared" ref="G8:G15" si="1">+E8-F8</f>
        <v>33.51</v>
      </c>
      <c r="H8" s="983">
        <v>1</v>
      </c>
      <c r="I8" s="983">
        <f>+G8*H8</f>
        <v>33.51</v>
      </c>
      <c r="J8" s="983"/>
      <c r="M8" s="839" t="s">
        <v>365</v>
      </c>
      <c r="N8" s="983">
        <f>IF(M8=$N$4,I8,0)</f>
        <v>33.51</v>
      </c>
      <c r="O8" s="983">
        <f>IF(M8=$O$4,I8,0)</f>
        <v>0</v>
      </c>
      <c r="P8" s="983">
        <f>IF(M8=$P$4,I8,0)</f>
        <v>0</v>
      </c>
      <c r="Q8" s="983">
        <f>IF(M8=$Q$4,I8,0)</f>
        <v>0</v>
      </c>
    </row>
    <row r="9" spans="2:19">
      <c r="B9" s="836" t="s">
        <v>2290</v>
      </c>
      <c r="C9" s="983">
        <v>2</v>
      </c>
      <c r="D9" s="983">
        <v>3</v>
      </c>
      <c r="E9" s="983">
        <f t="shared" si="0"/>
        <v>6</v>
      </c>
      <c r="F9" s="983">
        <v>0</v>
      </c>
      <c r="G9" s="983">
        <f t="shared" si="1"/>
        <v>6</v>
      </c>
      <c r="H9" s="983">
        <v>1</v>
      </c>
      <c r="I9" s="983">
        <f>+G9*H9</f>
        <v>6</v>
      </c>
      <c r="J9" s="983"/>
      <c r="M9" s="839" t="s">
        <v>365</v>
      </c>
      <c r="N9" s="983">
        <f t="shared" ref="N9:N14" si="2">IF(M9=$N$4,I9,0)</f>
        <v>6</v>
      </c>
      <c r="O9" s="983">
        <f t="shared" ref="O9:O13" si="3">IF(M9=$O$4,I9,0)</f>
        <v>0</v>
      </c>
      <c r="P9" s="983">
        <f t="shared" ref="P9:P13" si="4">IF(M9=$P$4,I9,0)</f>
        <v>0</v>
      </c>
      <c r="Q9" s="983">
        <f t="shared" ref="Q9:Q13" si="5">IF(M9=$Q$4,I9,0)</f>
        <v>0</v>
      </c>
    </row>
    <row r="10" spans="2:19">
      <c r="B10" s="836" t="s">
        <v>2291</v>
      </c>
      <c r="C10" s="983">
        <v>11</v>
      </c>
      <c r="D10" s="983">
        <v>3</v>
      </c>
      <c r="E10" s="983">
        <f t="shared" si="0"/>
        <v>33</v>
      </c>
      <c r="F10" s="983">
        <v>0</v>
      </c>
      <c r="G10" s="983">
        <f t="shared" si="1"/>
        <v>33</v>
      </c>
      <c r="H10" s="983">
        <v>1</v>
      </c>
      <c r="I10" s="983">
        <f>+G10*H10</f>
        <v>33</v>
      </c>
      <c r="J10" s="983"/>
      <c r="M10" s="839" t="s">
        <v>365</v>
      </c>
      <c r="N10" s="983">
        <f t="shared" si="2"/>
        <v>33</v>
      </c>
      <c r="O10" s="983">
        <f t="shared" si="3"/>
        <v>0</v>
      </c>
      <c r="P10" s="983">
        <f t="shared" si="4"/>
        <v>0</v>
      </c>
      <c r="Q10" s="983">
        <f t="shared" si="5"/>
        <v>0</v>
      </c>
    </row>
    <row r="11" spans="2:19">
      <c r="B11" s="836" t="s">
        <v>2292</v>
      </c>
      <c r="C11" s="983">
        <v>23.6</v>
      </c>
      <c r="D11" s="983">
        <v>3</v>
      </c>
      <c r="E11" s="983">
        <f t="shared" si="0"/>
        <v>70.800000000000011</v>
      </c>
      <c r="F11" s="983">
        <v>0</v>
      </c>
      <c r="G11" s="983">
        <f t="shared" si="1"/>
        <v>70.800000000000011</v>
      </c>
      <c r="H11" s="983">
        <v>1</v>
      </c>
      <c r="I11" s="983">
        <f>+G11*H11</f>
        <v>70.800000000000011</v>
      </c>
      <c r="J11" s="983"/>
      <c r="M11" s="839" t="s">
        <v>365</v>
      </c>
      <c r="N11" s="983">
        <f t="shared" ref="N11" si="6">IF(M11=$N$4,I11,0)</f>
        <v>70.800000000000011</v>
      </c>
      <c r="O11" s="983">
        <f t="shared" ref="O11" si="7">IF(M11=$O$4,I11,0)</f>
        <v>0</v>
      </c>
      <c r="P11" s="983">
        <f t="shared" ref="P11" si="8">IF(M11=$P$4,I11,0)</f>
        <v>0</v>
      </c>
      <c r="Q11" s="983">
        <f t="shared" ref="Q11" si="9">IF(M11=$Q$4,I11,0)</f>
        <v>0</v>
      </c>
    </row>
    <row r="12" spans="2:19">
      <c r="B12" s="836" t="s">
        <v>2271</v>
      </c>
      <c r="C12" s="983">
        <v>6.14</v>
      </c>
      <c r="D12" s="983">
        <v>4</v>
      </c>
      <c r="E12" s="983">
        <f t="shared" si="0"/>
        <v>24.56</v>
      </c>
      <c r="F12" s="983">
        <v>0</v>
      </c>
      <c r="G12" s="983">
        <f t="shared" si="1"/>
        <v>24.56</v>
      </c>
      <c r="H12" s="983">
        <v>1</v>
      </c>
      <c r="I12" s="983">
        <f>+G12*H12</f>
        <v>24.56</v>
      </c>
      <c r="J12" s="983"/>
      <c r="M12" s="839" t="s">
        <v>365</v>
      </c>
      <c r="N12" s="983">
        <f t="shared" si="2"/>
        <v>24.56</v>
      </c>
      <c r="O12" s="983">
        <f t="shared" si="3"/>
        <v>0</v>
      </c>
      <c r="P12" s="983">
        <f t="shared" si="4"/>
        <v>0</v>
      </c>
      <c r="Q12" s="983">
        <f t="shared" si="5"/>
        <v>0</v>
      </c>
    </row>
    <row r="13" spans="2:19">
      <c r="B13" s="836" t="s">
        <v>2272</v>
      </c>
      <c r="C13" s="983">
        <v>9.6999999999999993</v>
      </c>
      <c r="D13" s="983">
        <v>3</v>
      </c>
      <c r="E13" s="983">
        <f t="shared" si="0"/>
        <v>29.099999999999998</v>
      </c>
      <c r="F13" s="983">
        <v>0</v>
      </c>
      <c r="G13" s="983">
        <f t="shared" si="1"/>
        <v>29.099999999999998</v>
      </c>
      <c r="H13" s="983">
        <v>1</v>
      </c>
      <c r="I13" s="983">
        <f t="shared" ref="I13:I14" si="10">+G13*H13</f>
        <v>29.099999999999998</v>
      </c>
      <c r="J13" s="983"/>
      <c r="M13" s="839" t="s">
        <v>365</v>
      </c>
      <c r="N13" s="983">
        <f t="shared" si="2"/>
        <v>29.099999999999998</v>
      </c>
      <c r="O13" s="983">
        <f t="shared" si="3"/>
        <v>0</v>
      </c>
      <c r="P13" s="983">
        <f t="shared" si="4"/>
        <v>0</v>
      </c>
      <c r="Q13" s="983">
        <f t="shared" si="5"/>
        <v>0</v>
      </c>
      <c r="S13" s="1"/>
    </row>
    <row r="14" spans="2:19">
      <c r="B14" s="836" t="s">
        <v>2273</v>
      </c>
      <c r="C14" s="983">
        <v>20.3</v>
      </c>
      <c r="D14" s="983">
        <v>4.5</v>
      </c>
      <c r="E14" s="983">
        <f t="shared" si="0"/>
        <v>91.350000000000009</v>
      </c>
      <c r="F14" s="983">
        <v>0</v>
      </c>
      <c r="G14" s="983">
        <f t="shared" si="1"/>
        <v>91.350000000000009</v>
      </c>
      <c r="H14" s="983">
        <v>1</v>
      </c>
      <c r="I14" s="983">
        <f t="shared" si="10"/>
        <v>91.350000000000009</v>
      </c>
      <c r="J14" s="983"/>
      <c r="M14" s="839" t="s">
        <v>365</v>
      </c>
      <c r="N14" s="983">
        <f t="shared" si="2"/>
        <v>91.350000000000009</v>
      </c>
      <c r="O14" s="983">
        <f t="shared" ref="O14:O61" si="11">IF(M14=$O$4,I14,0)</f>
        <v>0</v>
      </c>
      <c r="P14" s="983">
        <f t="shared" ref="P14:P61" si="12">IF(M14=$P$4,I14,0)</f>
        <v>0</v>
      </c>
      <c r="Q14" s="983">
        <f t="shared" ref="Q14:Q61" si="13">IF(M14=$Q$4,I14,0)</f>
        <v>0</v>
      </c>
    </row>
    <row r="15" spans="2:19">
      <c r="B15" s="836" t="s">
        <v>2274</v>
      </c>
      <c r="C15" s="983">
        <v>8.3000000000000007</v>
      </c>
      <c r="D15" s="983">
        <v>3</v>
      </c>
      <c r="E15" s="983">
        <f t="shared" si="0"/>
        <v>24.900000000000002</v>
      </c>
      <c r="F15" s="983">
        <v>0</v>
      </c>
      <c r="G15" s="983">
        <f t="shared" si="1"/>
        <v>24.900000000000002</v>
      </c>
      <c r="H15" s="983">
        <v>1</v>
      </c>
      <c r="I15" s="983">
        <f>+G15*H15</f>
        <v>24.900000000000002</v>
      </c>
      <c r="J15" s="983"/>
      <c r="M15" s="839" t="s">
        <v>365</v>
      </c>
      <c r="N15" s="983">
        <f t="shared" ref="N15:N61" si="14">IF(M15=$N$4,I15,0)</f>
        <v>24.900000000000002</v>
      </c>
      <c r="O15" s="983">
        <f t="shared" si="11"/>
        <v>0</v>
      </c>
      <c r="P15" s="983">
        <f t="shared" si="12"/>
        <v>0</v>
      </c>
      <c r="Q15" s="983">
        <f t="shared" si="13"/>
        <v>0</v>
      </c>
    </row>
    <row r="16" spans="2:19">
      <c r="B16" s="1157" t="s">
        <v>2275</v>
      </c>
      <c r="C16" s="983"/>
      <c r="D16" s="983"/>
      <c r="E16" s="983"/>
      <c r="F16" s="983"/>
      <c r="G16" s="983"/>
      <c r="H16" s="983"/>
      <c r="I16" s="983"/>
      <c r="J16" s="986">
        <f>+SUM(I17:I24)</f>
        <v>81.199999999999989</v>
      </c>
      <c r="N16" s="983"/>
      <c r="O16" s="983"/>
      <c r="P16" s="983"/>
      <c r="Q16" s="983"/>
    </row>
    <row r="17" spans="2:17">
      <c r="B17" s="1157" t="s">
        <v>510</v>
      </c>
      <c r="C17" s="983"/>
      <c r="D17" s="983"/>
      <c r="E17" s="983"/>
      <c r="F17" s="983"/>
      <c r="G17" s="983"/>
      <c r="H17" s="983"/>
      <c r="I17" s="983"/>
      <c r="J17" s="986"/>
      <c r="N17" s="983"/>
      <c r="O17" s="983"/>
      <c r="P17" s="983"/>
      <c r="Q17" s="983"/>
    </row>
    <row r="18" spans="2:17">
      <c r="B18" s="836" t="s">
        <v>2276</v>
      </c>
      <c r="C18" s="983">
        <v>0.9</v>
      </c>
      <c r="D18" s="983">
        <v>2.8</v>
      </c>
      <c r="E18" s="983">
        <f>+C18*D18</f>
        <v>2.52</v>
      </c>
      <c r="F18" s="983">
        <v>0</v>
      </c>
      <c r="G18" s="983">
        <f>+E18-F18</f>
        <v>2.52</v>
      </c>
      <c r="H18" s="983">
        <v>5</v>
      </c>
      <c r="I18" s="983">
        <f>+G18*H18</f>
        <v>12.6</v>
      </c>
      <c r="J18" s="983"/>
      <c r="M18" s="839" t="s">
        <v>365</v>
      </c>
      <c r="N18" s="983">
        <f t="shared" si="14"/>
        <v>12.6</v>
      </c>
      <c r="O18" s="983">
        <f t="shared" si="11"/>
        <v>0</v>
      </c>
      <c r="P18" s="983">
        <f t="shared" si="12"/>
        <v>0</v>
      </c>
      <c r="Q18" s="983">
        <f t="shared" si="13"/>
        <v>0</v>
      </c>
    </row>
    <row r="19" spans="2:17">
      <c r="B19" s="836" t="s">
        <v>2277</v>
      </c>
      <c r="C19" s="983">
        <v>1.55</v>
      </c>
      <c r="D19" s="983">
        <v>2.8</v>
      </c>
      <c r="E19" s="983">
        <f>+C19*D19</f>
        <v>4.34</v>
      </c>
      <c r="F19" s="983">
        <v>0</v>
      </c>
      <c r="G19" s="983">
        <f>+E19-F19</f>
        <v>4.34</v>
      </c>
      <c r="H19" s="983">
        <v>5</v>
      </c>
      <c r="I19" s="983">
        <f>+G19*H19</f>
        <v>21.7</v>
      </c>
      <c r="J19" s="983"/>
      <c r="M19" s="839" t="s">
        <v>365</v>
      </c>
      <c r="N19" s="983">
        <f t="shared" ref="N19:N20" si="15">IF(M19=$N$4,I19,0)</f>
        <v>21.7</v>
      </c>
      <c r="O19" s="983">
        <f t="shared" ref="O19:O20" si="16">IF(M19=$O$4,I19,0)</f>
        <v>0</v>
      </c>
      <c r="P19" s="983">
        <f t="shared" ref="P19:P20" si="17">IF(M19=$P$4,I19,0)</f>
        <v>0</v>
      </c>
      <c r="Q19" s="983">
        <f t="shared" ref="Q19:Q20" si="18">IF(M19=$Q$4,I19,0)</f>
        <v>0</v>
      </c>
    </row>
    <row r="20" spans="2:17">
      <c r="B20" s="836" t="s">
        <v>2278</v>
      </c>
      <c r="C20" s="983">
        <v>0.45</v>
      </c>
      <c r="D20" s="983">
        <v>2.8</v>
      </c>
      <c r="E20" s="983">
        <f>+C20*D20</f>
        <v>1.26</v>
      </c>
      <c r="F20" s="983">
        <v>0</v>
      </c>
      <c r="G20" s="983">
        <f>+E20-F20</f>
        <v>1.26</v>
      </c>
      <c r="H20" s="983">
        <v>5</v>
      </c>
      <c r="I20" s="983">
        <f>+G20*H20</f>
        <v>6.3</v>
      </c>
      <c r="J20" s="983"/>
      <c r="M20" s="839" t="s">
        <v>365</v>
      </c>
      <c r="N20" s="983">
        <f t="shared" si="15"/>
        <v>6.3</v>
      </c>
      <c r="O20" s="983">
        <f t="shared" si="16"/>
        <v>0</v>
      </c>
      <c r="P20" s="983">
        <f t="shared" si="17"/>
        <v>0</v>
      </c>
      <c r="Q20" s="983">
        <f t="shared" si="18"/>
        <v>0</v>
      </c>
    </row>
    <row r="21" spans="2:17">
      <c r="B21" s="1157" t="s">
        <v>511</v>
      </c>
      <c r="C21" s="983"/>
      <c r="D21" s="983"/>
      <c r="E21" s="983"/>
      <c r="F21" s="983"/>
      <c r="G21" s="983"/>
      <c r="H21" s="983"/>
      <c r="I21" s="983"/>
      <c r="J21" s="983"/>
      <c r="N21" s="983"/>
      <c r="O21" s="983"/>
      <c r="P21" s="983"/>
      <c r="Q21" s="983"/>
    </row>
    <row r="22" spans="2:17">
      <c r="B22" s="836" t="s">
        <v>2279</v>
      </c>
      <c r="C22" s="983">
        <v>0.9</v>
      </c>
      <c r="D22" s="983">
        <v>2.8</v>
      </c>
      <c r="E22" s="983">
        <f>+C22*D22</f>
        <v>2.52</v>
      </c>
      <c r="F22" s="983">
        <v>0</v>
      </c>
      <c r="G22" s="983">
        <f>+E22-F22</f>
        <v>2.52</v>
      </c>
      <c r="H22" s="983">
        <v>5</v>
      </c>
      <c r="I22" s="983">
        <f>+G22*H22</f>
        <v>12.6</v>
      </c>
      <c r="J22" s="983"/>
      <c r="M22" s="839" t="s">
        <v>365</v>
      </c>
      <c r="N22" s="983">
        <f t="shared" ref="N22:N24" si="19">IF(M22=$N$4,I22,0)</f>
        <v>12.6</v>
      </c>
      <c r="O22" s="983">
        <f t="shared" ref="O22:O24" si="20">IF(M22=$O$4,I22,0)</f>
        <v>0</v>
      </c>
      <c r="P22" s="983">
        <f t="shared" ref="P22:P24" si="21">IF(M22=$P$4,I22,0)</f>
        <v>0</v>
      </c>
      <c r="Q22" s="983">
        <f t="shared" ref="Q22:Q24" si="22">IF(M22=$Q$4,I22,0)</f>
        <v>0</v>
      </c>
    </row>
    <row r="23" spans="2:17">
      <c r="B23" s="836" t="s">
        <v>2280</v>
      </c>
      <c r="C23" s="983">
        <v>1.55</v>
      </c>
      <c r="D23" s="983">
        <v>2.8</v>
      </c>
      <c r="E23" s="983">
        <f>+C23*D23</f>
        <v>4.34</v>
      </c>
      <c r="F23" s="983">
        <v>0</v>
      </c>
      <c r="G23" s="983">
        <f>+E23-F23</f>
        <v>4.34</v>
      </c>
      <c r="H23" s="983">
        <v>5</v>
      </c>
      <c r="I23" s="983">
        <f>+G23*H23</f>
        <v>21.7</v>
      </c>
      <c r="J23" s="983"/>
      <c r="M23" s="839" t="s">
        <v>365</v>
      </c>
      <c r="N23" s="983">
        <f t="shared" si="19"/>
        <v>21.7</v>
      </c>
      <c r="O23" s="983">
        <f t="shared" si="20"/>
        <v>0</v>
      </c>
      <c r="P23" s="983">
        <f t="shared" si="21"/>
        <v>0</v>
      </c>
      <c r="Q23" s="983">
        <f t="shared" si="22"/>
        <v>0</v>
      </c>
    </row>
    <row r="24" spans="2:17">
      <c r="B24" s="836" t="s">
        <v>2281</v>
      </c>
      <c r="C24" s="983">
        <v>0.45</v>
      </c>
      <c r="D24" s="983">
        <v>2.8</v>
      </c>
      <c r="E24" s="983">
        <f>+C24*D24</f>
        <v>1.26</v>
      </c>
      <c r="F24" s="983">
        <v>0</v>
      </c>
      <c r="G24" s="983">
        <f>+E24-F24</f>
        <v>1.26</v>
      </c>
      <c r="H24" s="983">
        <v>5</v>
      </c>
      <c r="I24" s="983">
        <f>+G24*H24</f>
        <v>6.3</v>
      </c>
      <c r="J24" s="983"/>
      <c r="M24" s="839" t="s">
        <v>365</v>
      </c>
      <c r="N24" s="983">
        <f t="shared" si="19"/>
        <v>6.3</v>
      </c>
      <c r="O24" s="983">
        <f t="shared" si="20"/>
        <v>0</v>
      </c>
      <c r="P24" s="983">
        <f t="shared" si="21"/>
        <v>0</v>
      </c>
      <c r="Q24" s="983">
        <f t="shared" si="22"/>
        <v>0</v>
      </c>
    </row>
    <row r="25" spans="2:17">
      <c r="B25" s="1157" t="s">
        <v>2282</v>
      </c>
      <c r="C25" s="983"/>
      <c r="D25" s="983"/>
      <c r="E25" s="983"/>
      <c r="F25" s="983"/>
      <c r="G25" s="983"/>
      <c r="H25" s="983"/>
      <c r="I25" s="983"/>
      <c r="J25" s="986">
        <f>+SUM(I27:I31)</f>
        <v>52.359999999999992</v>
      </c>
      <c r="N25" s="983"/>
      <c r="O25" s="983"/>
      <c r="P25" s="983"/>
      <c r="Q25" s="983"/>
    </row>
    <row r="26" spans="2:17">
      <c r="B26" s="1157" t="s">
        <v>510</v>
      </c>
      <c r="C26" s="983"/>
      <c r="D26" s="983"/>
      <c r="E26" s="983"/>
      <c r="F26" s="983"/>
      <c r="G26" s="983"/>
      <c r="H26" s="983"/>
      <c r="I26" s="983"/>
      <c r="J26" s="986"/>
      <c r="N26" s="983"/>
      <c r="O26" s="983"/>
      <c r="P26" s="983"/>
      <c r="Q26" s="983"/>
    </row>
    <row r="27" spans="2:17">
      <c r="B27" s="836" t="s">
        <v>1850</v>
      </c>
      <c r="C27" s="983">
        <v>8.1</v>
      </c>
      <c r="D27" s="983">
        <v>3.8</v>
      </c>
      <c r="E27" s="983">
        <f>+C27*D27</f>
        <v>30.779999999999998</v>
      </c>
      <c r="F27" s="983">
        <f>(2.7+1.7)*2</f>
        <v>8.8000000000000007</v>
      </c>
      <c r="G27" s="983">
        <f>+E27-F27</f>
        <v>21.979999999999997</v>
      </c>
      <c r="H27" s="983">
        <v>1</v>
      </c>
      <c r="I27" s="983">
        <f>+G27*H27</f>
        <v>21.979999999999997</v>
      </c>
      <c r="J27" s="983"/>
      <c r="M27" s="839" t="s">
        <v>365</v>
      </c>
      <c r="N27" s="983">
        <f t="shared" si="14"/>
        <v>21.979999999999997</v>
      </c>
      <c r="O27" s="983">
        <f t="shared" si="11"/>
        <v>0</v>
      </c>
      <c r="P27" s="983">
        <f t="shared" si="12"/>
        <v>0</v>
      </c>
      <c r="Q27" s="983">
        <f t="shared" si="13"/>
        <v>0</v>
      </c>
    </row>
    <row r="28" spans="2:17">
      <c r="B28" s="836" t="s">
        <v>2284</v>
      </c>
      <c r="C28" s="983">
        <v>2</v>
      </c>
      <c r="D28" s="983">
        <v>2.1</v>
      </c>
      <c r="E28" s="983">
        <f>+C28*D28</f>
        <v>4.2</v>
      </c>
      <c r="F28" s="983">
        <v>0</v>
      </c>
      <c r="G28" s="983">
        <f>+E28-F28</f>
        <v>4.2</v>
      </c>
      <c r="H28" s="983">
        <v>1</v>
      </c>
      <c r="I28" s="983">
        <f>+G28*H28</f>
        <v>4.2</v>
      </c>
      <c r="J28" s="983"/>
      <c r="M28" s="839" t="s">
        <v>365</v>
      </c>
      <c r="N28" s="983">
        <f t="shared" ref="N28:N29" si="23">IF(M28=$N$4,I28,0)</f>
        <v>4.2</v>
      </c>
      <c r="O28" s="983">
        <f t="shared" ref="O28:O29" si="24">IF(M28=$O$4,I28,0)</f>
        <v>0</v>
      </c>
      <c r="P28" s="983">
        <f t="shared" ref="P28:P29" si="25">IF(M28=$P$4,I28,0)</f>
        <v>0</v>
      </c>
      <c r="Q28" s="983">
        <f t="shared" ref="Q28:Q29" si="26">IF(M28=$Q$4,I28,0)</f>
        <v>0</v>
      </c>
    </row>
    <row r="29" spans="2:17">
      <c r="B29" s="836" t="s">
        <v>2285</v>
      </c>
      <c r="C29" s="983">
        <v>2</v>
      </c>
      <c r="D29" s="983">
        <v>2.1</v>
      </c>
      <c r="E29" s="983">
        <f>+C29*D29</f>
        <v>4.2</v>
      </c>
      <c r="F29" s="983">
        <v>0</v>
      </c>
      <c r="G29" s="983">
        <f>+E29-F29</f>
        <v>4.2</v>
      </c>
      <c r="H29" s="983">
        <v>1</v>
      </c>
      <c r="I29" s="983">
        <f>+G29*H29</f>
        <v>4.2</v>
      </c>
      <c r="J29" s="983"/>
      <c r="M29" s="839" t="s">
        <v>365</v>
      </c>
      <c r="N29" s="983">
        <f t="shared" si="23"/>
        <v>4.2</v>
      </c>
      <c r="O29" s="983">
        <f t="shared" si="24"/>
        <v>0</v>
      </c>
      <c r="P29" s="983">
        <f t="shared" si="25"/>
        <v>0</v>
      </c>
      <c r="Q29" s="983">
        <f t="shared" si="26"/>
        <v>0</v>
      </c>
    </row>
    <row r="30" spans="2:17">
      <c r="B30" s="1157" t="s">
        <v>511</v>
      </c>
      <c r="C30" s="983"/>
      <c r="D30" s="983"/>
      <c r="E30" s="983"/>
      <c r="F30" s="983"/>
      <c r="G30" s="983"/>
      <c r="H30" s="983"/>
      <c r="I30" s="983"/>
      <c r="J30" s="983"/>
      <c r="N30" s="983"/>
      <c r="O30" s="983"/>
      <c r="P30" s="983"/>
      <c r="Q30" s="983"/>
    </row>
    <row r="31" spans="2:17">
      <c r="B31" s="836" t="s">
        <v>1851</v>
      </c>
      <c r="C31" s="983">
        <v>8.1</v>
      </c>
      <c r="D31" s="983">
        <v>3.8</v>
      </c>
      <c r="E31" s="983">
        <f>+C31*D31</f>
        <v>30.779999999999998</v>
      </c>
      <c r="F31" s="983">
        <f>(2.2*2)*2</f>
        <v>8.8000000000000007</v>
      </c>
      <c r="G31" s="983">
        <f>+E31-F31</f>
        <v>21.979999999999997</v>
      </c>
      <c r="H31" s="983">
        <v>1</v>
      </c>
      <c r="I31" s="983">
        <f>+G31*H31</f>
        <v>21.979999999999997</v>
      </c>
      <c r="J31" s="983"/>
      <c r="M31" s="839" t="s">
        <v>365</v>
      </c>
      <c r="N31" s="983">
        <f t="shared" si="14"/>
        <v>21.979999999999997</v>
      </c>
      <c r="O31" s="983">
        <f t="shared" si="11"/>
        <v>0</v>
      </c>
      <c r="P31" s="983">
        <f t="shared" si="12"/>
        <v>0</v>
      </c>
      <c r="Q31" s="983">
        <f t="shared" si="13"/>
        <v>0</v>
      </c>
    </row>
    <row r="32" spans="2:17">
      <c r="B32" s="1157" t="s">
        <v>2283</v>
      </c>
      <c r="C32" s="983"/>
      <c r="D32" s="983"/>
      <c r="E32" s="983"/>
      <c r="F32" s="983"/>
      <c r="G32" s="983"/>
      <c r="H32" s="983"/>
      <c r="I32" s="983"/>
      <c r="J32" s="986">
        <f>+SUM(I34:I40)</f>
        <v>87.4</v>
      </c>
      <c r="N32" s="983"/>
      <c r="O32" s="983"/>
      <c r="P32" s="983"/>
      <c r="Q32" s="983"/>
    </row>
    <row r="33" spans="2:17">
      <c r="B33" s="1157" t="s">
        <v>510</v>
      </c>
      <c r="C33" s="983"/>
      <c r="D33" s="983"/>
      <c r="E33" s="983"/>
      <c r="F33" s="983"/>
      <c r="G33" s="983"/>
      <c r="H33" s="983"/>
      <c r="I33" s="983"/>
      <c r="J33" s="986"/>
      <c r="N33" s="983"/>
      <c r="O33" s="983"/>
      <c r="P33" s="983"/>
      <c r="Q33" s="983"/>
    </row>
    <row r="34" spans="2:17">
      <c r="B34" s="836" t="s">
        <v>1852</v>
      </c>
      <c r="C34" s="983">
        <v>2</v>
      </c>
      <c r="D34" s="983">
        <v>1.8</v>
      </c>
      <c r="E34" s="983">
        <f t="shared" ref="E34:E40" si="27">+C34*D34</f>
        <v>3.6</v>
      </c>
      <c r="F34" s="983">
        <v>0</v>
      </c>
      <c r="G34" s="983">
        <f t="shared" ref="G34:G40" si="28">+E34-F34</f>
        <v>3.6</v>
      </c>
      <c r="H34" s="983">
        <v>1</v>
      </c>
      <c r="I34" s="983">
        <f t="shared" ref="I34:I40" si="29">+G34*H34</f>
        <v>3.6</v>
      </c>
      <c r="J34" s="983"/>
      <c r="M34" s="839" t="s">
        <v>365</v>
      </c>
      <c r="N34" s="983">
        <f t="shared" si="14"/>
        <v>3.6</v>
      </c>
      <c r="O34" s="983">
        <f t="shared" si="11"/>
        <v>0</v>
      </c>
      <c r="P34" s="983">
        <f t="shared" si="12"/>
        <v>0</v>
      </c>
      <c r="Q34" s="983">
        <f t="shared" si="13"/>
        <v>0</v>
      </c>
    </row>
    <row r="35" spans="2:17">
      <c r="B35" s="836" t="s">
        <v>2288</v>
      </c>
      <c r="C35" s="983">
        <v>8.1</v>
      </c>
      <c r="D35" s="983">
        <v>5</v>
      </c>
      <c r="E35" s="983">
        <f t="shared" si="27"/>
        <v>40.5</v>
      </c>
      <c r="F35" s="983">
        <f>(2.2*2)*2</f>
        <v>8.8000000000000007</v>
      </c>
      <c r="G35" s="983">
        <f t="shared" si="28"/>
        <v>31.7</v>
      </c>
      <c r="H35" s="983">
        <v>1</v>
      </c>
      <c r="I35" s="983">
        <f t="shared" si="29"/>
        <v>31.7</v>
      </c>
      <c r="J35" s="983"/>
      <c r="M35" s="839" t="s">
        <v>365</v>
      </c>
      <c r="N35" s="983">
        <f t="shared" si="14"/>
        <v>31.7</v>
      </c>
      <c r="O35" s="983">
        <f t="shared" si="11"/>
        <v>0</v>
      </c>
      <c r="P35" s="983">
        <f t="shared" si="12"/>
        <v>0</v>
      </c>
      <c r="Q35" s="983">
        <f t="shared" si="13"/>
        <v>0</v>
      </c>
    </row>
    <row r="36" spans="2:17">
      <c r="B36" s="836" t="s">
        <v>1853</v>
      </c>
      <c r="C36" s="983">
        <v>2</v>
      </c>
      <c r="D36" s="983">
        <v>1.8</v>
      </c>
      <c r="E36" s="983">
        <f t="shared" si="27"/>
        <v>3.6</v>
      </c>
      <c r="F36" s="983">
        <v>0</v>
      </c>
      <c r="G36" s="983">
        <f t="shared" si="28"/>
        <v>3.6</v>
      </c>
      <c r="H36" s="983">
        <v>1</v>
      </c>
      <c r="I36" s="983">
        <f t="shared" si="29"/>
        <v>3.6</v>
      </c>
      <c r="J36" s="983"/>
      <c r="M36" s="839" t="s">
        <v>365</v>
      </c>
      <c r="N36" s="983">
        <f t="shared" si="14"/>
        <v>3.6</v>
      </c>
      <c r="O36" s="983">
        <f t="shared" si="11"/>
        <v>0</v>
      </c>
      <c r="P36" s="983">
        <f t="shared" si="12"/>
        <v>0</v>
      </c>
      <c r="Q36" s="983">
        <f t="shared" si="13"/>
        <v>0</v>
      </c>
    </row>
    <row r="37" spans="2:17">
      <c r="B37" s="1157" t="s">
        <v>511</v>
      </c>
      <c r="C37" s="983"/>
      <c r="D37" s="983"/>
      <c r="E37" s="983"/>
      <c r="F37" s="983"/>
      <c r="G37" s="983"/>
      <c r="H37" s="983"/>
      <c r="I37" s="983"/>
      <c r="J37" s="983"/>
      <c r="N37" s="983"/>
      <c r="O37" s="983"/>
      <c r="P37" s="983"/>
      <c r="Q37" s="983"/>
    </row>
    <row r="38" spans="2:17">
      <c r="B38" s="836" t="s">
        <v>2289</v>
      </c>
      <c r="C38" s="983">
        <v>8.1</v>
      </c>
      <c r="D38" s="983">
        <v>5</v>
      </c>
      <c r="E38" s="983">
        <f t="shared" si="27"/>
        <v>40.5</v>
      </c>
      <c r="F38" s="983">
        <f>(2.2*2)*2</f>
        <v>8.8000000000000007</v>
      </c>
      <c r="G38" s="983">
        <f t="shared" si="28"/>
        <v>31.7</v>
      </c>
      <c r="H38" s="983">
        <v>1</v>
      </c>
      <c r="I38" s="983">
        <f t="shared" si="29"/>
        <v>31.7</v>
      </c>
      <c r="J38" s="983"/>
      <c r="M38" s="839" t="s">
        <v>365</v>
      </c>
      <c r="N38" s="983">
        <f t="shared" si="14"/>
        <v>31.7</v>
      </c>
      <c r="O38" s="983">
        <f t="shared" si="11"/>
        <v>0</v>
      </c>
      <c r="P38" s="983">
        <f t="shared" si="12"/>
        <v>0</v>
      </c>
      <c r="Q38" s="983">
        <f t="shared" si="13"/>
        <v>0</v>
      </c>
    </row>
    <row r="39" spans="2:17">
      <c r="B39" s="836" t="s">
        <v>2286</v>
      </c>
      <c r="C39" s="983">
        <v>4</v>
      </c>
      <c r="D39" s="983">
        <v>2.1</v>
      </c>
      <c r="E39" s="983">
        <f t="shared" si="27"/>
        <v>8.4</v>
      </c>
      <c r="F39" s="983">
        <v>0</v>
      </c>
      <c r="G39" s="983">
        <f t="shared" si="28"/>
        <v>8.4</v>
      </c>
      <c r="H39" s="983">
        <v>1</v>
      </c>
      <c r="I39" s="983">
        <f t="shared" si="29"/>
        <v>8.4</v>
      </c>
      <c r="J39" s="983"/>
      <c r="M39" s="839" t="s">
        <v>365</v>
      </c>
      <c r="N39" s="983">
        <f t="shared" ref="N39:N40" si="30">IF(M39=$N$4,I39,0)</f>
        <v>8.4</v>
      </c>
      <c r="O39" s="983">
        <f t="shared" ref="O39:O40" si="31">IF(M39=$O$4,I39,0)</f>
        <v>0</v>
      </c>
      <c r="P39" s="983">
        <f t="shared" ref="P39:P40" si="32">IF(M39=$P$4,I39,0)</f>
        <v>0</v>
      </c>
      <c r="Q39" s="983">
        <f t="shared" ref="Q39:Q40" si="33">IF(M39=$Q$4,I39,0)</f>
        <v>0</v>
      </c>
    </row>
    <row r="40" spans="2:17">
      <c r="B40" s="836" t="s">
        <v>2287</v>
      </c>
      <c r="C40" s="983">
        <v>4</v>
      </c>
      <c r="D40" s="983">
        <v>2.1</v>
      </c>
      <c r="E40" s="983">
        <f t="shared" si="27"/>
        <v>8.4</v>
      </c>
      <c r="F40" s="983">
        <v>0</v>
      </c>
      <c r="G40" s="983">
        <f t="shared" si="28"/>
        <v>8.4</v>
      </c>
      <c r="H40" s="983">
        <v>1</v>
      </c>
      <c r="I40" s="983">
        <f t="shared" si="29"/>
        <v>8.4</v>
      </c>
      <c r="J40" s="983"/>
      <c r="M40" s="839" t="s">
        <v>365</v>
      </c>
      <c r="N40" s="983">
        <f t="shared" si="30"/>
        <v>8.4</v>
      </c>
      <c r="O40" s="983">
        <f t="shared" si="31"/>
        <v>0</v>
      </c>
      <c r="P40" s="983">
        <f t="shared" si="32"/>
        <v>0</v>
      </c>
      <c r="Q40" s="983">
        <f t="shared" si="33"/>
        <v>0</v>
      </c>
    </row>
    <row r="41" spans="2:17">
      <c r="B41" s="1157" t="s">
        <v>522</v>
      </c>
      <c r="C41" s="983"/>
      <c r="D41" s="983"/>
      <c r="E41" s="983"/>
      <c r="F41" s="983"/>
      <c r="G41" s="983"/>
      <c r="H41" s="983"/>
      <c r="I41" s="983"/>
      <c r="J41" s="986">
        <f>+SUM(I42:I52)</f>
        <v>128.78800000000001</v>
      </c>
      <c r="N41" s="983"/>
      <c r="O41" s="983"/>
      <c r="P41" s="983"/>
      <c r="Q41" s="983"/>
    </row>
    <row r="42" spans="2:17">
      <c r="B42" s="836" t="s">
        <v>2293</v>
      </c>
      <c r="C42" s="983">
        <v>14.55</v>
      </c>
      <c r="D42" s="983">
        <v>3.2</v>
      </c>
      <c r="E42" s="983">
        <f t="shared" ref="E42:E52" si="34">+C42*D42</f>
        <v>46.56</v>
      </c>
      <c r="F42" s="983">
        <v>0</v>
      </c>
      <c r="G42" s="983">
        <f t="shared" ref="G42:G52" si="35">+E42-F42</f>
        <v>46.56</v>
      </c>
      <c r="H42" s="983">
        <v>1</v>
      </c>
      <c r="I42" s="983">
        <f t="shared" ref="I42:I52" si="36">+G42*H42</f>
        <v>46.56</v>
      </c>
      <c r="J42" s="983"/>
      <c r="M42" s="839" t="s">
        <v>365</v>
      </c>
      <c r="N42" s="983">
        <f t="shared" si="14"/>
        <v>46.56</v>
      </c>
      <c r="O42" s="983">
        <f t="shared" si="11"/>
        <v>0</v>
      </c>
      <c r="P42" s="983">
        <f t="shared" si="12"/>
        <v>0</v>
      </c>
      <c r="Q42" s="983">
        <f t="shared" si="13"/>
        <v>0</v>
      </c>
    </row>
    <row r="43" spans="2:17">
      <c r="B43" s="836" t="s">
        <v>1854</v>
      </c>
      <c r="C43" s="983">
        <v>5.43</v>
      </c>
      <c r="D43" s="983">
        <v>2</v>
      </c>
      <c r="E43" s="983">
        <f t="shared" si="34"/>
        <v>10.86</v>
      </c>
      <c r="F43" s="983">
        <v>0</v>
      </c>
      <c r="G43" s="983">
        <f t="shared" si="35"/>
        <v>10.86</v>
      </c>
      <c r="H43" s="983">
        <v>1</v>
      </c>
      <c r="I43" s="983">
        <f t="shared" si="36"/>
        <v>10.86</v>
      </c>
      <c r="M43" s="839" t="s">
        <v>365</v>
      </c>
      <c r="N43" s="983">
        <f t="shared" si="14"/>
        <v>10.86</v>
      </c>
      <c r="O43" s="983">
        <f t="shared" si="11"/>
        <v>0</v>
      </c>
      <c r="P43" s="983">
        <f t="shared" si="12"/>
        <v>0</v>
      </c>
      <c r="Q43" s="983">
        <f t="shared" si="13"/>
        <v>0</v>
      </c>
    </row>
    <row r="44" spans="2:17">
      <c r="B44" s="836" t="s">
        <v>1855</v>
      </c>
      <c r="C44" s="983">
        <v>5.43</v>
      </c>
      <c r="D44" s="983">
        <v>2</v>
      </c>
      <c r="E44" s="983">
        <f t="shared" si="34"/>
        <v>10.86</v>
      </c>
      <c r="F44" s="983">
        <v>0</v>
      </c>
      <c r="G44" s="983">
        <f t="shared" si="35"/>
        <v>10.86</v>
      </c>
      <c r="H44" s="983">
        <v>1</v>
      </c>
      <c r="I44" s="983">
        <f t="shared" si="36"/>
        <v>10.86</v>
      </c>
      <c r="M44" s="839" t="s">
        <v>365</v>
      </c>
      <c r="N44" s="983">
        <f t="shared" si="14"/>
        <v>10.86</v>
      </c>
      <c r="O44" s="983">
        <f t="shared" si="11"/>
        <v>0</v>
      </c>
      <c r="P44" s="983">
        <f t="shared" si="12"/>
        <v>0</v>
      </c>
      <c r="Q44" s="983">
        <f t="shared" si="13"/>
        <v>0</v>
      </c>
    </row>
    <row r="45" spans="2:17">
      <c r="B45" s="836" t="s">
        <v>1856</v>
      </c>
      <c r="C45" s="983">
        <v>3.18</v>
      </c>
      <c r="D45" s="983">
        <v>1.8</v>
      </c>
      <c r="E45" s="983">
        <f t="shared" si="34"/>
        <v>5.7240000000000002</v>
      </c>
      <c r="F45" s="983">
        <v>0</v>
      </c>
      <c r="G45" s="983">
        <f t="shared" si="35"/>
        <v>5.7240000000000002</v>
      </c>
      <c r="H45" s="983">
        <v>1</v>
      </c>
      <c r="I45" s="983">
        <f t="shared" si="36"/>
        <v>5.7240000000000002</v>
      </c>
      <c r="M45" s="839" t="s">
        <v>365</v>
      </c>
      <c r="N45" s="983">
        <f t="shared" si="14"/>
        <v>5.7240000000000002</v>
      </c>
      <c r="O45" s="983">
        <f t="shared" si="11"/>
        <v>0</v>
      </c>
      <c r="P45" s="983">
        <f t="shared" si="12"/>
        <v>0</v>
      </c>
      <c r="Q45" s="983">
        <f t="shared" si="13"/>
        <v>0</v>
      </c>
    </row>
    <row r="46" spans="2:17">
      <c r="B46" s="836" t="s">
        <v>1857</v>
      </c>
      <c r="C46" s="983">
        <v>5.28</v>
      </c>
      <c r="D46" s="983">
        <v>1.8</v>
      </c>
      <c r="E46" s="983">
        <f t="shared" si="34"/>
        <v>9.5040000000000013</v>
      </c>
      <c r="F46" s="983">
        <v>0</v>
      </c>
      <c r="G46" s="983">
        <f t="shared" si="35"/>
        <v>9.5040000000000013</v>
      </c>
      <c r="H46" s="983">
        <v>1</v>
      </c>
      <c r="I46" s="983">
        <f t="shared" si="36"/>
        <v>9.5040000000000013</v>
      </c>
      <c r="M46" s="839" t="s">
        <v>365</v>
      </c>
      <c r="N46" s="983">
        <f t="shared" si="14"/>
        <v>9.5040000000000013</v>
      </c>
      <c r="O46" s="983">
        <f t="shared" si="11"/>
        <v>0</v>
      </c>
      <c r="P46" s="983">
        <f t="shared" si="12"/>
        <v>0</v>
      </c>
      <c r="Q46" s="983">
        <f t="shared" si="13"/>
        <v>0</v>
      </c>
    </row>
    <row r="47" spans="2:17">
      <c r="B47" s="836" t="s">
        <v>1858</v>
      </c>
      <c r="C47" s="983">
        <v>6.14</v>
      </c>
      <c r="D47" s="983">
        <v>1.3</v>
      </c>
      <c r="E47" s="983">
        <f t="shared" si="34"/>
        <v>7.9820000000000002</v>
      </c>
      <c r="F47" s="983">
        <v>0</v>
      </c>
      <c r="G47" s="983">
        <f t="shared" si="35"/>
        <v>7.9820000000000002</v>
      </c>
      <c r="H47" s="983">
        <v>1</v>
      </c>
      <c r="I47" s="983">
        <f t="shared" si="36"/>
        <v>7.9820000000000002</v>
      </c>
      <c r="M47" s="839" t="s">
        <v>365</v>
      </c>
      <c r="N47" s="983">
        <f t="shared" si="14"/>
        <v>7.9820000000000002</v>
      </c>
      <c r="O47" s="983">
        <f t="shared" si="11"/>
        <v>0</v>
      </c>
      <c r="P47" s="983">
        <f t="shared" si="12"/>
        <v>0</v>
      </c>
      <c r="Q47" s="983">
        <f t="shared" si="13"/>
        <v>0</v>
      </c>
    </row>
    <row r="48" spans="2:17">
      <c r="B48" s="836" t="s">
        <v>2294</v>
      </c>
      <c r="C48" s="983">
        <v>3.63</v>
      </c>
      <c r="D48" s="983">
        <v>1.3</v>
      </c>
      <c r="E48" s="983">
        <f t="shared" si="34"/>
        <v>4.7190000000000003</v>
      </c>
      <c r="F48" s="983">
        <v>0</v>
      </c>
      <c r="G48" s="983">
        <f t="shared" si="35"/>
        <v>4.7190000000000003</v>
      </c>
      <c r="H48" s="983">
        <v>1</v>
      </c>
      <c r="I48" s="983">
        <f t="shared" si="36"/>
        <v>4.7190000000000003</v>
      </c>
      <c r="M48" s="839" t="s">
        <v>365</v>
      </c>
      <c r="N48" s="983">
        <f t="shared" ref="N48:N49" si="37">IF(M48=$N$4,I48,0)</f>
        <v>4.7190000000000003</v>
      </c>
      <c r="O48" s="983">
        <f t="shared" ref="O48:O49" si="38">IF(M48=$O$4,I48,0)</f>
        <v>0</v>
      </c>
      <c r="P48" s="983">
        <f t="shared" ref="P48:P49" si="39">IF(M48=$P$4,I48,0)</f>
        <v>0</v>
      </c>
      <c r="Q48" s="983">
        <f t="shared" ref="Q48:Q49" si="40">IF(M48=$Q$4,I48,0)</f>
        <v>0</v>
      </c>
    </row>
    <row r="49" spans="2:17">
      <c r="B49" s="836" t="s">
        <v>2295</v>
      </c>
      <c r="C49" s="983">
        <v>3.83</v>
      </c>
      <c r="D49" s="983">
        <v>1.3</v>
      </c>
      <c r="E49" s="983">
        <f t="shared" si="34"/>
        <v>4.9790000000000001</v>
      </c>
      <c r="F49" s="983">
        <v>0</v>
      </c>
      <c r="G49" s="983">
        <f t="shared" si="35"/>
        <v>4.9790000000000001</v>
      </c>
      <c r="H49" s="983">
        <v>1</v>
      </c>
      <c r="I49" s="983">
        <f t="shared" si="36"/>
        <v>4.9790000000000001</v>
      </c>
      <c r="M49" s="839" t="s">
        <v>365</v>
      </c>
      <c r="N49" s="983">
        <f t="shared" si="37"/>
        <v>4.9790000000000001</v>
      </c>
      <c r="O49" s="983">
        <f t="shared" si="38"/>
        <v>0</v>
      </c>
      <c r="P49" s="983">
        <f t="shared" si="39"/>
        <v>0</v>
      </c>
      <c r="Q49" s="983">
        <f t="shared" si="40"/>
        <v>0</v>
      </c>
    </row>
    <row r="50" spans="2:17">
      <c r="B50" s="836" t="s">
        <v>2232</v>
      </c>
      <c r="C50" s="983">
        <v>1.8</v>
      </c>
      <c r="D50" s="983">
        <v>3</v>
      </c>
      <c r="E50" s="983">
        <f t="shared" si="34"/>
        <v>5.4</v>
      </c>
      <c r="F50" s="983">
        <v>0</v>
      </c>
      <c r="G50" s="983">
        <f t="shared" si="35"/>
        <v>5.4</v>
      </c>
      <c r="H50" s="983">
        <v>2</v>
      </c>
      <c r="I50" s="983">
        <f t="shared" si="36"/>
        <v>10.8</v>
      </c>
      <c r="M50" s="839" t="s">
        <v>365</v>
      </c>
      <c r="N50" s="983">
        <f t="shared" si="14"/>
        <v>10.8</v>
      </c>
      <c r="O50" s="983">
        <f t="shared" si="11"/>
        <v>0</v>
      </c>
      <c r="P50" s="983">
        <f t="shared" si="12"/>
        <v>0</v>
      </c>
      <c r="Q50" s="983">
        <f t="shared" si="13"/>
        <v>0</v>
      </c>
    </row>
    <row r="51" spans="2:17">
      <c r="B51" s="836" t="s">
        <v>2233</v>
      </c>
      <c r="C51" s="983">
        <v>2.6</v>
      </c>
      <c r="D51" s="983">
        <v>3</v>
      </c>
      <c r="E51" s="983">
        <f t="shared" si="34"/>
        <v>7.8000000000000007</v>
      </c>
      <c r="F51" s="983">
        <v>0</v>
      </c>
      <c r="G51" s="983">
        <f t="shared" si="35"/>
        <v>7.8000000000000007</v>
      </c>
      <c r="H51" s="983">
        <v>1</v>
      </c>
      <c r="I51" s="983">
        <f t="shared" si="36"/>
        <v>7.8000000000000007</v>
      </c>
      <c r="M51" s="839" t="s">
        <v>365</v>
      </c>
      <c r="N51" s="983">
        <f t="shared" si="14"/>
        <v>7.8000000000000007</v>
      </c>
      <c r="O51" s="983">
        <f t="shared" si="11"/>
        <v>0</v>
      </c>
      <c r="P51" s="983">
        <f t="shared" si="12"/>
        <v>0</v>
      </c>
      <c r="Q51" s="983">
        <f t="shared" si="13"/>
        <v>0</v>
      </c>
    </row>
    <row r="52" spans="2:17">
      <c r="B52" s="836" t="s">
        <v>2234</v>
      </c>
      <c r="C52" s="983">
        <v>3</v>
      </c>
      <c r="D52" s="983">
        <v>3</v>
      </c>
      <c r="E52" s="983">
        <f t="shared" si="34"/>
        <v>9</v>
      </c>
      <c r="F52" s="983">
        <v>0</v>
      </c>
      <c r="G52" s="983">
        <f t="shared" si="35"/>
        <v>9</v>
      </c>
      <c r="H52" s="983">
        <v>1</v>
      </c>
      <c r="I52" s="983">
        <f t="shared" si="36"/>
        <v>9</v>
      </c>
      <c r="M52" s="839" t="s">
        <v>365</v>
      </c>
      <c r="N52" s="983">
        <f t="shared" si="14"/>
        <v>9</v>
      </c>
      <c r="O52" s="983">
        <f t="shared" si="11"/>
        <v>0</v>
      </c>
      <c r="P52" s="983">
        <f t="shared" si="12"/>
        <v>0</v>
      </c>
      <c r="Q52" s="983">
        <f t="shared" si="13"/>
        <v>0</v>
      </c>
    </row>
    <row r="53" spans="2:17">
      <c r="I53" s="1158">
        <f>+SUM(I7:I52)</f>
        <v>662.96800000000007</v>
      </c>
      <c r="J53" s="1158">
        <f>+SUM(J7:J52)</f>
        <v>662.96799999999996</v>
      </c>
      <c r="N53" s="983"/>
      <c r="O53" s="983"/>
      <c r="P53" s="983"/>
      <c r="Q53" s="983"/>
    </row>
    <row r="54" spans="2:17">
      <c r="I54" s="1158">
        <f>+ROUNDUP(I53,0)</f>
        <v>663</v>
      </c>
      <c r="J54" s="878">
        <f>+ROUNDUP(J53,0)</f>
        <v>663</v>
      </c>
      <c r="N54" s="983"/>
      <c r="O54" s="983"/>
      <c r="P54" s="983"/>
      <c r="Q54" s="983"/>
    </row>
    <row r="55" spans="2:17">
      <c r="N55" s="983"/>
      <c r="O55" s="983"/>
      <c r="P55" s="983"/>
      <c r="Q55" s="983"/>
    </row>
    <row r="56" spans="2:17">
      <c r="B56" s="1157" t="s">
        <v>1859</v>
      </c>
      <c r="C56" s="983"/>
      <c r="D56" s="983"/>
      <c r="E56" s="983"/>
      <c r="F56" s="983"/>
      <c r="G56" s="983"/>
      <c r="H56" s="983"/>
      <c r="I56" s="983"/>
      <c r="J56" s="983"/>
      <c r="N56" s="983"/>
      <c r="O56" s="983"/>
      <c r="P56" s="983"/>
      <c r="Q56" s="983"/>
    </row>
    <row r="57" spans="2:17">
      <c r="B57" s="1157" t="s">
        <v>1860</v>
      </c>
      <c r="C57" s="983"/>
      <c r="D57" s="983"/>
      <c r="E57" s="983"/>
      <c r="F57" s="983"/>
      <c r="G57" s="983"/>
      <c r="H57" s="983"/>
      <c r="I57" s="983"/>
      <c r="J57" s="986">
        <f>+SUM(I58:I59)</f>
        <v>382</v>
      </c>
      <c r="N57" s="983"/>
      <c r="O57" s="983"/>
      <c r="P57" s="983"/>
      <c r="Q57" s="983"/>
    </row>
    <row r="58" spans="2:17">
      <c r="B58" s="836" t="s">
        <v>1861</v>
      </c>
      <c r="C58" s="983"/>
      <c r="D58" s="983"/>
      <c r="E58" s="989">
        <v>192</v>
      </c>
      <c r="F58" s="983">
        <v>0</v>
      </c>
      <c r="G58" s="983">
        <f>+E58-F58</f>
        <v>192</v>
      </c>
      <c r="H58" s="983">
        <v>1</v>
      </c>
      <c r="I58" s="983">
        <f>+G58*H58</f>
        <v>192</v>
      </c>
      <c r="J58" s="983"/>
      <c r="M58" s="839" t="s">
        <v>1677</v>
      </c>
      <c r="N58" s="983">
        <f t="shared" si="14"/>
        <v>0</v>
      </c>
      <c r="O58" s="983">
        <f t="shared" si="11"/>
        <v>0</v>
      </c>
      <c r="P58" s="983">
        <f t="shared" si="12"/>
        <v>0</v>
      </c>
      <c r="Q58" s="983">
        <f t="shared" si="13"/>
        <v>192</v>
      </c>
    </row>
    <row r="59" spans="2:17">
      <c r="B59" s="836" t="s">
        <v>1862</v>
      </c>
      <c r="C59" s="983"/>
      <c r="D59" s="983"/>
      <c r="E59" s="989">
        <v>190</v>
      </c>
      <c r="F59" s="983">
        <v>0</v>
      </c>
      <c r="G59" s="983">
        <f>+E59-F59</f>
        <v>190</v>
      </c>
      <c r="H59" s="983">
        <v>1</v>
      </c>
      <c r="I59" s="983">
        <f>+G59*H59</f>
        <v>190</v>
      </c>
      <c r="J59" s="983"/>
      <c r="M59" s="839" t="s">
        <v>1677</v>
      </c>
      <c r="N59" s="983">
        <f t="shared" si="14"/>
        <v>0</v>
      </c>
      <c r="O59" s="983">
        <f t="shared" si="11"/>
        <v>0</v>
      </c>
      <c r="P59" s="983">
        <f t="shared" si="12"/>
        <v>0</v>
      </c>
      <c r="Q59" s="983">
        <f t="shared" si="13"/>
        <v>190</v>
      </c>
    </row>
    <row r="60" spans="2:17">
      <c r="B60" s="1157" t="s">
        <v>1863</v>
      </c>
      <c r="C60" s="983"/>
      <c r="D60" s="983"/>
      <c r="E60" s="983"/>
      <c r="F60" s="983"/>
      <c r="G60" s="983"/>
      <c r="H60" s="983"/>
      <c r="I60" s="983"/>
      <c r="J60" s="986">
        <f>+SUM(I61:I61)</f>
        <v>479</v>
      </c>
      <c r="N60" s="983"/>
      <c r="O60" s="983"/>
      <c r="P60" s="983"/>
      <c r="Q60" s="983"/>
    </row>
    <row r="61" spans="2:17">
      <c r="B61" s="836" t="s">
        <v>1709</v>
      </c>
      <c r="C61" s="983"/>
      <c r="D61" s="983"/>
      <c r="E61" s="989">
        <v>479</v>
      </c>
      <c r="F61" s="983">
        <v>0</v>
      </c>
      <c r="G61" s="983">
        <f>+E61-F61</f>
        <v>479</v>
      </c>
      <c r="H61" s="983">
        <v>1</v>
      </c>
      <c r="I61" s="983">
        <f>+G61*H61</f>
        <v>479</v>
      </c>
      <c r="J61" s="983"/>
      <c r="M61" s="839" t="s">
        <v>1677</v>
      </c>
      <c r="N61" s="983">
        <f t="shared" si="14"/>
        <v>0</v>
      </c>
      <c r="O61" s="983">
        <f t="shared" si="11"/>
        <v>0</v>
      </c>
      <c r="P61" s="983">
        <f t="shared" si="12"/>
        <v>0</v>
      </c>
      <c r="Q61" s="983">
        <f t="shared" si="13"/>
        <v>479</v>
      </c>
    </row>
    <row r="62" spans="2:17">
      <c r="B62" s="1157" t="s">
        <v>1858</v>
      </c>
      <c r="C62" s="983"/>
      <c r="D62" s="983"/>
      <c r="E62" s="983"/>
      <c r="F62" s="983"/>
      <c r="G62" s="983"/>
      <c r="H62" s="983"/>
      <c r="I62" s="983"/>
      <c r="J62" s="986">
        <f>+SUM(I63:I65)</f>
        <v>302.82</v>
      </c>
      <c r="N62" s="983"/>
      <c r="O62" s="983"/>
      <c r="P62" s="983"/>
      <c r="Q62" s="983"/>
    </row>
    <row r="63" spans="2:17">
      <c r="B63" s="836" t="s">
        <v>2296</v>
      </c>
      <c r="C63" s="983">
        <v>14.7</v>
      </c>
      <c r="D63" s="983">
        <v>2.8</v>
      </c>
      <c r="E63" s="983">
        <f>+C63*D63</f>
        <v>41.16</v>
      </c>
      <c r="F63" s="983">
        <v>0</v>
      </c>
      <c r="G63" s="983">
        <f>+E63-F63</f>
        <v>41.16</v>
      </c>
      <c r="H63" s="983">
        <v>5</v>
      </c>
      <c r="I63" s="983">
        <f>+G63*H63</f>
        <v>205.79999999999998</v>
      </c>
      <c r="J63" s="983"/>
      <c r="M63" s="839" t="s">
        <v>368</v>
      </c>
      <c r="N63" s="983">
        <f>IF(M63=$N$4,I63,0)</f>
        <v>0</v>
      </c>
      <c r="O63" s="983">
        <f>IF(M63=$O$4,I63,0)</f>
        <v>205.79999999999998</v>
      </c>
      <c r="P63" s="983">
        <f>IF(M63=$P$4,I63,0)</f>
        <v>0</v>
      </c>
      <c r="Q63" s="983">
        <f>IF(M63=$Q$4,I63,0)</f>
        <v>0</v>
      </c>
    </row>
    <row r="64" spans="2:17">
      <c r="B64" s="836" t="s">
        <v>2297</v>
      </c>
      <c r="C64" s="983">
        <f>+$C$63</f>
        <v>14.7</v>
      </c>
      <c r="D64" s="983">
        <v>2.8</v>
      </c>
      <c r="E64" s="983">
        <f t="shared" ref="E64:E65" si="41">+C64*D64</f>
        <v>41.16</v>
      </c>
      <c r="F64" s="983">
        <v>0</v>
      </c>
      <c r="G64" s="983">
        <f>+E64-F64</f>
        <v>41.16</v>
      </c>
      <c r="H64" s="983">
        <v>1</v>
      </c>
      <c r="I64" s="983">
        <f>+G64*H64</f>
        <v>41.16</v>
      </c>
      <c r="J64" s="983"/>
      <c r="M64" s="839" t="s">
        <v>368</v>
      </c>
      <c r="N64" s="983">
        <f>IF(M64=$N$4,I64,0)</f>
        <v>0</v>
      </c>
      <c r="O64" s="983">
        <f>IF(M64=$O$4,I64,0)</f>
        <v>41.16</v>
      </c>
      <c r="P64" s="983">
        <f>IF(M64=$P$4,I64,0)</f>
        <v>0</v>
      </c>
      <c r="Q64" s="983">
        <f>IF(M64=$Q$4,I64,0)</f>
        <v>0</v>
      </c>
    </row>
    <row r="65" spans="2:18">
      <c r="B65" s="836" t="s">
        <v>2298</v>
      </c>
      <c r="C65" s="983">
        <f>+$C$63</f>
        <v>14.7</v>
      </c>
      <c r="D65" s="983">
        <v>3.8</v>
      </c>
      <c r="E65" s="983">
        <f t="shared" si="41"/>
        <v>55.859999999999992</v>
      </c>
      <c r="F65" s="983">
        <v>0</v>
      </c>
      <c r="G65" s="983">
        <f>+E65-F65</f>
        <v>55.859999999999992</v>
      </c>
      <c r="H65" s="983">
        <v>1</v>
      </c>
      <c r="I65" s="983">
        <f>+G65*H65</f>
        <v>55.859999999999992</v>
      </c>
      <c r="M65" s="839" t="s">
        <v>368</v>
      </c>
      <c r="N65" s="983">
        <f>IF(M65=$N$4,I65,0)</f>
        <v>0</v>
      </c>
      <c r="O65" s="983">
        <f>IF(M65=$O$4,I65,0)</f>
        <v>55.859999999999992</v>
      </c>
      <c r="P65" s="983">
        <f>IF(M65=$P$4,I65,0)</f>
        <v>0</v>
      </c>
      <c r="Q65" s="983">
        <f>IF(M65=$Q$4,I65,0)</f>
        <v>0</v>
      </c>
    </row>
    <row r="66" spans="2:18">
      <c r="I66" s="1158">
        <f>+SUM(I57:I63)</f>
        <v>1066.8</v>
      </c>
      <c r="J66" s="1158">
        <f>+SUM(J57:J63)</f>
        <v>1163.82</v>
      </c>
      <c r="N66" s="986">
        <f>+SUM(N8:N65)</f>
        <v>662.96800000000007</v>
      </c>
      <c r="O66" s="986">
        <f t="shared" ref="O66:Q66" si="42">+SUM(O8:O65)</f>
        <v>302.82</v>
      </c>
      <c r="P66" s="986">
        <f t="shared" si="42"/>
        <v>0</v>
      </c>
      <c r="Q66" s="986">
        <f t="shared" si="42"/>
        <v>861</v>
      </c>
    </row>
    <row r="67" spans="2:18">
      <c r="I67" s="1158">
        <f>+ROUNDUP(I66,0)</f>
        <v>1067</v>
      </c>
      <c r="J67" s="878">
        <f>+ROUNDUP(J66,0)</f>
        <v>1164</v>
      </c>
      <c r="N67" s="878">
        <f>+ROUNDUP(N66,0)</f>
        <v>663</v>
      </c>
      <c r="O67" s="878">
        <f>+ROUNDUP(O66,0)</f>
        <v>303</v>
      </c>
      <c r="P67" s="878">
        <f>+ROUNDUP(P66,0)</f>
        <v>0</v>
      </c>
      <c r="Q67" s="878">
        <f>+ROUNDUP(Q66,0)</f>
        <v>861</v>
      </c>
    </row>
    <row r="68" spans="2:18">
      <c r="I68" s="1159"/>
      <c r="J68" s="1159"/>
      <c r="N68" s="836">
        <f>+G87</f>
        <v>89</v>
      </c>
      <c r="O68" s="1164">
        <f>+G86</f>
        <v>130</v>
      </c>
      <c r="R68" s="1160">
        <f>+SUM(N67:Q67)</f>
        <v>1827</v>
      </c>
    </row>
    <row r="69" spans="2:18">
      <c r="I69" s="1159">
        <f>+I54+I67</f>
        <v>1730</v>
      </c>
      <c r="J69" s="1159">
        <f>+J54+J67</f>
        <v>1827</v>
      </c>
      <c r="N69" s="878">
        <f>+N67+N68</f>
        <v>752</v>
      </c>
      <c r="O69" s="1645">
        <f>+O67+O68</f>
        <v>433</v>
      </c>
    </row>
    <row r="71" spans="2:18">
      <c r="B71" s="837" t="s">
        <v>2300</v>
      </c>
      <c r="J71" s="1645">
        <f>+SUM(I72:I78)</f>
        <v>500</v>
      </c>
    </row>
    <row r="72" spans="2:18">
      <c r="B72" s="836" t="s">
        <v>2299</v>
      </c>
      <c r="C72" s="1">
        <f>+C64</f>
        <v>14.7</v>
      </c>
      <c r="D72" s="1">
        <v>2</v>
      </c>
      <c r="E72" s="1"/>
      <c r="F72" s="1"/>
      <c r="G72" s="1"/>
      <c r="H72" s="1">
        <f>+SUM(H63:H65)</f>
        <v>7</v>
      </c>
      <c r="I72" s="1159">
        <f>+C72*D72*H72</f>
        <v>205.79999999999998</v>
      </c>
    </row>
    <row r="73" spans="2:18">
      <c r="B73" s="836" t="s">
        <v>2301</v>
      </c>
      <c r="C73" s="1">
        <v>9.6</v>
      </c>
      <c r="D73" s="1">
        <v>1</v>
      </c>
      <c r="E73" s="1"/>
      <c r="F73" s="1"/>
      <c r="G73" s="1"/>
      <c r="H73" s="1">
        <v>6</v>
      </c>
      <c r="I73" s="1159">
        <f t="shared" ref="I73:I78" si="43">+C73*D73*H73</f>
        <v>57.599999999999994</v>
      </c>
    </row>
    <row r="74" spans="2:18">
      <c r="B74" s="836" t="s">
        <v>2302</v>
      </c>
      <c r="C74" s="1">
        <v>9.6</v>
      </c>
      <c r="D74" s="1">
        <v>1</v>
      </c>
      <c r="E74" s="1"/>
      <c r="F74" s="1"/>
      <c r="G74" s="1"/>
      <c r="H74" s="1">
        <v>6</v>
      </c>
      <c r="I74" s="1159">
        <f t="shared" si="43"/>
        <v>57.599999999999994</v>
      </c>
    </row>
    <row r="75" spans="2:18">
      <c r="B75" s="836" t="s">
        <v>2303</v>
      </c>
      <c r="C75" s="1">
        <v>25</v>
      </c>
      <c r="D75" s="1">
        <v>1</v>
      </c>
      <c r="E75" s="1"/>
      <c r="F75" s="1"/>
      <c r="G75" s="1"/>
      <c r="H75" s="1">
        <v>6</v>
      </c>
      <c r="I75" s="1159">
        <f t="shared" si="43"/>
        <v>150</v>
      </c>
    </row>
    <row r="76" spans="2:18">
      <c r="B76" s="836" t="s">
        <v>2304</v>
      </c>
      <c r="C76" s="1">
        <v>6</v>
      </c>
      <c r="D76" s="1">
        <v>1</v>
      </c>
      <c r="E76" s="1"/>
      <c r="F76" s="1"/>
      <c r="G76" s="1"/>
      <c r="H76" s="1">
        <v>1</v>
      </c>
      <c r="I76" s="1159">
        <f t="shared" si="43"/>
        <v>6</v>
      </c>
    </row>
    <row r="77" spans="2:18">
      <c r="B77" s="836" t="s">
        <v>2305</v>
      </c>
      <c r="C77" s="1">
        <v>6</v>
      </c>
      <c r="D77" s="1">
        <v>1</v>
      </c>
      <c r="E77" s="1"/>
      <c r="F77" s="1"/>
      <c r="G77" s="1"/>
      <c r="H77" s="1">
        <v>1</v>
      </c>
      <c r="I77" s="1159">
        <f t="shared" si="43"/>
        <v>6</v>
      </c>
    </row>
    <row r="78" spans="2:18">
      <c r="B78" s="836" t="s">
        <v>2306</v>
      </c>
      <c r="C78" s="1">
        <v>17</v>
      </c>
      <c r="D78" s="1">
        <v>1</v>
      </c>
      <c r="E78" s="1"/>
      <c r="F78" s="1"/>
      <c r="G78" s="1"/>
      <c r="H78" s="1">
        <v>1</v>
      </c>
      <c r="I78" s="1159">
        <f t="shared" si="43"/>
        <v>17</v>
      </c>
    </row>
    <row r="79" spans="2:18">
      <c r="C79" s="1"/>
      <c r="D79" s="1"/>
      <c r="E79" s="1"/>
      <c r="F79" s="1"/>
      <c r="G79" s="1"/>
      <c r="H79" s="1"/>
      <c r="I79" s="1159"/>
    </row>
    <row r="81" spans="2:7">
      <c r="B81" s="837" t="s">
        <v>2317</v>
      </c>
      <c r="C81" s="839" t="s">
        <v>59</v>
      </c>
      <c r="D81" s="839" t="s">
        <v>218</v>
      </c>
      <c r="E81" s="839" t="s">
        <v>4</v>
      </c>
      <c r="F81" s="839" t="s">
        <v>43</v>
      </c>
      <c r="G81" s="839" t="s">
        <v>46</v>
      </c>
    </row>
    <row r="82" spans="2:7">
      <c r="B82" s="836" t="s">
        <v>2321</v>
      </c>
      <c r="C82" s="1">
        <v>10.3</v>
      </c>
      <c r="D82" s="1">
        <v>2.5</v>
      </c>
      <c r="E82" s="1">
        <f t="shared" ref="E82:E84" si="44">+C82*D82</f>
        <v>25.75</v>
      </c>
      <c r="F82" s="1">
        <v>1</v>
      </c>
      <c r="G82" s="1">
        <f t="shared" ref="G82:G84" si="45">+E82*F82</f>
        <v>25.75</v>
      </c>
    </row>
    <row r="83" spans="2:7">
      <c r="B83" s="836" t="s">
        <v>2320</v>
      </c>
      <c r="C83" s="1">
        <v>10.3</v>
      </c>
      <c r="D83" s="1">
        <v>1</v>
      </c>
      <c r="E83" s="1">
        <f t="shared" si="44"/>
        <v>10.3</v>
      </c>
      <c r="F83" s="1">
        <v>4</v>
      </c>
      <c r="G83" s="1">
        <f t="shared" si="45"/>
        <v>41.2</v>
      </c>
    </row>
    <row r="84" spans="2:7">
      <c r="B84" s="836" t="s">
        <v>2322</v>
      </c>
      <c r="C84" s="1">
        <v>10.45</v>
      </c>
      <c r="D84" s="1">
        <v>1</v>
      </c>
      <c r="E84" s="1">
        <f t="shared" si="44"/>
        <v>10.45</v>
      </c>
      <c r="F84" s="1">
        <v>6</v>
      </c>
      <c r="G84" s="1">
        <f t="shared" si="45"/>
        <v>62.699999999999996</v>
      </c>
    </row>
    <row r="85" spans="2:7">
      <c r="C85" s="1"/>
      <c r="D85" s="1"/>
      <c r="E85" s="1"/>
      <c r="F85" s="1"/>
      <c r="G85" s="1164">
        <f>+SUM(G82:G84)</f>
        <v>129.65</v>
      </c>
    </row>
    <row r="86" spans="2:7">
      <c r="C86" s="1"/>
      <c r="D86" s="1"/>
      <c r="E86" s="1"/>
      <c r="F86" s="1"/>
      <c r="G86" s="1165">
        <f>+ROUNDUP(G85,0)</f>
        <v>130</v>
      </c>
    </row>
    <row r="87" spans="2:7">
      <c r="C87" s="1"/>
      <c r="D87" s="1"/>
      <c r="F87" s="1" t="s">
        <v>2323</v>
      </c>
      <c r="G87" s="836">
        <f>+Locales!BY100</f>
        <v>89</v>
      </c>
    </row>
    <row r="88" spans="2:7">
      <c r="C88" s="1"/>
      <c r="D88" s="1"/>
      <c r="F88" s="1"/>
      <c r="G88" s="1165">
        <f>+G86+G87</f>
        <v>219</v>
      </c>
    </row>
    <row r="89" spans="2:7">
      <c r="C89" s="1"/>
      <c r="D89" s="1"/>
      <c r="F8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862714A3271E4F8082B5E419A972E5" ma:contentTypeVersion="0" ma:contentTypeDescription="Crear nuevo documento." ma:contentTypeScope="" ma:versionID="ed991fce4da98d904e44251cb05ad3c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1AD27E-EB53-465C-A035-BB47F4EBE295}">
  <ds:schemaRefs>
    <ds:schemaRef ds:uri="http://schemas.microsoft.com/office/2006/metadata/properties"/>
    <ds:schemaRef ds:uri="http://schemas.microsoft.com/office/infopath/2007/PartnerControls"/>
    <ds:schemaRef ds:uri="2bb8146b-4687-4c21-8073-28304239b282"/>
    <ds:schemaRef ds:uri="ab6a9574-441b-4d3f-8a90-150a156684ce"/>
  </ds:schemaRefs>
</ds:datastoreItem>
</file>

<file path=customXml/itemProps2.xml><?xml version="1.0" encoding="utf-8"?>
<ds:datastoreItem xmlns:ds="http://schemas.openxmlformats.org/officeDocument/2006/customXml" ds:itemID="{1F463961-2AD1-4AEC-BCC2-AFDB340AFB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17A319-B0DD-4DC5-85E7-675EC2B592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4</vt:i4>
      </vt:variant>
    </vt:vector>
  </HeadingPairs>
  <TitlesOfParts>
    <vt:vector size="28" baseType="lpstr">
      <vt:lpstr>Cotizaciones</vt:lpstr>
      <vt:lpstr>SUBCONTRATOS</vt:lpstr>
      <vt:lpstr>APU 06.25</vt:lpstr>
      <vt:lpstr>P.MO 06.25</vt:lpstr>
      <vt:lpstr>INFO.</vt:lpstr>
      <vt:lpstr>01</vt:lpstr>
      <vt:lpstr>Tareas</vt:lpstr>
      <vt:lpstr>GGBB</vt:lpstr>
      <vt:lpstr>Locales</vt:lpstr>
      <vt:lpstr>Computo</vt:lpstr>
      <vt:lpstr>INCEND</vt:lpstr>
      <vt:lpstr>GAS</vt:lpstr>
      <vt:lpstr>CALEFA</vt:lpstr>
      <vt:lpstr>CLOACAL</vt:lpstr>
      <vt:lpstr>PLU</vt:lpstr>
      <vt:lpstr>AA.CC</vt:lpstr>
      <vt:lpstr>AF Y AC</vt:lpstr>
      <vt:lpstr>ELECT</vt:lpstr>
      <vt:lpstr>H°A° </vt:lpstr>
      <vt:lpstr>Exc.</vt:lpstr>
      <vt:lpstr>MO HA AING</vt:lpstr>
      <vt:lpstr>ENCOFRADO </vt:lpstr>
      <vt:lpstr>MAMP.</vt:lpstr>
      <vt:lpstr>Rev.</vt:lpstr>
      <vt:lpstr>'01'!Print_Area</vt:lpstr>
      <vt:lpstr>Tareas!Print_Area</vt:lpstr>
      <vt:lpstr>'01'!Print_Titles</vt:lpstr>
      <vt:lpstr>Tareas!Print_Titles</vt:lpstr>
    </vt:vector>
  </TitlesOfParts>
  <Manager/>
  <Company>ALDABE-ARAGON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MARIELA2</dc:creator>
  <cp:keywords/>
  <dc:description/>
  <cp:lastModifiedBy>Pedro Pagliaricci</cp:lastModifiedBy>
  <cp:revision/>
  <dcterms:created xsi:type="dcterms:W3CDTF">2008-01-22T16:54:47Z</dcterms:created>
  <dcterms:modified xsi:type="dcterms:W3CDTF">2026-05-16T17:59:14Z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0x0101001D862714A3271E4F8082B5E419A972E5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